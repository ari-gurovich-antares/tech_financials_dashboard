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/>
  <workbookPr backupFile="1"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i.gurovich\Downloads\"/>
    </mc:Choice>
  </mc:AlternateContent>
  <xr:revisionPtr revIDLastSave="0" documentId="8_{E4C13272-1D40-47F7-84C9-A440A56F7840}" xr6:coauthVersionLast="47" xr6:coauthVersionMax="47" xr10:uidLastSave="{00000000-0000-0000-0000-000000000000}"/>
  <bookViews>
    <workbookView xWindow="19905" yWindow="-21840" windowWidth="38640" windowHeight="21120" tabRatio="843" xr2:uid="{6E86A890-6511-465B-97CD-9F3B99500F42}"/>
  </bookViews>
  <sheets>
    <sheet name="YTD Financials Run Rate" sheetId="65" r:id="rId1"/>
    <sheet name="Notes - R&amp;O" sheetId="86" r:id="rId2"/>
    <sheet name="Monthly Run Rate (Jan-Mar)" sheetId="83" r:id="rId3"/>
    <sheet name="Opp Check" sheetId="77" state="hidden" r:id="rId4"/>
    <sheet name="Risk Check" sheetId="82" state="hidden" r:id="rId5"/>
    <sheet name="Master Data OLD" sheetId="3" state="hidden" r:id="rId6"/>
    <sheet name="Master Data (DO NOT EDIT)" sheetId="88" r:id="rId7"/>
    <sheet name="AI Budget Tracking" sheetId="87" r:id="rId8"/>
    <sheet name="Rough" sheetId="84" r:id="rId9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6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6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6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6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6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6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6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6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6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6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6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6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6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6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6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6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6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6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6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6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6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6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6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6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6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6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6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6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6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6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6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6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6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6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6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6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6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6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6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6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6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6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6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6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6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6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6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6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6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6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6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6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6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6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6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6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6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6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6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6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6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6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6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6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6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6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6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6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6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6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6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6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6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6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6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6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6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6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6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6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6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6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6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6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6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6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6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6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6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6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6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6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6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6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6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6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6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6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6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6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6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6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6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6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6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6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6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6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6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6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6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6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6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6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6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6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6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6" hidden="1">'Master Data (DO NOT EDIT)'!$A$1:$BP$149</definedName>
    <definedName name="_xlnm._FilterDatabase" localSheetId="5" hidden="1">'Master Data OLD'!$A$1:$BP$148</definedName>
    <definedName name="_xlnm._FilterDatabase" localSheetId="1" hidden="1">'Notes - R&amp;O'!$A$1:$L$147</definedName>
    <definedName name="_xlnm._FilterDatabase" localSheetId="3" hidden="1">'Opp Check'!$A$4:$G$86</definedName>
    <definedName name="_xlnm._FilterDatabase" localSheetId="4" hidden="1">'Risk Check'!$A$15:$B$96</definedName>
    <definedName name="_xlnm._FilterDatabase" localSheetId="8" hidden="1">Rough!$O$5:$U$84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6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6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6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6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6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6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6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6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6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6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6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6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6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6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6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6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6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6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6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6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6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6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6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6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6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6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6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6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6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6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6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6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6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6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6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6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6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6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6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6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6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6" hidden="1">{"'PXR_6500'!$A$1:$I$124"}</definedName>
    <definedName name="abcdef" localSheetId="1" hidden="1">{"'PXR_6500'!$A$1:$I$124"}</definedName>
    <definedName name="abcdef" hidden="1">{"'PXR_6500'!$A$1:$I$124"}</definedName>
    <definedName name="ABN" localSheetId="6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6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6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6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6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6" hidden="1">{"'PXR_6500'!$A$1:$I$124"}</definedName>
    <definedName name="aqqq" localSheetId="1" hidden="1">{"'PXR_6500'!$A$1:$I$124"}</definedName>
    <definedName name="aqqq" hidden="1">{"'PXR_6500'!$A$1:$I$124"}</definedName>
    <definedName name="AS" localSheetId="6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6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6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6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6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6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6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6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6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6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6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6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6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6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6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6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6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6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6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6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6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6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6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6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6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6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6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6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6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6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6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6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6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6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6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6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6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6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6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6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6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6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6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6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6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6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6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6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6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6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6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6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6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6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6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6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6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6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6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6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6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6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6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6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6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6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6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6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6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6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6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6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6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6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6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6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6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6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6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6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6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6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6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6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6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6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6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6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6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6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6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6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6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6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6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6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6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6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6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6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6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6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6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6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6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6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6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6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6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6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6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6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6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6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6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6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6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6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6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6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6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6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6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6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6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6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6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6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6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6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6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6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6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6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6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6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6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6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6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6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6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6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6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6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6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6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6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6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6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6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6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6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6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6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6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6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6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6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6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6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6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6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6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6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6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6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6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6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6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6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6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1">#REF!</definedName>
    <definedName name="Macro2" localSheetId="8">#REF!</definedName>
    <definedName name="Macro2">#REF!</definedName>
    <definedName name="Macro3" localSheetId="1">#REF!</definedName>
    <definedName name="Macro3" localSheetId="8">#REF!</definedName>
    <definedName name="Macro3">#REF!</definedName>
    <definedName name="maincbo" localSheetId="6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6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6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6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6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6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6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6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6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6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6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6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6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6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6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6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6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6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6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6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6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6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6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6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6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6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6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6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6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6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6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6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6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6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6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6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6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6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6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6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6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6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6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6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6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6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6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6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6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6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6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6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6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6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6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6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6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6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6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6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6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6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6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6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6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6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6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6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6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6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6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6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6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6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6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6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6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6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6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6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6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6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6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6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6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6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6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6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6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6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6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6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6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6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6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6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6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6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6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6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6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6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6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6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6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6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6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6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6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6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6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6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6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6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6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6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6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6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6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6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6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6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6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6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6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6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6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6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6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6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6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6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6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6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6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6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6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6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6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6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6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6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6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6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6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6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6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6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6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6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6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6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6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6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6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6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6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6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6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6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6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6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6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6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6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6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6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6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6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6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6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6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6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6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6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6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6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6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6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6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6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6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6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6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6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6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6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6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6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6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6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6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6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6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6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6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6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6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6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6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6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6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6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6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6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6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6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6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6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6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6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6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6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6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6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6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6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6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6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6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6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6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6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6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6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6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6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6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6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6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6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6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6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6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6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6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6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6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6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6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6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6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6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6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6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6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6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6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6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6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6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6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6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6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6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6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6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6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6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6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6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6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6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6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6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6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6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6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6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6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6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6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6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6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6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6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6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6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6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6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6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6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6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6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6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6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6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6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6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6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6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6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6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6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6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6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6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6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6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6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6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6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6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6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6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6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6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6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6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6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6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6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6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6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6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6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6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6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6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6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6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6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6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6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6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6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6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6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6" hidden="1">{"'PXR_6500'!$A$1:$I$124"}</definedName>
    <definedName name="wq" localSheetId="1" hidden="1">{"'PXR_6500'!$A$1:$I$124"}</definedName>
    <definedName name="wq" hidden="1">{"'PXR_6500'!$A$1:$I$124"}</definedName>
    <definedName name="wrn" localSheetId="6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6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6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6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6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6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6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6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6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6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6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6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6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6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6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6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6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6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6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6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6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6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6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6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6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6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6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6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6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6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6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6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6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6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6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6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6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6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6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6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6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6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6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6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6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6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6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6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6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6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6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6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6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6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6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6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6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6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6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6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6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6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6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6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6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6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6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6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6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6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6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6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6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6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6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6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6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6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6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6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6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6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6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6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6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6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6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6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6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6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6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6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6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6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6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6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6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6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6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6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6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6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6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6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6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6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6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6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6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6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6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6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6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6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6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6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6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6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6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6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6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6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6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6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6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6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6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6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6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6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6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6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6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6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6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6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6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6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6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6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6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6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6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6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6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6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6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6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6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6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6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6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6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6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6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6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6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6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6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6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6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6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6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6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6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6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6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6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6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6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6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6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6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6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6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6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6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6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6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6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6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6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6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6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6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6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6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6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6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6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6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6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6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6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6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6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6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6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6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6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6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6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6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6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6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6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6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6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6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6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6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6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6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6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6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6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6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6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6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6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6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6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6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6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6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6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6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6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6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6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6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6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6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6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6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6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6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6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6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6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6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6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6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6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6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6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6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6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6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6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6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6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6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6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6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6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6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6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6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6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6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6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6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6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6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6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6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6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6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6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6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6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6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6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6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6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6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6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6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6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6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6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6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6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6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6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6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6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6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6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6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6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6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6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6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6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6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6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6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6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6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6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6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6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6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6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6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6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6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6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6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6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6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6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6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6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6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6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6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6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6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6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6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6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6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6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6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6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6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6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6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6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6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6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6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6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6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6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6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6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6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6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6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6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6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6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6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6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6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6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6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6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6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6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6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6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6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6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6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6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6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6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6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6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6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6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6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6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6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6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6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6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6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6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6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6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6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6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6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6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6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6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6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6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6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6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6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6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6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6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6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6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6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6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6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6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6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6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6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6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6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6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6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6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6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6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6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6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6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6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6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6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6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6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6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6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6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6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6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6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6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6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6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6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6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6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6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6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6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6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6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6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6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6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6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6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6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6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6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6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6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6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6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6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6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6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6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6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6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6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6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6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6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6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6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6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6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6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6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6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6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6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6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6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6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3" r:id="rId10"/>
    <pivotCache cacheId="4" r:id="rId11"/>
    <pivotCache cacheId="5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4" i="88" l="1"/>
  <c r="AI153" i="88"/>
  <c r="BP151" i="88"/>
  <c r="AA151" i="88"/>
  <c r="U151" i="88"/>
  <c r="T151" i="88"/>
  <c r="BT149" i="88"/>
  <c r="BQ149" i="88"/>
  <c r="BN149" i="88"/>
  <c r="BM149" i="88"/>
  <c r="BL149" i="88"/>
  <c r="BK149" i="88"/>
  <c r="BJ149" i="88"/>
  <c r="BI149" i="88"/>
  <c r="BH149" i="88"/>
  <c r="BG149" i="88"/>
  <c r="BF149" i="88"/>
  <c r="BE149" i="88"/>
  <c r="BD149" i="88"/>
  <c r="BC149" i="88"/>
  <c r="BB149" i="88"/>
  <c r="AO149" i="88"/>
  <c r="AN149" i="88"/>
  <c r="K149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O148" i="88" s="1"/>
  <c r="BB148" i="88"/>
  <c r="AO148" i="88"/>
  <c r="BS148" i="88" s="1"/>
  <c r="BU148" i="88" s="1"/>
  <c r="AN148" i="88"/>
  <c r="W148" i="88"/>
  <c r="BR148" i="88" s="1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O147" i="88" s="1"/>
  <c r="BC147" i="88"/>
  <c r="BB147" i="88"/>
  <c r="AO147" i="88"/>
  <c r="AN147" i="88"/>
  <c r="W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O146" i="88" s="1"/>
  <c r="BE146" i="88"/>
  <c r="BD146" i="88"/>
  <c r="BC146" i="88"/>
  <c r="BB146" i="88"/>
  <c r="AO146" i="88"/>
  <c r="W146" i="88" s="1"/>
  <c r="AN146" i="88"/>
  <c r="Y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O145" i="88" s="1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O144" i="88" s="1"/>
  <c r="BB144" i="88"/>
  <c r="AO144" i="88"/>
  <c r="AN144" i="88"/>
  <c r="W144" i="88"/>
  <c r="BR144" i="88" s="1"/>
  <c r="BS144" i="88" s="1"/>
  <c r="BU144" i="88" s="1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O143" i="88" s="1"/>
  <c r="BB143" i="88"/>
  <c r="AO143" i="88"/>
  <c r="AN143" i="88"/>
  <c r="W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O142" i="88" s="1"/>
  <c r="BD142" i="88"/>
  <c r="BC142" i="88"/>
  <c r="BB142" i="88"/>
  <c r="AO142" i="88"/>
  <c r="AN142" i="88"/>
  <c r="Y142" i="88"/>
  <c r="X142" i="88"/>
  <c r="Z142" i="88" s="1"/>
  <c r="W142" i="88"/>
  <c r="BR142" i="88" s="1"/>
  <c r="BS142" i="88" s="1"/>
  <c r="BU142" i="88" s="1"/>
  <c r="K142" i="88"/>
  <c r="BT141" i="88"/>
  <c r="BI141" i="88"/>
  <c r="BH141" i="88"/>
  <c r="BG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AU141" i="88"/>
  <c r="AT141" i="88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O139" i="88" s="1"/>
  <c r="BB139" i="88"/>
  <c r="AO139" i="88"/>
  <c r="AN139" i="88"/>
  <c r="W139" i="88"/>
  <c r="BR139" i="88" s="1"/>
  <c r="BS139" i="88" s="1"/>
  <c r="BU139" i="88" s="1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O138" i="88" s="1"/>
  <c r="BD138" i="88"/>
  <c r="BC138" i="88"/>
  <c r="BB138" i="88"/>
  <c r="AO138" i="88"/>
  <c r="AN138" i="88"/>
  <c r="Y138" i="88"/>
  <c r="X138" i="88"/>
  <c r="Z138" i="88" s="1"/>
  <c r="W138" i="88"/>
  <c r="BR138" i="88" s="1"/>
  <c r="BS138" i="88" s="1"/>
  <c r="BU138" i="88" s="1"/>
  <c r="K138" i="88"/>
  <c r="BT137" i="88"/>
  <c r="BQ137" i="88"/>
  <c r="BN137" i="88"/>
  <c r="BM137" i="88"/>
  <c r="BL137" i="88"/>
  <c r="BK137" i="88"/>
  <c r="BJ137" i="88"/>
  <c r="BI137" i="88"/>
  <c r="BH137" i="88"/>
  <c r="BG137" i="88"/>
  <c r="BO137" i="88" s="1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O136" i="88" s="1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O135" i="88" s="1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O134" i="88" s="1"/>
  <c r="BB134" i="88"/>
  <c r="AO134" i="88"/>
  <c r="AN134" i="88"/>
  <c r="Y134" i="88"/>
  <c r="X134" i="88"/>
  <c r="Z134" i="88" s="1"/>
  <c r="W134" i="88"/>
  <c r="BR134" i="88" s="1"/>
  <c r="BS134" i="88" s="1"/>
  <c r="BU134" i="88" s="1"/>
  <c r="K134" i="88"/>
  <c r="BT133" i="88"/>
  <c r="BQ133" i="88"/>
  <c r="BN133" i="88"/>
  <c r="BM133" i="88"/>
  <c r="BL133" i="88"/>
  <c r="BK133" i="88"/>
  <c r="BJ133" i="88"/>
  <c r="BI133" i="88"/>
  <c r="BH133" i="88"/>
  <c r="BG133" i="88"/>
  <c r="BO133" i="88" s="1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O132" i="88" s="1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O131" i="88" s="1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O130" i="88" s="1"/>
  <c r="BB130" i="88"/>
  <c r="AO130" i="88"/>
  <c r="AN130" i="88"/>
  <c r="Y130" i="88"/>
  <c r="X130" i="88"/>
  <c r="Z130" i="88" s="1"/>
  <c r="W130" i="88"/>
  <c r="BR130" i="88" s="1"/>
  <c r="BS130" i="88" s="1"/>
  <c r="BU130" i="88" s="1"/>
  <c r="K130" i="88"/>
  <c r="BT129" i="88"/>
  <c r="BQ129" i="88"/>
  <c r="BN129" i="88"/>
  <c r="BM129" i="88"/>
  <c r="BL129" i="88"/>
  <c r="BK129" i="88"/>
  <c r="BJ129" i="88"/>
  <c r="BI129" i="88"/>
  <c r="BH129" i="88"/>
  <c r="BG129" i="88"/>
  <c r="BO129" i="88" s="1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O127" i="88" s="1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AN126" i="88"/>
  <c r="Y126" i="88"/>
  <c r="X126" i="88"/>
  <c r="Z126" i="88" s="1"/>
  <c r="W126" i="88"/>
  <c r="BR126" i="88" s="1"/>
  <c r="BS126" i="88" s="1"/>
  <c r="BU126" i="88" s="1"/>
  <c r="K126" i="88"/>
  <c r="BT125" i="88"/>
  <c r="BQ125" i="88"/>
  <c r="BN125" i="88"/>
  <c r="BM125" i="88"/>
  <c r="BL125" i="88"/>
  <c r="BK125" i="88"/>
  <c r="BJ125" i="88"/>
  <c r="BI125" i="88"/>
  <c r="BH125" i="88"/>
  <c r="BG125" i="88"/>
  <c r="BO125" i="88" s="1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O124" i="88" s="1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O123" i="88" s="1"/>
  <c r="BB123" i="88"/>
  <c r="AO123" i="88"/>
  <c r="AN123" i="88"/>
  <c r="K123" i="88"/>
  <c r="BT122" i="88"/>
  <c r="BN122" i="88"/>
  <c r="BM122" i="88"/>
  <c r="BL122" i="88"/>
  <c r="BK122" i="88"/>
  <c r="BF122" i="88"/>
  <c r="BE122" i="88"/>
  <c r="BC122" i="88"/>
  <c r="AX122" i="88"/>
  <c r="AW122" i="88"/>
  <c r="AV122" i="88"/>
  <c r="BI122" i="88" s="1"/>
  <c r="AU122" i="88"/>
  <c r="BH122" i="88" s="1"/>
  <c r="AT122" i="88"/>
  <c r="BG122" i="88" s="1"/>
  <c r="AS122" i="88"/>
  <c r="AR122" i="88"/>
  <c r="AQ122" i="88"/>
  <c r="AP122" i="88"/>
  <c r="AJ122" i="88"/>
  <c r="AI122" i="88"/>
  <c r="BJ122" i="88" s="1"/>
  <c r="AH122" i="88"/>
  <c r="AG122" i="88"/>
  <c r="AO122" i="88" s="1"/>
  <c r="AF122" i="88"/>
  <c r="AE122" i="88"/>
  <c r="AD122" i="88"/>
  <c r="AC122" i="88"/>
  <c r="BD122" i="88" s="1"/>
  <c r="AB122" i="88"/>
  <c r="AN122" i="88" s="1"/>
  <c r="K122" i="88"/>
  <c r="BT121" i="88"/>
  <c r="BQ121" i="88"/>
  <c r="BN121" i="88"/>
  <c r="BM121" i="88"/>
  <c r="BL121" i="88"/>
  <c r="BK121" i="88"/>
  <c r="BJ121" i="88"/>
  <c r="BI121" i="88"/>
  <c r="BH121" i="88"/>
  <c r="BG121" i="88"/>
  <c r="BO121" i="88" s="1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AN120" i="88"/>
  <c r="W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BC118" i="88"/>
  <c r="AS118" i="88"/>
  <c r="AP118" i="88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AN117" i="88"/>
  <c r="Y117" i="88"/>
  <c r="X117" i="88"/>
  <c r="Z117" i="88" s="1"/>
  <c r="W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O116" i="88" s="1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O115" i="88" s="1"/>
  <c r="BC115" i="88"/>
  <c r="BB115" i="88"/>
  <c r="AO115" i="88"/>
  <c r="AN115" i="88"/>
  <c r="W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BS113" i="88" s="1"/>
  <c r="AN113" i="88"/>
  <c r="Y113" i="88"/>
  <c r="X113" i="88"/>
  <c r="Z113" i="88" s="1"/>
  <c r="W113" i="88"/>
  <c r="BR113" i="88" s="1"/>
  <c r="K113" i="88"/>
  <c r="BQ112" i="88"/>
  <c r="BM112" i="88"/>
  <c r="BJ112" i="88"/>
  <c r="BG112" i="88"/>
  <c r="BE112" i="88"/>
  <c r="BC112" i="88"/>
  <c r="BB112" i="88"/>
  <c r="AM112" i="88"/>
  <c r="BN112" i="88" s="1"/>
  <c r="AL112" i="88"/>
  <c r="AK112" i="88"/>
  <c r="BL112" i="88" s="1"/>
  <c r="AJ112" i="88"/>
  <c r="BK112" i="88" s="1"/>
  <c r="AI112" i="88"/>
  <c r="AH112" i="88"/>
  <c r="BI112" i="88" s="1"/>
  <c r="AG112" i="88"/>
  <c r="AF112" i="88"/>
  <c r="AE112" i="88"/>
  <c r="BF112" i="88" s="1"/>
  <c r="AD112" i="88"/>
  <c r="AC112" i="88"/>
  <c r="BD112" i="88" s="1"/>
  <c r="AB112" i="88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AN111" i="88"/>
  <c r="Y111" i="88"/>
  <c r="X111" i="88"/>
  <c r="Z111" i="88" s="1"/>
  <c r="W111" i="88"/>
  <c r="BR111" i="88" s="1"/>
  <c r="K111" i="88"/>
  <c r="BT110" i="88"/>
  <c r="BQ110" i="88"/>
  <c r="BN110" i="88"/>
  <c r="BM110" i="88"/>
  <c r="BL110" i="88"/>
  <c r="BK110" i="88"/>
  <c r="BJ110" i="88"/>
  <c r="BI110" i="88"/>
  <c r="BH110" i="88"/>
  <c r="BG110" i="88"/>
  <c r="BO110" i="88" s="1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T107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O106" i="88" s="1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F105" i="88"/>
  <c r="BE105" i="88"/>
  <c r="BD105" i="88"/>
  <c r="BC105" i="88"/>
  <c r="BO105" i="88" s="1"/>
  <c r="AS105" i="88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M102" i="88"/>
  <c r="BI102" i="88"/>
  <c r="BH102" i="88"/>
  <c r="BE102" i="88"/>
  <c r="BA102" i="88"/>
  <c r="BN102" i="88" s="1"/>
  <c r="AZ102" i="88"/>
  <c r="AY102" i="88"/>
  <c r="BL102" i="88" s="1"/>
  <c r="AX102" i="88"/>
  <c r="BK102" i="88" s="1"/>
  <c r="AW102" i="88"/>
  <c r="BJ102" i="88" s="1"/>
  <c r="AV102" i="88"/>
  <c r="AU102" i="88"/>
  <c r="AT102" i="88"/>
  <c r="BG102" i="88" s="1"/>
  <c r="AS102" i="88"/>
  <c r="BF102" i="88" s="1"/>
  <c r="AR102" i="88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O101" i="88" s="1"/>
  <c r="BB101" i="88"/>
  <c r="AO101" i="88"/>
  <c r="AN101" i="88"/>
  <c r="Y101" i="88"/>
  <c r="Z101" i="88" s="1"/>
  <c r="X101" i="88"/>
  <c r="W101" i="88"/>
  <c r="BR101" i="88" s="1"/>
  <c r="K101" i="88"/>
  <c r="BI100" i="88"/>
  <c r="BA100" i="88"/>
  <c r="BN100" i="88" s="1"/>
  <c r="AZ100" i="88"/>
  <c r="BM100" i="88" s="1"/>
  <c r="AY100" i="88"/>
  <c r="AX100" i="88"/>
  <c r="BK100" i="88" s="1"/>
  <c r="AW100" i="88"/>
  <c r="BJ100" i="88" s="1"/>
  <c r="AV100" i="88"/>
  <c r="AU100" i="88"/>
  <c r="AT100" i="88"/>
  <c r="BG100" i="88" s="1"/>
  <c r="AS100" i="88"/>
  <c r="BF100" i="88" s="1"/>
  <c r="AR100" i="88"/>
  <c r="BE100" i="88" s="1"/>
  <c r="AQ100" i="88"/>
  <c r="AP100" i="88"/>
  <c r="BC100" i="88" s="1"/>
  <c r="AM100" i="88"/>
  <c r="AL100" i="88"/>
  <c r="AK100" i="88"/>
  <c r="AJ100" i="88"/>
  <c r="AI100" i="88"/>
  <c r="AH100" i="88"/>
  <c r="AG100" i="88"/>
  <c r="BH100" i="88" s="1"/>
  <c r="AF100" i="88"/>
  <c r="AE100" i="88"/>
  <c r="AD100" i="88"/>
  <c r="AC100" i="88"/>
  <c r="AB100" i="88"/>
  <c r="K100" i="88"/>
  <c r="BT99" i="88"/>
  <c r="BI99" i="88"/>
  <c r="AV99" i="88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G98" i="88"/>
  <c r="BE98" i="88"/>
  <c r="BB98" i="88"/>
  <c r="AG98" i="88"/>
  <c r="AO98" i="88" s="1"/>
  <c r="AF98" i="88"/>
  <c r="AE98" i="88"/>
  <c r="BF98" i="88" s="1"/>
  <c r="AD98" i="88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O97" i="88" s="1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O96" i="88" s="1"/>
  <c r="BB96" i="88"/>
  <c r="AO96" i="88"/>
  <c r="W96" i="88" s="1"/>
  <c r="AN96" i="88"/>
  <c r="K96" i="88"/>
  <c r="BT95" i="88"/>
  <c r="BR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AN95" i="88"/>
  <c r="W95" i="88"/>
  <c r="Y95" i="88" s="1"/>
  <c r="K95" i="88"/>
  <c r="BQ94" i="88"/>
  <c r="BF94" i="88"/>
  <c r="BE94" i="88"/>
  <c r="BA94" i="88"/>
  <c r="BN94" i="88" s="1"/>
  <c r="AZ94" i="88"/>
  <c r="BM94" i="88" s="1"/>
  <c r="AY94" i="88"/>
  <c r="BL94" i="88" s="1"/>
  <c r="AX94" i="88"/>
  <c r="BK94" i="88" s="1"/>
  <c r="AW94" i="88"/>
  <c r="AV94" i="88"/>
  <c r="AU94" i="88"/>
  <c r="BH94" i="88" s="1"/>
  <c r="AT94" i="88"/>
  <c r="AS94" i="88"/>
  <c r="AR94" i="88"/>
  <c r="AQ94" i="88"/>
  <c r="BD94" i="88" s="1"/>
  <c r="AP94" i="88"/>
  <c r="AM94" i="88"/>
  <c r="AL94" i="88"/>
  <c r="AK94" i="88"/>
  <c r="AJ94" i="88"/>
  <c r="AI94" i="88"/>
  <c r="AH94" i="88"/>
  <c r="BI94" i="88" s="1"/>
  <c r="AG94" i="88"/>
  <c r="AO94" i="88" s="1"/>
  <c r="AF94" i="88"/>
  <c r="BG94" i="88" s="1"/>
  <c r="AE94" i="88"/>
  <c r="BT94" i="88" s="1"/>
  <c r="AD94" i="88"/>
  <c r="AC94" i="88"/>
  <c r="AB94" i="88"/>
  <c r="K94" i="88"/>
  <c r="BT93" i="88"/>
  <c r="BN93" i="88"/>
  <c r="BM93" i="88"/>
  <c r="BL93" i="88"/>
  <c r="BK93" i="88"/>
  <c r="BJ93" i="88"/>
  <c r="BI93" i="88"/>
  <c r="BH93" i="88"/>
  <c r="BG93" i="88"/>
  <c r="BE93" i="88"/>
  <c r="AU93" i="88"/>
  <c r="AT93" i="88"/>
  <c r="AS93" i="88"/>
  <c r="BF93" i="88" s="1"/>
  <c r="AR93" i="88"/>
  <c r="AQ93" i="88"/>
  <c r="BD93" i="88" s="1"/>
  <c r="AP93" i="88"/>
  <c r="BB93" i="88" s="1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BO92" i="88" s="1"/>
  <c r="AS92" i="88"/>
  <c r="AR92" i="88"/>
  <c r="BE92" i="88" s="1"/>
  <c r="AP92" i="88"/>
  <c r="BB92" i="88" s="1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O91" i="88" s="1"/>
  <c r="BB91" i="88"/>
  <c r="AO91" i="88"/>
  <c r="BS91" i="88" s="1"/>
  <c r="BU91" i="88" s="1"/>
  <c r="AN91" i="88"/>
  <c r="W91" i="88"/>
  <c r="BR91" i="88" s="1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O90" i="88" s="1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O88" i="88" s="1"/>
  <c r="BB88" i="88"/>
  <c r="AO88" i="88"/>
  <c r="AN88" i="88"/>
  <c r="X88" i="88"/>
  <c r="W88" i="88"/>
  <c r="BR88" i="88" s="1"/>
  <c r="BS88" i="88" s="1"/>
  <c r="BU88" i="88" s="1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O86" i="88" s="1"/>
  <c r="BF86" i="88"/>
  <c r="BE86" i="88"/>
  <c r="BD86" i="88"/>
  <c r="BC86" i="88"/>
  <c r="BB86" i="88"/>
  <c r="AO86" i="88"/>
  <c r="W86" i="88" s="1"/>
  <c r="AN86" i="88"/>
  <c r="K86" i="88"/>
  <c r="BT85" i="88"/>
  <c r="BM85" i="88"/>
  <c r="BL85" i="88"/>
  <c r="BK85" i="88"/>
  <c r="BJ85" i="88"/>
  <c r="BI85" i="88"/>
  <c r="BE85" i="88"/>
  <c r="BD85" i="88"/>
  <c r="BC85" i="88"/>
  <c r="BA85" i="88"/>
  <c r="BN85" i="88" s="1"/>
  <c r="AZ85" i="88"/>
  <c r="AY85" i="88"/>
  <c r="AX85" i="88"/>
  <c r="AW85" i="88"/>
  <c r="AV85" i="88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O84" i="88" s="1"/>
  <c r="BC84" i="88"/>
  <c r="BB84" i="88"/>
  <c r="AO84" i="88"/>
  <c r="BS84" i="88" s="1"/>
  <c r="BU84" i="88" s="1"/>
  <c r="AN84" i="88"/>
  <c r="X84" i="88"/>
  <c r="W84" i="88"/>
  <c r="BR84" i="88" s="1"/>
  <c r="K84" i="88"/>
  <c r="BT83" i="88"/>
  <c r="BQ83" i="88"/>
  <c r="BN83" i="88"/>
  <c r="BM83" i="88"/>
  <c r="BL83" i="88"/>
  <c r="BK83" i="88"/>
  <c r="BJ83" i="88"/>
  <c r="BI83" i="88"/>
  <c r="BH83" i="88"/>
  <c r="BG83" i="88"/>
  <c r="BO83" i="88" s="1"/>
  <c r="BF83" i="88"/>
  <c r="BE83" i="88"/>
  <c r="BD83" i="88"/>
  <c r="BC83" i="88"/>
  <c r="BB83" i="88"/>
  <c r="AO83" i="88"/>
  <c r="W83" i="88" s="1"/>
  <c r="AN83" i="88"/>
  <c r="K83" i="88"/>
  <c r="BQ82" i="88"/>
  <c r="BN82" i="88"/>
  <c r="BM82" i="88"/>
  <c r="BL82" i="88"/>
  <c r="BK82" i="88"/>
  <c r="BI82" i="88"/>
  <c r="BC82" i="88"/>
  <c r="AW82" i="88"/>
  <c r="BJ82" i="88" s="1"/>
  <c r="AV82" i="88"/>
  <c r="AU82" i="88"/>
  <c r="AT82" i="88"/>
  <c r="BG82" i="88" s="1"/>
  <c r="AS82" i="88"/>
  <c r="BF82" i="88" s="1"/>
  <c r="AR82" i="88"/>
  <c r="BE82" i="88" s="1"/>
  <c r="AQ82" i="88"/>
  <c r="BD82" i="88" s="1"/>
  <c r="AP82" i="88"/>
  <c r="BB82" i="88" s="1"/>
  <c r="AM82" i="88"/>
  <c r="AL82" i="88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O81" i="88" s="1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O80" i="88" s="1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O79" i="88" s="1"/>
  <c r="BB79" i="88"/>
  <c r="AO79" i="88"/>
  <c r="AN79" i="88"/>
  <c r="X79" i="88"/>
  <c r="W79" i="88"/>
  <c r="BR79" i="88" s="1"/>
  <c r="BS79" i="88" s="1"/>
  <c r="BU79" i="88" s="1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O77" i="88" s="1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G76" i="88"/>
  <c r="BF76" i="88"/>
  <c r="BE76" i="88"/>
  <c r="BD76" i="88"/>
  <c r="BB76" i="88"/>
  <c r="AU76" i="88"/>
  <c r="BH76" i="88" s="1"/>
  <c r="AT76" i="88"/>
  <c r="AS76" i="88"/>
  <c r="AR76" i="88"/>
  <c r="AQ76" i="88"/>
  <c r="AP76" i="88"/>
  <c r="BQ76" i="88" s="1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O75" i="88" s="1"/>
  <c r="BB75" i="88"/>
  <c r="AO75" i="88"/>
  <c r="AN75" i="88"/>
  <c r="X75" i="88"/>
  <c r="W75" i="88"/>
  <c r="BR75" i="88" s="1"/>
  <c r="BS75" i="88" s="1"/>
  <c r="BU75" i="88" s="1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O74" i="88" s="1"/>
  <c r="BC74" i="88"/>
  <c r="BB74" i="88"/>
  <c r="AO74" i="88"/>
  <c r="AN74" i="88"/>
  <c r="X74" i="88"/>
  <c r="W74" i="88"/>
  <c r="BR74" i="88" s="1"/>
  <c r="K74" i="88"/>
  <c r="BT73" i="88"/>
  <c r="BQ73" i="88"/>
  <c r="BN73" i="88"/>
  <c r="BM73" i="88"/>
  <c r="BL73" i="88"/>
  <c r="BK73" i="88"/>
  <c r="BJ73" i="88"/>
  <c r="BI73" i="88"/>
  <c r="BH73" i="88"/>
  <c r="BG73" i="88"/>
  <c r="BO73" i="88" s="1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O72" i="88" s="1"/>
  <c r="BB72" i="88"/>
  <c r="AO72" i="88"/>
  <c r="W72" i="88" s="1"/>
  <c r="AN72" i="88"/>
  <c r="K72" i="88"/>
  <c r="BT71" i="88"/>
  <c r="BQ71" i="88"/>
  <c r="BN71" i="88"/>
  <c r="BM71" i="88"/>
  <c r="BL71" i="88"/>
  <c r="BK71" i="88"/>
  <c r="BJ71" i="88"/>
  <c r="BI71" i="88"/>
  <c r="BH71" i="88"/>
  <c r="BG71" i="88"/>
  <c r="BF71" i="88"/>
  <c r="BE71" i="88"/>
  <c r="BD71" i="88"/>
  <c r="BC71" i="88"/>
  <c r="BO71" i="88" s="1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O70" i="88" s="1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O69" i="88" s="1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BG68" i="88" s="1"/>
  <c r="AS68" i="88"/>
  <c r="BF68" i="88" s="1"/>
  <c r="AR68" i="88"/>
  <c r="BE68" i="88" s="1"/>
  <c r="AQ68" i="88"/>
  <c r="BD68" i="88" s="1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O68" i="88" s="1"/>
  <c r="AF68" i="88"/>
  <c r="AE68" i="88"/>
  <c r="AD68" i="88"/>
  <c r="AC68" i="88"/>
  <c r="AB68" i="88"/>
  <c r="K68" i="88"/>
  <c r="BT67" i="88"/>
  <c r="BQ67" i="88"/>
  <c r="BN67" i="88"/>
  <c r="BM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AN66" i="88"/>
  <c r="W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O65" i="88" s="1"/>
  <c r="BD65" i="88"/>
  <c r="BC65" i="88"/>
  <c r="BB65" i="88"/>
  <c r="AO65" i="88"/>
  <c r="W65" i="88" s="1"/>
  <c r="BR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O64" i="88" s="1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O63" i="88" s="1"/>
  <c r="BB63" i="88"/>
  <c r="AO63" i="88"/>
  <c r="W63" i="88" s="1"/>
  <c r="BR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AN62" i="88"/>
  <c r="W62" i="88"/>
  <c r="K62" i="88"/>
  <c r="BT61" i="88"/>
  <c r="BN61" i="88"/>
  <c r="BM61" i="88"/>
  <c r="BH61" i="88"/>
  <c r="BG61" i="88"/>
  <c r="BF61" i="88"/>
  <c r="BE61" i="88"/>
  <c r="AZ61" i="88"/>
  <c r="AY61" i="88"/>
  <c r="BL61" i="88" s="1"/>
  <c r="AX61" i="88"/>
  <c r="BK61" i="88" s="1"/>
  <c r="AW61" i="88"/>
  <c r="BJ61" i="88" s="1"/>
  <c r="AV61" i="88"/>
  <c r="BI61" i="88" s="1"/>
  <c r="AU61" i="88"/>
  <c r="AT61" i="88"/>
  <c r="AS61" i="88"/>
  <c r="AR61" i="88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F60" i="88"/>
  <c r="BE60" i="88"/>
  <c r="BD60" i="88"/>
  <c r="BC60" i="88"/>
  <c r="BB60" i="88"/>
  <c r="AT60" i="88"/>
  <c r="AS60" i="88"/>
  <c r="AR60" i="88"/>
  <c r="AQ60" i="88"/>
  <c r="AP60" i="88"/>
  <c r="BQ60" i="88" s="1"/>
  <c r="AO60" i="88"/>
  <c r="W60" i="88" s="1"/>
  <c r="AN60" i="88"/>
  <c r="K60" i="88"/>
  <c r="BL59" i="88"/>
  <c r="BK59" i="88"/>
  <c r="BJ59" i="88"/>
  <c r="BI59" i="88"/>
  <c r="BD59" i="88"/>
  <c r="BC59" i="88"/>
  <c r="AT59" i="88"/>
  <c r="BG59" i="88" s="1"/>
  <c r="AS59" i="88"/>
  <c r="AR59" i="88"/>
  <c r="AQ59" i="88"/>
  <c r="AP59" i="88"/>
  <c r="AM59" i="88"/>
  <c r="BN59" i="88" s="1"/>
  <c r="AL59" i="88"/>
  <c r="BM59" i="88" s="1"/>
  <c r="AK59" i="88"/>
  <c r="AJ59" i="88"/>
  <c r="AI59" i="88"/>
  <c r="AH59" i="88"/>
  <c r="AG59" i="88"/>
  <c r="BH59" i="88" s="1"/>
  <c r="AF59" i="88"/>
  <c r="AE59" i="88"/>
  <c r="BF59" i="88" s="1"/>
  <c r="AD59" i="88"/>
  <c r="AC59" i="88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O58" i="88" s="1"/>
  <c r="BF58" i="88"/>
  <c r="BE58" i="88"/>
  <c r="BD58" i="88"/>
  <c r="BC58" i="88"/>
  <c r="BB58" i="88"/>
  <c r="AO58" i="88"/>
  <c r="AN58" i="88"/>
  <c r="Z58" i="88"/>
  <c r="Y58" i="88"/>
  <c r="X58" i="88"/>
  <c r="W58" i="88"/>
  <c r="BR58" i="88" s="1"/>
  <c r="K58" i="88"/>
  <c r="BT57" i="88"/>
  <c r="BQ57" i="88"/>
  <c r="BN57" i="88"/>
  <c r="BM57" i="88"/>
  <c r="BL57" i="88"/>
  <c r="BK57" i="88"/>
  <c r="BJ57" i="88"/>
  <c r="BI57" i="88"/>
  <c r="BH57" i="88"/>
  <c r="BG57" i="88"/>
  <c r="BO57" i="88" s="1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AN56" i="88"/>
  <c r="W56" i="88"/>
  <c r="Y56" i="88" s="1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O55" i="88" s="1"/>
  <c r="BB55" i="88"/>
  <c r="AO55" i="88"/>
  <c r="AN55" i="88"/>
  <c r="X55" i="88"/>
  <c r="W55" i="88"/>
  <c r="BR55" i="88" s="1"/>
  <c r="BS55" i="88" s="1"/>
  <c r="BU55" i="88" s="1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O54" i="88" s="1"/>
  <c r="BD54" i="88"/>
  <c r="BC54" i="88"/>
  <c r="BB54" i="88"/>
  <c r="AO54" i="88"/>
  <c r="AN54" i="88"/>
  <c r="Y54" i="88"/>
  <c r="X54" i="88"/>
  <c r="Z54" i="88" s="1"/>
  <c r="W54" i="88"/>
  <c r="BR54" i="88" s="1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O53" i="88" s="1"/>
  <c r="BE53" i="88"/>
  <c r="BD53" i="88"/>
  <c r="BC53" i="88"/>
  <c r="BB53" i="88"/>
  <c r="AO53" i="88"/>
  <c r="W53" i="88" s="1"/>
  <c r="X53" i="88" s="1"/>
  <c r="AN53" i="88"/>
  <c r="Y53" i="88"/>
  <c r="Z53" i="88" s="1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Q51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O50" i="88" s="1"/>
  <c r="BB50" i="88"/>
  <c r="AO50" i="88"/>
  <c r="AN50" i="88"/>
  <c r="W50" i="88"/>
  <c r="BR50" i="88" s="1"/>
  <c r="BS50" i="88" s="1"/>
  <c r="BU50" i="88" s="1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O49" i="88" s="1"/>
  <c r="BB49" i="88"/>
  <c r="AO49" i="88"/>
  <c r="AN49" i="88"/>
  <c r="W49" i="88"/>
  <c r="BR49" i="88" s="1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O48" i="88" s="1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H47" i="88"/>
  <c r="BG47" i="88"/>
  <c r="BF47" i="88"/>
  <c r="BE47" i="88"/>
  <c r="BO47" i="88" s="1"/>
  <c r="BD47" i="88"/>
  <c r="BC47" i="88"/>
  <c r="BB47" i="88"/>
  <c r="AO47" i="88"/>
  <c r="W47" i="88" s="1"/>
  <c r="AN47" i="88"/>
  <c r="AG47" i="88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O46" i="88" s="1"/>
  <c r="BB46" i="88"/>
  <c r="AO46" i="88"/>
  <c r="AN46" i="88"/>
  <c r="W46" i="88"/>
  <c r="BR46" i="88" s="1"/>
  <c r="BS46" i="88" s="1"/>
  <c r="BU46" i="88" s="1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O45" i="88" s="1"/>
  <c r="BD45" i="88"/>
  <c r="BC45" i="88"/>
  <c r="BB45" i="88"/>
  <c r="AO45" i="88"/>
  <c r="AN45" i="88"/>
  <c r="Y45" i="88"/>
  <c r="X45" i="88"/>
  <c r="Z45" i="88" s="1"/>
  <c r="W45" i="88"/>
  <c r="BR45" i="88" s="1"/>
  <c r="BS45" i="88" s="1"/>
  <c r="BU45" i="88" s="1"/>
  <c r="K45" i="88"/>
  <c r="BT44" i="88"/>
  <c r="BQ44" i="88"/>
  <c r="BM44" i="88"/>
  <c r="BL44" i="88"/>
  <c r="BK44" i="88"/>
  <c r="BJ44" i="88"/>
  <c r="BI44" i="88"/>
  <c r="BH44" i="88"/>
  <c r="BG44" i="88"/>
  <c r="BO44" i="88" s="1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AM43" i="88"/>
  <c r="AN43" i="88" s="1"/>
  <c r="W43" i="88"/>
  <c r="BR43" i="88" s="1"/>
  <c r="BS43" i="88" s="1"/>
  <c r="BU43" i="88" s="1"/>
  <c r="K43" i="88"/>
  <c r="BN42" i="88"/>
  <c r="BM42" i="88"/>
  <c r="AV42" i="88"/>
  <c r="BI42" i="88" s="1"/>
  <c r="AU42" i="88"/>
  <c r="BH42" i="88" s="1"/>
  <c r="AT42" i="88"/>
  <c r="BG42" i="88" s="1"/>
  <c r="AS42" i="88"/>
  <c r="BF42" i="88" s="1"/>
  <c r="AR42" i="88"/>
  <c r="BE42" i="88" s="1"/>
  <c r="AQ42" i="88"/>
  <c r="BD42" i="88" s="1"/>
  <c r="AP42" i="88"/>
  <c r="BC42" i="88" s="1"/>
  <c r="AM42" i="88"/>
  <c r="AL42" i="88"/>
  <c r="AK42" i="88"/>
  <c r="BL42" i="88" s="1"/>
  <c r="AJ42" i="88"/>
  <c r="BK42" i="88" s="1"/>
  <c r="AI42" i="88"/>
  <c r="BJ42" i="88" s="1"/>
  <c r="AH42" i="88"/>
  <c r="AG42" i="88"/>
  <c r="AO42" i="88" s="1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BE41" i="88"/>
  <c r="BD41" i="88"/>
  <c r="BC41" i="88"/>
  <c r="BO41" i="88" s="1"/>
  <c r="BB41" i="88"/>
  <c r="AU41" i="88"/>
  <c r="BH41" i="88" s="1"/>
  <c r="AT41" i="88"/>
  <c r="AS41" i="88"/>
  <c r="BF41" i="88" s="1"/>
  <c r="AR41" i="88"/>
  <c r="AQ41" i="88"/>
  <c r="AP41" i="88"/>
  <c r="BQ41" i="88" s="1"/>
  <c r="AO41" i="88"/>
  <c r="W41" i="88" s="1"/>
  <c r="AN41" i="88"/>
  <c r="AM41" i="88"/>
  <c r="BN41" i="88" s="1"/>
  <c r="K41" i="88"/>
  <c r="BT40" i="88"/>
  <c r="BQ40" i="88"/>
  <c r="BN40" i="88"/>
  <c r="BM40" i="88"/>
  <c r="BL40" i="88"/>
  <c r="BK40" i="88"/>
  <c r="BJ40" i="88"/>
  <c r="BI40" i="88"/>
  <c r="BH40" i="88"/>
  <c r="BE40" i="88"/>
  <c r="BD40" i="88"/>
  <c r="BC40" i="88"/>
  <c r="BB40" i="88"/>
  <c r="AO40" i="88"/>
  <c r="AM40" i="88"/>
  <c r="AF40" i="88"/>
  <c r="BG40" i="88" s="1"/>
  <c r="AE40" i="88"/>
  <c r="AN40" i="88" s="1"/>
  <c r="Y40" i="88"/>
  <c r="Z40" i="88" s="1"/>
  <c r="X40" i="88"/>
  <c r="W40" i="88"/>
  <c r="BR40" i="88" s="1"/>
  <c r="BS40" i="88" s="1"/>
  <c r="BU40" i="88" s="1"/>
  <c r="K40" i="88"/>
  <c r="BH39" i="88"/>
  <c r="BD39" i="88"/>
  <c r="BC39" i="88"/>
  <c r="BA39" i="88"/>
  <c r="BN39" i="88" s="1"/>
  <c r="AZ39" i="88"/>
  <c r="BM39" i="88" s="1"/>
  <c r="AY39" i="88"/>
  <c r="BL39" i="88" s="1"/>
  <c r="AX39" i="88"/>
  <c r="BK39" i="88" s="1"/>
  <c r="AW39" i="88"/>
  <c r="AV39" i="88"/>
  <c r="AU39" i="88"/>
  <c r="AT39" i="88"/>
  <c r="BG39" i="88" s="1"/>
  <c r="AS39" i="88"/>
  <c r="BF39" i="88" s="1"/>
  <c r="AR39" i="88"/>
  <c r="BE39" i="88" s="1"/>
  <c r="AM39" i="88"/>
  <c r="AL39" i="88"/>
  <c r="AK39" i="88"/>
  <c r="AJ39" i="88"/>
  <c r="AI39" i="88"/>
  <c r="BJ39" i="88" s="1"/>
  <c r="AH39" i="88"/>
  <c r="BI39" i="88" s="1"/>
  <c r="AG39" i="88"/>
  <c r="AO39" i="88" s="1"/>
  <c r="AF39" i="88"/>
  <c r="AE39" i="88"/>
  <c r="AN39" i="88" s="1"/>
  <c r="AD39" i="88"/>
  <c r="K39" i="88"/>
  <c r="BH38" i="88"/>
  <c r="BG38" i="88"/>
  <c r="BF38" i="88"/>
  <c r="AU38" i="88"/>
  <c r="AV38" i="88" s="1"/>
  <c r="AT38" i="88"/>
  <c r="AS38" i="88"/>
  <c r="AR38" i="88"/>
  <c r="BE38" i="88" s="1"/>
  <c r="AQ38" i="88"/>
  <c r="BD38" i="88" s="1"/>
  <c r="AP38" i="88"/>
  <c r="BC38" i="88" s="1"/>
  <c r="AH38" i="88"/>
  <c r="AI38" i="88" s="1"/>
  <c r="AJ38" i="88" s="1"/>
  <c r="AK38" i="88" s="1"/>
  <c r="AL38" i="88" s="1"/>
  <c r="AM38" i="88" s="1"/>
  <c r="AG38" i="88"/>
  <c r="AO38" i="88" s="1"/>
  <c r="AF38" i="88"/>
  <c r="AE38" i="88"/>
  <c r="AD38" i="88"/>
  <c r="AC38" i="88"/>
  <c r="AB38" i="88"/>
  <c r="AN38" i="88" s="1"/>
  <c r="K38" i="88"/>
  <c r="BJ37" i="88"/>
  <c r="BI37" i="88"/>
  <c r="AU37" i="88"/>
  <c r="BH37" i="88" s="1"/>
  <c r="AT37" i="88"/>
  <c r="BG37" i="88" s="1"/>
  <c r="AS37" i="88"/>
  <c r="BF37" i="88" s="1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AG37" i="88"/>
  <c r="AO37" i="88" s="1"/>
  <c r="AF37" i="88"/>
  <c r="AE37" i="88"/>
  <c r="AD37" i="88"/>
  <c r="BE37" i="88" s="1"/>
  <c r="AC37" i="88"/>
  <c r="AB37" i="88"/>
  <c r="BT37" i="88" s="1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BO36" i="88" s="1"/>
  <c r="AO36" i="88"/>
  <c r="AN36" i="88"/>
  <c r="K36" i="88"/>
  <c r="BT35" i="88"/>
  <c r="BI35" i="88"/>
  <c r="BH35" i="88"/>
  <c r="BG35" i="88"/>
  <c r="BA35" i="88"/>
  <c r="AZ35" i="88"/>
  <c r="AY35" i="88"/>
  <c r="AX35" i="88"/>
  <c r="BK35" i="88" s="1"/>
  <c r="AW35" i="88"/>
  <c r="BJ35" i="88" s="1"/>
  <c r="AV35" i="88"/>
  <c r="AU35" i="88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W35" i="88"/>
  <c r="Y35" i="88" s="1"/>
  <c r="K35" i="88"/>
  <c r="BT34" i="88"/>
  <c r="BN34" i="88"/>
  <c r="BM34" i="88"/>
  <c r="BL34" i="88"/>
  <c r="BK34" i="88"/>
  <c r="BJ34" i="88"/>
  <c r="BI34" i="88"/>
  <c r="BH34" i="88"/>
  <c r="BG34" i="88"/>
  <c r="BF34" i="88"/>
  <c r="AU34" i="88"/>
  <c r="AT34" i="88"/>
  <c r="AS34" i="88"/>
  <c r="AR34" i="88"/>
  <c r="BE34" i="88" s="1"/>
  <c r="AQ34" i="88"/>
  <c r="BD34" i="88" s="1"/>
  <c r="AP34" i="88"/>
  <c r="BC34" i="88" s="1"/>
  <c r="AO34" i="88"/>
  <c r="AN34" i="88"/>
  <c r="AK34" i="88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O33" i="88" s="1"/>
  <c r="BE33" i="88"/>
  <c r="BD33" i="88"/>
  <c r="BC33" i="88"/>
  <c r="BB33" i="88"/>
  <c r="AO33" i="88"/>
  <c r="AN33" i="88"/>
  <c r="Y33" i="88"/>
  <c r="W33" i="88"/>
  <c r="X33" i="88" s="1"/>
  <c r="Z33" i="88" s="1"/>
  <c r="K33" i="88"/>
  <c r="BQ32" i="88"/>
  <c r="BK32" i="88"/>
  <c r="BJ32" i="88"/>
  <c r="BI32" i="88"/>
  <c r="BE32" i="88"/>
  <c r="BD32" i="88"/>
  <c r="BB32" i="88"/>
  <c r="AM32" i="88"/>
  <c r="BN32" i="88" s="1"/>
  <c r="AL32" i="88"/>
  <c r="BM32" i="88" s="1"/>
  <c r="AK32" i="88"/>
  <c r="BL32" i="88" s="1"/>
  <c r="AJ32" i="88"/>
  <c r="AI32" i="88"/>
  <c r="AH32" i="88"/>
  <c r="AG32" i="88"/>
  <c r="AO32" i="88" s="1"/>
  <c r="AF32" i="88"/>
  <c r="BG32" i="88" s="1"/>
  <c r="AE32" i="88"/>
  <c r="BF32" i="88" s="1"/>
  <c r="AB32" i="88"/>
  <c r="BT32" i="88" s="1"/>
  <c r="K32" i="88"/>
  <c r="BQ31" i="88"/>
  <c r="BN31" i="88"/>
  <c r="BM31" i="88"/>
  <c r="BG31" i="88"/>
  <c r="BF31" i="88"/>
  <c r="BE31" i="88"/>
  <c r="BB31" i="88"/>
  <c r="AM31" i="88"/>
  <c r="AL31" i="88"/>
  <c r="AK31" i="88"/>
  <c r="BL31" i="88" s="1"/>
  <c r="AJ31" i="88"/>
  <c r="BK31" i="88" s="1"/>
  <c r="AI31" i="88"/>
  <c r="BJ31" i="88" s="1"/>
  <c r="AH31" i="88"/>
  <c r="BI31" i="88" s="1"/>
  <c r="AG31" i="88"/>
  <c r="AO31" i="88" s="1"/>
  <c r="AF31" i="88"/>
  <c r="AE31" i="88"/>
  <c r="AD31" i="88"/>
  <c r="AC31" i="88"/>
  <c r="BD31" i="88" s="1"/>
  <c r="AB31" i="88"/>
  <c r="BT31" i="88" s="1"/>
  <c r="K31" i="88"/>
  <c r="BT30" i="88"/>
  <c r="BQ30" i="88"/>
  <c r="BM30" i="88"/>
  <c r="BL30" i="88"/>
  <c r="BK30" i="88"/>
  <c r="BH30" i="88"/>
  <c r="BE30" i="88"/>
  <c r="BD30" i="88"/>
  <c r="BC30" i="88"/>
  <c r="BB30" i="88"/>
  <c r="AM30" i="88"/>
  <c r="BN30" i="88" s="1"/>
  <c r="AL30" i="88"/>
  <c r="AK30" i="88"/>
  <c r="AJ30" i="88"/>
  <c r="AI30" i="88"/>
  <c r="BJ30" i="88" s="1"/>
  <c r="AH30" i="88"/>
  <c r="BI30" i="88" s="1"/>
  <c r="AG30" i="88"/>
  <c r="AO30" i="88" s="1"/>
  <c r="AF30" i="88"/>
  <c r="BG30" i="88" s="1"/>
  <c r="AE30" i="88"/>
  <c r="BF30" i="88" s="1"/>
  <c r="AD30" i="88"/>
  <c r="AC30" i="88"/>
  <c r="AB30" i="88"/>
  <c r="AN30" i="88" s="1"/>
  <c r="K30" i="88"/>
  <c r="BM29" i="88"/>
  <c r="BI29" i="88"/>
  <c r="BH29" i="88"/>
  <c r="BE29" i="88"/>
  <c r="AQ29" i="88"/>
  <c r="BD29" i="88" s="1"/>
  <c r="AP29" i="88"/>
  <c r="BC29" i="88" s="1"/>
  <c r="AM29" i="88"/>
  <c r="BN29" i="88" s="1"/>
  <c r="AL29" i="88"/>
  <c r="AK29" i="88"/>
  <c r="BL29" i="88" s="1"/>
  <c r="AJ29" i="88"/>
  <c r="BK29" i="88" s="1"/>
  <c r="AI29" i="88"/>
  <c r="BJ29" i="88" s="1"/>
  <c r="AH29" i="88"/>
  <c r="AG29" i="88"/>
  <c r="AO29" i="88" s="1"/>
  <c r="AF29" i="88"/>
  <c r="BG29" i="88" s="1"/>
  <c r="AE29" i="88"/>
  <c r="BF29" i="88" s="1"/>
  <c r="AD29" i="88"/>
  <c r="AC29" i="88"/>
  <c r="AB29" i="88"/>
  <c r="AN29" i="88" s="1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N28" i="88"/>
  <c r="AC28" i="88"/>
  <c r="BD28" i="88" s="1"/>
  <c r="AB28" i="88"/>
  <c r="BT28" i="88" s="1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O27" i="88" s="1"/>
  <c r="BB27" i="88"/>
  <c r="AO27" i="88"/>
  <c r="AN27" i="88"/>
  <c r="X27" i="88"/>
  <c r="W27" i="88"/>
  <c r="BR27" i="88" s="1"/>
  <c r="K27" i="88"/>
  <c r="BN26" i="88"/>
  <c r="BK26" i="88"/>
  <c r="BF26" i="88"/>
  <c r="BC26" i="88"/>
  <c r="AT26" i="88"/>
  <c r="AS26" i="88"/>
  <c r="BB26" i="88" s="1"/>
  <c r="AM26" i="88"/>
  <c r="AL26" i="88"/>
  <c r="BM26" i="88" s="1"/>
  <c r="AK26" i="88"/>
  <c r="BL26" i="88" s="1"/>
  <c r="AJ26" i="88"/>
  <c r="AI26" i="88"/>
  <c r="BJ26" i="88" s="1"/>
  <c r="AH26" i="88"/>
  <c r="BI26" i="88" s="1"/>
  <c r="AG26" i="88"/>
  <c r="BH26" i="88" s="1"/>
  <c r="AF26" i="88"/>
  <c r="BG26" i="88" s="1"/>
  <c r="AE26" i="88"/>
  <c r="AD26" i="88"/>
  <c r="BE26" i="88" s="1"/>
  <c r="AC26" i="88"/>
  <c r="BD26" i="88" s="1"/>
  <c r="BO26" i="88" s="1"/>
  <c r="AB26" i="88"/>
  <c r="K26" i="88"/>
  <c r="BQ25" i="88"/>
  <c r="BL25" i="88"/>
  <c r="BI25" i="88"/>
  <c r="BH25" i="88"/>
  <c r="BG25" i="88"/>
  <c r="BD25" i="88"/>
  <c r="BB25" i="88"/>
  <c r="AM25" i="88"/>
  <c r="BN25" i="88" s="1"/>
  <c r="AL25" i="88"/>
  <c r="BM25" i="88" s="1"/>
  <c r="AK25" i="88"/>
  <c r="AJ25" i="88"/>
  <c r="BK25" i="88" s="1"/>
  <c r="AI25" i="88"/>
  <c r="BJ25" i="88" s="1"/>
  <c r="AH25" i="88"/>
  <c r="AG25" i="88"/>
  <c r="AO25" i="88" s="1"/>
  <c r="AF25" i="88"/>
  <c r="AE25" i="88"/>
  <c r="BF25" i="88" s="1"/>
  <c r="AD25" i="88"/>
  <c r="BE25" i="88" s="1"/>
  <c r="AC25" i="88"/>
  <c r="AB25" i="88"/>
  <c r="K25" i="88"/>
  <c r="BT24" i="88"/>
  <c r="BM24" i="88"/>
  <c r="BL24" i="88"/>
  <c r="BJ24" i="88"/>
  <c r="BI24" i="88"/>
  <c r="BF24" i="88"/>
  <c r="BE24" i="88"/>
  <c r="BD24" i="88"/>
  <c r="BC24" i="88"/>
  <c r="AT24" i="88"/>
  <c r="BB24" i="88" s="1"/>
  <c r="AS24" i="88"/>
  <c r="AR24" i="88"/>
  <c r="BQ24" i="88" s="1"/>
  <c r="AM24" i="88"/>
  <c r="BN24" i="88" s="1"/>
  <c r="AL24" i="88"/>
  <c r="AK24" i="88"/>
  <c r="AJ24" i="88"/>
  <c r="BK24" i="88" s="1"/>
  <c r="AI24" i="88"/>
  <c r="AH24" i="88"/>
  <c r="AG24" i="88"/>
  <c r="BH24" i="88" s="1"/>
  <c r="V24" i="88"/>
  <c r="V151" i="88" s="1"/>
  <c r="K24" i="88"/>
  <c r="BQ23" i="88"/>
  <c r="BN23" i="88"/>
  <c r="BL23" i="88"/>
  <c r="BK23" i="88"/>
  <c r="BJ23" i="88"/>
  <c r="BI23" i="88"/>
  <c r="BG23" i="88"/>
  <c r="BD23" i="88"/>
  <c r="BC23" i="88"/>
  <c r="BB23" i="88"/>
  <c r="AM23" i="88"/>
  <c r="AL23" i="88"/>
  <c r="BM23" i="88" s="1"/>
  <c r="AK23" i="88"/>
  <c r="AJ23" i="88"/>
  <c r="AI23" i="88"/>
  <c r="AH23" i="88"/>
  <c r="AO23" i="88" s="1"/>
  <c r="AG23" i="88"/>
  <c r="BH23" i="88" s="1"/>
  <c r="AF23" i="88"/>
  <c r="AE23" i="88"/>
  <c r="BF23" i="88" s="1"/>
  <c r="AD23" i="88"/>
  <c r="AC23" i="88"/>
  <c r="AB23" i="88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O21" i="88" s="1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O19" i="88" s="1"/>
  <c r="BF19" i="88"/>
  <c r="BE19" i="88"/>
  <c r="BD19" i="88"/>
  <c r="BC19" i="88"/>
  <c r="BB19" i="88"/>
  <c r="AO19" i="88"/>
  <c r="AN19" i="88"/>
  <c r="W19" i="88"/>
  <c r="Y19" i="88" s="1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O18" i="88" s="1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O17" i="88" s="1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O16" i="88" s="1"/>
  <c r="BB16" i="88"/>
  <c r="AO16" i="88"/>
  <c r="AN16" i="88"/>
  <c r="W16" i="88"/>
  <c r="BR16" i="88" s="1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O15" i="88" s="1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O14" i="88" s="1"/>
  <c r="BF14" i="88"/>
  <c r="BE14" i="88"/>
  <c r="BD14" i="88"/>
  <c r="BC14" i="88"/>
  <c r="BB14" i="88"/>
  <c r="AO14" i="88"/>
  <c r="AN14" i="88"/>
  <c r="W14" i="88"/>
  <c r="Y14" i="88" s="1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O13" i="88" s="1"/>
  <c r="BB13" i="88"/>
  <c r="AO13" i="88"/>
  <c r="W13" i="88" s="1"/>
  <c r="AN13" i="88"/>
  <c r="K13" i="88"/>
  <c r="BQ12" i="88"/>
  <c r="BM12" i="88"/>
  <c r="BL12" i="88"/>
  <c r="BI12" i="88"/>
  <c r="BH12" i="88"/>
  <c r="BE12" i="88"/>
  <c r="BD12" i="88"/>
  <c r="BB12" i="88"/>
  <c r="AM12" i="88"/>
  <c r="BN12" i="88" s="1"/>
  <c r="AL12" i="88"/>
  <c r="AK12" i="88"/>
  <c r="AJ12" i="88"/>
  <c r="BK12" i="88" s="1"/>
  <c r="AI12" i="88"/>
  <c r="BJ12" i="88" s="1"/>
  <c r="AH12" i="88"/>
  <c r="AG12" i="88"/>
  <c r="AO12" i="88" s="1"/>
  <c r="AF12" i="88"/>
  <c r="BG12" i="88" s="1"/>
  <c r="AE12" i="88"/>
  <c r="BF12" i="88" s="1"/>
  <c r="AD12" i="88"/>
  <c r="AC12" i="88"/>
  <c r="AB12" i="88"/>
  <c r="AN12" i="88" s="1"/>
  <c r="K12" i="88"/>
  <c r="BT11" i="88"/>
  <c r="BN11" i="88"/>
  <c r="BM11" i="88"/>
  <c r="BL11" i="88"/>
  <c r="BK11" i="88"/>
  <c r="BJ11" i="88"/>
  <c r="BI11" i="88"/>
  <c r="BG11" i="88"/>
  <c r="BF11" i="88"/>
  <c r="BE11" i="88"/>
  <c r="BD11" i="88"/>
  <c r="BB11" i="88"/>
  <c r="AU11" i="88"/>
  <c r="AU151" i="88" s="1"/>
  <c r="AT11" i="88"/>
  <c r="AS11" i="88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O10" i="88" s="1"/>
  <c r="BB10" i="88"/>
  <c r="AO10" i="88"/>
  <c r="W10" i="88" s="1"/>
  <c r="AN10" i="88"/>
  <c r="K10" i="88"/>
  <c r="BT9" i="88"/>
  <c r="BQ9" i="88"/>
  <c r="BN9" i="88"/>
  <c r="BL9" i="88"/>
  <c r="BK9" i="88"/>
  <c r="BJ9" i="88"/>
  <c r="BG9" i="88"/>
  <c r="BF9" i="88"/>
  <c r="BD9" i="88"/>
  <c r="BC9" i="88"/>
  <c r="BB9" i="88"/>
  <c r="AL9" i="88"/>
  <c r="BM9" i="88" s="1"/>
  <c r="AK9" i="88"/>
  <c r="AJ9" i="88"/>
  <c r="AI9" i="88"/>
  <c r="AH9" i="88"/>
  <c r="BI9" i="88" s="1"/>
  <c r="AG9" i="88"/>
  <c r="AO9" i="88" s="1"/>
  <c r="AF9" i="88"/>
  <c r="AE9" i="88"/>
  <c r="AD9" i="88"/>
  <c r="BE9" i="88" s="1"/>
  <c r="AC9" i="88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O8" i="88" s="1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O7" i="88" s="1"/>
  <c r="BB7" i="88"/>
  <c r="AO7" i="88"/>
  <c r="AN7" i="88"/>
  <c r="W7" i="88"/>
  <c r="BR7" i="88" s="1"/>
  <c r="BS7" i="88" s="1"/>
  <c r="BU7" i="88" s="1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O6" i="88" s="1"/>
  <c r="BC6" i="88"/>
  <c r="BB6" i="88"/>
  <c r="AO6" i="88"/>
  <c r="AN6" i="88"/>
  <c r="W6" i="88"/>
  <c r="BR6" i="88" s="1"/>
  <c r="K6" i="88"/>
  <c r="BT5" i="88"/>
  <c r="BQ5" i="88"/>
  <c r="BN5" i="88"/>
  <c r="BM5" i="88"/>
  <c r="BL5" i="88"/>
  <c r="BK5" i="88"/>
  <c r="BJ5" i="88"/>
  <c r="BI5" i="88"/>
  <c r="BH5" i="88"/>
  <c r="BG5" i="88"/>
  <c r="BF5" i="88"/>
  <c r="BO5" i="88" s="1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O4" i="88" s="1"/>
  <c r="BB4" i="88"/>
  <c r="AO4" i="88"/>
  <c r="AM4" i="88"/>
  <c r="AN4" i="88" s="1"/>
  <c r="K4" i="88"/>
  <c r="BN3" i="88"/>
  <c r="BM3" i="88"/>
  <c r="BL3" i="88"/>
  <c r="BF3" i="88"/>
  <c r="BE3" i="88"/>
  <c r="BD3" i="88"/>
  <c r="AT3" i="88"/>
  <c r="BG3" i="88" s="1"/>
  <c r="AS3" i="88"/>
  <c r="AR3" i="88"/>
  <c r="AQ3" i="88"/>
  <c r="AP3" i="88"/>
  <c r="BC3" i="88" s="1"/>
  <c r="AM3" i="88"/>
  <c r="AL3" i="88"/>
  <c r="AK3" i="88"/>
  <c r="AJ3" i="88"/>
  <c r="BK3" i="88" s="1"/>
  <c r="AI3" i="88"/>
  <c r="BJ3" i="88" s="1"/>
  <c r="AH3" i="88"/>
  <c r="BI3" i="88" s="1"/>
  <c r="AG3" i="88"/>
  <c r="AO3" i="88" s="1"/>
  <c r="AF3" i="88"/>
  <c r="AE3" i="88"/>
  <c r="AD3" i="88"/>
  <c r="AC3" i="88"/>
  <c r="AB3" i="88"/>
  <c r="BT3" i="88" s="1"/>
  <c r="K3" i="88"/>
  <c r="BJ2" i="88"/>
  <c r="BI2" i="88"/>
  <c r="BH2" i="88"/>
  <c r="BG2" i="88"/>
  <c r="AT2" i="88"/>
  <c r="AT151" i="88" s="1"/>
  <c r="AS2" i="88"/>
  <c r="AS151" i="88" s="1"/>
  <c r="AR2" i="88"/>
  <c r="AR151" i="88" s="1"/>
  <c r="AQ2" i="88"/>
  <c r="AP2" i="88"/>
  <c r="AM2" i="88"/>
  <c r="AL2" i="88"/>
  <c r="AK2" i="88"/>
  <c r="AK151" i="88" s="1"/>
  <c r="AJ2" i="88"/>
  <c r="AJ151" i="88" s="1"/>
  <c r="AI2" i="88"/>
  <c r="AH2" i="88"/>
  <c r="AG2" i="88"/>
  <c r="AF2" i="88"/>
  <c r="AF151" i="88" s="1"/>
  <c r="AE2" i="88"/>
  <c r="AE151" i="88" s="1"/>
  <c r="AD2" i="88"/>
  <c r="AD151" i="88" s="1"/>
  <c r="AC2" i="88"/>
  <c r="AC151" i="88" s="1"/>
  <c r="AB2" i="88"/>
  <c r="AB151" i="88" s="1"/>
  <c r="K2" i="88"/>
  <c r="AR119" i="3"/>
  <c r="AR121" i="3"/>
  <c r="U150" i="3"/>
  <c r="AA150" i="3"/>
  <c r="AP150" i="3"/>
  <c r="AQ150" i="3"/>
  <c r="AR150" i="3"/>
  <c r="AS150" i="3"/>
  <c r="AT150" i="3"/>
  <c r="BP150" i="3"/>
  <c r="T150" i="3"/>
  <c r="F13" i="83"/>
  <c r="BR15" i="88" l="1"/>
  <c r="BS15" i="88" s="1"/>
  <c r="Y15" i="88"/>
  <c r="X15" i="88"/>
  <c r="Z15" i="88" s="1"/>
  <c r="W12" i="88"/>
  <c r="W11" i="88"/>
  <c r="Y13" i="88"/>
  <c r="X13" i="88"/>
  <c r="Z13" i="88" s="1"/>
  <c r="BR13" i="88"/>
  <c r="BS16" i="88"/>
  <c r="BU16" i="88" s="1"/>
  <c r="Y10" i="88"/>
  <c r="X10" i="88"/>
  <c r="BR10" i="88"/>
  <c r="Y17" i="88"/>
  <c r="X17" i="88"/>
  <c r="Z17" i="88" s="1"/>
  <c r="BR17" i="88"/>
  <c r="BS17" i="88" s="1"/>
  <c r="BU17" i="88" s="1"/>
  <c r="W23" i="88"/>
  <c r="W3" i="88"/>
  <c r="BS6" i="88"/>
  <c r="BU6" i="88" s="1"/>
  <c r="BS14" i="88"/>
  <c r="BU14" i="88" s="1"/>
  <c r="BU15" i="88"/>
  <c r="Y21" i="88"/>
  <c r="X21" i="88"/>
  <c r="Z21" i="88" s="1"/>
  <c r="BR21" i="88"/>
  <c r="BS21" i="88" s="1"/>
  <c r="BU21" i="88" s="1"/>
  <c r="W5" i="88"/>
  <c r="X20" i="88"/>
  <c r="Z20" i="88" s="1"/>
  <c r="BR20" i="88"/>
  <c r="Y20" i="88"/>
  <c r="W9" i="88"/>
  <c r="BC12" i="88"/>
  <c r="BO12" i="88" s="1"/>
  <c r="BT12" i="88"/>
  <c r="W25" i="88"/>
  <c r="W32" i="88"/>
  <c r="W37" i="88"/>
  <c r="BR41" i="88"/>
  <c r="Y41" i="88"/>
  <c r="X41" i="88"/>
  <c r="Z41" i="88" s="1"/>
  <c r="W42" i="88"/>
  <c r="X52" i="88"/>
  <c r="Z52" i="88" s="1"/>
  <c r="BR52" i="88"/>
  <c r="Y52" i="88"/>
  <c r="AN8" i="88"/>
  <c r="BS13" i="88"/>
  <c r="BU13" i="88" s="1"/>
  <c r="BR18" i="88"/>
  <c r="BS18" i="88" s="1"/>
  <c r="BU18" i="88" s="1"/>
  <c r="BT22" i="88"/>
  <c r="BC22" i="88"/>
  <c r="BO22" i="88" s="1"/>
  <c r="AN23" i="88"/>
  <c r="BE23" i="88"/>
  <c r="BT23" i="88"/>
  <c r="BU41" i="88"/>
  <c r="BQ2" i="88"/>
  <c r="X6" i="88"/>
  <c r="W4" i="88"/>
  <c r="AN5" i="88"/>
  <c r="Y6" i="88"/>
  <c r="AO8" i="88"/>
  <c r="BS10" i="88"/>
  <c r="BU10" i="88" s="1"/>
  <c r="BC11" i="88"/>
  <c r="BR14" i="88"/>
  <c r="X16" i="88"/>
  <c r="BR19" i="88"/>
  <c r="BS19" i="88" s="1"/>
  <c r="BU19" i="88" s="1"/>
  <c r="AN22" i="88"/>
  <c r="BS49" i="88"/>
  <c r="BU49" i="88" s="1"/>
  <c r="BB2" i="88"/>
  <c r="X7" i="88"/>
  <c r="AN11" i="88"/>
  <c r="Y16" i="88"/>
  <c r="BS20" i="88"/>
  <c r="BU20" i="88" s="1"/>
  <c r="W22" i="88"/>
  <c r="BT25" i="88"/>
  <c r="BO29" i="88"/>
  <c r="BO39" i="88"/>
  <c r="AN2" i="88"/>
  <c r="BC2" i="88"/>
  <c r="BK2" i="88"/>
  <c r="BT2" i="88"/>
  <c r="BH3" i="88"/>
  <c r="BH151" i="88" s="1"/>
  <c r="BQ3" i="88"/>
  <c r="Y7" i="88"/>
  <c r="AN24" i="88"/>
  <c r="W29" i="88"/>
  <c r="AW38" i="88"/>
  <c r="BI38" i="88"/>
  <c r="BI151" i="88" s="1"/>
  <c r="W39" i="88"/>
  <c r="AG151" i="88"/>
  <c r="BL2" i="88"/>
  <c r="X18" i="88"/>
  <c r="Z18" i="88" s="1"/>
  <c r="BO20" i="88"/>
  <c r="BO23" i="88"/>
  <c r="BS27" i="88"/>
  <c r="BU27" i="88" s="1"/>
  <c r="W38" i="88"/>
  <c r="Y47" i="88"/>
  <c r="X47" i="88"/>
  <c r="BR47" i="88"/>
  <c r="BD2" i="88"/>
  <c r="AP151" i="88"/>
  <c r="BE2" i="88"/>
  <c r="BM2" i="88"/>
  <c r="BB3" i="88"/>
  <c r="BH9" i="88"/>
  <c r="BO9" i="88" s="1"/>
  <c r="X14" i="88"/>
  <c r="Z14" i="88" s="1"/>
  <c r="X19" i="88"/>
  <c r="Z19" i="88" s="1"/>
  <c r="W31" i="88"/>
  <c r="BO34" i="88"/>
  <c r="AO2" i="88"/>
  <c r="AH151" i="88"/>
  <c r="AI151" i="88"/>
  <c r="AQ151" i="88"/>
  <c r="BF2" i="88"/>
  <c r="BN2" i="88"/>
  <c r="AN3" i="88"/>
  <c r="BH11" i="88"/>
  <c r="W30" i="88"/>
  <c r="BO30" i="88"/>
  <c r="BO42" i="88"/>
  <c r="X48" i="88"/>
  <c r="Z48" i="88" s="1"/>
  <c r="BR48" i="88"/>
  <c r="Y48" i="88"/>
  <c r="AN26" i="88"/>
  <c r="BQ29" i="88"/>
  <c r="AN32" i="88"/>
  <c r="BH32" i="88"/>
  <c r="W34" i="88"/>
  <c r="BQ37" i="88"/>
  <c r="BQ39" i="88"/>
  <c r="BS41" i="88"/>
  <c r="BG51" i="88"/>
  <c r="BO51" i="88" s="1"/>
  <c r="W67" i="88"/>
  <c r="W68" i="88"/>
  <c r="W78" i="88"/>
  <c r="Y86" i="88"/>
  <c r="X86" i="88"/>
  <c r="BR86" i="88"/>
  <c r="BS86" i="88" s="1"/>
  <c r="BU86" i="88" s="1"/>
  <c r="AO26" i="88"/>
  <c r="BQ35" i="88"/>
  <c r="AN44" i="88"/>
  <c r="X49" i="88"/>
  <c r="AN51" i="88"/>
  <c r="X73" i="88"/>
  <c r="BR73" i="88"/>
  <c r="Y73" i="88"/>
  <c r="W87" i="88"/>
  <c r="AO24" i="88"/>
  <c r="AN25" i="88"/>
  <c r="BQ26" i="88"/>
  <c r="Y27" i="88"/>
  <c r="Z27" i="88" s="1"/>
  <c r="W28" i="88"/>
  <c r="BB29" i="88"/>
  <c r="X35" i="88"/>
  <c r="Z35" i="88" s="1"/>
  <c r="BR35" i="88"/>
  <c r="BS35" i="88" s="1"/>
  <c r="AN37" i="88"/>
  <c r="BB37" i="88"/>
  <c r="BQ38" i="88"/>
  <c r="BB39" i="88"/>
  <c r="X43" i="88"/>
  <c r="AO44" i="88"/>
  <c r="X46" i="88"/>
  <c r="BS47" i="88"/>
  <c r="BU47" i="88" s="1"/>
  <c r="Y49" i="88"/>
  <c r="W51" i="88"/>
  <c r="Y55" i="88"/>
  <c r="Z55" i="88" s="1"/>
  <c r="X56" i="88"/>
  <c r="Z56" i="88" s="1"/>
  <c r="BE59" i="88"/>
  <c r="BT59" i="88"/>
  <c r="BR62" i="88"/>
  <c r="Y62" i="88"/>
  <c r="X62" i="88"/>
  <c r="BR66" i="88"/>
  <c r="Y66" i="88"/>
  <c r="X66" i="88"/>
  <c r="Z66" i="88" s="1"/>
  <c r="BO67" i="88"/>
  <c r="Y69" i="88"/>
  <c r="X69" i="88"/>
  <c r="Z69" i="88" s="1"/>
  <c r="BR69" i="88"/>
  <c r="BS69" i="88" s="1"/>
  <c r="BU69" i="88" s="1"/>
  <c r="BG24" i="88"/>
  <c r="BO24" i="88" s="1"/>
  <c r="BC28" i="88"/>
  <c r="BO28" i="88" s="1"/>
  <c r="BT29" i="88"/>
  <c r="BC32" i="88"/>
  <c r="BO32" i="88" s="1"/>
  <c r="BR33" i="88"/>
  <c r="BS33" i="88" s="1"/>
  <c r="BU33" i="88" s="1"/>
  <c r="BQ34" i="88"/>
  <c r="BB35" i="88"/>
  <c r="BC37" i="88"/>
  <c r="BO37" i="88" s="1"/>
  <c r="BT39" i="88"/>
  <c r="BF40" i="88"/>
  <c r="BO40" i="88" s="1"/>
  <c r="BQ42" i="88"/>
  <c r="Y43" i="88"/>
  <c r="Y46" i="88"/>
  <c r="X50" i="88"/>
  <c r="BS52" i="88"/>
  <c r="BU52" i="88" s="1"/>
  <c r="BR53" i="88"/>
  <c r="BS53" i="88" s="1"/>
  <c r="BU53" i="88" s="1"/>
  <c r="BR56" i="88"/>
  <c r="BS56" i="88" s="1"/>
  <c r="BU56" i="88" s="1"/>
  <c r="W57" i="88"/>
  <c r="BS58" i="88"/>
  <c r="BU58" i="88" s="1"/>
  <c r="BB59" i="88"/>
  <c r="AN68" i="88"/>
  <c r="W94" i="88"/>
  <c r="AN31" i="88"/>
  <c r="BH31" i="88"/>
  <c r="BQ36" i="88"/>
  <c r="AN42" i="88"/>
  <c r="BN43" i="88"/>
  <c r="BO43" i="88" s="1"/>
  <c r="BS48" i="88"/>
  <c r="BU48" i="88" s="1"/>
  <c r="Y50" i="88"/>
  <c r="BS54" i="88"/>
  <c r="BU54" i="88" s="1"/>
  <c r="AN59" i="88"/>
  <c r="BO59" i="88"/>
  <c r="BS62" i="88"/>
  <c r="BU62" i="88" s="1"/>
  <c r="Y64" i="88"/>
  <c r="X64" i="88"/>
  <c r="BR64" i="88"/>
  <c r="BS64" i="88" s="1"/>
  <c r="BU64" i="88" s="1"/>
  <c r="BS66" i="88"/>
  <c r="BU66" i="88" s="1"/>
  <c r="BR70" i="88"/>
  <c r="Y70" i="88"/>
  <c r="X70" i="88"/>
  <c r="BO89" i="88"/>
  <c r="BC25" i="88"/>
  <c r="BO25" i="88" s="1"/>
  <c r="BT26" i="88"/>
  <c r="BB34" i="88"/>
  <c r="AV151" i="88"/>
  <c r="BL35" i="88"/>
  <c r="BO35" i="88" s="1"/>
  <c r="BT38" i="88"/>
  <c r="BB42" i="88"/>
  <c r="BO52" i="88"/>
  <c r="AO59" i="88"/>
  <c r="W71" i="88"/>
  <c r="BS74" i="88"/>
  <c r="BU74" i="88" s="1"/>
  <c r="Y80" i="88"/>
  <c r="X80" i="88"/>
  <c r="Z80" i="88" s="1"/>
  <c r="BR80" i="88"/>
  <c r="W82" i="88"/>
  <c r="X83" i="88"/>
  <c r="Z83" i="88" s="1"/>
  <c r="BR83" i="88"/>
  <c r="Y83" i="88"/>
  <c r="BO85" i="88"/>
  <c r="AW151" i="88"/>
  <c r="BM35" i="88"/>
  <c r="BB36" i="88"/>
  <c r="BO56" i="88"/>
  <c r="BQ59" i="88"/>
  <c r="BO60" i="88"/>
  <c r="W61" i="88"/>
  <c r="BO62" i="88"/>
  <c r="X65" i="88"/>
  <c r="BO66" i="88"/>
  <c r="BC31" i="88"/>
  <c r="BO31" i="88" s="1"/>
  <c r="BN35" i="88"/>
  <c r="W36" i="88"/>
  <c r="BR60" i="88"/>
  <c r="BS60" i="88" s="1"/>
  <c r="BU60" i="88" s="1"/>
  <c r="Y60" i="88"/>
  <c r="X60" i="88"/>
  <c r="Z60" i="88" s="1"/>
  <c r="BO61" i="88"/>
  <c r="Y63" i="88"/>
  <c r="X63" i="88"/>
  <c r="BS63" i="88"/>
  <c r="BU63" i="88" s="1"/>
  <c r="Y65" i="88"/>
  <c r="Y72" i="88"/>
  <c r="X72" i="88"/>
  <c r="Z72" i="88" s="1"/>
  <c r="BR72" i="88"/>
  <c r="Z75" i="88"/>
  <c r="Y77" i="88"/>
  <c r="X77" i="88"/>
  <c r="BR77" i="88"/>
  <c r="BS77" i="88" s="1"/>
  <c r="BU77" i="88" s="1"/>
  <c r="X81" i="88"/>
  <c r="BR81" i="88"/>
  <c r="Y81" i="88"/>
  <c r="Z84" i="88"/>
  <c r="BR90" i="88"/>
  <c r="BS90" i="88" s="1"/>
  <c r="BU90" i="88" s="1"/>
  <c r="Y90" i="88"/>
  <c r="X90" i="88"/>
  <c r="Y96" i="88"/>
  <c r="X96" i="88"/>
  <c r="Z96" i="88" s="1"/>
  <c r="BR96" i="88"/>
  <c r="BS96" i="88" s="1"/>
  <c r="BU96" i="88" s="1"/>
  <c r="W98" i="88"/>
  <c r="AN82" i="88"/>
  <c r="BH82" i="88"/>
  <c r="BO82" i="88" s="1"/>
  <c r="BT92" i="88"/>
  <c r="BC93" i="88"/>
  <c r="BO93" i="88" s="1"/>
  <c r="BR97" i="88"/>
  <c r="BS97" i="88" s="1"/>
  <c r="AO100" i="88"/>
  <c r="BB102" i="88"/>
  <c r="W103" i="88"/>
  <c r="BD103" i="88"/>
  <c r="BO103" i="88" s="1"/>
  <c r="Y120" i="88"/>
  <c r="X120" i="88"/>
  <c r="Z120" i="88" s="1"/>
  <c r="BR143" i="88"/>
  <c r="BS143" i="88" s="1"/>
  <c r="BU143" i="88" s="1"/>
  <c r="Y143" i="88"/>
  <c r="X143" i="88"/>
  <c r="Y145" i="88"/>
  <c r="X145" i="88"/>
  <c r="Z145" i="88" s="1"/>
  <c r="BR145" i="88"/>
  <c r="BB68" i="88"/>
  <c r="BB85" i="88"/>
  <c r="AN94" i="88"/>
  <c r="BJ99" i="88"/>
  <c r="Y119" i="88"/>
  <c r="X119" i="88"/>
  <c r="Z119" i="88" s="1"/>
  <c r="BR119" i="88"/>
  <c r="BS119" i="88" s="1"/>
  <c r="W128" i="88"/>
  <c r="Y137" i="88"/>
  <c r="X137" i="88"/>
  <c r="BR137" i="88"/>
  <c r="BS137" i="88" s="1"/>
  <c r="BU137" i="88" s="1"/>
  <c r="BC68" i="88"/>
  <c r="BO68" i="88" s="1"/>
  <c r="BT68" i="88"/>
  <c r="BS72" i="88"/>
  <c r="BU72" i="88" s="1"/>
  <c r="Y74" i="88"/>
  <c r="Z74" i="88" s="1"/>
  <c r="AO76" i="88"/>
  <c r="BC76" i="88"/>
  <c r="BO76" i="88" s="1"/>
  <c r="BN78" i="88"/>
  <c r="BO78" i="88" s="1"/>
  <c r="BS80" i="88"/>
  <c r="BU80" i="88" s="1"/>
  <c r="Y84" i="88"/>
  <c r="W85" i="88"/>
  <c r="BN87" i="88"/>
  <c r="BO87" i="88" s="1"/>
  <c r="AO89" i="88"/>
  <c r="X91" i="88"/>
  <c r="Z91" i="88" s="1"/>
  <c r="AN92" i="88"/>
  <c r="BJ94" i="88"/>
  <c r="BS95" i="88"/>
  <c r="BU95" i="88" s="1"/>
  <c r="BH98" i="88"/>
  <c r="AL99" i="88"/>
  <c r="BK99" i="88"/>
  <c r="BD100" i="88"/>
  <c r="BO100" i="88" s="1"/>
  <c r="BL100" i="88"/>
  <c r="BB103" i="88"/>
  <c r="W107" i="88"/>
  <c r="BU111" i="88"/>
  <c r="BO113" i="88"/>
  <c r="BU116" i="88"/>
  <c r="BE119" i="88"/>
  <c r="BB119" i="88"/>
  <c r="BQ119" i="88"/>
  <c r="W121" i="88"/>
  <c r="W122" i="88"/>
  <c r="BQ61" i="88"/>
  <c r="Y9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49" i="88"/>
  <c r="BS73" i="88"/>
  <c r="BU73" i="88" s="1"/>
  <c r="Y75" i="88"/>
  <c r="AN78" i="88"/>
  <c r="Y79" i="88"/>
  <c r="Z79" i="88" s="1"/>
  <c r="BS81" i="88"/>
  <c r="BU81" i="88" s="1"/>
  <c r="BS83" i="88"/>
  <c r="BU83" i="88" s="1"/>
  <c r="AN87" i="88"/>
  <c r="Y88" i="88"/>
  <c r="Z88" i="88" s="1"/>
  <c r="BQ93" i="88"/>
  <c r="BO95" i="88"/>
  <c r="BB99" i="88"/>
  <c r="AN100" i="88"/>
  <c r="BT100" i="88"/>
  <c r="BO107" i="88"/>
  <c r="W108" i="88"/>
  <c r="BS111" i="88"/>
  <c r="Y115" i="88"/>
  <c r="X115" i="88"/>
  <c r="Z115" i="88" s="1"/>
  <c r="BO117" i="88"/>
  <c r="BO119" i="88"/>
  <c r="W140" i="88"/>
  <c r="BR147" i="88"/>
  <c r="Y147" i="88"/>
  <c r="X147" i="88"/>
  <c r="BB61" i="88"/>
  <c r="BS65" i="88"/>
  <c r="BU65" i="88" s="1"/>
  <c r="BS70" i="88"/>
  <c r="BU70" i="88" s="1"/>
  <c r="BF85" i="88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Z110" i="88" s="1"/>
  <c r="BR110" i="88"/>
  <c r="BS110" i="88" s="1"/>
  <c r="BU110" i="88" s="1"/>
  <c r="BO114" i="88"/>
  <c r="BR115" i="88"/>
  <c r="Y129" i="88"/>
  <c r="X129" i="88"/>
  <c r="Z129" i="88" s="1"/>
  <c r="BR129" i="88"/>
  <c r="BS129" i="88" s="1"/>
  <c r="BU129" i="88" s="1"/>
  <c r="W136" i="88"/>
  <c r="BO140" i="88"/>
  <c r="BO149" i="88"/>
  <c r="AN71" i="88"/>
  <c r="X95" i="88"/>
  <c r="Z95" i="88" s="1"/>
  <c r="BS101" i="88"/>
  <c r="BU101" i="88" s="1"/>
  <c r="BQ103" i="88"/>
  <c r="AO105" i="88"/>
  <c r="AN105" i="88"/>
  <c r="BO108" i="88"/>
  <c r="W109" i="88"/>
  <c r="BO111" i="88"/>
  <c r="BT112" i="88"/>
  <c r="BU113" i="88"/>
  <c r="BS115" i="88"/>
  <c r="BU115" i="88" s="1"/>
  <c r="BR117" i="88"/>
  <c r="BS117" i="88" s="1"/>
  <c r="BU117" i="88" s="1"/>
  <c r="BQ118" i="88"/>
  <c r="BQ122" i="88"/>
  <c r="BS147" i="88"/>
  <c r="BU147" i="88" s="1"/>
  <c r="BC94" i="88"/>
  <c r="BO94" i="88" s="1"/>
  <c r="BU97" i="88"/>
  <c r="BT98" i="88"/>
  <c r="BC98" i="88"/>
  <c r="BO98" i="88" s="1"/>
  <c r="BB105" i="88"/>
  <c r="BQ105" i="88"/>
  <c r="W106" i="88"/>
  <c r="BF118" i="88"/>
  <c r="BO118" i="88" s="1"/>
  <c r="BB118" i="88"/>
  <c r="BB122" i="88"/>
  <c r="BO122" i="88"/>
  <c r="Y125" i="88"/>
  <c r="X125" i="88"/>
  <c r="Z125" i="88" s="1"/>
  <c r="BR125" i="88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BS145" i="88"/>
  <c r="BU145" i="88" s="1"/>
  <c r="X148" i="88"/>
  <c r="BF120" i="88"/>
  <c r="BO120" i="88" s="1"/>
  <c r="BS125" i="88"/>
  <c r="BU125" i="88" s="1"/>
  <c r="Y139" i="88"/>
  <c r="BQ140" i="88"/>
  <c r="BB141" i="88"/>
  <c r="Y144" i="88"/>
  <c r="Y148" i="88"/>
  <c r="BQ120" i="88"/>
  <c r="BR120" i="88" s="1"/>
  <c r="BS120" i="88" s="1"/>
  <c r="BB140" i="88"/>
  <c r="AM43" i="3"/>
  <c r="BR127" i="88" l="1"/>
  <c r="BS127" i="88" s="1"/>
  <c r="BU127" i="88" s="1"/>
  <c r="Y127" i="88"/>
  <c r="X127" i="88"/>
  <c r="Z127" i="88" s="1"/>
  <c r="W105" i="88"/>
  <c r="Y136" i="88"/>
  <c r="X136" i="88"/>
  <c r="Z136" i="88" s="1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Z28" i="88" s="1"/>
  <c r="BR28" i="88"/>
  <c r="BS28" i="88" s="1"/>
  <c r="BU28" i="88" s="1"/>
  <c r="BU37" i="88"/>
  <c r="BG151" i="88"/>
  <c r="Y37" i="88"/>
  <c r="X37" i="88"/>
  <c r="BR37" i="88"/>
  <c r="BS37" i="88" s="1"/>
  <c r="BR23" i="88"/>
  <c r="BS23" i="88" s="1"/>
  <c r="BU23" i="88" s="1"/>
  <c r="Y23" i="88"/>
  <c r="X23" i="88"/>
  <c r="Z23" i="88" s="1"/>
  <c r="Z10" i="88"/>
  <c r="Y102" i="88"/>
  <c r="BR102" i="88"/>
  <c r="BS102" i="88" s="1"/>
  <c r="BU102" i="88" s="1"/>
  <c r="X102" i="88"/>
  <c r="BR36" i="88"/>
  <c r="BS36" i="88" s="1"/>
  <c r="Y36" i="88"/>
  <c r="X36" i="88"/>
  <c r="Z36" i="88" s="1"/>
  <c r="Z65" i="88"/>
  <c r="Y82" i="88"/>
  <c r="BR82" i="88"/>
  <c r="BS82" i="88" s="1"/>
  <c r="BU82" i="88" s="1"/>
  <c r="X82" i="88"/>
  <c r="Z82" i="88" s="1"/>
  <c r="Y51" i="88"/>
  <c r="X51" i="88"/>
  <c r="BR51" i="88"/>
  <c r="BS51" i="88" s="1"/>
  <c r="BU51" i="88" s="1"/>
  <c r="W26" i="88"/>
  <c r="X68" i="88"/>
  <c r="Z68" i="88" s="1"/>
  <c r="BR68" i="88"/>
  <c r="BS68" i="88" s="1"/>
  <c r="BU68" i="88" s="1"/>
  <c r="Y68" i="88"/>
  <c r="Y39" i="88"/>
  <c r="BR39" i="88"/>
  <c r="BS39" i="88" s="1"/>
  <c r="X39" i="88"/>
  <c r="Z39" i="88" s="1"/>
  <c r="W8" i="88"/>
  <c r="Y12" i="88"/>
  <c r="BR12" i="88"/>
  <c r="BS12" i="88" s="1"/>
  <c r="BU12" i="88" s="1"/>
  <c r="X12" i="88"/>
  <c r="X118" i="88"/>
  <c r="BR118" i="88"/>
  <c r="BS118" i="88" s="1"/>
  <c r="Y118" i="88"/>
  <c r="Y149" i="88"/>
  <c r="X149" i="88"/>
  <c r="BR149" i="88"/>
  <c r="BS149" i="88" s="1"/>
  <c r="BU149" i="88" s="1"/>
  <c r="Y122" i="88"/>
  <c r="X122" i="88"/>
  <c r="BR122" i="88"/>
  <c r="BS122" i="88" s="1"/>
  <c r="BR103" i="88"/>
  <c r="BS103" i="88" s="1"/>
  <c r="BU103" i="88" s="1"/>
  <c r="Y103" i="88"/>
  <c r="X103" i="88"/>
  <c r="Z103" i="88" s="1"/>
  <c r="BU42" i="88"/>
  <c r="BR34" i="88"/>
  <c r="BS34" i="88" s="1"/>
  <c r="Y34" i="88"/>
  <c r="X34" i="88"/>
  <c r="Z34" i="88" s="1"/>
  <c r="BF151" i="88"/>
  <c r="Y31" i="88"/>
  <c r="BR31" i="88"/>
  <c r="BS31" i="88" s="1"/>
  <c r="BU31" i="88" s="1"/>
  <c r="X31" i="88"/>
  <c r="Z31" i="88" s="1"/>
  <c r="BR114" i="88"/>
  <c r="BS114" i="88" s="1"/>
  <c r="BU114" i="88" s="1"/>
  <c r="X114" i="88"/>
  <c r="Z114" i="88" s="1"/>
  <c r="Y114" i="88"/>
  <c r="Z147" i="88"/>
  <c r="Z133" i="88"/>
  <c r="W112" i="88"/>
  <c r="W76" i="88"/>
  <c r="Z137" i="88"/>
  <c r="Z63" i="88"/>
  <c r="Y61" i="88"/>
  <c r="X61" i="88"/>
  <c r="BR61" i="88"/>
  <c r="BS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1" i="88"/>
  <c r="Z47" i="88"/>
  <c r="Z7" i="88"/>
  <c r="Y42" i="88"/>
  <c r="X42" i="88"/>
  <c r="BR42" i="88"/>
  <c r="BS42" i="88" s="1"/>
  <c r="Y32" i="88"/>
  <c r="X32" i="88"/>
  <c r="Z32" i="88" s="1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Z93" i="88" s="1"/>
  <c r="W89" i="88"/>
  <c r="W100" i="88"/>
  <c r="Y98" i="88"/>
  <c r="X98" i="88"/>
  <c r="Z98" i="88" s="1"/>
  <c r="BR98" i="88"/>
  <c r="BS98" i="88" s="1"/>
  <c r="BU98" i="88" s="1"/>
  <c r="W59" i="88"/>
  <c r="BU36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Z106" i="88" s="1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BM99" i="88"/>
  <c r="Z46" i="88"/>
  <c r="Z49" i="88"/>
  <c r="BD151" i="88"/>
  <c r="BC151" i="88"/>
  <c r="BO2" i="88"/>
  <c r="Z16" i="88"/>
  <c r="Y25" i="88"/>
  <c r="BR25" i="88"/>
  <c r="BS25" i="88" s="1"/>
  <c r="BU25" i="88" s="1"/>
  <c r="X25" i="88"/>
  <c r="Z25" i="88" s="1"/>
  <c r="Y141" i="88"/>
  <c r="BR141" i="88"/>
  <c r="BS141" i="88" s="1"/>
  <c r="BU141" i="88" s="1"/>
  <c r="X141" i="88"/>
  <c r="Y121" i="88"/>
  <c r="X121" i="88"/>
  <c r="Z121" i="88" s="1"/>
  <c r="BR121" i="88"/>
  <c r="BS121" i="88" s="1"/>
  <c r="BU121" i="88" s="1"/>
  <c r="BU122" i="88"/>
  <c r="Y140" i="88"/>
  <c r="BR140" i="88"/>
  <c r="BS140" i="88" s="1"/>
  <c r="BU140" i="88" s="1"/>
  <c r="X140" i="88"/>
  <c r="Z140" i="88" s="1"/>
  <c r="AO99" i="88"/>
  <c r="Y124" i="88"/>
  <c r="X124" i="88"/>
  <c r="Z124" i="88" s="1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Z85" i="88" s="1"/>
  <c r="BR85" i="88"/>
  <c r="BS85" i="88" s="1"/>
  <c r="BU85" i="88" s="1"/>
  <c r="Y128" i="88"/>
  <c r="X128" i="88"/>
  <c r="Z128" i="88" s="1"/>
  <c r="BR128" i="88"/>
  <c r="BS128" i="88" s="1"/>
  <c r="BU128" i="88" s="1"/>
  <c r="Z81" i="88"/>
  <c r="W44" i="88"/>
  <c r="BR78" i="88"/>
  <c r="BS78" i="88" s="1"/>
  <c r="BU78" i="88" s="1"/>
  <c r="Y78" i="88"/>
  <c r="X78" i="88"/>
  <c r="Z78" i="88" s="1"/>
  <c r="BR30" i="88"/>
  <c r="BS30" i="88" s="1"/>
  <c r="BU30" i="88" s="1"/>
  <c r="X30" i="88"/>
  <c r="Y30" i="88"/>
  <c r="AO151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Z135" i="88" s="1"/>
  <c r="BR131" i="88"/>
  <c r="BS131" i="88" s="1"/>
  <c r="BU131" i="88" s="1"/>
  <c r="Y131" i="88"/>
  <c r="X131" i="88"/>
  <c r="Y132" i="88"/>
  <c r="X132" i="88"/>
  <c r="Z132" i="88" s="1"/>
  <c r="BR132" i="88"/>
  <c r="BS132" i="88" s="1"/>
  <c r="BU132" i="88" s="1"/>
  <c r="BU118" i="88"/>
  <c r="BU61" i="88"/>
  <c r="BU119" i="88"/>
  <c r="Z143" i="88"/>
  <c r="Y94" i="88"/>
  <c r="BR94" i="88"/>
  <c r="BS94" i="88" s="1"/>
  <c r="BU94" i="88" s="1"/>
  <c r="X94" i="88"/>
  <c r="Z94" i="88" s="1"/>
  <c r="Z50" i="88"/>
  <c r="BU34" i="88"/>
  <c r="Z43" i="88"/>
  <c r="BR87" i="88"/>
  <c r="BS87" i="88" s="1"/>
  <c r="BU87" i="88" s="1"/>
  <c r="Y87" i="88"/>
  <c r="X87" i="88"/>
  <c r="Z87" i="88" s="1"/>
  <c r="BU35" i="88"/>
  <c r="BU39" i="88"/>
  <c r="AL151" i="88"/>
  <c r="X38" i="88"/>
  <c r="Z38" i="88" s="1"/>
  <c r="BR38" i="88"/>
  <c r="BS38" i="88" s="1"/>
  <c r="BU38" i="88" s="1"/>
  <c r="Y38" i="88"/>
  <c r="BO11" i="88"/>
  <c r="BQ151" i="88"/>
  <c r="X11" i="88"/>
  <c r="BR11" i="88"/>
  <c r="BS11" i="88" s="1"/>
  <c r="BU11" i="88" s="1"/>
  <c r="Y11" i="88"/>
  <c r="AM126" i="3"/>
  <c r="AR93" i="3"/>
  <c r="BR24" i="88" l="1"/>
  <c r="BS24" i="88" s="1"/>
  <c r="BU24" i="88" s="1"/>
  <c r="Y24" i="88"/>
  <c r="X24" i="88"/>
  <c r="Z24" i="88" s="1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100" i="88" s="1"/>
  <c r="Z5" i="88"/>
  <c r="Z61" i="88"/>
  <c r="Z149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Z89" i="88" s="1"/>
  <c r="BR89" i="88"/>
  <c r="BS89" i="88" s="1"/>
  <c r="BU89" i="88" s="1"/>
  <c r="Z57" i="88"/>
  <c r="BR26" i="88"/>
  <c r="BS26" i="88" s="1"/>
  <c r="BU26" i="88" s="1"/>
  <c r="Y26" i="88"/>
  <c r="X26" i="88"/>
  <c r="Z26" i="88" s="1"/>
  <c r="Y105" i="88"/>
  <c r="X105" i="88"/>
  <c r="Z105" i="88" s="1"/>
  <c r="BR105" i="88"/>
  <c r="BS105" i="88" s="1"/>
  <c r="BU105" i="88" s="1"/>
  <c r="Z11" i="88"/>
  <c r="Z29" i="88"/>
  <c r="Y59" i="88"/>
  <c r="X59" i="88"/>
  <c r="Z59" i="88" s="1"/>
  <c r="BR59" i="88"/>
  <c r="BS59" i="88" s="1"/>
  <c r="BU59" i="88" s="1"/>
  <c r="W151" i="88"/>
  <c r="Y2" i="88"/>
  <c r="X2" i="88"/>
  <c r="BR2" i="88"/>
  <c r="BS2" i="88" s="1"/>
  <c r="BU2" i="88" s="1"/>
  <c r="Y44" i="88"/>
  <c r="X44" i="88"/>
  <c r="Z44" i="88" s="1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1" i="88"/>
  <c r="AN99" i="88"/>
  <c r="AN151" i="88" s="1"/>
  <c r="Z3" i="88"/>
  <c r="BK38" i="88"/>
  <c r="BK151" i="88" s="1"/>
  <c r="AY38" i="88"/>
  <c r="AX151" i="88"/>
  <c r="Y76" i="88"/>
  <c r="X76" i="88"/>
  <c r="Z76" i="88" s="1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2" i="88" s="1"/>
  <c r="Z9" i="88"/>
  <c r="BJ151" i="88"/>
  <c r="Z42" i="88"/>
  <c r="Z51" i="88"/>
  <c r="Z108" i="88"/>
  <c r="AM93" i="3"/>
  <c r="AU11" i="3"/>
  <c r="AU41" i="3"/>
  <c r="BL38" i="88" l="1"/>
  <c r="BL151" i="88" s="1"/>
  <c r="AZ38" i="88"/>
  <c r="AY151" i="88"/>
  <c r="Z8" i="88"/>
  <c r="Z112" i="88"/>
  <c r="Y151" i="88"/>
  <c r="Z104" i="88"/>
  <c r="X151" i="88"/>
  <c r="Z2" i="88"/>
  <c r="Y99" i="88"/>
  <c r="X99" i="88"/>
  <c r="Z99" i="88" s="1"/>
  <c r="BR99" i="88"/>
  <c r="BS99" i="88" s="1"/>
  <c r="BU99" i="88" s="1"/>
  <c r="AN8" i="87"/>
  <c r="AO8" i="87"/>
  <c r="BB8" i="87"/>
  <c r="AR8" i="87"/>
  <c r="AM4" i="3"/>
  <c r="Z151" i="88" l="1"/>
  <c r="BM38" i="88"/>
  <c r="BA38" i="88"/>
  <c r="AZ151" i="88"/>
  <c r="AM25" i="3"/>
  <c r="AL25" i="3"/>
  <c r="AK25" i="3"/>
  <c r="AJ25" i="3"/>
  <c r="AI25" i="3"/>
  <c r="BN38" i="88" l="1"/>
  <c r="BN151" i="88" s="1"/>
  <c r="BA151" i="88"/>
  <c r="BB38" i="88"/>
  <c r="BB151" i="88" s="1"/>
  <c r="BM151" i="88"/>
  <c r="BO38" i="88"/>
  <c r="BO151" i="88" s="1"/>
  <c r="AL67" i="3"/>
  <c r="AV94" i="3"/>
  <c r="AW94" i="3"/>
  <c r="AX94" i="3"/>
  <c r="AY94" i="3"/>
  <c r="AZ94" i="3"/>
  <c r="BA94" i="3"/>
  <c r="AU94" i="3"/>
  <c r="J3" i="65"/>
  <c r="AS120" i="3" l="1"/>
  <c r="AO4" i="3" l="1"/>
  <c r="W4" i="3" s="1"/>
  <c r="AO5" i="3"/>
  <c r="W5" i="3" s="1"/>
  <c r="AO6" i="3"/>
  <c r="W6" i="3" s="1"/>
  <c r="AO7" i="3"/>
  <c r="W7" i="3" s="1"/>
  <c r="AO10" i="3"/>
  <c r="W10" i="3" s="1"/>
  <c r="AO13" i="3"/>
  <c r="W13" i="3" s="1"/>
  <c r="AO14" i="3"/>
  <c r="W14" i="3" s="1"/>
  <c r="AO15" i="3"/>
  <c r="W15" i="3" s="1"/>
  <c r="AO16" i="3"/>
  <c r="W16" i="3" s="1"/>
  <c r="AO17" i="3"/>
  <c r="W17" i="3" s="1"/>
  <c r="AO18" i="3"/>
  <c r="W18" i="3" s="1"/>
  <c r="AO19" i="3"/>
  <c r="W19" i="3" s="1"/>
  <c r="AO20" i="3"/>
  <c r="W20" i="3" s="1"/>
  <c r="AO21" i="3"/>
  <c r="W21" i="3" s="1"/>
  <c r="AO22" i="3"/>
  <c r="W22" i="3" s="1"/>
  <c r="AO27" i="3"/>
  <c r="W27" i="3" s="1"/>
  <c r="AO28" i="3"/>
  <c r="W28" i="3" s="1"/>
  <c r="AO33" i="3"/>
  <c r="W33" i="3" s="1"/>
  <c r="AO34" i="3"/>
  <c r="AO35" i="3"/>
  <c r="AO36" i="3"/>
  <c r="AO45" i="3"/>
  <c r="W45" i="3" s="1"/>
  <c r="AO46" i="3"/>
  <c r="W46" i="3" s="1"/>
  <c r="AO48" i="3"/>
  <c r="W48" i="3" s="1"/>
  <c r="AO49" i="3"/>
  <c r="W49" i="3" s="1"/>
  <c r="AO50" i="3"/>
  <c r="W50" i="3" s="1"/>
  <c r="AO51" i="3"/>
  <c r="AO52" i="3"/>
  <c r="W52" i="3" s="1"/>
  <c r="AO53" i="3"/>
  <c r="W53" i="3" s="1"/>
  <c r="AO54" i="3"/>
  <c r="W54" i="3" s="1"/>
  <c r="AO55" i="3"/>
  <c r="W55" i="3" s="1"/>
  <c r="AO56" i="3"/>
  <c r="W56" i="3" s="1"/>
  <c r="AO57" i="3"/>
  <c r="W57" i="3" s="1"/>
  <c r="AO58" i="3"/>
  <c r="W58" i="3" s="1"/>
  <c r="AO60" i="3"/>
  <c r="AO61" i="3"/>
  <c r="AO62" i="3"/>
  <c r="W62" i="3" s="1"/>
  <c r="AO63" i="3"/>
  <c r="W63" i="3" s="1"/>
  <c r="AO64" i="3"/>
  <c r="W64" i="3" s="1"/>
  <c r="AO65" i="3"/>
  <c r="W65" i="3" s="1"/>
  <c r="AO66" i="3"/>
  <c r="W66" i="3" s="1"/>
  <c r="AO67" i="3"/>
  <c r="W67" i="3" s="1"/>
  <c r="AO69" i="3"/>
  <c r="W69" i="3" s="1"/>
  <c r="AO70" i="3"/>
  <c r="W70" i="3" s="1"/>
  <c r="AO72" i="3"/>
  <c r="W72" i="3" s="1"/>
  <c r="AO73" i="3"/>
  <c r="W73" i="3" s="1"/>
  <c r="AO74" i="3"/>
  <c r="W74" i="3" s="1"/>
  <c r="AO75" i="3"/>
  <c r="W75" i="3" s="1"/>
  <c r="AO76" i="3"/>
  <c r="AO77" i="3"/>
  <c r="W77" i="3" s="1"/>
  <c r="AO79" i="3"/>
  <c r="W79" i="3" s="1"/>
  <c r="AO80" i="3"/>
  <c r="W80" i="3" s="1"/>
  <c r="AO81" i="3"/>
  <c r="W81" i="3" s="1"/>
  <c r="AO83" i="3"/>
  <c r="W83" i="3" s="1"/>
  <c r="AO84" i="3"/>
  <c r="W84" i="3" s="1"/>
  <c r="AO85" i="3"/>
  <c r="AO86" i="3"/>
  <c r="W86" i="3" s="1"/>
  <c r="AO87" i="3"/>
  <c r="W87" i="3" s="1"/>
  <c r="AO88" i="3"/>
  <c r="W88" i="3" s="1"/>
  <c r="AO90" i="3"/>
  <c r="W90" i="3" s="1"/>
  <c r="AO91" i="3"/>
  <c r="W91" i="3" s="1"/>
  <c r="AO93" i="3"/>
  <c r="AO95" i="3"/>
  <c r="W95" i="3" s="1"/>
  <c r="AO96" i="3"/>
  <c r="W96" i="3" s="1"/>
  <c r="AO97" i="3"/>
  <c r="W97" i="3" s="1"/>
  <c r="AO102" i="3"/>
  <c r="AO103" i="3"/>
  <c r="AO106" i="3"/>
  <c r="W106" i="3" s="1"/>
  <c r="AO107" i="3"/>
  <c r="W107" i="3" s="1"/>
  <c r="AO108" i="3"/>
  <c r="W108" i="3" s="1"/>
  <c r="AO109" i="3"/>
  <c r="W109" i="3" s="1"/>
  <c r="AO110" i="3"/>
  <c r="W110" i="3" s="1"/>
  <c r="AO111" i="3"/>
  <c r="W111" i="3" s="1"/>
  <c r="AO113" i="3"/>
  <c r="W113" i="3" s="1"/>
  <c r="AO114" i="3"/>
  <c r="W114" i="3" s="1"/>
  <c r="AO115" i="3"/>
  <c r="W115" i="3" s="1"/>
  <c r="AO116" i="3"/>
  <c r="W116" i="3" s="1"/>
  <c r="AO117" i="3"/>
  <c r="W117" i="3" s="1"/>
  <c r="AO118" i="3"/>
  <c r="AO119" i="3"/>
  <c r="AO120" i="3"/>
  <c r="W120" i="3" s="1"/>
  <c r="AO121" i="3"/>
  <c r="W121" i="3" s="1"/>
  <c r="AO123" i="3"/>
  <c r="W123" i="3" s="1"/>
  <c r="AO124" i="3"/>
  <c r="W124" i="3" s="1"/>
  <c r="AO125" i="3"/>
  <c r="W125" i="3" s="1"/>
  <c r="AO127" i="3"/>
  <c r="W127" i="3" s="1"/>
  <c r="AO128" i="3"/>
  <c r="W128" i="3" s="1"/>
  <c r="AO129" i="3"/>
  <c r="W129" i="3" s="1"/>
  <c r="AO130" i="3"/>
  <c r="W130" i="3" s="1"/>
  <c r="AO131" i="3"/>
  <c r="W131" i="3" s="1"/>
  <c r="AO132" i="3"/>
  <c r="W132" i="3" s="1"/>
  <c r="AO133" i="3"/>
  <c r="W133" i="3" s="1"/>
  <c r="AO134" i="3"/>
  <c r="W134" i="3" s="1"/>
  <c r="AO135" i="3"/>
  <c r="W135" i="3" s="1"/>
  <c r="AO136" i="3"/>
  <c r="W136" i="3" s="1"/>
  <c r="AO137" i="3"/>
  <c r="W137" i="3" s="1"/>
  <c r="AO138" i="3"/>
  <c r="W138" i="3" s="1"/>
  <c r="AO139" i="3"/>
  <c r="AO140" i="3"/>
  <c r="AO141" i="3"/>
  <c r="W141" i="3" s="1"/>
  <c r="AO142" i="3"/>
  <c r="W142" i="3" s="1"/>
  <c r="AO143" i="3"/>
  <c r="W143" i="3" s="1"/>
  <c r="AO144" i="3"/>
  <c r="W144" i="3" s="1"/>
  <c r="AO145" i="3"/>
  <c r="W145" i="3" s="1"/>
  <c r="AO146" i="3"/>
  <c r="W146" i="3" s="1"/>
  <c r="AO147" i="3"/>
  <c r="W147" i="3" s="1"/>
  <c r="AO148" i="3"/>
  <c r="W148" i="3" s="1"/>
  <c r="AO126" i="3"/>
  <c r="W126" i="3" s="1"/>
  <c r="V126" i="3"/>
  <c r="V150" i="3" s="1"/>
  <c r="K33" i="3"/>
  <c r="BC33" i="3"/>
  <c r="BK33" i="3"/>
  <c r="AN33" i="3"/>
  <c r="BB33" i="3"/>
  <c r="BD33" i="3"/>
  <c r="BE33" i="3"/>
  <c r="BF33" i="3"/>
  <c r="BH33" i="3"/>
  <c r="BI33" i="3"/>
  <c r="BJ33" i="3"/>
  <c r="BL33" i="3"/>
  <c r="BM33" i="3"/>
  <c r="BN33" i="3"/>
  <c r="BQ33" i="3"/>
  <c r="AM31" i="3"/>
  <c r="AL31" i="3"/>
  <c r="AK31" i="3"/>
  <c r="AJ31" i="3"/>
  <c r="AI31" i="3"/>
  <c r="AH31" i="3"/>
  <c r="AF31" i="3"/>
  <c r="AG31" i="3"/>
  <c r="AI89" i="3"/>
  <c r="AO89" i="3" s="1"/>
  <c r="W89" i="3" s="1"/>
  <c r="AO31" i="3" l="1"/>
  <c r="W31" i="3" s="1"/>
  <c r="Y33" i="3"/>
  <c r="X33" i="3"/>
  <c r="BG33" i="3"/>
  <c r="BO33" i="3" s="1"/>
  <c r="AM59" i="3"/>
  <c r="AL59" i="3"/>
  <c r="AK59" i="3"/>
  <c r="AJ59" i="3"/>
  <c r="AI59" i="3"/>
  <c r="AH59" i="3"/>
  <c r="AG59" i="3"/>
  <c r="AM3" i="3"/>
  <c r="AL3" i="3"/>
  <c r="AK3" i="3"/>
  <c r="AJ3" i="3"/>
  <c r="AI3" i="3"/>
  <c r="AH3" i="3"/>
  <c r="AG3" i="3"/>
  <c r="AO3" i="3" s="1"/>
  <c r="AM2" i="3"/>
  <c r="AL2" i="3"/>
  <c r="AK2" i="3"/>
  <c r="AJ2" i="3"/>
  <c r="AI2" i="3"/>
  <c r="AH2" i="3"/>
  <c r="AG2" i="3"/>
  <c r="AM94" i="3"/>
  <c r="AL94" i="3"/>
  <c r="AK94" i="3"/>
  <c r="AJ94" i="3"/>
  <c r="AI94" i="3"/>
  <c r="AH94" i="3"/>
  <c r="AG94" i="3"/>
  <c r="AO2" i="3" l="1"/>
  <c r="AO94" i="3"/>
  <c r="AO59" i="3"/>
  <c r="Z33" i="3"/>
  <c r="AQ102" i="3"/>
  <c r="AR102" i="3"/>
  <c r="AS102" i="3"/>
  <c r="AT102" i="3"/>
  <c r="AU102" i="3"/>
  <c r="AV102" i="3"/>
  <c r="AW102" i="3"/>
  <c r="AX102" i="3"/>
  <c r="AY102" i="3"/>
  <c r="AZ102" i="3"/>
  <c r="BA102" i="3"/>
  <c r="AP102" i="3"/>
  <c r="W102" i="3" l="1"/>
  <c r="K127" i="3"/>
  <c r="AN127" i="3"/>
  <c r="X127" i="3"/>
  <c r="BB127" i="3"/>
  <c r="BC127" i="3"/>
  <c r="BD127" i="3"/>
  <c r="BE127" i="3"/>
  <c r="BF127" i="3"/>
  <c r="BG127" i="3"/>
  <c r="BH127" i="3"/>
  <c r="BI127" i="3"/>
  <c r="BJ127" i="3"/>
  <c r="BK127" i="3"/>
  <c r="BL127" i="3"/>
  <c r="BM127" i="3"/>
  <c r="BN127" i="3"/>
  <c r="BQ127" i="3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H25" i="3"/>
  <c r="AG25" i="3"/>
  <c r="AH24" i="3"/>
  <c r="AI24" i="3"/>
  <c r="AJ24" i="3"/>
  <c r="AK24" i="3"/>
  <c r="AL24" i="3"/>
  <c r="AM24" i="3"/>
  <c r="AG24" i="3"/>
  <c r="AO24" i="3" l="1"/>
  <c r="AO25" i="3"/>
  <c r="BO127" i="3"/>
  <c r="Y127" i="3"/>
  <c r="Z127" i="3" s="1"/>
  <c r="AM2" i="87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G47" i="3"/>
  <c r="AO47" i="3" s="1"/>
  <c r="W47" i="3" s="1"/>
  <c r="AM44" i="3"/>
  <c r="AO44" i="3" s="1"/>
  <c r="W44" i="3" s="1"/>
  <c r="AT34" i="3"/>
  <c r="AT11" i="3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AT51" i="3"/>
  <c r="W51" i="3" s="1"/>
  <c r="AM92" i="3"/>
  <c r="AO92" i="3" s="1"/>
  <c r="AD92" i="3"/>
  <c r="AR92" i="3"/>
  <c r="Z5" i="87" l="1"/>
  <c r="X10" i="87"/>
  <c r="Y10" i="87"/>
  <c r="Z6" i="87"/>
  <c r="Z10" i="87" s="1"/>
  <c r="AF51" i="3"/>
  <c r="BQ4" i="3" l="1"/>
  <c r="BQ5" i="3"/>
  <c r="BQ6" i="3"/>
  <c r="BQ7" i="3"/>
  <c r="BQ8" i="3"/>
  <c r="BQ9" i="3"/>
  <c r="BQ10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5" i="3"/>
  <c r="BQ26" i="3"/>
  <c r="BQ27" i="3"/>
  <c r="BQ28" i="3"/>
  <c r="BQ30" i="3"/>
  <c r="BQ31" i="3"/>
  <c r="BQ32" i="3"/>
  <c r="BQ40" i="3"/>
  <c r="BQ43" i="3"/>
  <c r="BQ44" i="3"/>
  <c r="BQ45" i="3"/>
  <c r="BQ46" i="3"/>
  <c r="BQ47" i="3"/>
  <c r="BQ48" i="3"/>
  <c r="BQ49" i="3"/>
  <c r="BQ50" i="3"/>
  <c r="BQ51" i="3"/>
  <c r="BQ52" i="3"/>
  <c r="BQ53" i="3"/>
  <c r="BQ54" i="3"/>
  <c r="BQ55" i="3"/>
  <c r="BQ56" i="3"/>
  <c r="BQ57" i="3"/>
  <c r="BQ58" i="3"/>
  <c r="BQ62" i="3"/>
  <c r="BQ63" i="3"/>
  <c r="BQ64" i="3"/>
  <c r="BQ65" i="3"/>
  <c r="BQ66" i="3"/>
  <c r="BQ67" i="3"/>
  <c r="BQ69" i="3"/>
  <c r="BQ70" i="3"/>
  <c r="BQ71" i="3"/>
  <c r="BQ72" i="3"/>
  <c r="BQ73" i="3"/>
  <c r="BQ74" i="3"/>
  <c r="BQ75" i="3"/>
  <c r="BQ77" i="3"/>
  <c r="BQ78" i="3"/>
  <c r="BQ79" i="3"/>
  <c r="BQ80" i="3"/>
  <c r="BQ81" i="3"/>
  <c r="BQ83" i="3"/>
  <c r="BQ84" i="3"/>
  <c r="BQ86" i="3"/>
  <c r="BQ87" i="3"/>
  <c r="BQ88" i="3"/>
  <c r="BQ89" i="3"/>
  <c r="BQ90" i="3"/>
  <c r="BQ91" i="3"/>
  <c r="BQ95" i="3"/>
  <c r="BQ96" i="3"/>
  <c r="BQ97" i="3"/>
  <c r="BQ98" i="3"/>
  <c r="BQ101" i="3"/>
  <c r="BQ102" i="3"/>
  <c r="BQ104" i="3"/>
  <c r="BQ106" i="3"/>
  <c r="BQ107" i="3"/>
  <c r="BQ108" i="3"/>
  <c r="BQ109" i="3"/>
  <c r="BQ110" i="3"/>
  <c r="BQ111" i="3"/>
  <c r="BQ112" i="3"/>
  <c r="BQ113" i="3"/>
  <c r="BQ114" i="3"/>
  <c r="BQ115" i="3"/>
  <c r="BQ116" i="3"/>
  <c r="BQ117" i="3"/>
  <c r="BQ120" i="3"/>
  <c r="BQ121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7" i="3"/>
  <c r="BQ138" i="3"/>
  <c r="BQ141" i="3"/>
  <c r="BQ142" i="3"/>
  <c r="BQ143" i="3"/>
  <c r="BQ144" i="3"/>
  <c r="BQ145" i="3"/>
  <c r="BQ146" i="3"/>
  <c r="BQ147" i="3"/>
  <c r="BQ148" i="3"/>
  <c r="AQ93" i="3" l="1"/>
  <c r="AP93" i="3"/>
  <c r="AT93" i="3"/>
  <c r="AU93" i="3"/>
  <c r="AS93" i="3"/>
  <c r="BQ93" i="3" l="1"/>
  <c r="W93" i="3"/>
  <c r="AM8" i="3"/>
  <c r="AO8" i="3" s="1"/>
  <c r="W8" i="3" l="1"/>
  <c r="AS34" i="3"/>
  <c r="AR34" i="3" l="1"/>
  <c r="AS41" i="3"/>
  <c r="AS118" i="3"/>
  <c r="AP103" i="3"/>
  <c r="AQ103" i="3"/>
  <c r="AR103" i="3"/>
  <c r="AE92" i="3"/>
  <c r="AS92" i="3"/>
  <c r="AM40" i="3"/>
  <c r="AO40" i="3" s="1"/>
  <c r="W40" i="3" s="1"/>
  <c r="AF40" i="3"/>
  <c r="AE40" i="3"/>
  <c r="BQ103" i="3" l="1"/>
  <c r="W103" i="3"/>
  <c r="AE107" i="3"/>
  <c r="I146" i="86" l="1"/>
  <c r="H146" i="86"/>
  <c r="G146" i="86"/>
  <c r="F146" i="86"/>
  <c r="E146" i="86"/>
  <c r="I132" i="86"/>
  <c r="H132" i="86"/>
  <c r="G132" i="86"/>
  <c r="F132" i="86"/>
  <c r="E132" i="86"/>
  <c r="I127" i="86"/>
  <c r="H127" i="86"/>
  <c r="G127" i="86"/>
  <c r="F127" i="86"/>
  <c r="E127" i="86"/>
  <c r="I123" i="86"/>
  <c r="H123" i="86"/>
  <c r="G123" i="86"/>
  <c r="F123" i="86"/>
  <c r="E123" i="86"/>
  <c r="I111" i="86"/>
  <c r="H111" i="86"/>
  <c r="G111" i="86"/>
  <c r="F111" i="86"/>
  <c r="E111" i="86"/>
  <c r="I101" i="86"/>
  <c r="H101" i="86"/>
  <c r="G101" i="86"/>
  <c r="F101" i="86"/>
  <c r="E101" i="86"/>
  <c r="I91" i="86"/>
  <c r="H91" i="86"/>
  <c r="G91" i="86"/>
  <c r="F91" i="86"/>
  <c r="E91" i="86"/>
  <c r="I89" i="86"/>
  <c r="H89" i="86"/>
  <c r="G89" i="86"/>
  <c r="F89" i="86"/>
  <c r="E89" i="86"/>
  <c r="I84" i="86"/>
  <c r="H84" i="86"/>
  <c r="G84" i="86"/>
  <c r="F84" i="86"/>
  <c r="E84" i="86"/>
  <c r="I82" i="86"/>
  <c r="H82" i="86"/>
  <c r="G82" i="86"/>
  <c r="F82" i="86"/>
  <c r="E82" i="86"/>
  <c r="I80" i="86"/>
  <c r="H80" i="86"/>
  <c r="G80" i="86"/>
  <c r="F80" i="86"/>
  <c r="E80" i="86"/>
  <c r="I71" i="86"/>
  <c r="H71" i="86"/>
  <c r="G71" i="86"/>
  <c r="F71" i="86"/>
  <c r="E71" i="86"/>
  <c r="I69" i="86"/>
  <c r="H69" i="86"/>
  <c r="G69" i="86"/>
  <c r="F69" i="86"/>
  <c r="E69" i="86"/>
  <c r="I66" i="86"/>
  <c r="H66" i="86"/>
  <c r="G66" i="86"/>
  <c r="F66" i="86"/>
  <c r="E66" i="86"/>
  <c r="I64" i="86"/>
  <c r="H64" i="86"/>
  <c r="G64" i="86"/>
  <c r="F64" i="86"/>
  <c r="E64" i="86"/>
  <c r="I62" i="86"/>
  <c r="H62" i="86"/>
  <c r="G62" i="86"/>
  <c r="F62" i="86"/>
  <c r="E62" i="86"/>
  <c r="I57" i="86"/>
  <c r="H57" i="86"/>
  <c r="G57" i="86"/>
  <c r="F57" i="86"/>
  <c r="E57" i="86"/>
  <c r="I53" i="86"/>
  <c r="H53" i="86"/>
  <c r="G53" i="86"/>
  <c r="F53" i="86"/>
  <c r="E53" i="86"/>
  <c r="I51" i="86"/>
  <c r="H51" i="86"/>
  <c r="G51" i="86"/>
  <c r="F51" i="86"/>
  <c r="E51" i="86"/>
  <c r="I48" i="86"/>
  <c r="H48" i="86"/>
  <c r="G48" i="86"/>
  <c r="F48" i="86"/>
  <c r="E48" i="86"/>
  <c r="I46" i="86"/>
  <c r="H46" i="86"/>
  <c r="G46" i="86"/>
  <c r="F46" i="86"/>
  <c r="E46" i="86"/>
  <c r="I40" i="86"/>
  <c r="H40" i="86"/>
  <c r="G40" i="86"/>
  <c r="F40" i="86"/>
  <c r="E40" i="86"/>
  <c r="I37" i="86"/>
  <c r="I41" i="86" s="1"/>
  <c r="H37" i="86"/>
  <c r="G37" i="86"/>
  <c r="F37" i="86"/>
  <c r="E37" i="86"/>
  <c r="I19" i="86"/>
  <c r="H19" i="86"/>
  <c r="G19" i="86"/>
  <c r="F19" i="86"/>
  <c r="E19" i="86"/>
  <c r="I16" i="86"/>
  <c r="H16" i="86"/>
  <c r="G16" i="86"/>
  <c r="F16" i="86"/>
  <c r="E16" i="86"/>
  <c r="I13" i="86"/>
  <c r="H13" i="86"/>
  <c r="G13" i="86"/>
  <c r="F13" i="86"/>
  <c r="E13" i="86"/>
  <c r="I10" i="86"/>
  <c r="H10" i="86"/>
  <c r="G10" i="86"/>
  <c r="F10" i="86"/>
  <c r="E10" i="86"/>
  <c r="I8" i="86"/>
  <c r="H8" i="86"/>
  <c r="G8" i="86"/>
  <c r="F8" i="86"/>
  <c r="E8" i="86"/>
  <c r="I4" i="86"/>
  <c r="H4" i="86"/>
  <c r="G4" i="86"/>
  <c r="F4" i="86"/>
  <c r="E4" i="86"/>
  <c r="E41" i="86" l="1"/>
  <c r="F14" i="86"/>
  <c r="F20" i="86"/>
  <c r="F58" i="86"/>
  <c r="E58" i="86"/>
  <c r="I58" i="86"/>
  <c r="E72" i="86"/>
  <c r="I72" i="86"/>
  <c r="H92" i="86"/>
  <c r="G14" i="86"/>
  <c r="H147" i="86"/>
  <c r="F147" i="86"/>
  <c r="H14" i="86"/>
  <c r="H20" i="86"/>
  <c r="H58" i="86"/>
  <c r="F92" i="86"/>
  <c r="E92" i="86"/>
  <c r="I92" i="86"/>
  <c r="E147" i="86"/>
  <c r="I147" i="86"/>
  <c r="G41" i="86"/>
  <c r="H72" i="86"/>
  <c r="G147" i="86"/>
  <c r="E14" i="86"/>
  <c r="I14" i="86"/>
  <c r="E20" i="86"/>
  <c r="I20" i="86"/>
  <c r="F41" i="86"/>
  <c r="G58" i="86"/>
  <c r="F72" i="86"/>
  <c r="G20" i="86"/>
  <c r="H41" i="86"/>
  <c r="G72" i="86"/>
  <c r="G92" i="86"/>
  <c r="AR24" i="3"/>
  <c r="W24" i="3" s="1"/>
  <c r="BQ24" i="3" l="1"/>
  <c r="V24" i="3"/>
  <c r="AC23" i="3" l="1"/>
  <c r="AD23" i="3"/>
  <c r="AE23" i="3"/>
  <c r="AF23" i="3"/>
  <c r="AG23" i="3"/>
  <c r="AH23" i="3"/>
  <c r="AI23" i="3"/>
  <c r="AJ23" i="3"/>
  <c r="AK23" i="3"/>
  <c r="AL23" i="3"/>
  <c r="AM23" i="3"/>
  <c r="AB23" i="3"/>
  <c r="AC25" i="3"/>
  <c r="AD25" i="3"/>
  <c r="AE25" i="3"/>
  <c r="AF25" i="3"/>
  <c r="AB25" i="3"/>
  <c r="AC26" i="3"/>
  <c r="BD26" i="3" s="1"/>
  <c r="AD26" i="3"/>
  <c r="BE26" i="3" s="1"/>
  <c r="AE26" i="3"/>
  <c r="BF26" i="3" s="1"/>
  <c r="AF26" i="3"/>
  <c r="AG26" i="3"/>
  <c r="AH26" i="3"/>
  <c r="BI26" i="3" s="1"/>
  <c r="AI26" i="3"/>
  <c r="BJ26" i="3" s="1"/>
  <c r="AJ26" i="3"/>
  <c r="BK26" i="3" s="1"/>
  <c r="AK26" i="3"/>
  <c r="BL26" i="3" s="1"/>
  <c r="AL26" i="3"/>
  <c r="BM26" i="3" s="1"/>
  <c r="AM26" i="3"/>
  <c r="BN26" i="3" s="1"/>
  <c r="AB26" i="3"/>
  <c r="BC26" i="3" s="1"/>
  <c r="K26" i="3"/>
  <c r="BB26" i="3"/>
  <c r="AF32" i="3"/>
  <c r="AG32" i="3"/>
  <c r="AH32" i="3"/>
  <c r="AI32" i="3"/>
  <c r="AJ32" i="3"/>
  <c r="AK32" i="3"/>
  <c r="AL32" i="3"/>
  <c r="AM32" i="3"/>
  <c r="AE32" i="3"/>
  <c r="AB32" i="3"/>
  <c r="AD31" i="3"/>
  <c r="AE31" i="3"/>
  <c r="AC31" i="3"/>
  <c r="AB31" i="3"/>
  <c r="AC30" i="3"/>
  <c r="AD30" i="3"/>
  <c r="AE30" i="3"/>
  <c r="AF30" i="3"/>
  <c r="AG30" i="3"/>
  <c r="AH30" i="3"/>
  <c r="AI30" i="3"/>
  <c r="AJ30" i="3"/>
  <c r="AK30" i="3"/>
  <c r="AL30" i="3"/>
  <c r="AM30" i="3"/>
  <c r="AB30" i="3"/>
  <c r="AC29" i="3"/>
  <c r="AD29" i="3"/>
  <c r="AE29" i="3"/>
  <c r="AF29" i="3"/>
  <c r="AG29" i="3"/>
  <c r="AH29" i="3"/>
  <c r="AI29" i="3"/>
  <c r="AJ29" i="3"/>
  <c r="AK29" i="3"/>
  <c r="AL29" i="3"/>
  <c r="AM29" i="3"/>
  <c r="AB29" i="3"/>
  <c r="AB22" i="3"/>
  <c r="AC98" i="3"/>
  <c r="AD98" i="3"/>
  <c r="AE98" i="3"/>
  <c r="AF98" i="3"/>
  <c r="AG98" i="3"/>
  <c r="AO98" i="3" s="1"/>
  <c r="W98" i="3" s="1"/>
  <c r="AB98" i="3"/>
  <c r="AS105" i="3"/>
  <c r="BQ105" i="3" s="1"/>
  <c r="AO32" i="3" l="1"/>
  <c r="W32" i="3" s="1"/>
  <c r="W25" i="3"/>
  <c r="BH26" i="3"/>
  <c r="AO26" i="3"/>
  <c r="W26" i="3" s="1"/>
  <c r="AO29" i="3"/>
  <c r="AO30" i="3"/>
  <c r="W30" i="3" s="1"/>
  <c r="AO23" i="3"/>
  <c r="W23" i="3" s="1"/>
  <c r="BG26" i="3"/>
  <c r="AN26" i="3"/>
  <c r="AS11" i="3"/>
  <c r="W119" i="3"/>
  <c r="AS85" i="3"/>
  <c r="AT85" i="3"/>
  <c r="AU85" i="3"/>
  <c r="BH85" i="3" s="1"/>
  <c r="AV85" i="3"/>
  <c r="AW85" i="3"/>
  <c r="AX85" i="3"/>
  <c r="AY85" i="3"/>
  <c r="BL85" i="3" s="1"/>
  <c r="AZ85" i="3"/>
  <c r="BA85" i="3"/>
  <c r="BE85" i="3"/>
  <c r="AM78" i="3"/>
  <c r="AO78" i="3" s="1"/>
  <c r="W78" i="3" s="1"/>
  <c r="AK71" i="3"/>
  <c r="AO71" i="3" s="1"/>
  <c r="W71" i="3" s="1"/>
  <c r="AM41" i="3"/>
  <c r="AO41" i="3" s="1"/>
  <c r="AB9" i="3"/>
  <c r="AC9" i="3"/>
  <c r="AD9" i="3"/>
  <c r="AE9" i="3"/>
  <c r="AF9" i="3"/>
  <c r="AG9" i="3"/>
  <c r="AH9" i="3"/>
  <c r="AI9" i="3"/>
  <c r="AJ9" i="3"/>
  <c r="AK9" i="3"/>
  <c r="AL9" i="3"/>
  <c r="BG34" i="3"/>
  <c r="AU34" i="3"/>
  <c r="BH34" i="3" s="1"/>
  <c r="BF34" i="3"/>
  <c r="BF48" i="3"/>
  <c r="K8" i="3"/>
  <c r="AN8" i="3"/>
  <c r="X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N5" i="3"/>
  <c r="BN6" i="3"/>
  <c r="BN7" i="3"/>
  <c r="BN10" i="3"/>
  <c r="BN13" i="3"/>
  <c r="BN14" i="3"/>
  <c r="BN15" i="3"/>
  <c r="BN16" i="3"/>
  <c r="BN17" i="3"/>
  <c r="BN18" i="3"/>
  <c r="BN19" i="3"/>
  <c r="BN20" i="3"/>
  <c r="BN21" i="3"/>
  <c r="BN22" i="3"/>
  <c r="BN23" i="3"/>
  <c r="BN24" i="3"/>
  <c r="BN25" i="3"/>
  <c r="BN27" i="3"/>
  <c r="BN28" i="3"/>
  <c r="BN29" i="3"/>
  <c r="BN30" i="3"/>
  <c r="BN34" i="3"/>
  <c r="BN36" i="3"/>
  <c r="BN40" i="3"/>
  <c r="BN44" i="3"/>
  <c r="BN45" i="3"/>
  <c r="BN46" i="3"/>
  <c r="BN47" i="3"/>
  <c r="BN48" i="3"/>
  <c r="BN49" i="3"/>
  <c r="BN50" i="3"/>
  <c r="BN51" i="3"/>
  <c r="BN52" i="3"/>
  <c r="BN53" i="3"/>
  <c r="BN54" i="3"/>
  <c r="BN55" i="3"/>
  <c r="BN56" i="3"/>
  <c r="BN57" i="3"/>
  <c r="BN58" i="3"/>
  <c r="BN60" i="3"/>
  <c r="BN61" i="3"/>
  <c r="BN62" i="3"/>
  <c r="BN63" i="3"/>
  <c r="BN64" i="3"/>
  <c r="BN65" i="3"/>
  <c r="BN66" i="3"/>
  <c r="BN67" i="3"/>
  <c r="BN69" i="3"/>
  <c r="BN70" i="3"/>
  <c r="BN71" i="3"/>
  <c r="BN72" i="3"/>
  <c r="BN73" i="3"/>
  <c r="BN74" i="3"/>
  <c r="BN75" i="3"/>
  <c r="BN76" i="3"/>
  <c r="BN77" i="3"/>
  <c r="BN79" i="3"/>
  <c r="BN80" i="3"/>
  <c r="BN81" i="3"/>
  <c r="BN83" i="3"/>
  <c r="BN84" i="3"/>
  <c r="BN86" i="3"/>
  <c r="BN87" i="3"/>
  <c r="BN88" i="3"/>
  <c r="BN89" i="3"/>
  <c r="BN90" i="3"/>
  <c r="BN91" i="3"/>
  <c r="BN93" i="3"/>
  <c r="BN95" i="3"/>
  <c r="BN96" i="3"/>
  <c r="BN97" i="3"/>
  <c r="BN98" i="3"/>
  <c r="BN102" i="3"/>
  <c r="BN103" i="3"/>
  <c r="BN106" i="3"/>
  <c r="BN108" i="3"/>
  <c r="BN109" i="3"/>
  <c r="BN110" i="3"/>
  <c r="BN111" i="3"/>
  <c r="BN113" i="3"/>
  <c r="BN114" i="3"/>
  <c r="BN115" i="3"/>
  <c r="BN116" i="3"/>
  <c r="BN117" i="3"/>
  <c r="BN118" i="3"/>
  <c r="BN119" i="3"/>
  <c r="BN120" i="3"/>
  <c r="BN121" i="3"/>
  <c r="BN122" i="3"/>
  <c r="BN124" i="3"/>
  <c r="BN125" i="3"/>
  <c r="BN126" i="3"/>
  <c r="BN129" i="3"/>
  <c r="BN130" i="3"/>
  <c r="BN131" i="3"/>
  <c r="BN132" i="3"/>
  <c r="BN133" i="3"/>
  <c r="BN134" i="3"/>
  <c r="BN135" i="3"/>
  <c r="BN136" i="3"/>
  <c r="BN137" i="3"/>
  <c r="BN138" i="3"/>
  <c r="BN141" i="3"/>
  <c r="BN143" i="3"/>
  <c r="BN144" i="3"/>
  <c r="BN145" i="3"/>
  <c r="BN146" i="3"/>
  <c r="BN147" i="3"/>
  <c r="BN148" i="3"/>
  <c r="BM5" i="3"/>
  <c r="BM6" i="3"/>
  <c r="BM7" i="3"/>
  <c r="BM10" i="3"/>
  <c r="BM11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7" i="3"/>
  <c r="BM28" i="3"/>
  <c r="BM29" i="3"/>
  <c r="BM30" i="3"/>
  <c r="BM34" i="3"/>
  <c r="BM36" i="3"/>
  <c r="BM40" i="3"/>
  <c r="BM41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60" i="3"/>
  <c r="BM62" i="3"/>
  <c r="BM63" i="3"/>
  <c r="BM64" i="3"/>
  <c r="BM65" i="3"/>
  <c r="BM66" i="3"/>
  <c r="BM67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3" i="3"/>
  <c r="BM84" i="3"/>
  <c r="BM86" i="3"/>
  <c r="BM87" i="3"/>
  <c r="BM88" i="3"/>
  <c r="BM89" i="3"/>
  <c r="BM90" i="3"/>
  <c r="BM91" i="3"/>
  <c r="BM92" i="3"/>
  <c r="BM93" i="3"/>
  <c r="BM95" i="3"/>
  <c r="BM96" i="3"/>
  <c r="BM97" i="3"/>
  <c r="BM98" i="3"/>
  <c r="BM102" i="3"/>
  <c r="BM103" i="3"/>
  <c r="BM104" i="3"/>
  <c r="BM105" i="3"/>
  <c r="BM106" i="3"/>
  <c r="BM108" i="3"/>
  <c r="BM109" i="3"/>
  <c r="BM110" i="3"/>
  <c r="BM111" i="3"/>
  <c r="BM113" i="3"/>
  <c r="BM114" i="3"/>
  <c r="BM115" i="3"/>
  <c r="BM116" i="3"/>
  <c r="BM117" i="3"/>
  <c r="BM118" i="3"/>
  <c r="BM119" i="3"/>
  <c r="BM120" i="3"/>
  <c r="BM121" i="3"/>
  <c r="BM122" i="3"/>
  <c r="BM124" i="3"/>
  <c r="BM125" i="3"/>
  <c r="BM126" i="3"/>
  <c r="BM128" i="3"/>
  <c r="BM129" i="3"/>
  <c r="BM130" i="3"/>
  <c r="BM131" i="3"/>
  <c r="BM132" i="3"/>
  <c r="BM133" i="3"/>
  <c r="BM134" i="3"/>
  <c r="BM135" i="3"/>
  <c r="BM136" i="3"/>
  <c r="BM137" i="3"/>
  <c r="BM138" i="3"/>
  <c r="BM141" i="3"/>
  <c r="BM143" i="3"/>
  <c r="BM144" i="3"/>
  <c r="BM145" i="3"/>
  <c r="BM146" i="3"/>
  <c r="BM147" i="3"/>
  <c r="BM148" i="3"/>
  <c r="BL5" i="3"/>
  <c r="BL6" i="3"/>
  <c r="BL7" i="3"/>
  <c r="BL10" i="3"/>
  <c r="BL11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7" i="3"/>
  <c r="BL28" i="3"/>
  <c r="BL29" i="3"/>
  <c r="BL30" i="3"/>
  <c r="BL34" i="3"/>
  <c r="BL36" i="3"/>
  <c r="BL40" i="3"/>
  <c r="BL41" i="3"/>
  <c r="BL43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60" i="3"/>
  <c r="BL62" i="3"/>
  <c r="BL63" i="3"/>
  <c r="BL64" i="3"/>
  <c r="BL65" i="3"/>
  <c r="BL66" i="3"/>
  <c r="BL67" i="3"/>
  <c r="BL69" i="3"/>
  <c r="BL70" i="3"/>
  <c r="BL72" i="3"/>
  <c r="BL73" i="3"/>
  <c r="BL74" i="3"/>
  <c r="BL75" i="3"/>
  <c r="BL76" i="3"/>
  <c r="BL77" i="3"/>
  <c r="BL78" i="3"/>
  <c r="BL79" i="3"/>
  <c r="BL80" i="3"/>
  <c r="BL81" i="3"/>
  <c r="BL83" i="3"/>
  <c r="BL84" i="3"/>
  <c r="BL86" i="3"/>
  <c r="BL87" i="3"/>
  <c r="BL88" i="3"/>
  <c r="BL89" i="3"/>
  <c r="BL90" i="3"/>
  <c r="BL91" i="3"/>
  <c r="BL92" i="3"/>
  <c r="BL93" i="3"/>
  <c r="BL95" i="3"/>
  <c r="BL96" i="3"/>
  <c r="BL97" i="3"/>
  <c r="BL98" i="3"/>
  <c r="BL102" i="3"/>
  <c r="BL103" i="3"/>
  <c r="BL104" i="3"/>
  <c r="BL105" i="3"/>
  <c r="BL106" i="3"/>
  <c r="BL108" i="3"/>
  <c r="BL109" i="3"/>
  <c r="BL110" i="3"/>
  <c r="BL111" i="3"/>
  <c r="BL113" i="3"/>
  <c r="BL114" i="3"/>
  <c r="BL115" i="3"/>
  <c r="BL116" i="3"/>
  <c r="BL117" i="3"/>
  <c r="BL118" i="3"/>
  <c r="BL119" i="3"/>
  <c r="BL120" i="3"/>
  <c r="BL121" i="3"/>
  <c r="BL122" i="3"/>
  <c r="BL124" i="3"/>
  <c r="BL125" i="3"/>
  <c r="BL126" i="3"/>
  <c r="BL128" i="3"/>
  <c r="BL129" i="3"/>
  <c r="BL130" i="3"/>
  <c r="BL131" i="3"/>
  <c r="BL132" i="3"/>
  <c r="BL133" i="3"/>
  <c r="BL134" i="3"/>
  <c r="BL135" i="3"/>
  <c r="BL136" i="3"/>
  <c r="BL137" i="3"/>
  <c r="BL138" i="3"/>
  <c r="BL141" i="3"/>
  <c r="BL143" i="3"/>
  <c r="BL144" i="3"/>
  <c r="BL145" i="3"/>
  <c r="BL146" i="3"/>
  <c r="BL147" i="3"/>
  <c r="BL148" i="3"/>
  <c r="BK5" i="3"/>
  <c r="BK6" i="3"/>
  <c r="BK7" i="3"/>
  <c r="BK10" i="3"/>
  <c r="BK11" i="3"/>
  <c r="BK13" i="3"/>
  <c r="BK14" i="3"/>
  <c r="BK15" i="3"/>
  <c r="BK16" i="3"/>
  <c r="BK17" i="3"/>
  <c r="BK18" i="3"/>
  <c r="BK19" i="3"/>
  <c r="BK20" i="3"/>
  <c r="BK21" i="3"/>
  <c r="BK22" i="3"/>
  <c r="BK23" i="3"/>
  <c r="BK24" i="3"/>
  <c r="BK25" i="3"/>
  <c r="BK27" i="3"/>
  <c r="BK28" i="3"/>
  <c r="BK29" i="3"/>
  <c r="BK30" i="3"/>
  <c r="BK34" i="3"/>
  <c r="BK36" i="3"/>
  <c r="BK40" i="3"/>
  <c r="BK41" i="3"/>
  <c r="BK43" i="3"/>
  <c r="BK44" i="3"/>
  <c r="BK45" i="3"/>
  <c r="BK46" i="3"/>
  <c r="BK47" i="3"/>
  <c r="BK48" i="3"/>
  <c r="BK49" i="3"/>
  <c r="BK50" i="3"/>
  <c r="BK51" i="3"/>
  <c r="BK52" i="3"/>
  <c r="BK53" i="3"/>
  <c r="BK54" i="3"/>
  <c r="BK55" i="3"/>
  <c r="BK56" i="3"/>
  <c r="BK57" i="3"/>
  <c r="BK58" i="3"/>
  <c r="BK60" i="3"/>
  <c r="BK62" i="3"/>
  <c r="BK63" i="3"/>
  <c r="BK64" i="3"/>
  <c r="BK65" i="3"/>
  <c r="BK66" i="3"/>
  <c r="BK67" i="3"/>
  <c r="BK69" i="3"/>
  <c r="BK70" i="3"/>
  <c r="BK71" i="3"/>
  <c r="BK72" i="3"/>
  <c r="BK73" i="3"/>
  <c r="BK74" i="3"/>
  <c r="BK75" i="3"/>
  <c r="BK76" i="3"/>
  <c r="BK77" i="3"/>
  <c r="BK78" i="3"/>
  <c r="BK79" i="3"/>
  <c r="BK80" i="3"/>
  <c r="BK81" i="3"/>
  <c r="BK83" i="3"/>
  <c r="BK84" i="3"/>
  <c r="BK86" i="3"/>
  <c r="BK87" i="3"/>
  <c r="BK88" i="3"/>
  <c r="BK89" i="3"/>
  <c r="BK90" i="3"/>
  <c r="BK91" i="3"/>
  <c r="BK92" i="3"/>
  <c r="BK93" i="3"/>
  <c r="BK95" i="3"/>
  <c r="BK96" i="3"/>
  <c r="BK97" i="3"/>
  <c r="BK98" i="3"/>
  <c r="BK102" i="3"/>
  <c r="BK103" i="3"/>
  <c r="BK104" i="3"/>
  <c r="BK105" i="3"/>
  <c r="BK106" i="3"/>
  <c r="BK108" i="3"/>
  <c r="BK109" i="3"/>
  <c r="BK110" i="3"/>
  <c r="BK111" i="3"/>
  <c r="BK113" i="3"/>
  <c r="BK114" i="3"/>
  <c r="BK115" i="3"/>
  <c r="BK116" i="3"/>
  <c r="BK117" i="3"/>
  <c r="BK118" i="3"/>
  <c r="BK119" i="3"/>
  <c r="BK120" i="3"/>
  <c r="BK121" i="3"/>
  <c r="BK124" i="3"/>
  <c r="BK125" i="3"/>
  <c r="BK126" i="3"/>
  <c r="BK128" i="3"/>
  <c r="BK129" i="3"/>
  <c r="BK130" i="3"/>
  <c r="BK131" i="3"/>
  <c r="BK132" i="3"/>
  <c r="BK133" i="3"/>
  <c r="BK134" i="3"/>
  <c r="BK135" i="3"/>
  <c r="BK136" i="3"/>
  <c r="BK137" i="3"/>
  <c r="BK138" i="3"/>
  <c r="BK141" i="3"/>
  <c r="BK143" i="3"/>
  <c r="BK144" i="3"/>
  <c r="BK145" i="3"/>
  <c r="BK146" i="3"/>
  <c r="BK147" i="3"/>
  <c r="BK148" i="3"/>
  <c r="BJ5" i="3"/>
  <c r="BJ6" i="3"/>
  <c r="BJ7" i="3"/>
  <c r="BJ10" i="3"/>
  <c r="BJ11" i="3"/>
  <c r="BJ13" i="3"/>
  <c r="BJ14" i="3"/>
  <c r="BJ15" i="3"/>
  <c r="BJ16" i="3"/>
  <c r="BJ17" i="3"/>
  <c r="BJ18" i="3"/>
  <c r="BJ19" i="3"/>
  <c r="BJ20" i="3"/>
  <c r="BJ21" i="3"/>
  <c r="BJ22" i="3"/>
  <c r="BJ23" i="3"/>
  <c r="BJ24" i="3"/>
  <c r="BJ25" i="3"/>
  <c r="BJ27" i="3"/>
  <c r="BJ28" i="3"/>
  <c r="BJ29" i="3"/>
  <c r="BJ30" i="3"/>
  <c r="BJ34" i="3"/>
  <c r="BJ36" i="3"/>
  <c r="BJ40" i="3"/>
  <c r="BJ41" i="3"/>
  <c r="BJ43" i="3"/>
  <c r="BJ44" i="3"/>
  <c r="BJ45" i="3"/>
  <c r="BJ46" i="3"/>
  <c r="BJ47" i="3"/>
  <c r="BJ48" i="3"/>
  <c r="BJ49" i="3"/>
  <c r="BJ50" i="3"/>
  <c r="BJ51" i="3"/>
  <c r="BJ52" i="3"/>
  <c r="BJ53" i="3"/>
  <c r="BJ54" i="3"/>
  <c r="BJ55" i="3"/>
  <c r="BJ56" i="3"/>
  <c r="BJ57" i="3"/>
  <c r="BJ58" i="3"/>
  <c r="BJ60" i="3"/>
  <c r="BJ62" i="3"/>
  <c r="BJ63" i="3"/>
  <c r="BJ64" i="3"/>
  <c r="BJ65" i="3"/>
  <c r="BJ66" i="3"/>
  <c r="BJ67" i="3"/>
  <c r="BJ69" i="3"/>
  <c r="BJ70" i="3"/>
  <c r="BJ71" i="3"/>
  <c r="BJ72" i="3"/>
  <c r="BJ73" i="3"/>
  <c r="BJ74" i="3"/>
  <c r="BJ75" i="3"/>
  <c r="BJ76" i="3"/>
  <c r="BJ77" i="3"/>
  <c r="BJ78" i="3"/>
  <c r="BJ79" i="3"/>
  <c r="BJ80" i="3"/>
  <c r="BJ81" i="3"/>
  <c r="BJ83" i="3"/>
  <c r="BJ84" i="3"/>
  <c r="BJ86" i="3"/>
  <c r="BJ87" i="3"/>
  <c r="BJ88" i="3"/>
  <c r="BJ89" i="3"/>
  <c r="BJ90" i="3"/>
  <c r="BJ91" i="3"/>
  <c r="BJ92" i="3"/>
  <c r="BJ93" i="3"/>
  <c r="BJ95" i="3"/>
  <c r="BJ96" i="3"/>
  <c r="BJ97" i="3"/>
  <c r="BJ98" i="3"/>
  <c r="BJ102" i="3"/>
  <c r="BJ103" i="3"/>
  <c r="BJ104" i="3"/>
  <c r="BJ105" i="3"/>
  <c r="BJ106" i="3"/>
  <c r="BJ108" i="3"/>
  <c r="BJ109" i="3"/>
  <c r="BJ110" i="3"/>
  <c r="BJ111" i="3"/>
  <c r="BJ113" i="3"/>
  <c r="BJ114" i="3"/>
  <c r="BJ115" i="3"/>
  <c r="BJ116" i="3"/>
  <c r="BJ117" i="3"/>
  <c r="BJ118" i="3"/>
  <c r="BJ119" i="3"/>
  <c r="BJ120" i="3"/>
  <c r="BJ121" i="3"/>
  <c r="BJ124" i="3"/>
  <c r="BJ125" i="3"/>
  <c r="BJ126" i="3"/>
  <c r="BJ128" i="3"/>
  <c r="BJ129" i="3"/>
  <c r="BJ130" i="3"/>
  <c r="BJ131" i="3"/>
  <c r="BJ132" i="3"/>
  <c r="BJ133" i="3"/>
  <c r="BJ134" i="3"/>
  <c r="BJ135" i="3"/>
  <c r="BJ136" i="3"/>
  <c r="BJ137" i="3"/>
  <c r="BJ138" i="3"/>
  <c r="BJ141" i="3"/>
  <c r="BJ143" i="3"/>
  <c r="BJ144" i="3"/>
  <c r="BJ145" i="3"/>
  <c r="BJ146" i="3"/>
  <c r="BJ147" i="3"/>
  <c r="BJ148" i="3"/>
  <c r="BI5" i="3"/>
  <c r="BI6" i="3"/>
  <c r="BI7" i="3"/>
  <c r="BI10" i="3"/>
  <c r="BI11" i="3"/>
  <c r="BI13" i="3"/>
  <c r="BI14" i="3"/>
  <c r="BI15" i="3"/>
  <c r="BI16" i="3"/>
  <c r="BI17" i="3"/>
  <c r="BI18" i="3"/>
  <c r="BI19" i="3"/>
  <c r="BI20" i="3"/>
  <c r="BI21" i="3"/>
  <c r="BI22" i="3"/>
  <c r="BI23" i="3"/>
  <c r="BI24" i="3"/>
  <c r="BI25" i="3"/>
  <c r="BI27" i="3"/>
  <c r="BI28" i="3"/>
  <c r="BI29" i="3"/>
  <c r="BI30" i="3"/>
  <c r="BI34" i="3"/>
  <c r="BI36" i="3"/>
  <c r="BI40" i="3"/>
  <c r="BI41" i="3"/>
  <c r="BI43" i="3"/>
  <c r="BI44" i="3"/>
  <c r="BI45" i="3"/>
  <c r="BI46" i="3"/>
  <c r="BI47" i="3"/>
  <c r="BI48" i="3"/>
  <c r="BI49" i="3"/>
  <c r="BI50" i="3"/>
  <c r="BI51" i="3"/>
  <c r="BI52" i="3"/>
  <c r="BI53" i="3"/>
  <c r="BI54" i="3"/>
  <c r="BI55" i="3"/>
  <c r="BI56" i="3"/>
  <c r="BI57" i="3"/>
  <c r="BI58" i="3"/>
  <c r="BI60" i="3"/>
  <c r="BI62" i="3"/>
  <c r="BI63" i="3"/>
  <c r="BI64" i="3"/>
  <c r="BI65" i="3"/>
  <c r="BI66" i="3"/>
  <c r="BI67" i="3"/>
  <c r="BI69" i="3"/>
  <c r="BI70" i="3"/>
  <c r="BI71" i="3"/>
  <c r="BI72" i="3"/>
  <c r="BI73" i="3"/>
  <c r="BI74" i="3"/>
  <c r="BI75" i="3"/>
  <c r="BI76" i="3"/>
  <c r="BI77" i="3"/>
  <c r="BI78" i="3"/>
  <c r="BI79" i="3"/>
  <c r="BI80" i="3"/>
  <c r="BI81" i="3"/>
  <c r="BI83" i="3"/>
  <c r="BI84" i="3"/>
  <c r="BI86" i="3"/>
  <c r="BI87" i="3"/>
  <c r="BI88" i="3"/>
  <c r="BI89" i="3"/>
  <c r="BI90" i="3"/>
  <c r="BI91" i="3"/>
  <c r="BI92" i="3"/>
  <c r="BI93" i="3"/>
  <c r="BI95" i="3"/>
  <c r="BI96" i="3"/>
  <c r="BI97" i="3"/>
  <c r="BI98" i="3"/>
  <c r="BI102" i="3"/>
  <c r="BI103" i="3"/>
  <c r="BI104" i="3"/>
  <c r="BI105" i="3"/>
  <c r="BI106" i="3"/>
  <c r="BI108" i="3"/>
  <c r="BI109" i="3"/>
  <c r="BI110" i="3"/>
  <c r="BI111" i="3"/>
  <c r="BI113" i="3"/>
  <c r="BI114" i="3"/>
  <c r="BI115" i="3"/>
  <c r="BI116" i="3"/>
  <c r="BI117" i="3"/>
  <c r="BI118" i="3"/>
  <c r="BI119" i="3"/>
  <c r="BI120" i="3"/>
  <c r="BI121" i="3"/>
  <c r="BI124" i="3"/>
  <c r="BI125" i="3"/>
  <c r="BI126" i="3"/>
  <c r="BI128" i="3"/>
  <c r="BI129" i="3"/>
  <c r="BI130" i="3"/>
  <c r="BI131" i="3"/>
  <c r="BI132" i="3"/>
  <c r="BI133" i="3"/>
  <c r="BI134" i="3"/>
  <c r="BI135" i="3"/>
  <c r="BI136" i="3"/>
  <c r="BI137" i="3"/>
  <c r="BI138" i="3"/>
  <c r="BI141" i="3"/>
  <c r="BI143" i="3"/>
  <c r="BI144" i="3"/>
  <c r="BI145" i="3"/>
  <c r="BI146" i="3"/>
  <c r="BI147" i="3"/>
  <c r="BI148" i="3"/>
  <c r="BH5" i="3"/>
  <c r="BH6" i="3"/>
  <c r="BH7" i="3"/>
  <c r="BH10" i="3"/>
  <c r="BH11" i="3"/>
  <c r="BH13" i="3"/>
  <c r="BH14" i="3"/>
  <c r="BH15" i="3"/>
  <c r="BH16" i="3"/>
  <c r="BH17" i="3"/>
  <c r="BH18" i="3"/>
  <c r="BH19" i="3"/>
  <c r="BH20" i="3"/>
  <c r="BH21" i="3"/>
  <c r="BH22" i="3"/>
  <c r="BH23" i="3"/>
  <c r="BH24" i="3"/>
  <c r="BH25" i="3"/>
  <c r="BH27" i="3"/>
  <c r="BH28" i="3"/>
  <c r="BH29" i="3"/>
  <c r="BH30" i="3"/>
  <c r="BH36" i="3"/>
  <c r="BH40" i="3"/>
  <c r="BH41" i="3"/>
  <c r="BH43" i="3"/>
  <c r="BH44" i="3"/>
  <c r="BH45" i="3"/>
  <c r="BH46" i="3"/>
  <c r="BH47" i="3"/>
  <c r="BH48" i="3"/>
  <c r="BH49" i="3"/>
  <c r="BH50" i="3"/>
  <c r="BH51" i="3"/>
  <c r="BH52" i="3"/>
  <c r="BH53" i="3"/>
  <c r="BH54" i="3"/>
  <c r="BH55" i="3"/>
  <c r="BH56" i="3"/>
  <c r="BH57" i="3"/>
  <c r="BH58" i="3"/>
  <c r="BH60" i="3"/>
  <c r="BH62" i="3"/>
  <c r="BH63" i="3"/>
  <c r="BH64" i="3"/>
  <c r="BH65" i="3"/>
  <c r="BH66" i="3"/>
  <c r="BH67" i="3"/>
  <c r="BH69" i="3"/>
  <c r="BH70" i="3"/>
  <c r="BH71" i="3"/>
  <c r="BH72" i="3"/>
  <c r="BH73" i="3"/>
  <c r="BH74" i="3"/>
  <c r="BH75" i="3"/>
  <c r="BH77" i="3"/>
  <c r="BH78" i="3"/>
  <c r="BH79" i="3"/>
  <c r="BH80" i="3"/>
  <c r="BH81" i="3"/>
  <c r="BH83" i="3"/>
  <c r="BH84" i="3"/>
  <c r="BH86" i="3"/>
  <c r="BH87" i="3"/>
  <c r="BH88" i="3"/>
  <c r="BH89" i="3"/>
  <c r="BH90" i="3"/>
  <c r="BH91" i="3"/>
  <c r="BH92" i="3"/>
  <c r="BH95" i="3"/>
  <c r="BH96" i="3"/>
  <c r="BH97" i="3"/>
  <c r="BH98" i="3"/>
  <c r="BH102" i="3"/>
  <c r="BH103" i="3"/>
  <c r="BH104" i="3"/>
  <c r="BH105" i="3"/>
  <c r="BH106" i="3"/>
  <c r="BH108" i="3"/>
  <c r="BH109" i="3"/>
  <c r="BH110" i="3"/>
  <c r="BH111" i="3"/>
  <c r="BH113" i="3"/>
  <c r="BH114" i="3"/>
  <c r="BH115" i="3"/>
  <c r="BH116" i="3"/>
  <c r="BH117" i="3"/>
  <c r="BH118" i="3"/>
  <c r="BH119" i="3"/>
  <c r="BH120" i="3"/>
  <c r="BH121" i="3"/>
  <c r="BH124" i="3"/>
  <c r="BH125" i="3"/>
  <c r="BH126" i="3"/>
  <c r="BH128" i="3"/>
  <c r="BH129" i="3"/>
  <c r="BH130" i="3"/>
  <c r="BH131" i="3"/>
  <c r="BH132" i="3"/>
  <c r="BH133" i="3"/>
  <c r="BH134" i="3"/>
  <c r="BH135" i="3"/>
  <c r="BH136" i="3"/>
  <c r="BH137" i="3"/>
  <c r="BH138" i="3"/>
  <c r="BH141" i="3"/>
  <c r="BH142" i="3"/>
  <c r="BH143" i="3"/>
  <c r="BH144" i="3"/>
  <c r="BH145" i="3"/>
  <c r="BH146" i="3"/>
  <c r="BH147" i="3"/>
  <c r="BH148" i="3"/>
  <c r="BG5" i="3"/>
  <c r="BG6" i="3"/>
  <c r="BG7" i="3"/>
  <c r="BG10" i="3"/>
  <c r="BG11" i="3"/>
  <c r="BG13" i="3"/>
  <c r="BG14" i="3"/>
  <c r="BG15" i="3"/>
  <c r="BG16" i="3"/>
  <c r="BG17" i="3"/>
  <c r="BG18" i="3"/>
  <c r="BG19" i="3"/>
  <c r="BG20" i="3"/>
  <c r="BG21" i="3"/>
  <c r="BG22" i="3"/>
  <c r="BG23" i="3"/>
  <c r="BG24" i="3"/>
  <c r="BG25" i="3"/>
  <c r="BG27" i="3"/>
  <c r="BG28" i="3"/>
  <c r="BG29" i="3"/>
  <c r="BG30" i="3"/>
  <c r="BG36" i="3"/>
  <c r="BG40" i="3"/>
  <c r="BG41" i="3"/>
  <c r="BG43" i="3"/>
  <c r="BG44" i="3"/>
  <c r="BG45" i="3"/>
  <c r="BG46" i="3"/>
  <c r="BG47" i="3"/>
  <c r="BG48" i="3"/>
  <c r="BG49" i="3"/>
  <c r="BG50" i="3"/>
  <c r="BG51" i="3"/>
  <c r="BG52" i="3"/>
  <c r="BG53" i="3"/>
  <c r="BG54" i="3"/>
  <c r="BG55" i="3"/>
  <c r="BG56" i="3"/>
  <c r="BG57" i="3"/>
  <c r="BG58" i="3"/>
  <c r="BG62" i="3"/>
  <c r="BG63" i="3"/>
  <c r="BG64" i="3"/>
  <c r="BG65" i="3"/>
  <c r="BG66" i="3"/>
  <c r="BG67" i="3"/>
  <c r="BG69" i="3"/>
  <c r="BG70" i="3"/>
  <c r="BG71" i="3"/>
  <c r="BG72" i="3"/>
  <c r="BG73" i="3"/>
  <c r="BG74" i="3"/>
  <c r="BG75" i="3"/>
  <c r="BG77" i="3"/>
  <c r="BG78" i="3"/>
  <c r="BG79" i="3"/>
  <c r="BG80" i="3"/>
  <c r="BG81" i="3"/>
  <c r="BG83" i="3"/>
  <c r="BG84" i="3"/>
  <c r="BG86" i="3"/>
  <c r="BG87" i="3"/>
  <c r="BG88" i="3"/>
  <c r="BG89" i="3"/>
  <c r="BG90" i="3"/>
  <c r="BG91" i="3"/>
  <c r="BG92" i="3"/>
  <c r="BG95" i="3"/>
  <c r="BG96" i="3"/>
  <c r="BG97" i="3"/>
  <c r="BG98" i="3"/>
  <c r="BG102" i="3"/>
  <c r="BG103" i="3"/>
  <c r="BG104" i="3"/>
  <c r="BG105" i="3"/>
  <c r="BG106" i="3"/>
  <c r="BG108" i="3"/>
  <c r="BG109" i="3"/>
  <c r="BG110" i="3"/>
  <c r="BG111" i="3"/>
  <c r="BG113" i="3"/>
  <c r="BG114" i="3"/>
  <c r="BG115" i="3"/>
  <c r="BG116" i="3"/>
  <c r="BG117" i="3"/>
  <c r="BG118" i="3"/>
  <c r="BG119" i="3"/>
  <c r="BG120" i="3"/>
  <c r="BG121" i="3"/>
  <c r="BG124" i="3"/>
  <c r="BG125" i="3"/>
  <c r="BG126" i="3"/>
  <c r="BG128" i="3"/>
  <c r="BG129" i="3"/>
  <c r="BG130" i="3"/>
  <c r="BG131" i="3"/>
  <c r="BG132" i="3"/>
  <c r="BG133" i="3"/>
  <c r="BG134" i="3"/>
  <c r="BG135" i="3"/>
  <c r="BG136" i="3"/>
  <c r="BG137" i="3"/>
  <c r="BG138" i="3"/>
  <c r="BG141" i="3"/>
  <c r="BG142" i="3"/>
  <c r="BG143" i="3"/>
  <c r="BG144" i="3"/>
  <c r="BG145" i="3"/>
  <c r="BG146" i="3"/>
  <c r="BG147" i="3"/>
  <c r="BG148" i="3"/>
  <c r="BF5" i="3"/>
  <c r="BF6" i="3"/>
  <c r="BF7" i="3"/>
  <c r="BF10" i="3"/>
  <c r="BF11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7" i="3"/>
  <c r="BF28" i="3"/>
  <c r="BF29" i="3"/>
  <c r="BF30" i="3"/>
  <c r="BF36" i="3"/>
  <c r="BF40" i="3"/>
  <c r="BF41" i="3"/>
  <c r="BF43" i="3"/>
  <c r="BF44" i="3"/>
  <c r="BF45" i="3"/>
  <c r="BF46" i="3"/>
  <c r="BF47" i="3"/>
  <c r="BF49" i="3"/>
  <c r="BF50" i="3"/>
  <c r="BF51" i="3"/>
  <c r="BF52" i="3"/>
  <c r="BF53" i="3"/>
  <c r="BF54" i="3"/>
  <c r="BF55" i="3"/>
  <c r="BF56" i="3"/>
  <c r="BF57" i="3"/>
  <c r="BF58" i="3"/>
  <c r="BF62" i="3"/>
  <c r="BF63" i="3"/>
  <c r="BF64" i="3"/>
  <c r="BF65" i="3"/>
  <c r="BF66" i="3"/>
  <c r="BF67" i="3"/>
  <c r="BF69" i="3"/>
  <c r="BF70" i="3"/>
  <c r="BF71" i="3"/>
  <c r="BF72" i="3"/>
  <c r="BF73" i="3"/>
  <c r="BF74" i="3"/>
  <c r="BF75" i="3"/>
  <c r="BF77" i="3"/>
  <c r="BF78" i="3"/>
  <c r="BF79" i="3"/>
  <c r="BF80" i="3"/>
  <c r="BF81" i="3"/>
  <c r="BF83" i="3"/>
  <c r="BF84" i="3"/>
  <c r="BF86" i="3"/>
  <c r="BF88" i="3"/>
  <c r="BF89" i="3"/>
  <c r="BF90" i="3"/>
  <c r="BF91" i="3"/>
  <c r="BF92" i="3"/>
  <c r="BF95" i="3"/>
  <c r="BF96" i="3"/>
  <c r="BF97" i="3"/>
  <c r="BF98" i="3"/>
  <c r="BF102" i="3"/>
  <c r="BF103" i="3"/>
  <c r="BF104" i="3"/>
  <c r="BF105" i="3"/>
  <c r="BF106" i="3"/>
  <c r="BF108" i="3"/>
  <c r="BF109" i="3"/>
  <c r="BF110" i="3"/>
  <c r="BF111" i="3"/>
  <c r="BF113" i="3"/>
  <c r="BF114" i="3"/>
  <c r="BF115" i="3"/>
  <c r="BF116" i="3"/>
  <c r="BF117" i="3"/>
  <c r="BF118" i="3"/>
  <c r="BF119" i="3"/>
  <c r="BF120" i="3"/>
  <c r="BF121" i="3"/>
  <c r="BF124" i="3"/>
  <c r="BF125" i="3"/>
  <c r="BF126" i="3"/>
  <c r="BF128" i="3"/>
  <c r="BF129" i="3"/>
  <c r="BF130" i="3"/>
  <c r="BF131" i="3"/>
  <c r="BF132" i="3"/>
  <c r="BF133" i="3"/>
  <c r="BF134" i="3"/>
  <c r="BF135" i="3"/>
  <c r="BF136" i="3"/>
  <c r="BF137" i="3"/>
  <c r="BF138" i="3"/>
  <c r="BF141" i="3"/>
  <c r="BF142" i="3"/>
  <c r="BF143" i="3"/>
  <c r="BF144" i="3"/>
  <c r="BF145" i="3"/>
  <c r="BF146" i="3"/>
  <c r="BF147" i="3"/>
  <c r="BF148" i="3"/>
  <c r="BE5" i="3"/>
  <c r="BE6" i="3"/>
  <c r="BE7" i="3"/>
  <c r="BE10" i="3"/>
  <c r="BE11" i="3"/>
  <c r="BE13" i="3"/>
  <c r="BE14" i="3"/>
  <c r="BE15" i="3"/>
  <c r="BE16" i="3"/>
  <c r="BE17" i="3"/>
  <c r="BE18" i="3"/>
  <c r="BE19" i="3"/>
  <c r="BE20" i="3"/>
  <c r="BE21" i="3"/>
  <c r="BE22" i="3"/>
  <c r="BE23" i="3"/>
  <c r="BE24" i="3"/>
  <c r="BE25" i="3"/>
  <c r="BE27" i="3"/>
  <c r="BE28" i="3"/>
  <c r="BE29" i="3"/>
  <c r="BE30" i="3"/>
  <c r="BE32" i="3"/>
  <c r="BE36" i="3"/>
  <c r="BE40" i="3"/>
  <c r="BE43" i="3"/>
  <c r="BE44" i="3"/>
  <c r="BE45" i="3"/>
  <c r="BE46" i="3"/>
  <c r="BE47" i="3"/>
  <c r="BE48" i="3"/>
  <c r="BE49" i="3"/>
  <c r="BE50" i="3"/>
  <c r="BE51" i="3"/>
  <c r="BE52" i="3"/>
  <c r="BE53" i="3"/>
  <c r="BE54" i="3"/>
  <c r="BE55" i="3"/>
  <c r="BE56" i="3"/>
  <c r="BE57" i="3"/>
  <c r="BE58" i="3"/>
  <c r="BE62" i="3"/>
  <c r="BE63" i="3"/>
  <c r="BE64" i="3"/>
  <c r="BE65" i="3"/>
  <c r="BE66" i="3"/>
  <c r="BE67" i="3"/>
  <c r="BE69" i="3"/>
  <c r="BE70" i="3"/>
  <c r="BE71" i="3"/>
  <c r="BE72" i="3"/>
  <c r="BE73" i="3"/>
  <c r="BE74" i="3"/>
  <c r="BE75" i="3"/>
  <c r="BE77" i="3"/>
  <c r="BE78" i="3"/>
  <c r="BE79" i="3"/>
  <c r="BE80" i="3"/>
  <c r="BE81" i="3"/>
  <c r="BE83" i="3"/>
  <c r="BE84" i="3"/>
  <c r="BE86" i="3"/>
  <c r="BE87" i="3"/>
  <c r="BE88" i="3"/>
  <c r="BE89" i="3"/>
  <c r="BE90" i="3"/>
  <c r="BE91" i="3"/>
  <c r="BE92" i="3"/>
  <c r="BE95" i="3"/>
  <c r="BE96" i="3"/>
  <c r="BE97" i="3"/>
  <c r="BE98" i="3"/>
  <c r="BE102" i="3"/>
  <c r="BE103" i="3"/>
  <c r="BE104" i="3"/>
  <c r="BE105" i="3"/>
  <c r="BE106" i="3"/>
  <c r="BE108" i="3"/>
  <c r="BE109" i="3"/>
  <c r="BE110" i="3"/>
  <c r="BE111" i="3"/>
  <c r="BE113" i="3"/>
  <c r="BE114" i="3"/>
  <c r="BE115" i="3"/>
  <c r="BE116" i="3"/>
  <c r="BE117" i="3"/>
  <c r="BE118" i="3"/>
  <c r="BE120" i="3"/>
  <c r="BE121" i="3"/>
  <c r="BE124" i="3"/>
  <c r="BE125" i="3"/>
  <c r="BE126" i="3"/>
  <c r="BE128" i="3"/>
  <c r="BE129" i="3"/>
  <c r="BE130" i="3"/>
  <c r="BE131" i="3"/>
  <c r="BE132" i="3"/>
  <c r="BE133" i="3"/>
  <c r="BE134" i="3"/>
  <c r="BE135" i="3"/>
  <c r="BE136" i="3"/>
  <c r="BE137" i="3"/>
  <c r="BE138" i="3"/>
  <c r="BE141" i="3"/>
  <c r="BE142" i="3"/>
  <c r="BE143" i="3"/>
  <c r="BE144" i="3"/>
  <c r="BE145" i="3"/>
  <c r="BE146" i="3"/>
  <c r="BE147" i="3"/>
  <c r="BE148" i="3"/>
  <c r="BD5" i="3"/>
  <c r="BD6" i="3"/>
  <c r="BD7" i="3"/>
  <c r="BD10" i="3"/>
  <c r="BD11" i="3"/>
  <c r="BD13" i="3"/>
  <c r="BD14" i="3"/>
  <c r="BD15" i="3"/>
  <c r="BD16" i="3"/>
  <c r="BD17" i="3"/>
  <c r="BD18" i="3"/>
  <c r="BD19" i="3"/>
  <c r="BD20" i="3"/>
  <c r="BD21" i="3"/>
  <c r="BD22" i="3"/>
  <c r="BD23" i="3"/>
  <c r="BD24" i="3"/>
  <c r="BD25" i="3"/>
  <c r="BD27" i="3"/>
  <c r="BD30" i="3"/>
  <c r="BD32" i="3"/>
  <c r="BD36" i="3"/>
  <c r="BD39" i="3"/>
  <c r="BD40" i="3"/>
  <c r="BD43" i="3"/>
  <c r="BD44" i="3"/>
  <c r="BD45" i="3"/>
  <c r="BD46" i="3"/>
  <c r="BD47" i="3"/>
  <c r="BD48" i="3"/>
  <c r="BD49" i="3"/>
  <c r="BD50" i="3"/>
  <c r="BD51" i="3"/>
  <c r="BD52" i="3"/>
  <c r="BD53" i="3"/>
  <c r="BD54" i="3"/>
  <c r="BD55" i="3"/>
  <c r="BD56" i="3"/>
  <c r="BD57" i="3"/>
  <c r="BD58" i="3"/>
  <c r="BD62" i="3"/>
  <c r="BD63" i="3"/>
  <c r="BD64" i="3"/>
  <c r="BD65" i="3"/>
  <c r="BD66" i="3"/>
  <c r="BD67" i="3"/>
  <c r="BD69" i="3"/>
  <c r="BD70" i="3"/>
  <c r="BD71" i="3"/>
  <c r="BD72" i="3"/>
  <c r="BD73" i="3"/>
  <c r="BD74" i="3"/>
  <c r="BD75" i="3"/>
  <c r="BD77" i="3"/>
  <c r="BD78" i="3"/>
  <c r="BD79" i="3"/>
  <c r="BD80" i="3"/>
  <c r="BD81" i="3"/>
  <c r="BD83" i="3"/>
  <c r="BD84" i="3"/>
  <c r="BD85" i="3"/>
  <c r="BD86" i="3"/>
  <c r="BD87" i="3"/>
  <c r="BD88" i="3"/>
  <c r="BD89" i="3"/>
  <c r="BD90" i="3"/>
  <c r="BD91" i="3"/>
  <c r="BD92" i="3"/>
  <c r="BD95" i="3"/>
  <c r="BD96" i="3"/>
  <c r="BD97" i="3"/>
  <c r="BD98" i="3"/>
  <c r="BD102" i="3"/>
  <c r="BD103" i="3"/>
  <c r="BD104" i="3"/>
  <c r="BD105" i="3"/>
  <c r="BD106" i="3"/>
  <c r="BD107" i="3"/>
  <c r="BD108" i="3"/>
  <c r="BD109" i="3"/>
  <c r="BD110" i="3"/>
  <c r="BD111" i="3"/>
  <c r="BD113" i="3"/>
  <c r="BD114" i="3"/>
  <c r="BD115" i="3"/>
  <c r="BD116" i="3"/>
  <c r="BD117" i="3"/>
  <c r="BD118" i="3"/>
  <c r="BD119" i="3"/>
  <c r="BD120" i="3"/>
  <c r="BD121" i="3"/>
  <c r="BD123" i="3"/>
  <c r="BD124" i="3"/>
  <c r="BD125" i="3"/>
  <c r="BD126" i="3"/>
  <c r="BD128" i="3"/>
  <c r="BD129" i="3"/>
  <c r="BD130" i="3"/>
  <c r="BD131" i="3"/>
  <c r="BD132" i="3"/>
  <c r="BD133" i="3"/>
  <c r="BD134" i="3"/>
  <c r="BD135" i="3"/>
  <c r="BD136" i="3"/>
  <c r="BD137" i="3"/>
  <c r="BD138" i="3"/>
  <c r="BD141" i="3"/>
  <c r="BD142" i="3"/>
  <c r="BD143" i="3"/>
  <c r="BD144" i="3"/>
  <c r="BD145" i="3"/>
  <c r="BD146" i="3"/>
  <c r="BD147" i="3"/>
  <c r="BD148" i="3"/>
  <c r="BC5" i="3"/>
  <c r="BC6" i="3"/>
  <c r="BC7" i="3"/>
  <c r="BC10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5" i="3"/>
  <c r="BC27" i="3"/>
  <c r="BC30" i="3"/>
  <c r="BC31" i="3"/>
  <c r="BC32" i="3"/>
  <c r="BC39" i="3"/>
  <c r="BC40" i="3"/>
  <c r="BC43" i="3"/>
  <c r="BC44" i="3"/>
  <c r="BC45" i="3"/>
  <c r="BC46" i="3"/>
  <c r="BC47" i="3"/>
  <c r="BC48" i="3"/>
  <c r="BC49" i="3"/>
  <c r="BC50" i="3"/>
  <c r="BC51" i="3"/>
  <c r="BC52" i="3"/>
  <c r="BC53" i="3"/>
  <c r="BC54" i="3"/>
  <c r="BC55" i="3"/>
  <c r="BC56" i="3"/>
  <c r="BC57" i="3"/>
  <c r="BC58" i="3"/>
  <c r="BC62" i="3"/>
  <c r="BC63" i="3"/>
  <c r="BC64" i="3"/>
  <c r="BC65" i="3"/>
  <c r="BC66" i="3"/>
  <c r="BC67" i="3"/>
  <c r="BC69" i="3"/>
  <c r="BC70" i="3"/>
  <c r="BC71" i="3"/>
  <c r="BC72" i="3"/>
  <c r="BC73" i="3"/>
  <c r="BC74" i="3"/>
  <c r="BC75" i="3"/>
  <c r="BC77" i="3"/>
  <c r="BC78" i="3"/>
  <c r="BC79" i="3"/>
  <c r="BC80" i="3"/>
  <c r="BC81" i="3"/>
  <c r="BC83" i="3"/>
  <c r="BC84" i="3"/>
  <c r="BC85" i="3"/>
  <c r="BC86" i="3"/>
  <c r="BC87" i="3"/>
  <c r="BC88" i="3"/>
  <c r="BC89" i="3"/>
  <c r="BC90" i="3"/>
  <c r="BC91" i="3"/>
  <c r="BC95" i="3"/>
  <c r="BC96" i="3"/>
  <c r="BC97" i="3"/>
  <c r="BC98" i="3"/>
  <c r="BC102" i="3"/>
  <c r="BC103" i="3"/>
  <c r="BC104" i="3"/>
  <c r="BC106" i="3"/>
  <c r="BC107" i="3"/>
  <c r="BC108" i="3"/>
  <c r="BC109" i="3"/>
  <c r="BC110" i="3"/>
  <c r="BC111" i="3"/>
  <c r="BC113" i="3"/>
  <c r="BC114" i="3"/>
  <c r="BC115" i="3"/>
  <c r="BC116" i="3"/>
  <c r="BC117" i="3"/>
  <c r="BC119" i="3"/>
  <c r="BC120" i="3"/>
  <c r="BC121" i="3"/>
  <c r="BC123" i="3"/>
  <c r="BC124" i="3"/>
  <c r="BC125" i="3"/>
  <c r="BC126" i="3"/>
  <c r="BC128" i="3"/>
  <c r="BC129" i="3"/>
  <c r="BC130" i="3"/>
  <c r="BC131" i="3"/>
  <c r="BC132" i="3"/>
  <c r="BC133" i="3"/>
  <c r="BC134" i="3"/>
  <c r="BC135" i="3"/>
  <c r="BC136" i="3"/>
  <c r="BC137" i="3"/>
  <c r="BC138" i="3"/>
  <c r="BC141" i="3"/>
  <c r="BC142" i="3"/>
  <c r="BC143" i="3"/>
  <c r="BC144" i="3"/>
  <c r="BC145" i="3"/>
  <c r="BC146" i="3"/>
  <c r="BC147" i="3"/>
  <c r="BC148" i="3"/>
  <c r="E25" i="65"/>
  <c r="F25" i="65"/>
  <c r="C25" i="65"/>
  <c r="D25" i="65"/>
  <c r="B25" i="65"/>
  <c r="BQ85" i="3" l="1"/>
  <c r="W85" i="3"/>
  <c r="AO9" i="3"/>
  <c r="BO26" i="3"/>
  <c r="BF85" i="3"/>
  <c r="BQ119" i="3"/>
  <c r="BE119" i="3"/>
  <c r="BF87" i="3"/>
  <c r="BN92" i="3"/>
  <c r="BN41" i="3"/>
  <c r="BL71" i="3"/>
  <c r="BN78" i="3"/>
  <c r="BN85" i="3"/>
  <c r="BJ85" i="3"/>
  <c r="BI85" i="3"/>
  <c r="BK85" i="3"/>
  <c r="BG85" i="3"/>
  <c r="BM85" i="3"/>
  <c r="BO8" i="3"/>
  <c r="Y8" i="3"/>
  <c r="Z8" i="3" s="1"/>
  <c r="BD31" i="3"/>
  <c r="BE31" i="3"/>
  <c r="BF31" i="3"/>
  <c r="BG31" i="3"/>
  <c r="BH31" i="3"/>
  <c r="BI31" i="3"/>
  <c r="BJ31" i="3"/>
  <c r="BK31" i="3"/>
  <c r="BL31" i="3"/>
  <c r="BM31" i="3"/>
  <c r="BN31" i="3"/>
  <c r="BF32" i="3"/>
  <c r="BG32" i="3"/>
  <c r="BH32" i="3"/>
  <c r="BI32" i="3"/>
  <c r="BJ32" i="3"/>
  <c r="BK32" i="3"/>
  <c r="BL32" i="3"/>
  <c r="BM32" i="3"/>
  <c r="BN32" i="3"/>
  <c r="W9" i="3" l="1"/>
  <c r="Y26" i="3"/>
  <c r="X26" i="3"/>
  <c r="Z26" i="3" l="1"/>
  <c r="BN128" i="3"/>
  <c r="AR41" i="3"/>
  <c r="BE41" i="3" s="1"/>
  <c r="AQ29" i="3"/>
  <c r="BD29" i="3" s="1"/>
  <c r="AP29" i="3"/>
  <c r="W29" i="3" l="1"/>
  <c r="BQ29" i="3"/>
  <c r="BC29" i="3"/>
  <c r="BN142" i="3"/>
  <c r="BM142" i="3"/>
  <c r="BL142" i="3"/>
  <c r="BK142" i="3"/>
  <c r="BJ142" i="3"/>
  <c r="BI142" i="3" l="1"/>
  <c r="AN147" i="3"/>
  <c r="BB147" i="3"/>
  <c r="BA39" i="3"/>
  <c r="BO147" i="3" l="1"/>
  <c r="AP34" i="3"/>
  <c r="BC34" i="3" l="1"/>
  <c r="Y147" i="3"/>
  <c r="AP118" i="3"/>
  <c r="W118" i="3" s="1"/>
  <c r="BQ118" i="3" l="1"/>
  <c r="BC118" i="3"/>
  <c r="X147" i="3"/>
  <c r="Z147" i="3" s="1"/>
  <c r="K22" i="3" l="1"/>
  <c r="AN22" i="3"/>
  <c r="BB22" i="3"/>
  <c r="K30" i="3"/>
  <c r="BB30" i="3"/>
  <c r="K31" i="3"/>
  <c r="BB31" i="3"/>
  <c r="K32" i="3"/>
  <c r="BB32" i="3"/>
  <c r="BB4" i="3"/>
  <c r="BB5" i="3"/>
  <c r="BB6" i="3"/>
  <c r="BB7" i="3"/>
  <c r="BB9" i="3"/>
  <c r="BB10" i="3"/>
  <c r="BB12" i="3"/>
  <c r="BB13" i="3"/>
  <c r="BB14" i="3"/>
  <c r="BB15" i="3"/>
  <c r="BB16" i="3"/>
  <c r="BB17" i="3"/>
  <c r="BB18" i="3"/>
  <c r="BB19" i="3"/>
  <c r="BB20" i="3"/>
  <c r="BB21" i="3"/>
  <c r="BB23" i="3"/>
  <c r="BB24" i="3"/>
  <c r="BB25" i="3"/>
  <c r="BB27" i="3"/>
  <c r="BB28" i="3"/>
  <c r="BB29" i="3"/>
  <c r="BB40" i="3"/>
  <c r="BB43" i="3"/>
  <c r="BB44" i="3"/>
  <c r="BB45" i="3"/>
  <c r="BB46" i="3"/>
  <c r="BB47" i="3"/>
  <c r="BB48" i="3"/>
  <c r="BB49" i="3"/>
  <c r="BB50" i="3"/>
  <c r="BB51" i="3"/>
  <c r="BB52" i="3"/>
  <c r="BB53" i="3"/>
  <c r="BB54" i="3"/>
  <c r="BB55" i="3"/>
  <c r="BB56" i="3"/>
  <c r="BB57" i="3"/>
  <c r="BB58" i="3"/>
  <c r="BB62" i="3"/>
  <c r="BB63" i="3"/>
  <c r="BB64" i="3"/>
  <c r="BB65" i="3"/>
  <c r="BB66" i="3"/>
  <c r="BB67" i="3"/>
  <c r="BB69" i="3"/>
  <c r="BB70" i="3"/>
  <c r="BB71" i="3"/>
  <c r="BB72" i="3"/>
  <c r="BB73" i="3"/>
  <c r="BB74" i="3"/>
  <c r="BB75" i="3"/>
  <c r="BB77" i="3"/>
  <c r="BB78" i="3"/>
  <c r="BB79" i="3"/>
  <c r="BB80" i="3"/>
  <c r="BB81" i="3"/>
  <c r="BB83" i="3"/>
  <c r="BB84" i="3"/>
  <c r="BB85" i="3"/>
  <c r="BB86" i="3"/>
  <c r="BB87" i="3"/>
  <c r="BB88" i="3"/>
  <c r="BB89" i="3"/>
  <c r="BB90" i="3"/>
  <c r="BB91" i="3"/>
  <c r="BB95" i="3"/>
  <c r="BB96" i="3"/>
  <c r="BB97" i="3"/>
  <c r="BB98" i="3"/>
  <c r="BB101" i="3"/>
  <c r="BB102" i="3"/>
  <c r="BB103" i="3"/>
  <c r="BB104" i="3"/>
  <c r="BB106" i="3"/>
  <c r="BB107" i="3"/>
  <c r="BB108" i="3"/>
  <c r="BB109" i="3"/>
  <c r="BB110" i="3"/>
  <c r="BB111" i="3"/>
  <c r="BB112" i="3"/>
  <c r="BB113" i="3"/>
  <c r="BB114" i="3"/>
  <c r="BB115" i="3"/>
  <c r="BB116" i="3"/>
  <c r="BB117" i="3"/>
  <c r="BB119" i="3"/>
  <c r="BB120" i="3"/>
  <c r="BB121" i="3"/>
  <c r="BB123" i="3"/>
  <c r="BB124" i="3"/>
  <c r="BB125" i="3"/>
  <c r="BB126" i="3"/>
  <c r="BB128" i="3"/>
  <c r="BB129" i="3"/>
  <c r="BB130" i="3"/>
  <c r="BB131" i="3"/>
  <c r="BB132" i="3"/>
  <c r="BB133" i="3"/>
  <c r="BB134" i="3"/>
  <c r="BB135" i="3"/>
  <c r="BB136" i="3"/>
  <c r="BB137" i="3"/>
  <c r="BB138" i="3"/>
  <c r="BB141" i="3"/>
  <c r="BB142" i="3"/>
  <c r="BB143" i="3"/>
  <c r="BB144" i="3"/>
  <c r="BB145" i="3"/>
  <c r="BB146" i="3"/>
  <c r="BB148" i="3"/>
  <c r="AN6" i="3"/>
  <c r="AN7" i="3"/>
  <c r="AN10" i="3"/>
  <c r="AN13" i="3"/>
  <c r="AN14" i="3"/>
  <c r="AN15" i="3"/>
  <c r="AN17" i="3"/>
  <c r="AN18" i="3"/>
  <c r="AN19" i="3"/>
  <c r="AN20" i="3"/>
  <c r="AN21" i="3"/>
  <c r="AN23" i="3"/>
  <c r="AN24" i="3"/>
  <c r="AN25" i="3"/>
  <c r="AN35" i="3"/>
  <c r="AN36" i="3"/>
  <c r="AN40" i="3"/>
  <c r="AN44" i="3"/>
  <c r="AN45" i="3"/>
  <c r="AN46" i="3"/>
  <c r="AN47" i="3"/>
  <c r="AN48" i="3"/>
  <c r="AN49" i="3"/>
  <c r="AN50" i="3"/>
  <c r="AN51" i="3"/>
  <c r="AN52" i="3"/>
  <c r="AN53" i="3"/>
  <c r="AN54" i="3"/>
  <c r="AN55" i="3"/>
  <c r="AN56" i="3"/>
  <c r="AN57" i="3"/>
  <c r="AN58" i="3"/>
  <c r="AN62" i="3"/>
  <c r="AN63" i="3"/>
  <c r="AN64" i="3"/>
  <c r="AN65" i="3"/>
  <c r="AN66" i="3"/>
  <c r="AN67" i="3"/>
  <c r="AN69" i="3"/>
  <c r="AN70" i="3"/>
  <c r="AN71" i="3"/>
  <c r="AN72" i="3"/>
  <c r="AN73" i="3"/>
  <c r="AN74" i="3"/>
  <c r="AN75" i="3"/>
  <c r="AN77" i="3"/>
  <c r="AN78" i="3"/>
  <c r="AN79" i="3"/>
  <c r="AN80" i="3"/>
  <c r="AN81" i="3"/>
  <c r="AN83" i="3"/>
  <c r="AN84" i="3"/>
  <c r="AN85" i="3"/>
  <c r="AN86" i="3"/>
  <c r="AN87" i="3"/>
  <c r="AN88" i="3"/>
  <c r="AN89" i="3"/>
  <c r="AN97" i="3"/>
  <c r="AN102" i="3"/>
  <c r="AN103" i="3"/>
  <c r="AN106" i="3"/>
  <c r="AN108" i="3"/>
  <c r="AN109" i="3"/>
  <c r="AN110" i="3"/>
  <c r="AN111" i="3"/>
  <c r="AN113" i="3"/>
  <c r="AN114" i="3"/>
  <c r="AN115" i="3"/>
  <c r="AN116" i="3"/>
  <c r="AN117" i="3"/>
  <c r="AN118" i="3"/>
  <c r="AN119" i="3"/>
  <c r="AN120" i="3"/>
  <c r="AN124" i="3"/>
  <c r="AN125" i="3"/>
  <c r="AN126" i="3"/>
  <c r="AN132" i="3"/>
  <c r="AN133" i="3"/>
  <c r="AN134" i="3"/>
  <c r="AN135" i="3"/>
  <c r="AN136" i="3"/>
  <c r="AN137" i="3"/>
  <c r="AN138" i="3"/>
  <c r="AN141" i="3"/>
  <c r="AN142" i="3"/>
  <c r="AN143" i="3"/>
  <c r="AN144" i="3"/>
  <c r="AN145" i="3"/>
  <c r="AN146" i="3"/>
  <c r="AN148" i="3"/>
  <c r="AM105" i="3"/>
  <c r="AO105" i="3" s="1"/>
  <c r="W105" i="3" s="1"/>
  <c r="AM104" i="3"/>
  <c r="AO104" i="3" s="1"/>
  <c r="W104" i="3" s="1"/>
  <c r="BN94" i="3"/>
  <c r="AM11" i="3"/>
  <c r="AO11" i="3" s="1"/>
  <c r="AC112" i="3"/>
  <c r="BD112" i="3" s="1"/>
  <c r="AD112" i="3"/>
  <c r="BE112" i="3" s="1"/>
  <c r="AE112" i="3"/>
  <c r="AF112" i="3"/>
  <c r="AG112" i="3"/>
  <c r="AH112" i="3"/>
  <c r="BI112" i="3" s="1"/>
  <c r="AI112" i="3"/>
  <c r="BJ112" i="3" s="1"/>
  <c r="AJ112" i="3"/>
  <c r="BK112" i="3" s="1"/>
  <c r="AK112" i="3"/>
  <c r="BL112" i="3" s="1"/>
  <c r="AL112" i="3"/>
  <c r="BM112" i="3" s="1"/>
  <c r="AM112" i="3"/>
  <c r="BN112" i="3" s="1"/>
  <c r="AB112" i="3"/>
  <c r="BC112" i="3" s="1"/>
  <c r="AN130" i="3"/>
  <c r="AN129" i="3"/>
  <c r="AN128" i="3"/>
  <c r="AC101" i="3"/>
  <c r="BD101" i="3" s="1"/>
  <c r="AD101" i="3"/>
  <c r="BE101" i="3" s="1"/>
  <c r="AE101" i="3"/>
  <c r="BF101" i="3" s="1"/>
  <c r="AF101" i="3"/>
  <c r="AG101" i="3"/>
  <c r="AH101" i="3"/>
  <c r="BI101" i="3" s="1"/>
  <c r="AI101" i="3"/>
  <c r="BJ101" i="3" s="1"/>
  <c r="AJ101" i="3"/>
  <c r="BK101" i="3" s="1"/>
  <c r="AK101" i="3"/>
  <c r="BL101" i="3" s="1"/>
  <c r="AL101" i="3"/>
  <c r="BM101" i="3" s="1"/>
  <c r="AM101" i="3"/>
  <c r="BN101" i="3" s="1"/>
  <c r="AB101" i="3"/>
  <c r="BC101" i="3" s="1"/>
  <c r="AN92" i="3"/>
  <c r="BH112" i="3" l="1"/>
  <c r="AO112" i="3"/>
  <c r="W112" i="3" s="1"/>
  <c r="BH101" i="3"/>
  <c r="AO101" i="3"/>
  <c r="W101" i="3" s="1"/>
  <c r="BF112" i="3"/>
  <c r="BG101" i="3"/>
  <c r="BG112" i="3"/>
  <c r="AN11" i="3"/>
  <c r="BN11" i="3"/>
  <c r="AN104" i="3"/>
  <c r="BN104" i="3"/>
  <c r="BO104" i="3" s="1"/>
  <c r="BN105" i="3"/>
  <c r="BO22" i="3"/>
  <c r="AN31" i="3"/>
  <c r="AN32" i="3"/>
  <c r="AN30" i="3"/>
  <c r="BO31" i="3"/>
  <c r="BO30" i="3"/>
  <c r="AN105" i="3"/>
  <c r="BO130" i="3"/>
  <c r="BO129" i="3"/>
  <c r="BO128" i="3"/>
  <c r="BO10" i="3"/>
  <c r="BO65" i="3"/>
  <c r="BO97" i="3"/>
  <c r="BO146" i="3"/>
  <c r="BO142" i="3"/>
  <c r="BO14" i="3"/>
  <c r="BO95" i="3"/>
  <c r="BO81" i="3"/>
  <c r="BO138" i="3"/>
  <c r="BO45" i="3"/>
  <c r="BO96" i="3"/>
  <c r="BO117" i="3"/>
  <c r="BO109" i="3"/>
  <c r="BO57" i="3"/>
  <c r="BO53" i="3"/>
  <c r="BO49" i="3"/>
  <c r="BO91" i="3"/>
  <c r="BO125" i="3"/>
  <c r="BO113" i="3"/>
  <c r="BO89" i="3"/>
  <c r="BO85" i="3"/>
  <c r="BO77" i="3"/>
  <c r="BO73" i="3"/>
  <c r="BO69" i="3"/>
  <c r="BO18" i="3"/>
  <c r="BO134" i="3"/>
  <c r="BO145" i="3"/>
  <c r="BO141" i="3"/>
  <c r="BO137" i="3"/>
  <c r="BO133" i="3"/>
  <c r="BO124" i="3"/>
  <c r="BO120" i="3"/>
  <c r="BO116" i="3"/>
  <c r="BO108" i="3"/>
  <c r="BO88" i="3"/>
  <c r="BO84" i="3"/>
  <c r="BO80" i="3"/>
  <c r="BO72" i="3"/>
  <c r="BO64" i="3"/>
  <c r="BO56" i="3"/>
  <c r="BO52" i="3"/>
  <c r="BO48" i="3"/>
  <c r="BO44" i="3"/>
  <c r="BO40" i="3"/>
  <c r="BO25" i="3"/>
  <c r="BO21" i="3"/>
  <c r="BO17" i="3"/>
  <c r="BO13" i="3"/>
  <c r="BO131" i="3"/>
  <c r="BO90" i="3"/>
  <c r="BO148" i="3"/>
  <c r="BO144" i="3"/>
  <c r="BO136" i="3"/>
  <c r="BO132" i="3"/>
  <c r="BO119" i="3"/>
  <c r="BO115" i="3"/>
  <c r="BO111" i="3"/>
  <c r="BO103" i="3"/>
  <c r="BO87" i="3"/>
  <c r="BO83" i="3"/>
  <c r="BO79" i="3"/>
  <c r="BO75" i="3"/>
  <c r="BO71" i="3"/>
  <c r="BO67" i="3"/>
  <c r="BO63" i="3"/>
  <c r="BO55" i="3"/>
  <c r="BO51" i="3"/>
  <c r="BO47" i="3"/>
  <c r="BO24" i="3"/>
  <c r="BO20" i="3"/>
  <c r="BO7" i="3"/>
  <c r="BO29" i="3"/>
  <c r="BO143" i="3"/>
  <c r="BO135" i="3"/>
  <c r="BO126" i="3"/>
  <c r="BO114" i="3"/>
  <c r="BO110" i="3"/>
  <c r="BO106" i="3"/>
  <c r="BO102" i="3"/>
  <c r="BO86" i="3"/>
  <c r="BO78" i="3"/>
  <c r="BO74" i="3"/>
  <c r="BO70" i="3"/>
  <c r="BO66" i="3"/>
  <c r="BO62" i="3"/>
  <c r="BO58" i="3"/>
  <c r="BO54" i="3"/>
  <c r="BO50" i="3"/>
  <c r="BO46" i="3"/>
  <c r="BO23" i="3"/>
  <c r="BO19" i="3"/>
  <c r="BO15" i="3"/>
  <c r="BO6" i="3"/>
  <c r="AN131" i="3"/>
  <c r="AN139" i="3"/>
  <c r="AN61" i="3"/>
  <c r="AN96" i="3"/>
  <c r="AN91" i="3"/>
  <c r="AN95" i="3"/>
  <c r="AN101" i="3"/>
  <c r="AN29" i="3"/>
  <c r="AN140" i="3"/>
  <c r="AN112" i="3"/>
  <c r="AN90" i="3"/>
  <c r="BO112" i="3" l="1"/>
  <c r="BO101" i="3"/>
  <c r="Y31" i="3"/>
  <c r="X22" i="3"/>
  <c r="Y22" i="3"/>
  <c r="BO32" i="3"/>
  <c r="X31" i="3"/>
  <c r="X30" i="3"/>
  <c r="Y30" i="3"/>
  <c r="Z31" i="3" l="1"/>
  <c r="Y32" i="3"/>
  <c r="Z22" i="3"/>
  <c r="Z30" i="3"/>
  <c r="AN76" i="3"/>
  <c r="AC12" i="3"/>
  <c r="AC150" i="3" s="1"/>
  <c r="AD12" i="3"/>
  <c r="AD150" i="3" s="1"/>
  <c r="AE12" i="3"/>
  <c r="AE150" i="3" s="1"/>
  <c r="AF12" i="3"/>
  <c r="AF150" i="3" s="1"/>
  <c r="AG12" i="3"/>
  <c r="AH12" i="3"/>
  <c r="AI12" i="3"/>
  <c r="AJ12" i="3"/>
  <c r="AK12" i="3"/>
  <c r="AL12" i="3"/>
  <c r="AM12" i="3"/>
  <c r="AB12" i="3"/>
  <c r="AC28" i="3"/>
  <c r="BD28" i="3" s="1"/>
  <c r="AB28" i="3"/>
  <c r="BC28" i="3" s="1"/>
  <c r="BD9" i="3"/>
  <c r="BE9" i="3"/>
  <c r="BG9" i="3"/>
  <c r="BH9" i="3"/>
  <c r="BI9" i="3"/>
  <c r="BJ9" i="3"/>
  <c r="BK9" i="3"/>
  <c r="BL9" i="3"/>
  <c r="BM9" i="3"/>
  <c r="BN9" i="3"/>
  <c r="BC9" i="3"/>
  <c r="BN4" i="3"/>
  <c r="BD4" i="3"/>
  <c r="BC4" i="3"/>
  <c r="AB150" i="3" l="1"/>
  <c r="AO12" i="3"/>
  <c r="W12" i="3" s="1"/>
  <c r="BM12" i="3"/>
  <c r="BE12" i="3"/>
  <c r="BI12" i="3"/>
  <c r="BL12" i="3"/>
  <c r="BH12" i="3"/>
  <c r="BD12" i="3"/>
  <c r="BC12" i="3"/>
  <c r="BK12" i="3"/>
  <c r="BN12" i="3"/>
  <c r="BJ12" i="3"/>
  <c r="BF12" i="3"/>
  <c r="BG12" i="3"/>
  <c r="BF9" i="3"/>
  <c r="X32" i="3"/>
  <c r="Z32" i="3" s="1"/>
  <c r="AN9" i="3"/>
  <c r="AN28" i="3"/>
  <c r="AN5" i="3"/>
  <c r="AN12" i="3"/>
  <c r="AN16" i="3"/>
  <c r="AN27" i="3"/>
  <c r="BA140" i="3"/>
  <c r="BN140" i="3" s="1"/>
  <c r="AZ140" i="3"/>
  <c r="BM140" i="3" s="1"/>
  <c r="AY140" i="3"/>
  <c r="BL140" i="3" s="1"/>
  <c r="AX140" i="3"/>
  <c r="BK140" i="3" s="1"/>
  <c r="AW140" i="3"/>
  <c r="BJ140" i="3" s="1"/>
  <c r="AV140" i="3"/>
  <c r="BI140" i="3" s="1"/>
  <c r="AU140" i="3"/>
  <c r="BH140" i="3" s="1"/>
  <c r="AT140" i="3"/>
  <c r="BG140" i="3" s="1"/>
  <c r="AS140" i="3"/>
  <c r="BF140" i="3" s="1"/>
  <c r="AR140" i="3"/>
  <c r="BE140" i="3" s="1"/>
  <c r="AQ140" i="3"/>
  <c r="BD140" i="3" s="1"/>
  <c r="AP140" i="3"/>
  <c r="BA139" i="3"/>
  <c r="BN139" i="3" s="1"/>
  <c r="AZ139" i="3"/>
  <c r="BM139" i="3" s="1"/>
  <c r="AY139" i="3"/>
  <c r="BL139" i="3" s="1"/>
  <c r="AX139" i="3"/>
  <c r="BK139" i="3" s="1"/>
  <c r="AW139" i="3"/>
  <c r="BJ139" i="3" s="1"/>
  <c r="AV139" i="3"/>
  <c r="BI139" i="3" s="1"/>
  <c r="AU139" i="3"/>
  <c r="BH139" i="3" s="1"/>
  <c r="AT139" i="3"/>
  <c r="BG139" i="3" s="1"/>
  <c r="AS139" i="3"/>
  <c r="BF139" i="3" s="1"/>
  <c r="AR139" i="3"/>
  <c r="BE139" i="3" s="1"/>
  <c r="AQ139" i="3"/>
  <c r="BD139" i="3" s="1"/>
  <c r="AP139" i="3"/>
  <c r="AX122" i="3"/>
  <c r="AW122" i="3"/>
  <c r="AV122" i="3"/>
  <c r="AU122" i="3"/>
  <c r="AT122" i="3"/>
  <c r="AS122" i="3"/>
  <c r="AR122" i="3"/>
  <c r="AQ122" i="3"/>
  <c r="AP122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V99" i="3"/>
  <c r="BI99" i="3" s="1"/>
  <c r="AU99" i="3"/>
  <c r="BH99" i="3" s="1"/>
  <c r="AT99" i="3"/>
  <c r="BG99" i="3" s="1"/>
  <c r="AS99" i="3"/>
  <c r="BF99" i="3" s="1"/>
  <c r="AR99" i="3"/>
  <c r="BE99" i="3" s="1"/>
  <c r="AQ99" i="3"/>
  <c r="BD99" i="3" s="1"/>
  <c r="AP99" i="3"/>
  <c r="AT94" i="3"/>
  <c r="AS94" i="3"/>
  <c r="AR94" i="3"/>
  <c r="AQ94" i="3"/>
  <c r="AP94" i="3"/>
  <c r="AP92" i="3"/>
  <c r="W92" i="3" s="1"/>
  <c r="AW82" i="3"/>
  <c r="AV82" i="3"/>
  <c r="AU82" i="3"/>
  <c r="AT82" i="3"/>
  <c r="AS82" i="3"/>
  <c r="AR82" i="3"/>
  <c r="AQ82" i="3"/>
  <c r="AP82" i="3"/>
  <c r="AU76" i="3"/>
  <c r="BH76" i="3" s="1"/>
  <c r="AT76" i="3"/>
  <c r="BG76" i="3" s="1"/>
  <c r="AS76" i="3"/>
  <c r="BF76" i="3" s="1"/>
  <c r="AR76" i="3"/>
  <c r="BE76" i="3" s="1"/>
  <c r="AQ76" i="3"/>
  <c r="BD76" i="3" s="1"/>
  <c r="AP76" i="3"/>
  <c r="AX68" i="3"/>
  <c r="AW68" i="3"/>
  <c r="AV68" i="3"/>
  <c r="AU68" i="3"/>
  <c r="AT68" i="3"/>
  <c r="AS68" i="3"/>
  <c r="AR68" i="3"/>
  <c r="AQ68" i="3"/>
  <c r="AP68" i="3"/>
  <c r="AZ61" i="3"/>
  <c r="BM61" i="3" s="1"/>
  <c r="AY61" i="3"/>
  <c r="BL61" i="3" s="1"/>
  <c r="AX61" i="3"/>
  <c r="BK61" i="3" s="1"/>
  <c r="AW61" i="3"/>
  <c r="BJ61" i="3" s="1"/>
  <c r="AV61" i="3"/>
  <c r="BI61" i="3" s="1"/>
  <c r="AU61" i="3"/>
  <c r="BH61" i="3" s="1"/>
  <c r="AT61" i="3"/>
  <c r="BG61" i="3" s="1"/>
  <c r="AS61" i="3"/>
  <c r="BF61" i="3" s="1"/>
  <c r="AR61" i="3"/>
  <c r="BE61" i="3" s="1"/>
  <c r="AQ61" i="3"/>
  <c r="BD61" i="3" s="1"/>
  <c r="AP61" i="3"/>
  <c r="AT60" i="3"/>
  <c r="BG60" i="3" s="1"/>
  <c r="AS60" i="3"/>
  <c r="BF60" i="3" s="1"/>
  <c r="AR60" i="3"/>
  <c r="BE60" i="3" s="1"/>
  <c r="AQ60" i="3"/>
  <c r="BD60" i="3" s="1"/>
  <c r="AP60" i="3"/>
  <c r="AT59" i="3"/>
  <c r="AS59" i="3"/>
  <c r="AR59" i="3"/>
  <c r="AQ59" i="3"/>
  <c r="AP59" i="3"/>
  <c r="AV42" i="3"/>
  <c r="AU42" i="3"/>
  <c r="AT42" i="3"/>
  <c r="AS42" i="3"/>
  <c r="AR42" i="3"/>
  <c r="AQ42" i="3"/>
  <c r="AP42" i="3"/>
  <c r="AQ41" i="3"/>
  <c r="BD41" i="3" s="1"/>
  <c r="AP41" i="3"/>
  <c r="W41" i="3" s="1"/>
  <c r="AZ39" i="3"/>
  <c r="AY39" i="3"/>
  <c r="AX39" i="3"/>
  <c r="AW39" i="3"/>
  <c r="AV39" i="3"/>
  <c r="AU39" i="3"/>
  <c r="AT39" i="3"/>
  <c r="AS39" i="3"/>
  <c r="AR39" i="3"/>
  <c r="AT38" i="3"/>
  <c r="AS38" i="3"/>
  <c r="AR38" i="3"/>
  <c r="AQ38" i="3"/>
  <c r="AP38" i="3"/>
  <c r="AU37" i="3"/>
  <c r="AT37" i="3"/>
  <c r="AS37" i="3"/>
  <c r="AR37" i="3"/>
  <c r="AQ37" i="3"/>
  <c r="AP37" i="3"/>
  <c r="AP36" i="3"/>
  <c r="W36" i="3" s="1"/>
  <c r="BA35" i="3"/>
  <c r="BN35" i="3" s="1"/>
  <c r="AZ35" i="3"/>
  <c r="BM35" i="3" s="1"/>
  <c r="AY35" i="3"/>
  <c r="BL35" i="3" s="1"/>
  <c r="AX35" i="3"/>
  <c r="BK35" i="3" s="1"/>
  <c r="AW35" i="3"/>
  <c r="BJ35" i="3" s="1"/>
  <c r="AV35" i="3"/>
  <c r="BI35" i="3" s="1"/>
  <c r="AU35" i="3"/>
  <c r="BH35" i="3" s="1"/>
  <c r="AT35" i="3"/>
  <c r="BG35" i="3" s="1"/>
  <c r="AS35" i="3"/>
  <c r="BF35" i="3" s="1"/>
  <c r="AR35" i="3"/>
  <c r="BE35" i="3" s="1"/>
  <c r="AQ35" i="3"/>
  <c r="BD35" i="3" s="1"/>
  <c r="AP35" i="3"/>
  <c r="BE34" i="3"/>
  <c r="AQ34" i="3"/>
  <c r="W34" i="3" s="1"/>
  <c r="AP11" i="3"/>
  <c r="W11" i="3" s="1"/>
  <c r="AT3" i="3"/>
  <c r="AS3" i="3"/>
  <c r="AR3" i="3"/>
  <c r="AQ3" i="3"/>
  <c r="AP3" i="3"/>
  <c r="AT2" i="3"/>
  <c r="AS2" i="3"/>
  <c r="AR2" i="3"/>
  <c r="AQ2" i="3"/>
  <c r="AP2" i="3"/>
  <c r="W59" i="3" l="1"/>
  <c r="W2" i="3"/>
  <c r="W60" i="3"/>
  <c r="W94" i="3"/>
  <c r="W3" i="3"/>
  <c r="W35" i="3"/>
  <c r="W61" i="3"/>
  <c r="W76" i="3"/>
  <c r="W139" i="3"/>
  <c r="W140" i="3"/>
  <c r="BQ41" i="3"/>
  <c r="BQ3" i="3"/>
  <c r="BQ39" i="3"/>
  <c r="BQ140" i="3"/>
  <c r="BQ36" i="3"/>
  <c r="BQ61" i="3"/>
  <c r="BQ76" i="3"/>
  <c r="BQ139" i="3"/>
  <c r="BQ11" i="3"/>
  <c r="BQ37" i="3"/>
  <c r="BQ34" i="3"/>
  <c r="BQ59" i="3"/>
  <c r="BQ82" i="3"/>
  <c r="BQ92" i="3"/>
  <c r="BQ35" i="3"/>
  <c r="BC99" i="3"/>
  <c r="BQ99" i="3"/>
  <c r="BQ2" i="3"/>
  <c r="BQ38" i="3"/>
  <c r="BQ42" i="3"/>
  <c r="BQ60" i="3"/>
  <c r="BQ68" i="3"/>
  <c r="BQ94" i="3"/>
  <c r="BQ100" i="3"/>
  <c r="BQ122" i="3"/>
  <c r="BD34" i="3"/>
  <c r="BC11" i="3"/>
  <c r="BO11" i="3" s="1"/>
  <c r="BC41" i="3"/>
  <c r="BC105" i="3"/>
  <c r="BO105" i="3" s="1"/>
  <c r="BC92" i="3"/>
  <c r="BO92" i="3" s="1"/>
  <c r="AU38" i="3"/>
  <c r="AU150" i="3" s="1"/>
  <c r="BC60" i="3"/>
  <c r="BC139" i="3"/>
  <c r="BC140" i="3"/>
  <c r="BC35" i="3"/>
  <c r="BC36" i="3"/>
  <c r="BO36" i="3" s="1"/>
  <c r="BC61" i="3"/>
  <c r="BC76" i="3"/>
  <c r="BO27" i="3"/>
  <c r="BO9" i="3"/>
  <c r="BO12" i="3"/>
  <c r="BO5" i="3"/>
  <c r="BB105" i="3"/>
  <c r="BB92" i="3"/>
  <c r="BB118" i="3"/>
  <c r="BO118" i="3"/>
  <c r="BB11" i="3"/>
  <c r="BB36" i="3"/>
  <c r="BO16" i="3"/>
  <c r="BO28" i="3"/>
  <c r="BB59" i="3"/>
  <c r="BB3" i="3"/>
  <c r="BB82" i="3"/>
  <c r="BB100" i="3"/>
  <c r="BB94" i="3"/>
  <c r="BB99" i="3"/>
  <c r="BB2" i="3"/>
  <c r="BB35" i="3"/>
  <c r="BB39" i="3"/>
  <c r="BB42" i="3"/>
  <c r="BB60" i="3"/>
  <c r="BB68" i="3"/>
  <c r="BB93" i="3"/>
  <c r="BB122" i="3"/>
  <c r="BB34" i="3"/>
  <c r="BB37" i="3"/>
  <c r="BB41" i="3"/>
  <c r="BB61" i="3"/>
  <c r="BB76" i="3"/>
  <c r="BB139" i="3"/>
  <c r="BB140" i="3"/>
  <c r="BQ150" i="3" l="1"/>
  <c r="AV38" i="3"/>
  <c r="AV150" i="3" s="1"/>
  <c r="BO140" i="3"/>
  <c r="BO76" i="3"/>
  <c r="BO139" i="3"/>
  <c r="BO61" i="3"/>
  <c r="BO35" i="3"/>
  <c r="AW38" i="3" l="1"/>
  <c r="AW150" i="3" s="1"/>
  <c r="AX38" i="3" l="1"/>
  <c r="AX150" i="3" s="1"/>
  <c r="BO121" i="3"/>
  <c r="AN121" i="3"/>
  <c r="AY38" i="3" l="1"/>
  <c r="AY150" i="3" s="1"/>
  <c r="AZ38" i="3" l="1"/>
  <c r="AZ150" i="3" s="1"/>
  <c r="X5" i="3"/>
  <c r="X6" i="3"/>
  <c r="X7" i="3"/>
  <c r="X9" i="3"/>
  <c r="X12" i="3"/>
  <c r="X13" i="3"/>
  <c r="X14" i="3"/>
  <c r="X15" i="3"/>
  <c r="X16" i="3"/>
  <c r="X17" i="3"/>
  <c r="X18" i="3"/>
  <c r="X19" i="3"/>
  <c r="X20" i="3"/>
  <c r="X21" i="3"/>
  <c r="X27" i="3"/>
  <c r="X28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62" i="3"/>
  <c r="X64" i="3"/>
  <c r="X65" i="3"/>
  <c r="X66" i="3"/>
  <c r="X67" i="3"/>
  <c r="X69" i="3"/>
  <c r="X70" i="3"/>
  <c r="X71" i="3"/>
  <c r="X72" i="3"/>
  <c r="X73" i="3"/>
  <c r="X74" i="3"/>
  <c r="X75" i="3"/>
  <c r="X77" i="3"/>
  <c r="X78" i="3"/>
  <c r="X79" i="3"/>
  <c r="X80" i="3"/>
  <c r="X81" i="3"/>
  <c r="X83" i="3"/>
  <c r="X84" i="3"/>
  <c r="X85" i="3"/>
  <c r="X86" i="3"/>
  <c r="X87" i="3"/>
  <c r="X88" i="3"/>
  <c r="X89" i="3"/>
  <c r="X90" i="3"/>
  <c r="X91" i="3"/>
  <c r="X95" i="3"/>
  <c r="X96" i="3"/>
  <c r="X97" i="3"/>
  <c r="X101" i="3"/>
  <c r="X102" i="3"/>
  <c r="X103" i="3"/>
  <c r="X104" i="3"/>
  <c r="X106" i="3"/>
  <c r="X108" i="3"/>
  <c r="X109" i="3"/>
  <c r="X110" i="3"/>
  <c r="X111" i="3"/>
  <c r="X112" i="3"/>
  <c r="X113" i="3"/>
  <c r="X114" i="3"/>
  <c r="X115" i="3"/>
  <c r="X116" i="3"/>
  <c r="X117" i="3"/>
  <c r="X119" i="3"/>
  <c r="X120" i="3"/>
  <c r="X121" i="3"/>
  <c r="X124" i="3"/>
  <c r="X125" i="3"/>
  <c r="X126" i="3"/>
  <c r="X128" i="3"/>
  <c r="X129" i="3"/>
  <c r="X130" i="3"/>
  <c r="X131" i="3"/>
  <c r="X132" i="3"/>
  <c r="X133" i="3"/>
  <c r="X134" i="3"/>
  <c r="X135" i="3"/>
  <c r="X136" i="3"/>
  <c r="X137" i="3"/>
  <c r="X138" i="3"/>
  <c r="X141" i="3"/>
  <c r="X143" i="3"/>
  <c r="X148" i="3"/>
  <c r="K101" i="3"/>
  <c r="V144" i="3"/>
  <c r="BA38" i="3" l="1"/>
  <c r="BA150" i="3" s="1"/>
  <c r="X144" i="3"/>
  <c r="Y101" i="3"/>
  <c r="Z101" i="3" s="1"/>
  <c r="BB38" i="3" l="1"/>
  <c r="BB150" i="3" s="1"/>
  <c r="X23" i="3"/>
  <c r="K24" i="3"/>
  <c r="K25" i="3"/>
  <c r="X25" i="3" l="1"/>
  <c r="X24" i="3" l="1"/>
  <c r="Y25" i="3"/>
  <c r="Z25" i="3" s="1"/>
  <c r="Y24" i="3"/>
  <c r="Z24" i="3" l="1"/>
  <c r="X40" i="3"/>
  <c r="X11" i="3"/>
  <c r="AO43" i="3"/>
  <c r="W43" i="3" s="1"/>
  <c r="Y148" i="3"/>
  <c r="Z148" i="3" s="1"/>
  <c r="K148" i="3"/>
  <c r="BE4" i="3"/>
  <c r="BH4" i="3"/>
  <c r="BI4" i="3"/>
  <c r="BJ4" i="3"/>
  <c r="BK4" i="3"/>
  <c r="BL4" i="3"/>
  <c r="BM4" i="3"/>
  <c r="BN107" i="3"/>
  <c r="BE107" i="3"/>
  <c r="BG107" i="3"/>
  <c r="BH107" i="3"/>
  <c r="BI107" i="3"/>
  <c r="BJ107" i="3"/>
  <c r="BK107" i="3"/>
  <c r="BL107" i="3"/>
  <c r="BM107" i="3"/>
  <c r="BG4" i="3" l="1"/>
  <c r="BF4" i="3"/>
  <c r="BN43" i="3"/>
  <c r="BO43" i="3" s="1"/>
  <c r="BF107" i="3"/>
  <c r="AN43" i="3"/>
  <c r="AN107" i="3"/>
  <c r="AN4" i="3"/>
  <c r="K145" i="3"/>
  <c r="X43" i="3" l="1"/>
  <c r="BO107" i="3"/>
  <c r="BO4" i="3"/>
  <c r="X145" i="3"/>
  <c r="X4" i="3" l="1"/>
  <c r="X107" i="3"/>
  <c r="Y145" i="3"/>
  <c r="Z145" i="3" s="1"/>
  <c r="Y144" i="3" l="1"/>
  <c r="Z144" i="3" s="1"/>
  <c r="K144" i="3"/>
  <c r="AI99" i="3" l="1"/>
  <c r="BJ99" i="3" s="1"/>
  <c r="BH93" i="3"/>
  <c r="BE93" i="3"/>
  <c r="BD93" i="3"/>
  <c r="BC93" i="3"/>
  <c r="AM42" i="3"/>
  <c r="BN42" i="3" s="1"/>
  <c r="AL42" i="3"/>
  <c r="BM42" i="3" s="1"/>
  <c r="AK42" i="3"/>
  <c r="BL42" i="3" s="1"/>
  <c r="AJ42" i="3"/>
  <c r="BK42" i="3" s="1"/>
  <c r="AI42" i="3"/>
  <c r="BJ42" i="3" s="1"/>
  <c r="BG93" i="3" l="1"/>
  <c r="BF93" i="3"/>
  <c r="AN93" i="3"/>
  <c r="X36" i="3"/>
  <c r="BN3" i="3"/>
  <c r="BM3" i="3"/>
  <c r="BL3" i="3"/>
  <c r="BK3" i="3"/>
  <c r="BJ3" i="3"/>
  <c r="BI3" i="3"/>
  <c r="BH3" i="3"/>
  <c r="AF3" i="3"/>
  <c r="AE3" i="3"/>
  <c r="AD3" i="3"/>
  <c r="BE3" i="3" s="1"/>
  <c r="AC3" i="3"/>
  <c r="BD3" i="3" s="1"/>
  <c r="BN2" i="3"/>
  <c r="BM2" i="3"/>
  <c r="BL2" i="3"/>
  <c r="BK2" i="3"/>
  <c r="BJ2" i="3"/>
  <c r="BI2" i="3"/>
  <c r="BH2" i="3"/>
  <c r="AF2" i="3"/>
  <c r="AE2" i="3"/>
  <c r="AD2" i="3"/>
  <c r="AC2" i="3"/>
  <c r="AB3" i="3"/>
  <c r="BC3" i="3" s="1"/>
  <c r="AB2" i="3"/>
  <c r="Y119" i="3"/>
  <c r="K119" i="3"/>
  <c r="BG2" i="3" l="1"/>
  <c r="BD2" i="3"/>
  <c r="BE2" i="3"/>
  <c r="BC2" i="3"/>
  <c r="BG3" i="3"/>
  <c r="BF2" i="3"/>
  <c r="BF3" i="3"/>
  <c r="BO93" i="3"/>
  <c r="X93" i="3" s="1"/>
  <c r="AN3" i="3"/>
  <c r="AN2" i="3"/>
  <c r="Z119" i="3"/>
  <c r="BO3" i="3" l="1"/>
  <c r="BO2" i="3"/>
  <c r="X10" i="3"/>
  <c r="BO41" i="3"/>
  <c r="X29" i="3"/>
  <c r="AB122" i="3"/>
  <c r="BC122" i="3" s="1"/>
  <c r="AC122" i="3"/>
  <c r="BD122" i="3" s="1"/>
  <c r="AD122" i="3"/>
  <c r="BE122" i="3" s="1"/>
  <c r="AE122" i="3"/>
  <c r="AF122" i="3"/>
  <c r="AG122" i="3"/>
  <c r="AH122" i="3"/>
  <c r="BI122" i="3" s="1"/>
  <c r="AI122" i="3"/>
  <c r="BJ122" i="3" s="1"/>
  <c r="AJ122" i="3"/>
  <c r="BK122" i="3" s="1"/>
  <c r="BN123" i="3"/>
  <c r="BM123" i="3"/>
  <c r="BL123" i="3"/>
  <c r="BK123" i="3"/>
  <c r="BJ123" i="3"/>
  <c r="BI123" i="3"/>
  <c r="BH123" i="3"/>
  <c r="BE123" i="3"/>
  <c r="BH122" i="3" l="1"/>
  <c r="AO122" i="3"/>
  <c r="BG123" i="3"/>
  <c r="BG122" i="3"/>
  <c r="X2" i="3"/>
  <c r="BF123" i="3"/>
  <c r="BF122" i="3"/>
  <c r="X3" i="3"/>
  <c r="AN123" i="3"/>
  <c r="AN41" i="3"/>
  <c r="AN122" i="3"/>
  <c r="X41" i="3"/>
  <c r="X118" i="3"/>
  <c r="AM39" i="3"/>
  <c r="BN39" i="3" s="1"/>
  <c r="W122" i="3" l="1"/>
  <c r="BO123" i="3"/>
  <c r="BO122" i="3"/>
  <c r="X122" i="3" l="1"/>
  <c r="X123" i="3"/>
  <c r="Y93" i="3"/>
  <c r="Z93" i="3" s="1"/>
  <c r="K146" i="3"/>
  <c r="Y141" i="3"/>
  <c r="Z141" i="3" s="1"/>
  <c r="K141" i="3"/>
  <c r="AN98" i="3" l="1"/>
  <c r="X146" i="3"/>
  <c r="Y143" i="3"/>
  <c r="Z143" i="3" s="1"/>
  <c r="BO98" i="3" l="1"/>
  <c r="X142" i="3"/>
  <c r="Y142" i="3"/>
  <c r="Y146" i="3"/>
  <c r="Z146" i="3" s="1"/>
  <c r="X98" i="3" l="1"/>
  <c r="Z142" i="3"/>
  <c r="AL39" i="3"/>
  <c r="BM39" i="3" s="1"/>
  <c r="AK39" i="3"/>
  <c r="BL39" i="3" s="1"/>
  <c r="AJ39" i="3"/>
  <c r="BK39" i="3" s="1"/>
  <c r="AI39" i="3"/>
  <c r="BJ39" i="3" s="1"/>
  <c r="AH39" i="3"/>
  <c r="BI39" i="3" s="1"/>
  <c r="AG39" i="3"/>
  <c r="AF39" i="3"/>
  <c r="AE39" i="3"/>
  <c r="AD39" i="3"/>
  <c r="BE39" i="3" s="1"/>
  <c r="BH39" i="3" l="1"/>
  <c r="AO39" i="3"/>
  <c r="W39" i="3" s="1"/>
  <c r="BG39" i="3"/>
  <c r="BF39" i="3"/>
  <c r="AN39" i="3"/>
  <c r="BO39" i="3" l="1"/>
  <c r="Y123" i="3"/>
  <c r="Z123" i="3" s="1"/>
  <c r="X39" i="3" l="1"/>
  <c r="X35" i="3"/>
  <c r="BO34" i="3" l="1"/>
  <c r="AN34" i="3"/>
  <c r="X105" i="3"/>
  <c r="X92" i="3"/>
  <c r="Y35" i="3"/>
  <c r="Z35" i="3" s="1"/>
  <c r="X34" i="3" l="1"/>
  <c r="X61" i="3"/>
  <c r="X63" i="3" l="1"/>
  <c r="BM94" i="3"/>
  <c r="BL94" i="3"/>
  <c r="BK94" i="3"/>
  <c r="BJ94" i="3"/>
  <c r="BI94" i="3"/>
  <c r="BH94" i="3"/>
  <c r="AF94" i="3"/>
  <c r="AE94" i="3"/>
  <c r="AD94" i="3"/>
  <c r="BE94" i="3" s="1"/>
  <c r="AC94" i="3"/>
  <c r="BD94" i="3" s="1"/>
  <c r="AB94" i="3"/>
  <c r="BC94" i="3" s="1"/>
  <c r="BN59" i="3"/>
  <c r="BM59" i="3"/>
  <c r="BL59" i="3"/>
  <c r="BK59" i="3"/>
  <c r="BJ59" i="3"/>
  <c r="BI59" i="3"/>
  <c r="AF59" i="3"/>
  <c r="AE59" i="3"/>
  <c r="AD59" i="3"/>
  <c r="BE59" i="3" s="1"/>
  <c r="AC59" i="3"/>
  <c r="BD59" i="3" s="1"/>
  <c r="AB59" i="3"/>
  <c r="BC59" i="3" s="1"/>
  <c r="BH59" i="3"/>
  <c r="BG94" i="3" l="1"/>
  <c r="BG59" i="3"/>
  <c r="BF59" i="3"/>
  <c r="BF94" i="3"/>
  <c r="AN94" i="3"/>
  <c r="AN59" i="3"/>
  <c r="X76" i="3"/>
  <c r="AE38" i="3"/>
  <c r="BF38" i="3" s="1"/>
  <c r="AD38" i="3"/>
  <c r="BE38" i="3" s="1"/>
  <c r="AC38" i="3"/>
  <c r="BD38" i="3" s="1"/>
  <c r="AB38" i="3"/>
  <c r="BC38" i="3" s="1"/>
  <c r="AM37" i="3"/>
  <c r="BN37" i="3" s="1"/>
  <c r="AL37" i="3"/>
  <c r="BM37" i="3" s="1"/>
  <c r="AK37" i="3"/>
  <c r="BL37" i="3" s="1"/>
  <c r="AJ37" i="3"/>
  <c r="BK37" i="3" s="1"/>
  <c r="AI37" i="3"/>
  <c r="BJ37" i="3" s="1"/>
  <c r="AH37" i="3"/>
  <c r="BI37" i="3" s="1"/>
  <c r="AG37" i="3"/>
  <c r="AF37" i="3"/>
  <c r="AE37" i="3"/>
  <c r="AD37" i="3"/>
  <c r="AC37" i="3"/>
  <c r="AB37" i="3"/>
  <c r="AM100" i="3"/>
  <c r="BN100" i="3" s="1"/>
  <c r="AL100" i="3"/>
  <c r="BM100" i="3" s="1"/>
  <c r="AK100" i="3"/>
  <c r="BL100" i="3" s="1"/>
  <c r="AJ100" i="3"/>
  <c r="BK100" i="3" s="1"/>
  <c r="AI100" i="3"/>
  <c r="BJ100" i="3" s="1"/>
  <c r="AH100" i="3"/>
  <c r="BI100" i="3" s="1"/>
  <c r="AG100" i="3"/>
  <c r="AF100" i="3"/>
  <c r="AE100" i="3"/>
  <c r="AD100" i="3"/>
  <c r="BE100" i="3" s="1"/>
  <c r="AC100" i="3"/>
  <c r="BD100" i="3" s="1"/>
  <c r="AB100" i="3"/>
  <c r="BC100" i="3" s="1"/>
  <c r="AJ99" i="3"/>
  <c r="AM68" i="3"/>
  <c r="BN68" i="3" s="1"/>
  <c r="AL68" i="3"/>
  <c r="BM68" i="3" s="1"/>
  <c r="AK68" i="3"/>
  <c r="BL68" i="3" s="1"/>
  <c r="AJ68" i="3"/>
  <c r="BK68" i="3" s="1"/>
  <c r="AI68" i="3"/>
  <c r="BJ68" i="3" s="1"/>
  <c r="AH68" i="3"/>
  <c r="BI68" i="3" s="1"/>
  <c r="AG68" i="3"/>
  <c r="AF68" i="3"/>
  <c r="AE68" i="3"/>
  <c r="AD68" i="3"/>
  <c r="BE68" i="3" s="1"/>
  <c r="AC68" i="3"/>
  <c r="BD68" i="3" s="1"/>
  <c r="AB68" i="3"/>
  <c r="BC68" i="3" s="1"/>
  <c r="AM82" i="3"/>
  <c r="BN82" i="3" s="1"/>
  <c r="AL82" i="3"/>
  <c r="BM82" i="3" s="1"/>
  <c r="AK82" i="3"/>
  <c r="BL82" i="3" s="1"/>
  <c r="AJ82" i="3"/>
  <c r="BK82" i="3" s="1"/>
  <c r="AI82" i="3"/>
  <c r="BJ82" i="3" s="1"/>
  <c r="AH82" i="3"/>
  <c r="BI82" i="3" s="1"/>
  <c r="AG82" i="3"/>
  <c r="AF82" i="3"/>
  <c r="AE82" i="3"/>
  <c r="AD82" i="3"/>
  <c r="BE82" i="3" s="1"/>
  <c r="AC82" i="3"/>
  <c r="BD82" i="3" s="1"/>
  <c r="AB82" i="3"/>
  <c r="BC82" i="3" s="1"/>
  <c r="AH42" i="3"/>
  <c r="BI42" i="3" s="1"/>
  <c r="AG42" i="3"/>
  <c r="AF42" i="3"/>
  <c r="AE42" i="3"/>
  <c r="AD42" i="3"/>
  <c r="BE42" i="3" s="1"/>
  <c r="AC42" i="3"/>
  <c r="BD42" i="3" s="1"/>
  <c r="AB42" i="3"/>
  <c r="BC42" i="3" s="1"/>
  <c r="BH68" i="3" l="1"/>
  <c r="AO68" i="3"/>
  <c r="W68" i="3" s="1"/>
  <c r="BH82" i="3"/>
  <c r="AO82" i="3"/>
  <c r="W82" i="3" s="1"/>
  <c r="BH42" i="3"/>
  <c r="AO42" i="3"/>
  <c r="W42" i="3" s="1"/>
  <c r="BH100" i="3"/>
  <c r="AO100" i="3"/>
  <c r="W100" i="3" s="1"/>
  <c r="BH37" i="3"/>
  <c r="AO37" i="3"/>
  <c r="BD37" i="3"/>
  <c r="BD150" i="3" s="1"/>
  <c r="BE37" i="3"/>
  <c r="BE150" i="3" s="1"/>
  <c r="BG82" i="3"/>
  <c r="BG68" i="3"/>
  <c r="BG42" i="3"/>
  <c r="BG100" i="3"/>
  <c r="BC37" i="3"/>
  <c r="BC150" i="3" s="1"/>
  <c r="BG37" i="3"/>
  <c r="BK99" i="3"/>
  <c r="BF42" i="3"/>
  <c r="BF100" i="3"/>
  <c r="BF37" i="3"/>
  <c r="BF82" i="3"/>
  <c r="BF68" i="3"/>
  <c r="BO59" i="3"/>
  <c r="BO94" i="3"/>
  <c r="AN82" i="3"/>
  <c r="AN68" i="3"/>
  <c r="AN100" i="3"/>
  <c r="AN37" i="3"/>
  <c r="AN42" i="3"/>
  <c r="AN60" i="3"/>
  <c r="AK99" i="3"/>
  <c r="BL99" i="3" s="1"/>
  <c r="Y16" i="3"/>
  <c r="Z16" i="3" s="1"/>
  <c r="Y45" i="3"/>
  <c r="Z45" i="3" s="1"/>
  <c r="Y57" i="3"/>
  <c r="Z57" i="3" s="1"/>
  <c r="Y67" i="3"/>
  <c r="Z67" i="3" s="1"/>
  <c r="Y81" i="3"/>
  <c r="Z81" i="3" s="1"/>
  <c r="Y135" i="3"/>
  <c r="Z135" i="3" s="1"/>
  <c r="Y126" i="3"/>
  <c r="Z126" i="3" s="1"/>
  <c r="Y131" i="3"/>
  <c r="Z131" i="3" s="1"/>
  <c r="Y17" i="3"/>
  <c r="Z17" i="3" s="1"/>
  <c r="Y40" i="3"/>
  <c r="Z40" i="3" s="1"/>
  <c r="Y46" i="3"/>
  <c r="Z46" i="3" s="1"/>
  <c r="Y50" i="3"/>
  <c r="Z50" i="3" s="1"/>
  <c r="Y54" i="3"/>
  <c r="Z54" i="3" s="1"/>
  <c r="Y58" i="3"/>
  <c r="Z58" i="3" s="1"/>
  <c r="Y64" i="3"/>
  <c r="Z64" i="3" s="1"/>
  <c r="Y69" i="3"/>
  <c r="Z69" i="3" s="1"/>
  <c r="Y73" i="3"/>
  <c r="Z73" i="3" s="1"/>
  <c r="Y78" i="3"/>
  <c r="Z78" i="3" s="1"/>
  <c r="Y83" i="3"/>
  <c r="Z83" i="3" s="1"/>
  <c r="Y88" i="3"/>
  <c r="Z88" i="3" s="1"/>
  <c r="Y114" i="3"/>
  <c r="Z114" i="3" s="1"/>
  <c r="Y117" i="3"/>
  <c r="Z117" i="3" s="1"/>
  <c r="Y128" i="3"/>
  <c r="Z128" i="3" s="1"/>
  <c r="Y134" i="3"/>
  <c r="Z134" i="3" s="1"/>
  <c r="Y20" i="3"/>
  <c r="Z20" i="3" s="1"/>
  <c r="Y53" i="3"/>
  <c r="Z53" i="3" s="1"/>
  <c r="Y72" i="3"/>
  <c r="Z72" i="3" s="1"/>
  <c r="Y108" i="3"/>
  <c r="Z108" i="3" s="1"/>
  <c r="Y9" i="3"/>
  <c r="Z9" i="3" s="1"/>
  <c r="Y18" i="3"/>
  <c r="Z18" i="3" s="1"/>
  <c r="Y43" i="3"/>
  <c r="Z43" i="3" s="1"/>
  <c r="Y51" i="3"/>
  <c r="Z51" i="3" s="1"/>
  <c r="Y65" i="3"/>
  <c r="Z65" i="3" s="1"/>
  <c r="Y70" i="3"/>
  <c r="Z70" i="3" s="1"/>
  <c r="Y74" i="3"/>
  <c r="Z74" i="3" s="1"/>
  <c r="Y79" i="3"/>
  <c r="Z79" i="3" s="1"/>
  <c r="Y84" i="3"/>
  <c r="Z84" i="3" s="1"/>
  <c r="Y97" i="3"/>
  <c r="Z97" i="3" s="1"/>
  <c r="Y129" i="3"/>
  <c r="Z129" i="3" s="1"/>
  <c r="Y136" i="3"/>
  <c r="Z136" i="3" s="1"/>
  <c r="Y39" i="3"/>
  <c r="Z39" i="3" s="1"/>
  <c r="Y49" i="3"/>
  <c r="Z49" i="3" s="1"/>
  <c r="Y63" i="3"/>
  <c r="Z63" i="3" s="1"/>
  <c r="Y77" i="3"/>
  <c r="Z77" i="3" s="1"/>
  <c r="Y86" i="3"/>
  <c r="Z86" i="3" s="1"/>
  <c r="Y116" i="3"/>
  <c r="Z116" i="3" s="1"/>
  <c r="Y4" i="3"/>
  <c r="Y47" i="3"/>
  <c r="Z47" i="3" s="1"/>
  <c r="Y55" i="3"/>
  <c r="Z55" i="3" s="1"/>
  <c r="Y7" i="3"/>
  <c r="Z7" i="3" s="1"/>
  <c r="Y19" i="3"/>
  <c r="Z19" i="3" s="1"/>
  <c r="Y34" i="3"/>
  <c r="Z34" i="3" s="1"/>
  <c r="Y44" i="3"/>
  <c r="Z44" i="3" s="1"/>
  <c r="Y48" i="3"/>
  <c r="Z48" i="3" s="1"/>
  <c r="Y52" i="3"/>
  <c r="Z52" i="3" s="1"/>
  <c r="Y56" i="3"/>
  <c r="Z56" i="3" s="1"/>
  <c r="Y62" i="3"/>
  <c r="Z62" i="3" s="1"/>
  <c r="Y66" i="3"/>
  <c r="Z66" i="3" s="1"/>
  <c r="Y71" i="3"/>
  <c r="Z71" i="3" s="1"/>
  <c r="Y75" i="3"/>
  <c r="Z75" i="3" s="1"/>
  <c r="Y80" i="3"/>
  <c r="Z80" i="3" s="1"/>
  <c r="Y85" i="3"/>
  <c r="Z85" i="3" s="1"/>
  <c r="Y102" i="3"/>
  <c r="Z102" i="3" s="1"/>
  <c r="Y115" i="3"/>
  <c r="Z115" i="3" s="1"/>
  <c r="Y132" i="3"/>
  <c r="Z132" i="3" s="1"/>
  <c r="Y96" i="3"/>
  <c r="Z96" i="3" s="1"/>
  <c r="Y125" i="3"/>
  <c r="Z125" i="3" s="1"/>
  <c r="Y130" i="3"/>
  <c r="Z130" i="3" s="1"/>
  <c r="Y137" i="3"/>
  <c r="Z137" i="3" s="1"/>
  <c r="BF150" i="3" l="1"/>
  <c r="W37" i="3"/>
  <c r="X37" i="3" s="1"/>
  <c r="Z4" i="3"/>
  <c r="X94" i="3"/>
  <c r="X59" i="3"/>
  <c r="BO82" i="3"/>
  <c r="BO42" i="3"/>
  <c r="BO100" i="3"/>
  <c r="BO60" i="3"/>
  <c r="X60" i="3" s="1"/>
  <c r="BO37" i="3"/>
  <c r="BO68" i="3"/>
  <c r="Y100" i="3" l="1"/>
  <c r="X68" i="3"/>
  <c r="X82" i="3"/>
  <c r="X42" i="3"/>
  <c r="X100" i="3"/>
  <c r="Y124" i="3"/>
  <c r="Z124" i="3" s="1"/>
  <c r="Y5" i="3"/>
  <c r="Y29" i="3"/>
  <c r="Z29" i="3" s="1"/>
  <c r="Y27" i="3"/>
  <c r="Z27" i="3" s="1"/>
  <c r="Y91" i="3"/>
  <c r="Z91" i="3" s="1"/>
  <c r="Y133" i="3"/>
  <c r="Z133" i="3" s="1"/>
  <c r="Y6" i="3"/>
  <c r="Y98" i="3"/>
  <c r="Z98" i="3" s="1"/>
  <c r="Y95" i="3"/>
  <c r="Z95" i="3" s="1"/>
  <c r="Y28" i="3"/>
  <c r="Z28" i="3" s="1"/>
  <c r="Y21" i="3"/>
  <c r="Z21" i="3" s="1"/>
  <c r="Y90" i="3"/>
  <c r="Z90" i="3" s="1"/>
  <c r="Z5" i="3" l="1"/>
  <c r="Z6" i="3"/>
  <c r="Z100" i="3"/>
  <c r="Y120" i="3"/>
  <c r="Y13" i="3"/>
  <c r="Z13" i="3" s="1"/>
  <c r="Y103" i="3"/>
  <c r="Z103" i="3" s="1"/>
  <c r="Y106" i="3"/>
  <c r="Z106" i="3" s="1"/>
  <c r="Y111" i="3"/>
  <c r="Z111" i="3" s="1"/>
  <c r="Y12" i="3"/>
  <c r="Z12" i="3" s="1"/>
  <c r="Y110" i="3"/>
  <c r="Z110" i="3" s="1"/>
  <c r="Y104" i="3"/>
  <c r="Z104" i="3" s="1"/>
  <c r="Y112" i="3"/>
  <c r="Z112" i="3" s="1"/>
  <c r="Y41" i="3"/>
  <c r="Z41" i="3" s="1"/>
  <c r="Y14" i="3"/>
  <c r="Z14" i="3" s="1"/>
  <c r="Y107" i="3"/>
  <c r="Z107" i="3" s="1"/>
  <c r="Y109" i="3"/>
  <c r="Z109" i="3" s="1"/>
  <c r="Y11" i="3"/>
  <c r="Z11" i="3" s="1"/>
  <c r="Y15" i="3"/>
  <c r="Z15" i="3" s="1"/>
  <c r="Y105" i="3"/>
  <c r="Z105" i="3" s="1"/>
  <c r="Y113" i="3"/>
  <c r="Z113" i="3" s="1"/>
  <c r="Z120" i="3" l="1"/>
  <c r="Y138" i="3"/>
  <c r="Z138" i="3" s="1"/>
  <c r="Y121" i="3"/>
  <c r="Z121" i="3" s="1"/>
  <c r="Y10" i="3"/>
  <c r="Z10" i="3" s="1"/>
  <c r="Y118" i="3"/>
  <c r="Z118" i="3" s="1"/>
  <c r="K140" i="3"/>
  <c r="K139" i="3"/>
  <c r="K138" i="3"/>
  <c r="X140" i="3" l="1"/>
  <c r="X139" i="3"/>
  <c r="K137" i="3"/>
  <c r="Y139" i="3" l="1"/>
  <c r="Z139" i="3" s="1"/>
  <c r="Y140" i="3"/>
  <c r="Z140" i="3" s="1"/>
  <c r="Y92" i="3" l="1"/>
  <c r="Z92" i="3" s="1"/>
  <c r="K40" i="3" l="1"/>
  <c r="Y61" i="3" l="1"/>
  <c r="Z61" i="3" s="1"/>
  <c r="Y59" i="3"/>
  <c r="Z59" i="3" s="1"/>
  <c r="K120" i="3" l="1"/>
  <c r="K70" i="3"/>
  <c r="K55" i="3"/>
  <c r="K135" i="3" l="1"/>
  <c r="AL99" i="3" l="1"/>
  <c r="K5" i="3"/>
  <c r="K6" i="3"/>
  <c r="K7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3" i="3"/>
  <c r="K27" i="3"/>
  <c r="K28" i="3"/>
  <c r="K29" i="3"/>
  <c r="K34" i="3"/>
  <c r="K35" i="3"/>
  <c r="K36" i="3"/>
  <c r="K37" i="3"/>
  <c r="K38" i="3"/>
  <c r="K2" i="3"/>
  <c r="K39" i="3"/>
  <c r="K3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21" i="3"/>
  <c r="K122" i="3"/>
  <c r="K123" i="3"/>
  <c r="K124" i="3"/>
  <c r="K125" i="3"/>
  <c r="K126" i="3"/>
  <c r="K128" i="3"/>
  <c r="K129" i="3"/>
  <c r="K130" i="3"/>
  <c r="K131" i="3"/>
  <c r="K132" i="3"/>
  <c r="K133" i="3"/>
  <c r="K134" i="3"/>
  <c r="K136" i="3"/>
  <c r="BM99" i="3" l="1"/>
  <c r="AM99" i="3"/>
  <c r="BN99" i="3" s="1"/>
  <c r="AO99" i="3" l="1"/>
  <c r="W99" i="3" s="1"/>
  <c r="BO99" i="3"/>
  <c r="AN99" i="3"/>
  <c r="X99" i="3" l="1"/>
  <c r="Y122" i="3"/>
  <c r="Z122" i="3" s="1"/>
  <c r="Y99" i="3" l="1"/>
  <c r="Z99" i="3" s="1"/>
  <c r="Y37" i="3"/>
  <c r="Z37" i="3" s="1"/>
  <c r="Y76" i="3"/>
  <c r="Z76" i="3" s="1"/>
  <c r="J53" i="3"/>
  <c r="J51" i="3"/>
  <c r="AF38" i="3"/>
  <c r="K4" i="3"/>
  <c r="BG38" i="3" l="1"/>
  <c r="BG150" i="3" s="1"/>
  <c r="AG38" i="3"/>
  <c r="AG150" i="3" s="1"/>
  <c r="BH38" i="3" l="1"/>
  <c r="BH150" i="3" s="1"/>
  <c r="Y68" i="3"/>
  <c r="Z68" i="3" s="1"/>
  <c r="AH38" i="3"/>
  <c r="AH150" i="3" s="1"/>
  <c r="BI38" i="3" l="1"/>
  <c r="BI150" i="3" s="1"/>
  <c r="AI38" i="3"/>
  <c r="AI150" i="3" s="1"/>
  <c r="Y94" i="3"/>
  <c r="Z94" i="3" s="1"/>
  <c r="Y36" i="3"/>
  <c r="Z36" i="3" s="1"/>
  <c r="Y2" i="3"/>
  <c r="Y82" i="3"/>
  <c r="Z82" i="3" s="1"/>
  <c r="Y3" i="3"/>
  <c r="Z3" i="3" l="1"/>
  <c r="BJ38" i="3"/>
  <c r="BJ150" i="3" s="1"/>
  <c r="Z2" i="3"/>
  <c r="AJ38" i="3"/>
  <c r="AJ150" i="3" s="1"/>
  <c r="Y42" i="3"/>
  <c r="Z42" i="3" s="1"/>
  <c r="BK38" i="3" l="1"/>
  <c r="BK150" i="3" s="1"/>
  <c r="AK38" i="3"/>
  <c r="AK150" i="3" s="1"/>
  <c r="Y60" i="3"/>
  <c r="Z60" i="3" s="1"/>
  <c r="BL38" i="3" l="1"/>
  <c r="BL150" i="3" s="1"/>
  <c r="AL38" i="3"/>
  <c r="AL150" i="3" s="1"/>
  <c r="Y87" i="3"/>
  <c r="Z87" i="3" s="1"/>
  <c r="BM38" i="3" l="1"/>
  <c r="BM150" i="3" s="1"/>
  <c r="AM38" i="3"/>
  <c r="AM150" i="3" s="1"/>
  <c r="Y23" i="3"/>
  <c r="AO38" i="3" l="1"/>
  <c r="BN38" i="3"/>
  <c r="BN150" i="3" s="1"/>
  <c r="AN38" i="3"/>
  <c r="AN150" i="3" s="1"/>
  <c r="Z23" i="3"/>
  <c r="Y89" i="3"/>
  <c r="W38" i="3" l="1"/>
  <c r="W150" i="3" s="1"/>
  <c r="AO150" i="3"/>
  <c r="Z89" i="3"/>
  <c r="BO38" i="3"/>
  <c r="BO150" i="3" s="1"/>
  <c r="Y38" i="3" l="1"/>
  <c r="Y150" i="3" s="1"/>
  <c r="X38" i="3"/>
  <c r="X150" i="3" s="1"/>
  <c r="Z38" i="3" l="1"/>
  <c r="Z150" i="3" s="1"/>
  <c r="W2" i="87"/>
  <c r="X2" i="87" l="1"/>
  <c r="Y2" i="87"/>
  <c r="Z2" i="87" l="1"/>
</calcChain>
</file>

<file path=xl/sharedStrings.xml><?xml version="1.0" encoding="utf-8"?>
<sst xmlns="http://schemas.openxmlformats.org/spreadsheetml/2006/main" count="6646" uniqueCount="929">
  <si>
    <t>Sum of 2026 Final Budget</t>
  </si>
  <si>
    <t>Row Labels</t>
  </si>
  <si>
    <t>FPC</t>
  </si>
  <si>
    <t>Hardware</t>
  </si>
  <si>
    <t>Infrastructure</t>
  </si>
  <si>
    <t>MS</t>
  </si>
  <si>
    <t>OOE</t>
  </si>
  <si>
    <t>Software</t>
  </si>
  <si>
    <t>Grand Total</t>
  </si>
  <si>
    <t>Prj000211</t>
  </si>
  <si>
    <t>Prj000228</t>
  </si>
  <si>
    <t>Prj000266</t>
  </si>
  <si>
    <t>Prj000278</t>
  </si>
  <si>
    <t>Prj000290</t>
  </si>
  <si>
    <t>Prj000296</t>
  </si>
  <si>
    <t>Prj000342</t>
  </si>
  <si>
    <t>Prj000344</t>
  </si>
  <si>
    <t>Prj000350</t>
  </si>
  <si>
    <t>Prj000353</t>
  </si>
  <si>
    <t>Prj000358</t>
  </si>
  <si>
    <t>Prj000381</t>
  </si>
  <si>
    <t>Prj000402</t>
  </si>
  <si>
    <t>Prj000403</t>
  </si>
  <si>
    <t>Prj000404</t>
  </si>
  <si>
    <t>Prj000410</t>
  </si>
  <si>
    <t>Prj000426</t>
  </si>
  <si>
    <t>Prj000427</t>
  </si>
  <si>
    <t>Prj000446</t>
  </si>
  <si>
    <t>Prj000447</t>
  </si>
  <si>
    <t>Prj000458</t>
  </si>
  <si>
    <t>Prj000467</t>
  </si>
  <si>
    <t>Prj000469</t>
  </si>
  <si>
    <t>Prj000472</t>
  </si>
  <si>
    <t>Prj000476</t>
  </si>
  <si>
    <t>Prj000477</t>
  </si>
  <si>
    <t>Prj000482</t>
  </si>
  <si>
    <t>Prj000489</t>
  </si>
  <si>
    <t>Prj000548</t>
  </si>
  <si>
    <t>Prj000556</t>
  </si>
  <si>
    <t>2026 Final Approved Budget</t>
  </si>
  <si>
    <t>WSO Web Services - Subs/ WSO Web/AUM/SubVar- Potential Risk</t>
  </si>
  <si>
    <t>Hard Risk</t>
  </si>
  <si>
    <t>Transaction Type</t>
  </si>
  <si>
    <t>(Multiple Items)</t>
  </si>
  <si>
    <t>Sum of 2026 Risk</t>
  </si>
  <si>
    <t>Sum of 2026 Opportunity</t>
  </si>
  <si>
    <t>Labor/ T&amp;M</t>
  </si>
  <si>
    <t>Sub-Category1</t>
  </si>
  <si>
    <t>Dan Royer</t>
  </si>
  <si>
    <t>Danny Borkowski</t>
  </si>
  <si>
    <t>Devang Shah</t>
  </si>
  <si>
    <t>Erik Wynkoop</t>
  </si>
  <si>
    <t>John Spencer</t>
  </si>
  <si>
    <t>Melissa Tumminia</t>
  </si>
  <si>
    <t>Domain Owner</t>
  </si>
  <si>
    <t>D365 Legal Vendor name</t>
  </si>
  <si>
    <t>Finastra Technology, Inc</t>
  </si>
  <si>
    <t>CDW DIRECT LLC</t>
  </si>
  <si>
    <t>AT&amp;T Corp</t>
  </si>
  <si>
    <t>Beanfield Technologies, Inc.</t>
  </si>
  <si>
    <t>Bell Mobility Inc.</t>
  </si>
  <si>
    <t>Cisco Systems, Inc.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</si>
  <si>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</si>
  <si>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</si>
  <si>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</si>
  <si>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</si>
  <si>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</si>
  <si>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</si>
  <si>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</si>
  <si>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</si>
  <si>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SHI International Corp</t>
  </si>
  <si>
    <t>Verizon Wireless Services LLC</t>
  </si>
  <si>
    <t>Zoom Video Communications, Inc.</t>
  </si>
  <si>
    <t>Andersen Tax Holdings</t>
  </si>
  <si>
    <t>NewRocket, LLC</t>
  </si>
  <si>
    <t>DigiCert, Inc.</t>
  </si>
  <si>
    <t>Lucid Software, Inc.</t>
  </si>
  <si>
    <t>Monday.com Ltd</t>
  </si>
  <si>
    <t>SonarSource SA</t>
  </si>
  <si>
    <t>VPMA Global Services LLC</t>
  </si>
  <si>
    <t>DBA / AKA / Passthrough</t>
  </si>
  <si>
    <t>Project ID</t>
  </si>
  <si>
    <t>Project Name</t>
  </si>
  <si>
    <t>Domain</t>
  </si>
  <si>
    <t>Contract Start</t>
  </si>
  <si>
    <t>Contract End</t>
  </si>
  <si>
    <t>Application</t>
  </si>
  <si>
    <t>Project Details</t>
  </si>
  <si>
    <t>Category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</si>
  <si>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</si>
  <si>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</si>
  <si>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</si>
  <si>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</si>
  <si>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</si>
  <si>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</si>
  <si>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</si>
  <si>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</si>
  <si>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Final Budget</t>
  </si>
  <si>
    <t>2026 (Actuals + Forecast)</t>
  </si>
  <si>
    <t>2026 Opportunity</t>
  </si>
  <si>
    <t>2026 Risk</t>
  </si>
  <si>
    <t>Contract</t>
  </si>
  <si>
    <t>Microsoft D365 F&amp;O and CRM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</si>
  <si>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</si>
  <si>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</si>
  <si>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</si>
  <si>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</si>
  <si>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</si>
  <si>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</si>
  <si>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</si>
  <si>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F&amp;O Lic</t>
  </si>
  <si>
    <t>event driven</t>
  </si>
  <si>
    <t>T&amp;E - Refer to Concur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</si>
  <si>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</si>
  <si>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</si>
  <si>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</si>
  <si>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</si>
  <si>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</si>
  <si>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</si>
  <si>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</si>
  <si>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 xml:space="preserve">  </t>
  </si>
  <si>
    <t>Archetype Consulting, Inc.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</si>
  <si>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</si>
  <si>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</si>
  <si>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</si>
  <si>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</si>
  <si>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</si>
  <si>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</si>
  <si>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</si>
  <si>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</si>
  <si>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</si>
  <si>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Control M</t>
  </si>
  <si>
    <t>Annual Expensed</t>
  </si>
  <si>
    <t>G Treasury SS, LLC</t>
  </si>
  <si>
    <t>Managed Service - Core</t>
  </si>
  <si>
    <t>Support Services</t>
  </si>
  <si>
    <t>Potential Opportunity</t>
  </si>
  <si>
    <t>Potential Opp.</t>
  </si>
  <si>
    <t>SuperTrader, Inc.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</si>
  <si>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</si>
  <si>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</si>
  <si>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</si>
  <si>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</si>
  <si>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</si>
  <si>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</si>
  <si>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</si>
  <si>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Managed Service - Network</t>
  </si>
  <si>
    <t>Network Managed Services (Network Operation Centre (NOC))</t>
  </si>
  <si>
    <t>MS Network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</si>
  <si>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</si>
  <si>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</si>
  <si>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</si>
  <si>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</si>
  <si>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</si>
  <si>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</si>
  <si>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</si>
  <si>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</si>
  <si>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</si>
  <si>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Hard Opportunity</t>
  </si>
  <si>
    <t>Bloomberg Finance L.P.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</si>
  <si>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</si>
  <si>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</si>
  <si>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</si>
  <si>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</si>
  <si>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</si>
  <si>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</si>
  <si>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PitchBook Data, Inc.</t>
  </si>
  <si>
    <t>Implement - Minor Enhancements for Sales</t>
  </si>
  <si>
    <t>Asset Management Technology &amp; Data Services</t>
  </si>
  <si>
    <t>2 Yrs yr1 11845 (paid in 2025) &amp; yr2 12200 (to be paid in 2026)</t>
  </si>
  <si>
    <t>City of Chicago</t>
  </si>
  <si>
    <t>Sales VAT Tax</t>
  </si>
  <si>
    <t>HST &amp; sales VAT tax</t>
  </si>
  <si>
    <t>Sales Tax VAT</t>
  </si>
  <si>
    <t>Sales Tax Expense</t>
  </si>
  <si>
    <t>Parked for 2026 Sales Tax</t>
  </si>
  <si>
    <t>New York State Department of Taxation and Finance</t>
  </si>
  <si>
    <t>Nterone Corporation</t>
  </si>
  <si>
    <t>Nterone</t>
  </si>
  <si>
    <t>Training/Seminars/Conference Spend</t>
  </si>
  <si>
    <t>External Training</t>
  </si>
  <si>
    <t>Coforge DPA NA Inc.</t>
  </si>
  <si>
    <t>Support - L2 CoE Management for Tech Horizontals</t>
  </si>
  <si>
    <t>Tech Shared Services</t>
  </si>
  <si>
    <t>L2 SOW FPC</t>
  </si>
  <si>
    <t>Cognizant Worldwide Limited</t>
  </si>
  <si>
    <t>T&amp;M</t>
  </si>
  <si>
    <t/>
  </si>
  <si>
    <t>D365 CRM</t>
  </si>
  <si>
    <t>RTB- T&amp;M</t>
  </si>
  <si>
    <t>1Rivet</t>
  </si>
  <si>
    <t>Virteva LLC</t>
  </si>
  <si>
    <t>Crossfuze</t>
  </si>
  <si>
    <t>Support - Enterprise Tech Helpdesk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</si>
  <si>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</si>
  <si>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</si>
  <si>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</si>
  <si>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T&amp;M - [KA - Feb 23] - Forcast updated from Feb to Dec, based on Raymond's exit. This T&amp;M forecast is adjusted in the new QA contract. Adjusted monthly rate starting Apr based on Shanky's exit</t>
  </si>
  <si>
    <t>Broadridge Output  Solutions</t>
  </si>
  <si>
    <t>Centry CLO</t>
  </si>
  <si>
    <t>License</t>
  </si>
  <si>
    <t>Software - Core</t>
  </si>
  <si>
    <t>Quarterly Prepaid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</si>
  <si>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</si>
  <si>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</si>
  <si>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</si>
  <si>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</si>
  <si>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</si>
  <si>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Indus Valley Partners Corporation</t>
  </si>
  <si>
    <t>IVP</t>
  </si>
  <si>
    <t>Support - Data Analytics Office</t>
  </si>
  <si>
    <t>Enterprise Architecture, Data Analytics &amp; AI</t>
  </si>
  <si>
    <t>Polaris/EDM/SecMast Core</t>
  </si>
  <si>
    <t>Implement - Reporting for Internal Audit</t>
  </si>
  <si>
    <t>Polaris/EDM/SecMast Hosting</t>
  </si>
  <si>
    <t>Workday, Inc.</t>
  </si>
  <si>
    <t>Implement - Minor Enhancements for Enterprise Apps</t>
  </si>
  <si>
    <t>Workday</t>
  </si>
  <si>
    <t>Monthly Incremental</t>
  </si>
  <si>
    <t>Support - Site Reliability Engineering for Tech</t>
  </si>
  <si>
    <t>MS Cloud</t>
  </si>
  <si>
    <t>Managed Service - Cloud</t>
  </si>
  <si>
    <t>BWise Internal Control Inc.</t>
  </si>
  <si>
    <t>SAI360</t>
  </si>
  <si>
    <t>Software License</t>
  </si>
  <si>
    <t>CDW (b)</t>
  </si>
  <si>
    <t>NCE M365 Jan - Dec Mthly Invoice</t>
  </si>
  <si>
    <t>NCE M365 E5</t>
  </si>
  <si>
    <t>Proofpoint</t>
  </si>
  <si>
    <t>Proofpoint Sftwr, paid in 2025. To be renewed in Q3/Q4 2026</t>
  </si>
  <si>
    <t>CDW Microsoft (a)</t>
  </si>
  <si>
    <t>Syskit Point</t>
  </si>
  <si>
    <t>Syskit Point Sftwr</t>
  </si>
  <si>
    <t>Support - Security Operations for Cybersecurity</t>
  </si>
  <si>
    <t>Cloud Navigators LLC</t>
  </si>
  <si>
    <t>Cloud Navigator</t>
  </si>
  <si>
    <t>FinDox Inc.</t>
  </si>
  <si>
    <t>FinDox is now Octus</t>
  </si>
  <si>
    <t>FinDox Core</t>
  </si>
  <si>
    <t>Annual Software</t>
  </si>
  <si>
    <t>HSO Enterprise Solutions LLC</t>
  </si>
  <si>
    <t>AKA Enterprises</t>
  </si>
  <si>
    <t>Incloud, LLC</t>
  </si>
  <si>
    <t>Ontra</t>
  </si>
  <si>
    <t>Ontra / Insight Funds</t>
  </si>
  <si>
    <t>ExpMgr Hositng</t>
  </si>
  <si>
    <t>ExpMgr</t>
  </si>
  <si>
    <t>Navigate</t>
  </si>
  <si>
    <t>Inogic Tech India Private Limited</t>
  </si>
  <si>
    <t>Maplytics</t>
  </si>
  <si>
    <t>Implement - Minor Enhancements for Marketing</t>
  </si>
  <si>
    <t>Lucid Software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</si>
  <si>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</si>
  <si>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</si>
  <si>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</si>
  <si>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</si>
  <si>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Macabacus, Inc.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</si>
  <si>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</si>
  <si>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</si>
  <si>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</si>
  <si>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</si>
  <si>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</si>
  <si>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</si>
  <si>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Monday.com</t>
  </si>
  <si>
    <t>Management Enterprise 600 Seats</t>
  </si>
  <si>
    <t>ServiceNow Liac</t>
  </si>
  <si>
    <t>ServiceNow Agile Team + Various</t>
  </si>
  <si>
    <t>Software License 1</t>
  </si>
  <si>
    <t>ServiceNow Security Operations Enterprise - VR NRUSCINV-000450</t>
  </si>
  <si>
    <t>Amount per Invoice</t>
  </si>
  <si>
    <t>Strategic Portfolio Management (SPM) Pro</t>
  </si>
  <si>
    <t>Software License 3</t>
  </si>
  <si>
    <t>Oracle America, Inc.</t>
  </si>
  <si>
    <t>Oracle</t>
  </si>
  <si>
    <t xml:space="preserve">Oracle Java </t>
  </si>
  <si>
    <t>LIQ Java</t>
  </si>
  <si>
    <t>RFPIO INC. (Responsive)</t>
  </si>
  <si>
    <t>Responsive</t>
  </si>
  <si>
    <t>SALESFORCE COM INC</t>
  </si>
  <si>
    <t>Salesforce</t>
  </si>
  <si>
    <t>Tableau Creator (5) + Viewer (40) + Explorer (10)</t>
  </si>
  <si>
    <t>SAAS Lics</t>
  </si>
  <si>
    <t>Siemens Industry Software, Inc.</t>
  </si>
  <si>
    <t>Mendix</t>
  </si>
  <si>
    <t>SS&amp;C GIDS, Inc.</t>
  </si>
  <si>
    <t>Wealth Distribution Tool (Vendor TBD)</t>
  </si>
  <si>
    <t>Walletshare Alts</t>
  </si>
  <si>
    <t>Sonarsource</t>
  </si>
  <si>
    <t>SHI</t>
  </si>
  <si>
    <t>Quest Software &amp; Maintenance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</si>
  <si>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</si>
  <si>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</si>
  <si>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</si>
  <si>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</si>
  <si>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</si>
  <si>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</si>
  <si>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</si>
  <si>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</si>
  <si>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Smarsh Inc.</t>
  </si>
  <si>
    <t>Smarsh</t>
  </si>
  <si>
    <t>Levpro</t>
  </si>
  <si>
    <t>estimated</t>
  </si>
  <si>
    <t>Software (Prepaid)</t>
  </si>
  <si>
    <t>Digicert</t>
  </si>
  <si>
    <t>Datadog, Inc.</t>
  </si>
  <si>
    <t>DataDog</t>
  </si>
  <si>
    <t>Sftwr- Potential Risk to look for</t>
  </si>
  <si>
    <t>Sftwr- Mis-posting Prepaid</t>
  </si>
  <si>
    <t>ClickTime.com Inc.</t>
  </si>
  <si>
    <t>ClickTime</t>
  </si>
  <si>
    <t>Think-Cell</t>
  </si>
  <si>
    <t>Think-cell parnership</t>
  </si>
  <si>
    <t>Think Cell</t>
  </si>
  <si>
    <t>Cloud Software Group (formally Tibco)</t>
  </si>
  <si>
    <t>TIBCO Spotfire</t>
  </si>
  <si>
    <t>Spotfire</t>
  </si>
  <si>
    <t>Production</t>
  </si>
  <si>
    <t>Paid as prepaid in 2025, to be renewed in Aug/Sep 2026</t>
  </si>
  <si>
    <t>CloudFlare</t>
  </si>
  <si>
    <t>Potential Opp.- we moved to Equisolve to host our website</t>
  </si>
  <si>
    <t>Litera</t>
  </si>
  <si>
    <t>Litera Compare Desktop</t>
  </si>
  <si>
    <t>Alation Inc.</t>
  </si>
  <si>
    <t>Alation</t>
  </si>
  <si>
    <t>BroadVantage</t>
  </si>
  <si>
    <t>BoardVantage</t>
  </si>
  <si>
    <t>Software for Board of Directors - Potential Opportunity - No activity in 2025 as well</t>
  </si>
  <si>
    <t>TBC with Danny</t>
  </si>
  <si>
    <t>Polaris/EDM/SecMast Core l2</t>
  </si>
  <si>
    <t>Managed Services</t>
  </si>
  <si>
    <t>IVP L2 Tech MS</t>
  </si>
  <si>
    <t>Data MS</t>
  </si>
  <si>
    <t>Data Managed Srvc</t>
  </si>
  <si>
    <t>Equisolve, Inc.</t>
  </si>
  <si>
    <t>MARKIT NORTH AMERICA, INC.</t>
  </si>
  <si>
    <t>S&amp;P Global</t>
  </si>
  <si>
    <t>Infra Svcs &amp; User Enblt Tech</t>
  </si>
  <si>
    <t>Prj Mgmt T&amp;M</t>
  </si>
  <si>
    <t>T&amp;M IVP Mgmt (TOM)- Rahul &amp; Vaibhav + 2</t>
  </si>
  <si>
    <t>Implement - Build Pipes from CORE Systems to IVP</t>
  </si>
  <si>
    <t>Polaris/EDM/SecMast Core Implementation</t>
  </si>
  <si>
    <t>RTB- FPC</t>
  </si>
  <si>
    <t>Intelligent Business Platforms LLC</t>
  </si>
  <si>
    <t>Intellibus</t>
  </si>
  <si>
    <t>CTB- T&amp;M</t>
  </si>
  <si>
    <t>Consulting</t>
  </si>
  <si>
    <t>Consulting Change the Business</t>
  </si>
  <si>
    <t>Seismic Software Inc.</t>
  </si>
  <si>
    <t>Capitalization</t>
  </si>
  <si>
    <t>Software Capitalization</t>
  </si>
  <si>
    <t>CTB- FPC</t>
  </si>
  <si>
    <t>Software Cap</t>
  </si>
  <si>
    <t>Management cap on Capitalized Software</t>
  </si>
  <si>
    <t>PactFi Inc.</t>
  </si>
  <si>
    <t>PactFi Annual Platform Fee</t>
  </si>
  <si>
    <t>Year 1 of 3: 1/26/26 to 1/25/27 - Capitalizable</t>
  </si>
  <si>
    <t>ACC Business</t>
  </si>
  <si>
    <t>Network</t>
  </si>
  <si>
    <t>Amazon Capital Services, Inc.</t>
  </si>
  <si>
    <t>Office Exp / Supplies / Misc Software</t>
  </si>
  <si>
    <t>General Office Expense - Refer to Concur</t>
  </si>
  <si>
    <t>Office Exp / Supplies / Misc Software/ Printing/ Photocopying/ Stationery</t>
  </si>
  <si>
    <t>ICE Benchmark Administration Ltd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</si>
  <si>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</si>
  <si>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</si>
  <si>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</si>
  <si>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</si>
  <si>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</si>
  <si>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ASX Benchmarks PTY limited</t>
  </si>
  <si>
    <t>in AUD</t>
  </si>
  <si>
    <t>Fitch Solutions, Inc.</t>
  </si>
  <si>
    <t>THOMSON REUTERS MARKETS LLC</t>
  </si>
  <si>
    <t>LSEG / Refinitive</t>
  </si>
  <si>
    <t>Market Data</t>
  </si>
  <si>
    <t>TSX Inc.</t>
  </si>
  <si>
    <t>Amortization</t>
  </si>
  <si>
    <t>Hosting Agreement Amortization</t>
  </si>
  <si>
    <t>Amortization - Capitalized costs for hosting arrangements</t>
  </si>
  <si>
    <t>Hardware - Desktop Equipment</t>
  </si>
  <si>
    <t>Papercut SaaS Maintenance</t>
  </si>
  <si>
    <t>Variable Monthly Usage</t>
  </si>
  <si>
    <t>Sky Road</t>
  </si>
  <si>
    <t>Implement - Portfolio Optimization Tool for LC</t>
  </si>
  <si>
    <t>Capitalizable</t>
  </si>
  <si>
    <t>Implement - QA CoE to Additional Platforms</t>
  </si>
  <si>
    <t>New 2026 BoW</t>
  </si>
  <si>
    <t>Implement - L1/L2 CoE for Additional Platforms</t>
  </si>
  <si>
    <t>Implement - Strategic Modules for LIQ</t>
  </si>
  <si>
    <t>New 2026 BoW (Capitalizable)</t>
  </si>
  <si>
    <t>Implement - WSO Own Instance (AM)</t>
  </si>
  <si>
    <t>Implement - WSO Balance Sheet Mig &amp; Reporting</t>
  </si>
  <si>
    <t>Implement - Odyssey Reporting &amp; Exception Mgmt</t>
  </si>
  <si>
    <t>New FPC BOW</t>
  </si>
  <si>
    <t>Implement - Minor Enhancements SNOW - Phase 2</t>
  </si>
  <si>
    <t>ServiceNow</t>
  </si>
  <si>
    <t>Monthly SOW</t>
  </si>
  <si>
    <t>Implement - Reporting to Support DGC</t>
  </si>
  <si>
    <t>Tableau Licenses</t>
  </si>
  <si>
    <t>Paid till Mar2026, might need till 03/2027- Capitalizable</t>
  </si>
  <si>
    <t>Implement - Minor Enhancements for Data Services</t>
  </si>
  <si>
    <t>2026 PH</t>
  </si>
  <si>
    <t>Implement - Fund Acctn Modules to Support BS Transition</t>
  </si>
  <si>
    <t>OpenAI, L.L.C. (“OpenAI”)</t>
  </si>
  <si>
    <t>Support - PMO Governance &amp; Reporting Activities</t>
  </si>
  <si>
    <t>T&amp;M- Implementing CoE for L1/L2 Platforms</t>
  </si>
  <si>
    <t>New 2026 BoW (batch orchestraion work)</t>
  </si>
  <si>
    <t>2026 Laptops - Danny- Risk</t>
  </si>
  <si>
    <t>Allvue Systems, LLC</t>
  </si>
  <si>
    <t>BMS</t>
  </si>
  <si>
    <t>Prepaid 2026</t>
  </si>
  <si>
    <t>OneStream Software, LLC</t>
  </si>
  <si>
    <t>OneStream</t>
  </si>
  <si>
    <t>S&amp;P Global/ WSO</t>
  </si>
  <si>
    <t>T&amp;M-T&amp;M</t>
  </si>
  <si>
    <t>Hard Opportunity- Variance from OneStream Budget vs IT Budget</t>
  </si>
  <si>
    <t>Swati Yadav</t>
  </si>
  <si>
    <t>Danny's extra 1Rivet HC - Risk</t>
  </si>
  <si>
    <t>CME Group</t>
  </si>
  <si>
    <t>This was not part of initial budget</t>
  </si>
  <si>
    <t>Changed from T&amp;M to FPC as per Shanky's KT, March billing to decide final Opp/Risk</t>
  </si>
  <si>
    <t>Amortization/Multiple</t>
  </si>
  <si>
    <t>N/A</t>
  </si>
  <si>
    <t>FPC TBD Dependent on Investor Reporting Integration into Seismic - Prepaid</t>
  </si>
  <si>
    <t>T&amp;M - Intellibus</t>
  </si>
  <si>
    <t>Comprised of 7 different invoices - SmartNet, Prisma and PA until Jul'25; New Price effective Aug'25 for 5 yr contract
5 years starting Aug is only Prisma and PA. No SmartNet.</t>
  </si>
  <si>
    <t>Nore</t>
  </si>
  <si>
    <t>Renewed 6/1/25, anniversary date true-up-CRM (Prepaid)</t>
  </si>
  <si>
    <t>Renewed 6/1/25, anniversary date true-up-F&amp;O (Prepaid)</t>
  </si>
  <si>
    <t>IVP EDM, Polaris, Security Master Year 3 SaaS Fees/ Production License Fee + Annual Consulting Fee for IVP EDM, Polaris, Security Master-Prepaid</t>
  </si>
  <si>
    <t>Polaris/EDM/SecMast- Prod. &amp; UAT Hosting Fee-Prepaid till Jun2026, to be renewed post Jun2026</t>
  </si>
  <si>
    <t>Polaris/EDM/SecMast- Disaster Recovery Hosting Fee-Prepaid till Apr2027, to be renewed post Apr2027</t>
  </si>
  <si>
    <t>Misposting PREPAID in 2025; paid $419,687/- in Mar2025. Renewed as Prepaid in Mar 2026.-Added opportunity in Dec for extra support work as rec. my Melissa</t>
  </si>
  <si>
    <t>Monthly Incremental - Potential Opportunity-Monthly Incremental - Potential Opportunity</t>
  </si>
  <si>
    <t>3 YR $16MM Commitment;
Potential Incremental spend for Project Evolution-MS Cloud</t>
  </si>
  <si>
    <t>Prepaid-Prepaid</t>
  </si>
  <si>
    <t>Misc Other Software - New Joiners-Potential Opp</t>
  </si>
  <si>
    <t>Prepaid in 2025-confirm if IT is taking this cost in 2026</t>
  </si>
  <si>
    <t>Renewed 6/1/25, anniversary date true-up-Entpr Lic (Prepaid)</t>
  </si>
  <si>
    <t>Paid as Prepaid in 2025; to be renewed in 2026-Paid as Prepaid in 2025; to be renewed in 2026</t>
  </si>
  <si>
    <t>Prepaid in 2025; to be renewed in Dec 2026-Prepaid in 2025; to be renewed in Dec 2026</t>
  </si>
  <si>
    <t>Paid for 2025 in Dec 2024, need to renew in 2026-Paid for 2025 in Dec 2024, need to renew in 2026</t>
  </si>
  <si>
    <t>Strategic Portfolio Management (SPM) Pro, paid in Dec2025, to be renewed in Dec2026-Strategic Portfolio Management (SPM) Pro, paid in Dec2025, to be renewed in Dec2026</t>
  </si>
  <si>
    <t>Walletshare renews Sep2026, Set as Prepaid in 2025-Walletshare renews Sep2026, Set as Prepaid in 2025</t>
  </si>
  <si>
    <t>Quest Software- One Identity-Cost of Quest Sofware for 2 years - material diff if we renew for 1 vs 2 yrs</t>
  </si>
  <si>
    <t>UiPath Sftwr-UiPath Sftwr</t>
  </si>
  <si>
    <t>Renewed/ paid in Dec2025, to be renewed in Dec2026-Renewed/ paid in Dec2025, to be renewed in Dec2026</t>
  </si>
  <si>
    <t>Errouneously paid by BDC CC -32K, Incremental spend 20K-LoungeLizard budget transferred to Equisolve</t>
  </si>
  <si>
    <t>FPC- IVP Implementation Post Contract - Capitalizable-160K per month from Jan to June 2026 - Capitalizable</t>
  </si>
  <si>
    <t>Notes</t>
  </si>
  <si>
    <t>Jan FC</t>
  </si>
  <si>
    <t>Feb FC</t>
  </si>
  <si>
    <t>Mar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</si>
  <si>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</si>
  <si>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</si>
  <si>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</si>
  <si>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</si>
  <si>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</si>
  <si>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</si>
  <si>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</si>
  <si>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</si>
  <si>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</si>
  <si>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</si>
  <si>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</si>
  <si>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</si>
  <si>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</si>
  <si>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</si>
  <si>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</si>
  <si>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</si>
  <si>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</si>
  <si>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</si>
  <si>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</si>
  <si>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</si>
  <si>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</si>
  <si>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Notes - Swati</t>
  </si>
  <si>
    <t>Total - FC</t>
  </si>
  <si>
    <t>Total Actuals</t>
  </si>
  <si>
    <t>2026 Net Position</t>
  </si>
  <si>
    <t>Prepaid</t>
  </si>
  <si>
    <t>ok</t>
  </si>
  <si>
    <t>Prj000469-Support - Prod Support for Ops Apps</t>
  </si>
  <si>
    <t>Check with Manni</t>
  </si>
  <si>
    <t>Jan</t>
  </si>
  <si>
    <t>Chicago Mercantile Exchange Inc</t>
  </si>
  <si>
    <t>FEB</t>
  </si>
  <si>
    <t>Duplication</t>
  </si>
  <si>
    <t>Extra added in Dec for extra support work requested by Melissa</t>
  </si>
  <si>
    <t>Norske Finansielle Referanser AS</t>
  </si>
  <si>
    <t>Nore is data source provider for Refinitive - not part of initial budget</t>
  </si>
  <si>
    <t>Removed</t>
  </si>
  <si>
    <t>(All)</t>
  </si>
  <si>
    <t>This was to be charged back to Cyber, but now tech has to bear the cost. Danny's email is proof</t>
  </si>
  <si>
    <t>ok -Actual</t>
  </si>
  <si>
    <t>ok-actuals</t>
  </si>
  <si>
    <t>ok -actual</t>
  </si>
  <si>
    <t>Sum of 2026 Net Position</t>
  </si>
  <si>
    <t>Dan Royer Total</t>
  </si>
  <si>
    <t>Danny Borkowski Total</t>
  </si>
  <si>
    <t>Devang Shah Total</t>
  </si>
  <si>
    <t>Erik Wynkoop Total</t>
  </si>
  <si>
    <t>John Spencer Total</t>
  </si>
  <si>
    <t>Melissa Tumminia Total</t>
  </si>
  <si>
    <t>Values</t>
  </si>
  <si>
    <t>Sum of Jan FC</t>
  </si>
  <si>
    <t>Sum of Jan AC</t>
  </si>
  <si>
    <t>Sum of Feb FC</t>
  </si>
  <si>
    <t>Sum of Feb AC</t>
  </si>
  <si>
    <t>Sum of Mar FC</t>
  </si>
  <si>
    <t>Sum of Mar AC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</si>
  <si>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</si>
  <si>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</si>
  <si>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</si>
  <si>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</si>
  <si>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</si>
  <si>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</si>
  <si>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</si>
  <si>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</si>
  <si>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</si>
  <si>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</si>
  <si>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</si>
  <si>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</si>
  <si>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</si>
  <si>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Sum of Jan Opp/Risk</t>
  </si>
  <si>
    <t>Sum of Feb Opp./Risk</t>
  </si>
  <si>
    <t>Sum of Mar Opp./Risk</t>
  </si>
  <si>
    <t xml:space="preserve">$ in Millions </t>
  </si>
  <si>
    <t>Sum of Total - FC</t>
  </si>
  <si>
    <t>Sum of Total Actuals</t>
  </si>
  <si>
    <t>15% - Chicago Personal Property Lease Transaction Tax (PPLTT)</t>
  </si>
  <si>
    <t>Concur project reimbursement cost can't be predicted, hence buffer kept in Dec</t>
  </si>
  <si>
    <t>Total contract - 342k IT cost 232k recharge to Liquid Credit 109k</t>
  </si>
  <si>
    <t>Fluctuation per month, Dec has buffer</t>
  </si>
  <si>
    <t>Fluctuation per month, Risk adjusted in Dec</t>
  </si>
  <si>
    <t>Prj000603</t>
  </si>
  <si>
    <t>Implement - Cash Matching Recon Solution</t>
  </si>
  <si>
    <t>Budget v/s Actuals</t>
  </si>
  <si>
    <t>New risk, unbudgeted - cash matching Gtreausry</t>
  </si>
  <si>
    <t>Cost to be setoff with Coforge (Swati replacing Shanky)</t>
  </si>
  <si>
    <t>Contract expected to extend in second half of 2026, unbudgeted</t>
  </si>
  <si>
    <t>Budgeted only for 2 headcount, actual contract was signed for 4 headcounts</t>
  </si>
  <si>
    <t>Opp offset with 1Rivet risk (Swati replacinf Shanky) + Budget v/s Actuals</t>
  </si>
  <si>
    <t>Support SOW + Desktop Support- T&amp;M, QA is not part of our budget</t>
  </si>
  <si>
    <t>Budget v/s Actuals, allocations are based on capacity planning forecast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</si>
  <si>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</si>
  <si>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Saving on budget v/s actual, prepaid cost of 232k expected for 12 months. Kindly spread for 9 months, total 342k our cost 232k, 109k is of liquid credit team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</si>
  <si>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</si>
  <si>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New laptops, unbudgeted</t>
  </si>
  <si>
    <t>Sales tax unbudgeted + actual over budget estimated</t>
  </si>
  <si>
    <t>Unbudgeted risk for 2025 AUM Overusage to be charged back to Operations</t>
  </si>
  <si>
    <t>Hard Risk, unbudgeted</t>
  </si>
  <si>
    <t>Microsoft 365 E5 &amp; Teams Room Pro</t>
  </si>
  <si>
    <t>In CAD</t>
  </si>
  <si>
    <t>YTD Actuals</t>
  </si>
  <si>
    <t>Overall YTD Results</t>
  </si>
  <si>
    <t>Domain Level YTD Results</t>
  </si>
  <si>
    <t>We are trying to get the invoices from vendor, incorporate new contract</t>
  </si>
  <si>
    <t>Webex service  has been cancelled in Dec'25, confirmed by Danny</t>
  </si>
  <si>
    <t>Extra resource requested by Danny from 1Rivet to replace Acenture resources, unbudgeted (Arif Inamdar)</t>
  </si>
  <si>
    <t>Contract is Apr-Mar Budegetd 26 - 191K v/s Actual 172K</t>
  </si>
  <si>
    <t>Spend Category</t>
  </si>
  <si>
    <t>Domain Name</t>
  </si>
  <si>
    <t>Forecast (Jan-Mar)</t>
  </si>
  <si>
    <t>Actuals (Jan-Mar)</t>
  </si>
  <si>
    <t>Forecast (Apr - Dec)</t>
  </si>
  <si>
    <t>Notes - Risk/Opportunity - Swati</t>
  </si>
  <si>
    <t>Notes - Risk/Opportunity</t>
  </si>
  <si>
    <t>Risk/Opportunity Type</t>
  </si>
  <si>
    <t>$98K OPP: L1/L2 COE BoW 2026 - unutilized funds for new initiatives planned in 2026.</t>
  </si>
  <si>
    <t>1. $98K Opportunity: L1/L2 COE BoW 2026 - unutilized funds for new initiatives planned in 2026.
Driver: Unutilized funds for planned initiatives.</t>
  </si>
  <si>
    <t>Soft Opportunity</t>
  </si>
  <si>
    <t>$884K OPP:
• IVP Implementation $384K  saving on contract (Budget $1.34M vs Actual $960K)
• IVP Odyssey BoW 2026 $300K - unutilized funds for new initiatives planned in 2026
• IVP Internal Audit BoW 2026 $200K - unutilized funds for new initiatives planned in 2026</t>
  </si>
  <si>
    <t>1. $884K opportunity identified.
2. IVP Implementation $384K saving on contract (Budget $1.34M vs Actual $960K)
3. IVP Odyssey BoW 2026 $300K - unutilized funds for new initiatives planned in 2026
4. IVP Internal Audit BoW 2026 $200K - unutilized funds for new initiatives planned in 2026
Driver: Unutilized funds for planned initiatives.</t>
  </si>
  <si>
    <t>$982K OPP: 
$ 598K Unutilized funds for new initiatives planned in 2026 - Coforge COE BoW 2026 ($98K) + IVP BoW 2026 ($500K) .
$ 384K Contract Saving IVP (Budget $1.34M vs Actual $960K)</t>
  </si>
  <si>
    <t>1. $982K opportunity identified.
2. $598K Unutilized funds for new initiatives planned in 2026 - Coforge COE BoW 2026 ($98K) + IVP BoW 2026 ($500K).
3. $384K Contract Saving IVP (Budget $1.34M vs Actual $960K)
Driver: Unutilized funds for planned initiatives.</t>
  </si>
  <si>
    <t>Credit, Finance &amp; Operations &amp; Treasury Technology</t>
  </si>
  <si>
    <t>On track. Placeholder budget for future projects.</t>
  </si>
  <si>
    <t>On track. Placeholder budget for future projects.
Driver: Tracking to plan.</t>
  </si>
  <si>
    <t>Neutral</t>
  </si>
  <si>
    <t>On track. FPC component tracking to budget.</t>
  </si>
  <si>
    <t>On track. FPC component tracking to budget.
Driver: Tracking to plan.</t>
  </si>
  <si>
    <t>$330K OPP: Markit BoW 2026 - unutilized funds for new initiatives planned in 2026.</t>
  </si>
  <si>
    <t>1. $330K Opportunity: Markit BoW 2026 - unutilized funds for new initiatives planned in 2026.
Driver: Unutilized funds for planned initiatives.</t>
  </si>
  <si>
    <t>$330K NET OPP: Markit BoW 2026 - unutilized funds for new initiatives planned in 2026.</t>
  </si>
  <si>
    <t>1. $330K net opportunity: Markit BoW 2026 - unutilized funds for new initiatives planned in 2026.
Driver: Unutilized funds for planned initiatives.</t>
  </si>
  <si>
    <t>$42K OPP: FPC Coforge QA COE BoW 2026 - unutilized funds for new initiatives planned in 2026.</t>
  </si>
  <si>
    <t>1. $42K Opportunity: FPC Coforge QA COE BoW 2026 - unutilized funds for new initiatives planned in 2026.
Driver: Unutilized funds for planned initiatives.</t>
  </si>
  <si>
    <t>$42K NET OPP: Coforge FPC BoW 2026 - unutilized funds for new initiatives planned in 2026.</t>
  </si>
  <si>
    <t>1. $42K net opportunity: Coforge FPC BoW 2026 - unutilized funds for new initiatives planned in 2026.
Driver: Unutilized funds for planned initiatives.</t>
  </si>
  <si>
    <t>Chief of Staff, PMO &amp; Enterprise Technology</t>
  </si>
  <si>
    <t>On track. Placeholder budget, no actuals expected.</t>
  </si>
  <si>
    <t>On track. Placeholder budget, no actuals expected.
Driver: Tracking to plan.</t>
  </si>
  <si>
    <t>On track. FPC BoW 2026 - funds reserved for new initiatives planned in 2026.</t>
  </si>
  <si>
    <t>On track. FPC BoW 2026 - funds reserved for new initiatives planned in 2026.
Driver: Tracking to plan.</t>
  </si>
  <si>
    <t>On track. FPC tracking to budget.</t>
  </si>
  <si>
    <t>On track. FPC tracking to budget.
Driver: Tracking to plan.</t>
  </si>
  <si>
    <t>FPC Total</t>
  </si>
  <si>
    <t>$1.35M NET OPP:
- $384K Contract Saving IVP (Budget $1.34M vs Actual $960K)
- $970K Unutilized funds for new initiatives planned in 2026 (IVP - $500K  + Coforge - $140K + Markit $330K)</t>
  </si>
  <si>
    <t>1. $1.35M net opportunity identified.
2. $384K Contract Saving IVP (Budget $1.34M vs Actual $960K)
3. $970K Unutilized funds for new initiatives planned in 2026 (IVP - $500K + Coforge - $140K + Markit $330K)
Driver: Unutilized funds for planned initiatives.</t>
  </si>
  <si>
    <t>$15K OPP: Q1 Forecasted $20K v/s Actual $5K</t>
  </si>
  <si>
    <t>1. $15K Opportunity: Q1 Forecasted $20K v/s Actual $5K
Driver: Favorable variance vs budget.</t>
  </si>
  <si>
    <t>$15K NET OPP: Hardware budget $20K v/s actuals 5K favorable variance.</t>
  </si>
  <si>
    <t>1. $15K net opportunity: Hardware budget $20K v/s actuals 5K favorable variance.
Driver: Favorable budget vs actual variance.</t>
  </si>
  <si>
    <t>$68K RISK: $75K - Unbudgeted 2026 laptops (committed spend per Danny) and -$7k Budget $34k v/s Actual+FC $27K favorable variance</t>
  </si>
  <si>
    <t>1. $68K Risk: $75K - Unbudgeted 2026 laptops (committed spend per Danny) and -$7k Budget $34k v/s Actual+FC $27K favorable variance
Driver: Unbudgeted hardware purchases.</t>
  </si>
  <si>
    <t>$7K RISK: Unplanned and unbudgeted hardware purchases from SHI</t>
  </si>
  <si>
    <t>1. $7K Risk: Unplanned and unbudgeted hardware purchases from SHI
Driver: Unbudgeted spend.</t>
  </si>
  <si>
    <t>$75K NET RISK: (Unbudgeted laptops) $75K + SHI $7K (unplanned purchases).
Offset by CDW - $7k Budget $34k v/s Actual+FC $27K favorable variance</t>
  </si>
  <si>
    <t>1. $75K net risk identified.
2. (Unbudgeted laptops) $75K + SHI $7K (unplanned purchases).
3. Offset by CDW - $7k Budget $34k v/s Actual+FC $27K favorable variance
Driver: Unbudgeted hardware purchases.</t>
  </si>
  <si>
    <t>Hardware Total</t>
  </si>
  <si>
    <t>$59K NET RISK: 
+$82K - CDW Unbudgeted laptops ($75K) + $7K SHI unplanned hardware purchase 
-$22K - Offset by favorable budget v/s actuals  
SHI ($15K) + CDW ($7K)</t>
  </si>
  <si>
    <t>1. $59K net risk identified.
2. +$82K - CDW Unbudgeted laptops ($75K) + $7K SHI unplanned hardware purchase
3. -$22K - Offset by favorable budget v/s actuals - SHI ($15K) + CDW ($7K)
Driver: Unbudgeted hardware purchases.</t>
  </si>
  <si>
    <t>On track. Telecom costs tracking to budget.</t>
  </si>
  <si>
    <t>On track. Telecom costs tracking to budget.
Driver: Tracking to plan.</t>
  </si>
  <si>
    <t>On track. Minor variance (&lt;$100). Budget v/s Actuals</t>
  </si>
  <si>
    <t>On track. Minor variance (&lt;$100). Budget v/s Actuals
Driver: Tracking to plan.</t>
  </si>
  <si>
    <t>Soft Risk</t>
  </si>
  <si>
    <t>On track. Costs tracking to budget.</t>
  </si>
  <si>
    <t>On track. Costs tracking to budget.
Driver: Tracking to plan.</t>
  </si>
  <si>
    <t>$12K OPP: NOC managed services Q1 Budget $45K vs Actuals $33K = ($12K) favorable variance. Full year budget $180K.</t>
  </si>
  <si>
    <t>1. $12K Opportunity: NOC managed services Q1 Budget $45K vs Actuals $33K = ($12K) favorable variance. Full year budget $180K.
Driver: Favorable budget vs actual variance.</t>
  </si>
  <si>
    <t>$1.7K OPP: Webex cancelled in Dec'25 - Budget $1.7K, no 2026 spend expected.</t>
  </si>
  <si>
    <t>1. $1.7K Opportunity: Webex cancelled in Dec'25 - Budget $1.7K, no 2026 spend expected.
Driver: Service/resource exit generating savings.</t>
  </si>
  <si>
    <t>On track. Minor variance (&lt;$200). Budget v/s Actuals</t>
  </si>
  <si>
    <t>On track. Minor variance (&lt;$200). Budget v/s Actuals
Driver: Tracking to plan.</t>
  </si>
  <si>
    <t>$421 OPP: Bandwidth costs tracking favorable. Budget v/s Actuals</t>
  </si>
  <si>
    <t>1. $421 Opportunity: Bandwidth costs tracking favorable. Budget v/s Actuals
Driver: Favorable budget vs actual variance.</t>
  </si>
  <si>
    <t>$323 RISK: Minor usage variance. Budget v/s Actuals</t>
  </si>
  <si>
    <t>1. $323 Risk: Minor usage variance. Budget v/s Actuals
Driver: Actual spend exceeding budget.</t>
  </si>
  <si>
    <t>$302 OPP: Costs tracking slightly below budget. Budget v/s Actuals</t>
  </si>
  <si>
    <t>1. $302 Opportunity: Costs tracking slightly below budget. Budget v/s Actuals
Driver: Favorable budget vs actual variance.</t>
  </si>
  <si>
    <t>$410 OPP: Costs tracking slightly below budget. Budget v/s Actuals</t>
  </si>
  <si>
    <t>1. $410 Opportunity: Costs tracking slightly below budget. Budget v/s Actuals
Driver: Favorable budget vs actual variance.</t>
  </si>
  <si>
    <t>On track. EA tracking to budget.</t>
  </si>
  <si>
    <t>On track. EA tracking to budget.
Driver: Tracking to plan.</t>
  </si>
  <si>
    <t>On track. Placeholder budget, no material R/O.</t>
  </si>
  <si>
    <t>On track. Placeholder budget, no material R/O.
Driver: Tracking to plan.</t>
  </si>
  <si>
    <t>$150 OPP: Minor favorable variance. Budget v/s Actuals</t>
  </si>
  <si>
    <t>1. $150 Opportunity: Minor favorable variance. Budget v/s Actuals
Driver: Favorable budget vs actual variance.</t>
  </si>
  <si>
    <t>$74 RISK: Minor actual over budget variance. Budget v/s Actuals</t>
  </si>
  <si>
    <t>1. $74 Risk: Minor actual over budget variance. Budget v/s Actuals
Driver: Actual spend exceeding budget.</t>
  </si>
  <si>
    <t>On track. Wireless costs tracking to budget.</t>
  </si>
  <si>
    <t>On track. Wireless costs tracking to budget.
Driver: Tracking to plan.</t>
  </si>
  <si>
    <t>On track. Contract tracking to budget.</t>
  </si>
  <si>
    <t>On track. Contract tracking to budget.
Driver: Tracking to plan.</t>
  </si>
  <si>
    <t>$13K NET OPP: NOC services ($12K)  minor budget v/s actual infra savings.</t>
  </si>
  <si>
    <t>1. $13K net opportunity: NOC services ($12K) minor budget v/s actual infra savings.
Driver: Budget vs actuals favorable variance.</t>
  </si>
  <si>
    <t>On track. No actuals expected.</t>
  </si>
  <si>
    <t>On track. No actuals expected.
Driver: Tracking to plan.</t>
  </si>
  <si>
    <t>On track. Minor variance (&lt;$1).</t>
  </si>
  <si>
    <t>On track. Minor variance (&lt;$1).
Driver: Tracking to plan.</t>
  </si>
  <si>
    <t>On track. Infrastructure tracking to budget.</t>
  </si>
  <si>
    <t>On track. Infrastructure tracking to budget.
Driver: Tracking to plan.</t>
  </si>
  <si>
    <t>Infrastructure Total</t>
  </si>
  <si>
    <t>$14K NET OPP:
• CDW NOC ($12K): Q1 Budget $45K vs Actuals $33K
• Cisco ($1.7K): Webex cancelled Dec'25
• Minor telecom savings ($2K): Cogent + Level3 + LoopUp + SaferKid
• Minor risks (&lt;$1K): j2 + Beanfield + Cogent CA + SHI</t>
  </si>
  <si>
    <t>1. $14K net opportunity identified.
2. CDW NOC ($12K): Q1 Budget $45K vs Actuals $33K
3. Cisco ($1.7K): Webex cancelled Dec'25
4. Minor telecom savings ($2K): Cogent + Level3 + LoopUp + SaferKid
5. Minor risks (&lt;$1K): j2 + Beanfield + Cogent CA + SHI
Driver: Budget variance from unplanned costs.</t>
  </si>
  <si>
    <t>$12K OPP: 1Rivet Support SOW - YTD Q1 actuals ($348K) tracking below forecast ($360K). 11 resources running ~3% under budget due to time off/holiday by resources</t>
  </si>
  <si>
    <t>1. $12K Opportunity: 1Rivet support spend is slightly below expectations.
2. Q1 YTD: $348K actual vs. $360K forecast.
3. Team: 11 resources, running ~3% under plan.
Driver: Normal time off and holidays (not delivery-related).</t>
  </si>
  <si>
    <t>$109K RISK: 
   • Annual Budget: $403,200 | Q1 Budget: $100,800 - Only 1 resource (Arun) v/s Q1 Actual: $99,120 saving by $1,680
• Unbudgeted Resources (5 resources causing ~$110K overage Q1):  All working on Prj000353 - L1/L2 CoE for Additional Platforms (Eshaan Kaul , Akshath Ashok , Deepak Gupta , Vishal Pandita, Mayank Verma)</t>
  </si>
  <si>
    <t>1. $109K risk identified: Driven by unplanned resource usage in Q1.
2. Budget context: Annual budget $403.2K; Q1 budget $100.8K v/s actuals: $99.1K spent with 1 planned resource (Arun), resulting in a $1.7K Q1 savings on the core plan.
3. Primary driver of risk: 5 unbudgeted resources supporting Prj000353 – L1/L2 CoE for Additional Platforms. (Eshaan Kaul , Akshath Ashok , Deepak Gupta , Vishal Pandita, Mayank Verma)
Driver: Unplanned staffing is contributing to an approximate $110K Q1 overage</t>
  </si>
  <si>
    <t>$807K RISK: Contract:
 +$312K  - Q1&amp;Q2 Actual Contract $528K vs Budget: $216K 4 resources (Rahul, Vaibhav, Josep, Vedang) @$88K/mo vs 2 budgeted (Rahul &amp; Vaibhav) @ $36K/mo
+$528k - Q3 &amp; Q4 Unbudgeted extension 
Offset by
-$32.8K - Jan &amp; Feb saving on actual billing  due to time off/holiday by resources</t>
  </si>
  <si>
    <t>1. $807K risk identified: Driven by contract scope extending beyond the original budget.
2. Q1–Q2 actuals: $528K spent vs. $216K budget, reflecting 4 active resources (Rahul, Vaibhav, Josep, Vedang) at ~$88K/month, compared to 2 budgeted resources at ~$36K/month.
3. Q3–Q4 impact: $528K unbudgeted contract extension currently not included in plan.
Offset: $32.8K savings in Jan–Feb due to normal time off and holidays across the team.
Driver: Unbudgeted resource additions.</t>
  </si>
  <si>
    <t>$917K RISK:
• Q1: ($24K) OPP - YTD actuals ($446K) below forecast ($470K) due to time off/holiday by resources, 6 running resources 
• Q3 &amp; Q4: $941K RISK - Unbudgeted extension Jul-Dec</t>
  </si>
  <si>
    <t>1. $917K risk identified: Net impact across timing savings and an unplanned contract extension.
2. Q1 performance: $24K under plan with $446K actual vs. $470K forecast, driven by normal time off and holidays.
3. Q3–Q4 exposure: $941K risk related to an unbudgeted extension from July–December.
4. Team coverage: 6 resources supporting the work
Overall takeaway: Near‑term savings offset slightly, but the primary risk is future scope not yet budgeted.
Driver: Unbudgeted extension.</t>
  </si>
  <si>
    <t>$1.82M NET RISK:
• IVP $807K: 4 HC vs 2 budgeted ($279K) Hard Risk + H2 extension ($528K) Soft Risk until confirmed
• Intellibus $917K: H2 unbudgeted renewal (Jul-Dec)
• Coforge $109K: 5 unbudgeted L1/L2 COE resources (Eshaan, Akshath, Deepak, Vishal, Mayank)
• Offset: Andersen ($12K) favorable - time off/holiday savings</t>
  </si>
  <si>
    <t>1. $1.82M net risk identified: Driven by unbudgeted staffing and contract extensions across multiple vendors.
2. IVP – $807K risk: 
	a) 4 resources vs. 2 budgeted, increasing monthly run rate
	b) Includes a $528K unbudgeted H2 extension
3. Intellibus – $917K risk: 
	a) Unbudgeted contract renewal for Jul–Dec (H2)
4. Coforge – $109K risk: 
	a) 5 unbudgeted L1/L2 CoE resources supporting operations (Eshaan, Akshath, Deepak, Vishal, Mayank)
Offset: $12K favorable variance from Andersen due to normal time off and holiday savings
Driver: Unbudgeted resource additions and contract extensions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</si>
  <si>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resources, 4 running resources</t>
  </si>
  <si>
    <t>1. $67K net risk identified: Unplanned contractor changes partially offset by timing savings.
2. Primary risk ($85K): Two unbudgeted 1Rivet resources hired to replace an Accenture contractor — Arif ($37K for 6 months) and Sailesh ($48K over YTD budget).
3. Partial offset ($19K savings): Q1 actuals came in at $96.5K vs. $115K budget due to normal time off and holidays across a 4-person team.
Driver: Unplanned contractor replacement strategy driving the net overage.</t>
  </si>
  <si>
    <t>$67K NET RISK:
•+$85K -2 unbudgeted resource from 1Rivet to replace Acenture resource (Arif - $37K for 6 months &amp; Sailesh $48K over YTD budget)
•+$19KOffset by Q1 Budget ($115K )v/s actual ($96.5K) favorable saving due to time off/holiday by resources</t>
  </si>
  <si>
    <t>1. $67K net risk identified.
2. +$85K - 2 unbudgeted resources from 1Rivet to replace Accenture resource (Arif - $37K for 6 months &amp; Sailesh $48K over YTD budget)
3. -$19K Offset by Q1 Budget ($115K) v/s actual ($96.5K) favorable saving due to time off/holiday by resources
Driver: Unbudgeted resource additions.</t>
  </si>
  <si>
    <t>$34K OPP: 1Rivet Support SOW - YTD actuals ($343K) running 9% below Q1 forecast ($376K) due to resource time off/holiday driving favorable variance.</t>
  </si>
  <si>
    <t>1. $34K Opportunity: 1Rivet Support SOW - YTD actuals ($343K) running 9% below Q1 forecast ($376K) due to resource time off/holiday driving favorable variance.
Driver: Resource time off/holiday driving favorable variance.</t>
  </si>
  <si>
    <t>$1K RISK: Coforge T&amp;M (Nilesh Ramnani) actuals ($64K) slightly over Q1 forecast ($63K). Minor variance, tracking close to budget.</t>
  </si>
  <si>
    <t>1. $1K Risk: Coforge T&amp;M (Nilesh Ramnani) actuals ($64K) slightly over Q1 forecast ($63K). Minor variance, tracking close to budget.
Driver: Actual spend exceeding budget.</t>
  </si>
  <si>
    <t>$33K NET OPP: Andersen favorable ($34K) offset by Coforge minor overspend ($1K). 1Rivet resource time off/holiday driving savings.</t>
  </si>
  <si>
    <t>1. $33K net opportunity: Andersen favorable ($34K) offset by Coforge minor overspend ($1K). 1Rivet resource time off/holiday driving savings.
Driver: Resource time off/holiday driving favorable variance.</t>
  </si>
  <si>
    <t>$86K OPP breakdown:
RAYMOND ALFONSO:
• Budget: $312K ($26K/mo x 12) | Exited Feb'26
• Saving: $286K annual T&amp;M exit
CONTRACT RESTRUCTURE (Budget Neutral):
• Raymond's $26K/mo T&amp;M exit → 4 QA resources hired at same cost ($247K)
• Net swap saving: ($39K) - QA cost lower than Raymond's full year
• May onwards: UAT Lead @ $28.8K/mo ($230K May-Dec) - Unbudgeted
•Q1 TOTAL: Budget $98K vs Actual $67.6K = ($30.4K) OPP 
Vivek Pandey: Q1: Budget $72K vs Actual $45.6K = ($26.4K) favorable
Raymond Alfonso: Budget $26K vs Actual $22K (Jan only billed) = ($3K) favorable</t>
  </si>
  <si>
    <t>1. $86K opportunity identified.
2. RAYMOND ALFONSO: Budget $312K ($26K/mo x 12) | Exited Feb'26. Saving: $286K annual T&amp;M exit.
3. CONTRACT RESTRUCTURE (Budget Neutral): Raymond's $26K/mo T&amp;M exit → 4 QA resources hired at same cost ($247K). Net swap saving: ($39K) - QA cost lower than Raymond's full year.
4. May onwards: UAT Lead @ $28.8K/mo ($230K May-Dec) - Unbudgeted.
5. Q1 TOTAL: Budget $98K vs Actual $67.6K = ($30.4K) OPP. Vivek Pandey: Q1 Budget $72K vs Actual $45.6K = ($26.4K) favorable. Raymond Alfonso: Budget $26K vs Actual $22K (Jan only billed) = ($3K) favorable.
Driver: Contract savings vs budget.</t>
  </si>
  <si>
    <t>$86K NET OPP (T&amp;M Only): -$30.4K-$286K+$230K
• Coforge: ($86K) - Q1: Budget $98K vs Actual $67.6K = ($30.4K) favorable saving on invoices
• UAT Lead unbudgted hire $230K (May-Dec)
•Raymond's exit $286K annual saving offset by QA swap (in MS category) $247K = ($39K) favorbale saving
Note: $247K QA RISK shown separately in MS category (contract restructure from T&amp;M to QA). Net T&amp;M + MS impact: $161K RISK ($247K QA - $86K T&amp;M savings)</t>
  </si>
  <si>
    <t>1. $86K net opportunity (T&amp;M Only) identified.
2. Coforge: ($86K) - Q1 Budget $98K vs Actual $67.6K = ($30.4K) favorable saving on invoices.
3. UAT Lead unbudgeted hire $230K (May-Dec).
4. Raymond's exit $286K annual saving offset by QA swap (in MS category) $247K = ($39K) favorable saving.
Note: $247K QA RISK shown separately in MS category. Net T&amp;M + MS impact: $161K RISK.
Driver: Unbudgeted spend.</t>
  </si>
  <si>
    <t>$74K RISK:
• $71K - Swati Yadav added from 1Rivet (unbudgeted replacement for Shanky Modi from Coforge)
• $3K - Q1 variance: actuals ($75K) vs forecast ($77K), 2 running resources
Resource swap net impact: +$71K Anderson/1Rivet offset with $72K for Coforge</t>
  </si>
  <si>
    <t>1. $74K risk identified.
2. $71K - Swati Yadav added from 1Rivet (unbudgeted replacement for Shanky Modi from Coforge)
3. $3K - Q1 variance: actuals ($75K) vs forecast ($77K), 2 running resources
Resource swap net impact: ($1k) +$71K Anderson/1Rivet offset with $72K for Coforge
Driver: Unbudgeted resource additions.</t>
  </si>
  <si>
    <t>$76K OPP:
• $72K - Shanky Modi exit savings (offset by $71K rsik for  Swati/Anderson)
• $4K - Q1 variance: actuals ($36K) below forecast ($40K), 1 running resource</t>
  </si>
  <si>
    <t>1. $76K opportunity identified.
2. $72K - Shanky Modi exit savings (offset by $71K risk for Swati/Anderson)
3. $4K - Q1 variance: actuals ($36K) below forecast ($40K), 1 running resource
Driver: Actual spend exceeding budget.</t>
  </si>
  <si>
    <t>$6K OPP: Cognizant T&amp;M (4 resources) - Q1 actuals ($49K) tracking 10% below forecast ($55K). Favorable variance from resource time off/holiday</t>
  </si>
  <si>
    <t>1. $6K Opportunity: Cognizant T&amp;M (4 resources) - Q1 actuals ($49K) tracking 10% below forecast ($55K). Favorable variance from resource time off/holiday.
Driver: Resource time off/holiday driving favorable variance.</t>
  </si>
  <si>
    <t>$8K NET OPP:
• Resource swap: Net $1K cost (Shanky $72K Coforge saving vs Swati $71K Anderson cost)
• Budget variance: $7K favorable (Coforge $4K + Cognizant $6K - Anderson $3K)</t>
  </si>
  <si>
    <t>1. $8K net opportunity identified.
2. Resource swap: Net $1K cost (Shanky $72K Coforge saving vs Swati $71K Anderson cost)
3. Budget variance: $7K favorable (Coforge $4K + Cognizant $6K - Anderson $3K)
Driver: Favorable budget vs actual variance.</t>
  </si>
  <si>
    <t>Labor/ T&amp;M Total</t>
  </si>
  <si>
    <t>$1.76M NET RISK:
RISKS ($2.0M):
• IVP $807K: 4 HC vs 2 budgeted + $528K H2 extension
• Intellibus $917K: Unbudgeted H2 renewal (Jul-Dec)
• Coforge COE $109K: 5 unbudgeted L1/L2 resources
• Danny 1Rivet $67K: 2 Accenture replacements (Arif &amp; Sailesh)
• Melissa 1Rivet $74K: Swati Yadav (Shanky replacement)
OPPS ($237K):
• Erik ($86K): Raymond exit + invoice favorbale savings
• Devang ($33K): 1Rivet invoice favorbale savings
• Dan ($12K): 11 resources ~3% under
• Melissa ($82K): Shanky exit + Cognizant favorable
Note: Erik's $247K QA swap in MS category</t>
  </si>
  <si>
    <t>1. $1.76M net risk identified.
2. RISKS ($2.0M): IVP $807K ($279K 4 HC vs 2 budgeted + $528K H2 extension), Intellibus $917K (Unbudgeted H2 renewal Jul-Dec), Coforge COE $109K (5 unbudgeted L1/L2 resources), Danny 1Rivet $67K (2 Accenture replacements),  1Rivet $74K (Swati Yadav replacing Shanky/Coforge).
3. OPPS ($237K): Erik ($86K) Raymond exit + invoice savings, 1Rivet ($33K)  invoice savings + ($12K) 11 resources ~3% under,  ($82K) Coforge Shanky exit + Cognizant favorable.
Note: Erik's $247K QA swap in MS category.
Driver: Unbudgeted resource additions and contract extensions</t>
  </si>
  <si>
    <t>On track. L2 SOW FPC tracking to budget.</t>
  </si>
  <si>
    <t>On track. L2 SOW FPC tracking to budget.
Driver: Tracking to plan.</t>
  </si>
  <si>
    <t>$21K OPP: IVP L2 Tech Data Managed Services - Budget $281K vs Contract $260K. Q1 tracking on target ($67K).</t>
  </si>
  <si>
    <t>1. $21K Opportunity: IVP L2 Tech Data Managed Services - Budget $281K vs Contract $260K. Q1 tracking on target ($67K).
Driver: Favorable variance vs budget.</t>
  </si>
  <si>
    <t>$10K OPP: Virteva Managed Services - Budget $190K vs Contract $180K. Q1 actuals ($45K) on track.</t>
  </si>
  <si>
    <t>1. $10K Opportunity: Virteva Managed Services - Budget $190K vs Contract $180K. Q1 actuals ($45K) on track.
Driver: Budget vs actuals favorable variance.</t>
  </si>
  <si>
    <t>$31K NET OPP: Budget v/s Contract savings
• IVP ($21K): L2 Tech Data Managed Services favorable
• Virteva ($10K): Managed services below budget
Q1 tracking on target for both vendors.</t>
  </si>
  <si>
    <t>1. $31K net opportunity identified.
2. IVP ($21K): L2 Tech Data Managed Services favorable
3. Virteva ($10K): Managed services below budget
Q1 tracking on target for both vendors.
Driver: Favorable budget vs actual variance.</t>
  </si>
  <si>
    <t>$4K OPP: NewRocket ServiceNow MS - Budget $179K vs FC/contract $174K. Q1 actuals ($87K) tracking favorable.</t>
  </si>
  <si>
    <t>1. $4K Opportunity: NewRocket ServiceNow MS - Budget $179K vs FC/contract $174K. Q1 actuals ($87K) tracking favorable.
Driver: Favorable budget vs actual variance.</t>
  </si>
  <si>
    <t>$4K NET OPP: NewRocket MS - Budget $179K vs FC/contract $174K favorable variance.</t>
  </si>
  <si>
    <t>1. $4K net opportunity: NewRocket MS - Budget $179K vs FC/contract $174K favorable variance.
Driver: Favorable budget vs actual variance.</t>
  </si>
  <si>
    <t>$8K OPP: Archetype Finance App Support - Budget $100K vs FC $91K. Q1 actuals ($24K) slightly over forecast ($23K).</t>
  </si>
  <si>
    <t>1. $8K Opportunity: Archetype Finance App Support - Budget $100K vs FC $91K. Q1 actuals ($24K) slightly over forecast ($23K).
Driver: Budget vs actuals favorable variance.</t>
  </si>
  <si>
    <t>$8K NET OPP: Archetype Finance App Support - Budget $100K vs FC $91K favorable.</t>
  </si>
  <si>
    <t>1. $8K net opportunity: Archetype Finance App Support - Budget $100K vs FC $91K favorable.
Driver: Favorable budget vs actual variance.</t>
  </si>
  <si>
    <t>$247K RISK: QA Contract Restructure - 4 QA resources hired to replace Raymond Alfonso's T&amp;M exit.
• Budget: $345K vs Revised QA Contract/FC: $592K
• Offset: $86K T&amp;M savings (Raymond exit ($286K) + Resource timeoff saving ($30K) + Unbudgeted UAT Lead ($230K)
• Net MS+T&amp;M impact: $161K RISK</t>
  </si>
  <si>
    <t>1. $247K risk identified: QA Contract Restructure - 4 QA resources hired to replace Raymond Alfonso's T&amp;M exit.
2. Budget: $345K vs Revised QA Contract/FC: $592K
3. Offset: $86K T&amp;M savings (Raymond exit ($286K) + Resource timeoff saving ($30K) + Unbudgeted UAT Lead ($230K))
4. Net MS+T&amp;M impact: $161K RISK
Driver: Unbudgeted resource additions.</t>
  </si>
  <si>
    <t>On track. IVP BoW 2026 - $100K reserved for QA initiatives. No Q1 spend expected.</t>
  </si>
  <si>
    <t>On track. IVP BoW 2026 - $100K reserved for QA initiatives. No Q1 spend expected.
Driver: Tracking to plan.</t>
  </si>
  <si>
    <t>$247K NET RISK:
• Coforge QA ($247K): 4 resources hired as T&amp;M-to-QA contract swap
• IVP BoW ($0): Reserved for 2026 initiatives
Note: $86K T&amp;M savings offset shown in Labor/T&amp;M category. Net MS+T&amp;M: $161K RISK</t>
  </si>
  <si>
    <t>1. $247K net risk identified.
2. Coforge QA ($247K): 4 resources hired as T&amp;M-to-QA contract swap
Note: $86K T&amp;M savings offset shown in Labor/T&amp;M category. Net MS+T&amp;M: $161K RISK
Driver: Contract restructuring.</t>
  </si>
  <si>
    <t>$391 OPP: BWise Internal Control - Budget $32.4K vs Actuals $32K. Minor favorable variance.</t>
  </si>
  <si>
    <t>1. $391 Opportunity: BWise Internal Control - Budget $32.4K vs Actuals $32K. Minor favorable variance.
Driver: Favorable budget vs actual variance.</t>
  </si>
  <si>
    <t>$391 NET OPP: BWise minor favorable - Budget $32.4K vs Actuals $32K.</t>
  </si>
  <si>
    <t>1. $391 net opportunity: BWise minor favorable - Budget $32.4K vs Actuals $32K.
Driver: Favorable budget vs actual variance.</t>
  </si>
  <si>
    <t>MS Total</t>
  </si>
  <si>
    <t>$203K NET RISK:
• Coforge QA $247K: 4 QA resources (Budget $345K vs FC $592K) - Raymond T&amp;M-to-QA swap
• Offset ($44K): IVP $21K + Virteva $10K + NewRocket $4K + Archetype $8K + BWise $0.4K
Note: $86K T&amp;M savings in Labor. Net MS+T&amp;M: $161K RISK</t>
  </si>
  <si>
    <t>1. $203K net risk identified.
2. Coforge QA $247K: 4 QA resources (Budget $345K vs FC $592K) - Raymond T&amp;M-to-QA swap
3. Offset ($44K): IVP $21K + Virteva $10K + NewRocket $4K + Archetype $8K + BWise $0.4K
Note: $86K T&amp;M savings in Labor. Net MS+T&amp;M: $161K RISK
Driver: Budget variance from unplanned costs.</t>
  </si>
  <si>
    <t>$574 RISK: Minor actual over budget variance.</t>
  </si>
  <si>
    <t>1. $574 Risk: Minor actual over budget variance.
Driver: Actual spend exceeding budget.</t>
  </si>
  <si>
    <t>$2K OPP: Subscription costs below budget.</t>
  </si>
  <si>
    <t>1. $2K Opportunity: Subscription costs below budget.
Driver: Favorable budget vs actual variance.</t>
  </si>
  <si>
    <t>$41K RISK: New cash application subscription, unbudgeted.</t>
  </si>
  <si>
    <t>1. $41K Risk: New cash application subscription, unbudgeted.
Driver: Unbudgeted subscription costs.</t>
  </si>
  <si>
    <t>$400 OPP: Subscription below budget.</t>
  </si>
  <si>
    <t>1. $400 Opportunity: Subscription below budget.
Driver: Favorable budget vs actual variance.</t>
  </si>
  <si>
    <t>On track. Subscription tracking to budget.</t>
  </si>
  <si>
    <t>On track. Subscription tracking to budget.
Driver: Tracking to plan.</t>
  </si>
  <si>
    <t>$15K RISK: New vendor cost not budgeted. (Refinitive data source)</t>
  </si>
  <si>
    <t>1. $15K Risk: New vendor cost not budgeted. (Refinitiv data source)
Driver: Budget variance from unplanned costs.</t>
  </si>
  <si>
    <t>$55K NET RISK: Unbudgeted - G Treasury ($41K)  Norske ($15K) offset by Bloomberg/ICE ($2K) budgte v/s actual saving.</t>
  </si>
  <si>
    <t>1. $55K net risk: Unbudgeted - G Treasury ($41K) + Norske ($15K) offset by Bloomberg/ICE ($2K) budget v/s actual saving.
Driver: Unbudgeted spend.</t>
  </si>
  <si>
    <t>On track. Subscription paid, tracking to budget.</t>
  </si>
  <si>
    <t>On track. Subscription paid, tracking to budget.
Driver: Tracking to plan.</t>
  </si>
  <si>
    <t>On track. OOE tracking to budget.</t>
  </si>
  <si>
    <t>On track. OOE tracking to budget.
Driver: Tracking to plan.</t>
  </si>
  <si>
    <t>Liquidity Solutions Tech</t>
  </si>
  <si>
    <t>On track. No material R/O.</t>
  </si>
  <si>
    <t>On track. No material R/O.
Driver: Tracking to plan.</t>
  </si>
  <si>
    <t>On track. Sales tax placeholder, no material R/O.</t>
  </si>
  <si>
    <t>On track. Sales tax placeholder, no material R/O.
Driver: Tracking to plan.</t>
  </si>
  <si>
    <t>On track. Training budget tracking to plan.</t>
  </si>
  <si>
    <t>On track. Training budget tracking to plan.
Driver: Tracking to plan.</t>
  </si>
  <si>
    <t>On track. T&amp;E buffer in Dec for unpredictable reimbursements.</t>
  </si>
  <si>
    <t>On track. T&amp;E buffer in Dec for unpredictable reimbursements.
Driver: Tracking to plan.</t>
  </si>
  <si>
    <t>$20K RISK: Amortization timing variance/under budgeted</t>
  </si>
  <si>
    <t>1. $20K Risk: Amortization timing variance/under budgeted
Driver: Amortization timing variance.</t>
  </si>
  <si>
    <t>N/A Total</t>
  </si>
  <si>
    <t>$20K NET RISK: Amortization timing variance/under budgeted</t>
  </si>
  <si>
    <t>1. $20K net risk: Amortization timing variance/under budgeted
Driver: Amortization timing variance.</t>
  </si>
  <si>
    <t>OOE Total</t>
  </si>
  <si>
    <t>$74K NET RISK:
• Devang $55K: G Treasury ($41K) + Norske ($15K) unbudgeted, offset by Bloomberg/ICE ($2K) budget v/s actuals savings
• Amortization $20K: Timing variance/under budgeted
Budget $2.03M | Q1 FC $409K vs AC $398K</t>
  </si>
  <si>
    <t>1. $74K net risk identified.
2. Devang $55K: G Treasury ($41K) + Norske ($15K) unbudgeted, offset by Bloomberg/ICE ($2K) budget v/s actuals savings
3. Amortization $20K: Timing variance/under budgeted
Budget $2.03M | Q1 FC $409K vs AC $398K
Driver: Unbudgeted spend.</t>
  </si>
  <si>
    <t>$47K OPP: Alation prepaid - $22K Budget $191K (12 months) v/s Actuals $171K (12 months). 
$25K Timing variance on prepaid recognition (Jan-Mar 2027)</t>
  </si>
  <si>
    <t>1. $47K opportunity identified.
2. Alation prepaid - $22K Budget $191K (12 months) v/s Actuals $171K (12 months).
3. $25K Timing variance on prepaid recognition (Jan-Mar 2027)
Driver: Prepaid/timing variance.</t>
  </si>
  <si>
    <t>On track. Tracking to budget.</t>
  </si>
  <si>
    <t>On track. Tracking to budget.
Driver: Tracking to plan.</t>
  </si>
  <si>
    <t>On track. Prepaid tracking to budget.</t>
  </si>
  <si>
    <t>On track. Prepaid tracking to budget.
Driver: Tracking to plan.</t>
  </si>
  <si>
    <t>$5K OPP: UiPath license favorable (Budget $101K vs $96K actual).</t>
  </si>
  <si>
    <t>1. $5K Opportunity: UiPath license favorable (Budget $101K vs $96K actual).
Driver: Favorable budget vs actual variance.</t>
  </si>
  <si>
    <t>$216K OPP: IVP Software - Overall Budget $1.41M vs FC $1.19M
• EDM/Polaris/SecMast SaaS ($1.05M) v/s FC $835K - ($216K)
• BoW placeholders ($360K): Reserved for 2026 initiatives</t>
  </si>
  <si>
    <t>1. $216K opportunity identified.
2. IVP Software - Overall Budget $1.41M vs FC $1.19M
3. EDM/Polaris/SecMast SaaS ($1.05M) v/s FC $835K - ($216K)
4. BoW placeholders ($360K): Reserved for 2026 initiatives
Driver: Unutilized funds for planned initiatives.</t>
  </si>
  <si>
    <t>$2K RISK: Salesforce - Budget $52K vs FC $54K . Minor overspend on licensing.</t>
  </si>
  <si>
    <t>1. $2K Risk: Salesforce - Budget $52K vs FC $54K. Minor overspend on licensing.
Driver: Budget variance from unplanned costs.</t>
  </si>
  <si>
    <t>$266K NET OPP:
• IVP ($216K): Budget $1.41M vs FC $1.2M - SaaS favorable ($216K) -budget ($1.05M) v/s Actuals ($835K) + BoW reserves ($300K) for next quarteres
• Alation ($48K): Budget $192K vs FC $144K prepaid timing
• Coforge ($5K): UiPath Budget $101K vs Actual $96K
• Offset: Salesforce $2K overspend</t>
  </si>
  <si>
    <t>1. $266K net opportunity identified.
2. IVP ($216K): Budget $1.41M vs FC $1.2M - SaaS favorable ($216K) - budget ($1.05M) v/s Actuals ($835K) + BoW reserves ($300K) for next quarters
3. Alation ($48K): Budget $192K vs FC $144K prepaid timing
4. Coforge ($5K): UiPath Budget $101K vs Actual $96K
5. Offset: Salesforce $2K overspend
Driver: Prepaid/timing variance.</t>
  </si>
  <si>
    <t>$6K OPP: NCE 365 E5 Software License Q1 Budgte ($9K) v/s Actual ($3K)</t>
  </si>
  <si>
    <t>1. $6K Opportunity: NCE 365 E5 Software License Q1 Budget ($9K) v/s Actual ($3K)
Driver: Budget vs actuals favorable variance.</t>
  </si>
  <si>
    <t>On track. Certificate costs tracking to budget.</t>
  </si>
  <si>
    <t>On track. Certificate costs tracking to budget.
Driver: Tracking to plan.</t>
  </si>
  <si>
    <t>On track. Licensing tracking to budget.</t>
  </si>
  <si>
    <t>On track. Licensing tracking to budget.
Driver: Tracking to plan.</t>
  </si>
  <si>
    <t>$4K OPP: Subscription below budget.</t>
  </si>
  <si>
    <t>1. $4K Opportunity: Subscription below budget.
Driver: Favorable budget vs actual variance.</t>
  </si>
  <si>
    <t>$73K RISK:
• NewRocket $101K - Additional ServiceNow licenses required for 2026. These licenses were initially expected to be covered by Cybersecurity budget; however, it was subsequently confirmed that IT will absorb this cost for 2026. 
Offeset by 
• NewRocket $28K - Budget vs actuals favorable variance on base ServiceNow licensing</t>
  </si>
  <si>
    <t>1. $73K Risk: $101K Additional ServiceNow licenses absorbed by IT not in budget
2. $28K Budget over actuals savings offset
Driver: Budget variance from unplanned costs.</t>
  </si>
  <si>
    <t>$74K RISK:</t>
  </si>
  <si>
    <t xml:space="preserve">• NewRocket $101K - Additional ServiceNow licenses required for 2026. These licenses were initially expected to be covered by Cybersecurity budget; however, it was subsequently confirmed that IT will absorb this cost for 2026. </t>
  </si>
  <si>
    <t>OPPORTUNITY:</t>
  </si>
  <si>
    <t>On track. Control M tracking to budget.</t>
  </si>
  <si>
    <t>On track. Control M tracking to budget.
Driver: Tracking to plan.</t>
  </si>
  <si>
    <t>• NewRocket $28K - Budget vs actuals favorable variance on base ServiceNow licensing</t>
  </si>
  <si>
    <t>$63K NET RISK: Unbudgeted NewRocket ServiceNow ($73K) offset by CDW/Monday ($10K) budget v/s actual.</t>
  </si>
  <si>
    <t>1. $63K net risk: Unbudgeted NewRocket ServiceNow ($73K) offset by CDW/Monday ($10K) budget v/s actual.
Driver: Unbudgeted spend.</t>
  </si>
  <si>
    <t>$86K RISK: CPI increase  + tax component not budgeted.</t>
  </si>
  <si>
    <t>1. $86K Risk: CPI increase + tax component not budgeted.
Driver: CPI increase and/or tax components not budgeted.</t>
  </si>
  <si>
    <t>$92K RISK: SOFR license not in initial budget (new requirement).</t>
  </si>
  <si>
    <t>1. $92K Risk: SOFR license not in initial budget (new requirement).
Driver: Budget variance from unplanned costs.</t>
  </si>
  <si>
    <t>$456K RISK: Sales tax  Jan 1-14 maintenance fees unbudgeted.</t>
  </si>
  <si>
    <t>1. $456K Risk: Sales tax + Jan 1-14 maintenance fees unbudgeted.
Driver: Unbudgeted spend.</t>
  </si>
  <si>
    <t>$600 OPP: Minor favorable variance.</t>
  </si>
  <si>
    <t>1. $600 Opportunity: Minor favorable variance.
Driver: Favorable budget vs actual variance.</t>
  </si>
  <si>
    <t>On track. Minor variance (&lt;$100).</t>
  </si>
  <si>
    <t>On track. Minor variance (&lt;$100).
Driver: Tracking to plan.</t>
  </si>
  <si>
    <t>$232K RISK: WSO  2025 overusage variance expected to be chargedback to Operations</t>
  </si>
  <si>
    <t>1. $232K Risk: WSO 2025 overusage variance expected to be charged back to Operations
Driver: Actual spend exceeding budget.</t>
  </si>
  <si>
    <t>$14K OPP: Budget vs actuals favorable.</t>
  </si>
  <si>
    <t>1. $14K Opportunity: Budget vs actuals favorable.
Driver: Favorable budget vs actual variance.</t>
  </si>
  <si>
    <t>$133K RISK: Contract $544K vs $411K POC budget; to capitalize Q2.</t>
  </si>
  <si>
    <t>1. $133K Risk: Contract $544K vs $411K POC budget; to capitalize Q2.
Driver: Budget variance from unplanned costs.</t>
  </si>
  <si>
    <t>$985K NET RISK: Unbudgeted items (CME SOFR $92K, Allvue CPI/tax $86K, Finastra sales tax $456K, PactFi contract variance $133K), WSO 2025 overusage ($232K), offset by minor savings ($15K).</t>
  </si>
  <si>
    <t>1. $985K net risk identified.
2. Unbudgeted items: CME SOFR $92K, Allvue CPI/tax $86K, Finastra sales tax $456K, PactFi contract variance $133K
3. WSO 2025 overusage ($232K)
4. Offset by minor savings ($15K)
Driver: Unbudgeted spend.</t>
  </si>
  <si>
    <t>On track. License paid, tracking to budget.</t>
  </si>
  <si>
    <t>On track. License paid, tracking to budget.
Driver: Tracking to plan.</t>
  </si>
  <si>
    <t>On track. Software tracking to budget.</t>
  </si>
  <si>
    <t>On track. Software tracking to budget.
Driver: Tracking to plan.</t>
  </si>
  <si>
    <t>$2K RISK: Minor actual over budget variance.</t>
  </si>
  <si>
    <t>1. $2K Risk: Minor actual over budget variance.
Driver: Actual spend exceeding budget.</t>
  </si>
  <si>
    <t>$6K OPP: Favorable contract variance.</t>
  </si>
  <si>
    <t>1. $6K Opportunity: Favorable contract variance.
Driver: Favorable budget vs actual variance.</t>
  </si>
  <si>
    <t>On track. Minor variance (&lt;$3).</t>
  </si>
  <si>
    <t>On track. Minor variance (&lt;$3).
Driver: Tracking to plan.</t>
  </si>
  <si>
    <t>$4K NET OPP: FinDox favorable ($6K) offset by Broadridge ($2K) budget v/s actuals</t>
  </si>
  <si>
    <t>1. $4K net opportunity: FinDox favorable ($6K) offset by Broadridge ($2K) budget v/s actuals
Driver: Favorable budget vs actual variance.</t>
  </si>
  <si>
    <t>$3K OPP: Actuals below budget.</t>
  </si>
  <si>
    <t>1. $3K Opportunity: Actuals below budget.
Driver: Favorable budget vs actual variance.</t>
  </si>
  <si>
    <t>$1K OPP: Actuals below budget.</t>
  </si>
  <si>
    <t>1. $1K Opportunity: Actuals below budget.
Driver: Favorable budget vs actual variance.</t>
  </si>
  <si>
    <t>$5K NET OPP: RFPIO ($3K)  Seismic ($1K) favorable budget v/s actuals</t>
  </si>
  <si>
    <t>1. $5K net opportunity: RFPIO ($3K) + Seismic ($1K) favorable budget v/s actuals
Driver: Favorable budget vs actual variance.</t>
  </si>
  <si>
    <t>Software Total</t>
  </si>
  <si>
    <t>$772K NET RISK:
RISKS ($1.1M): Finastra tax $456K + WSO overusage $232K + PactFi $133K + CME SOFR $92K + Allvue CPI $86K + NewRocket $73K
OPPS ($329K): IVP/Alation prepaid ($266K) + RFPIO/Seismic ($5K) + FinDox ($4K)</t>
  </si>
  <si>
    <t>1. $772K net risk identified.
2. RISKS ($1.1M): Finastra tax $456K + WSO overusage $232K + PactFi $133K + CME SOFR $92K + Allvue CPI $86K + NewRocket $73K
3. OPPS ($329K): IVP/Alation prepaid ($266K) + RFPIO/Seismic ($5K) + FinDox ($4K)
Driver: CPI increase and/or tax components not budgeted.</t>
  </si>
  <si>
    <t>May-Dec FC</t>
  </si>
  <si>
    <t>Claude purchased by Danny for AI Initiative $6495</t>
  </si>
  <si>
    <t>SUBTOTAL</t>
  </si>
  <si>
    <t>Solvexia Bank Reconciliation ImplementationFees</t>
  </si>
  <si>
    <t>Thinkcell renewal higher than budgted</t>
  </si>
  <si>
    <t>Addditional work - Site Refresh in March $9.9K &amp; Form modification in April $195</t>
  </si>
  <si>
    <t>Budget v/s actuals</t>
  </si>
  <si>
    <t>Budget v/s Actuals, Techsmith renewal for 1 year included in April</t>
  </si>
  <si>
    <t>Prepaid, to be deferred</t>
  </si>
  <si>
    <t>Quarterly Prepaid, Manor park license fees unbudgeted</t>
  </si>
  <si>
    <t>Modelling fees</t>
  </si>
  <si>
    <t>No cost noted in Mar &amp; Apr</t>
  </si>
  <si>
    <t>Jan-Apr Actuals</t>
  </si>
  <si>
    <t>Sum of 2026 (Actuals + Forecast)</t>
  </si>
  <si>
    <t>Sum of Apr FC</t>
  </si>
  <si>
    <t>Sum of Apr AC</t>
  </si>
  <si>
    <t>Sum of Apr Opp./Risk</t>
  </si>
  <si>
    <t>Budget v/s Actuals, ends this year will be renewed next year for half the cost of this year</t>
  </si>
  <si>
    <t>Recon, this annual cost was projected at 96K but actuals cost was 101k since over threshold it is spread over 12 months as prepaid from May'26-Apr'26 in accounting records</t>
  </si>
  <si>
    <t>Budget</t>
  </si>
  <si>
    <t>AI Initiatives</t>
  </si>
  <si>
    <t>Figma</t>
  </si>
  <si>
    <t xml:space="preserve">Nimble Gravity </t>
  </si>
  <si>
    <t>Graphwise or GraphDB</t>
  </si>
  <si>
    <t>Metaphacts</t>
  </si>
  <si>
    <t>Budget v/s Actuals, additional work for April'26 invoiced in May</t>
  </si>
  <si>
    <t>Budget v/s Actuals, incremental recon hosting fees CPI -5.3% since May</t>
  </si>
  <si>
    <t>proofpoint patrol for organisation</t>
  </si>
  <si>
    <t>IAM Cloud – Cloud Drive Mapper Corporate 300 users - 1 year</t>
  </si>
  <si>
    <t>Maybe an opportunity unless any further contract pending</t>
  </si>
  <si>
    <t>Budget v/s Actuals, revised rate as per new contract, ad hoc 240/hr charge for engeenering support part of contract</t>
  </si>
  <si>
    <t>Capco</t>
  </si>
  <si>
    <t>Prj000599</t>
  </si>
  <si>
    <t>Implement - Antares AI Capabilities</t>
  </si>
  <si>
    <t>Graph DB</t>
  </si>
  <si>
    <t>Figma Platform – Enterprise Subscription</t>
  </si>
  <si>
    <t>Quarter Expense</t>
  </si>
  <si>
    <t>Balance left</t>
  </si>
  <si>
    <t>Milestone</t>
  </si>
  <si>
    <t>Contract is of 3 years with different amounts each year, POC for 4 months so no cost</t>
  </si>
  <si>
    <t>POC</t>
  </si>
  <si>
    <t>MS -Core</t>
  </si>
  <si>
    <t>Milestone - FPC</t>
  </si>
  <si>
    <t>Nimble Gravity cost is $0 to Antares because the full $84.4K project is funded by End Customer Investment Funds (Microsoft program)</t>
  </si>
  <si>
    <t>Anthropic</t>
  </si>
  <si>
    <t>Claude</t>
  </si>
  <si>
    <t>Platform Fees</t>
  </si>
  <si>
    <t>First 5 months: MVP / pilot phase, Then: converts into full 3-year subscription</t>
  </si>
  <si>
    <t>$200K is 1 year</t>
  </si>
  <si>
    <t>1 year prepaid</t>
  </si>
  <si>
    <t>New FPC &amp; T&amp;M contract with IVP for WSO Migration, we have allocated unutilised funds from Markit to this contract and not considered this as risk</t>
  </si>
  <si>
    <t>MS Core, Co-pilot, Azure-Prepaid, renewed in June at $687K 1 year</t>
  </si>
  <si>
    <t>Renewal at $687K from June26-May-27, paid upfront</t>
  </si>
  <si>
    <t>New UAT lead Anand, WSO placeholder utilised</t>
  </si>
  <si>
    <t>New 2026 BoW (Capitalizable)  Full opportunity as per Leon</t>
  </si>
  <si>
    <t>New 2026 BoW full opportunity as per Leon</t>
  </si>
  <si>
    <t>Placeholder funds for new initiatives have been forecasted as per Leon's instruction for utilisation and potential opportunities</t>
  </si>
  <si>
    <t>All the amortization lines have been merged to one, source is capitalization schedule shared by Darlene. This risk could be setoff againt PH and any other opp on YTD</t>
  </si>
  <si>
    <t>$43K is prepaid for Jan-Mar 2027, actual saving is $19K budet vs actuals</t>
  </si>
  <si>
    <t>Capitalisation target</t>
  </si>
  <si>
    <t>To check and update as per schedule</t>
  </si>
  <si>
    <t>Jun-Dec FC</t>
  </si>
  <si>
    <t>Variable Monthly Usage - Not budgeted</t>
  </si>
  <si>
    <t>This cost is not fixed and will be fluctuating per month, $10K is part of WSO web to hosting transistion and should be part of $504K</t>
  </si>
  <si>
    <t>$100K not to be utilised as per Leon's instructions</t>
  </si>
  <si>
    <t>Raymonds exit gave 26k T&amp;M oppurtunity since Feb but QA resources were hired at same cost, QA book work reallocation from L1/L2 support per new QA contract that superseded original.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</si>
  <si>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</si>
  <si>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</si>
  <si>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Contract expected to extend in second half of 2026, unbudgeted.  Viabhav-0 .5 Rahul-0 .5 Vedang, + 2 Offshore FTE</t>
  </si>
  <si>
    <t>Renaissance, H2 unbudgeted extension</t>
  </si>
  <si>
    <t>AI Budget reclass pending</t>
  </si>
  <si>
    <t>Contract pending</t>
  </si>
  <si>
    <t>WSO Web service + Orion CLO + Levpro implementation $10k in March</t>
  </si>
  <si>
    <t>RISK AUM-Potential Dec. Opp WSO</t>
  </si>
  <si>
    <t>New UAT hired, New 2026 BoW utilised</t>
  </si>
  <si>
    <t>WSO Migration – IVP Apps Integration, New 2026 BoW utilised</t>
  </si>
  <si>
    <t>Unbudgeted tax, new 2026 bow utilised</t>
  </si>
  <si>
    <t>Revised contract - $5950/pm from June previously $15K/pm, new contract aligns more with cost as per actual consumption</t>
  </si>
  <si>
    <t>Sum of May FC</t>
  </si>
  <si>
    <t>Sum of May AC</t>
  </si>
  <si>
    <t>Sum of May Opp./Risk</t>
  </si>
  <si>
    <t>Note - All bills are not yet received and recorded for May.</t>
  </si>
  <si>
    <t>T&amp;M- H2-2026 Risk unbudgeted extension</t>
  </si>
  <si>
    <t>Not part of original budget; risk added, category updated from software to hardware since laptop purchase,To be confirmed if facilities will take the cost</t>
  </si>
  <si>
    <t>Surface laptop 7, Logitech keyboard and Mouse, Starlite Cable, Monitor unbudgeted</t>
  </si>
  <si>
    <t>Laptop purchase</t>
  </si>
  <si>
    <t>Unbudgeted, New risk - CME Group SOFR License, $1K per month charge back expected from Operations</t>
  </si>
  <si>
    <t>Jan-May Actuals</t>
  </si>
  <si>
    <t xml:space="preserve">Jan-May Forecast </t>
  </si>
  <si>
    <t>Forecast Jun-Dec</t>
  </si>
  <si>
    <t>Forecast Jan-May</t>
  </si>
  <si>
    <t>Actual+Forecast</t>
  </si>
  <si>
    <t>This cost is not fixed and will be fluctuating per month,</t>
  </si>
  <si>
    <t>L2 DBA resource starting July 1 to expand coverage</t>
  </si>
  <si>
    <t>New UAT hired, New 2026 BoW utilised, WSO</t>
  </si>
  <si>
    <t>Unbudgeted tax</t>
  </si>
  <si>
    <t>Amortisation expense relating to pre-2025 capitalised costs was missed from budget. We recommend offsetting this gap against a placeholder.</t>
  </si>
  <si>
    <t>Not part of original budget; risk added, category updated from software to hardware since laptop purchase, Unplanned expansion not budgeted by HR and Tech</t>
  </si>
  <si>
    <t>Surface laptop 7, Logitech keyboard and Mouse, Starlite Cable, Monitor unbudgeted, 3 laptops to be charged back to Private Credit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</si>
  <si>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</si>
  <si>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</si>
  <si>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New 2026 BoW, WSO</t>
  </si>
  <si>
    <t xml:space="preserve"> Onetime implementation cost for WSO migration web to hosting,$10K is part of WSO web to hosting transistion and should be part of $504K</t>
  </si>
  <si>
    <t>T&amp;M- Implementing CoE for L1/L2 Platforms, new 2026 bow</t>
  </si>
  <si>
    <t>Unbudgeted, New risk - CME Group SOFR License, $1K per month charge back expected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</si>
</sst>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3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0" fontId="3" fillId="0" borderId="0" xfId="0" applyFont="1"/>
    <xf numFmtId="166" fontId="0" fillId="15" borderId="0" xfId="0" applyNumberFormat="1" applyFill="1"/>
    <xf numFmtId="43" fontId="0" fillId="0" borderId="0" xfId="0" applyNumberFormat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166" fontId="2" fillId="0" borderId="0" xfId="0" applyNumberFormat="1" applyFont="1"/>
    <xf numFmtId="166" fontId="6" fillId="15" borderId="0" xfId="0" applyNumberFormat="1" applyFont="1" applyFill="1"/>
    <xf numFmtId="44" fontId="0" fillId="0" borderId="0" xfId="0" applyNumberFormat="1"/>
    <xf numFmtId="167" fontId="0" fillId="0" borderId="0" xfId="0" applyNumberFormat="1"/>
    <xf numFmtId="0" fontId="0" fillId="14" borderId="0" xfId="0" applyFill="1"/>
    <xf numFmtId="0" fontId="12" fillId="2" borderId="0" xfId="0" applyFont="1" applyFill="1" applyAlignment="1">
      <alignment horizontal="left"/>
    </xf>
    <xf numFmtId="44" fontId="12" fillId="2" borderId="0" xfId="2" applyFont="1" applyFill="1"/>
    <xf numFmtId="44" fontId="13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0" fillId="13" borderId="0" xfId="0" applyFill="1"/>
    <xf numFmtId="0" fontId="0" fillId="0" borderId="0" xfId="0" applyAlignment="1">
      <alignment wrapText="1"/>
    </xf>
    <xf numFmtId="0" fontId="15" fillId="18" borderId="0" xfId="0" applyFont="1" applyFill="1"/>
    <xf numFmtId="0" fontId="15" fillId="18" borderId="0" xfId="0" applyFont="1" applyFill="1" applyAlignment="1">
      <alignment horizontal="center" vertical="center" wrapText="1"/>
    </xf>
    <xf numFmtId="0" fontId="16" fillId="0" borderId="0" xfId="0" applyFont="1"/>
    <xf numFmtId="166" fontId="16" fillId="0" borderId="0" xfId="0" applyNumberFormat="1" applyFont="1"/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9" fillId="0" borderId="0" xfId="0" applyFont="1"/>
    <xf numFmtId="166" fontId="19" fillId="0" borderId="0" xfId="0" applyNumberFormat="1" applyFont="1"/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0" fillId="15" borderId="0" xfId="0" applyFill="1"/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21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20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10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7" borderId="0" xfId="0" applyFont="1" applyFill="1" applyAlignment="1">
      <alignment horizontal="center" vertical="center"/>
    </xf>
    <xf numFmtId="43" fontId="14" fillId="17" borderId="0" xfId="1" applyFont="1" applyFill="1" applyAlignment="1">
      <alignment horizontal="center" vertical="center"/>
    </xf>
    <xf numFmtId="44" fontId="14" fillId="13" borderId="17" xfId="2" applyFont="1" applyFill="1" applyBorder="1" applyAlignment="1">
      <alignment horizontal="center" vertical="center"/>
    </xf>
    <xf numFmtId="44" fontId="14" fillId="13" borderId="18" xfId="2" applyFont="1" applyFill="1" applyBorder="1" applyAlignment="1">
      <alignment horizontal="center" vertical="center"/>
    </xf>
    <xf numFmtId="44" fontId="14" fillId="13" borderId="19" xfId="2" applyFont="1" applyFill="1" applyBorder="1" applyAlignment="1">
      <alignment horizontal="center" vertical="center"/>
    </xf>
    <xf numFmtId="0" fontId="14" fillId="13" borderId="9" xfId="0" applyFont="1" applyFill="1" applyBorder="1" applyAlignment="1">
      <alignment horizontal="center" vertical="center" wrapText="1"/>
    </xf>
    <xf numFmtId="0" fontId="14" fillId="13" borderId="1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0" fontId="14" fillId="13" borderId="12" xfId="0" applyFont="1" applyFill="1" applyBorder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0" fontId="14" fillId="13" borderId="13" xfId="0" applyFont="1" applyFill="1" applyBorder="1" applyAlignment="1">
      <alignment horizontal="center" vertical="center" wrapText="1"/>
    </xf>
    <xf numFmtId="0" fontId="14" fillId="13" borderId="14" xfId="0" applyFont="1" applyFill="1" applyBorder="1" applyAlignment="1">
      <alignment horizontal="center" vertical="center" wrapText="1"/>
    </xf>
    <xf numFmtId="0" fontId="14" fillId="13" borderId="15" xfId="0" applyFont="1" applyFill="1" applyBorder="1" applyAlignment="1">
      <alignment horizontal="center" vertical="center" wrapText="1"/>
    </xf>
    <xf numFmtId="0" fontId="14" fillId="13" borderId="1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222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0000"/>
      </font>
      <fill>
        <patternFill patternType="solid">
          <fgColor indexed="64"/>
          <bgColor rgb="FFF2F2F2"/>
        </patternFill>
      </fill>
    </dxf>
    <dxf>
      <font>
        <color rgb="FF000000"/>
      </font>
      <fill>
        <patternFill patternType="solid">
          <fgColor indexed="64"/>
          <bgColor rgb="FFC6EFCE"/>
        </patternFill>
      </fill>
    </dxf>
    <dxf>
      <font>
        <color rgb="FFFFFFFF"/>
      </font>
      <fill>
        <patternFill patternType="solid">
          <fgColor indexed="64"/>
          <bgColor rgb="FF00B050"/>
        </patternFill>
      </fill>
    </dxf>
    <dxf>
      <font>
        <color rgb="FF000000"/>
      </font>
      <fill>
        <patternFill patternType="solid">
          <fgColor indexed="64"/>
          <bgColor rgb="FFFFCCCC"/>
        </patternFill>
      </fill>
    </dxf>
    <dxf>
      <font>
        <color rgb="FFFFFFFF"/>
      </font>
      <fill>
        <patternFill patternType="solid">
          <fgColor indexed="64"/>
          <bgColor rgb="FFBE5014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167" formatCode="_(&quot;$&quot;* #,##0_);_(&quot;$&quot;* \(#,##0\);_(&quot;$&quot;* &quot;-&quot;??_);_(@_)"/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fill>
        <patternFill patternType="solid">
          <bgColor theme="5" tint="0.79998168889431442"/>
        </patternFill>
      </fill>
    </dxf>
    <dxf>
      <numFmt numFmtId="167" formatCode="_(&quot;$&quot;* #,##0_);_(&quot;$&quot;* \(#,##0\);_(&quot;$&quot;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color auto="1"/>
      </font>
    </dxf>
    <dxf>
      <fill>
        <patternFill patternType="solid"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34" formatCode="_(&quot;$&quot;* #,##0.00_);_(&quot;$&quot;* \(#,##0.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212037034" createdVersion="8" refreshedVersion="8" minRefreshableVersion="3" recordCount="147" xr:uid="{17190919-F5DB-453B-BFEE-CA7BB8BD005A}">
  <cacheSource type="worksheet">
    <worksheetSource name="Financials2026[[Transaction Type]:[Notes - Swati]]"/>
  </cacheSource>
  <cacheFields count="68">
    <cacheField name="Transaction Type" numFmtId="0">
      <sharedItems containsBlank="1" count="7">
        <s v="Contract"/>
        <s v="event driven"/>
        <s v="Invoice Driven"/>
        <s v="Capitalization"/>
        <s v="Amortization"/>
        <m u="1"/>
        <s v="Subtotal" u="1"/>
      </sharedItems>
    </cacheField>
    <cacheField name="D365 Legal Vendor name" numFmtId="0">
      <sharedItems containsBlank="1" count="82">
        <s v="Microsoft Corporation"/>
        <s v="T&amp;E - Refer to 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General Office Expense - Refer to Concur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CME Group"/>
        <m u="1"/>
        <s v="Nore" u="1"/>
      </sharedItems>
    </cacheField>
    <cacheField name="DBA / AKA / Passthrough" numFmtId="0">
      <sharedItems containsBlank="1"/>
    </cacheField>
    <cacheField name="Project ID" numFmtId="0">
      <sharedItems count="35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  <s v="TBC" u="1"/>
      </sharedItems>
    </cacheField>
    <cacheField name="Project Name" numFmtId="0">
      <sharedItems/>
    </cacheField>
    <cacheField name="Domain" numFmtId="0">
      <sharedItems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e v="#N/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8.004473958332" createdVersion="8" refreshedVersion="8" minRefreshableVersion="3" recordCount="148" xr:uid="{14834CBE-76E0-4F7D-A076-F066E6A489B9}">
  <cacheSource type="worksheet">
    <worksheetSource name="Financials20263"/>
  </cacheSource>
  <cacheFields count="73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unt="7">
        <s v="Danny Borkowski"/>
        <s v="Melissa Tumminia"/>
        <s v="Devang Shah"/>
        <s v="John Spencer"/>
        <s v="Erik Wynkoop"/>
        <s v="Dan Royer"/>
        <s v="N/A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</r>
  <r>
    <x v="1"/>
    <x v="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</r>
  <r>
    <x v="2"/>
    <x v="11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</r>
  <r>
    <x v="4"/>
    <x v="56"/>
    <m/>
    <x v="21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</r>
  <r>
    <x v="1"/>
    <x v="62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</r>
  <r>
    <x v="0"/>
    <x v="63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</r>
  <r>
    <x v="0"/>
    <x v="64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</r>
  <r>
    <x v="2"/>
    <x v="65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</r>
  <r>
    <x v="2"/>
    <x v="68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</r>
  <r>
    <x v="0"/>
    <x v="69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</r>
  <r>
    <x v="0"/>
    <x v="70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</r>
  <r>
    <x v="0"/>
    <x v="71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</r>
  <r>
    <x v="0"/>
    <x v="72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</r>
  <r>
    <x v="0"/>
    <x v="73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</r>
  <r>
    <x v="0"/>
    <x v="74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</r>
  <r>
    <x v="0"/>
    <x v="75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</r>
  <r>
    <x v="0"/>
    <x v="76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</r>
  <r>
    <x v="0"/>
    <x v="77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</r>
  <r>
    <x v="0"/>
    <x v="74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</r>
  <r>
    <x v="0"/>
    <x v="78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09448.84999999998"/>
    <n v="-50000.150000000023"/>
    <n v="0"/>
    <n v="-50000.150000000023"/>
    <s v="$100K not to be utilised as per Leon's instructions"/>
    <n v="11185.549999999997"/>
    <n v="7399.97"/>
    <n v="16129.190000000002"/>
    <n v="25262"/>
    <n v="23681.14"/>
    <m/>
    <m/>
    <m/>
    <m/>
    <m/>
    <m/>
    <n v="125791"/>
    <n v="209448.85"/>
    <n v="12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25791"/>
    <n v="-125791"/>
    <s v="Concur project reimbursement cost can't be predicted, hence buffer kept in Dec"/>
    <n v="83657.850000000006"/>
    <n v="0"/>
    <n v="125791"/>
    <n v="83657.850000000006"/>
    <n v="209448.85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s v="L2 DBA resource starting July 1 to expand coverage"/>
    <n v="566480"/>
    <n v="0"/>
    <n v="879659"/>
    <n v="577268"/>
    <n v="1446139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441946.6100000003"/>
    <n v="0"/>
    <n v="197928.61000000034"/>
    <n v="197928.61000000034"/>
    <s v="Amortisation expense relating to pre-2025 capitalised costs was missed from budget. We recommend offsetting this gap against a placeholder.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20698.550000000003"/>
    <n v="0"/>
    <n v="20698.550000000003"/>
    <n v="20698.550000000003"/>
    <s v="Not part of original budget; risk added, category updated from software to hardware since laptop purchase, Unplanned expansion not budgeted by HR and Tech"/>
    <m/>
    <m/>
    <m/>
    <m/>
    <m/>
    <m/>
    <m/>
    <m/>
    <m/>
    <m/>
    <m/>
    <m/>
    <n v="0"/>
    <n v="0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0"/>
    <n v="28463.33"/>
    <s v="Surface laptop 7, Logitech keyboard and Mouse, Starlite Cable, Monitor unbudgeted, 3 laptops to be charged back to Private Credit"/>
    <n v="20698.550000000003"/>
    <n v="0"/>
    <n v="0"/>
    <n v="0"/>
    <n v="20698.550000000003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81590"/>
    <n v="0"/>
    <n v="0"/>
    <n v="0"/>
    <m/>
    <m/>
    <m/>
    <n v="20397.5"/>
    <m/>
    <m/>
    <n v="20397.5"/>
    <m/>
    <m/>
    <n v="20397.5"/>
    <m/>
    <m/>
    <n v="20397.5"/>
    <n v="81590"/>
    <n v="61192.5"/>
    <m/>
    <m/>
    <m/>
    <m/>
    <m/>
    <m/>
    <m/>
    <m/>
    <m/>
    <m/>
    <m/>
    <m/>
    <n v="0"/>
    <n v="0"/>
    <n v="0"/>
    <n v="-20397.5"/>
    <n v="0"/>
    <n v="0"/>
    <n v="-20397.5"/>
    <n v="0"/>
    <n v="0"/>
    <n v="-20397.5"/>
    <n v="0"/>
    <n v="0"/>
    <n v="-20397.5"/>
    <n v="-81590"/>
    <m/>
    <n v="0"/>
    <n v="20397.5"/>
    <n v="81590"/>
    <n v="20397.5"/>
    <n v="81590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  <n v="0"/>
    <n v="165000"/>
    <n v="0"/>
    <n v="16500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  <n v="0"/>
    <n v="600000"/>
    <n v="0"/>
    <n v="60000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  <n v="0"/>
    <n v="100000"/>
    <n v="0"/>
    <n v="10000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, new 2026 bow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  <n v="0"/>
    <n v="152500"/>
    <n v="0"/>
    <n v="15250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3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212">
      <pivotArea outline="0" collapsedLevelsAreSubtotals="1" fieldPosition="0"/>
    </format>
    <format dxfId="211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21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07DABF-1B52-457C-8370-2A4962D9F314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68">
    <pivotField axis="axisPage" compact="0" outline="0" multipleItemSelectionAllowed="1" showAll="0">
      <items count="8">
        <item h="1" x="4"/>
        <item h="1" x="3"/>
        <item x="0"/>
        <item x="1"/>
        <item x="2"/>
        <item m="1" x="6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sd="0" m="1"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221">
      <pivotArea outline="0" collapsedLevelsAreSubtotals="1" fieldPosition="0"/>
    </format>
    <format dxfId="22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9">
      <pivotArea field="6" type="button" dataOnly="0" labelOnly="1" outline="0" axis="axisRow" fieldPosition="0"/>
    </format>
    <format dxfId="218">
      <pivotArea field="12" type="button" dataOnly="0" labelOnly="1" outline="0" axis="axisRow" fieldPosition="1"/>
    </format>
    <format dxfId="2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6">
      <pivotArea field="6" type="button" dataOnly="0" labelOnly="1" outline="0" axis="axisRow" fieldPosition="0"/>
    </format>
    <format dxfId="215">
      <pivotArea field="12" type="button" dataOnly="0" labelOnly="1" outline="0" axis="axisRow" fieldPosition="1"/>
    </format>
    <format dxfId="2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:P9" firstHeaderRow="1" firstDataRow="2" firstDataCol="1"/>
  <pivotFields count="7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x="5"/>
        <item x="0"/>
        <item x="2"/>
        <item x="4"/>
        <item x="3"/>
        <item x="1"/>
        <item h="1"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Sum of Jan FC" fld="27" baseField="0" baseItem="0"/>
    <dataField name="Sum of Jan AC" fld="41" baseField="0" baseItem="0"/>
    <dataField name="Sum of Jan Opp/Risk" fld="54" baseField="0" baseItem="0" numFmtId="166"/>
    <dataField name="Sum of Feb FC" fld="28" baseField="0" baseItem="0"/>
    <dataField name="Sum of Feb AC" fld="42" baseField="0" baseItem="0"/>
    <dataField name="Sum of Feb Opp./Risk" fld="55" baseField="0" baseItem="0" numFmtId="166"/>
    <dataField name="Sum of Mar FC" fld="29" baseField="0" baseItem="0"/>
    <dataField name="Sum of Mar AC" fld="43" baseField="0" baseItem="0"/>
    <dataField name="Sum of Mar Opp./Risk" fld="56" baseField="0" baseItem="0" numFmtId="166"/>
    <dataField name="Sum of Apr FC" fld="30" baseField="0" baseItem="0"/>
    <dataField name="Sum of Apr AC" fld="44" baseField="0" baseItem="0"/>
    <dataField name="Sum of Apr Opp./Risk" fld="57" baseField="0" baseItem="0" numFmtId="166"/>
    <dataField name="Sum of May FC" fld="31" baseField="0" baseItem="0"/>
    <dataField name="Sum of May AC" fld="45" baseField="0" baseItem="0"/>
    <dataField name="Sum of May Opp./Risk" fld="58" baseField="0" baseItem="0" numFmtId="166"/>
  </dataFields>
  <formats count="1">
    <format dxfId="2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5182AA-FB83-44C7-B9F9-E8BFE32102E0}" name="PivotTable10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:C85" firstHeaderRow="0" firstDataRow="1" firstDataCol="1" rowPageCount="1" colPageCount="1"/>
  <pivotFields count="68">
    <pivotField axis="axisPage" compact="0" outline="0" multipleItemSelectionAllowed="1" showAll="0" defaultSubtotal="0">
      <items count="7">
        <item x="4"/>
        <item x="3"/>
        <item x="0"/>
        <item x="1"/>
        <item x="2"/>
        <item m="1" x="5"/>
        <item m="1" x="6"/>
      </items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x="78"/>
        <item m="1" x="8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numFmtId="166" outline="0" showAll="0" defaultSubtotal="0"/>
    <pivotField dataField="1" compact="0" numFmtId="166" outline="0" showAll="0" defaultSubtotal="0"/>
    <pivotField compact="0" numFmtId="166" outline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numFmtId="166" outline="0" subtotalTop="0" showAll="0" defaultSubtotal="0"/>
    <pivotField compact="0" outline="0" subtotalTop="0" showAll="0" defaultSubtota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2">
    <i>
      <x/>
    </i>
    <i i="1">
      <x v="1"/>
    </i>
  </colItems>
  <pageFields count="1">
    <pageField fld="0" hier="-1"/>
  </pageFields>
  <dataFields count="2">
    <dataField name="Sum of 2026 Final Budget" fld="21" baseField="0" baseItem="0" numFmtId="166"/>
    <dataField name="Sum of 2026 Opportunity" fld="23" baseField="0" baseItem="0" numFmtId="166"/>
  </dataFields>
  <formats count="23">
    <format dxfId="209">
      <pivotArea outline="0" collapsedLevelsAreSubtotals="1" fieldPosition="0"/>
    </format>
    <format dxfId="208">
      <pivotArea outline="0" fieldPosition="0">
        <references count="2">
          <reference field="4294967294" count="1" selected="0">
            <x v="1"/>
          </reference>
          <reference field="1" count="2" selected="0">
            <x v="5"/>
            <x v="6"/>
          </reference>
        </references>
      </pivotArea>
    </format>
    <format dxfId="207">
      <pivotArea outline="0" fieldPosition="0">
        <references count="2">
          <reference field="4294967294" count="1" selected="0">
            <x v="1"/>
          </reference>
          <reference field="1" count="2" selected="0">
            <x v="14"/>
            <x v="15"/>
          </reference>
        </references>
      </pivotArea>
    </format>
    <format dxfId="206">
      <pivotArea outline="0" fieldPosition="0">
        <references count="2">
          <reference field="4294967294" count="1" selected="0">
            <x v="1"/>
          </reference>
          <reference field="1" count="1" selected="0">
            <x v="25"/>
          </reference>
        </references>
      </pivotArea>
    </format>
    <format dxfId="205">
      <pivotArea outline="0" fieldPosition="0">
        <references count="2">
          <reference field="4294967294" count="1" selected="0">
            <x v="1"/>
          </reference>
          <reference field="1" count="2" selected="0">
            <x v="35"/>
            <x v="36"/>
          </reference>
        </references>
      </pivotArea>
    </format>
    <format dxfId="204">
      <pivotArea outline="0" fieldPosition="0">
        <references count="2">
          <reference field="4294967294" count="1" selected="0">
            <x v="1"/>
          </reference>
          <reference field="1" count="1" selected="0">
            <x v="40"/>
          </reference>
        </references>
      </pivotArea>
    </format>
    <format dxfId="203">
      <pivotArea outline="0" fieldPosition="0">
        <references count="2">
          <reference field="4294967294" count="1" selected="0">
            <x v="1"/>
          </reference>
          <reference field="1" count="1" selected="0">
            <x v="42"/>
          </reference>
        </references>
      </pivotArea>
    </format>
    <format dxfId="202">
      <pivotArea outline="0" fieldPosition="0">
        <references count="2">
          <reference field="4294967294" count="1" selected="0">
            <x v="1"/>
          </reference>
          <reference field="1" count="1" selected="0">
            <x v="44"/>
          </reference>
        </references>
      </pivotArea>
    </format>
    <format dxfId="201">
      <pivotArea outline="0" fieldPosition="0">
        <references count="2">
          <reference field="4294967294" count="1" selected="0">
            <x v="1"/>
          </reference>
          <reference field="1" count="1" selected="0">
            <x v="67"/>
          </reference>
        </references>
      </pivotArea>
    </format>
    <format dxfId="200">
      <pivotArea outline="0" fieldPosition="0">
        <references count="2">
          <reference field="4294967294" count="1" selected="0">
            <x v="1"/>
          </reference>
          <reference field="1" count="3" selected="0">
            <x v="71"/>
            <x v="72"/>
            <x v="73"/>
          </reference>
        </references>
      </pivotArea>
    </format>
    <format dxfId="199">
      <pivotArea outline="0" fieldPosition="0">
        <references count="2">
          <reference field="4294967294" count="1" selected="0">
            <x v="1"/>
          </reference>
          <reference field="1" count="1" selected="0">
            <x v="23"/>
          </reference>
        </references>
      </pivotArea>
    </format>
    <format dxfId="198">
      <pivotArea outline="0" fieldPosition="0">
        <references count="2">
          <reference field="4294967294" count="1" selected="0">
            <x v="1"/>
          </reference>
          <reference field="1" count="1" selected="0">
            <x v="38"/>
          </reference>
        </references>
      </pivotArea>
    </format>
    <format dxfId="197">
      <pivotArea outline="0" fieldPosition="0">
        <references count="2">
          <reference field="4294967294" count="1" selected="0">
            <x v="1"/>
          </reference>
          <reference field="1" count="1" selected="0">
            <x v="47"/>
          </reference>
        </references>
      </pivotArea>
    </format>
    <format dxfId="196">
      <pivotArea outline="0" fieldPosition="0">
        <references count="2">
          <reference field="4294967294" count="1" selected="0">
            <x v="1"/>
          </reference>
          <reference field="1" count="1" selected="0">
            <x v="51"/>
          </reference>
        </references>
      </pivotArea>
    </format>
    <format dxfId="195">
      <pivotArea outline="0" fieldPosition="0">
        <references count="2">
          <reference field="4294967294" count="1" selected="0">
            <x v="1"/>
          </reference>
          <reference field="1" count="1" selected="0">
            <x v="54"/>
          </reference>
        </references>
      </pivotArea>
    </format>
    <format dxfId="194">
      <pivotArea outline="0" fieldPosition="0">
        <references count="2">
          <reference field="4294967294" count="1" selected="0">
            <x v="1"/>
          </reference>
          <reference field="1" count="1" selected="0">
            <x v="76"/>
          </reference>
        </references>
      </pivotArea>
    </format>
    <format dxfId="193">
      <pivotArea outline="0" fieldPosition="0">
        <references count="2">
          <reference field="4294967294" count="1" selected="0">
            <x v="1"/>
          </reference>
          <reference field="1" count="1" selected="0">
            <x v="49"/>
          </reference>
        </references>
      </pivotArea>
    </format>
    <format dxfId="192">
      <pivotArea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format>
    <format dxfId="191">
      <pivotArea outline="0" fieldPosition="0">
        <references count="2">
          <reference field="4294967294" count="1" selected="0">
            <x v="1"/>
          </reference>
          <reference field="1" count="1" selected="0">
            <x v="63"/>
          </reference>
        </references>
      </pivotArea>
    </format>
    <format dxfId="190">
      <pivotArea outline="0" fieldPosition="0">
        <references count="2">
          <reference field="4294967294" count="1" selected="0">
            <x v="1"/>
          </reference>
          <reference field="1" count="1" selected="0">
            <x v="35"/>
          </reference>
        </references>
      </pivotArea>
    </format>
    <format dxfId="189">
      <pivotArea outline="0" fieldPosition="0">
        <references count="2">
          <reference field="4294967294" count="1" selected="0">
            <x v="1"/>
          </reference>
          <reference field="1" count="1" selected="0">
            <x v="36"/>
          </reference>
        </references>
      </pivotArea>
    </format>
    <format dxfId="188">
      <pivotArea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format>
    <format dxfId="187">
      <pivotArea outline="0" fieldPosition="0">
        <references count="2">
          <reference field="4294967294" count="1" selected="0">
            <x v="1"/>
          </reference>
          <reference field="1" count="1" selected="0">
            <x v="6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3366AF-9436-4BC7-989D-486A0BEBD462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B96" firstHeaderRow="1" firstDataRow="1" firstDataCol="1"/>
  <pivotFields count="68">
    <pivotField showAll="0"/>
    <pivotField axis="axisRow" showAll="0">
      <items count="83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</pivotFields>
  <rowFields count="1">
    <field x="1"/>
  </rowFields>
  <rowItems count="8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Items count="1">
    <i/>
  </colItems>
  <dataFields count="1">
    <dataField name="Sum of 2026 Risk" fld="24" baseField="0" baseItem="0" numFmtId="166"/>
  </dataFields>
  <formats count="22">
    <format dxfId="186">
      <pivotArea collapsedLevelsAreSubtotals="1" fieldPosition="0">
        <references count="1">
          <reference field="1" count="1">
            <x v="40"/>
          </reference>
        </references>
      </pivotArea>
    </format>
    <format dxfId="185">
      <pivotArea collapsedLevelsAreSubtotals="1" fieldPosition="0">
        <references count="1">
          <reference field="1" count="1">
            <x v="38"/>
          </reference>
        </references>
      </pivotArea>
    </format>
    <format dxfId="184">
      <pivotArea collapsedLevelsAreSubtotals="1" fieldPosition="0">
        <references count="1">
          <reference field="1" count="1">
            <x v="30"/>
          </reference>
        </references>
      </pivotArea>
    </format>
    <format dxfId="183">
      <pivotArea collapsedLevelsAreSubtotals="1" fieldPosition="0">
        <references count="1">
          <reference field="1" count="1">
            <x v="47"/>
          </reference>
        </references>
      </pivotArea>
    </format>
    <format dxfId="182">
      <pivotArea collapsedLevelsAreSubtotals="1" fieldPosition="0">
        <references count="1">
          <reference field="1" count="1">
            <x v="51"/>
          </reference>
        </references>
      </pivotArea>
    </format>
    <format dxfId="181">
      <pivotArea collapsedLevelsAreSubtotals="1" fieldPosition="0">
        <references count="1">
          <reference field="1" count="1">
            <x v="59"/>
          </reference>
        </references>
      </pivotArea>
    </format>
    <format dxfId="180">
      <pivotArea collapsedLevelsAreSubtotals="1" fieldPosition="0">
        <references count="1">
          <reference field="1" count="1">
            <x v="15"/>
          </reference>
        </references>
      </pivotArea>
    </format>
    <format dxfId="179">
      <pivotArea collapsedLevelsAreSubtotals="1" fieldPosition="0">
        <references count="1">
          <reference field="1" count="1">
            <x v="22"/>
          </reference>
        </references>
      </pivotArea>
    </format>
    <format dxfId="178">
      <pivotArea collapsedLevelsAreSubtotals="1" fieldPosition="0">
        <references count="1">
          <reference field="1" count="1">
            <x v="65"/>
          </reference>
        </references>
      </pivotArea>
    </format>
    <format dxfId="177">
      <pivotArea collapsedLevelsAreSubtotals="1" fieldPosition="0">
        <references count="1">
          <reference field="1" count="1">
            <x v="7"/>
          </reference>
        </references>
      </pivotArea>
    </format>
    <format dxfId="176">
      <pivotArea collapsedLevelsAreSubtotals="1" fieldPosition="0">
        <references count="1">
          <reference field="1" count="1">
            <x v="5"/>
          </reference>
        </references>
      </pivotArea>
    </format>
    <format dxfId="175">
      <pivotArea collapsedLevelsAreSubtotals="1" fieldPosition="0">
        <references count="1">
          <reference field="1" count="1">
            <x v="23"/>
          </reference>
        </references>
      </pivotArea>
    </format>
    <format dxfId="174">
      <pivotArea collapsedLevelsAreSubtotals="1" fieldPosition="0">
        <references count="1">
          <reference field="1" count="1">
            <x v="26"/>
          </reference>
        </references>
      </pivotArea>
    </format>
    <format dxfId="173">
      <pivotArea collapsedLevelsAreSubtotals="1" fieldPosition="0">
        <references count="1">
          <reference field="1" count="1">
            <x v="48"/>
          </reference>
        </references>
      </pivotArea>
    </format>
    <format dxfId="172">
      <pivotArea collapsedLevelsAreSubtotals="1" fieldPosition="0">
        <references count="1">
          <reference field="1" count="1">
            <x v="53"/>
          </reference>
        </references>
      </pivotArea>
    </format>
    <format dxfId="171">
      <pivotArea collapsedLevelsAreSubtotals="1" fieldPosition="0">
        <references count="1">
          <reference field="1" count="1">
            <x v="63"/>
          </reference>
        </references>
      </pivotArea>
    </format>
    <format dxfId="170">
      <pivotArea collapsedLevelsAreSubtotals="1" fieldPosition="0">
        <references count="1">
          <reference field="1" count="1">
            <x v="29"/>
          </reference>
        </references>
      </pivotArea>
    </format>
    <format dxfId="169">
      <pivotArea collapsedLevelsAreSubtotals="1" fieldPosition="0">
        <references count="1">
          <reference field="1" count="1">
            <x v="24"/>
          </reference>
        </references>
      </pivotArea>
    </format>
    <format dxfId="168">
      <pivotArea collapsedLevelsAreSubtotals="1" fieldPosition="0">
        <references count="1">
          <reference field="1" count="1">
            <x v="12"/>
          </reference>
        </references>
      </pivotArea>
    </format>
    <format dxfId="167">
      <pivotArea collapsedLevelsAreSubtotals="1" fieldPosition="0">
        <references count="1">
          <reference field="1" count="1">
            <x v="2"/>
          </reference>
        </references>
      </pivotArea>
    </format>
    <format dxfId="166">
      <pivotArea collapsedLevelsAreSubtotals="1" fieldPosition="0">
        <references count="1">
          <reference field="1" count="1">
            <x v="29"/>
          </reference>
        </references>
      </pivotArea>
    </format>
    <format dxfId="165">
      <pivotArea collapsedLevelsAreSubtotals="1" fieldPosition="0">
        <references count="1">
          <reference field="1" count="1">
            <x v="2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0F8A6-7B2F-4F71-ABC0-A0BE7AD7C1FC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L47" firstHeaderRow="1" firstDataRow="2" firstDataCol="2" rowPageCount="1" colPageCount="1"/>
  <pivotFields count="68">
    <pivotField compact="0" outline="0" showAll="0"/>
    <pivotField compact="0" outline="0" showAll="0"/>
    <pivotField compact="0" outline="0" showAll="0"/>
    <pivotField axis="axisRow" compact="0" outline="0" showAll="0">
      <items count="36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8"/>
        <item m="1" x="34"/>
        <item x="3"/>
        <item t="default"/>
      </items>
    </pivotField>
    <pivotField compact="0" outline="0" showAll="0"/>
    <pivotField compact="0" outline="0" showAll="0"/>
    <pivotField axis="axisRow" compact="0" outline="0" showAll="0">
      <items count="9">
        <item x="5"/>
        <item x="0"/>
        <item x="2"/>
        <item x="4"/>
        <item x="3"/>
        <item x="1"/>
        <item h="1" x="6"/>
        <item h="1" m="1"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10">
        <item x="6"/>
        <item x="5"/>
        <item x="7"/>
        <item x="3"/>
        <item x="4"/>
        <item x="2"/>
        <item x="1"/>
        <item x="0"/>
        <item m="1"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</pivotFields>
  <rowFields count="2">
    <field x="6"/>
    <field x="3"/>
  </rowFields>
  <rowItems count="43">
    <i>
      <x/>
      <x v="11"/>
    </i>
    <i r="1">
      <x v="15"/>
    </i>
    <i r="1">
      <x v="22"/>
    </i>
    <i r="1">
      <x v="23"/>
    </i>
    <i r="1">
      <x v="25"/>
    </i>
    <i r="1">
      <x v="26"/>
    </i>
    <i r="1">
      <x v="27"/>
    </i>
    <i r="1">
      <x v="30"/>
    </i>
    <i r="1">
      <x v="32"/>
    </i>
    <i t="default">
      <x/>
    </i>
    <i>
      <x v="1"/>
      <x v="8"/>
    </i>
    <i r="1">
      <x v="10"/>
    </i>
    <i r="1">
      <x v="12"/>
    </i>
    <i r="1">
      <x v="17"/>
    </i>
    <i r="1">
      <x v="21"/>
    </i>
    <i r="1">
      <x v="32"/>
    </i>
    <i t="default">
      <x v="1"/>
    </i>
    <i>
      <x v="2"/>
      <x v="2"/>
    </i>
    <i r="1">
      <x v="5"/>
    </i>
    <i r="1">
      <x v="9"/>
    </i>
    <i r="1">
      <x v="13"/>
    </i>
    <i r="1">
      <x v="24"/>
    </i>
    <i r="1">
      <x v="28"/>
    </i>
    <i r="1">
      <x v="29"/>
    </i>
    <i r="1">
      <x v="32"/>
    </i>
    <i r="1">
      <x v="34"/>
    </i>
    <i t="default">
      <x v="2"/>
    </i>
    <i>
      <x v="3"/>
      <x v="14"/>
    </i>
    <i r="1">
      <x v="16"/>
    </i>
    <i r="1">
      <x v="18"/>
    </i>
    <i r="1">
      <x v="19"/>
    </i>
    <i r="1">
      <x v="31"/>
    </i>
    <i r="1">
      <x v="32"/>
    </i>
    <i t="default">
      <x v="3"/>
    </i>
    <i>
      <x v="4"/>
      <x v="3"/>
    </i>
    <i r="1">
      <x v="6"/>
    </i>
    <i t="default">
      <x v="4"/>
    </i>
    <i>
      <x v="5"/>
      <x v="4"/>
    </i>
    <i r="1">
      <x v="7"/>
    </i>
    <i r="1">
      <x v="20"/>
    </i>
    <i r="1">
      <x v="32"/>
    </i>
    <i t="default">
      <x v="5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pageFields count="1">
    <pageField fld="12" hier="-1"/>
  </pageFields>
  <dataFields count="10">
    <dataField name="Sum of 2026 Final Budget" fld="21" baseField="0" baseItem="0"/>
    <dataField name="Sum of 2026 Net Position" fld="25" baseField="0" baseItem="0" numFmtId="166"/>
    <dataField name="Sum of Total - FC" fld="39" baseField="0" baseItem="0" numFmtId="166"/>
    <dataField name="Sum of Jan FC" fld="27" baseField="0" baseItem="0"/>
    <dataField name="Sum of Feb FC" fld="28" baseField="0" baseItem="0"/>
    <dataField name="Sum of Mar FC" fld="29" baseField="0" baseItem="0"/>
    <dataField name="Sum of Total Actuals" fld="53" baseField="0" baseItem="0" numFmtId="166"/>
    <dataField name="Sum of Jan AC" fld="41" baseField="0" baseItem="0"/>
    <dataField name="Sum of Feb AC" fld="42" baseField="0" baseItem="0"/>
    <dataField name="Sum of Mar AC" fld="43" baseField="0" baseItem="0"/>
  </dataFields>
  <formats count="10">
    <format dxfId="17">
      <pivotArea type="topRight" dataOnly="0" labelOnly="1" outline="0" offset="B1" fieldPosition="0"/>
    </format>
    <format dxfId="16">
      <pivotArea type="topRight" dataOnly="0" labelOnly="1" outline="0" offset="E1" fieldPosition="0"/>
    </format>
    <format dxfId="15">
      <pivotArea type="topRight" dataOnly="0" labelOnly="1" outline="0" offset="H1" fieldPosition="0"/>
    </format>
    <format dxfId="14">
      <pivotArea outline="0" collapsedLevelsAreSubtotals="1" fieldPosition="0"/>
    </format>
    <format dxfId="13">
      <pivotArea type="topRight" dataOnly="0" labelOnly="1" outline="0" offset="B1" fieldPosition="0"/>
    </format>
    <format dxfId="12">
      <pivotArea type="topRight" dataOnly="0" labelOnly="1" outline="0" offset="E1" fieldPosition="0"/>
    </format>
    <format dxfId="11">
      <pivotArea type="topRight" dataOnly="0" labelOnly="1" outline="0" offset="H1:J1" fieldPosition="0"/>
    </format>
    <format dxfId="10">
      <pivotArea dataOnly="0" labelOnly="1" outline="0" fieldPosition="0">
        <references count="1">
          <reference field="4294967294" count="3">
            <x v="7"/>
            <x v="8"/>
            <x v="9"/>
          </reference>
        </references>
      </pivotArea>
    </format>
    <format dxfId="9">
      <pivotArea type="topRight" dataOnly="0" labelOnly="1" outline="0" offset="G1" fieldPosition="0"/>
    </format>
    <format dxfId="8">
      <pivotArea dataOnly="0" labelOnly="1" outline="0" fieldPosition="0">
        <references count="1">
          <reference field="4294967294" count="1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09FFE4-FD37-44EC-ABA3-7345290F41E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O4:U84" firstHeaderRow="1" firstDataRow="2" firstDataCol="1" rowPageCount="2" colPageCount="1"/>
  <pivotFields count="6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">
        <item x="74"/>
        <item x="49"/>
        <item x="76"/>
        <item x="61"/>
        <item x="56"/>
        <item x="19"/>
        <item x="2"/>
        <item x="69"/>
        <item x="58"/>
        <item x="59"/>
        <item x="9"/>
        <item x="12"/>
        <item x="21"/>
        <item x="50"/>
        <item x="25"/>
        <item x="6"/>
        <item x="65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70"/>
        <item x="4"/>
        <item x="62"/>
        <item x="28"/>
        <item x="63"/>
        <item x="29"/>
        <item x="23"/>
        <item x="30"/>
        <item x="53"/>
        <item x="66"/>
        <item x="8"/>
        <item x="48"/>
        <item x="67"/>
        <item x="31"/>
        <item x="32"/>
        <item x="52"/>
        <item x="0"/>
        <item x="33"/>
        <item x="15"/>
        <item x="34"/>
        <item m="1" x="81"/>
        <item x="78"/>
        <item x="16"/>
        <item x="77"/>
        <item x="75"/>
        <item x="35"/>
        <item x="11"/>
        <item x="57"/>
        <item x="13"/>
        <item x="36"/>
        <item x="64"/>
        <item x="37"/>
        <item x="54"/>
        <item x="41"/>
        <item x="38"/>
        <item x="73"/>
        <item x="42"/>
        <item x="55"/>
        <item x="40"/>
        <item x="39"/>
        <item x="5"/>
        <item x="1"/>
        <item x="71"/>
        <item x="72"/>
        <item x="68"/>
        <item x="20"/>
        <item x="3"/>
        <item x="24"/>
        <item x="10"/>
        <item m="1" x="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8">
        <item x="5"/>
        <item x="0"/>
        <item x="2"/>
        <item x="4"/>
        <item x="3"/>
        <item x="1"/>
        <item h="1" x="6"/>
        <item h="1" m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9">
        <item h="1" x="6"/>
        <item x="5"/>
        <item x="7"/>
        <item x="3"/>
        <item x="4"/>
        <item x="2"/>
        <item x="1"/>
        <item x="0"/>
        <item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79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6" hier="-1"/>
    <pageField fld="12" hier="-1"/>
  </pageFields>
  <dataFields count="6">
    <dataField name="Sum of 2026 Final Budget" fld="21" baseField="0" baseItem="0"/>
    <dataField name="Sum of Jan FC" fld="27" baseField="0" baseItem="0"/>
    <dataField name="Sum of Feb FC" fld="28" baseField="0" baseItem="0"/>
    <dataField name="Sum of Jan AC" fld="41" baseField="0" baseItem="0"/>
    <dataField name="Sum of Feb AC" fld="42" baseField="0" baseItem="0"/>
    <dataField name="Sum of Total Actuals" fld="53" baseField="0" baseItem="0" numFmtId="166"/>
  </dataFields>
  <formats count="1">
    <format dxfId="1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92086E-22C3-4E96-A6F5-F99E42618563}" name="Financials2026" displayName="Financials2026" ref="A1:BQ148" totalsRowShown="0" headerRowBorderDxfId="164" tableBorderDxfId="163">
  <autoFilter ref="A1:BQ148" xr:uid="{A492086E-22C3-4E96-A6F5-F99E42618563}">
    <filterColumn colId="1">
      <filters>
        <filter val="Coforge DPA NA Inc."/>
      </filters>
    </filterColumn>
  </autoFilter>
  <tableColumns count="69">
    <tableColumn id="1" xr3:uid="{A73B1B11-9BBA-4619-8900-212F6E8EAB15}" name="Transaction Type" dataDxfId="162"/>
    <tableColumn id="2" xr3:uid="{21FE838A-6B88-47B8-84B6-FF10899FF13E}" name="D365 Legal Vendor name" dataDxfId="161"/>
    <tableColumn id="3" xr3:uid="{75152A30-3FCF-4A8C-9B26-97FFB5342F9A}" name="DBA / AKA / Passthrough" dataDxfId="160"/>
    <tableColumn id="4" xr3:uid="{92D14962-72A6-44CC-AD0F-BE2CC9A0138C}" name="Project ID" dataDxfId="159"/>
    <tableColumn id="5" xr3:uid="{243F444A-5A61-400D-B07B-C0393066D378}" name="Project Name" dataDxfId="158"/>
    <tableColumn id="6" xr3:uid="{520A3939-5C73-463F-A001-56F906ACEE8B}" name="Domain" dataDxfId="157"/>
    <tableColumn id="7" xr3:uid="{7EA9F2C7-8108-4C2B-9024-B5F2ED619B4C}" name="Domain Owner" dataDxfId="156"/>
    <tableColumn id="9" xr3:uid="{D6801792-B9AC-4510-9132-4A998BCF0B8A}" name="Contract Start" dataDxfId="155"/>
    <tableColumn id="10" xr3:uid="{BC61DE2D-5DE6-4C9C-B22D-FCAF4BB91866}" name="Contract End" dataDxfId="154"/>
    <tableColumn id="11" xr3:uid="{17245AFF-BC33-4E5A-82D6-C8BC5C4D2C0A}" name="Application" dataDxfId="153"/>
    <tableColumn id="12" xr3:uid="{D4E2B736-1876-47B2-8F71-60184D28FFE3}" name="Project Details" dataDxfId="152">
      <calculatedColumnFormula>D2 &amp; "-" &amp;E2</calculatedColumnFormula>
    </tableColumn>
    <tableColumn id="13" xr3:uid="{2992EB58-48BF-4D95-9FB3-3569D6F12CCF}" name="Category" dataDxfId="151"/>
    <tableColumn id="14" xr3:uid="{A4E40B18-472A-4991-9954-03368E910B8F}" name="Sub-Category1" dataDxfId="150"/>
    <tableColumn id="17" xr3:uid="{97797BDE-C480-461C-9DEA-126170656183}" name="Sub-Category2" dataDxfId="149"/>
    <tableColumn id="21" xr3:uid="{A843BBAA-2261-4EE3-A996-BC0D85291D29}" name="Contract Type" dataDxfId="148"/>
    <tableColumn id="15" xr3:uid="{CAC9DFF6-8DE9-4BB3-A210-C673FF492182}" name="MGMT View Category (OneStream)" dataDxfId="147"/>
    <tableColumn id="18" xr3:uid="{7B24C945-DC36-46FE-BDE9-ACF79E25FBA5}" name="Onestream Account" dataDxfId="146"/>
    <tableColumn id="19" xr3:uid="{3AD397B5-3D72-4E5D-8C8E-8022CA859FDE}" name="A/P Account Name" dataDxfId="145"/>
    <tableColumn id="20" xr3:uid="{A02AC37E-EB10-4D61-8A1F-AED5CDDEA2ED}" name="Accounting Treatment" dataDxfId="144"/>
    <tableColumn id="22" xr3:uid="{0F175FDC-16CE-443C-B071-802D77FA2198}" name="2025 Actuals" dataDxfId="143"/>
    <tableColumn id="23" xr3:uid="{E586F94E-40E0-4AA8-A0DE-21A40521BB7E}" name="2026 Initial Budget" dataDxfId="142" dataCellStyle="Comma"/>
    <tableColumn id="25" xr3:uid="{F506FA27-E67F-4973-B6FB-C040691D4501}" name="2026 Final Budget" dataDxfId="141" dataCellStyle="Comma"/>
    <tableColumn id="26" xr3:uid="{0A3DDD1F-F1B0-4E42-AF64-7AC9C4B7457A}" name="2026 (Actuals + Forecast)" dataDxfId="140" dataCellStyle="Comma">
      <calculatedColumnFormula>AO2+IF(ISBLANK(AP2),AB2,AP2)+IF(ISBLANK(AQ2),AC2,AQ2)+IF(ISBLANK(AR2),AD2,AR2)+IF(ISBLANK(AS2),AE2,AS2)+IF(ISBLANK(AT2),AF2,AT2)</calculatedColumnFormula>
    </tableColumn>
    <tableColumn id="27" xr3:uid="{6863E3D3-21ED-42E8-A3D4-4146C68366E7}" name="2026 Opportunity" dataDxfId="139" dataCellStyle="Comma">
      <calculatedColumnFormula>IF(V2 &gt;= W2, V2 - W2, 0)*-1</calculatedColumnFormula>
    </tableColumn>
    <tableColumn id="28" xr3:uid="{442470D1-D45C-4D5E-A489-4F4FB5D6C611}" name="2026 Risk" dataDxfId="138" dataCellStyle="Comma">
      <calculatedColumnFormula>IF(W2 &gt; V2, W2 - V2, 0)</calculatedColumnFormula>
    </tableColumn>
    <tableColumn id="16" xr3:uid="{C3A535A1-465C-4BDB-930E-D3AEA771FE74}" name="2026 Net Position" dataDxfId="137" dataCellStyle="Comma">
      <calculatedColumnFormula>SUM(Financials2026[[#This Row],[2026 Opportunity]:[2026 Risk]])</calculatedColumnFormula>
    </tableColumn>
    <tableColumn id="29" xr3:uid="{FCA05E22-FF7C-4021-B17C-9E8C70E1763D}" name="Notes" dataDxfId="136"/>
    <tableColumn id="31" xr3:uid="{4054357D-69ED-4798-82D6-D2E485AC991F}" name="Jan FC" dataDxfId="135" dataCellStyle="Comma"/>
    <tableColumn id="32" xr3:uid="{68BBB5EC-7BC3-46CD-9630-E06A04419660}" name="Feb FC" dataDxfId="134" dataCellStyle="Comma"/>
    <tableColumn id="33" xr3:uid="{EE6CFEFA-EA4E-4370-BD34-F2BBD8E43A5C}" name="Mar FC" dataDxfId="133" dataCellStyle="Comma"/>
    <tableColumn id="34" xr3:uid="{6FB2C9B7-F177-40ED-9180-77B97133637C}" name="Apr FC" dataDxfId="132" dataCellStyle="Comma"/>
    <tableColumn id="35" xr3:uid="{A46A09E4-884B-4643-90F0-4362D526E90A}" name="May FC" dataDxfId="131" dataCellStyle="Comma"/>
    <tableColumn id="36" xr3:uid="{B239B931-4938-40AD-A906-FDDC394C46B8}" name="Jun FC" dataDxfId="130" dataCellStyle="Comma"/>
    <tableColumn id="37" xr3:uid="{0803ED62-7223-4309-A851-F5D4FFDDDC50}" name="Jul FC" dataDxfId="129" dataCellStyle="Comma"/>
    <tableColumn id="38" xr3:uid="{5A4D9F88-8E5F-47CC-969F-CDC3A4631048}" name="Aug FC" dataDxfId="128" dataCellStyle="Comma"/>
    <tableColumn id="39" xr3:uid="{1BFC8400-AA4B-4B88-9349-6FE66711301A}" name="Sep FC" dataDxfId="127" dataCellStyle="Comma"/>
    <tableColumn id="40" xr3:uid="{520EA27F-8F12-4612-B5BA-2A7906BC1858}" name="Oct FC" dataDxfId="126" dataCellStyle="Comma"/>
    <tableColumn id="41" xr3:uid="{EC52FAF2-C683-4A54-88DE-24C01F619276}" name="Nov FC" dataDxfId="125" dataCellStyle="Comma"/>
    <tableColumn id="42" xr3:uid="{8BADF9C7-8D22-4264-81AD-DA31067D1CB0}" name="Dec FC" dataDxfId="124" dataCellStyle="Comma"/>
    <tableColumn id="74" xr3:uid="{4CA1816A-A408-406C-A9A3-372724C6B888}" name="Total - FC" dataDxfId="123" dataCellStyle="Comma">
      <calculatedColumnFormula>SUM(Financials2026[[#This Row],[Jan FC]:[Dec FC]])</calculatedColumnFormula>
    </tableColumn>
    <tableColumn id="43" xr3:uid="{DAA2C13C-93C4-40BA-9E2F-E8B86DEC7F47}" name="Jun-Dec FC" dataDxfId="122" dataCellStyle="Comma">
      <calculatedColumnFormula>SUM(AG2:AM2)</calculatedColumnFormula>
    </tableColumn>
    <tableColumn id="56" xr3:uid="{4BC94A84-5F9E-4421-837E-B4883F88F093}" name="Jan AC" dataDxfId="121" dataCellStyle="Comma"/>
    <tableColumn id="55" xr3:uid="{8110AB15-9E34-4028-A675-F4644AF6551A}" name="Feb AC" dataDxfId="120" dataCellStyle="Comma"/>
    <tableColumn id="54" xr3:uid="{4DD21639-ED75-4733-99F2-4042F5D95D38}" name="Mar AC" dataDxfId="119" dataCellStyle="Comma"/>
    <tableColumn id="53" xr3:uid="{EC96DA42-4D63-46F8-97A4-F9C80AF3E510}" name="Apr AC" dataDxfId="118" dataCellStyle="Comma"/>
    <tableColumn id="52" xr3:uid="{574C6E64-7257-4DCB-85E5-A3C1D9CC132A}" name="May AC" dataDxfId="117" dataCellStyle="Comma"/>
    <tableColumn id="51" xr3:uid="{C85494BB-9585-4B16-A414-7F49FC02B55B}" name="Jun AC" dataDxfId="116" dataCellStyle="Comma"/>
    <tableColumn id="50" xr3:uid="{A730A824-E028-4CE1-A4EE-2EC6C9505BB5}" name="Jul AC" dataDxfId="115" dataCellStyle="Comma"/>
    <tableColumn id="49" xr3:uid="{3312D4A3-6FF5-42AE-BA5C-67FDAE8450D6}" name="Aug AC" dataDxfId="114" dataCellStyle="Comma"/>
    <tableColumn id="48" xr3:uid="{B7EB5C8B-AA9B-453B-AE5D-7C522D055E1F}" name="Sep AC" dataDxfId="113" dataCellStyle="Comma"/>
    <tableColumn id="47" xr3:uid="{FD35E1EA-DD5F-4811-ACD9-40CADB078DAF}" name="Oct AC" dataDxfId="112" dataCellStyle="Comma"/>
    <tableColumn id="46" xr3:uid="{D1650156-F34B-49B9-A7F7-52FC5F6F3FCE}" name="Nov AC" dataDxfId="111" dataCellStyle="Comma"/>
    <tableColumn id="30" xr3:uid="{1DB0DB34-9471-48D1-A942-45646369E7BE}" name="Dec AC" dataDxfId="110" dataCellStyle="Comma"/>
    <tableColumn id="75" xr3:uid="{B30F4FA5-2257-4D8E-8E1D-E457546B3E2A}" name="Total Actuals" dataDxfId="109" dataCellStyle="Comma">
      <calculatedColumnFormula>SUM(Financials2026[[#This Row],[Jan AC]:[Dec AC]])</calculatedColumnFormula>
    </tableColumn>
    <tableColumn id="58" xr3:uid="{C3F4F7C4-68CC-4AFB-B1C8-6B908707F8BB}" name="Jan Opp/Risk" dataDxfId="108" dataCellStyle="Comma">
      <calculatedColumnFormula>Financials2026[[#This Row],[Jan AC]]-Financials2026[[#This Row],[Jan FC]]</calculatedColumnFormula>
    </tableColumn>
    <tableColumn id="59" xr3:uid="{FA0EA09D-2E26-4199-847B-623229835C0D}" name="Feb Opp./Risk" dataDxfId="107" dataCellStyle="Comma">
      <calculatedColumnFormula>Financials2026[[#This Row],[Feb AC]]-Financials2026[[#This Row],[Feb FC]]</calculatedColumnFormula>
    </tableColumn>
    <tableColumn id="60" xr3:uid="{ED39AE43-A863-48C1-8F8C-DCAD21A81067}" name="Mar Opp./Risk" dataDxfId="106" dataCellStyle="Comma">
      <calculatedColumnFormula>Financials2026[[#This Row],[Mar AC]]-Financials2026[[#This Row],[Mar FC]]</calculatedColumnFormula>
    </tableColumn>
    <tableColumn id="61" xr3:uid="{176078BC-A9AA-41BF-96C8-CF91FF91FEF4}" name="Apr Opp./Risk" dataDxfId="105" dataCellStyle="Comma">
      <calculatedColumnFormula>Financials2026[[#This Row],[Apr AC]]-Financials2026[[#This Row],[Apr FC]]</calculatedColumnFormula>
    </tableColumn>
    <tableColumn id="62" xr3:uid="{6DA04514-1BE9-4D13-B767-B89724E85FCB}" name="May Opp./Risk" dataDxfId="104" dataCellStyle="Comma">
      <calculatedColumnFormula>Financials2026[[#This Row],[May AC]]-Financials2026[[#This Row],[May FC]]</calculatedColumnFormula>
    </tableColumn>
    <tableColumn id="63" xr3:uid="{81D89985-CF58-425B-BA17-2F207D217CEE}" name="Jun Opp./Risk" dataDxfId="103" dataCellStyle="Comma">
      <calculatedColumnFormula>Financials2026[[#This Row],[Jun AC]]-Financials2026[[#This Row],[Jun FC]]</calculatedColumnFormula>
    </tableColumn>
    <tableColumn id="64" xr3:uid="{4DE636E6-443E-49B2-B9B3-E07C9495F669}" name="Jul Opp./Risk" dataDxfId="102" dataCellStyle="Comma">
      <calculatedColumnFormula>Financials2026[[#This Row],[Jul AC]]-Financials2026[[#This Row],[Jul FC]]</calculatedColumnFormula>
    </tableColumn>
    <tableColumn id="65" xr3:uid="{BAD535B6-5665-44EE-AC99-C48E6F6E7779}" name="Aug Opp./Risk" dataDxfId="101" dataCellStyle="Comma">
      <calculatedColumnFormula>Financials2026[[#This Row],[Aug AC]]-Financials2026[[#This Row],[Aug FC]]</calculatedColumnFormula>
    </tableColumn>
    <tableColumn id="66" xr3:uid="{F8202178-523F-44C8-871A-C3AD3C594338}" name="Sep Opp./Risk" dataDxfId="100" dataCellStyle="Comma">
      <calculatedColumnFormula>Financials2026[[#This Row],[Sep AC]]-Financials2026[[#This Row],[Sep FC]]</calculatedColumnFormula>
    </tableColumn>
    <tableColumn id="67" xr3:uid="{3C0BB1B6-12B1-47CE-927B-B92DA558BB49}" name="Oct Opp./Risk" dataDxfId="99" dataCellStyle="Comma">
      <calculatedColumnFormula>Financials2026[[#This Row],[Oct AC]]-Financials2026[[#This Row],[Oct FC]]</calculatedColumnFormula>
    </tableColumn>
    <tableColumn id="68" xr3:uid="{10B2B2B6-C0A4-45B0-99BA-16A15F4D1D2D}" name="Nov Opp./Risk" dataDxfId="98" dataCellStyle="Comma">
      <calculatedColumnFormula>Financials2026[[#This Row],[Nov AC]]-Financials2026[[#This Row],[Nov FC]]</calculatedColumnFormula>
    </tableColumn>
    <tableColumn id="69" xr3:uid="{059DF35C-8926-41FD-AB61-2BE1307D9123}" name="Dec Opp./Risk" dataDxfId="97" dataCellStyle="Comma">
      <calculatedColumnFormula>Financials2026[[#This Row],[Dec AC]]-Financials2026[[#This Row],[Dec FC]]</calculatedColumnFormula>
    </tableColumn>
    <tableColumn id="76" xr3:uid="{671CCAFC-8BC8-4827-B632-9F92267FDA6B}" name="Total Opp./Risk" dataDxfId="96" dataCellStyle="Comma">
      <calculatedColumnFormula>SUM(Financials2026[[#This Row],[Jan Opp/Risk]:[Dec Opp./Risk]])</calculatedColumnFormula>
    </tableColumn>
    <tableColumn id="45" xr3:uid="{3290BD2B-35D5-4BD4-928D-B5DD54E90225}" name="Notes - Swati" dataDxfId="95" dataCellStyle="Comma"/>
    <tableColumn id="57" xr3:uid="{622EC5AD-14B5-4D42-A9AB-788E787F24F7}" name="Jan-Apr Actuals" dataDxfId="94" dataCellStyle="Comma">
      <calculatedColumnFormula>SUM(Financials2026[[#This Row],[Jan AC]:[Apr AC]])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U149" totalsRowShown="0" headerRowBorderDxfId="93" tableBorderDxfId="92">
  <autoFilter ref="A1:BU149" xr:uid="{A492086E-22C3-4E96-A6F5-F99E42618563}"/>
  <tableColumns count="73">
    <tableColumn id="1" xr3:uid="{242EDFF6-742E-412A-994F-DE5685E22BB0}" name="Transaction Type" dataDxfId="91"/>
    <tableColumn id="2" xr3:uid="{08616251-7DE6-4D23-92E4-2E85B1D94360}" name="D365 Legal Vendor name" dataDxfId="90"/>
    <tableColumn id="3" xr3:uid="{BD70789C-92D9-4A27-B8C3-E2607261E720}" name="DBA / AKA / Passthrough" dataDxfId="89"/>
    <tableColumn id="4" xr3:uid="{3918E27D-D871-43A2-9D6A-94FB14F654EC}" name="Project ID" dataDxfId="88"/>
    <tableColumn id="5" xr3:uid="{A028ADB0-AF1A-40E1-8A52-FF282B40DE64}" name="Project Name" dataDxfId="87"/>
    <tableColumn id="6" xr3:uid="{B4F67E57-8B0C-436C-BF42-2CAC2B8245C1}" name="Domain" dataDxfId="86"/>
    <tableColumn id="7" xr3:uid="{91E0CA19-9704-4FB2-9B82-EB394E89DF85}" name="Domain Owner" dataDxfId="85"/>
    <tableColumn id="9" xr3:uid="{090B133E-C581-4D72-9CCF-C2D174AB0F43}" name="Contract Start" dataDxfId="84"/>
    <tableColumn id="10" xr3:uid="{610CA386-C3EA-4064-9F45-507F0B25669D}" name="Contract End" dataDxfId="83"/>
    <tableColumn id="11" xr3:uid="{7A9CDD19-1472-4FAD-ACF7-98BC097996DE}" name="Application" dataDxfId="82"/>
    <tableColumn id="12" xr3:uid="{F6177E08-E03D-4CE8-A8C5-24F7F0CE38DF}" name="Project Details" dataDxfId="81">
      <calculatedColumnFormula>D2 &amp; "-" &amp;E2</calculatedColumnFormula>
    </tableColumn>
    <tableColumn id="13" xr3:uid="{F8731934-20F7-4424-BF3E-888C8F3E250E}" name="Category" dataDxfId="80"/>
    <tableColumn id="14" xr3:uid="{97F74ECF-D3E1-4544-B389-0D70673967E8}" name="Sub-Category1" dataDxfId="79"/>
    <tableColumn id="17" xr3:uid="{4C848037-D78D-42C1-A2C6-E6309704016E}" name="Sub-Category2" dataDxfId="78"/>
    <tableColumn id="21" xr3:uid="{0122725A-C30C-4CEE-B8D6-2422E3E10326}" name="Contract Type" dataDxfId="77"/>
    <tableColumn id="15" xr3:uid="{DCD4FDCF-43FF-4308-9293-62EA996620ED}" name="MGMT View Category (OneStream)" dataDxfId="76"/>
    <tableColumn id="18" xr3:uid="{658A4718-1DA7-4FBE-8992-7FAE7F4C7F49}" name="Onestream Account" dataDxfId="75"/>
    <tableColumn id="19" xr3:uid="{5267CF94-3623-462E-97AF-E18156B00053}" name="A/P Account Name" dataDxfId="74"/>
    <tableColumn id="20" xr3:uid="{5E0DC275-3907-45A6-9C4F-937BDB02153F}" name="Accounting Treatment" dataDxfId="73"/>
    <tableColumn id="22" xr3:uid="{16BEBE99-AC2A-471E-8FD9-AAE62FE8D83D}" name="2025 Actuals" dataDxfId="72"/>
    <tableColumn id="23" xr3:uid="{AB3393C9-D921-4085-AF5F-B7B623848FCC}" name="2026 Initial Budget" dataDxfId="71" dataCellStyle="Comma"/>
    <tableColumn id="25" xr3:uid="{BD95F986-B575-45C9-B565-3F5A5D25B661}" name="2026 Final Budget" dataDxfId="70" dataCellStyle="Comma"/>
    <tableColumn id="26" xr3:uid="{FE8AB3AA-8105-4CAA-9C84-BF99E639D702}" name="2026 (Actuals + Forecast)" dataDxfId="69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68" dataCellStyle="Comma">
      <calculatedColumnFormula>IF(V2 &gt;= W2, V2 - W2, 0)*-1</calculatedColumnFormula>
    </tableColumn>
    <tableColumn id="28" xr3:uid="{3E8C9BC3-A36F-4429-ADF1-E2E31EDFB123}" name="2026 Risk" dataDxfId="67" dataCellStyle="Comma">
      <calculatedColumnFormula>IF(W2 &gt; V2, W2 - V2, 0)</calculatedColumnFormula>
    </tableColumn>
    <tableColumn id="16" xr3:uid="{A2223374-A086-4670-9148-44C5B80D2F38}" name="2026 Net Position" dataDxfId="66" dataCellStyle="Comma">
      <calculatedColumnFormula>SUM(Financials20263[[#This Row],[2026 Opportunity]:[2026 Risk]])</calculatedColumnFormula>
    </tableColumn>
    <tableColumn id="29" xr3:uid="{9340939D-B61A-4867-A6FB-35598984DFC3}" name="Notes" dataDxfId="65"/>
    <tableColumn id="31" xr3:uid="{CAB5AFB6-CA5B-483A-9BAF-5761679A373B}" name="Jan FC" dataDxfId="64" dataCellStyle="Comma"/>
    <tableColumn id="32" xr3:uid="{5E6FFDA7-DF5F-495F-BC8D-D67F03329023}" name="Feb FC" dataDxfId="63" dataCellStyle="Comma"/>
    <tableColumn id="33" xr3:uid="{5058D119-6F17-43D3-AEF2-4F273CEBA31A}" name="Mar FC" dataDxfId="62" dataCellStyle="Comma"/>
    <tableColumn id="34" xr3:uid="{A3AC516B-B770-430E-B148-E1D3D9567FAD}" name="Apr FC" dataDxfId="61" dataCellStyle="Comma"/>
    <tableColumn id="35" xr3:uid="{ECEA33AD-45C5-4E82-A009-017E85D7DB44}" name="May FC" dataDxfId="60" dataCellStyle="Comma"/>
    <tableColumn id="36" xr3:uid="{E9DB8B47-323F-434B-807B-8748ED61ED34}" name="Jun FC" dataDxfId="59" dataCellStyle="Comma"/>
    <tableColumn id="37" xr3:uid="{6374D5F8-607B-41C2-B794-601F25EB418D}" name="Jul FC" dataDxfId="58" dataCellStyle="Comma"/>
    <tableColumn id="38" xr3:uid="{B4C16149-C9F0-45EC-B182-FD3B8B7429E0}" name="Aug FC" dataDxfId="57" dataCellStyle="Comma"/>
    <tableColumn id="39" xr3:uid="{26B14811-E5F5-4106-A54B-40DE00366D76}" name="Sep FC" dataDxfId="56" dataCellStyle="Comma"/>
    <tableColumn id="40" xr3:uid="{9E952692-1BDD-4D56-A183-37BF4A11F526}" name="Oct FC" dataDxfId="55" dataCellStyle="Comma"/>
    <tableColumn id="41" xr3:uid="{A049F4C1-34D3-4A29-86A7-C671D5C6D98B}" name="Nov FC" dataDxfId="54" dataCellStyle="Comma"/>
    <tableColumn id="42" xr3:uid="{5705BE95-DF6B-473B-8FA4-9E4226201603}" name="Dec FC" dataDxfId="53" dataCellStyle="Comma"/>
    <tableColumn id="74" xr3:uid="{9D40B7D4-7BAE-4A98-8145-9A222ED326B8}" name="Total - FC" dataDxfId="52" dataCellStyle="Comma">
      <calculatedColumnFormula>SUM(Financials20263[[#This Row],[Jan FC]:[Dec FC]])</calculatedColumnFormula>
    </tableColumn>
    <tableColumn id="43" xr3:uid="{91FD6C06-93AB-414D-9B76-887643EEED96}" name="Jun-Dec FC" dataDxfId="51" dataCellStyle="Comma">
      <calculatedColumnFormula>SUM(AG2:AM2)</calculatedColumnFormula>
    </tableColumn>
    <tableColumn id="56" xr3:uid="{F69A83C4-B9A3-4262-A8CB-8CE81864D5FA}" name="Jan AC" dataDxfId="50" dataCellStyle="Comma"/>
    <tableColumn id="55" xr3:uid="{1E9D6300-4AD1-4261-A1FF-6366DF423E92}" name="Feb AC" dataDxfId="49" dataCellStyle="Comma"/>
    <tableColumn id="54" xr3:uid="{13FFF1FD-26A1-4FD6-97E8-9386AB4AC43C}" name="Mar AC" dataDxfId="48" dataCellStyle="Comma"/>
    <tableColumn id="53" xr3:uid="{4528A9EB-DCC4-4768-9C74-B00744D89F2E}" name="Apr AC" dataDxfId="47" dataCellStyle="Comma"/>
    <tableColumn id="52" xr3:uid="{09BBCE26-5305-4845-8E95-2938F78951A1}" name="May AC" dataDxfId="46" dataCellStyle="Comma"/>
    <tableColumn id="51" xr3:uid="{B53E3A5E-4C7A-47F6-98EF-98D0339ED7EF}" name="Jun AC" dataDxfId="45" dataCellStyle="Comma"/>
    <tableColumn id="50" xr3:uid="{1B3A42E1-1A4A-4F02-AB85-F321F9298327}" name="Jul AC" dataDxfId="44" dataCellStyle="Comma"/>
    <tableColumn id="49" xr3:uid="{DB3FF538-4DFF-4E76-A4ED-65067E509D32}" name="Aug AC" dataDxfId="43" dataCellStyle="Comma"/>
    <tableColumn id="48" xr3:uid="{7811DD89-220A-4A96-BB76-DDA3AB708625}" name="Sep AC" dataDxfId="42" dataCellStyle="Comma"/>
    <tableColumn id="47" xr3:uid="{A17FFA7D-49AE-4866-91BB-54ABF4DBC444}" name="Oct AC" dataDxfId="41" dataCellStyle="Comma"/>
    <tableColumn id="46" xr3:uid="{41435EA0-FEC7-48B7-855E-47C16BC64CF6}" name="Nov AC" dataDxfId="40" dataCellStyle="Comma"/>
    <tableColumn id="30" xr3:uid="{A2239101-D3EE-49BD-BE0C-6704F209BED4}" name="Dec AC" dataDxfId="39" dataCellStyle="Comma"/>
    <tableColumn id="75" xr3:uid="{C6B2B2DB-BFC6-4CA1-A44B-AB1642CA5DF4}" name="Total Actuals" dataDxfId="38" dataCellStyle="Comma">
      <calculatedColumnFormula>SUM(Financials20263[[#This Row],[Jan AC]:[Dec AC]])</calculatedColumnFormula>
    </tableColumn>
    <tableColumn id="58" xr3:uid="{C27E561F-EC4E-4A83-860E-89EDAFD8273C}" name="Jan Opp/Risk" dataDxfId="37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36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35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34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33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32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31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30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29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28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27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26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25" dataCellStyle="Comma">
      <calculatedColumnFormula>SUM(Financials20263[[#This Row],[Jan Opp/Risk]:[Dec Opp./Risk]])</calculatedColumnFormula>
    </tableColumn>
    <tableColumn id="45" xr3:uid="{40E9183E-CE83-4399-9E89-734953B2AD7E}" name="Notes - Swati" dataDxfId="24" dataCellStyle="Comma"/>
    <tableColumn id="57" xr3:uid="{71A027C0-CE0B-44F4-9BEA-44F1E025C29C}" name="Jan-May Actuals" dataDxfId="23" dataCellStyle="Comma">
      <calculatedColumnFormula>SUM(Financials20263[[#This Row],[Jan AC]:[May AC]])</calculatedColumnFormula>
    </tableColumn>
    <tableColumn id="8" xr3:uid="{A4CDF58C-06B8-490E-851A-3E8597DB1ABC}" name="Jan-May Forecast " dataDxfId="22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21">
      <calculatedColumnFormula>Financials20263[[#This Row],[Jun-Dec FC]]+Financials20263[[#This Row],[Jan-May Forecast ]]</calculatedColumnFormula>
    </tableColumn>
    <tableColumn id="44" xr3:uid="{A205C803-FAD6-4776-8381-5DC72A34682B}" name="Forecast Jan-May" dataDxfId="20">
      <calculatedColumnFormula>SUM(Financials20263[[#This Row],[Jan FC]:[May FC]])</calculatedColumnFormula>
    </tableColumn>
    <tableColumn id="70" xr3:uid="{DAAE9D59-198D-4744-9647-FCD523ED7658}" name="Actual+Forecast" dataDxfId="19">
      <calculatedColumnFormula>Financials20263[[#This Row],[Jan-May Actuals]]+Financials20263[[#This Row],[Forecast Jun-Dec]]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topLeftCell="B1" workbookViewId="0">
      <selection activeCell="D6" sqref="D6"/>
    </sheetView>
  </sheetViews>
  <sheetFormatPr defaultRowHeight="14.5" x14ac:dyDescent="0.35"/>
  <cols>
    <col min="1" max="1" width="14.54296875" bestFit="1" customWidth="1"/>
    <col min="2" max="2" width="21.90625" bestFit="1" customWidth="1"/>
    <col min="3" max="3" width="28.1796875" bestFit="1" customWidth="1"/>
    <col min="4" max="4" width="15" bestFit="1" customWidth="1"/>
    <col min="5" max="5" width="21.6328125" bestFit="1" customWidth="1"/>
    <col min="6" max="6" width="21.81640625" bestFit="1" customWidth="1"/>
    <col min="7" max="7" width="4.1796875" customWidth="1"/>
    <col min="8" max="8" width="4.453125" customWidth="1"/>
    <col min="9" max="9" width="3.81640625" customWidth="1"/>
    <col min="10" max="10" width="25.6328125" bestFit="1" customWidth="1"/>
  </cols>
  <sheetData>
    <row r="1" spans="1:10" x14ac:dyDescent="0.35">
      <c r="A1" s="8" t="s">
        <v>42</v>
      </c>
      <c r="B1" t="s">
        <v>43</v>
      </c>
      <c r="C1" s="168" t="s">
        <v>552</v>
      </c>
      <c r="D1" s="168"/>
      <c r="E1" s="168"/>
      <c r="F1" s="168"/>
      <c r="J1" s="19" t="s">
        <v>39</v>
      </c>
    </row>
    <row r="2" spans="1:10" x14ac:dyDescent="0.35">
      <c r="C2" s="168"/>
      <c r="D2" s="168"/>
      <c r="E2" s="168"/>
      <c r="F2" s="168"/>
      <c r="J2" s="20">
        <v>44788398</v>
      </c>
    </row>
    <row r="3" spans="1:10" x14ac:dyDescent="0.35">
      <c r="A3" s="8" t="s">
        <v>88</v>
      </c>
      <c r="B3" s="16" t="s">
        <v>0</v>
      </c>
      <c r="C3" t="s">
        <v>837</v>
      </c>
      <c r="D3" s="16" t="s">
        <v>44</v>
      </c>
      <c r="E3" s="16" t="s">
        <v>45</v>
      </c>
      <c r="F3" s="16" t="s">
        <v>494</v>
      </c>
      <c r="J3" s="158">
        <f>GETPIVOTDATA("Sum of 2026 Final Budget",$A$3)-J2</f>
        <v>-4.385000467300415E-2</v>
      </c>
    </row>
    <row r="4" spans="1:10" x14ac:dyDescent="0.35">
      <c r="A4" s="9" t="s">
        <v>2</v>
      </c>
      <c r="B4" s="6">
        <v>4476496</v>
      </c>
      <c r="C4" s="6">
        <v>2438896</v>
      </c>
      <c r="D4" s="6">
        <v>129900</v>
      </c>
      <c r="E4" s="6">
        <v>-2167500</v>
      </c>
      <c r="F4" s="6">
        <v>-2037600</v>
      </c>
      <c r="J4" s="45"/>
    </row>
    <row r="5" spans="1:10" x14ac:dyDescent="0.35">
      <c r="A5" s="9" t="s">
        <v>3</v>
      </c>
      <c r="B5" s="6">
        <v>116236</v>
      </c>
      <c r="C5" s="6">
        <v>202630.40333333332</v>
      </c>
      <c r="D5" s="6">
        <v>95698.55</v>
      </c>
      <c r="E5" s="6">
        <v>-9304.1466666666638</v>
      </c>
      <c r="F5" s="6">
        <v>86394.403333333335</v>
      </c>
    </row>
    <row r="6" spans="1:10" x14ac:dyDescent="0.35">
      <c r="A6" s="9" t="s">
        <v>4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5">
      <c r="A7" s="9" t="s">
        <v>46</v>
      </c>
      <c r="B7" s="6">
        <v>6671840</v>
      </c>
      <c r="C7" s="6">
        <v>8547695.9199999999</v>
      </c>
      <c r="D7" s="6">
        <v>2742391.92</v>
      </c>
      <c r="E7" s="6">
        <v>-866536</v>
      </c>
      <c r="F7" s="6">
        <v>1875855.92</v>
      </c>
    </row>
    <row r="8" spans="1:10" x14ac:dyDescent="0.35">
      <c r="A8" s="9" t="s">
        <v>5</v>
      </c>
      <c r="B8" s="6">
        <v>2751491.34</v>
      </c>
      <c r="C8" s="6">
        <v>3003362.81</v>
      </c>
      <c r="D8" s="6">
        <v>333587</v>
      </c>
      <c r="E8" s="6">
        <v>-81715.53</v>
      </c>
      <c r="F8" s="6">
        <v>251871.47</v>
      </c>
    </row>
    <row r="9" spans="1:10" x14ac:dyDescent="0.35">
      <c r="A9" s="9" t="s">
        <v>6</v>
      </c>
      <c r="B9" s="6">
        <v>2031290</v>
      </c>
      <c r="C9" s="6">
        <v>2193287.2200000002</v>
      </c>
      <c r="D9" s="6">
        <v>214218.31000000032</v>
      </c>
      <c r="E9" s="6">
        <v>-52221.090000000026</v>
      </c>
      <c r="F9" s="6">
        <v>161997.22000000029</v>
      </c>
    </row>
    <row r="10" spans="1:10" x14ac:dyDescent="0.35">
      <c r="A10" s="9" t="s">
        <v>7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5">
      <c r="A11" s="9" t="s">
        <v>8</v>
      </c>
      <c r="B11" s="6">
        <v>44788397.956149995</v>
      </c>
      <c r="C11" s="6">
        <v>46176017.13356667</v>
      </c>
      <c r="D11" s="6">
        <v>5021141.0375666665</v>
      </c>
      <c r="E11" s="6">
        <v>-3633521.8601499987</v>
      </c>
      <c r="F11" s="6">
        <v>1387619.1774166664</v>
      </c>
    </row>
    <row r="13" spans="1:10" hidden="1" x14ac:dyDescent="0.35">
      <c r="A13" s="8" t="s">
        <v>42</v>
      </c>
      <c r="B13" t="s">
        <v>43</v>
      </c>
      <c r="E13" s="6"/>
      <c r="F13" s="6"/>
    </row>
    <row r="14" spans="1:10" hidden="1" x14ac:dyDescent="0.35">
      <c r="A14" s="8" t="s">
        <v>47</v>
      </c>
      <c r="B14" t="s">
        <v>43</v>
      </c>
    </row>
    <row r="15" spans="1:10" hidden="1" x14ac:dyDescent="0.35"/>
    <row r="16" spans="1:10" hidden="1" x14ac:dyDescent="0.35">
      <c r="A16" s="8" t="s">
        <v>1</v>
      </c>
      <c r="B16" t="s">
        <v>44</v>
      </c>
      <c r="C16" t="s">
        <v>45</v>
      </c>
      <c r="D16" t="s">
        <v>0</v>
      </c>
    </row>
    <row r="17" spans="1:6" hidden="1" x14ac:dyDescent="0.35">
      <c r="A17" s="9" t="s">
        <v>48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5">
      <c r="A18" s="9" t="s">
        <v>49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5">
      <c r="A19" s="9" t="s">
        <v>50</v>
      </c>
      <c r="B19" s="6">
        <v>1087555.4199999985</v>
      </c>
      <c r="C19" s="6">
        <v>-1280770.97</v>
      </c>
      <c r="D19" s="6">
        <v>13152468.5</v>
      </c>
    </row>
    <row r="20" spans="1:6" hidden="1" x14ac:dyDescent="0.35">
      <c r="A20" s="9" t="s">
        <v>51</v>
      </c>
      <c r="B20" s="6">
        <v>247000.3</v>
      </c>
      <c r="C20" s="6">
        <v>-405360</v>
      </c>
      <c r="D20" s="6">
        <v>1752990.7</v>
      </c>
    </row>
    <row r="21" spans="1:6" hidden="1" x14ac:dyDescent="0.35">
      <c r="A21" s="9" t="s">
        <v>52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5">
      <c r="A22" s="9" t="s">
        <v>53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5">
      <c r="A23" s="9" t="s">
        <v>421</v>
      </c>
      <c r="B23" s="6">
        <v>32669.254166666651</v>
      </c>
      <c r="C23" s="6">
        <v>0</v>
      </c>
      <c r="D23" s="6">
        <v>1244018</v>
      </c>
    </row>
    <row r="24" spans="1:6" hidden="1" x14ac:dyDescent="0.35">
      <c r="A24" s="9" t="s">
        <v>8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5">
      <c r="A25" s="104" t="s">
        <v>524</v>
      </c>
      <c r="B25" s="105">
        <f>B11/1000000</f>
        <v>44.788397956149993</v>
      </c>
      <c r="C25" s="106">
        <f t="shared" ref="C25:F25" si="0">C11/1000000</f>
        <v>46.176017133566667</v>
      </c>
      <c r="D25" s="106">
        <f t="shared" si="0"/>
        <v>5.0211410375666663</v>
      </c>
      <c r="E25" s="106">
        <f t="shared" si="0"/>
        <v>-3.6335218601499988</v>
      </c>
      <c r="F25" s="106">
        <f t="shared" si="0"/>
        <v>1.3876191774166664</v>
      </c>
    </row>
    <row r="26" spans="1:6" x14ac:dyDescent="0.35">
      <c r="B26" s="43"/>
      <c r="C26" s="43"/>
      <c r="D26" s="43"/>
      <c r="E26" s="43"/>
      <c r="F26" s="43"/>
    </row>
    <row r="27" spans="1:6" x14ac:dyDescent="0.35">
      <c r="A27" s="8" t="s">
        <v>42</v>
      </c>
      <c r="B27" t="s">
        <v>43</v>
      </c>
      <c r="C27" s="169" t="s">
        <v>553</v>
      </c>
      <c r="D27" s="169"/>
      <c r="E27" s="169"/>
    </row>
    <row r="28" spans="1:6" x14ac:dyDescent="0.35">
      <c r="C28" s="169"/>
      <c r="D28" s="169"/>
      <c r="E28" s="169"/>
    </row>
    <row r="29" spans="1:6" x14ac:dyDescent="0.35">
      <c r="C29" s="8" t="s">
        <v>501</v>
      </c>
    </row>
    <row r="30" spans="1:6" x14ac:dyDescent="0.35">
      <c r="A30" s="107" t="s">
        <v>54</v>
      </c>
      <c r="B30" s="107" t="s">
        <v>47</v>
      </c>
      <c r="C30" s="108" t="s">
        <v>0</v>
      </c>
      <c r="D30" s="108" t="s">
        <v>551</v>
      </c>
      <c r="E30" s="109" t="s">
        <v>494</v>
      </c>
    </row>
    <row r="31" spans="1:6" x14ac:dyDescent="0.35">
      <c r="A31" t="s">
        <v>48</v>
      </c>
      <c r="C31" s="101">
        <v>10007813.59715</v>
      </c>
      <c r="D31" s="101">
        <v>4686268.564166666</v>
      </c>
      <c r="E31" s="101">
        <v>1235297.1128499999</v>
      </c>
    </row>
    <row r="32" spans="1:6" x14ac:dyDescent="0.35">
      <c r="A32" t="s">
        <v>49</v>
      </c>
      <c r="C32" s="101">
        <v>14217853.790000001</v>
      </c>
      <c r="D32" s="101">
        <v>6124673.5034000017</v>
      </c>
      <c r="E32" s="101">
        <v>-248140.62559999933</v>
      </c>
    </row>
    <row r="33" spans="1:5" x14ac:dyDescent="0.35">
      <c r="A33" t="s">
        <v>50</v>
      </c>
      <c r="C33" s="101">
        <v>13152468.5</v>
      </c>
      <c r="D33" s="101">
        <v>9333571.629999999</v>
      </c>
      <c r="E33" s="101">
        <v>-193215.55000000173</v>
      </c>
    </row>
    <row r="34" spans="1:5" x14ac:dyDescent="0.35">
      <c r="A34" t="s">
        <v>51</v>
      </c>
      <c r="C34" s="101">
        <v>1752990.7</v>
      </c>
      <c r="D34" s="101">
        <v>415826.75</v>
      </c>
      <c r="E34" s="101">
        <v>-158359.70000000001</v>
      </c>
    </row>
    <row r="35" spans="1:5" x14ac:dyDescent="0.35">
      <c r="A35" t="s">
        <v>52</v>
      </c>
      <c r="C35" s="101">
        <v>1785617.7549999999</v>
      </c>
      <c r="D35" s="101">
        <v>915338.64000000013</v>
      </c>
      <c r="E35" s="101">
        <v>27342.401666666628</v>
      </c>
    </row>
    <row r="36" spans="1:5" x14ac:dyDescent="0.35">
      <c r="A36" t="s">
        <v>53</v>
      </c>
      <c r="C36" s="101">
        <v>2627635.6140000001</v>
      </c>
      <c r="D36" s="101">
        <v>918595.95000000007</v>
      </c>
      <c r="E36" s="101">
        <v>-192832.29933333327</v>
      </c>
    </row>
    <row r="37" spans="1:5" x14ac:dyDescent="0.35">
      <c r="A37" t="s">
        <v>8</v>
      </c>
      <c r="C37" s="101">
        <v>43544379.95615001</v>
      </c>
      <c r="D37" s="101">
        <v>22394275.037566666</v>
      </c>
      <c r="E37" s="101">
        <v>470091.33958333218</v>
      </c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76273-67DD-45EA-B580-834D9FB1CC30}">
  <sheetPr>
    <tabColor theme="9" tint="0.79998168889431442"/>
  </sheetPr>
  <dimension ref="A1:N147"/>
  <sheetViews>
    <sheetView zoomScaleNormal="100" workbookViewId="0">
      <selection activeCell="E3" sqref="E3"/>
    </sheetView>
  </sheetViews>
  <sheetFormatPr defaultRowHeight="14.5" outlineLevelRow="2" x14ac:dyDescent="0.35"/>
  <cols>
    <col min="1" max="1" width="16.90625" bestFit="1" customWidth="1"/>
    <col min="2" max="2" width="20.6328125" bestFit="1" customWidth="1"/>
    <col min="3" max="3" width="35.90625" hidden="1" customWidth="1"/>
    <col min="4" max="4" width="27.1796875" customWidth="1"/>
    <col min="5" max="5" width="21.90625" customWidth="1"/>
    <col min="6" max="6" width="22.08984375" customWidth="1"/>
    <col min="7" max="7" width="26.1796875" customWidth="1"/>
    <col min="8" max="8" width="23.6328125" customWidth="1"/>
    <col min="9" max="9" width="21.81640625" bestFit="1" customWidth="1"/>
    <col min="10" max="10" width="77.36328125" style="109" hidden="1" customWidth="1"/>
    <col min="11" max="11" width="97.6328125" style="109" customWidth="1"/>
    <col min="12" max="12" width="22.453125" style="108" customWidth="1"/>
  </cols>
  <sheetData>
    <row r="1" spans="1:12" x14ac:dyDescent="0.35">
      <c r="A1" s="113" t="s">
        <v>558</v>
      </c>
      <c r="B1" s="113" t="s">
        <v>54</v>
      </c>
      <c r="C1" s="113" t="s">
        <v>559</v>
      </c>
      <c r="D1" s="113" t="s">
        <v>55</v>
      </c>
      <c r="E1" s="113" t="s">
        <v>97</v>
      </c>
      <c r="F1" s="113" t="s">
        <v>560</v>
      </c>
      <c r="G1" s="113" t="s">
        <v>561</v>
      </c>
      <c r="H1" s="113" t="s">
        <v>562</v>
      </c>
      <c r="I1" s="113" t="s">
        <v>476</v>
      </c>
      <c r="J1" s="114" t="s">
        <v>563</v>
      </c>
      <c r="K1" s="114" t="s">
        <v>564</v>
      </c>
      <c r="L1" s="114" t="s">
        <v>565</v>
      </c>
    </row>
    <row r="2" spans="1:12" ht="29" hidden="1" outlineLevel="2" x14ac:dyDescent="0.35">
      <c r="A2" s="115" t="s">
        <v>2</v>
      </c>
      <c r="B2" s="115" t="s">
        <v>48</v>
      </c>
      <c r="C2" s="115" t="s">
        <v>211</v>
      </c>
      <c r="D2" s="115" t="s">
        <v>181</v>
      </c>
      <c r="E2" s="116">
        <v>250000</v>
      </c>
      <c r="F2" s="116">
        <v>0</v>
      </c>
      <c r="G2" s="116">
        <v>0</v>
      </c>
      <c r="H2" s="116">
        <v>152500</v>
      </c>
      <c r="I2" s="116">
        <v>-97500</v>
      </c>
      <c r="J2" s="117" t="s">
        <v>566</v>
      </c>
      <c r="K2" s="117" t="s">
        <v>567</v>
      </c>
      <c r="L2" s="118" t="s">
        <v>158</v>
      </c>
    </row>
    <row r="3" spans="1:12" ht="72.5" hidden="1" outlineLevel="2" x14ac:dyDescent="0.35">
      <c r="A3" s="115" t="s">
        <v>2</v>
      </c>
      <c r="B3" s="115" t="s">
        <v>48</v>
      </c>
      <c r="C3" s="115" t="s">
        <v>211</v>
      </c>
      <c r="D3" s="115" t="s">
        <v>208</v>
      </c>
      <c r="E3" s="116">
        <v>2444000</v>
      </c>
      <c r="F3" s="116">
        <v>480000</v>
      </c>
      <c r="G3" s="116">
        <v>480000</v>
      </c>
      <c r="H3" s="116">
        <v>1080000</v>
      </c>
      <c r="I3" s="116">
        <v>-884000</v>
      </c>
      <c r="J3" s="117" t="s">
        <v>569</v>
      </c>
      <c r="K3" s="117" t="s">
        <v>570</v>
      </c>
      <c r="L3" s="118" t="s">
        <v>568</v>
      </c>
    </row>
    <row r="4" spans="1:12" ht="58" hidden="1" outlineLevel="1" x14ac:dyDescent="0.35">
      <c r="A4" s="119" t="s">
        <v>2</v>
      </c>
      <c r="B4" s="119" t="s">
        <v>495</v>
      </c>
      <c r="C4" s="115" t="s">
        <v>211</v>
      </c>
      <c r="D4" s="119"/>
      <c r="E4" s="120">
        <f>SUM(E2:E3)</f>
        <v>2694000</v>
      </c>
      <c r="F4" s="120">
        <f>SUM(F2:F3)</f>
        <v>480000</v>
      </c>
      <c r="G4" s="120">
        <f>SUM(G2:G3)</f>
        <v>480000</v>
      </c>
      <c r="H4" s="120">
        <f>SUM(H2:H3)</f>
        <v>1232500</v>
      </c>
      <c r="I4" s="120">
        <f>SUM(I2:I3)</f>
        <v>-981500</v>
      </c>
      <c r="J4" s="117" t="s">
        <v>571</v>
      </c>
      <c r="K4" s="117" t="s">
        <v>572</v>
      </c>
      <c r="L4" s="118" t="s">
        <v>568</v>
      </c>
    </row>
    <row r="5" spans="1:12" ht="29" hidden="1" outlineLevel="2" x14ac:dyDescent="0.35">
      <c r="A5" s="115" t="s">
        <v>2</v>
      </c>
      <c r="B5" s="115" t="s">
        <v>50</v>
      </c>
      <c r="C5" s="115" t="s">
        <v>573</v>
      </c>
      <c r="D5" s="115" t="s">
        <v>400</v>
      </c>
      <c r="E5" s="116">
        <v>250000</v>
      </c>
      <c r="F5" s="116">
        <v>0</v>
      </c>
      <c r="G5" s="116">
        <v>0</v>
      </c>
      <c r="H5" s="116">
        <v>250000</v>
      </c>
      <c r="I5" s="116">
        <v>0</v>
      </c>
      <c r="J5" s="121" t="s">
        <v>574</v>
      </c>
      <c r="K5" s="121" t="s">
        <v>575</v>
      </c>
      <c r="L5" s="122" t="s">
        <v>576</v>
      </c>
    </row>
    <row r="6" spans="1:12" ht="29" hidden="1" outlineLevel="2" x14ac:dyDescent="0.35">
      <c r="A6" s="115" t="s">
        <v>2</v>
      </c>
      <c r="B6" s="115" t="s">
        <v>50</v>
      </c>
      <c r="C6" s="115" t="s">
        <v>573</v>
      </c>
      <c r="D6" s="115" t="s">
        <v>56</v>
      </c>
      <c r="E6" s="116">
        <v>50000</v>
      </c>
      <c r="F6" s="116">
        <v>0</v>
      </c>
      <c r="G6" s="116">
        <v>0</v>
      </c>
      <c r="H6" s="116">
        <v>50000</v>
      </c>
      <c r="I6" s="116">
        <v>0</v>
      </c>
      <c r="J6" s="121" t="s">
        <v>577</v>
      </c>
      <c r="K6" s="121" t="s">
        <v>578</v>
      </c>
      <c r="L6" s="122" t="s">
        <v>576</v>
      </c>
    </row>
    <row r="7" spans="1:12" ht="29" hidden="1" outlineLevel="2" x14ac:dyDescent="0.35">
      <c r="A7" s="115" t="s">
        <v>2</v>
      </c>
      <c r="B7" s="115" t="s">
        <v>50</v>
      </c>
      <c r="C7" s="115" t="s">
        <v>573</v>
      </c>
      <c r="D7" s="115" t="s">
        <v>334</v>
      </c>
      <c r="E7" s="116">
        <v>1350000</v>
      </c>
      <c r="F7" s="116">
        <v>100000</v>
      </c>
      <c r="G7" s="116">
        <v>0</v>
      </c>
      <c r="H7" s="116">
        <v>1020000</v>
      </c>
      <c r="I7" s="116">
        <v>-330000</v>
      </c>
      <c r="J7" s="117" t="s">
        <v>579</v>
      </c>
      <c r="K7" s="117" t="s">
        <v>580</v>
      </c>
      <c r="L7" s="118" t="s">
        <v>568</v>
      </c>
    </row>
    <row r="8" spans="1:12" ht="29" hidden="1" outlineLevel="1" x14ac:dyDescent="0.35">
      <c r="A8" s="119" t="s">
        <v>2</v>
      </c>
      <c r="B8" s="119" t="s">
        <v>497</v>
      </c>
      <c r="C8" s="115" t="s">
        <v>573</v>
      </c>
      <c r="D8" s="119"/>
      <c r="E8" s="120">
        <f>SUM(E5:E7)</f>
        <v>1650000</v>
      </c>
      <c r="F8" s="120">
        <f>SUM(F5:F7)</f>
        <v>100000</v>
      </c>
      <c r="G8" s="120">
        <f>SUM(G5:G7)</f>
        <v>0</v>
      </c>
      <c r="H8" s="120">
        <f>SUM(H5:H7)</f>
        <v>1320000</v>
      </c>
      <c r="I8" s="120">
        <f>SUM(I5:I7)</f>
        <v>-330000</v>
      </c>
      <c r="J8" s="117" t="s">
        <v>581</v>
      </c>
      <c r="K8" s="117" t="s">
        <v>582</v>
      </c>
      <c r="L8" s="118" t="s">
        <v>568</v>
      </c>
    </row>
    <row r="9" spans="1:12" ht="29" hidden="1" outlineLevel="2" x14ac:dyDescent="0.35">
      <c r="A9" s="115" t="s">
        <v>2</v>
      </c>
      <c r="B9" s="115" t="s">
        <v>51</v>
      </c>
      <c r="C9" s="115" t="s">
        <v>168</v>
      </c>
      <c r="D9" s="115" t="s">
        <v>181</v>
      </c>
      <c r="E9" s="116">
        <v>250000</v>
      </c>
      <c r="F9" s="116">
        <v>20833.333333333299</v>
      </c>
      <c r="G9" s="116">
        <v>0</v>
      </c>
      <c r="H9" s="116">
        <v>208333.33333333299</v>
      </c>
      <c r="I9" s="116">
        <v>-41666.666666666701</v>
      </c>
      <c r="J9" s="117" t="s">
        <v>583</v>
      </c>
      <c r="K9" s="117" t="s">
        <v>584</v>
      </c>
      <c r="L9" s="118" t="s">
        <v>158</v>
      </c>
    </row>
    <row r="10" spans="1:12" ht="29" hidden="1" outlineLevel="1" x14ac:dyDescent="0.35">
      <c r="A10" s="119" t="s">
        <v>2</v>
      </c>
      <c r="B10" s="119" t="s">
        <v>498</v>
      </c>
      <c r="C10" s="115" t="s">
        <v>168</v>
      </c>
      <c r="D10" s="119"/>
      <c r="E10" s="120">
        <f>SUM(E9:E9)</f>
        <v>250000</v>
      </c>
      <c r="F10" s="120">
        <f>SUM(F9:F9)</f>
        <v>20833.333333333299</v>
      </c>
      <c r="G10" s="120">
        <f>SUM(G9:G9)</f>
        <v>0</v>
      </c>
      <c r="H10" s="120">
        <f>SUM(H9:H9)</f>
        <v>208333.33333333299</v>
      </c>
      <c r="I10" s="120">
        <f>SUM(I9:I9)</f>
        <v>-41666.666666666701</v>
      </c>
      <c r="J10" s="117" t="s">
        <v>585</v>
      </c>
      <c r="K10" s="117" t="s">
        <v>586</v>
      </c>
      <c r="L10" s="118" t="s">
        <v>568</v>
      </c>
    </row>
    <row r="11" spans="1:12" ht="29" hidden="1" outlineLevel="2" x14ac:dyDescent="0.35">
      <c r="A11" s="115" t="s">
        <v>2</v>
      </c>
      <c r="B11" s="115" t="s">
        <v>53</v>
      </c>
      <c r="C11" s="115" t="s">
        <v>587</v>
      </c>
      <c r="D11" s="115" t="s">
        <v>400</v>
      </c>
      <c r="E11" s="116">
        <v>12896</v>
      </c>
      <c r="F11" s="116">
        <v>0</v>
      </c>
      <c r="G11" s="116">
        <v>0</v>
      </c>
      <c r="H11" s="116">
        <v>12896</v>
      </c>
      <c r="I11" s="116">
        <v>0</v>
      </c>
      <c r="J11" s="121" t="s">
        <v>588</v>
      </c>
      <c r="K11" s="121" t="s">
        <v>589</v>
      </c>
      <c r="L11" s="122" t="s">
        <v>576</v>
      </c>
    </row>
    <row r="12" spans="1:12" ht="29" hidden="1" outlineLevel="2" x14ac:dyDescent="0.35">
      <c r="A12" s="115" t="s">
        <v>2</v>
      </c>
      <c r="B12" s="115" t="s">
        <v>53</v>
      </c>
      <c r="C12" s="115" t="s">
        <v>587</v>
      </c>
      <c r="D12" s="115" t="s">
        <v>181</v>
      </c>
      <c r="E12" s="116">
        <v>100000</v>
      </c>
      <c r="F12" s="116">
        <v>0</v>
      </c>
      <c r="G12" s="116">
        <v>0</v>
      </c>
      <c r="H12" s="116">
        <v>100000</v>
      </c>
      <c r="I12" s="116">
        <v>0</v>
      </c>
      <c r="J12" s="121" t="s">
        <v>590</v>
      </c>
      <c r="K12" s="121" t="s">
        <v>591</v>
      </c>
      <c r="L12" s="122" t="s">
        <v>576</v>
      </c>
    </row>
    <row r="13" spans="1:12" ht="29" hidden="1" outlineLevel="1" x14ac:dyDescent="0.35">
      <c r="A13" s="119" t="s">
        <v>2</v>
      </c>
      <c r="B13" s="119" t="s">
        <v>500</v>
      </c>
      <c r="C13" s="115" t="s">
        <v>587</v>
      </c>
      <c r="D13" s="119"/>
      <c r="E13" s="120">
        <f>SUM(E11:E12)</f>
        <v>112896</v>
      </c>
      <c r="F13" s="120">
        <f>SUM(F11:F12)</f>
        <v>0</v>
      </c>
      <c r="G13" s="120">
        <f>SUM(G11:G12)</f>
        <v>0</v>
      </c>
      <c r="H13" s="120">
        <f>SUM(H11:H12)</f>
        <v>112896</v>
      </c>
      <c r="I13" s="120">
        <f>SUM(I11:I12)</f>
        <v>0</v>
      </c>
      <c r="J13" s="121" t="s">
        <v>592</v>
      </c>
      <c r="K13" s="121" t="s">
        <v>593</v>
      </c>
      <c r="L13" s="122" t="s">
        <v>576</v>
      </c>
    </row>
    <row r="14" spans="1:12" ht="58" collapsed="1" x14ac:dyDescent="0.35">
      <c r="A14" s="119" t="s">
        <v>594</v>
      </c>
      <c r="B14" s="119"/>
      <c r="C14" s="119"/>
      <c r="D14" s="119"/>
      <c r="E14" s="120">
        <f>SUM(E4,E8,E10,E13)</f>
        <v>4706896</v>
      </c>
      <c r="F14" s="120">
        <f>SUM(F4,F8,F10,F13)</f>
        <v>600833.33333333326</v>
      </c>
      <c r="G14" s="120">
        <f>SUM(G4,G8,G10,G13)</f>
        <v>480000</v>
      </c>
      <c r="H14" s="120">
        <f>SUM(H4,H8,H10,H13)</f>
        <v>2873729.333333333</v>
      </c>
      <c r="I14" s="120">
        <f>SUM(I4,I8,I10,I13)</f>
        <v>-1353166.6666666667</v>
      </c>
      <c r="J14" s="117" t="s">
        <v>595</v>
      </c>
      <c r="K14" s="117" t="s">
        <v>596</v>
      </c>
      <c r="L14" s="118" t="s">
        <v>568</v>
      </c>
    </row>
    <row r="15" spans="1:12" ht="29" hidden="1" outlineLevel="2" x14ac:dyDescent="0.35">
      <c r="A15" s="115" t="s">
        <v>3</v>
      </c>
      <c r="B15" s="115" t="s">
        <v>48</v>
      </c>
      <c r="C15" s="115" t="s">
        <v>211</v>
      </c>
      <c r="D15" s="115" t="s">
        <v>70</v>
      </c>
      <c r="E15" s="116">
        <v>81590</v>
      </c>
      <c r="F15" s="116">
        <v>20397.5</v>
      </c>
      <c r="G15" s="116">
        <v>5114.71</v>
      </c>
      <c r="H15" s="116">
        <v>76475.289999999994</v>
      </c>
      <c r="I15" s="116">
        <v>-15282.79</v>
      </c>
      <c r="J15" s="117" t="s">
        <v>597</v>
      </c>
      <c r="K15" s="117" t="s">
        <v>598</v>
      </c>
      <c r="L15" s="118" t="s">
        <v>568</v>
      </c>
    </row>
    <row r="16" spans="1:12" ht="29" hidden="1" outlineLevel="1" x14ac:dyDescent="0.35">
      <c r="A16" s="119" t="s">
        <v>3</v>
      </c>
      <c r="B16" s="119" t="s">
        <v>495</v>
      </c>
      <c r="C16" s="115" t="s">
        <v>211</v>
      </c>
      <c r="D16" s="119"/>
      <c r="E16" s="120">
        <f>SUM(E15:E15)</f>
        <v>81590</v>
      </c>
      <c r="F16" s="120">
        <f>SUM(F15:F15)</f>
        <v>20397.5</v>
      </c>
      <c r="G16" s="120">
        <f>SUM(G15:G15)</f>
        <v>5114.71</v>
      </c>
      <c r="H16" s="120">
        <f>SUM(H15:H15)</f>
        <v>76475.289999999994</v>
      </c>
      <c r="I16" s="120">
        <f>SUM(I15:I15)</f>
        <v>-15282.79</v>
      </c>
      <c r="J16" s="117" t="s">
        <v>599</v>
      </c>
      <c r="K16" s="117" t="s">
        <v>600</v>
      </c>
      <c r="L16" s="118" t="s">
        <v>568</v>
      </c>
    </row>
    <row r="17" spans="1:13" ht="43.5" hidden="1" outlineLevel="2" x14ac:dyDescent="0.35">
      <c r="A17" s="115" t="s">
        <v>3</v>
      </c>
      <c r="B17" s="115" t="s">
        <v>49</v>
      </c>
      <c r="C17" s="115" t="s">
        <v>104</v>
      </c>
      <c r="D17" s="115" t="s">
        <v>57</v>
      </c>
      <c r="E17" s="116">
        <v>34646</v>
      </c>
      <c r="F17" s="116">
        <v>8661.5</v>
      </c>
      <c r="G17" s="116">
        <v>1463.5</v>
      </c>
      <c r="H17" s="116">
        <v>108182.5</v>
      </c>
      <c r="I17" s="116">
        <v>67802</v>
      </c>
      <c r="J17" s="123" t="s">
        <v>601</v>
      </c>
      <c r="K17" s="123" t="s">
        <v>602</v>
      </c>
      <c r="L17" s="122" t="s">
        <v>41</v>
      </c>
      <c r="M17" s="124"/>
    </row>
    <row r="18" spans="1:13" ht="29" hidden="1" outlineLevel="2" x14ac:dyDescent="0.35">
      <c r="A18" s="115" t="s">
        <v>3</v>
      </c>
      <c r="B18" s="115" t="s">
        <v>49</v>
      </c>
      <c r="C18" s="115" t="s">
        <v>104</v>
      </c>
      <c r="D18" s="115" t="s">
        <v>70</v>
      </c>
      <c r="E18" s="116">
        <v>0</v>
      </c>
      <c r="F18" s="116">
        <v>0</v>
      </c>
      <c r="G18" s="116">
        <v>6769.53</v>
      </c>
      <c r="H18" s="116">
        <v>-6769.53</v>
      </c>
      <c r="I18" s="116">
        <v>6769.53</v>
      </c>
      <c r="J18" s="123" t="s">
        <v>603</v>
      </c>
      <c r="K18" s="123" t="s">
        <v>604</v>
      </c>
      <c r="L18" s="122" t="s">
        <v>41</v>
      </c>
    </row>
    <row r="19" spans="1:13" ht="58" hidden="1" outlineLevel="1" x14ac:dyDescent="0.35">
      <c r="A19" s="119" t="s">
        <v>3</v>
      </c>
      <c r="B19" s="119" t="s">
        <v>496</v>
      </c>
      <c r="C19" s="115" t="s">
        <v>104</v>
      </c>
      <c r="D19" s="119"/>
      <c r="E19" s="120">
        <f>SUM(E17:E18)</f>
        <v>34646</v>
      </c>
      <c r="F19" s="120">
        <f>SUM(F17:F18)</f>
        <v>8661.5</v>
      </c>
      <c r="G19" s="120">
        <f>SUM(G17:G18)</f>
        <v>8233.0299999999988</v>
      </c>
      <c r="H19" s="120">
        <f>SUM(H17:H18)</f>
        <v>101412.97</v>
      </c>
      <c r="I19" s="120">
        <f>SUM(I17:I18)</f>
        <v>74571.53</v>
      </c>
      <c r="J19" s="123" t="s">
        <v>605</v>
      </c>
      <c r="K19" s="123" t="s">
        <v>606</v>
      </c>
      <c r="L19" s="122" t="s">
        <v>41</v>
      </c>
    </row>
    <row r="20" spans="1:13" ht="58" collapsed="1" x14ac:dyDescent="0.35">
      <c r="A20" s="119" t="s">
        <v>607</v>
      </c>
      <c r="B20" s="119"/>
      <c r="C20" s="119"/>
      <c r="D20" s="119"/>
      <c r="E20" s="120">
        <f>SUM(E16,E19)</f>
        <v>116236</v>
      </c>
      <c r="F20" s="120">
        <f>SUM(F16,F19)</f>
        <v>29059</v>
      </c>
      <c r="G20" s="120">
        <f>SUM(G16,G19)</f>
        <v>13347.739999999998</v>
      </c>
      <c r="H20" s="120">
        <f>SUM(H16,H19)</f>
        <v>177888.26</v>
      </c>
      <c r="I20" s="120">
        <f>SUM(I16,I19)</f>
        <v>59288.74</v>
      </c>
      <c r="J20" s="123" t="s">
        <v>608</v>
      </c>
      <c r="K20" s="123" t="s">
        <v>609</v>
      </c>
      <c r="L20" s="122" t="s">
        <v>41</v>
      </c>
    </row>
    <row r="21" spans="1:13" ht="29" hidden="1" outlineLevel="2" x14ac:dyDescent="0.35">
      <c r="A21" s="115" t="s">
        <v>4</v>
      </c>
      <c r="B21" s="115" t="s">
        <v>49</v>
      </c>
      <c r="C21" s="115" t="s">
        <v>104</v>
      </c>
      <c r="D21" s="115" t="s">
        <v>58</v>
      </c>
      <c r="E21" s="116">
        <v>36345</v>
      </c>
      <c r="F21" s="116">
        <v>9086.25</v>
      </c>
      <c r="G21" s="116">
        <v>0</v>
      </c>
      <c r="H21" s="116">
        <v>36345</v>
      </c>
      <c r="I21" s="116">
        <v>0</v>
      </c>
      <c r="J21" s="121" t="s">
        <v>610</v>
      </c>
      <c r="K21" s="121" t="s">
        <v>611</v>
      </c>
      <c r="L21" s="122" t="s">
        <v>576</v>
      </c>
    </row>
    <row r="22" spans="1:13" ht="29" hidden="1" outlineLevel="2" x14ac:dyDescent="0.35">
      <c r="A22" s="115" t="s">
        <v>4</v>
      </c>
      <c r="B22" s="115" t="s">
        <v>49</v>
      </c>
      <c r="C22" s="115" t="s">
        <v>104</v>
      </c>
      <c r="D22" s="115" t="s">
        <v>59</v>
      </c>
      <c r="E22" s="116">
        <v>4230</v>
      </c>
      <c r="F22" s="116">
        <v>1059</v>
      </c>
      <c r="G22" s="116">
        <v>1118.5354299999999</v>
      </c>
      <c r="H22" s="116">
        <v>3111.4645700000001</v>
      </c>
      <c r="I22" s="116">
        <v>59.535429999999899</v>
      </c>
      <c r="J22" s="125" t="s">
        <v>612</v>
      </c>
      <c r="K22" s="125" t="s">
        <v>613</v>
      </c>
      <c r="L22" s="122" t="s">
        <v>614</v>
      </c>
    </row>
    <row r="23" spans="1:13" ht="29" hidden="1" outlineLevel="2" x14ac:dyDescent="0.35">
      <c r="A23" s="115" t="s">
        <v>4</v>
      </c>
      <c r="B23" s="115" t="s">
        <v>49</v>
      </c>
      <c r="C23" s="115" t="s">
        <v>104</v>
      </c>
      <c r="D23" s="115" t="s">
        <v>60</v>
      </c>
      <c r="E23" s="116">
        <v>2863</v>
      </c>
      <c r="F23" s="116">
        <v>715.75</v>
      </c>
      <c r="G23" s="116">
        <v>0</v>
      </c>
      <c r="H23" s="116">
        <v>2863</v>
      </c>
      <c r="I23" s="116">
        <v>0</v>
      </c>
      <c r="J23" s="121" t="s">
        <v>615</v>
      </c>
      <c r="K23" s="121" t="s">
        <v>616</v>
      </c>
      <c r="L23" s="122" t="s">
        <v>576</v>
      </c>
    </row>
    <row r="24" spans="1:13" ht="43.5" hidden="1" outlineLevel="2" x14ac:dyDescent="0.35">
      <c r="A24" s="115" t="s">
        <v>4</v>
      </c>
      <c r="B24" s="115" t="s">
        <v>49</v>
      </c>
      <c r="C24" s="115" t="s">
        <v>104</v>
      </c>
      <c r="D24" s="115" t="s">
        <v>57</v>
      </c>
      <c r="E24" s="116">
        <v>180000</v>
      </c>
      <c r="F24" s="116">
        <v>45000</v>
      </c>
      <c r="G24" s="116">
        <v>33015.42</v>
      </c>
      <c r="H24" s="116">
        <v>146984.57999999999</v>
      </c>
      <c r="I24" s="116">
        <v>-11984.58</v>
      </c>
      <c r="J24" s="117" t="s">
        <v>617</v>
      </c>
      <c r="K24" s="117" t="s">
        <v>618</v>
      </c>
      <c r="L24" s="118" t="s">
        <v>568</v>
      </c>
    </row>
    <row r="25" spans="1:13" ht="29" hidden="1" outlineLevel="2" x14ac:dyDescent="0.35">
      <c r="A25" s="115" t="s">
        <v>4</v>
      </c>
      <c r="B25" s="115" t="s">
        <v>49</v>
      </c>
      <c r="C25" s="115" t="s">
        <v>104</v>
      </c>
      <c r="D25" s="115" t="s">
        <v>61</v>
      </c>
      <c r="E25" s="116">
        <v>1674</v>
      </c>
      <c r="F25" s="116">
        <v>0</v>
      </c>
      <c r="G25" s="116">
        <v>0</v>
      </c>
      <c r="H25" s="116">
        <v>0</v>
      </c>
      <c r="I25" s="116">
        <v>-1674</v>
      </c>
      <c r="J25" s="126" t="s">
        <v>619</v>
      </c>
      <c r="K25" s="126" t="s">
        <v>620</v>
      </c>
      <c r="L25" s="122" t="s">
        <v>158</v>
      </c>
    </row>
    <row r="26" spans="1:13" ht="29" hidden="1" outlineLevel="2" x14ac:dyDescent="0.35">
      <c r="A26" s="115" t="s">
        <v>4</v>
      </c>
      <c r="B26" s="115" t="s">
        <v>49</v>
      </c>
      <c r="C26" s="115" t="s">
        <v>104</v>
      </c>
      <c r="D26" s="115" t="s">
        <v>62</v>
      </c>
      <c r="E26" s="116">
        <v>7043</v>
      </c>
      <c r="F26" s="116">
        <v>1761</v>
      </c>
      <c r="G26" s="116">
        <v>1876.3675000000001</v>
      </c>
      <c r="H26" s="116">
        <v>5166.6324999999997</v>
      </c>
      <c r="I26" s="116">
        <v>115.36750000000001</v>
      </c>
      <c r="J26" s="125" t="s">
        <v>621</v>
      </c>
      <c r="K26" s="125" t="s">
        <v>622</v>
      </c>
      <c r="L26" s="122" t="s">
        <v>614</v>
      </c>
    </row>
    <row r="27" spans="1:13" ht="29" hidden="1" outlineLevel="2" x14ac:dyDescent="0.35">
      <c r="A27" s="115" t="s">
        <v>4</v>
      </c>
      <c r="B27" s="115" t="s">
        <v>49</v>
      </c>
      <c r="C27" s="115" t="s">
        <v>104</v>
      </c>
      <c r="D27" s="115" t="s">
        <v>63</v>
      </c>
      <c r="E27" s="116">
        <v>35314</v>
      </c>
      <c r="F27" s="116">
        <v>8829</v>
      </c>
      <c r="G27" s="116">
        <v>8408.1299999999992</v>
      </c>
      <c r="H27" s="116">
        <v>26905.87</v>
      </c>
      <c r="I27" s="116">
        <v>-420.87000000000302</v>
      </c>
      <c r="J27" s="117" t="s">
        <v>623</v>
      </c>
      <c r="K27" s="117" t="s">
        <v>624</v>
      </c>
      <c r="L27" s="118" t="s">
        <v>568</v>
      </c>
    </row>
    <row r="28" spans="1:13" ht="29" hidden="1" outlineLevel="2" x14ac:dyDescent="0.35">
      <c r="A28" s="115" t="s">
        <v>4</v>
      </c>
      <c r="B28" s="115" t="s">
        <v>49</v>
      </c>
      <c r="C28" s="115" t="s">
        <v>104</v>
      </c>
      <c r="D28" s="115" t="s">
        <v>64</v>
      </c>
      <c r="E28" s="116">
        <v>18865</v>
      </c>
      <c r="F28" s="116">
        <v>4535.8999999999996</v>
      </c>
      <c r="G28" s="116">
        <v>4859.2299999999996</v>
      </c>
      <c r="H28" s="116">
        <v>14005.67</v>
      </c>
      <c r="I28" s="116">
        <v>323.23000000000297</v>
      </c>
      <c r="J28" s="125" t="s">
        <v>625</v>
      </c>
      <c r="K28" s="125" t="s">
        <v>626</v>
      </c>
      <c r="L28" s="122" t="s">
        <v>614</v>
      </c>
    </row>
    <row r="29" spans="1:13" ht="29" hidden="1" outlineLevel="2" x14ac:dyDescent="0.35">
      <c r="A29" s="115" t="s">
        <v>4</v>
      </c>
      <c r="B29" s="115" t="s">
        <v>49</v>
      </c>
      <c r="C29" s="115" t="s">
        <v>104</v>
      </c>
      <c r="D29" s="115" t="s">
        <v>65</v>
      </c>
      <c r="E29" s="116">
        <v>25439</v>
      </c>
      <c r="F29" s="116">
        <v>6359.75</v>
      </c>
      <c r="G29" s="116">
        <v>6057.62</v>
      </c>
      <c r="H29" s="116">
        <v>19381.38</v>
      </c>
      <c r="I29" s="116">
        <v>-302.12999999999698</v>
      </c>
      <c r="J29" s="117" t="s">
        <v>627</v>
      </c>
      <c r="K29" s="117" t="s">
        <v>628</v>
      </c>
      <c r="L29" s="118" t="s">
        <v>568</v>
      </c>
    </row>
    <row r="30" spans="1:13" ht="29" hidden="1" outlineLevel="2" x14ac:dyDescent="0.35">
      <c r="A30" s="115" t="s">
        <v>4</v>
      </c>
      <c r="B30" s="115" t="s">
        <v>49</v>
      </c>
      <c r="C30" s="115" t="s">
        <v>104</v>
      </c>
      <c r="D30" s="115" t="s">
        <v>66</v>
      </c>
      <c r="E30" s="116">
        <v>34537</v>
      </c>
      <c r="F30" s="116">
        <v>8634.25</v>
      </c>
      <c r="G30" s="116">
        <v>8224.35</v>
      </c>
      <c r="H30" s="116">
        <v>26312.65</v>
      </c>
      <c r="I30" s="116">
        <v>-409.900000000001</v>
      </c>
      <c r="J30" s="117" t="s">
        <v>629</v>
      </c>
      <c r="K30" s="117" t="s">
        <v>630</v>
      </c>
      <c r="L30" s="118" t="s">
        <v>568</v>
      </c>
    </row>
    <row r="31" spans="1:13" ht="29" hidden="1" outlineLevel="2" x14ac:dyDescent="0.35">
      <c r="A31" s="115" t="s">
        <v>4</v>
      </c>
      <c r="B31" s="115" t="s">
        <v>49</v>
      </c>
      <c r="C31" s="115" t="s">
        <v>104</v>
      </c>
      <c r="D31" s="115" t="s">
        <v>67</v>
      </c>
      <c r="E31" s="116">
        <v>7500000</v>
      </c>
      <c r="F31" s="116">
        <v>1875000</v>
      </c>
      <c r="G31" s="116">
        <v>1891775.66</v>
      </c>
      <c r="H31" s="116">
        <v>5591448.3399999999</v>
      </c>
      <c r="I31" s="116">
        <v>-0.33999999891966598</v>
      </c>
      <c r="J31" s="121" t="s">
        <v>631</v>
      </c>
      <c r="K31" s="121" t="s">
        <v>632</v>
      </c>
      <c r="L31" s="122" t="s">
        <v>576</v>
      </c>
    </row>
    <row r="32" spans="1:13" ht="29" hidden="1" outlineLevel="2" x14ac:dyDescent="0.35">
      <c r="A32" s="115" t="s">
        <v>4</v>
      </c>
      <c r="B32" s="115" t="s">
        <v>49</v>
      </c>
      <c r="C32" s="115" t="s">
        <v>104</v>
      </c>
      <c r="D32" s="115" t="s">
        <v>68</v>
      </c>
      <c r="E32" s="116">
        <v>52500</v>
      </c>
      <c r="F32" s="116">
        <v>0</v>
      </c>
      <c r="G32" s="116">
        <v>0</v>
      </c>
      <c r="H32" s="116">
        <v>52500</v>
      </c>
      <c r="I32" s="116">
        <v>0</v>
      </c>
      <c r="J32" s="121" t="s">
        <v>633</v>
      </c>
      <c r="K32" s="121" t="s">
        <v>634</v>
      </c>
      <c r="L32" s="122" t="s">
        <v>576</v>
      </c>
    </row>
    <row r="33" spans="1:13" ht="29" hidden="1" outlineLevel="2" x14ac:dyDescent="0.35">
      <c r="A33" s="115" t="s">
        <v>4</v>
      </c>
      <c r="B33" s="115" t="s">
        <v>49</v>
      </c>
      <c r="C33" s="115" t="s">
        <v>104</v>
      </c>
      <c r="D33" s="115" t="s">
        <v>69</v>
      </c>
      <c r="E33" s="116">
        <v>3150</v>
      </c>
      <c r="F33" s="116">
        <v>3150</v>
      </c>
      <c r="G33" s="116">
        <v>3000</v>
      </c>
      <c r="H33" s="116">
        <v>150</v>
      </c>
      <c r="I33" s="116">
        <v>-150</v>
      </c>
      <c r="J33" s="117" t="s">
        <v>635</v>
      </c>
      <c r="K33" s="117" t="s">
        <v>636</v>
      </c>
      <c r="L33" s="118" t="s">
        <v>568</v>
      </c>
    </row>
    <row r="34" spans="1:13" ht="29" hidden="1" outlineLevel="2" x14ac:dyDescent="0.35">
      <c r="A34" s="115" t="s">
        <v>4</v>
      </c>
      <c r="B34" s="115" t="s">
        <v>49</v>
      </c>
      <c r="C34" s="115" t="s">
        <v>104</v>
      </c>
      <c r="D34" s="115" t="s">
        <v>70</v>
      </c>
      <c r="E34" s="116">
        <v>0</v>
      </c>
      <c r="F34" s="116">
        <v>0</v>
      </c>
      <c r="G34" s="116">
        <v>73.75</v>
      </c>
      <c r="H34" s="116">
        <v>-73.75</v>
      </c>
      <c r="I34" s="116">
        <v>73.75</v>
      </c>
      <c r="J34" s="125" t="s">
        <v>637</v>
      </c>
      <c r="K34" s="125" t="s">
        <v>638</v>
      </c>
      <c r="L34" s="122" t="s">
        <v>614</v>
      </c>
    </row>
    <row r="35" spans="1:13" ht="29" hidden="1" outlineLevel="2" x14ac:dyDescent="0.35">
      <c r="A35" s="115" t="s">
        <v>4</v>
      </c>
      <c r="B35" s="115" t="s">
        <v>49</v>
      </c>
      <c r="C35" s="115" t="s">
        <v>104</v>
      </c>
      <c r="D35" s="115" t="s">
        <v>71</v>
      </c>
      <c r="E35" s="116">
        <v>421713.07500000001</v>
      </c>
      <c r="F35" s="116">
        <v>101252.50333333301</v>
      </c>
      <c r="G35" s="116">
        <v>66108.92</v>
      </c>
      <c r="H35" s="116">
        <v>355603.83333333302</v>
      </c>
      <c r="I35" s="116">
        <v>-0.32166666671400901</v>
      </c>
      <c r="J35" s="121" t="s">
        <v>639</v>
      </c>
      <c r="K35" s="121" t="s">
        <v>640</v>
      </c>
      <c r="L35" s="122" t="s">
        <v>576</v>
      </c>
    </row>
    <row r="36" spans="1:13" ht="29" hidden="1" outlineLevel="2" x14ac:dyDescent="0.35">
      <c r="A36" s="115" t="s">
        <v>4</v>
      </c>
      <c r="B36" s="115" t="s">
        <v>49</v>
      </c>
      <c r="C36" s="115" t="s">
        <v>104</v>
      </c>
      <c r="D36" s="115" t="s">
        <v>72</v>
      </c>
      <c r="E36" s="116">
        <v>15750</v>
      </c>
      <c r="F36" s="116">
        <v>0</v>
      </c>
      <c r="G36" s="116">
        <v>0</v>
      </c>
      <c r="H36" s="116">
        <v>15750</v>
      </c>
      <c r="I36" s="116">
        <v>0</v>
      </c>
      <c r="J36" s="121" t="s">
        <v>641</v>
      </c>
      <c r="K36" s="121" t="s">
        <v>642</v>
      </c>
      <c r="L36" s="122" t="s">
        <v>576</v>
      </c>
    </row>
    <row r="37" spans="1:13" ht="29" hidden="1" outlineLevel="1" x14ac:dyDescent="0.35">
      <c r="A37" s="119" t="s">
        <v>4</v>
      </c>
      <c r="B37" s="119" t="s">
        <v>496</v>
      </c>
      <c r="C37" s="115" t="s">
        <v>104</v>
      </c>
      <c r="D37" s="119"/>
      <c r="E37" s="120">
        <f>SUM(E21:E36)</f>
        <v>8339423.0750000002</v>
      </c>
      <c r="F37" s="120">
        <f>SUM(F21:F36)</f>
        <v>2065383.4033333329</v>
      </c>
      <c r="G37" s="120">
        <f>SUM(G21:G36)</f>
        <v>2024517.9829299999</v>
      </c>
      <c r="H37" s="120">
        <f>SUM(H21:H36)</f>
        <v>6296454.6704033324</v>
      </c>
      <c r="I37" s="120">
        <f>SUM(I21:I36)</f>
        <v>-14370.258736665632</v>
      </c>
      <c r="J37" s="117" t="s">
        <v>643</v>
      </c>
      <c r="K37" s="117" t="s">
        <v>644</v>
      </c>
      <c r="L37" s="118" t="s">
        <v>568</v>
      </c>
    </row>
    <row r="38" spans="1:13" ht="29" hidden="1" outlineLevel="2" x14ac:dyDescent="0.35">
      <c r="A38" s="115" t="s">
        <v>4</v>
      </c>
      <c r="B38" s="115" t="s">
        <v>53</v>
      </c>
      <c r="C38" s="115" t="s">
        <v>587</v>
      </c>
      <c r="D38" s="115" t="s">
        <v>358</v>
      </c>
      <c r="E38" s="116">
        <v>292</v>
      </c>
      <c r="F38" s="116">
        <v>0</v>
      </c>
      <c r="G38" s="116">
        <v>0</v>
      </c>
      <c r="H38" s="116">
        <v>292</v>
      </c>
      <c r="I38" s="116">
        <v>0</v>
      </c>
      <c r="J38" s="121" t="s">
        <v>645</v>
      </c>
      <c r="K38" s="121" t="s">
        <v>646</v>
      </c>
      <c r="L38" s="122" t="s">
        <v>576</v>
      </c>
    </row>
    <row r="39" spans="1:13" ht="29" hidden="1" outlineLevel="2" x14ac:dyDescent="0.35">
      <c r="A39" s="115" t="s">
        <v>4</v>
      </c>
      <c r="B39" s="115" t="s">
        <v>53</v>
      </c>
      <c r="C39" s="115" t="s">
        <v>587</v>
      </c>
      <c r="D39" s="115" t="s">
        <v>360</v>
      </c>
      <c r="E39" s="116">
        <v>2900</v>
      </c>
      <c r="F39" s="116">
        <v>258.66666666666703</v>
      </c>
      <c r="G39" s="116">
        <v>16.739999999999998</v>
      </c>
      <c r="H39" s="116">
        <v>2882.9266666666699</v>
      </c>
      <c r="I39" s="116">
        <v>-0.59333333333370297</v>
      </c>
      <c r="J39" s="117" t="s">
        <v>647</v>
      </c>
      <c r="K39" s="117" t="s">
        <v>648</v>
      </c>
      <c r="L39" s="118" t="s">
        <v>568</v>
      </c>
    </row>
    <row r="40" spans="1:13" ht="29" hidden="1" outlineLevel="1" x14ac:dyDescent="0.35">
      <c r="A40" s="119" t="s">
        <v>4</v>
      </c>
      <c r="B40" s="119" t="s">
        <v>500</v>
      </c>
      <c r="C40" s="115" t="s">
        <v>587</v>
      </c>
      <c r="D40" s="119"/>
      <c r="E40" s="120">
        <f>SUM(E38:E39)</f>
        <v>3192</v>
      </c>
      <c r="F40" s="120">
        <f>SUM(F38:F39)</f>
        <v>258.66666666666703</v>
      </c>
      <c r="G40" s="120">
        <f>SUM(G38:G39)</f>
        <v>16.739999999999998</v>
      </c>
      <c r="H40" s="120">
        <f>SUM(H38:H39)</f>
        <v>3174.9266666666699</v>
      </c>
      <c r="I40" s="120">
        <f>SUM(I38:I39)</f>
        <v>-0.59333333333370297</v>
      </c>
      <c r="J40" s="117" t="s">
        <v>649</v>
      </c>
      <c r="K40" s="117" t="s">
        <v>650</v>
      </c>
      <c r="L40" s="118" t="s">
        <v>568</v>
      </c>
    </row>
    <row r="41" spans="1:13" ht="87" collapsed="1" x14ac:dyDescent="0.35">
      <c r="A41" s="119" t="s">
        <v>651</v>
      </c>
      <c r="B41" s="119"/>
      <c r="C41" s="119"/>
      <c r="D41" s="119"/>
      <c r="E41" s="120">
        <f>SUM(E37,E40)</f>
        <v>8342615.0750000002</v>
      </c>
      <c r="F41" s="120">
        <f>SUM(F37,F40)</f>
        <v>2065642.0699999996</v>
      </c>
      <c r="G41" s="120">
        <f>SUM(G37,G40)</f>
        <v>2024534.7229299999</v>
      </c>
      <c r="H41" s="120">
        <f>SUM(H37,H40)</f>
        <v>6299629.5970699992</v>
      </c>
      <c r="I41" s="120">
        <f>SUM(I37,I40)</f>
        <v>-14370.852069998966</v>
      </c>
      <c r="J41" s="117" t="s">
        <v>652</v>
      </c>
      <c r="K41" s="117" t="s">
        <v>653</v>
      </c>
      <c r="L41" s="118" t="s">
        <v>568</v>
      </c>
    </row>
    <row r="42" spans="1:13" ht="58" hidden="1" outlineLevel="2" x14ac:dyDescent="0.35">
      <c r="A42" s="115" t="s">
        <v>46</v>
      </c>
      <c r="B42" s="115" t="s">
        <v>48</v>
      </c>
      <c r="C42" s="115" t="s">
        <v>211</v>
      </c>
      <c r="D42" s="115" t="s">
        <v>73</v>
      </c>
      <c r="E42" s="116">
        <v>1438080</v>
      </c>
      <c r="F42" s="116">
        <v>359520</v>
      </c>
      <c r="G42" s="116">
        <v>347743</v>
      </c>
      <c r="H42" s="116">
        <v>1090337</v>
      </c>
      <c r="I42" s="116">
        <v>-11777</v>
      </c>
      <c r="J42" s="117" t="s">
        <v>654</v>
      </c>
      <c r="K42" s="117" t="s">
        <v>655</v>
      </c>
      <c r="L42" s="118" t="s">
        <v>568</v>
      </c>
    </row>
    <row r="43" spans="1:13" ht="87" hidden="1" outlineLevel="2" x14ac:dyDescent="0.35">
      <c r="A43" s="115" t="s">
        <v>46</v>
      </c>
      <c r="B43" s="115" t="s">
        <v>48</v>
      </c>
      <c r="C43" s="115" t="s">
        <v>211</v>
      </c>
      <c r="D43" s="115" t="s">
        <v>181</v>
      </c>
      <c r="E43" s="116">
        <v>403200</v>
      </c>
      <c r="F43" s="116">
        <v>100800</v>
      </c>
      <c r="G43" s="116">
        <v>209843.36</v>
      </c>
      <c r="H43" s="116">
        <v>193356.64</v>
      </c>
      <c r="I43" s="116">
        <v>109043.36</v>
      </c>
      <c r="J43" s="123" t="s">
        <v>656</v>
      </c>
      <c r="K43" s="123" t="s">
        <v>657</v>
      </c>
      <c r="L43" s="122" t="s">
        <v>41</v>
      </c>
    </row>
    <row r="44" spans="1:13" ht="87" hidden="1" outlineLevel="2" x14ac:dyDescent="0.35">
      <c r="A44" s="115" t="s">
        <v>46</v>
      </c>
      <c r="B44" s="115" t="s">
        <v>48</v>
      </c>
      <c r="C44" s="115" t="s">
        <v>211</v>
      </c>
      <c r="D44" s="115" t="s">
        <v>208</v>
      </c>
      <c r="E44" s="116">
        <v>216000</v>
      </c>
      <c r="F44" s="116">
        <v>264000</v>
      </c>
      <c r="G44" s="116">
        <v>143200</v>
      </c>
      <c r="H44" s="116">
        <v>912800</v>
      </c>
      <c r="I44" s="116">
        <v>807200</v>
      </c>
      <c r="J44" s="125" t="s">
        <v>658</v>
      </c>
      <c r="K44" s="125" t="s">
        <v>659</v>
      </c>
      <c r="L44" s="122" t="s">
        <v>614</v>
      </c>
    </row>
    <row r="45" spans="1:13" ht="87" hidden="1" outlineLevel="2" x14ac:dyDescent="0.35">
      <c r="A45" s="115" t="s">
        <v>46</v>
      </c>
      <c r="B45" s="115" t="s">
        <v>48</v>
      </c>
      <c r="C45" s="115" t="s">
        <v>211</v>
      </c>
      <c r="D45" s="115" t="s">
        <v>342</v>
      </c>
      <c r="E45" s="116">
        <v>940800</v>
      </c>
      <c r="F45" s="116">
        <v>470400</v>
      </c>
      <c r="G45" s="116">
        <v>446352</v>
      </c>
      <c r="H45" s="116">
        <v>1435248</v>
      </c>
      <c r="I45" s="116">
        <v>916752</v>
      </c>
      <c r="J45" s="125" t="s">
        <v>660</v>
      </c>
      <c r="K45" s="125" t="s">
        <v>661</v>
      </c>
      <c r="L45" s="122" t="s">
        <v>614</v>
      </c>
    </row>
    <row r="46" spans="1:13" ht="145" hidden="1" outlineLevel="1" x14ac:dyDescent="0.35">
      <c r="A46" s="119" t="s">
        <v>46</v>
      </c>
      <c r="B46" s="119" t="s">
        <v>495</v>
      </c>
      <c r="C46" s="115" t="s">
        <v>211</v>
      </c>
      <c r="D46" s="119"/>
      <c r="E46" s="120">
        <f>SUM(E42:E45)</f>
        <v>2998080</v>
      </c>
      <c r="F46" s="120">
        <f>SUM(F42:F45)</f>
        <v>1194720</v>
      </c>
      <c r="G46" s="120">
        <f>SUM(G42:G45)</f>
        <v>1147138.3599999999</v>
      </c>
      <c r="H46" s="120">
        <f>SUM(H42:H45)</f>
        <v>3631741.64</v>
      </c>
      <c r="I46" s="120">
        <f>SUM(I42:I45)</f>
        <v>1821218.3599999999</v>
      </c>
      <c r="J46" s="125" t="s">
        <v>662</v>
      </c>
      <c r="K46" s="125" t="s">
        <v>663</v>
      </c>
      <c r="L46" s="122" t="s">
        <v>614</v>
      </c>
    </row>
    <row r="47" spans="1:13" ht="87" hidden="1" outlineLevel="2" x14ac:dyDescent="0.35">
      <c r="A47" s="115" t="s">
        <v>46</v>
      </c>
      <c r="B47" s="115" t="s">
        <v>49</v>
      </c>
      <c r="C47" s="115" t="s">
        <v>104</v>
      </c>
      <c r="D47" s="115" t="s">
        <v>73</v>
      </c>
      <c r="E47" s="116">
        <v>414080</v>
      </c>
      <c r="F47" s="116">
        <v>123200</v>
      </c>
      <c r="G47" s="116">
        <v>103682</v>
      </c>
      <c r="H47" s="116">
        <v>396638</v>
      </c>
      <c r="I47" s="116">
        <v>66722</v>
      </c>
      <c r="J47" s="123" t="s">
        <v>664</v>
      </c>
      <c r="K47" s="123" t="s">
        <v>665</v>
      </c>
      <c r="L47" s="122" t="s">
        <v>41</v>
      </c>
      <c r="M47" s="124"/>
    </row>
    <row r="48" spans="1:13" ht="72.5" hidden="1" outlineLevel="1" x14ac:dyDescent="0.35">
      <c r="A48" s="119" t="s">
        <v>46</v>
      </c>
      <c r="B48" s="119" t="s">
        <v>496</v>
      </c>
      <c r="C48" s="115" t="s">
        <v>104</v>
      </c>
      <c r="D48" s="119"/>
      <c r="E48" s="120">
        <f>SUM(E47:E47)</f>
        <v>414080</v>
      </c>
      <c r="F48" s="120">
        <f>SUM(F47:F47)</f>
        <v>123200</v>
      </c>
      <c r="G48" s="120">
        <f>SUM(G47:G47)</f>
        <v>103682</v>
      </c>
      <c r="H48" s="120">
        <f>SUM(H47:H47)</f>
        <v>396638</v>
      </c>
      <c r="I48" s="120">
        <f>SUM(I47:I47)</f>
        <v>66722</v>
      </c>
      <c r="J48" s="123" t="s">
        <v>666</v>
      </c>
      <c r="K48" s="125" t="s">
        <v>667</v>
      </c>
      <c r="L48" s="122" t="s">
        <v>41</v>
      </c>
    </row>
    <row r="49" spans="1:12" ht="43.5" hidden="1" outlineLevel="2" x14ac:dyDescent="0.35">
      <c r="A49" s="115" t="s">
        <v>46</v>
      </c>
      <c r="B49" s="115" t="s">
        <v>50</v>
      </c>
      <c r="C49" s="115" t="s">
        <v>573</v>
      </c>
      <c r="D49" s="115" t="s">
        <v>73</v>
      </c>
      <c r="E49" s="116">
        <v>1505280</v>
      </c>
      <c r="F49" s="116">
        <v>376320</v>
      </c>
      <c r="G49" s="116">
        <v>342536</v>
      </c>
      <c r="H49" s="116">
        <v>1162744</v>
      </c>
      <c r="I49" s="116">
        <v>-33784</v>
      </c>
      <c r="J49" s="117" t="s">
        <v>668</v>
      </c>
      <c r="K49" s="117" t="s">
        <v>669</v>
      </c>
      <c r="L49" s="118" t="s">
        <v>568</v>
      </c>
    </row>
    <row r="50" spans="1:12" ht="43.5" hidden="1" outlineLevel="2" x14ac:dyDescent="0.35">
      <c r="A50" s="115" t="s">
        <v>46</v>
      </c>
      <c r="B50" s="115" t="s">
        <v>50</v>
      </c>
      <c r="C50" s="115" t="s">
        <v>573</v>
      </c>
      <c r="D50" s="115" t="s">
        <v>181</v>
      </c>
      <c r="E50" s="116">
        <v>252000</v>
      </c>
      <c r="F50" s="116">
        <v>63000</v>
      </c>
      <c r="G50" s="116">
        <v>64050</v>
      </c>
      <c r="H50" s="116">
        <v>187950</v>
      </c>
      <c r="I50" s="116">
        <v>1050</v>
      </c>
      <c r="J50" s="125" t="s">
        <v>670</v>
      </c>
      <c r="K50" s="125" t="s">
        <v>671</v>
      </c>
      <c r="L50" s="122" t="s">
        <v>614</v>
      </c>
    </row>
    <row r="51" spans="1:12" ht="43.5" hidden="1" outlineLevel="1" x14ac:dyDescent="0.35">
      <c r="A51" s="119" t="s">
        <v>46</v>
      </c>
      <c r="B51" s="119" t="s">
        <v>497</v>
      </c>
      <c r="C51" s="115" t="s">
        <v>573</v>
      </c>
      <c r="D51" s="119"/>
      <c r="E51" s="120">
        <f>SUM(E49:E50)</f>
        <v>1757280</v>
      </c>
      <c r="F51" s="120">
        <f>SUM(F49:F50)</f>
        <v>439320</v>
      </c>
      <c r="G51" s="120">
        <f>SUM(G49:G50)</f>
        <v>406586</v>
      </c>
      <c r="H51" s="120">
        <f>SUM(H49:H50)</f>
        <v>1350694</v>
      </c>
      <c r="I51" s="120">
        <f>SUM(I49:I50)</f>
        <v>-32734</v>
      </c>
      <c r="J51" s="117" t="s">
        <v>672</v>
      </c>
      <c r="K51" s="117" t="s">
        <v>673</v>
      </c>
      <c r="L51" s="118" t="s">
        <v>568</v>
      </c>
    </row>
    <row r="52" spans="1:12" ht="174" hidden="1" outlineLevel="2" x14ac:dyDescent="0.35">
      <c r="A52" s="115" t="s">
        <v>46</v>
      </c>
      <c r="B52" s="115" t="s">
        <v>51</v>
      </c>
      <c r="C52" s="115" t="s">
        <v>168</v>
      </c>
      <c r="D52" s="115" t="s">
        <v>181</v>
      </c>
      <c r="E52" s="116">
        <v>600000</v>
      </c>
      <c r="F52" s="116">
        <v>98000</v>
      </c>
      <c r="G52" s="116">
        <v>67600</v>
      </c>
      <c r="H52" s="116">
        <v>476800</v>
      </c>
      <c r="I52" s="116">
        <v>-86000</v>
      </c>
      <c r="J52" s="117" t="s">
        <v>674</v>
      </c>
      <c r="K52" s="117" t="s">
        <v>675</v>
      </c>
      <c r="L52" s="118" t="s">
        <v>568</v>
      </c>
    </row>
    <row r="53" spans="1:12" ht="101.5" hidden="1" outlineLevel="1" x14ac:dyDescent="0.35">
      <c r="A53" s="119" t="s">
        <v>46</v>
      </c>
      <c r="B53" s="119" t="s">
        <v>498</v>
      </c>
      <c r="C53" s="115" t="s">
        <v>168</v>
      </c>
      <c r="D53" s="119"/>
      <c r="E53" s="120">
        <f>SUM(E52:E52)</f>
        <v>600000</v>
      </c>
      <c r="F53" s="120">
        <f>SUM(F52:F52)</f>
        <v>98000</v>
      </c>
      <c r="G53" s="120">
        <f>SUM(G52:G52)</f>
        <v>67600</v>
      </c>
      <c r="H53" s="120">
        <f>SUM(H52:H52)</f>
        <v>476800</v>
      </c>
      <c r="I53" s="120">
        <f>SUM(I52:I52)</f>
        <v>-86000</v>
      </c>
      <c r="J53" s="117" t="s">
        <v>676</v>
      </c>
      <c r="K53" s="117" t="s">
        <v>677</v>
      </c>
      <c r="L53" s="118" t="s">
        <v>568</v>
      </c>
    </row>
    <row r="54" spans="1:12" ht="72.5" hidden="1" outlineLevel="2" x14ac:dyDescent="0.35">
      <c r="A54" s="115" t="s">
        <v>46</v>
      </c>
      <c r="B54" s="115" t="s">
        <v>53</v>
      </c>
      <c r="C54" s="115" t="s">
        <v>587</v>
      </c>
      <c r="D54" s="115" t="s">
        <v>73</v>
      </c>
      <c r="E54" s="116">
        <v>291840</v>
      </c>
      <c r="F54" s="116">
        <v>76720</v>
      </c>
      <c r="G54" s="116">
        <v>75392</v>
      </c>
      <c r="H54" s="116">
        <v>287888</v>
      </c>
      <c r="I54" s="116">
        <v>73872</v>
      </c>
      <c r="J54" s="125" t="s">
        <v>678</v>
      </c>
      <c r="K54" s="125" t="s">
        <v>679</v>
      </c>
      <c r="L54" s="122" t="s">
        <v>614</v>
      </c>
    </row>
    <row r="55" spans="1:12" ht="58" hidden="1" outlineLevel="2" x14ac:dyDescent="0.35">
      <c r="A55" s="115" t="s">
        <v>46</v>
      </c>
      <c r="B55" s="115" t="s">
        <v>53</v>
      </c>
      <c r="C55" s="115" t="s">
        <v>587</v>
      </c>
      <c r="D55" s="115" t="s">
        <v>181</v>
      </c>
      <c r="E55" s="116">
        <v>161280</v>
      </c>
      <c r="F55" s="116">
        <v>40320</v>
      </c>
      <c r="G55" s="116">
        <v>36032</v>
      </c>
      <c r="H55" s="116">
        <v>53248</v>
      </c>
      <c r="I55" s="116">
        <v>-76288</v>
      </c>
      <c r="J55" s="117" t="s">
        <v>680</v>
      </c>
      <c r="K55" s="117" t="s">
        <v>681</v>
      </c>
      <c r="L55" s="118" t="s">
        <v>568</v>
      </c>
    </row>
    <row r="56" spans="1:12" ht="43.5" hidden="1" outlineLevel="2" x14ac:dyDescent="0.35">
      <c r="A56" s="115" t="s">
        <v>46</v>
      </c>
      <c r="B56" s="115" t="s">
        <v>53</v>
      </c>
      <c r="C56" s="115" t="s">
        <v>587</v>
      </c>
      <c r="D56" s="115" t="s">
        <v>185</v>
      </c>
      <c r="E56" s="116">
        <v>218880</v>
      </c>
      <c r="F56" s="116">
        <v>54720</v>
      </c>
      <c r="G56" s="116">
        <v>49180</v>
      </c>
      <c r="H56" s="116">
        <v>169700</v>
      </c>
      <c r="I56" s="116">
        <v>-5540</v>
      </c>
      <c r="J56" s="117" t="s">
        <v>682</v>
      </c>
      <c r="K56" s="117" t="s">
        <v>683</v>
      </c>
      <c r="L56" s="118" t="s">
        <v>568</v>
      </c>
    </row>
    <row r="57" spans="1:12" ht="58" hidden="1" outlineLevel="1" x14ac:dyDescent="0.35">
      <c r="A57" s="119" t="s">
        <v>46</v>
      </c>
      <c r="B57" s="119" t="s">
        <v>500</v>
      </c>
      <c r="C57" s="115" t="s">
        <v>587</v>
      </c>
      <c r="D57" s="119"/>
      <c r="E57" s="120">
        <f>SUM(E54:E56)</f>
        <v>672000</v>
      </c>
      <c r="F57" s="120">
        <f>SUM(F54:F56)</f>
        <v>171760</v>
      </c>
      <c r="G57" s="120">
        <f>SUM(G54:G56)</f>
        <v>160604</v>
      </c>
      <c r="H57" s="120">
        <f>SUM(H54:H56)</f>
        <v>510836</v>
      </c>
      <c r="I57" s="120">
        <f>SUM(I54:I56)</f>
        <v>-7956</v>
      </c>
      <c r="J57" s="117" t="s">
        <v>684</v>
      </c>
      <c r="K57" s="117" t="s">
        <v>685</v>
      </c>
      <c r="L57" s="118" t="s">
        <v>568</v>
      </c>
    </row>
    <row r="58" spans="1:12" ht="232" collapsed="1" x14ac:dyDescent="0.35">
      <c r="A58" s="119" t="s">
        <v>686</v>
      </c>
      <c r="B58" s="119"/>
      <c r="C58" s="119"/>
      <c r="D58" s="119"/>
      <c r="E58" s="120">
        <f>SUM(E46,E48,E51,E53,E57)</f>
        <v>6441440</v>
      </c>
      <c r="F58" s="120">
        <f>SUM(F46,F48,F51,F53,F57)</f>
        <v>2027000</v>
      </c>
      <c r="G58" s="120">
        <f>SUM(G46,G48,G51,G53,G57)</f>
        <v>1885610.3599999999</v>
      </c>
      <c r="H58" s="120">
        <f>SUM(H46,H48,H51,H53,H57)</f>
        <v>6366709.6400000006</v>
      </c>
      <c r="I58" s="120">
        <f>SUM(I46,I48,I51,I53,I57)</f>
        <v>1761250.3599999999</v>
      </c>
      <c r="J58" s="123" t="s">
        <v>687</v>
      </c>
      <c r="K58" s="123" t="s">
        <v>688</v>
      </c>
      <c r="L58" s="122" t="s">
        <v>41</v>
      </c>
    </row>
    <row r="59" spans="1:12" ht="29" hidden="1" outlineLevel="2" x14ac:dyDescent="0.35">
      <c r="A59" s="115" t="s">
        <v>5</v>
      </c>
      <c r="B59" s="115" t="s">
        <v>48</v>
      </c>
      <c r="C59" s="115" t="s">
        <v>211</v>
      </c>
      <c r="D59" s="115" t="s">
        <v>181</v>
      </c>
      <c r="E59" s="116">
        <v>1524552</v>
      </c>
      <c r="F59" s="116">
        <v>339888</v>
      </c>
      <c r="G59" s="116">
        <v>339888</v>
      </c>
      <c r="H59" s="116">
        <v>1184664</v>
      </c>
      <c r="I59" s="116">
        <v>0</v>
      </c>
      <c r="J59" s="121" t="s">
        <v>689</v>
      </c>
      <c r="K59" s="121" t="s">
        <v>690</v>
      </c>
      <c r="L59" s="122" t="s">
        <v>576</v>
      </c>
    </row>
    <row r="60" spans="1:12" ht="43.5" hidden="1" outlineLevel="2" x14ac:dyDescent="0.35">
      <c r="A60" s="115" t="s">
        <v>5</v>
      </c>
      <c r="B60" s="115" t="s">
        <v>48</v>
      </c>
      <c r="C60" s="115" t="s">
        <v>211</v>
      </c>
      <c r="D60" s="115" t="s">
        <v>208</v>
      </c>
      <c r="E60" s="116">
        <v>281039.34000000003</v>
      </c>
      <c r="F60" s="116">
        <v>66597</v>
      </c>
      <c r="G60" s="116">
        <v>66597</v>
      </c>
      <c r="H60" s="116">
        <v>193041</v>
      </c>
      <c r="I60" s="116">
        <v>-21401.34</v>
      </c>
      <c r="J60" s="117" t="s">
        <v>691</v>
      </c>
      <c r="K60" s="117" t="s">
        <v>692</v>
      </c>
      <c r="L60" s="118" t="s">
        <v>568</v>
      </c>
    </row>
    <row r="61" spans="1:12" ht="29" hidden="1" outlineLevel="2" x14ac:dyDescent="0.35">
      <c r="A61" s="115" t="s">
        <v>5</v>
      </c>
      <c r="B61" s="115" t="s">
        <v>48</v>
      </c>
      <c r="C61" s="115" t="s">
        <v>211</v>
      </c>
      <c r="D61" s="115" t="s">
        <v>191</v>
      </c>
      <c r="E61" s="116">
        <v>190000</v>
      </c>
      <c r="F61" s="116">
        <v>45000</v>
      </c>
      <c r="G61" s="116">
        <v>45000</v>
      </c>
      <c r="H61" s="116">
        <v>135000</v>
      </c>
      <c r="I61" s="116">
        <v>-10000</v>
      </c>
      <c r="J61" s="117" t="s">
        <v>693</v>
      </c>
      <c r="K61" s="117" t="s">
        <v>694</v>
      </c>
      <c r="L61" s="118" t="s">
        <v>568</v>
      </c>
    </row>
    <row r="62" spans="1:12" ht="72.5" hidden="1" outlineLevel="1" x14ac:dyDescent="0.35">
      <c r="A62" s="119" t="s">
        <v>5</v>
      </c>
      <c r="B62" s="119" t="s">
        <v>495</v>
      </c>
      <c r="C62" s="115" t="s">
        <v>211</v>
      </c>
      <c r="D62" s="119"/>
      <c r="E62" s="120">
        <f>SUM(E59:E61)</f>
        <v>1995591.34</v>
      </c>
      <c r="F62" s="120">
        <f>SUM(F59:F61)</f>
        <v>451485</v>
      </c>
      <c r="G62" s="120">
        <f>SUM(G59:G61)</f>
        <v>451485</v>
      </c>
      <c r="H62" s="120">
        <f>SUM(H59:H61)</f>
        <v>1512705</v>
      </c>
      <c r="I62" s="120">
        <f>SUM(I59:I61)</f>
        <v>-31401.34</v>
      </c>
      <c r="J62" s="117" t="s">
        <v>695</v>
      </c>
      <c r="K62" s="117" t="s">
        <v>696</v>
      </c>
      <c r="L62" s="118" t="s">
        <v>568</v>
      </c>
    </row>
    <row r="63" spans="1:12" ht="43.5" hidden="1" outlineLevel="2" x14ac:dyDescent="0.35">
      <c r="A63" s="115" t="s">
        <v>5</v>
      </c>
      <c r="B63" s="115" t="s">
        <v>49</v>
      </c>
      <c r="C63" s="115" t="s">
        <v>104</v>
      </c>
      <c r="D63" s="115" t="s">
        <v>74</v>
      </c>
      <c r="E63" s="116">
        <v>178500</v>
      </c>
      <c r="F63" s="116">
        <v>87084.78</v>
      </c>
      <c r="G63" s="116">
        <v>87084.78</v>
      </c>
      <c r="H63" s="116">
        <v>87084.78</v>
      </c>
      <c r="I63" s="116">
        <v>-4330.4399999999996</v>
      </c>
      <c r="J63" s="117" t="s">
        <v>697</v>
      </c>
      <c r="K63" s="117" t="s">
        <v>698</v>
      </c>
      <c r="L63" s="118" t="s">
        <v>568</v>
      </c>
    </row>
    <row r="64" spans="1:12" ht="29" hidden="1" outlineLevel="1" x14ac:dyDescent="0.35">
      <c r="A64" s="119" t="s">
        <v>5</v>
      </c>
      <c r="B64" s="119" t="s">
        <v>496</v>
      </c>
      <c r="C64" s="115" t="s">
        <v>104</v>
      </c>
      <c r="D64" s="119"/>
      <c r="E64" s="120">
        <f>SUM(E63:E63)</f>
        <v>178500</v>
      </c>
      <c r="F64" s="120">
        <f>SUM(F63:F63)</f>
        <v>87084.78</v>
      </c>
      <c r="G64" s="120">
        <f>SUM(G63:G63)</f>
        <v>87084.78</v>
      </c>
      <c r="H64" s="120">
        <f>SUM(H63:H63)</f>
        <v>87084.78</v>
      </c>
      <c r="I64" s="120">
        <f>SUM(I63:I63)</f>
        <v>-4330.4399999999996</v>
      </c>
      <c r="J64" s="117" t="s">
        <v>699</v>
      </c>
      <c r="K64" s="117" t="s">
        <v>700</v>
      </c>
      <c r="L64" s="118" t="s">
        <v>568</v>
      </c>
    </row>
    <row r="65" spans="1:12" ht="43.5" hidden="1" outlineLevel="2" x14ac:dyDescent="0.35">
      <c r="A65" s="115" t="s">
        <v>5</v>
      </c>
      <c r="B65" s="115" t="s">
        <v>50</v>
      </c>
      <c r="C65" s="115" t="s">
        <v>573</v>
      </c>
      <c r="D65" s="115" t="s">
        <v>121</v>
      </c>
      <c r="E65" s="116">
        <v>100000</v>
      </c>
      <c r="F65" s="116">
        <v>22800</v>
      </c>
      <c r="G65" s="116">
        <v>23875</v>
      </c>
      <c r="H65" s="116">
        <v>67325</v>
      </c>
      <c r="I65" s="116">
        <v>-7725</v>
      </c>
      <c r="J65" s="117" t="s">
        <v>701</v>
      </c>
      <c r="K65" s="117" t="s">
        <v>702</v>
      </c>
      <c r="L65" s="118" t="s">
        <v>568</v>
      </c>
    </row>
    <row r="66" spans="1:12" ht="29" hidden="1" outlineLevel="1" x14ac:dyDescent="0.35">
      <c r="A66" s="119" t="s">
        <v>5</v>
      </c>
      <c r="B66" s="119" t="s">
        <v>497</v>
      </c>
      <c r="C66" s="115" t="s">
        <v>573</v>
      </c>
      <c r="D66" s="119"/>
      <c r="E66" s="120">
        <f>SUM(E65:E65)</f>
        <v>100000</v>
      </c>
      <c r="F66" s="120">
        <f>SUM(F65:F65)</f>
        <v>22800</v>
      </c>
      <c r="G66" s="120">
        <f>SUM(G65:G65)</f>
        <v>23875</v>
      </c>
      <c r="H66" s="120">
        <f>SUM(H65:H65)</f>
        <v>67325</v>
      </c>
      <c r="I66" s="120">
        <f>SUM(I65:I65)</f>
        <v>-7725</v>
      </c>
      <c r="J66" s="117" t="s">
        <v>703</v>
      </c>
      <c r="K66" s="117" t="s">
        <v>704</v>
      </c>
      <c r="L66" s="118" t="s">
        <v>568</v>
      </c>
    </row>
    <row r="67" spans="1:12" ht="87" hidden="1" outlineLevel="2" x14ac:dyDescent="0.35">
      <c r="A67" s="115" t="s">
        <v>5</v>
      </c>
      <c r="B67" s="115" t="s">
        <v>51</v>
      </c>
      <c r="C67" s="115" t="s">
        <v>168</v>
      </c>
      <c r="D67" s="115" t="s">
        <v>181</v>
      </c>
      <c r="E67" s="116">
        <v>345000</v>
      </c>
      <c r="F67" s="116">
        <v>99250</v>
      </c>
      <c r="G67" s="116">
        <v>99250</v>
      </c>
      <c r="H67" s="116">
        <v>492750</v>
      </c>
      <c r="I67" s="116">
        <v>247000</v>
      </c>
      <c r="J67" s="125" t="s">
        <v>705</v>
      </c>
      <c r="K67" s="125" t="s">
        <v>706</v>
      </c>
      <c r="L67" s="122" t="s">
        <v>614</v>
      </c>
    </row>
    <row r="68" spans="1:12" ht="29" hidden="1" outlineLevel="2" x14ac:dyDescent="0.35">
      <c r="A68" s="115" t="s">
        <v>5</v>
      </c>
      <c r="B68" s="115" t="s">
        <v>51</v>
      </c>
      <c r="C68" s="115" t="s">
        <v>168</v>
      </c>
      <c r="D68" s="115" t="s">
        <v>208</v>
      </c>
      <c r="E68" s="116">
        <v>100000</v>
      </c>
      <c r="F68" s="116">
        <v>0</v>
      </c>
      <c r="G68" s="116">
        <v>0</v>
      </c>
      <c r="H68" s="116">
        <v>100000</v>
      </c>
      <c r="I68" s="116">
        <v>0</v>
      </c>
      <c r="J68" s="121" t="s">
        <v>707</v>
      </c>
      <c r="K68" s="121" t="s">
        <v>708</v>
      </c>
      <c r="L68" s="122" t="s">
        <v>576</v>
      </c>
    </row>
    <row r="69" spans="1:12" ht="58" hidden="1" outlineLevel="1" x14ac:dyDescent="0.35">
      <c r="A69" s="119" t="s">
        <v>5</v>
      </c>
      <c r="B69" s="119" t="s">
        <v>498</v>
      </c>
      <c r="C69" s="115" t="s">
        <v>168</v>
      </c>
      <c r="D69" s="119"/>
      <c r="E69" s="120">
        <f>SUM(E67:E68)</f>
        <v>445000</v>
      </c>
      <c r="F69" s="120">
        <f>SUM(F67:F68)</f>
        <v>99250</v>
      </c>
      <c r="G69" s="120">
        <f>SUM(G67:G68)</f>
        <v>99250</v>
      </c>
      <c r="H69" s="120">
        <f>SUM(H67:H68)</f>
        <v>592750</v>
      </c>
      <c r="I69" s="120">
        <f>SUM(I67:I68)</f>
        <v>247000</v>
      </c>
      <c r="J69" s="125" t="s">
        <v>709</v>
      </c>
      <c r="K69" s="125" t="s">
        <v>710</v>
      </c>
      <c r="L69" s="122" t="s">
        <v>614</v>
      </c>
    </row>
    <row r="70" spans="1:12" ht="29" hidden="1" outlineLevel="2" x14ac:dyDescent="0.35">
      <c r="A70" s="115" t="s">
        <v>5</v>
      </c>
      <c r="B70" s="115" t="s">
        <v>53</v>
      </c>
      <c r="C70" s="115" t="s">
        <v>587</v>
      </c>
      <c r="D70" s="115" t="s">
        <v>222</v>
      </c>
      <c r="E70" s="116">
        <v>32400</v>
      </c>
      <c r="F70" s="116">
        <v>32400</v>
      </c>
      <c r="G70" s="116">
        <v>32009.25</v>
      </c>
      <c r="H70" s="116">
        <v>390.75</v>
      </c>
      <c r="I70" s="116">
        <v>-390.75</v>
      </c>
      <c r="J70" s="117" t="s">
        <v>711</v>
      </c>
      <c r="K70" s="117" t="s">
        <v>712</v>
      </c>
      <c r="L70" s="118" t="s">
        <v>568</v>
      </c>
    </row>
    <row r="71" spans="1:12" ht="29" hidden="1" outlineLevel="1" x14ac:dyDescent="0.35">
      <c r="A71" s="119" t="s">
        <v>5</v>
      </c>
      <c r="B71" s="119" t="s">
        <v>500</v>
      </c>
      <c r="C71" s="115" t="s">
        <v>587</v>
      </c>
      <c r="D71" s="119"/>
      <c r="E71" s="120">
        <f>SUM(E70:E70)</f>
        <v>32400</v>
      </c>
      <c r="F71" s="120">
        <f>SUM(F70:F70)</f>
        <v>32400</v>
      </c>
      <c r="G71" s="120">
        <f>SUM(G70:G70)</f>
        <v>32009.25</v>
      </c>
      <c r="H71" s="120">
        <f>SUM(H70:H70)</f>
        <v>390.75</v>
      </c>
      <c r="I71" s="120">
        <f>SUM(I70:I70)</f>
        <v>-390.75</v>
      </c>
      <c r="J71" s="117" t="s">
        <v>713</v>
      </c>
      <c r="K71" s="117" t="s">
        <v>714</v>
      </c>
      <c r="L71" s="118" t="s">
        <v>568</v>
      </c>
    </row>
    <row r="72" spans="1:12" ht="72.5" collapsed="1" x14ac:dyDescent="0.35">
      <c r="A72" s="119" t="s">
        <v>715</v>
      </c>
      <c r="B72" s="119"/>
      <c r="C72" s="119"/>
      <c r="D72" s="119"/>
      <c r="E72" s="120">
        <f>SUM(E62,E64,E66,E69,E71)</f>
        <v>2751491.34</v>
      </c>
      <c r="F72" s="120">
        <f>SUM(F62,F64,F66,F69,F71)</f>
        <v>693019.78</v>
      </c>
      <c r="G72" s="120">
        <f>SUM(G62,G64,G66,G69,G71)</f>
        <v>693704.03</v>
      </c>
      <c r="H72" s="120">
        <f>SUM(H62,H64,H66,H69,H71)</f>
        <v>2260255.5300000003</v>
      </c>
      <c r="I72" s="120">
        <f>SUM(I62,I64,I66,I69,I71)</f>
        <v>203152.47</v>
      </c>
      <c r="J72" s="125" t="s">
        <v>716</v>
      </c>
      <c r="K72" s="125" t="s">
        <v>717</v>
      </c>
      <c r="L72" s="122" t="s">
        <v>614</v>
      </c>
    </row>
    <row r="73" spans="1:12" ht="29" hidden="1" outlineLevel="2" x14ac:dyDescent="0.35">
      <c r="A73" s="115" t="s">
        <v>6</v>
      </c>
      <c r="B73" s="115" t="s">
        <v>50</v>
      </c>
      <c r="C73" s="115" t="s">
        <v>573</v>
      </c>
      <c r="D73" s="115" t="s">
        <v>368</v>
      </c>
      <c r="E73" s="116">
        <v>4409</v>
      </c>
      <c r="F73" s="116">
        <v>4409</v>
      </c>
      <c r="G73" s="116">
        <v>4982.8</v>
      </c>
      <c r="H73" s="116">
        <v>-573.79999999999995</v>
      </c>
      <c r="I73" s="116">
        <v>573.79999999999995</v>
      </c>
      <c r="J73" s="125" t="s">
        <v>718</v>
      </c>
      <c r="K73" s="125" t="s">
        <v>719</v>
      </c>
      <c r="L73" s="122" t="s">
        <v>614</v>
      </c>
    </row>
    <row r="74" spans="1:12" ht="29" hidden="1" outlineLevel="2" x14ac:dyDescent="0.35">
      <c r="A74" s="115" t="s">
        <v>6</v>
      </c>
      <c r="B74" s="115" t="s">
        <v>50</v>
      </c>
      <c r="C74" s="115" t="s">
        <v>573</v>
      </c>
      <c r="D74" s="115" t="s">
        <v>159</v>
      </c>
      <c r="E74" s="116">
        <v>14886</v>
      </c>
      <c r="F74" s="116">
        <v>3266.28</v>
      </c>
      <c r="G74" s="116">
        <v>3266.26</v>
      </c>
      <c r="H74" s="116">
        <v>9798.86</v>
      </c>
      <c r="I74" s="116">
        <v>-1820.9</v>
      </c>
      <c r="J74" s="117" t="s">
        <v>720</v>
      </c>
      <c r="K74" s="117" t="s">
        <v>721</v>
      </c>
      <c r="L74" s="118" t="s">
        <v>568</v>
      </c>
    </row>
    <row r="75" spans="1:12" ht="29" hidden="1" outlineLevel="2" x14ac:dyDescent="0.35">
      <c r="A75" s="115" t="s">
        <v>6</v>
      </c>
      <c r="B75" s="115" t="s">
        <v>50</v>
      </c>
      <c r="C75" s="115" t="s">
        <v>573</v>
      </c>
      <c r="D75" s="115" t="s">
        <v>133</v>
      </c>
      <c r="E75" s="116"/>
      <c r="F75" s="116">
        <v>0</v>
      </c>
      <c r="G75" s="116">
        <v>0</v>
      </c>
      <c r="H75" s="116">
        <v>41250</v>
      </c>
      <c r="I75" s="116">
        <v>41250</v>
      </c>
      <c r="J75" s="123" t="s">
        <v>722</v>
      </c>
      <c r="K75" s="123" t="s">
        <v>723</v>
      </c>
      <c r="L75" s="122" t="s">
        <v>41</v>
      </c>
    </row>
    <row r="76" spans="1:12" ht="29" hidden="1" outlineLevel="2" x14ac:dyDescent="0.35">
      <c r="A76" s="115" t="s">
        <v>6</v>
      </c>
      <c r="B76" s="115" t="s">
        <v>50</v>
      </c>
      <c r="C76" s="115" t="s">
        <v>573</v>
      </c>
      <c r="D76" s="115" t="s">
        <v>362</v>
      </c>
      <c r="E76" s="116">
        <v>8400</v>
      </c>
      <c r="F76" s="116">
        <v>8400</v>
      </c>
      <c r="G76" s="116">
        <v>8000</v>
      </c>
      <c r="H76" s="116">
        <v>400</v>
      </c>
      <c r="I76" s="116">
        <v>-400</v>
      </c>
      <c r="J76" s="117" t="s">
        <v>724</v>
      </c>
      <c r="K76" s="117" t="s">
        <v>725</v>
      </c>
      <c r="L76" s="118" t="s">
        <v>568</v>
      </c>
    </row>
    <row r="77" spans="1:12" ht="29" hidden="1" outlineLevel="2" x14ac:dyDescent="0.35">
      <c r="A77" s="115" t="s">
        <v>6</v>
      </c>
      <c r="B77" s="115" t="s">
        <v>50</v>
      </c>
      <c r="C77" s="115" t="s">
        <v>573</v>
      </c>
      <c r="D77" s="115" t="s">
        <v>371</v>
      </c>
      <c r="E77" s="116">
        <v>67470</v>
      </c>
      <c r="F77" s="116">
        <v>16878.150000000001</v>
      </c>
      <c r="G77" s="116">
        <v>16878.150000000001</v>
      </c>
      <c r="H77" s="116">
        <v>50589.5</v>
      </c>
      <c r="I77" s="116">
        <v>-2.3500000000058199</v>
      </c>
      <c r="J77" s="117" t="s">
        <v>726</v>
      </c>
      <c r="K77" s="117" t="s">
        <v>727</v>
      </c>
      <c r="L77" s="118" t="s">
        <v>568</v>
      </c>
    </row>
    <row r="78" spans="1:12" ht="29" hidden="1" outlineLevel="2" x14ac:dyDescent="0.35">
      <c r="A78" s="115" t="s">
        <v>6</v>
      </c>
      <c r="B78" s="115" t="s">
        <v>50</v>
      </c>
      <c r="C78" s="115" t="s">
        <v>573</v>
      </c>
      <c r="D78" s="115" t="s">
        <v>374</v>
      </c>
      <c r="E78" s="116">
        <v>25000</v>
      </c>
      <c r="F78" s="116">
        <v>0</v>
      </c>
      <c r="G78" s="116">
        <v>0</v>
      </c>
      <c r="H78" s="116">
        <v>25000</v>
      </c>
      <c r="I78" s="116">
        <v>0</v>
      </c>
      <c r="J78" s="121" t="s">
        <v>726</v>
      </c>
      <c r="K78" s="121" t="s">
        <v>727</v>
      </c>
      <c r="L78" s="122" t="s">
        <v>576</v>
      </c>
    </row>
    <row r="79" spans="1:12" ht="29" hidden="1" outlineLevel="2" x14ac:dyDescent="0.35">
      <c r="A79" s="115" t="s">
        <v>6</v>
      </c>
      <c r="B79" s="115" t="s">
        <v>50</v>
      </c>
      <c r="C79" s="115" t="s">
        <v>573</v>
      </c>
      <c r="D79" s="115" t="s">
        <v>486</v>
      </c>
      <c r="E79" s="116">
        <v>0</v>
      </c>
      <c r="F79" s="116">
        <v>0</v>
      </c>
      <c r="G79" s="116">
        <v>0</v>
      </c>
      <c r="H79" s="116">
        <v>15208</v>
      </c>
      <c r="I79" s="116">
        <v>15208</v>
      </c>
      <c r="J79" s="123" t="s">
        <v>728</v>
      </c>
      <c r="K79" s="123" t="s">
        <v>729</v>
      </c>
      <c r="L79" s="122" t="s">
        <v>41</v>
      </c>
    </row>
    <row r="80" spans="1:12" ht="43.5" hidden="1" outlineLevel="1" x14ac:dyDescent="0.35">
      <c r="A80" s="119" t="s">
        <v>6</v>
      </c>
      <c r="B80" s="119" t="s">
        <v>497</v>
      </c>
      <c r="C80" s="115" t="s">
        <v>573</v>
      </c>
      <c r="D80" s="119"/>
      <c r="E80" s="120">
        <f>SUM(E73:E79)</f>
        <v>120165</v>
      </c>
      <c r="F80" s="120">
        <f>SUM(F73:F79)</f>
        <v>32953.43</v>
      </c>
      <c r="G80" s="120">
        <f>SUM(G73:G79)</f>
        <v>33127.210000000006</v>
      </c>
      <c r="H80" s="120">
        <f>SUM(H73:H79)</f>
        <v>141672.56</v>
      </c>
      <c r="I80" s="120">
        <f>SUM(I73:I79)</f>
        <v>54808.549999999996</v>
      </c>
      <c r="J80" s="123" t="s">
        <v>730</v>
      </c>
      <c r="K80" s="123" t="s">
        <v>731</v>
      </c>
      <c r="L80" s="122" t="s">
        <v>41</v>
      </c>
    </row>
    <row r="81" spans="1:12" ht="29" hidden="1" outlineLevel="2" x14ac:dyDescent="0.35">
      <c r="A81" s="115" t="s">
        <v>6</v>
      </c>
      <c r="B81" s="115" t="s">
        <v>51</v>
      </c>
      <c r="C81" s="115" t="s">
        <v>168</v>
      </c>
      <c r="D81" s="115" t="s">
        <v>166</v>
      </c>
      <c r="E81" s="116">
        <v>12200</v>
      </c>
      <c r="F81" s="116">
        <v>0</v>
      </c>
      <c r="G81" s="116">
        <v>0</v>
      </c>
      <c r="H81" s="116">
        <v>12200</v>
      </c>
      <c r="I81" s="116">
        <v>0</v>
      </c>
      <c r="J81" s="121" t="s">
        <v>732</v>
      </c>
      <c r="K81" s="121" t="s">
        <v>733</v>
      </c>
      <c r="L81" s="122" t="s">
        <v>576</v>
      </c>
    </row>
    <row r="82" spans="1:12" ht="29" hidden="1" outlineLevel="1" x14ac:dyDescent="0.35">
      <c r="A82" s="119" t="s">
        <v>6</v>
      </c>
      <c r="B82" s="119" t="s">
        <v>498</v>
      </c>
      <c r="C82" s="115" t="s">
        <v>168</v>
      </c>
      <c r="D82" s="119"/>
      <c r="E82" s="120">
        <f>SUM(E81:E81)</f>
        <v>12200</v>
      </c>
      <c r="F82" s="120">
        <f>SUM(F81:F81)</f>
        <v>0</v>
      </c>
      <c r="G82" s="120">
        <f>SUM(G81:G81)</f>
        <v>0</v>
      </c>
      <c r="H82" s="120">
        <f>SUM(H81:H81)</f>
        <v>12200</v>
      </c>
      <c r="I82" s="120">
        <f>SUM(I81:I81)</f>
        <v>0</v>
      </c>
      <c r="J82" s="121" t="s">
        <v>734</v>
      </c>
      <c r="K82" s="121" t="s">
        <v>735</v>
      </c>
      <c r="L82" s="122" t="s">
        <v>576</v>
      </c>
    </row>
    <row r="83" spans="1:12" ht="29" hidden="1" outlineLevel="2" x14ac:dyDescent="0.35">
      <c r="A83" s="115" t="s">
        <v>6</v>
      </c>
      <c r="B83" s="115" t="s">
        <v>52</v>
      </c>
      <c r="C83" s="115" t="s">
        <v>736</v>
      </c>
      <c r="D83" s="115" t="s">
        <v>370</v>
      </c>
      <c r="E83" s="116">
        <v>359</v>
      </c>
      <c r="F83" s="116">
        <v>359</v>
      </c>
      <c r="G83" s="116">
        <v>0</v>
      </c>
      <c r="H83" s="116">
        <v>359</v>
      </c>
      <c r="I83" s="116">
        <v>0</v>
      </c>
      <c r="J83" s="121" t="s">
        <v>737</v>
      </c>
      <c r="K83" s="121" t="s">
        <v>738</v>
      </c>
      <c r="L83" s="122" t="s">
        <v>576</v>
      </c>
    </row>
    <row r="84" spans="1:12" ht="29" hidden="1" outlineLevel="1" x14ac:dyDescent="0.35">
      <c r="A84" s="119" t="s">
        <v>6</v>
      </c>
      <c r="B84" s="119" t="s">
        <v>499</v>
      </c>
      <c r="C84" s="115" t="s">
        <v>736</v>
      </c>
      <c r="D84" s="119"/>
      <c r="E84" s="120">
        <f>SUM(E83:E83)</f>
        <v>359</v>
      </c>
      <c r="F84" s="120">
        <f>SUM(F83:F83)</f>
        <v>359</v>
      </c>
      <c r="G84" s="120">
        <f>SUM(G83:G83)</f>
        <v>0</v>
      </c>
      <c r="H84" s="120">
        <f>SUM(H83:H83)</f>
        <v>359</v>
      </c>
      <c r="I84" s="120">
        <f>SUM(I83:I83)</f>
        <v>0</v>
      </c>
      <c r="J84" s="121" t="s">
        <v>734</v>
      </c>
      <c r="K84" s="121" t="s">
        <v>735</v>
      </c>
      <c r="L84" s="122" t="s">
        <v>576</v>
      </c>
    </row>
    <row r="85" spans="1:12" ht="29" hidden="1" outlineLevel="2" x14ac:dyDescent="0.35">
      <c r="A85" s="115" t="s">
        <v>6</v>
      </c>
      <c r="B85" s="115" t="s">
        <v>53</v>
      </c>
      <c r="C85" s="115" t="s">
        <v>587</v>
      </c>
      <c r="D85" s="115" t="s">
        <v>170</v>
      </c>
      <c r="E85" s="116">
        <v>236250</v>
      </c>
      <c r="F85" s="116">
        <v>0</v>
      </c>
      <c r="G85" s="116">
        <v>0</v>
      </c>
      <c r="H85" s="116">
        <v>236250</v>
      </c>
      <c r="I85" s="116">
        <v>0</v>
      </c>
      <c r="J85" s="121" t="s">
        <v>739</v>
      </c>
      <c r="K85" s="121" t="s">
        <v>740</v>
      </c>
      <c r="L85" s="122" t="s">
        <v>576</v>
      </c>
    </row>
    <row r="86" spans="1:12" ht="29" hidden="1" outlineLevel="2" x14ac:dyDescent="0.35">
      <c r="A86" s="115" t="s">
        <v>6</v>
      </c>
      <c r="B86" s="115" t="s">
        <v>53</v>
      </c>
      <c r="C86" s="115" t="s">
        <v>587</v>
      </c>
      <c r="D86" s="115" t="s">
        <v>176</v>
      </c>
      <c r="E86" s="116">
        <v>141750</v>
      </c>
      <c r="F86" s="116">
        <v>0</v>
      </c>
      <c r="G86" s="116">
        <v>0</v>
      </c>
      <c r="H86" s="116">
        <v>141750</v>
      </c>
      <c r="I86" s="116">
        <v>0</v>
      </c>
      <c r="J86" s="121" t="s">
        <v>739</v>
      </c>
      <c r="K86" s="121" t="s">
        <v>740</v>
      </c>
      <c r="L86" s="122" t="s">
        <v>576</v>
      </c>
    </row>
    <row r="87" spans="1:12" ht="29" hidden="1" outlineLevel="2" x14ac:dyDescent="0.35">
      <c r="A87" s="115" t="s">
        <v>6</v>
      </c>
      <c r="B87" s="115" t="s">
        <v>53</v>
      </c>
      <c r="C87" s="115" t="s">
        <v>587</v>
      </c>
      <c r="D87" s="115" t="s">
        <v>177</v>
      </c>
      <c r="E87" s="116">
        <v>17099</v>
      </c>
      <c r="F87" s="116">
        <v>0</v>
      </c>
      <c r="G87" s="116">
        <v>0</v>
      </c>
      <c r="H87" s="116">
        <v>17099</v>
      </c>
      <c r="I87" s="116">
        <v>0</v>
      </c>
      <c r="J87" s="121" t="s">
        <v>741</v>
      </c>
      <c r="K87" s="121" t="s">
        <v>742</v>
      </c>
      <c r="L87" s="122" t="s">
        <v>576</v>
      </c>
    </row>
    <row r="88" spans="1:12" ht="29" hidden="1" outlineLevel="2" x14ac:dyDescent="0.35">
      <c r="A88" s="115" t="s">
        <v>6</v>
      </c>
      <c r="B88" s="115" t="s">
        <v>53</v>
      </c>
      <c r="C88" s="115" t="s">
        <v>587</v>
      </c>
      <c r="D88" s="115" t="s">
        <v>112</v>
      </c>
      <c r="E88" s="116">
        <v>259449</v>
      </c>
      <c r="F88" s="116">
        <v>64862.25</v>
      </c>
      <c r="G88" s="116">
        <v>34714.71</v>
      </c>
      <c r="H88" s="116">
        <v>254882.29</v>
      </c>
      <c r="I88" s="116">
        <v>0.45999999999185098</v>
      </c>
      <c r="J88" s="121" t="s">
        <v>743</v>
      </c>
      <c r="K88" s="121" t="s">
        <v>744</v>
      </c>
      <c r="L88" s="122" t="s">
        <v>576</v>
      </c>
    </row>
    <row r="89" spans="1:12" ht="29" hidden="1" outlineLevel="1" x14ac:dyDescent="0.35">
      <c r="A89" s="119" t="s">
        <v>6</v>
      </c>
      <c r="B89" s="119" t="s">
        <v>500</v>
      </c>
      <c r="C89" s="115" t="s">
        <v>587</v>
      </c>
      <c r="D89" s="119"/>
      <c r="E89" s="120">
        <f>SUM(E85:E88)</f>
        <v>654548</v>
      </c>
      <c r="F89" s="120">
        <f>SUM(F85:F88)</f>
        <v>64862.25</v>
      </c>
      <c r="G89" s="120">
        <f>SUM(G85:G88)</f>
        <v>34714.71</v>
      </c>
      <c r="H89" s="120">
        <f>SUM(H85:H88)</f>
        <v>649981.29</v>
      </c>
      <c r="I89" s="120">
        <f>SUM(I85:I88)</f>
        <v>0.45999999999185098</v>
      </c>
      <c r="J89" s="121" t="s">
        <v>734</v>
      </c>
      <c r="K89" s="121" t="s">
        <v>735</v>
      </c>
      <c r="L89" s="122" t="s">
        <v>576</v>
      </c>
    </row>
    <row r="90" spans="1:12" ht="29" hidden="1" outlineLevel="2" x14ac:dyDescent="0.35">
      <c r="A90" s="115" t="s">
        <v>6</v>
      </c>
      <c r="B90" s="115" t="s">
        <v>421</v>
      </c>
      <c r="C90" s="115"/>
      <c r="D90" s="115" t="s">
        <v>420</v>
      </c>
      <c r="E90" s="116">
        <v>1244018</v>
      </c>
      <c r="F90" s="116">
        <v>311004.5</v>
      </c>
      <c r="G90" s="116">
        <v>330606.05249999999</v>
      </c>
      <c r="H90" s="116">
        <v>913411.94750000001</v>
      </c>
      <c r="I90" s="116">
        <v>19601.552500000002</v>
      </c>
      <c r="J90" s="125" t="s">
        <v>745</v>
      </c>
      <c r="K90" s="125" t="s">
        <v>746</v>
      </c>
      <c r="L90" s="122" t="s">
        <v>614</v>
      </c>
    </row>
    <row r="91" spans="1:12" ht="29" hidden="1" outlineLevel="1" x14ac:dyDescent="0.35">
      <c r="A91" s="119" t="s">
        <v>6</v>
      </c>
      <c r="B91" s="119" t="s">
        <v>747</v>
      </c>
      <c r="C91" s="119"/>
      <c r="D91" s="119"/>
      <c r="E91" s="120">
        <f>SUM(E90:E90)</f>
        <v>1244018</v>
      </c>
      <c r="F91" s="120">
        <f>SUM(F90:F90)</f>
        <v>311004.5</v>
      </c>
      <c r="G91" s="120">
        <f>SUM(G90:G90)</f>
        <v>330606.05249999999</v>
      </c>
      <c r="H91" s="120">
        <f>SUM(H90:H90)</f>
        <v>913411.94750000001</v>
      </c>
      <c r="I91" s="120">
        <f>SUM(I90:I90)</f>
        <v>19601.552500000002</v>
      </c>
      <c r="J91" s="125" t="s">
        <v>748</v>
      </c>
      <c r="K91" s="125" t="s">
        <v>749</v>
      </c>
      <c r="L91" s="122" t="s">
        <v>614</v>
      </c>
    </row>
    <row r="92" spans="1:12" ht="87" collapsed="1" x14ac:dyDescent="0.35">
      <c r="A92" s="119" t="s">
        <v>750</v>
      </c>
      <c r="B92" s="119"/>
      <c r="C92" s="119"/>
      <c r="D92" s="119"/>
      <c r="E92" s="120">
        <f>SUM(E80,E82,E84,E89,E91)</f>
        <v>2031290</v>
      </c>
      <c r="F92" s="120">
        <f>SUM(F80,F82,F84,F89,F91)</f>
        <v>409179.18</v>
      </c>
      <c r="G92" s="120">
        <f>SUM(G80,G82,G84,G89,G91)</f>
        <v>398447.97250000003</v>
      </c>
      <c r="H92" s="120">
        <f>SUM(H80,H82,H84,H89,H91)</f>
        <v>1717624.7975000001</v>
      </c>
      <c r="I92" s="120">
        <f>SUM(I80,I82,I84,I89,I91)</f>
        <v>74410.562499999985</v>
      </c>
      <c r="J92" s="123" t="s">
        <v>751</v>
      </c>
      <c r="K92" s="123" t="s">
        <v>752</v>
      </c>
      <c r="L92" s="122" t="s">
        <v>41</v>
      </c>
    </row>
    <row r="93" spans="1:12" ht="58" hidden="1" outlineLevel="2" x14ac:dyDescent="0.35">
      <c r="A93" s="115" t="s">
        <v>7</v>
      </c>
      <c r="B93" s="115" t="s">
        <v>48</v>
      </c>
      <c r="C93" s="115" t="s">
        <v>211</v>
      </c>
      <c r="D93" s="115" t="s">
        <v>322</v>
      </c>
      <c r="E93" s="116">
        <v>191646</v>
      </c>
      <c r="F93" s="116">
        <v>0</v>
      </c>
      <c r="G93" s="116">
        <v>0</v>
      </c>
      <c r="H93" s="116">
        <v>143734.5</v>
      </c>
      <c r="I93" s="116">
        <v>-47911.5</v>
      </c>
      <c r="J93" s="117" t="s">
        <v>753</v>
      </c>
      <c r="K93" s="117" t="s">
        <v>754</v>
      </c>
      <c r="L93" s="118" t="s">
        <v>568</v>
      </c>
    </row>
    <row r="94" spans="1:12" ht="29" hidden="1" outlineLevel="2" x14ac:dyDescent="0.35">
      <c r="A94" s="115" t="s">
        <v>7</v>
      </c>
      <c r="B94" s="115" t="s">
        <v>48</v>
      </c>
      <c r="C94" s="115" t="s">
        <v>211</v>
      </c>
      <c r="D94" s="115" t="s">
        <v>234</v>
      </c>
      <c r="E94" s="116">
        <v>10080</v>
      </c>
      <c r="F94" s="116">
        <v>0</v>
      </c>
      <c r="G94" s="116">
        <v>0</v>
      </c>
      <c r="H94" s="116">
        <v>10080</v>
      </c>
      <c r="I94" s="116">
        <v>0</v>
      </c>
      <c r="J94" s="121" t="s">
        <v>755</v>
      </c>
      <c r="K94" s="121" t="s">
        <v>756</v>
      </c>
      <c r="L94" s="122" t="s">
        <v>576</v>
      </c>
    </row>
    <row r="95" spans="1:12" ht="29" hidden="1" outlineLevel="2" x14ac:dyDescent="0.35">
      <c r="A95" s="115" t="s">
        <v>7</v>
      </c>
      <c r="B95" s="115" t="s">
        <v>48</v>
      </c>
      <c r="C95" s="115" t="s">
        <v>211</v>
      </c>
      <c r="D95" s="115" t="s">
        <v>313</v>
      </c>
      <c r="E95" s="116">
        <v>139684</v>
      </c>
      <c r="F95" s="116">
        <v>34921</v>
      </c>
      <c r="G95" s="116">
        <v>34921</v>
      </c>
      <c r="H95" s="116">
        <v>104763</v>
      </c>
      <c r="I95" s="116">
        <v>-2.91038304567337E-11</v>
      </c>
      <c r="J95" s="121" t="s">
        <v>757</v>
      </c>
      <c r="K95" s="121" t="s">
        <v>758</v>
      </c>
      <c r="L95" s="122" t="s">
        <v>576</v>
      </c>
    </row>
    <row r="96" spans="1:12" ht="29" hidden="1" outlineLevel="2" x14ac:dyDescent="0.35">
      <c r="A96" s="115" t="s">
        <v>7</v>
      </c>
      <c r="B96" s="115" t="s">
        <v>48</v>
      </c>
      <c r="C96" s="115" t="s">
        <v>211</v>
      </c>
      <c r="D96" s="115" t="s">
        <v>181</v>
      </c>
      <c r="E96" s="116">
        <v>100844.1</v>
      </c>
      <c r="F96" s="116">
        <v>100844.1</v>
      </c>
      <c r="G96" s="116">
        <v>96041.64</v>
      </c>
      <c r="H96" s="116">
        <v>4802.46000000001</v>
      </c>
      <c r="I96" s="116">
        <v>-4802.46000000001</v>
      </c>
      <c r="J96" s="117" t="s">
        <v>759</v>
      </c>
      <c r="K96" s="117" t="s">
        <v>760</v>
      </c>
      <c r="L96" s="118" t="s">
        <v>568</v>
      </c>
    </row>
    <row r="97" spans="1:14" ht="29" hidden="1" outlineLevel="2" x14ac:dyDescent="0.35">
      <c r="A97" s="115" t="s">
        <v>7</v>
      </c>
      <c r="B97" s="115" t="s">
        <v>48</v>
      </c>
      <c r="C97" s="115" t="s">
        <v>211</v>
      </c>
      <c r="D97" s="115" t="s">
        <v>304</v>
      </c>
      <c r="E97" s="116">
        <v>117539.0055</v>
      </c>
      <c r="F97" s="116">
        <v>12256.39</v>
      </c>
      <c r="G97" s="116">
        <v>12001.59</v>
      </c>
      <c r="H97" s="116">
        <v>105791.55</v>
      </c>
      <c r="I97" s="116">
        <v>-0.66549999999915599</v>
      </c>
      <c r="J97" s="117" t="s">
        <v>647</v>
      </c>
      <c r="K97" s="117" t="s">
        <v>648</v>
      </c>
      <c r="L97" s="118" t="s">
        <v>568</v>
      </c>
    </row>
    <row r="98" spans="1:14" ht="72.5" hidden="1" outlineLevel="2" x14ac:dyDescent="0.35">
      <c r="A98" s="115" t="s">
        <v>7</v>
      </c>
      <c r="B98" s="115" t="s">
        <v>48</v>
      </c>
      <c r="C98" s="115" t="s">
        <v>211</v>
      </c>
      <c r="D98" s="115" t="s">
        <v>208</v>
      </c>
      <c r="E98" s="116">
        <v>1410968.58415</v>
      </c>
      <c r="F98" s="116">
        <v>340865.47</v>
      </c>
      <c r="G98" s="116">
        <v>340865.47</v>
      </c>
      <c r="H98" s="116">
        <v>854327.49250000005</v>
      </c>
      <c r="I98" s="116">
        <v>-215775.62164999999</v>
      </c>
      <c r="J98" s="117" t="s">
        <v>761</v>
      </c>
      <c r="K98" s="117" t="s">
        <v>762</v>
      </c>
      <c r="L98" s="118" t="s">
        <v>568</v>
      </c>
    </row>
    <row r="99" spans="1:14" ht="29" hidden="1" outlineLevel="2" x14ac:dyDescent="0.35">
      <c r="A99" s="115" t="s">
        <v>7</v>
      </c>
      <c r="B99" s="115" t="s">
        <v>48</v>
      </c>
      <c r="C99" s="115" t="s">
        <v>211</v>
      </c>
      <c r="D99" s="115" t="s">
        <v>278</v>
      </c>
      <c r="E99" s="116">
        <v>51930.15</v>
      </c>
      <c r="F99" s="116">
        <v>44460.15</v>
      </c>
      <c r="G99" s="116">
        <v>46713</v>
      </c>
      <c r="H99" s="116">
        <v>5217.1499999999996</v>
      </c>
      <c r="I99" s="116">
        <v>2252.85</v>
      </c>
      <c r="J99" s="125" t="s">
        <v>763</v>
      </c>
      <c r="K99" s="125" t="s">
        <v>764</v>
      </c>
      <c r="L99" s="122" t="s">
        <v>614</v>
      </c>
    </row>
    <row r="100" spans="1:14" ht="29" hidden="1" outlineLevel="2" x14ac:dyDescent="0.35">
      <c r="A100" s="115" t="s">
        <v>7</v>
      </c>
      <c r="B100" s="115" t="s">
        <v>48</v>
      </c>
      <c r="C100" s="115" t="s">
        <v>211</v>
      </c>
      <c r="D100" s="115" t="s">
        <v>70</v>
      </c>
      <c r="E100" s="116">
        <v>215860.41750000001</v>
      </c>
      <c r="F100" s="116">
        <v>957</v>
      </c>
      <c r="G100" s="116">
        <v>957.23</v>
      </c>
      <c r="H100" s="116">
        <v>214903.27</v>
      </c>
      <c r="I100" s="116">
        <v>0.3125</v>
      </c>
      <c r="J100" s="121" t="s">
        <v>647</v>
      </c>
      <c r="K100" s="121" t="s">
        <v>648</v>
      </c>
      <c r="L100" s="122" t="s">
        <v>576</v>
      </c>
    </row>
    <row r="101" spans="1:14" ht="101.5" hidden="1" outlineLevel="1" x14ac:dyDescent="0.35">
      <c r="A101" s="119" t="s">
        <v>7</v>
      </c>
      <c r="B101" s="119" t="s">
        <v>495</v>
      </c>
      <c r="C101" s="115" t="s">
        <v>211</v>
      </c>
      <c r="D101" s="119"/>
      <c r="E101" s="120">
        <f>SUM(E93:E100)</f>
        <v>2238552.25715</v>
      </c>
      <c r="F101" s="120">
        <f>SUM(F93:F100)</f>
        <v>534304.11</v>
      </c>
      <c r="G101" s="120">
        <f>SUM(G93:G100)</f>
        <v>531499.92999999993</v>
      </c>
      <c r="H101" s="120">
        <f>SUM(H93:H100)</f>
        <v>1443619.4224999999</v>
      </c>
      <c r="I101" s="120">
        <f>SUM(I93:I100)</f>
        <v>-266237.08465000003</v>
      </c>
      <c r="J101" s="117" t="s">
        <v>765</v>
      </c>
      <c r="K101" s="117" t="s">
        <v>766</v>
      </c>
      <c r="L101" s="118" t="s">
        <v>568</v>
      </c>
    </row>
    <row r="102" spans="1:14" ht="29" hidden="1" outlineLevel="2" x14ac:dyDescent="0.35">
      <c r="A102" s="115" t="s">
        <v>7</v>
      </c>
      <c r="B102" s="115" t="s">
        <v>49</v>
      </c>
      <c r="C102" s="115" t="s">
        <v>104</v>
      </c>
      <c r="D102" s="115" t="s">
        <v>57</v>
      </c>
      <c r="E102" s="116">
        <v>1338002.922</v>
      </c>
      <c r="F102" s="116">
        <v>283776.67025000002</v>
      </c>
      <c r="G102" s="116">
        <v>4463.99</v>
      </c>
      <c r="H102" s="116">
        <v>1333539.0715000001</v>
      </c>
      <c r="I102" s="116">
        <v>-6404.7907500001202</v>
      </c>
      <c r="J102" s="117" t="s">
        <v>767</v>
      </c>
      <c r="K102" s="117" t="s">
        <v>768</v>
      </c>
      <c r="L102" s="118" t="s">
        <v>568</v>
      </c>
    </row>
    <row r="103" spans="1:14" ht="29" hidden="1" outlineLevel="2" x14ac:dyDescent="0.35">
      <c r="A103" s="115" t="s">
        <v>7</v>
      </c>
      <c r="B103" s="115" t="s">
        <v>49</v>
      </c>
      <c r="C103" s="115" t="s">
        <v>104</v>
      </c>
      <c r="D103" s="115" t="s">
        <v>75</v>
      </c>
      <c r="E103" s="116">
        <v>5250</v>
      </c>
      <c r="F103" s="116">
        <v>5250</v>
      </c>
      <c r="G103" s="116">
        <v>0</v>
      </c>
      <c r="H103" s="116">
        <v>5250</v>
      </c>
      <c r="I103" s="116">
        <v>0</v>
      </c>
      <c r="J103" s="121" t="s">
        <v>769</v>
      </c>
      <c r="K103" s="121" t="s">
        <v>770</v>
      </c>
      <c r="L103" s="122" t="s">
        <v>576</v>
      </c>
    </row>
    <row r="104" spans="1:14" ht="29" hidden="1" outlineLevel="2" x14ac:dyDescent="0.35">
      <c r="A104" s="115" t="s">
        <v>7</v>
      </c>
      <c r="B104" s="115" t="s">
        <v>49</v>
      </c>
      <c r="C104" s="115" t="s">
        <v>104</v>
      </c>
      <c r="D104" s="115" t="s">
        <v>76</v>
      </c>
      <c r="E104" s="116">
        <v>27790.5285</v>
      </c>
      <c r="F104" s="116">
        <v>0</v>
      </c>
      <c r="G104" s="116">
        <v>0</v>
      </c>
      <c r="H104" s="116">
        <v>27791</v>
      </c>
      <c r="I104" s="116">
        <v>0.47149999999783199</v>
      </c>
      <c r="J104" s="121" t="s">
        <v>647</v>
      </c>
      <c r="K104" s="121" t="s">
        <v>648</v>
      </c>
      <c r="L104" s="122" t="s">
        <v>576</v>
      </c>
    </row>
    <row r="105" spans="1:14" ht="29" hidden="1" outlineLevel="2" x14ac:dyDescent="0.35">
      <c r="A105" s="115" t="s">
        <v>7</v>
      </c>
      <c r="B105" s="115" t="s">
        <v>49</v>
      </c>
      <c r="C105" s="115" t="s">
        <v>104</v>
      </c>
      <c r="D105" s="115" t="s">
        <v>67</v>
      </c>
      <c r="E105" s="116">
        <v>3052298</v>
      </c>
      <c r="F105" s="116">
        <v>758846.25</v>
      </c>
      <c r="G105" s="116">
        <v>755792.57</v>
      </c>
      <c r="H105" s="116">
        <v>2299559.6466666702</v>
      </c>
      <c r="I105" s="116">
        <v>0.53666666693607101</v>
      </c>
      <c r="J105" s="117" t="s">
        <v>771</v>
      </c>
      <c r="K105" s="117" t="s">
        <v>772</v>
      </c>
      <c r="L105" s="118" t="s">
        <v>568</v>
      </c>
    </row>
    <row r="106" spans="1:14" ht="29" hidden="1" outlineLevel="2" x14ac:dyDescent="0.35">
      <c r="A106" s="115" t="s">
        <v>7</v>
      </c>
      <c r="B106" s="115" t="s">
        <v>49</v>
      </c>
      <c r="C106" s="115" t="s">
        <v>104</v>
      </c>
      <c r="D106" s="115" t="s">
        <v>77</v>
      </c>
      <c r="E106" s="116">
        <v>307613.8</v>
      </c>
      <c r="F106" s="116">
        <v>74725</v>
      </c>
      <c r="G106" s="116">
        <v>74725</v>
      </c>
      <c r="H106" s="116">
        <v>229258.05</v>
      </c>
      <c r="I106" s="116">
        <v>-3630.75000000006</v>
      </c>
      <c r="J106" s="117" t="s">
        <v>773</v>
      </c>
      <c r="K106" s="117" t="s">
        <v>774</v>
      </c>
      <c r="L106" s="118" t="s">
        <v>568</v>
      </c>
    </row>
    <row r="107" spans="1:14" ht="87" hidden="1" outlineLevel="2" x14ac:dyDescent="0.35">
      <c r="A107" s="115" t="s">
        <v>7</v>
      </c>
      <c r="B107" s="115" t="s">
        <v>49</v>
      </c>
      <c r="C107" s="115" t="s">
        <v>104</v>
      </c>
      <c r="D107" s="115" t="s">
        <v>74</v>
      </c>
      <c r="E107" s="116">
        <v>453011.9645</v>
      </c>
      <c r="F107" s="116">
        <v>160787.98749999999</v>
      </c>
      <c r="G107" s="116">
        <v>125912.9875</v>
      </c>
      <c r="H107" s="116">
        <v>399834.96666666702</v>
      </c>
      <c r="I107" s="116">
        <v>72735.989666666705</v>
      </c>
      <c r="J107" s="123" t="s">
        <v>775</v>
      </c>
      <c r="K107" s="123" t="s">
        <v>776</v>
      </c>
      <c r="L107" s="122" t="s">
        <v>41</v>
      </c>
      <c r="M107" s="124"/>
      <c r="N107" t="s">
        <v>777</v>
      </c>
    </row>
    <row r="108" spans="1:14" ht="29" hidden="1" outlineLevel="2" x14ac:dyDescent="0.35">
      <c r="A108" s="115" t="s">
        <v>7</v>
      </c>
      <c r="B108" s="115" t="s">
        <v>49</v>
      </c>
      <c r="C108" s="115" t="s">
        <v>104</v>
      </c>
      <c r="D108" s="115" t="s">
        <v>70</v>
      </c>
      <c r="E108" s="116"/>
      <c r="F108" s="116">
        <v>0</v>
      </c>
      <c r="G108" s="116">
        <v>0</v>
      </c>
      <c r="H108" s="116">
        <v>0</v>
      </c>
      <c r="I108" s="116">
        <v>0</v>
      </c>
      <c r="J108" s="121" t="s">
        <v>645</v>
      </c>
      <c r="K108" s="121" t="s">
        <v>646</v>
      </c>
      <c r="L108" s="122" t="s">
        <v>576</v>
      </c>
      <c r="N108" t="s">
        <v>778</v>
      </c>
    </row>
    <row r="109" spans="1:14" ht="29" hidden="1" outlineLevel="2" x14ac:dyDescent="0.35">
      <c r="A109" s="115" t="s">
        <v>7</v>
      </c>
      <c r="B109" s="115" t="s">
        <v>49</v>
      </c>
      <c r="C109" s="115" t="s">
        <v>104</v>
      </c>
      <c r="D109" s="115" t="s">
        <v>78</v>
      </c>
      <c r="E109" s="116">
        <v>5407.5</v>
      </c>
      <c r="F109" s="116">
        <v>0</v>
      </c>
      <c r="G109" s="116">
        <v>0</v>
      </c>
      <c r="H109" s="116">
        <v>5407.5</v>
      </c>
      <c r="I109" s="116">
        <v>0</v>
      </c>
      <c r="J109" s="121" t="s">
        <v>755</v>
      </c>
      <c r="K109" s="121" t="s">
        <v>756</v>
      </c>
      <c r="L109" s="122" t="s">
        <v>576</v>
      </c>
      <c r="N109" t="s">
        <v>779</v>
      </c>
    </row>
    <row r="110" spans="1:14" ht="29" hidden="1" outlineLevel="2" x14ac:dyDescent="0.35">
      <c r="A110" s="115" t="s">
        <v>7</v>
      </c>
      <c r="B110" s="115" t="s">
        <v>49</v>
      </c>
      <c r="C110" s="115" t="s">
        <v>104</v>
      </c>
      <c r="D110" s="115" t="s">
        <v>79</v>
      </c>
      <c r="E110" s="116">
        <v>61830</v>
      </c>
      <c r="F110" s="116">
        <v>0</v>
      </c>
      <c r="G110" s="116">
        <v>0</v>
      </c>
      <c r="H110" s="116">
        <v>61830</v>
      </c>
      <c r="I110" s="116">
        <v>0</v>
      </c>
      <c r="J110" s="121" t="s">
        <v>780</v>
      </c>
      <c r="K110" s="121" t="s">
        <v>781</v>
      </c>
      <c r="L110" s="122" t="s">
        <v>576</v>
      </c>
      <c r="N110" t="s">
        <v>782</v>
      </c>
    </row>
    <row r="111" spans="1:14" ht="29" hidden="1" outlineLevel="1" x14ac:dyDescent="0.35">
      <c r="A111" s="119" t="s">
        <v>7</v>
      </c>
      <c r="B111" s="119" t="s">
        <v>496</v>
      </c>
      <c r="C111" s="115" t="s">
        <v>104</v>
      </c>
      <c r="D111" s="119"/>
      <c r="E111" s="120">
        <f>SUM(E102:E110)</f>
        <v>5251204.7149999999</v>
      </c>
      <c r="F111" s="120">
        <f>SUM(F102:F110)</f>
        <v>1283385.90775</v>
      </c>
      <c r="G111" s="120">
        <f>SUM(G102:G110)</f>
        <v>960894.54749999999</v>
      </c>
      <c r="H111" s="120">
        <f>SUM(H102:H110)</f>
        <v>4362470.2348333374</v>
      </c>
      <c r="I111" s="120">
        <f>SUM(I102:I110)</f>
        <v>62701.457083333458</v>
      </c>
      <c r="J111" s="123" t="s">
        <v>783</v>
      </c>
      <c r="K111" s="123" t="s">
        <v>784</v>
      </c>
      <c r="L111" s="122" t="s">
        <v>41</v>
      </c>
    </row>
    <row r="112" spans="1:14" ht="29" hidden="1" outlineLevel="2" x14ac:dyDescent="0.35">
      <c r="A112" s="115" t="s">
        <v>7</v>
      </c>
      <c r="B112" s="115" t="s">
        <v>50</v>
      </c>
      <c r="C112" s="115" t="s">
        <v>573</v>
      </c>
      <c r="D112" s="115" t="s">
        <v>407</v>
      </c>
      <c r="E112" s="116">
        <v>1778445.9</v>
      </c>
      <c r="F112" s="116">
        <v>466168.005</v>
      </c>
      <c r="G112" s="116">
        <v>466168.005</v>
      </c>
      <c r="H112" s="116">
        <v>1398504.0149999999</v>
      </c>
      <c r="I112" s="116">
        <v>86226.119999999602</v>
      </c>
      <c r="J112" s="123" t="s">
        <v>785</v>
      </c>
      <c r="K112" s="123" t="s">
        <v>786</v>
      </c>
      <c r="L112" s="122" t="s">
        <v>41</v>
      </c>
      <c r="M112" s="124"/>
    </row>
    <row r="113" spans="1:13" ht="29" hidden="1" outlineLevel="2" x14ac:dyDescent="0.35">
      <c r="A113" s="115" t="s">
        <v>7</v>
      </c>
      <c r="B113" s="115" t="s">
        <v>50</v>
      </c>
      <c r="C113" s="115" t="s">
        <v>573</v>
      </c>
      <c r="D113" s="115" t="s">
        <v>417</v>
      </c>
      <c r="E113" s="116">
        <v>0</v>
      </c>
      <c r="F113" s="116">
        <v>0</v>
      </c>
      <c r="G113" s="116">
        <v>0</v>
      </c>
      <c r="H113" s="116">
        <v>92000</v>
      </c>
      <c r="I113" s="116">
        <v>92000</v>
      </c>
      <c r="J113" s="123" t="s">
        <v>787</v>
      </c>
      <c r="K113" s="123" t="s">
        <v>788</v>
      </c>
      <c r="L113" s="122" t="s">
        <v>41</v>
      </c>
      <c r="M113" s="124"/>
    </row>
    <row r="114" spans="1:13" ht="29" hidden="1" outlineLevel="2" x14ac:dyDescent="0.35">
      <c r="A114" s="115" t="s">
        <v>7</v>
      </c>
      <c r="B114" s="115" t="s">
        <v>50</v>
      </c>
      <c r="C114" s="115" t="s">
        <v>573</v>
      </c>
      <c r="D114" s="115" t="s">
        <v>56</v>
      </c>
      <c r="E114" s="116">
        <v>3617396</v>
      </c>
      <c r="F114" s="116">
        <v>1001329.89</v>
      </c>
      <c r="G114" s="116">
        <v>1069485.7</v>
      </c>
      <c r="H114" s="116">
        <v>2935833.86</v>
      </c>
      <c r="I114" s="116">
        <v>456079.36999999901</v>
      </c>
      <c r="J114" s="123" t="s">
        <v>789</v>
      </c>
      <c r="K114" s="123" t="s">
        <v>790</v>
      </c>
      <c r="L114" s="122" t="s">
        <v>41</v>
      </c>
      <c r="M114" s="124"/>
    </row>
    <row r="115" spans="1:13" ht="29" hidden="1" outlineLevel="2" x14ac:dyDescent="0.35">
      <c r="A115" s="115" t="s">
        <v>7</v>
      </c>
      <c r="B115" s="115" t="s">
        <v>50</v>
      </c>
      <c r="C115" s="115" t="s">
        <v>573</v>
      </c>
      <c r="D115" s="115" t="s">
        <v>133</v>
      </c>
      <c r="E115" s="116">
        <v>14700</v>
      </c>
      <c r="F115" s="116">
        <v>0</v>
      </c>
      <c r="G115" s="116">
        <v>0</v>
      </c>
      <c r="H115" s="116">
        <v>14700</v>
      </c>
      <c r="I115" s="116">
        <v>0</v>
      </c>
      <c r="J115" s="121" t="s">
        <v>755</v>
      </c>
      <c r="K115" s="121" t="s">
        <v>756</v>
      </c>
      <c r="L115" s="122" t="s">
        <v>576</v>
      </c>
    </row>
    <row r="116" spans="1:13" ht="29" hidden="1" outlineLevel="2" x14ac:dyDescent="0.35">
      <c r="A116" s="115" t="s">
        <v>7</v>
      </c>
      <c r="B116" s="115" t="s">
        <v>50</v>
      </c>
      <c r="C116" s="115" t="s">
        <v>573</v>
      </c>
      <c r="D116" s="115" t="s">
        <v>240</v>
      </c>
      <c r="E116" s="116">
        <v>12600</v>
      </c>
      <c r="F116" s="116">
        <v>12600</v>
      </c>
      <c r="G116" s="116">
        <v>12000</v>
      </c>
      <c r="H116" s="116">
        <v>600</v>
      </c>
      <c r="I116" s="116">
        <v>-600</v>
      </c>
      <c r="J116" s="117" t="s">
        <v>791</v>
      </c>
      <c r="K116" s="117" t="s">
        <v>792</v>
      </c>
      <c r="L116" s="118" t="s">
        <v>568</v>
      </c>
    </row>
    <row r="117" spans="1:13" ht="29" hidden="1" outlineLevel="2" x14ac:dyDescent="0.35">
      <c r="A117" s="115" t="s">
        <v>7</v>
      </c>
      <c r="B117" s="115" t="s">
        <v>50</v>
      </c>
      <c r="C117" s="115" t="s">
        <v>573</v>
      </c>
      <c r="D117" s="115" t="s">
        <v>208</v>
      </c>
      <c r="E117" s="116">
        <v>111003</v>
      </c>
      <c r="F117" s="116">
        <v>0</v>
      </c>
      <c r="G117" s="116">
        <v>0</v>
      </c>
      <c r="H117" s="116">
        <v>111003</v>
      </c>
      <c r="I117" s="116">
        <v>0</v>
      </c>
      <c r="J117" s="121" t="s">
        <v>755</v>
      </c>
      <c r="K117" s="121" t="s">
        <v>756</v>
      </c>
      <c r="L117" s="122" t="s">
        <v>576</v>
      </c>
    </row>
    <row r="118" spans="1:13" ht="29" hidden="1" outlineLevel="2" x14ac:dyDescent="0.35">
      <c r="A118" s="115" t="s">
        <v>7</v>
      </c>
      <c r="B118" s="115" t="s">
        <v>50</v>
      </c>
      <c r="C118" s="115" t="s">
        <v>573</v>
      </c>
      <c r="D118" s="115" t="s">
        <v>256</v>
      </c>
      <c r="E118" s="116">
        <v>2751</v>
      </c>
      <c r="F118" s="116">
        <v>1389</v>
      </c>
      <c r="G118" s="116">
        <v>1472.85</v>
      </c>
      <c r="H118" s="116">
        <v>1278.1500000000001</v>
      </c>
      <c r="I118" s="116">
        <v>83.849999999999696</v>
      </c>
      <c r="J118" s="117" t="s">
        <v>793</v>
      </c>
      <c r="K118" s="117" t="s">
        <v>794</v>
      </c>
      <c r="L118" s="118" t="s">
        <v>568</v>
      </c>
    </row>
    <row r="119" spans="1:13" ht="29" hidden="1" outlineLevel="2" x14ac:dyDescent="0.35">
      <c r="A119" s="115" t="s">
        <v>7</v>
      </c>
      <c r="B119" s="115" t="s">
        <v>50</v>
      </c>
      <c r="C119" s="115" t="s">
        <v>573</v>
      </c>
      <c r="D119" s="115" t="s">
        <v>334</v>
      </c>
      <c r="E119" s="116">
        <v>3500000</v>
      </c>
      <c r="F119" s="116">
        <v>634574.28</v>
      </c>
      <c r="G119" s="116">
        <v>634574.28</v>
      </c>
      <c r="H119" s="116">
        <v>3097913.69</v>
      </c>
      <c r="I119" s="116">
        <v>232487.97</v>
      </c>
      <c r="J119" s="125" t="s">
        <v>795</v>
      </c>
      <c r="K119" s="125" t="s">
        <v>796</v>
      </c>
      <c r="L119" s="122" t="s">
        <v>614</v>
      </c>
    </row>
    <row r="120" spans="1:13" ht="29" hidden="1" outlineLevel="2" x14ac:dyDescent="0.35">
      <c r="A120" s="115" t="s">
        <v>7</v>
      </c>
      <c r="B120" s="115" t="s">
        <v>50</v>
      </c>
      <c r="C120" s="115" t="s">
        <v>573</v>
      </c>
      <c r="D120" s="115" t="s">
        <v>410</v>
      </c>
      <c r="E120" s="116">
        <v>298544.40000000002</v>
      </c>
      <c r="F120" s="116">
        <v>71082.092499999999</v>
      </c>
      <c r="G120" s="116">
        <v>71082.092499999999</v>
      </c>
      <c r="H120" s="116">
        <v>213246.2775</v>
      </c>
      <c r="I120" s="116">
        <v>-14216.030000000101</v>
      </c>
      <c r="J120" s="117" t="s">
        <v>797</v>
      </c>
      <c r="K120" s="117" t="s">
        <v>798</v>
      </c>
      <c r="L120" s="118" t="s">
        <v>158</v>
      </c>
    </row>
    <row r="121" spans="1:13" ht="29" hidden="1" outlineLevel="2" x14ac:dyDescent="0.35">
      <c r="A121" s="115" t="s">
        <v>7</v>
      </c>
      <c r="B121" s="115" t="s">
        <v>50</v>
      </c>
      <c r="C121" s="115" t="s">
        <v>573</v>
      </c>
      <c r="D121" s="115" t="s">
        <v>272</v>
      </c>
      <c r="E121" s="116">
        <v>8435.7000000000007</v>
      </c>
      <c r="F121" s="116">
        <v>0</v>
      </c>
      <c r="G121" s="116">
        <v>0</v>
      </c>
      <c r="H121" s="116">
        <v>8436</v>
      </c>
      <c r="I121" s="116">
        <v>0.29999999999927202</v>
      </c>
      <c r="J121" s="121" t="s">
        <v>647</v>
      </c>
      <c r="K121" s="121" t="s">
        <v>648</v>
      </c>
      <c r="L121" s="122" t="s">
        <v>576</v>
      </c>
    </row>
    <row r="122" spans="1:13" ht="29" hidden="1" outlineLevel="2" x14ac:dyDescent="0.35">
      <c r="A122" s="115" t="s">
        <v>7</v>
      </c>
      <c r="B122" s="115" t="s">
        <v>50</v>
      </c>
      <c r="C122" s="115" t="s">
        <v>573</v>
      </c>
      <c r="D122" s="115" t="s">
        <v>353</v>
      </c>
      <c r="E122" s="116">
        <v>411547.5</v>
      </c>
      <c r="F122" s="116">
        <v>411547.5</v>
      </c>
      <c r="G122" s="116">
        <v>544375</v>
      </c>
      <c r="H122" s="116">
        <v>-132827.5</v>
      </c>
      <c r="I122" s="116">
        <v>132827.5</v>
      </c>
      <c r="J122" s="123" t="s">
        <v>799</v>
      </c>
      <c r="K122" s="123" t="s">
        <v>800</v>
      </c>
      <c r="L122" s="122" t="s">
        <v>41</v>
      </c>
    </row>
    <row r="123" spans="1:13" ht="72.5" hidden="1" outlineLevel="1" x14ac:dyDescent="0.35">
      <c r="A123" s="119" t="s">
        <v>7</v>
      </c>
      <c r="B123" s="119" t="s">
        <v>497</v>
      </c>
      <c r="C123" s="115" t="s">
        <v>573</v>
      </c>
      <c r="D123" s="119"/>
      <c r="E123" s="120">
        <f>SUM(E112:E122)</f>
        <v>9755423.5</v>
      </c>
      <c r="F123" s="120">
        <f>SUM(F112:F122)</f>
        <v>2598690.7674999996</v>
      </c>
      <c r="G123" s="120">
        <f>SUM(G112:G122)</f>
        <v>2799157.9274999998</v>
      </c>
      <c r="H123" s="120">
        <f>SUM(H112:H122)</f>
        <v>7740687.4924999997</v>
      </c>
      <c r="I123" s="120">
        <f>SUM(I112:I122)</f>
        <v>984889.07999999844</v>
      </c>
      <c r="J123" s="123" t="s">
        <v>801</v>
      </c>
      <c r="K123" s="123" t="s">
        <v>802</v>
      </c>
      <c r="L123" s="122" t="s">
        <v>41</v>
      </c>
    </row>
    <row r="124" spans="1:13" ht="29" hidden="1" outlineLevel="2" x14ac:dyDescent="0.35">
      <c r="A124" s="115" t="s">
        <v>7</v>
      </c>
      <c r="B124" s="115" t="s">
        <v>51</v>
      </c>
      <c r="C124" s="115" t="s">
        <v>168</v>
      </c>
      <c r="D124" s="115" t="s">
        <v>248</v>
      </c>
      <c r="E124" s="116">
        <v>1260</v>
      </c>
      <c r="F124" s="116">
        <v>1260</v>
      </c>
      <c r="G124" s="116">
        <v>1260</v>
      </c>
      <c r="H124" s="116">
        <v>0</v>
      </c>
      <c r="I124" s="116">
        <v>0</v>
      </c>
      <c r="J124" s="121" t="s">
        <v>803</v>
      </c>
      <c r="K124" s="121" t="s">
        <v>804</v>
      </c>
      <c r="L124" s="122" t="s">
        <v>576</v>
      </c>
    </row>
    <row r="125" spans="1:13" ht="29" hidden="1" outlineLevel="2" x14ac:dyDescent="0.35">
      <c r="A125" s="115" t="s">
        <v>7</v>
      </c>
      <c r="B125" s="115" t="s">
        <v>51</v>
      </c>
      <c r="C125" s="115" t="s">
        <v>168</v>
      </c>
      <c r="D125" s="115" t="s">
        <v>282</v>
      </c>
      <c r="E125" s="116">
        <v>39305.699999999997</v>
      </c>
      <c r="F125" s="116">
        <v>0</v>
      </c>
      <c r="G125" s="116">
        <v>0</v>
      </c>
      <c r="H125" s="116">
        <v>39306</v>
      </c>
      <c r="I125" s="116">
        <v>0.29999999999563398</v>
      </c>
      <c r="J125" s="121" t="s">
        <v>647</v>
      </c>
      <c r="K125" s="121" t="s">
        <v>648</v>
      </c>
      <c r="L125" s="122" t="s">
        <v>576</v>
      </c>
    </row>
    <row r="126" spans="1:13" ht="29" hidden="1" outlineLevel="2" x14ac:dyDescent="0.35">
      <c r="A126" s="115" t="s">
        <v>7</v>
      </c>
      <c r="B126" s="115" t="s">
        <v>51</v>
      </c>
      <c r="C126" s="115" t="s">
        <v>168</v>
      </c>
      <c r="D126" s="115" t="s">
        <v>284</v>
      </c>
      <c r="E126" s="116">
        <v>174825</v>
      </c>
      <c r="F126" s="116">
        <v>43706.25</v>
      </c>
      <c r="G126" s="116">
        <v>43706.25</v>
      </c>
      <c r="H126" s="116">
        <v>131118.75</v>
      </c>
      <c r="I126" s="116">
        <v>0</v>
      </c>
      <c r="J126" s="121" t="s">
        <v>755</v>
      </c>
      <c r="K126" s="121" t="s">
        <v>756</v>
      </c>
      <c r="L126" s="122" t="s">
        <v>576</v>
      </c>
    </row>
    <row r="127" spans="1:13" ht="29" hidden="1" outlineLevel="1" x14ac:dyDescent="0.35">
      <c r="A127" s="119" t="s">
        <v>7</v>
      </c>
      <c r="B127" s="119" t="s">
        <v>498</v>
      </c>
      <c r="C127" s="115" t="s">
        <v>168</v>
      </c>
      <c r="D127" s="119"/>
      <c r="E127" s="120">
        <f>SUM(E124:E126)</f>
        <v>215390.7</v>
      </c>
      <c r="F127" s="120">
        <f>SUM(F124:F126)</f>
        <v>44966.25</v>
      </c>
      <c r="G127" s="120">
        <f>SUM(G124:G126)</f>
        <v>44966.25</v>
      </c>
      <c r="H127" s="120">
        <f>SUM(H124:H126)</f>
        <v>170424.75</v>
      </c>
      <c r="I127" s="120">
        <f>SUM(I124:I126)</f>
        <v>0.29999999999563398</v>
      </c>
      <c r="J127" s="121" t="s">
        <v>805</v>
      </c>
      <c r="K127" s="121" t="s">
        <v>806</v>
      </c>
      <c r="L127" s="122" t="s">
        <v>576</v>
      </c>
    </row>
    <row r="128" spans="1:13" ht="29" hidden="1" outlineLevel="2" x14ac:dyDescent="0.35">
      <c r="A128" s="115" t="s">
        <v>7</v>
      </c>
      <c r="B128" s="115" t="s">
        <v>52</v>
      </c>
      <c r="C128" s="115" t="s">
        <v>736</v>
      </c>
      <c r="D128" s="115" t="s">
        <v>198</v>
      </c>
      <c r="E128" s="116">
        <v>1211114.9924999999</v>
      </c>
      <c r="F128" s="116">
        <v>335708</v>
      </c>
      <c r="G128" s="116">
        <v>337708.24</v>
      </c>
      <c r="H128" s="116">
        <v>873407.05500000005</v>
      </c>
      <c r="I128" s="116">
        <v>2000.5425000001101</v>
      </c>
      <c r="J128" s="125" t="s">
        <v>807</v>
      </c>
      <c r="K128" s="125" t="s">
        <v>808</v>
      </c>
      <c r="L128" s="122" t="s">
        <v>614</v>
      </c>
    </row>
    <row r="129" spans="1:12" ht="29" hidden="1" outlineLevel="2" x14ac:dyDescent="0.35">
      <c r="A129" s="115" t="s">
        <v>7</v>
      </c>
      <c r="B129" s="115" t="s">
        <v>52</v>
      </c>
      <c r="C129" s="115" t="s">
        <v>736</v>
      </c>
      <c r="D129" s="115" t="s">
        <v>236</v>
      </c>
      <c r="E129" s="116">
        <v>238897.86249999999</v>
      </c>
      <c r="F129" s="116">
        <v>0</v>
      </c>
      <c r="G129" s="116">
        <v>0</v>
      </c>
      <c r="H129" s="116">
        <v>232868.65</v>
      </c>
      <c r="I129" s="116">
        <v>-6029.2125000000196</v>
      </c>
      <c r="J129" s="117" t="s">
        <v>809</v>
      </c>
      <c r="K129" s="117" t="s">
        <v>810</v>
      </c>
      <c r="L129" s="118" t="s">
        <v>568</v>
      </c>
    </row>
    <row r="130" spans="1:12" ht="29" hidden="1" outlineLevel="2" x14ac:dyDescent="0.35">
      <c r="A130" s="115" t="s">
        <v>7</v>
      </c>
      <c r="B130" s="115" t="s">
        <v>52</v>
      </c>
      <c r="C130" s="115" t="s">
        <v>736</v>
      </c>
      <c r="D130" s="115" t="s">
        <v>381</v>
      </c>
      <c r="E130" s="116">
        <v>160000</v>
      </c>
      <c r="F130" s="116">
        <v>37500</v>
      </c>
      <c r="G130" s="116">
        <v>37500</v>
      </c>
      <c r="H130" s="116">
        <v>122500</v>
      </c>
      <c r="I130" s="116">
        <v>0</v>
      </c>
      <c r="J130" s="121" t="s">
        <v>755</v>
      </c>
      <c r="K130" s="121" t="s">
        <v>756</v>
      </c>
      <c r="L130" s="122" t="s">
        <v>576</v>
      </c>
    </row>
    <row r="131" spans="1:12" ht="29" hidden="1" outlineLevel="2" x14ac:dyDescent="0.35">
      <c r="A131" s="115" t="s">
        <v>7</v>
      </c>
      <c r="B131" s="115" t="s">
        <v>52</v>
      </c>
      <c r="C131" s="115" t="s">
        <v>736</v>
      </c>
      <c r="D131" s="115" t="s">
        <v>138</v>
      </c>
      <c r="E131" s="116">
        <v>175245.9</v>
      </c>
      <c r="F131" s="116">
        <v>42997.95</v>
      </c>
      <c r="G131" s="116">
        <v>46000</v>
      </c>
      <c r="H131" s="116">
        <v>126245.9</v>
      </c>
      <c r="I131" s="116">
        <v>2.0499999999883598</v>
      </c>
      <c r="J131" s="117" t="s">
        <v>811</v>
      </c>
      <c r="K131" s="117" t="s">
        <v>812</v>
      </c>
      <c r="L131" s="118" t="s">
        <v>568</v>
      </c>
    </row>
    <row r="132" spans="1:12" ht="29" hidden="1" outlineLevel="1" x14ac:dyDescent="0.35">
      <c r="A132" s="119" t="s">
        <v>7</v>
      </c>
      <c r="B132" s="119" t="s">
        <v>499</v>
      </c>
      <c r="C132" s="115" t="s">
        <v>736</v>
      </c>
      <c r="D132" s="119"/>
      <c r="E132" s="120">
        <f>SUM(E128:E131)</f>
        <v>1785258.7549999999</v>
      </c>
      <c r="F132" s="120">
        <f>SUM(F128:F131)</f>
        <v>416205.95</v>
      </c>
      <c r="G132" s="120">
        <f>SUM(G128:G131)</f>
        <v>421208.24</v>
      </c>
      <c r="H132" s="120">
        <f>SUM(H128:H131)</f>
        <v>1355021.605</v>
      </c>
      <c r="I132" s="120">
        <f>SUM(I128:I131)</f>
        <v>-4026.6199999999212</v>
      </c>
      <c r="J132" s="117" t="s">
        <v>813</v>
      </c>
      <c r="K132" s="117" t="s">
        <v>814</v>
      </c>
      <c r="L132" s="118" t="s">
        <v>568</v>
      </c>
    </row>
    <row r="133" spans="1:12" ht="29" hidden="1" outlineLevel="2" x14ac:dyDescent="0.35">
      <c r="A133" s="115" t="s">
        <v>7</v>
      </c>
      <c r="B133" s="115" t="s">
        <v>53</v>
      </c>
      <c r="C133" s="115" t="s">
        <v>587</v>
      </c>
      <c r="D133" s="115" t="s">
        <v>324</v>
      </c>
      <c r="E133" s="116">
        <v>50400</v>
      </c>
      <c r="F133" s="116">
        <v>0</v>
      </c>
      <c r="G133" s="116">
        <v>0</v>
      </c>
      <c r="H133" s="116">
        <v>50400</v>
      </c>
      <c r="I133" s="116">
        <v>0</v>
      </c>
      <c r="J133" s="121" t="s">
        <v>755</v>
      </c>
      <c r="K133" s="121" t="s">
        <v>756</v>
      </c>
      <c r="L133" s="122" t="s">
        <v>576</v>
      </c>
    </row>
    <row r="134" spans="1:12" ht="29" hidden="1" outlineLevel="2" x14ac:dyDescent="0.35">
      <c r="A134" s="115" t="s">
        <v>7</v>
      </c>
      <c r="B134" s="115" t="s">
        <v>53</v>
      </c>
      <c r="C134" s="115" t="s">
        <v>587</v>
      </c>
      <c r="D134" s="115" t="s">
        <v>222</v>
      </c>
      <c r="E134" s="116">
        <v>99225</v>
      </c>
      <c r="F134" s="116">
        <v>24300</v>
      </c>
      <c r="G134" s="116">
        <v>24300</v>
      </c>
      <c r="H134" s="116">
        <v>74925</v>
      </c>
      <c r="I134" s="116">
        <v>0</v>
      </c>
      <c r="J134" s="121" t="s">
        <v>755</v>
      </c>
      <c r="K134" s="121" t="s">
        <v>756</v>
      </c>
      <c r="L134" s="122" t="s">
        <v>576</v>
      </c>
    </row>
    <row r="135" spans="1:12" ht="29" hidden="1" outlineLevel="2" x14ac:dyDescent="0.35">
      <c r="A135" s="115" t="s">
        <v>7</v>
      </c>
      <c r="B135" s="115" t="s">
        <v>53</v>
      </c>
      <c r="C135" s="115" t="s">
        <v>587</v>
      </c>
      <c r="D135" s="115" t="s">
        <v>57</v>
      </c>
      <c r="E135" s="116">
        <v>2512</v>
      </c>
      <c r="F135" s="116">
        <v>0</v>
      </c>
      <c r="G135" s="116">
        <v>0</v>
      </c>
      <c r="H135" s="116">
        <v>2512</v>
      </c>
      <c r="I135" s="116">
        <v>0</v>
      </c>
      <c r="J135" s="121" t="s">
        <v>755</v>
      </c>
      <c r="K135" s="121" t="s">
        <v>756</v>
      </c>
      <c r="L135" s="122" t="s">
        <v>576</v>
      </c>
    </row>
    <row r="136" spans="1:12" ht="29" hidden="1" outlineLevel="2" x14ac:dyDescent="0.35">
      <c r="A136" s="115" t="s">
        <v>7</v>
      </c>
      <c r="B136" s="115" t="s">
        <v>53</v>
      </c>
      <c r="C136" s="115" t="s">
        <v>587</v>
      </c>
      <c r="D136" s="115" t="s">
        <v>308</v>
      </c>
      <c r="E136" s="116">
        <v>32760</v>
      </c>
      <c r="F136" s="116">
        <v>0</v>
      </c>
      <c r="G136" s="116">
        <v>0</v>
      </c>
      <c r="H136" s="116">
        <v>32760</v>
      </c>
      <c r="I136" s="116">
        <v>0</v>
      </c>
      <c r="J136" s="121" t="s">
        <v>755</v>
      </c>
      <c r="K136" s="121" t="s">
        <v>756</v>
      </c>
      <c r="L136" s="122" t="s">
        <v>576</v>
      </c>
    </row>
    <row r="137" spans="1:12" ht="29" hidden="1" outlineLevel="2" x14ac:dyDescent="0.35">
      <c r="A137" s="115" t="s">
        <v>7</v>
      </c>
      <c r="B137" s="115" t="s">
        <v>53</v>
      </c>
      <c r="C137" s="115" t="s">
        <v>587</v>
      </c>
      <c r="D137" s="115" t="s">
        <v>318</v>
      </c>
      <c r="E137" s="116">
        <v>3150</v>
      </c>
      <c r="F137" s="116">
        <v>0</v>
      </c>
      <c r="G137" s="116">
        <v>0</v>
      </c>
      <c r="H137" s="116">
        <v>3150</v>
      </c>
      <c r="I137" s="116">
        <v>0</v>
      </c>
      <c r="J137" s="121" t="s">
        <v>755</v>
      </c>
      <c r="K137" s="121" t="s">
        <v>756</v>
      </c>
      <c r="L137" s="122" t="s">
        <v>576</v>
      </c>
    </row>
    <row r="138" spans="1:12" ht="29" hidden="1" outlineLevel="2" x14ac:dyDescent="0.35">
      <c r="A138" s="115" t="s">
        <v>7</v>
      </c>
      <c r="B138" s="115" t="s">
        <v>53</v>
      </c>
      <c r="C138" s="115" t="s">
        <v>587</v>
      </c>
      <c r="D138" s="115" t="s">
        <v>333</v>
      </c>
      <c r="E138" s="116">
        <v>48934</v>
      </c>
      <c r="F138" s="116">
        <v>6702</v>
      </c>
      <c r="G138" s="116">
        <v>6702</v>
      </c>
      <c r="H138" s="116">
        <v>42232</v>
      </c>
      <c r="I138" s="116">
        <v>0</v>
      </c>
      <c r="J138" s="121" t="s">
        <v>755</v>
      </c>
      <c r="K138" s="121" t="s">
        <v>756</v>
      </c>
      <c r="L138" s="122" t="s">
        <v>576</v>
      </c>
    </row>
    <row r="139" spans="1:12" ht="29" hidden="1" outlineLevel="2" x14ac:dyDescent="0.35">
      <c r="A139" s="115" t="s">
        <v>7</v>
      </c>
      <c r="B139" s="115" t="s">
        <v>53</v>
      </c>
      <c r="C139" s="115" t="s">
        <v>587</v>
      </c>
      <c r="D139" s="115" t="s">
        <v>242</v>
      </c>
      <c r="E139" s="116">
        <v>90000</v>
      </c>
      <c r="F139" s="116">
        <v>0</v>
      </c>
      <c r="G139" s="116">
        <v>0</v>
      </c>
      <c r="H139" s="116">
        <v>90000</v>
      </c>
      <c r="I139" s="116">
        <v>0</v>
      </c>
      <c r="J139" s="121" t="s">
        <v>755</v>
      </c>
      <c r="K139" s="121" t="s">
        <v>756</v>
      </c>
      <c r="L139" s="122" t="s">
        <v>576</v>
      </c>
    </row>
    <row r="140" spans="1:12" ht="29" hidden="1" outlineLevel="2" x14ac:dyDescent="0.35">
      <c r="A140" s="115" t="s">
        <v>7</v>
      </c>
      <c r="B140" s="115" t="s">
        <v>53</v>
      </c>
      <c r="C140" s="115" t="s">
        <v>587</v>
      </c>
      <c r="D140" s="115" t="s">
        <v>320</v>
      </c>
      <c r="E140" s="116">
        <v>2594.5500000000002</v>
      </c>
      <c r="F140" s="116">
        <v>0</v>
      </c>
      <c r="G140" s="116">
        <v>0</v>
      </c>
      <c r="H140" s="116">
        <v>2595</v>
      </c>
      <c r="I140" s="116">
        <v>0.44999999999981799</v>
      </c>
      <c r="J140" s="121" t="s">
        <v>647</v>
      </c>
      <c r="K140" s="121" t="s">
        <v>648</v>
      </c>
      <c r="L140" s="122" t="s">
        <v>576</v>
      </c>
    </row>
    <row r="141" spans="1:12" ht="29" hidden="1" outlineLevel="2" x14ac:dyDescent="0.35">
      <c r="A141" s="115" t="s">
        <v>7</v>
      </c>
      <c r="B141" s="115" t="s">
        <v>53</v>
      </c>
      <c r="C141" s="115" t="s">
        <v>587</v>
      </c>
      <c r="D141" s="115" t="s">
        <v>402</v>
      </c>
      <c r="E141" s="116">
        <v>100000</v>
      </c>
      <c r="F141" s="116">
        <v>0</v>
      </c>
      <c r="G141" s="116">
        <v>0</v>
      </c>
      <c r="H141" s="116">
        <v>100000</v>
      </c>
      <c r="I141" s="116">
        <v>0</v>
      </c>
      <c r="J141" s="121" t="s">
        <v>755</v>
      </c>
      <c r="K141" s="121" t="s">
        <v>756</v>
      </c>
      <c r="L141" s="122" t="s">
        <v>576</v>
      </c>
    </row>
    <row r="142" spans="1:12" ht="29" hidden="1" outlineLevel="2" x14ac:dyDescent="0.35">
      <c r="A142" s="115" t="s">
        <v>7</v>
      </c>
      <c r="B142" s="115" t="s">
        <v>53</v>
      </c>
      <c r="C142" s="115" t="s">
        <v>587</v>
      </c>
      <c r="D142" s="115" t="s">
        <v>276</v>
      </c>
      <c r="E142" s="116">
        <v>72888.816000000006</v>
      </c>
      <c r="F142" s="116">
        <v>72888.816000000006</v>
      </c>
      <c r="G142" s="116">
        <v>69417.919999999998</v>
      </c>
      <c r="H142" s="116">
        <v>3470.8960000000102</v>
      </c>
      <c r="I142" s="116">
        <v>-3470.8960000000102</v>
      </c>
      <c r="J142" s="117" t="s">
        <v>815</v>
      </c>
      <c r="K142" s="117" t="s">
        <v>816</v>
      </c>
      <c r="L142" s="118" t="s">
        <v>568</v>
      </c>
    </row>
    <row r="143" spans="1:12" ht="29" hidden="1" outlineLevel="2" x14ac:dyDescent="0.35">
      <c r="A143" s="115" t="s">
        <v>7</v>
      </c>
      <c r="B143" s="115" t="s">
        <v>53</v>
      </c>
      <c r="C143" s="115" t="s">
        <v>587</v>
      </c>
      <c r="D143" s="115" t="s">
        <v>347</v>
      </c>
      <c r="E143" s="116">
        <v>139031.20000000001</v>
      </c>
      <c r="F143" s="116">
        <v>34188</v>
      </c>
      <c r="G143" s="116">
        <v>34188</v>
      </c>
      <c r="H143" s="116">
        <v>103513.66666666701</v>
      </c>
      <c r="I143" s="116">
        <v>-1329.5333333333299</v>
      </c>
      <c r="J143" s="117" t="s">
        <v>817</v>
      </c>
      <c r="K143" s="117" t="s">
        <v>818</v>
      </c>
      <c r="L143" s="118" t="s">
        <v>568</v>
      </c>
    </row>
    <row r="144" spans="1:12" ht="29" hidden="1" outlineLevel="2" x14ac:dyDescent="0.35">
      <c r="A144" s="115" t="s">
        <v>7</v>
      </c>
      <c r="B144" s="115" t="s">
        <v>53</v>
      </c>
      <c r="C144" s="115" t="s">
        <v>587</v>
      </c>
      <c r="D144" s="115" t="s">
        <v>298</v>
      </c>
      <c r="E144" s="116">
        <v>70432.698000000004</v>
      </c>
      <c r="F144" s="116">
        <v>600</v>
      </c>
      <c r="G144" s="116">
        <v>507.59</v>
      </c>
      <c r="H144" s="116">
        <v>69925.107999999993</v>
      </c>
      <c r="I144" s="116">
        <v>-92.410000000003507</v>
      </c>
      <c r="J144" s="117" t="s">
        <v>793</v>
      </c>
      <c r="K144" s="117" t="s">
        <v>794</v>
      </c>
      <c r="L144" s="118" t="s">
        <v>568</v>
      </c>
    </row>
    <row r="145" spans="1:12" ht="29" hidden="1" outlineLevel="2" x14ac:dyDescent="0.35">
      <c r="A145" s="115" t="s">
        <v>7</v>
      </c>
      <c r="B145" s="115" t="s">
        <v>53</v>
      </c>
      <c r="C145" s="115" t="s">
        <v>587</v>
      </c>
      <c r="D145" s="115" t="s">
        <v>215</v>
      </c>
      <c r="E145" s="116">
        <v>440671.35</v>
      </c>
      <c r="F145" s="116">
        <v>36234.199999999997</v>
      </c>
      <c r="G145" s="116">
        <v>36234.199999999997</v>
      </c>
      <c r="H145" s="116">
        <v>404436.8</v>
      </c>
      <c r="I145" s="116">
        <v>-0.34999999997671699</v>
      </c>
      <c r="J145" s="121" t="s">
        <v>647</v>
      </c>
      <c r="K145" s="121" t="s">
        <v>648</v>
      </c>
      <c r="L145" s="122" t="s">
        <v>576</v>
      </c>
    </row>
    <row r="146" spans="1:12" ht="29" hidden="1" outlineLevel="1" x14ac:dyDescent="0.35">
      <c r="A146" s="119" t="s">
        <v>7</v>
      </c>
      <c r="B146" s="119" t="s">
        <v>500</v>
      </c>
      <c r="C146" s="115" t="s">
        <v>587</v>
      </c>
      <c r="D146" s="119"/>
      <c r="E146" s="120">
        <f>SUM(E133:E145)</f>
        <v>1152599.6140000001</v>
      </c>
      <c r="F146" s="120">
        <f>SUM(F133:F145)</f>
        <v>174913.016</v>
      </c>
      <c r="G146" s="120">
        <f>SUM(G133:G145)</f>
        <v>171349.70999999996</v>
      </c>
      <c r="H146" s="120">
        <f>SUM(H133:H145)</f>
        <v>979920.47066666698</v>
      </c>
      <c r="I146" s="120">
        <f>SUM(I133:I145)</f>
        <v>-4892.7393333333202</v>
      </c>
      <c r="J146" s="117" t="s">
        <v>819</v>
      </c>
      <c r="K146" s="117" t="s">
        <v>820</v>
      </c>
      <c r="L146" s="118" t="s">
        <v>568</v>
      </c>
    </row>
    <row r="147" spans="1:12" ht="72.5" collapsed="1" x14ac:dyDescent="0.35">
      <c r="A147" s="119" t="s">
        <v>821</v>
      </c>
      <c r="B147" s="119"/>
      <c r="C147" s="119"/>
      <c r="D147" s="119"/>
      <c r="E147" s="120">
        <f>SUM(E101,E111,E123,E127,E132,E146)</f>
        <v>20398429.541149996</v>
      </c>
      <c r="F147" s="120">
        <f>SUM(F101,F111,F123,F127,F132,F146)</f>
        <v>5052466.0012499997</v>
      </c>
      <c r="G147" s="120">
        <f>SUM(G101,G111,G123,G127,G132,G146)</f>
        <v>4929076.6049999995</v>
      </c>
      <c r="H147" s="120">
        <f>SUM(H101,H111,H123,H127,H132,H146)</f>
        <v>16052143.975500004</v>
      </c>
      <c r="I147" s="120">
        <f>SUM(I101,I111,I123,I127,I132,I146)</f>
        <v>772434.39309999871</v>
      </c>
      <c r="J147" s="123" t="s">
        <v>822</v>
      </c>
      <c r="K147" s="123" t="s">
        <v>823</v>
      </c>
      <c r="L147" s="122" t="s">
        <v>41</v>
      </c>
    </row>
  </sheetData>
  <autoFilter ref="A1:L147" xr:uid="{B4B02E84-AB2F-474C-AB42-95BF2216A82A}"/>
  <conditionalFormatting sqref="L2:L147">
    <cfRule type="containsText" dxfId="7" priority="1" operator="containsText" text="Hard Risk">
      <formula>NOT(ISERROR(SEARCH("Hard Risk",L2)))</formula>
    </cfRule>
    <cfRule type="containsText" dxfId="6" priority="2" operator="containsText" text="Soft Risk">
      <formula>NOT(ISERROR(SEARCH("Soft Risk",L2)))</formula>
    </cfRule>
    <cfRule type="containsText" dxfId="5" priority="3" operator="containsText" text="Hard Opportunity">
      <formula>NOT(ISERROR(SEARCH("Hard Opportunity",L2)))</formula>
    </cfRule>
    <cfRule type="containsText" dxfId="4" priority="4" operator="containsText" text="Soft Opportunity">
      <formula>NOT(ISERROR(SEARCH("Soft Opportunity",L2)))</formula>
    </cfRule>
    <cfRule type="containsText" dxfId="3" priority="5" operator="containsText" text="Neutral">
      <formula>NOT(ISERROR(SEARCH("Neutral",L2)))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P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13" sqref="F13:F15"/>
    </sheetView>
  </sheetViews>
  <sheetFormatPr defaultRowHeight="14.5" x14ac:dyDescent="0.35"/>
  <cols>
    <col min="1" max="1" width="15.453125" bestFit="1" customWidth="1"/>
    <col min="2" max="2" width="12.1796875" bestFit="1" customWidth="1"/>
    <col min="3" max="3" width="12.36328125" bestFit="1" customWidth="1"/>
    <col min="4" max="4" width="18" bestFit="1" customWidth="1"/>
    <col min="5" max="5" width="12.6328125" bestFit="1" customWidth="1"/>
    <col min="6" max="6" width="12.81640625" bestFit="1" customWidth="1"/>
    <col min="7" max="7" width="19" bestFit="1" customWidth="1"/>
    <col min="8" max="8" width="12.6328125" bestFit="1" customWidth="1"/>
    <col min="9" max="9" width="12.81640625" bestFit="1" customWidth="1"/>
    <col min="10" max="10" width="19" bestFit="1" customWidth="1"/>
    <col min="11" max="11" width="12.453125" bestFit="1" customWidth="1"/>
    <col min="12" max="12" width="12.54296875" bestFit="1" customWidth="1"/>
    <col min="13" max="13" width="18.81640625" bestFit="1" customWidth="1"/>
    <col min="14" max="14" width="12.90625" bestFit="1" customWidth="1"/>
    <col min="15" max="15" width="13.08984375" bestFit="1" customWidth="1"/>
    <col min="16" max="16" width="19.1796875" bestFit="1" customWidth="1"/>
  </cols>
  <sheetData>
    <row r="1" spans="1:16" x14ac:dyDescent="0.35">
      <c r="B1" s="8" t="s">
        <v>501</v>
      </c>
    </row>
    <row r="2" spans="1:16" x14ac:dyDescent="0.35">
      <c r="A2" s="8" t="s">
        <v>54</v>
      </c>
      <c r="B2" t="s">
        <v>502</v>
      </c>
      <c r="C2" t="s">
        <v>503</v>
      </c>
      <c r="D2" t="s">
        <v>521</v>
      </c>
      <c r="E2" t="s">
        <v>504</v>
      </c>
      <c r="F2" t="s">
        <v>505</v>
      </c>
      <c r="G2" t="s">
        <v>522</v>
      </c>
      <c r="H2" t="s">
        <v>506</v>
      </c>
      <c r="I2" t="s">
        <v>507</v>
      </c>
      <c r="J2" t="s">
        <v>523</v>
      </c>
      <c r="K2" t="s">
        <v>838</v>
      </c>
      <c r="L2" t="s">
        <v>839</v>
      </c>
      <c r="M2" t="s">
        <v>840</v>
      </c>
      <c r="N2" t="s">
        <v>902</v>
      </c>
      <c r="O2" t="s">
        <v>903</v>
      </c>
      <c r="P2" t="s">
        <v>904</v>
      </c>
    </row>
    <row r="3" spans="1:16" x14ac:dyDescent="0.35">
      <c r="A3" t="s">
        <v>48</v>
      </c>
      <c r="B3" s="102">
        <v>858455.56333333324</v>
      </c>
      <c r="C3" s="102">
        <v>858344.35333333327</v>
      </c>
      <c r="D3" s="102">
        <v>-111.21000000000276</v>
      </c>
      <c r="E3" s="102">
        <v>929854.57333333325</v>
      </c>
      <c r="F3" s="102">
        <v>932993.91333333333</v>
      </c>
      <c r="G3" s="102">
        <v>3139.3399999999965</v>
      </c>
      <c r="H3" s="102">
        <v>892596.47333333339</v>
      </c>
      <c r="I3" s="102">
        <v>949145.58333333337</v>
      </c>
      <c r="J3" s="102">
        <v>56549.109999999971</v>
      </c>
      <c r="K3" s="102">
        <v>841990.49083333323</v>
      </c>
      <c r="L3" s="102">
        <v>877895.58083333331</v>
      </c>
      <c r="M3" s="102">
        <v>35905.089999999997</v>
      </c>
      <c r="N3" s="102">
        <v>858397.49083333323</v>
      </c>
      <c r="O3" s="102">
        <v>731310.30083333328</v>
      </c>
      <c r="P3" s="102">
        <v>-127087.19</v>
      </c>
    </row>
    <row r="4" spans="1:16" x14ac:dyDescent="0.35">
      <c r="A4" t="s">
        <v>49</v>
      </c>
      <c r="B4" s="102">
        <v>1074720.8158333334</v>
      </c>
      <c r="C4" s="102">
        <v>1094660.7091666665</v>
      </c>
      <c r="D4" s="102">
        <v>19939.893333333359</v>
      </c>
      <c r="E4" s="102">
        <v>1084523.1558333335</v>
      </c>
      <c r="F4" s="102">
        <v>1042923.5591666667</v>
      </c>
      <c r="G4" s="102">
        <v>-41599.596666666599</v>
      </c>
      <c r="H4" s="102">
        <v>1135563.8694166664</v>
      </c>
      <c r="I4" s="102">
        <v>1089858.3966666667</v>
      </c>
      <c r="J4" s="102">
        <v>-45705.472749999935</v>
      </c>
      <c r="K4" s="102">
        <v>1116657.6494166667</v>
      </c>
      <c r="L4" s="102">
        <v>1057768.5583666668</v>
      </c>
      <c r="M4" s="102">
        <v>-58889.091050000075</v>
      </c>
      <c r="N4" s="102">
        <v>1122679.0194166668</v>
      </c>
      <c r="O4" s="102">
        <v>1039393.7183666667</v>
      </c>
      <c r="P4" s="102">
        <v>-83285.301050000038</v>
      </c>
    </row>
    <row r="5" spans="1:16" x14ac:dyDescent="0.35">
      <c r="A5" t="s">
        <v>50</v>
      </c>
      <c r="B5" s="102">
        <v>1004215.4558333334</v>
      </c>
      <c r="C5" s="102">
        <v>1055969.0658333334</v>
      </c>
      <c r="D5" s="102">
        <v>51753.61</v>
      </c>
      <c r="E5" s="102">
        <v>988517.3058333334</v>
      </c>
      <c r="F5" s="102">
        <v>965695.13583333336</v>
      </c>
      <c r="G5" s="102">
        <v>-22822.170000000002</v>
      </c>
      <c r="H5" s="102">
        <v>974528.3058333334</v>
      </c>
      <c r="I5" s="102">
        <v>981751.3058333334</v>
      </c>
      <c r="J5" s="102">
        <v>7223</v>
      </c>
      <c r="K5" s="102">
        <v>1356520.5991666666</v>
      </c>
      <c r="L5" s="102">
        <v>1307445.7291666667</v>
      </c>
      <c r="M5" s="102">
        <v>-49074.87</v>
      </c>
      <c r="N5" s="102">
        <v>1105578.3491666666</v>
      </c>
      <c r="O5" s="102">
        <v>1039016.3291666667</v>
      </c>
      <c r="P5" s="102">
        <v>-66562.02</v>
      </c>
    </row>
    <row r="6" spans="1:16" x14ac:dyDescent="0.35">
      <c r="A6" t="s">
        <v>51</v>
      </c>
      <c r="B6" s="102">
        <v>94578.75</v>
      </c>
      <c r="C6" s="102">
        <v>89378.75</v>
      </c>
      <c r="D6" s="102">
        <v>-5200</v>
      </c>
      <c r="E6" s="102">
        <v>67318.75</v>
      </c>
      <c r="F6" s="102">
        <v>66118.75</v>
      </c>
      <c r="G6" s="102">
        <v>-1200</v>
      </c>
      <c r="H6" s="102">
        <v>82346.75</v>
      </c>
      <c r="I6" s="102">
        <v>84746.75</v>
      </c>
      <c r="J6" s="102">
        <v>2400</v>
      </c>
      <c r="K6" s="102">
        <v>94098.75</v>
      </c>
      <c r="L6" s="102">
        <v>96498.75</v>
      </c>
      <c r="M6" s="102">
        <v>2400</v>
      </c>
      <c r="N6" s="102">
        <v>108678.75</v>
      </c>
      <c r="O6" s="102">
        <v>47208.75</v>
      </c>
      <c r="P6" s="102">
        <v>-61470</v>
      </c>
    </row>
    <row r="7" spans="1:16" x14ac:dyDescent="0.35">
      <c r="A7" t="s">
        <v>52</v>
      </c>
      <c r="B7" s="102">
        <v>150507.38333333333</v>
      </c>
      <c r="C7" s="102">
        <v>148008.06666666665</v>
      </c>
      <c r="D7" s="102">
        <v>-2499.3166666666693</v>
      </c>
      <c r="E7" s="102">
        <v>122926.40333333335</v>
      </c>
      <c r="F7" s="102">
        <v>121927.08666666667</v>
      </c>
      <c r="G7" s="102">
        <v>-999.31666666666933</v>
      </c>
      <c r="H7" s="102">
        <v>145131.40333333335</v>
      </c>
      <c r="I7" s="102">
        <v>141273.08666666667</v>
      </c>
      <c r="J7" s="102">
        <v>-3858.3166666666693</v>
      </c>
      <c r="K7" s="102">
        <v>408744.10666666669</v>
      </c>
      <c r="L7" s="102">
        <v>172376.14</v>
      </c>
      <c r="M7" s="102">
        <v>-236367.96666666667</v>
      </c>
      <c r="N7" s="102">
        <v>125471.94666666668</v>
      </c>
      <c r="O7" s="102">
        <v>172281.63000000003</v>
      </c>
      <c r="P7" s="102">
        <v>46809.683333333349</v>
      </c>
    </row>
    <row r="8" spans="1:16" x14ac:dyDescent="0.35">
      <c r="A8" t="s">
        <v>53</v>
      </c>
      <c r="B8" s="102">
        <v>123983.54999999999</v>
      </c>
      <c r="C8" s="102">
        <v>119155.93999999999</v>
      </c>
      <c r="D8" s="102">
        <v>-4827.6099999999997</v>
      </c>
      <c r="E8" s="102">
        <v>84112.97</v>
      </c>
      <c r="F8" s="102">
        <v>80152.850000000006</v>
      </c>
      <c r="G8" s="102">
        <v>-3960.1200000000003</v>
      </c>
      <c r="H8" s="102">
        <v>205708.20600000001</v>
      </c>
      <c r="I8" s="102">
        <v>199385.62</v>
      </c>
      <c r="J8" s="102">
        <v>-6322.5860000000084</v>
      </c>
      <c r="K8" s="102">
        <v>140925.20000000001</v>
      </c>
      <c r="L8" s="102">
        <v>146382.48000000001</v>
      </c>
      <c r="M8" s="102">
        <v>5457.2800000000007</v>
      </c>
      <c r="N8" s="102">
        <v>137521.34999999998</v>
      </c>
      <c r="O8" s="102">
        <v>134958.65999999997</v>
      </c>
      <c r="P8" s="102">
        <v>-2562.69</v>
      </c>
    </row>
    <row r="9" spans="1:16" x14ac:dyDescent="0.35">
      <c r="A9" t="s">
        <v>8</v>
      </c>
      <c r="B9" s="102">
        <v>3306461.5183333331</v>
      </c>
      <c r="C9" s="102">
        <v>3365516.8849999993</v>
      </c>
      <c r="D9" s="102">
        <v>59055.366666666698</v>
      </c>
      <c r="E9" s="102">
        <v>3277253.1583333337</v>
      </c>
      <c r="F9" s="102">
        <v>3209811.2950000004</v>
      </c>
      <c r="G9" s="102">
        <v>-67441.863333333269</v>
      </c>
      <c r="H9" s="102">
        <v>3435875.0079166666</v>
      </c>
      <c r="I9" s="102">
        <v>3446160.7425000006</v>
      </c>
      <c r="J9" s="102">
        <v>10285.734583333358</v>
      </c>
      <c r="K9" s="102">
        <v>3958936.796083333</v>
      </c>
      <c r="L9" s="102">
        <v>3658367.2383666672</v>
      </c>
      <c r="M9" s="102">
        <v>-300569.55771666672</v>
      </c>
      <c r="N9" s="102">
        <v>3458326.9060833333</v>
      </c>
      <c r="O9" s="102">
        <v>3164169.3883666666</v>
      </c>
      <c r="P9" s="102">
        <v>-294157.51771666668</v>
      </c>
    </row>
    <row r="12" spans="1:16" ht="15" thickBot="1" x14ac:dyDescent="0.4"/>
    <row r="13" spans="1:16" ht="14.4" customHeight="1" x14ac:dyDescent="0.35">
      <c r="F13" s="170">
        <f>(D9+G9+J9+M9+P9)/100000</f>
        <v>-5.9282783751666663</v>
      </c>
      <c r="G13" s="173" t="s">
        <v>905</v>
      </c>
      <c r="H13" s="174"/>
      <c r="I13" s="174"/>
      <c r="J13" s="175"/>
    </row>
    <row r="14" spans="1:16" x14ac:dyDescent="0.35">
      <c r="F14" s="171"/>
      <c r="G14" s="176"/>
      <c r="H14" s="177"/>
      <c r="I14" s="177"/>
      <c r="J14" s="178"/>
    </row>
    <row r="15" spans="1:16" ht="15" thickBot="1" x14ac:dyDescent="0.4">
      <c r="F15" s="172"/>
      <c r="G15" s="179"/>
      <c r="H15" s="180"/>
      <c r="I15" s="180"/>
      <c r="J15" s="181"/>
    </row>
  </sheetData>
  <mergeCells count="2">
    <mergeCell ref="F13:F15"/>
    <mergeCell ref="G13:J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FC58-C9F4-43B4-990D-3D97D9C7237A}">
  <sheetPr filterMode="1"/>
  <dimension ref="A2:D85"/>
  <sheetViews>
    <sheetView topLeftCell="A4" workbookViewId="0">
      <selection activeCell="B45" sqref="B45"/>
    </sheetView>
  </sheetViews>
  <sheetFormatPr defaultRowHeight="14.5" x14ac:dyDescent="0.35"/>
  <cols>
    <col min="1" max="1" width="42.81640625" bestFit="1" customWidth="1"/>
    <col min="2" max="2" width="24.08984375" bestFit="1" customWidth="1"/>
    <col min="3" max="3" width="23.90625" bestFit="1" customWidth="1"/>
    <col min="4" max="4" width="17" bestFit="1" customWidth="1"/>
    <col min="5" max="6" width="20.08984375" bestFit="1" customWidth="1"/>
    <col min="7" max="7" width="10.08984375" bestFit="1" customWidth="1"/>
    <col min="8" max="8" width="9.1796875" bestFit="1" customWidth="1"/>
  </cols>
  <sheetData>
    <row r="2" spans="1:4" x14ac:dyDescent="0.35">
      <c r="A2" s="8" t="s">
        <v>42</v>
      </c>
      <c r="B2" t="s">
        <v>489</v>
      </c>
    </row>
    <row r="4" spans="1:4" x14ac:dyDescent="0.35">
      <c r="A4" s="8" t="s">
        <v>55</v>
      </c>
      <c r="B4" t="s">
        <v>0</v>
      </c>
      <c r="C4" t="s">
        <v>45</v>
      </c>
    </row>
    <row r="5" spans="1:4" hidden="1" x14ac:dyDescent="0.35">
      <c r="A5" t="s">
        <v>400</v>
      </c>
      <c r="B5" s="6">
        <v>262896</v>
      </c>
      <c r="C5" s="6">
        <v>-100000</v>
      </c>
    </row>
    <row r="6" spans="1:4" hidden="1" x14ac:dyDescent="0.35">
      <c r="A6" t="s">
        <v>322</v>
      </c>
      <c r="B6" s="6">
        <v>191646</v>
      </c>
      <c r="C6" s="6">
        <v>-63380.992500000008</v>
      </c>
    </row>
    <row r="7" spans="1:4" hidden="1" x14ac:dyDescent="0.35">
      <c r="A7" t="s">
        <v>407</v>
      </c>
      <c r="B7" s="6">
        <v>1778445.9000000001</v>
      </c>
      <c r="C7" s="6">
        <v>0</v>
      </c>
    </row>
    <row r="8" spans="1:4" hidden="1" x14ac:dyDescent="0.35">
      <c r="A8" t="s">
        <v>358</v>
      </c>
      <c r="B8" s="6">
        <v>292</v>
      </c>
      <c r="C8" s="6">
        <v>0</v>
      </c>
    </row>
    <row r="9" spans="1:4" hidden="1" x14ac:dyDescent="0.35">
      <c r="A9" t="s">
        <v>420</v>
      </c>
      <c r="B9" s="6">
        <v>1244018</v>
      </c>
      <c r="C9" s="6">
        <v>0</v>
      </c>
    </row>
    <row r="10" spans="1:4" x14ac:dyDescent="0.35">
      <c r="A10" t="s">
        <v>73</v>
      </c>
      <c r="B10" s="6">
        <v>3649280</v>
      </c>
      <c r="C10" s="6">
        <v>-363543</v>
      </c>
      <c r="D10" t="s">
        <v>491</v>
      </c>
    </row>
    <row r="11" spans="1:4" x14ac:dyDescent="0.35">
      <c r="A11" t="s">
        <v>121</v>
      </c>
      <c r="B11" s="6">
        <v>100000</v>
      </c>
      <c r="C11" s="6">
        <v>0</v>
      </c>
      <c r="D11" t="s">
        <v>491</v>
      </c>
    </row>
    <row r="12" spans="1:4" hidden="1" x14ac:dyDescent="0.35">
      <c r="A12" t="s">
        <v>368</v>
      </c>
      <c r="B12" s="6">
        <v>4409</v>
      </c>
      <c r="C12" s="6">
        <v>0</v>
      </c>
    </row>
    <row r="13" spans="1:4" hidden="1" x14ac:dyDescent="0.35">
      <c r="A13" t="s">
        <v>58</v>
      </c>
      <c r="B13" s="6">
        <v>36345</v>
      </c>
      <c r="C13" s="6">
        <v>0</v>
      </c>
    </row>
    <row r="14" spans="1:4" hidden="1" x14ac:dyDescent="0.35">
      <c r="A14" t="s">
        <v>59</v>
      </c>
      <c r="B14" s="6">
        <v>4230</v>
      </c>
      <c r="C14" s="6">
        <v>0</v>
      </c>
    </row>
    <row r="15" spans="1:4" hidden="1" x14ac:dyDescent="0.35">
      <c r="A15" t="s">
        <v>60</v>
      </c>
      <c r="B15" s="6">
        <v>2863</v>
      </c>
      <c r="C15" s="6">
        <v>0</v>
      </c>
    </row>
    <row r="16" spans="1:4" x14ac:dyDescent="0.35">
      <c r="A16" t="s">
        <v>159</v>
      </c>
      <c r="B16" s="6">
        <v>14886</v>
      </c>
      <c r="C16" s="86">
        <v>-1820.9400000000005</v>
      </c>
    </row>
    <row r="17" spans="1:4" hidden="1" x14ac:dyDescent="0.35">
      <c r="A17" t="s">
        <v>198</v>
      </c>
      <c r="B17" s="6">
        <v>1211114.9924999999</v>
      </c>
      <c r="C17" s="6">
        <v>-10440.509999999995</v>
      </c>
    </row>
    <row r="18" spans="1:4" hidden="1" x14ac:dyDescent="0.35">
      <c r="A18" t="s">
        <v>324</v>
      </c>
      <c r="B18" s="6">
        <v>50400</v>
      </c>
      <c r="C18" s="6">
        <v>0</v>
      </c>
    </row>
    <row r="19" spans="1:4" x14ac:dyDescent="0.35">
      <c r="A19" t="s">
        <v>222</v>
      </c>
      <c r="B19" s="6">
        <v>131625</v>
      </c>
      <c r="C19" s="86">
        <v>-390.75</v>
      </c>
    </row>
    <row r="20" spans="1:4" x14ac:dyDescent="0.35">
      <c r="A20" t="s">
        <v>57</v>
      </c>
      <c r="B20" s="6">
        <v>1555160.9220000003</v>
      </c>
      <c r="C20" s="6">
        <v>-24203.72666666668</v>
      </c>
      <c r="D20" t="s">
        <v>491</v>
      </c>
    </row>
    <row r="21" spans="1:4" hidden="1" x14ac:dyDescent="0.35">
      <c r="A21" t="s">
        <v>61</v>
      </c>
      <c r="B21" s="6">
        <v>1674</v>
      </c>
      <c r="C21" s="6">
        <v>-1674</v>
      </c>
    </row>
    <row r="22" spans="1:4" hidden="1" x14ac:dyDescent="0.35">
      <c r="A22" t="s">
        <v>170</v>
      </c>
      <c r="B22" s="6">
        <v>236250</v>
      </c>
      <c r="C22" s="6">
        <v>0</v>
      </c>
    </row>
    <row r="23" spans="1:4" hidden="1" x14ac:dyDescent="0.35">
      <c r="A23" t="s">
        <v>308</v>
      </c>
      <c r="B23" s="6">
        <v>32760</v>
      </c>
      <c r="C23" s="6">
        <v>0</v>
      </c>
    </row>
    <row r="24" spans="1:4" hidden="1" x14ac:dyDescent="0.35">
      <c r="A24" t="s">
        <v>234</v>
      </c>
      <c r="B24" s="6">
        <v>10080</v>
      </c>
      <c r="C24" s="6">
        <v>0</v>
      </c>
    </row>
    <row r="25" spans="1:4" hidden="1" x14ac:dyDescent="0.35">
      <c r="A25" t="s">
        <v>313</v>
      </c>
      <c r="B25" s="6">
        <v>139684</v>
      </c>
      <c r="C25" s="6">
        <v>-2.9103830456733704E-11</v>
      </c>
    </row>
    <row r="26" spans="1:4" hidden="1" x14ac:dyDescent="0.35">
      <c r="A26" t="s">
        <v>318</v>
      </c>
      <c r="B26" s="6">
        <v>3150</v>
      </c>
      <c r="C26" s="6">
        <v>0</v>
      </c>
    </row>
    <row r="27" spans="1:4" hidden="1" x14ac:dyDescent="0.35">
      <c r="A27" t="s">
        <v>417</v>
      </c>
      <c r="B27" s="6">
        <v>0</v>
      </c>
      <c r="C27" s="6">
        <v>0</v>
      </c>
    </row>
    <row r="28" spans="1:4" x14ac:dyDescent="0.35">
      <c r="A28" t="s">
        <v>181</v>
      </c>
      <c r="B28" s="6">
        <v>4217276.0999999996</v>
      </c>
      <c r="C28" s="86">
        <v>-692116.46</v>
      </c>
    </row>
    <row r="29" spans="1:4" hidden="1" x14ac:dyDescent="0.35">
      <c r="A29" t="s">
        <v>62</v>
      </c>
      <c r="B29" s="6">
        <v>7043</v>
      </c>
      <c r="C29" s="6">
        <v>0</v>
      </c>
    </row>
    <row r="30" spans="1:4" x14ac:dyDescent="0.35">
      <c r="A30" t="s">
        <v>63</v>
      </c>
      <c r="B30" s="6">
        <v>35314</v>
      </c>
      <c r="C30" s="6">
        <v>0</v>
      </c>
    </row>
    <row r="31" spans="1:4" hidden="1" x14ac:dyDescent="0.35">
      <c r="A31" t="s">
        <v>185</v>
      </c>
      <c r="B31" s="6">
        <v>218880</v>
      </c>
      <c r="C31" s="6">
        <v>-5308</v>
      </c>
    </row>
    <row r="32" spans="1:4" hidden="1" x14ac:dyDescent="0.35">
      <c r="A32" t="s">
        <v>304</v>
      </c>
      <c r="B32" s="6">
        <v>117539.0055</v>
      </c>
      <c r="C32" s="6">
        <v>-0.25</v>
      </c>
    </row>
    <row r="33" spans="1:4" hidden="1" x14ac:dyDescent="0.35">
      <c r="A33" t="s">
        <v>75</v>
      </c>
      <c r="B33" s="6">
        <v>5250</v>
      </c>
      <c r="C33" s="6">
        <v>0</v>
      </c>
    </row>
    <row r="34" spans="1:4" hidden="1" x14ac:dyDescent="0.35">
      <c r="A34" t="s">
        <v>333</v>
      </c>
      <c r="B34" s="6">
        <v>48934</v>
      </c>
      <c r="C34" s="6">
        <v>-2</v>
      </c>
    </row>
    <row r="35" spans="1:4" hidden="1" x14ac:dyDescent="0.35">
      <c r="A35" t="s">
        <v>56</v>
      </c>
      <c r="B35" s="6">
        <v>3667396</v>
      </c>
      <c r="C35" s="6">
        <v>-50000</v>
      </c>
    </row>
    <row r="36" spans="1:4" hidden="1" x14ac:dyDescent="0.35">
      <c r="A36" t="s">
        <v>236</v>
      </c>
      <c r="B36" s="6">
        <v>238897.86250000002</v>
      </c>
      <c r="C36" s="6">
        <v>-6029.2125000000233</v>
      </c>
    </row>
    <row r="37" spans="1:4" hidden="1" x14ac:dyDescent="0.35">
      <c r="A37" t="s">
        <v>370</v>
      </c>
      <c r="B37" s="6">
        <v>359</v>
      </c>
      <c r="C37" s="6">
        <v>0</v>
      </c>
    </row>
    <row r="38" spans="1:4" hidden="1" x14ac:dyDescent="0.35">
      <c r="A38" t="s">
        <v>133</v>
      </c>
      <c r="B38" s="6">
        <v>14700</v>
      </c>
      <c r="C38" s="6">
        <v>0</v>
      </c>
    </row>
    <row r="39" spans="1:4" hidden="1" x14ac:dyDescent="0.35">
      <c r="A39" t="s">
        <v>360</v>
      </c>
      <c r="B39" s="6">
        <v>2900</v>
      </c>
      <c r="C39" s="6">
        <v>0</v>
      </c>
    </row>
    <row r="40" spans="1:4" x14ac:dyDescent="0.35">
      <c r="A40" t="s">
        <v>240</v>
      </c>
      <c r="B40" s="6">
        <v>12600</v>
      </c>
      <c r="C40" s="86">
        <v>-600</v>
      </c>
    </row>
    <row r="41" spans="1:4" x14ac:dyDescent="0.35">
      <c r="A41" t="s">
        <v>362</v>
      </c>
      <c r="B41" s="6">
        <v>8400</v>
      </c>
      <c r="C41" s="86">
        <v>-400</v>
      </c>
    </row>
    <row r="42" spans="1:4" hidden="1" x14ac:dyDescent="0.35">
      <c r="A42" t="s">
        <v>242</v>
      </c>
      <c r="B42" s="6">
        <v>90000</v>
      </c>
      <c r="C42" s="6">
        <v>0</v>
      </c>
    </row>
    <row r="43" spans="1:4" x14ac:dyDescent="0.35">
      <c r="A43" t="s">
        <v>208</v>
      </c>
      <c r="B43" s="6">
        <v>4683010.9241500003</v>
      </c>
      <c r="C43" s="86">
        <v>-1114624.96165</v>
      </c>
    </row>
    <row r="44" spans="1:4" hidden="1" x14ac:dyDescent="0.35">
      <c r="A44" t="s">
        <v>248</v>
      </c>
      <c r="B44" s="6">
        <v>1260</v>
      </c>
      <c r="C44" s="6">
        <v>0</v>
      </c>
    </row>
    <row r="45" spans="1:4" x14ac:dyDescent="0.35">
      <c r="A45" t="s">
        <v>342</v>
      </c>
      <c r="B45" s="6">
        <v>940800</v>
      </c>
      <c r="C45" s="6">
        <v>-65132</v>
      </c>
      <c r="D45" t="s">
        <v>491</v>
      </c>
    </row>
    <row r="46" spans="1:4" hidden="1" x14ac:dyDescent="0.35">
      <c r="A46" t="s">
        <v>64</v>
      </c>
      <c r="B46" s="6">
        <v>18865</v>
      </c>
      <c r="C46" s="6">
        <v>0</v>
      </c>
    </row>
    <row r="47" spans="1:4" x14ac:dyDescent="0.35">
      <c r="A47" t="s">
        <v>65</v>
      </c>
      <c r="B47" s="6">
        <v>25439</v>
      </c>
      <c r="C47" s="6">
        <v>-503.06333333333168</v>
      </c>
    </row>
    <row r="48" spans="1:4" hidden="1" x14ac:dyDescent="0.35">
      <c r="A48" t="s">
        <v>320</v>
      </c>
      <c r="B48" s="6">
        <v>2594.5500000000002</v>
      </c>
      <c r="C48" s="6">
        <v>0</v>
      </c>
    </row>
    <row r="49" spans="1:3" x14ac:dyDescent="0.35">
      <c r="A49" t="s">
        <v>66</v>
      </c>
      <c r="B49" s="6">
        <v>34537</v>
      </c>
      <c r="C49" s="6">
        <v>-683.16666666666424</v>
      </c>
    </row>
    <row r="50" spans="1:3" hidden="1" x14ac:dyDescent="0.35">
      <c r="A50" t="s">
        <v>76</v>
      </c>
      <c r="B50" s="6">
        <v>27790.5285</v>
      </c>
      <c r="C50" s="6">
        <v>0</v>
      </c>
    </row>
    <row r="51" spans="1:3" hidden="1" x14ac:dyDescent="0.35">
      <c r="A51" t="s">
        <v>256</v>
      </c>
      <c r="B51" s="6">
        <v>2751</v>
      </c>
      <c r="C51" s="6">
        <v>0</v>
      </c>
    </row>
    <row r="52" spans="1:3" x14ac:dyDescent="0.35">
      <c r="A52" t="s">
        <v>334</v>
      </c>
      <c r="B52" s="6">
        <v>4499600</v>
      </c>
      <c r="C52" s="86">
        <v>-836000</v>
      </c>
    </row>
    <row r="53" spans="1:3" hidden="1" x14ac:dyDescent="0.35">
      <c r="A53" t="s">
        <v>67</v>
      </c>
      <c r="B53" s="6">
        <v>10552298</v>
      </c>
      <c r="C53" s="6">
        <v>-647031.9599999995</v>
      </c>
    </row>
    <row r="54" spans="1:3" x14ac:dyDescent="0.35">
      <c r="A54" t="s">
        <v>77</v>
      </c>
      <c r="B54" s="6">
        <v>307613.80000000005</v>
      </c>
      <c r="C54" s="86">
        <v>-1947.1333333333605</v>
      </c>
    </row>
    <row r="55" spans="1:3" hidden="1" x14ac:dyDescent="0.35">
      <c r="A55" t="s">
        <v>176</v>
      </c>
      <c r="B55" s="6">
        <v>141750</v>
      </c>
      <c r="C55" s="6">
        <v>0</v>
      </c>
    </row>
    <row r="56" spans="1:3" x14ac:dyDescent="0.35">
      <c r="A56" t="s">
        <v>74</v>
      </c>
      <c r="B56" s="6">
        <v>631511.9645</v>
      </c>
      <c r="C56" s="86">
        <v>-32226.404500000004</v>
      </c>
    </row>
    <row r="57" spans="1:3" hidden="1" x14ac:dyDescent="0.35">
      <c r="A57" t="s">
        <v>177</v>
      </c>
      <c r="B57" s="6">
        <v>17099</v>
      </c>
      <c r="C57" s="6">
        <v>0</v>
      </c>
    </row>
    <row r="58" spans="1:3" x14ac:dyDescent="0.35">
      <c r="A58" t="s">
        <v>410</v>
      </c>
      <c r="B58" s="6">
        <v>298544.40000000002</v>
      </c>
      <c r="C58" s="86">
        <v>-14216.030000000086</v>
      </c>
    </row>
    <row r="59" spans="1:3" hidden="1" x14ac:dyDescent="0.35">
      <c r="A59" t="s">
        <v>402</v>
      </c>
      <c r="B59" s="6">
        <v>100000</v>
      </c>
      <c r="C59" s="6">
        <v>0</v>
      </c>
    </row>
    <row r="60" spans="1:3" hidden="1" x14ac:dyDescent="0.35">
      <c r="A60" t="s">
        <v>272</v>
      </c>
      <c r="B60" s="6">
        <v>8435.7000000000007</v>
      </c>
      <c r="C60" s="6">
        <v>0</v>
      </c>
    </row>
    <row r="61" spans="1:3" hidden="1" x14ac:dyDescent="0.35">
      <c r="A61" t="s">
        <v>68</v>
      </c>
      <c r="B61" s="6">
        <v>52500</v>
      </c>
      <c r="C61" s="6">
        <v>0</v>
      </c>
    </row>
    <row r="62" spans="1:3" hidden="1" x14ac:dyDescent="0.35">
      <c r="A62" t="s">
        <v>353</v>
      </c>
      <c r="B62" s="6">
        <v>411547.5</v>
      </c>
      <c r="C62" s="6">
        <v>0</v>
      </c>
    </row>
    <row r="63" spans="1:3" hidden="1" x14ac:dyDescent="0.35">
      <c r="A63" t="s">
        <v>166</v>
      </c>
      <c r="B63" s="6">
        <v>12200</v>
      </c>
      <c r="C63" s="6">
        <v>0</v>
      </c>
    </row>
    <row r="64" spans="1:3" hidden="1" x14ac:dyDescent="0.35">
      <c r="A64" t="s">
        <v>276</v>
      </c>
      <c r="B64" s="6">
        <v>72888.816000000006</v>
      </c>
      <c r="C64" s="6">
        <v>-3470.8960000000079</v>
      </c>
    </row>
    <row r="65" spans="1:3" x14ac:dyDescent="0.35">
      <c r="A65" t="s">
        <v>69</v>
      </c>
      <c r="B65" s="6">
        <v>3150</v>
      </c>
      <c r="C65" s="86">
        <v>-150</v>
      </c>
    </row>
    <row r="66" spans="1:3" hidden="1" x14ac:dyDescent="0.35">
      <c r="A66" t="s">
        <v>278</v>
      </c>
      <c r="B66" s="6">
        <v>51930.15</v>
      </c>
      <c r="C66" s="6">
        <v>0</v>
      </c>
    </row>
    <row r="67" spans="1:3" x14ac:dyDescent="0.35">
      <c r="A67" t="s">
        <v>347</v>
      </c>
      <c r="B67" s="6">
        <v>139031.20000000001</v>
      </c>
      <c r="C67" s="86">
        <v>-1329.5333333333256</v>
      </c>
    </row>
    <row r="68" spans="1:3" hidden="1" x14ac:dyDescent="0.35">
      <c r="A68" t="s">
        <v>70</v>
      </c>
      <c r="B68" s="6">
        <v>297450.41749999998</v>
      </c>
      <c r="C68" s="6">
        <v>-15282.789999999994</v>
      </c>
    </row>
    <row r="69" spans="1:3" hidden="1" x14ac:dyDescent="0.35">
      <c r="A69" t="s">
        <v>282</v>
      </c>
      <c r="B69" s="6">
        <v>39305.700000000004</v>
      </c>
      <c r="C69" s="6">
        <v>0</v>
      </c>
    </row>
    <row r="70" spans="1:3" hidden="1" x14ac:dyDescent="0.35">
      <c r="A70" t="s">
        <v>381</v>
      </c>
      <c r="B70" s="6">
        <v>160000</v>
      </c>
      <c r="C70" s="6">
        <v>0</v>
      </c>
    </row>
    <row r="71" spans="1:3" x14ac:dyDescent="0.35">
      <c r="A71" t="s">
        <v>298</v>
      </c>
      <c r="B71" s="6">
        <v>70432.698000000004</v>
      </c>
      <c r="C71" s="6">
        <v>-121.79000000000815</v>
      </c>
    </row>
    <row r="72" spans="1:3" hidden="1" x14ac:dyDescent="0.35">
      <c r="A72" t="s">
        <v>349</v>
      </c>
      <c r="B72" s="6">
        <v>-4000000</v>
      </c>
      <c r="C72" s="6">
        <v>-4.6566128730773926E-10</v>
      </c>
    </row>
    <row r="73" spans="1:3" hidden="1" x14ac:dyDescent="0.35">
      <c r="A73" t="s">
        <v>78</v>
      </c>
      <c r="B73" s="6">
        <v>5407.5</v>
      </c>
      <c r="C73" s="6">
        <v>0</v>
      </c>
    </row>
    <row r="74" spans="1:3" hidden="1" x14ac:dyDescent="0.35">
      <c r="A74" t="s">
        <v>284</v>
      </c>
      <c r="B74" s="6">
        <v>174825</v>
      </c>
      <c r="C74" s="6">
        <v>0</v>
      </c>
    </row>
    <row r="75" spans="1:3" x14ac:dyDescent="0.35">
      <c r="A75" t="s">
        <v>138</v>
      </c>
      <c r="B75" s="6">
        <v>175245.90000000002</v>
      </c>
      <c r="C75" s="6">
        <v>-6500</v>
      </c>
    </row>
    <row r="76" spans="1:3" x14ac:dyDescent="0.35">
      <c r="A76" t="s">
        <v>112</v>
      </c>
      <c r="B76" s="6">
        <v>259449</v>
      </c>
      <c r="C76" s="6">
        <v>-100000.14999999997</v>
      </c>
    </row>
    <row r="77" spans="1:3" x14ac:dyDescent="0.35">
      <c r="A77" t="s">
        <v>371</v>
      </c>
      <c r="B77" s="6">
        <v>67470</v>
      </c>
      <c r="C77" s="6">
        <v>0</v>
      </c>
    </row>
    <row r="78" spans="1:3" hidden="1" x14ac:dyDescent="0.35">
      <c r="A78" t="s">
        <v>374</v>
      </c>
      <c r="B78" s="6">
        <v>25000</v>
      </c>
      <c r="C78" s="6">
        <v>0</v>
      </c>
    </row>
    <row r="79" spans="1:3" hidden="1" x14ac:dyDescent="0.35">
      <c r="A79" t="s">
        <v>71</v>
      </c>
      <c r="B79" s="6">
        <v>421713.07500000007</v>
      </c>
      <c r="C79" s="6">
        <v>-13820.378333333472</v>
      </c>
    </row>
    <row r="80" spans="1:3" x14ac:dyDescent="0.35">
      <c r="A80" t="s">
        <v>191</v>
      </c>
      <c r="B80" s="6">
        <v>190000</v>
      </c>
      <c r="C80" s="86">
        <v>-73350</v>
      </c>
    </row>
    <row r="81" spans="1:3" hidden="1" x14ac:dyDescent="0.35">
      <c r="A81" t="s">
        <v>79</v>
      </c>
      <c r="B81" s="6">
        <v>61830</v>
      </c>
      <c r="C81" s="6">
        <v>0</v>
      </c>
    </row>
    <row r="82" spans="1:3" hidden="1" x14ac:dyDescent="0.35">
      <c r="A82" t="s">
        <v>215</v>
      </c>
      <c r="B82" s="6">
        <v>440671.35000000003</v>
      </c>
      <c r="C82" s="6">
        <v>-0.34999999997671694</v>
      </c>
    </row>
    <row r="83" spans="1:3" hidden="1" x14ac:dyDescent="0.35">
      <c r="A83" t="s">
        <v>72</v>
      </c>
      <c r="B83" s="6">
        <v>15750</v>
      </c>
      <c r="C83" s="6">
        <v>0</v>
      </c>
    </row>
    <row r="84" spans="1:3" hidden="1" x14ac:dyDescent="0.35">
      <c r="A84" t="s">
        <v>486</v>
      </c>
      <c r="B84" s="6">
        <v>0</v>
      </c>
      <c r="C84" s="6">
        <v>0</v>
      </c>
    </row>
    <row r="85" spans="1:3" x14ac:dyDescent="0.35">
      <c r="A85" t="s">
        <v>8</v>
      </c>
      <c r="B85" s="6">
        <v>40788397.95615001</v>
      </c>
      <c r="C85" s="6">
        <v>-4246300.4488166664</v>
      </c>
    </row>
  </sheetData>
  <autoFilter ref="A4:G86" xr:uid="{D28EFC58-C9F4-43B4-990D-3D97D9C7237A}">
    <filterColumn colId="2">
      <filters blank="1">
        <filter val="-$1,121,177"/>
        <filter val="-$1,443"/>
        <filter val="-$1,452"/>
        <filter val="-$1,467"/>
        <filter val="-$1,667"/>
        <filter val="-$12,650"/>
        <filter val="-$150"/>
        <filter val="-$19,131"/>
        <filter val="-$2"/>
        <filter val="-$2,120,834"/>
        <filter val="-$2,369"/>
        <filter val="-$201"/>
        <filter val="-$24,656"/>
        <filter val="-$273"/>
        <filter val="-$281"/>
        <filter val="-$3,500"/>
        <filter val="-$304"/>
        <filter val="-$330,000"/>
        <filter val="-$380"/>
        <filter val="-$391"/>
        <filter val="-$400"/>
        <filter val="-$541,608"/>
        <filter val="-$56,652"/>
        <filter val="-$600"/>
        <filter val="-$78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343C-16AA-4AAC-A485-AD8194DD5AAD}">
  <sheetPr filterMode="1"/>
  <dimension ref="A1:O96"/>
  <sheetViews>
    <sheetView topLeftCell="A6" workbookViewId="0">
      <selection activeCell="B45" sqref="B45"/>
    </sheetView>
  </sheetViews>
  <sheetFormatPr defaultRowHeight="14.5" x14ac:dyDescent="0.35"/>
  <cols>
    <col min="1" max="1" width="42.81640625" bestFit="1" customWidth="1"/>
    <col min="2" max="2" width="17.1796875" bestFit="1" customWidth="1"/>
    <col min="4" max="4" width="15.08984375" bestFit="1" customWidth="1"/>
    <col min="9" max="9" width="9.1796875" bestFit="1" customWidth="1"/>
    <col min="13" max="13" width="27.6328125" bestFit="1" customWidth="1"/>
    <col min="14" max="14" width="10.08984375" bestFit="1" customWidth="1"/>
  </cols>
  <sheetData>
    <row r="1" spans="1:15" x14ac:dyDescent="0.35">
      <c r="F1" s="182" t="s">
        <v>481</v>
      </c>
      <c r="G1" s="182"/>
      <c r="H1" s="182"/>
      <c r="I1" s="182"/>
      <c r="J1" s="182"/>
      <c r="M1" s="85" t="s">
        <v>483</v>
      </c>
    </row>
    <row r="2" spans="1:15" x14ac:dyDescent="0.35">
      <c r="A2" t="s">
        <v>407</v>
      </c>
      <c r="B2" s="6">
        <v>155389.33499999999</v>
      </c>
      <c r="C2" t="e">
        <v>#N/A</v>
      </c>
      <c r="D2" t="s">
        <v>477</v>
      </c>
      <c r="F2" t="s">
        <v>56</v>
      </c>
      <c r="G2" s="6">
        <v>401932.44</v>
      </c>
      <c r="H2">
        <v>752500</v>
      </c>
      <c r="I2" s="6">
        <v>-350567.56</v>
      </c>
      <c r="J2" t="s">
        <v>480</v>
      </c>
      <c r="M2" s="9" t="s">
        <v>482</v>
      </c>
      <c r="N2" s="87">
        <v>1000</v>
      </c>
    </row>
    <row r="3" spans="1:15" x14ac:dyDescent="0.35">
      <c r="A3" t="s">
        <v>73</v>
      </c>
      <c r="B3" s="6">
        <v>278680</v>
      </c>
      <c r="C3" t="e">
        <v>#N/A</v>
      </c>
      <c r="D3" t="s">
        <v>478</v>
      </c>
      <c r="F3" t="s">
        <v>198</v>
      </c>
      <c r="G3" s="6">
        <v>121674.73333333334</v>
      </c>
      <c r="H3">
        <v>334408.24</v>
      </c>
      <c r="I3" s="86">
        <v>-212733.50666666665</v>
      </c>
      <c r="J3" t="s">
        <v>478</v>
      </c>
      <c r="M3" t="s">
        <v>343</v>
      </c>
      <c r="N3" t="s">
        <v>484</v>
      </c>
      <c r="O3" t="s">
        <v>488</v>
      </c>
    </row>
    <row r="4" spans="1:15" x14ac:dyDescent="0.35">
      <c r="A4" t="s">
        <v>368</v>
      </c>
      <c r="B4" s="6">
        <v>4982.8</v>
      </c>
      <c r="C4" t="e">
        <v>#N/A</v>
      </c>
      <c r="D4" t="s">
        <v>480</v>
      </c>
      <c r="F4" t="s">
        <v>222</v>
      </c>
      <c r="G4" s="6">
        <v>40109.25</v>
      </c>
      <c r="H4">
        <v>32009.25</v>
      </c>
      <c r="I4" s="86">
        <v>8100</v>
      </c>
      <c r="J4" t="s">
        <v>477</v>
      </c>
    </row>
    <row r="5" spans="1:15" x14ac:dyDescent="0.35">
      <c r="A5" t="s">
        <v>313</v>
      </c>
      <c r="B5" s="6">
        <v>11640.333333333334</v>
      </c>
      <c r="C5" t="e">
        <v>#N/A</v>
      </c>
      <c r="D5" t="s">
        <v>477</v>
      </c>
      <c r="F5" t="s">
        <v>57</v>
      </c>
      <c r="G5" s="6">
        <v>12640.999999999998</v>
      </c>
      <c r="H5">
        <v>12705.37</v>
      </c>
      <c r="I5" s="86">
        <v>-64.370000000002619</v>
      </c>
      <c r="J5" t="s">
        <v>478</v>
      </c>
    </row>
    <row r="6" spans="1:15" x14ac:dyDescent="0.35">
      <c r="A6" t="s">
        <v>333</v>
      </c>
      <c r="B6" s="6">
        <v>4704</v>
      </c>
      <c r="C6" t="e">
        <v>#N/A</v>
      </c>
      <c r="D6" t="s">
        <v>478</v>
      </c>
      <c r="F6" t="s">
        <v>56</v>
      </c>
      <c r="G6" s="6">
        <v>401932.44</v>
      </c>
      <c r="H6">
        <v>752500</v>
      </c>
      <c r="I6" s="6">
        <v>-350567.56</v>
      </c>
      <c r="J6" t="s">
        <v>480</v>
      </c>
    </row>
    <row r="7" spans="1:15" x14ac:dyDescent="0.35">
      <c r="A7" t="s">
        <v>77</v>
      </c>
      <c r="B7" s="6">
        <v>24908.333333333332</v>
      </c>
      <c r="C7" t="e">
        <v>#N/A</v>
      </c>
      <c r="D7" t="s">
        <v>477</v>
      </c>
      <c r="F7" t="s">
        <v>208</v>
      </c>
      <c r="G7" s="6">
        <v>383337.49</v>
      </c>
      <c r="H7">
        <v>276974</v>
      </c>
      <c r="I7" s="6">
        <v>106363.48999999999</v>
      </c>
      <c r="J7" t="s">
        <v>478</v>
      </c>
    </row>
    <row r="8" spans="1:15" x14ac:dyDescent="0.35">
      <c r="A8" t="s">
        <v>410</v>
      </c>
      <c r="B8" s="6">
        <v>23694.030833333334</v>
      </c>
      <c r="C8" t="e">
        <v>#N/A</v>
      </c>
      <c r="D8" t="s">
        <v>477</v>
      </c>
      <c r="F8" t="s">
        <v>334</v>
      </c>
      <c r="G8" s="6">
        <v>211524.76</v>
      </c>
      <c r="H8">
        <v>634574.28</v>
      </c>
      <c r="I8" s="6">
        <v>-423049.52</v>
      </c>
      <c r="J8" t="s">
        <v>478</v>
      </c>
    </row>
    <row r="9" spans="1:15" x14ac:dyDescent="0.35">
      <c r="A9" t="s">
        <v>347</v>
      </c>
      <c r="B9" s="6">
        <v>11396</v>
      </c>
      <c r="C9" t="e">
        <v>#N/A</v>
      </c>
      <c r="D9" t="s">
        <v>477</v>
      </c>
      <c r="F9" t="s">
        <v>67</v>
      </c>
      <c r="G9" s="6">
        <v>912069.15</v>
      </c>
      <c r="H9">
        <v>661353.44000000006</v>
      </c>
      <c r="I9" s="6">
        <v>250715.70999999996</v>
      </c>
      <c r="J9" t="s">
        <v>478</v>
      </c>
    </row>
    <row r="10" spans="1:15" x14ac:dyDescent="0.35">
      <c r="A10" t="s">
        <v>381</v>
      </c>
      <c r="B10" s="6">
        <v>12500</v>
      </c>
      <c r="C10" t="e">
        <v>#N/A</v>
      </c>
      <c r="D10" t="s">
        <v>477</v>
      </c>
      <c r="F10" t="s">
        <v>74</v>
      </c>
      <c r="G10" s="6">
        <v>70999.255833333329</v>
      </c>
      <c r="H10">
        <v>29028.26</v>
      </c>
      <c r="I10" s="6">
        <v>41970.995833333334</v>
      </c>
      <c r="J10" t="s">
        <v>478</v>
      </c>
    </row>
    <row r="11" spans="1:15" x14ac:dyDescent="0.35">
      <c r="A11" t="s">
        <v>284</v>
      </c>
      <c r="B11" s="6">
        <v>14568.75</v>
      </c>
      <c r="C11" t="e">
        <v>#N/A</v>
      </c>
      <c r="D11" t="s">
        <v>477</v>
      </c>
      <c r="F11" t="s">
        <v>70</v>
      </c>
      <c r="G11" s="6">
        <v>983.36</v>
      </c>
      <c r="H11">
        <v>5180.1000000000004</v>
      </c>
      <c r="I11" s="6">
        <v>-4196.7400000000007</v>
      </c>
      <c r="J11" t="s">
        <v>478</v>
      </c>
    </row>
    <row r="12" spans="1:15" x14ac:dyDescent="0.35">
      <c r="A12" t="s">
        <v>112</v>
      </c>
      <c r="B12" s="6">
        <v>11185.3</v>
      </c>
      <c r="C12" t="e">
        <v>#N/A</v>
      </c>
      <c r="D12" t="s">
        <v>478</v>
      </c>
      <c r="F12" t="s">
        <v>138</v>
      </c>
      <c r="G12" s="6">
        <v>11833.333333333334</v>
      </c>
      <c r="H12">
        <v>1000</v>
      </c>
      <c r="I12" s="6">
        <v>10833.333333333334</v>
      </c>
      <c r="J12" t="s">
        <v>477</v>
      </c>
    </row>
    <row r="13" spans="1:15" x14ac:dyDescent="0.35">
      <c r="A13" t="s">
        <v>71</v>
      </c>
      <c r="B13" s="6">
        <v>30215.78</v>
      </c>
      <c r="C13" t="e">
        <v>#N/A</v>
      </c>
      <c r="D13" t="s">
        <v>480</v>
      </c>
    </row>
    <row r="15" spans="1:15" x14ac:dyDescent="0.35">
      <c r="A15" s="8" t="s">
        <v>1</v>
      </c>
      <c r="B15" t="s">
        <v>44</v>
      </c>
    </row>
    <row r="16" spans="1:15" hidden="1" x14ac:dyDescent="0.35">
      <c r="A16" s="9" t="s">
        <v>400</v>
      </c>
      <c r="B16" s="6">
        <v>0</v>
      </c>
    </row>
    <row r="17" spans="1:3" hidden="1" x14ac:dyDescent="0.35">
      <c r="A17" s="9" t="s">
        <v>322</v>
      </c>
      <c r="B17" s="6">
        <v>0</v>
      </c>
    </row>
    <row r="18" spans="1:3" x14ac:dyDescent="0.35">
      <c r="A18" s="9" t="s">
        <v>407</v>
      </c>
      <c r="B18" s="86">
        <v>86226.119999999646</v>
      </c>
    </row>
    <row r="19" spans="1:3" hidden="1" x14ac:dyDescent="0.35">
      <c r="A19" s="9" t="s">
        <v>358</v>
      </c>
      <c r="B19" s="6">
        <v>0</v>
      </c>
    </row>
    <row r="20" spans="1:3" x14ac:dyDescent="0.35">
      <c r="A20" s="9" t="s">
        <v>420</v>
      </c>
      <c r="B20" s="6">
        <v>32669.254166666651</v>
      </c>
      <c r="C20" t="s">
        <v>492</v>
      </c>
    </row>
    <row r="21" spans="1:3" x14ac:dyDescent="0.35">
      <c r="A21" s="9" t="s">
        <v>73</v>
      </c>
      <c r="B21" s="99">
        <v>111096</v>
      </c>
      <c r="C21" t="s">
        <v>492</v>
      </c>
    </row>
    <row r="22" spans="1:3" hidden="1" x14ac:dyDescent="0.35">
      <c r="A22" s="9" t="s">
        <v>121</v>
      </c>
      <c r="B22" s="6">
        <v>15</v>
      </c>
    </row>
    <row r="23" spans="1:3" x14ac:dyDescent="0.35">
      <c r="A23" s="9" t="s">
        <v>368</v>
      </c>
      <c r="B23" s="86">
        <v>573.80000000000018</v>
      </c>
    </row>
    <row r="24" spans="1:3" hidden="1" x14ac:dyDescent="0.35">
      <c r="A24" s="9" t="s">
        <v>58</v>
      </c>
      <c r="B24" s="6">
        <v>797.13000000000466</v>
      </c>
    </row>
    <row r="25" spans="1:3" hidden="1" x14ac:dyDescent="0.35">
      <c r="A25" s="9" t="s">
        <v>59</v>
      </c>
      <c r="B25" s="6">
        <v>239.02999999999975</v>
      </c>
    </row>
    <row r="26" spans="1:3" hidden="1" x14ac:dyDescent="0.35">
      <c r="A26" s="9" t="s">
        <v>60</v>
      </c>
      <c r="B26" s="6">
        <v>0</v>
      </c>
    </row>
    <row r="27" spans="1:3" hidden="1" x14ac:dyDescent="0.35">
      <c r="A27" s="9" t="s">
        <v>159</v>
      </c>
      <c r="B27" s="6">
        <v>0</v>
      </c>
    </row>
    <row r="28" spans="1:3" x14ac:dyDescent="0.35">
      <c r="A28" s="9" t="s">
        <v>198</v>
      </c>
      <c r="B28" s="99">
        <v>50308.707500000019</v>
      </c>
      <c r="C28" t="s">
        <v>492</v>
      </c>
    </row>
    <row r="29" spans="1:3" hidden="1" x14ac:dyDescent="0.35">
      <c r="A29" s="9" t="s">
        <v>324</v>
      </c>
      <c r="B29" s="6">
        <v>0</v>
      </c>
    </row>
    <row r="30" spans="1:3" hidden="1" x14ac:dyDescent="0.35">
      <c r="A30" s="9" t="s">
        <v>222</v>
      </c>
      <c r="B30" s="6">
        <v>0</v>
      </c>
    </row>
    <row r="31" spans="1:3" x14ac:dyDescent="0.35">
      <c r="A31" s="9" t="s">
        <v>57</v>
      </c>
      <c r="B31" s="86">
        <v>80625.498999999996</v>
      </c>
    </row>
    <row r="32" spans="1:3" hidden="1" x14ac:dyDescent="0.35">
      <c r="A32" s="9" t="s">
        <v>61</v>
      </c>
      <c r="B32" s="6">
        <v>0</v>
      </c>
    </row>
    <row r="33" spans="1:3" hidden="1" x14ac:dyDescent="0.35">
      <c r="A33" s="9" t="s">
        <v>170</v>
      </c>
      <c r="B33" s="6">
        <v>0</v>
      </c>
    </row>
    <row r="34" spans="1:3" hidden="1" x14ac:dyDescent="0.35">
      <c r="A34" s="9" t="s">
        <v>308</v>
      </c>
      <c r="B34" s="6">
        <v>0</v>
      </c>
    </row>
    <row r="35" spans="1:3" hidden="1" x14ac:dyDescent="0.35">
      <c r="A35" s="9" t="s">
        <v>234</v>
      </c>
      <c r="B35" s="6">
        <v>0</v>
      </c>
    </row>
    <row r="36" spans="1:3" hidden="1" x14ac:dyDescent="0.35">
      <c r="A36" s="9" t="s">
        <v>313</v>
      </c>
      <c r="B36" s="6">
        <v>0</v>
      </c>
    </row>
    <row r="37" spans="1:3" hidden="1" x14ac:dyDescent="0.35">
      <c r="A37" s="9" t="s">
        <v>318</v>
      </c>
      <c r="B37" s="6">
        <v>0</v>
      </c>
    </row>
    <row r="38" spans="1:3" x14ac:dyDescent="0.35">
      <c r="A38" s="9" t="s">
        <v>417</v>
      </c>
      <c r="B38" s="86">
        <v>102000</v>
      </c>
    </row>
    <row r="39" spans="1:3" x14ac:dyDescent="0.35">
      <c r="A39" s="9" t="s">
        <v>181</v>
      </c>
      <c r="B39" s="99">
        <v>489150.91999999993</v>
      </c>
      <c r="C39" t="s">
        <v>492</v>
      </c>
    </row>
    <row r="40" spans="1:3" hidden="1" x14ac:dyDescent="0.35">
      <c r="A40" s="9" t="s">
        <v>62</v>
      </c>
      <c r="B40" s="99">
        <v>198.66589999999997</v>
      </c>
    </row>
    <row r="41" spans="1:3" hidden="1" x14ac:dyDescent="0.35">
      <c r="A41" s="9" t="s">
        <v>63</v>
      </c>
      <c r="B41" s="6">
        <v>388.54999999999563</v>
      </c>
    </row>
    <row r="42" spans="1:3" x14ac:dyDescent="0.35">
      <c r="A42" s="9" t="s">
        <v>185</v>
      </c>
      <c r="B42" s="99">
        <v>0</v>
      </c>
      <c r="C42" t="s">
        <v>492</v>
      </c>
    </row>
    <row r="43" spans="1:3" hidden="1" x14ac:dyDescent="0.35">
      <c r="A43" s="9" t="s">
        <v>304</v>
      </c>
      <c r="B43" s="6">
        <v>23.484500000002299</v>
      </c>
    </row>
    <row r="44" spans="1:3" hidden="1" x14ac:dyDescent="0.35">
      <c r="A44" s="9" t="s">
        <v>75</v>
      </c>
      <c r="B44" s="6">
        <v>0</v>
      </c>
    </row>
    <row r="45" spans="1:3" hidden="1" x14ac:dyDescent="0.35">
      <c r="A45" s="9" t="s">
        <v>333</v>
      </c>
      <c r="B45" s="100">
        <v>0</v>
      </c>
    </row>
    <row r="46" spans="1:3" x14ac:dyDescent="0.35">
      <c r="A46" s="9" t="s">
        <v>56</v>
      </c>
      <c r="B46" s="86">
        <v>456079.36999999918</v>
      </c>
    </row>
    <row r="47" spans="1:3" hidden="1" x14ac:dyDescent="0.35">
      <c r="A47" s="9" t="s">
        <v>236</v>
      </c>
      <c r="B47" s="6">
        <v>0</v>
      </c>
    </row>
    <row r="48" spans="1:3" hidden="1" x14ac:dyDescent="0.35">
      <c r="A48" s="9" t="s">
        <v>370</v>
      </c>
      <c r="B48" s="6">
        <v>0</v>
      </c>
    </row>
    <row r="49" spans="1:2" hidden="1" x14ac:dyDescent="0.35">
      <c r="A49" s="9" t="s">
        <v>133</v>
      </c>
      <c r="B49" s="6">
        <v>41250</v>
      </c>
    </row>
    <row r="50" spans="1:2" hidden="1" x14ac:dyDescent="0.35">
      <c r="A50" s="9" t="s">
        <v>360</v>
      </c>
      <c r="B50" s="6">
        <v>5507.75</v>
      </c>
    </row>
    <row r="51" spans="1:2" hidden="1" x14ac:dyDescent="0.35">
      <c r="A51" s="9" t="s">
        <v>240</v>
      </c>
      <c r="B51" s="6">
        <v>0</v>
      </c>
    </row>
    <row r="52" spans="1:2" hidden="1" x14ac:dyDescent="0.35">
      <c r="A52" s="9" t="s">
        <v>362</v>
      </c>
      <c r="B52" s="6">
        <v>0</v>
      </c>
    </row>
    <row r="53" spans="1:2" hidden="1" x14ac:dyDescent="0.35">
      <c r="A53" s="9" t="s">
        <v>242</v>
      </c>
      <c r="B53" s="6">
        <v>0</v>
      </c>
    </row>
    <row r="54" spans="1:2" x14ac:dyDescent="0.35">
      <c r="A54" s="9" t="s">
        <v>208</v>
      </c>
      <c r="B54" s="86">
        <v>1834748</v>
      </c>
    </row>
    <row r="55" spans="1:2" hidden="1" x14ac:dyDescent="0.35">
      <c r="A55" s="9" t="s">
        <v>248</v>
      </c>
      <c r="B55" s="6">
        <v>0</v>
      </c>
    </row>
    <row r="56" spans="1:2" x14ac:dyDescent="0.35">
      <c r="A56" s="9" t="s">
        <v>342</v>
      </c>
      <c r="B56" s="86">
        <v>606720</v>
      </c>
    </row>
    <row r="57" spans="1:2" hidden="1" x14ac:dyDescent="0.35">
      <c r="A57" s="9" t="s">
        <v>64</v>
      </c>
      <c r="B57" s="6">
        <v>645.97999999999956</v>
      </c>
    </row>
    <row r="58" spans="1:2" hidden="1" x14ac:dyDescent="0.35">
      <c r="A58" s="9" t="s">
        <v>65</v>
      </c>
      <c r="B58" s="6">
        <v>0</v>
      </c>
    </row>
    <row r="59" spans="1:2" hidden="1" x14ac:dyDescent="0.35">
      <c r="A59" s="9" t="s">
        <v>320</v>
      </c>
      <c r="B59" s="6">
        <v>0.4499999999998181</v>
      </c>
    </row>
    <row r="60" spans="1:2" hidden="1" x14ac:dyDescent="0.35">
      <c r="A60" s="9" t="s">
        <v>66</v>
      </c>
      <c r="B60" s="6">
        <v>0</v>
      </c>
    </row>
    <row r="61" spans="1:2" hidden="1" x14ac:dyDescent="0.35">
      <c r="A61" s="9" t="s">
        <v>76</v>
      </c>
      <c r="B61" s="6">
        <v>0.47149999999783176</v>
      </c>
    </row>
    <row r="62" spans="1:2" hidden="1" x14ac:dyDescent="0.35">
      <c r="A62" s="9" t="s">
        <v>256</v>
      </c>
      <c r="B62" s="6">
        <v>441.74999999999977</v>
      </c>
    </row>
    <row r="63" spans="1:2" x14ac:dyDescent="0.35">
      <c r="A63" s="9" t="s">
        <v>334</v>
      </c>
      <c r="B63" s="86">
        <v>247690.6799999997</v>
      </c>
    </row>
    <row r="64" spans="1:2" x14ac:dyDescent="0.35">
      <c r="A64" s="9" t="s">
        <v>67</v>
      </c>
      <c r="B64" s="99">
        <v>324631.11666666699</v>
      </c>
    </row>
    <row r="65" spans="1:3" hidden="1" x14ac:dyDescent="0.35">
      <c r="A65" s="9" t="s">
        <v>77</v>
      </c>
      <c r="B65" s="6">
        <v>0</v>
      </c>
    </row>
    <row r="66" spans="1:3" hidden="1" x14ac:dyDescent="0.35">
      <c r="A66" s="9" t="s">
        <v>176</v>
      </c>
      <c r="B66" s="6">
        <v>0</v>
      </c>
    </row>
    <row r="67" spans="1:3" x14ac:dyDescent="0.35">
      <c r="A67" s="9" t="s">
        <v>74</v>
      </c>
      <c r="B67" s="86">
        <v>100631.95416666666</v>
      </c>
    </row>
    <row r="68" spans="1:3" x14ac:dyDescent="0.35">
      <c r="A68" s="9" t="s">
        <v>486</v>
      </c>
      <c r="B68" s="86">
        <v>15208</v>
      </c>
    </row>
    <row r="69" spans="1:3" hidden="1" x14ac:dyDescent="0.35">
      <c r="A69" s="9" t="s">
        <v>177</v>
      </c>
      <c r="B69" s="6">
        <v>0</v>
      </c>
    </row>
    <row r="70" spans="1:3" hidden="1" x14ac:dyDescent="0.35">
      <c r="A70" s="9" t="s">
        <v>410</v>
      </c>
      <c r="B70" s="6">
        <v>0</v>
      </c>
    </row>
    <row r="71" spans="1:3" hidden="1" x14ac:dyDescent="0.35">
      <c r="A71" s="9" t="s">
        <v>402</v>
      </c>
      <c r="B71" s="6">
        <v>9890</v>
      </c>
    </row>
    <row r="72" spans="1:3" hidden="1" x14ac:dyDescent="0.35">
      <c r="A72" s="9" t="s">
        <v>272</v>
      </c>
      <c r="B72" s="6">
        <v>0.2999999999992724</v>
      </c>
    </row>
    <row r="73" spans="1:3" hidden="1" x14ac:dyDescent="0.35">
      <c r="A73" s="9" t="s">
        <v>68</v>
      </c>
      <c r="B73" s="6">
        <v>0</v>
      </c>
    </row>
    <row r="74" spans="1:3" x14ac:dyDescent="0.35">
      <c r="A74" s="9" t="s">
        <v>353</v>
      </c>
      <c r="B74" s="86">
        <v>132827.49999999988</v>
      </c>
    </row>
    <row r="75" spans="1:3" hidden="1" x14ac:dyDescent="0.35">
      <c r="A75" s="9" t="s">
        <v>166</v>
      </c>
      <c r="B75" s="6">
        <v>0</v>
      </c>
    </row>
    <row r="76" spans="1:3" hidden="1" x14ac:dyDescent="0.35">
      <c r="A76" s="9" t="s">
        <v>276</v>
      </c>
      <c r="B76" s="6">
        <v>0</v>
      </c>
    </row>
    <row r="77" spans="1:3" hidden="1" x14ac:dyDescent="0.35">
      <c r="A77" s="9" t="s">
        <v>69</v>
      </c>
      <c r="B77" s="6">
        <v>0</v>
      </c>
    </row>
    <row r="78" spans="1:3" x14ac:dyDescent="0.35">
      <c r="A78" s="9" t="s">
        <v>278</v>
      </c>
      <c r="B78" s="99">
        <v>2252.8499999999985</v>
      </c>
      <c r="C78" t="s">
        <v>493</v>
      </c>
    </row>
    <row r="79" spans="1:3" hidden="1" x14ac:dyDescent="0.35">
      <c r="A79" s="9" t="s">
        <v>347</v>
      </c>
      <c r="B79" s="6">
        <v>0</v>
      </c>
    </row>
    <row r="80" spans="1:3" x14ac:dyDescent="0.35">
      <c r="A80" s="9" t="s">
        <v>70</v>
      </c>
      <c r="B80" s="86">
        <v>15724.092500000001</v>
      </c>
    </row>
    <row r="81" spans="1:2" hidden="1" x14ac:dyDescent="0.35">
      <c r="A81" s="9" t="s">
        <v>282</v>
      </c>
      <c r="B81" s="6">
        <v>0.29999999999563443</v>
      </c>
    </row>
    <row r="82" spans="1:2" hidden="1" x14ac:dyDescent="0.35">
      <c r="A82" s="9" t="s">
        <v>381</v>
      </c>
      <c r="B82" s="6">
        <v>0</v>
      </c>
    </row>
    <row r="83" spans="1:2" hidden="1" x14ac:dyDescent="0.35">
      <c r="A83" s="9" t="s">
        <v>298</v>
      </c>
      <c r="B83" s="6">
        <v>0</v>
      </c>
    </row>
    <row r="84" spans="1:2" hidden="1" x14ac:dyDescent="0.35">
      <c r="A84" s="9" t="s">
        <v>349</v>
      </c>
      <c r="B84" s="6">
        <v>0</v>
      </c>
    </row>
    <row r="85" spans="1:2" hidden="1" x14ac:dyDescent="0.35">
      <c r="A85" s="9" t="s">
        <v>78</v>
      </c>
      <c r="B85" s="6">
        <v>0</v>
      </c>
    </row>
    <row r="86" spans="1:2" hidden="1" x14ac:dyDescent="0.35">
      <c r="A86" s="9" t="s">
        <v>284</v>
      </c>
      <c r="B86" s="6">
        <v>0</v>
      </c>
    </row>
    <row r="87" spans="1:2" hidden="1" x14ac:dyDescent="0.35">
      <c r="A87" s="9" t="s">
        <v>138</v>
      </c>
      <c r="B87" s="6">
        <v>3.4166666666278616</v>
      </c>
    </row>
    <row r="88" spans="1:2" hidden="1" x14ac:dyDescent="0.35">
      <c r="A88" s="9" t="s">
        <v>112</v>
      </c>
      <c r="B88" s="6">
        <v>0</v>
      </c>
    </row>
    <row r="89" spans="1:2" hidden="1" x14ac:dyDescent="0.35">
      <c r="A89" s="9" t="s">
        <v>371</v>
      </c>
      <c r="B89" s="6">
        <v>494.89999999999418</v>
      </c>
    </row>
    <row r="90" spans="1:2" hidden="1" x14ac:dyDescent="0.35">
      <c r="A90" s="9" t="s">
        <v>374</v>
      </c>
      <c r="B90" s="6">
        <v>0</v>
      </c>
    </row>
    <row r="91" spans="1:2" hidden="1" x14ac:dyDescent="0.35">
      <c r="A91" s="9" t="s">
        <v>71</v>
      </c>
      <c r="B91" s="6">
        <v>0</v>
      </c>
    </row>
    <row r="92" spans="1:2" hidden="1" x14ac:dyDescent="0.35">
      <c r="A92" s="9" t="s">
        <v>191</v>
      </c>
      <c r="B92" s="6">
        <v>0</v>
      </c>
    </row>
    <row r="93" spans="1:2" hidden="1" x14ac:dyDescent="0.35">
      <c r="A93" s="9" t="s">
        <v>79</v>
      </c>
      <c r="B93" s="6">
        <v>0</v>
      </c>
    </row>
    <row r="94" spans="1:2" hidden="1" x14ac:dyDescent="0.35">
      <c r="A94" s="9" t="s">
        <v>215</v>
      </c>
      <c r="B94" s="6">
        <v>0</v>
      </c>
    </row>
    <row r="95" spans="1:2" hidden="1" x14ac:dyDescent="0.35">
      <c r="A95" s="9" t="s">
        <v>72</v>
      </c>
      <c r="B95" s="6">
        <v>0</v>
      </c>
    </row>
    <row r="96" spans="1:2" x14ac:dyDescent="0.35">
      <c r="A96" s="9" t="s">
        <v>8</v>
      </c>
      <c r="B96" s="6">
        <v>4749061.0425666654</v>
      </c>
    </row>
  </sheetData>
  <autoFilter ref="A15:B96" xr:uid="{2C51343C-16AA-4AAC-A485-AD8194DD5AAD}">
    <filterColumn colId="1">
      <filters>
        <filter val="$100,632"/>
        <filter val="$131,048"/>
        <filter val="$132,828"/>
        <filter val="$15,208"/>
        <filter val="$16,776"/>
        <filter val="$19,602"/>
        <filter val="$2,001"/>
        <filter val="$2,253"/>
        <filter val="$232,488"/>
        <filter val="$27,120"/>
        <filter val="$3,536,167"/>
        <filter val="$391,902"/>
        <filter val="$456,079"/>
        <filter val="$574"/>
        <filter val="$6,162"/>
        <filter val="$75,000"/>
        <filter val="$807,200"/>
        <filter val="$86,226"/>
        <filter val="$92,000"/>
        <filter val="$940,800"/>
      </filters>
    </filterColumn>
  </autoFilter>
  <mergeCells count="1">
    <mergeCell ref="F1:J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FA8B-0117-4409-A339-B1F3D64AF736}">
  <sheetPr codeName="Sheet4"/>
  <dimension ref="A1:BX167"/>
  <sheetViews>
    <sheetView zoomScaleNormal="100" workbookViewId="0">
      <pane xSplit="2" ySplit="1" topLeftCell="AD21" activePane="bottomRight" state="frozen"/>
      <selection pane="topRight" activeCell="C1" sqref="C1"/>
      <selection pane="bottomLeft" activeCell="A2" sqref="A2"/>
      <selection pane="bottomRight" activeCell="AF21" sqref="AF21:AM21"/>
    </sheetView>
  </sheetViews>
  <sheetFormatPr defaultColWidth="8.90625" defaultRowHeight="14.5" x14ac:dyDescent="0.35"/>
  <cols>
    <col min="1" max="1" width="19.453125" bestFit="1" customWidth="1"/>
    <col min="2" max="2" width="42.81640625" bestFit="1" customWidth="1"/>
    <col min="3" max="3" width="32.6328125" customWidth="1"/>
    <col min="4" max="4" width="13.54296875" style="9" customWidth="1"/>
    <col min="5" max="5" width="51.08984375" customWidth="1"/>
    <col min="6" max="6" width="22.36328125" customWidth="1"/>
    <col min="7" max="7" width="17.6328125" style="9" customWidth="1"/>
    <col min="8" max="8" width="17.08984375" style="13" customWidth="1"/>
    <col min="9" max="9" width="16.08984375" style="13" customWidth="1"/>
    <col min="10" max="10" width="12.54296875" customWidth="1"/>
    <col min="11" max="11" width="56.1796875" customWidth="1"/>
    <col min="12" max="12" width="12.81640625" customWidth="1"/>
    <col min="13" max="14" width="17.81640625" customWidth="1"/>
    <col min="15" max="15" width="18.1796875" customWidth="1"/>
    <col min="16" max="16" width="34.1796875" customWidth="1"/>
    <col min="17" max="17" width="44.90625" customWidth="1"/>
    <col min="18" max="18" width="29.08984375" customWidth="1"/>
    <col min="19" max="19" width="20.453125" customWidth="1"/>
    <col min="20" max="20" width="16.08984375" customWidth="1"/>
    <col min="21" max="21" width="21" customWidth="1"/>
    <col min="22" max="22" width="20.1796875" style="6" customWidth="1"/>
    <col min="23" max="23" width="26.54296875" style="6" customWidth="1"/>
    <col min="24" max="24" width="19.90625" style="6" customWidth="1"/>
    <col min="25" max="25" width="13.36328125" style="6" customWidth="1"/>
    <col min="26" max="26" width="21.08984375" style="6" customWidth="1"/>
    <col min="27" max="27" width="26.6328125" style="6" customWidth="1"/>
    <col min="28" max="28" width="13.453125" style="6" customWidth="1"/>
    <col min="29" max="29" width="13.54296875" style="6" customWidth="1"/>
    <col min="30" max="30" width="13.81640625" style="6" customWidth="1"/>
    <col min="31" max="32" width="13.90625" style="6" customWidth="1"/>
    <col min="33" max="34" width="13.90625" customWidth="1"/>
    <col min="35" max="42" width="13.90625" style="6" customWidth="1"/>
    <col min="43" max="43" width="11.1796875" style="6" customWidth="1"/>
    <col min="44" max="44" width="15.08984375" style="6" customWidth="1"/>
    <col min="45" max="54" width="15" style="6" customWidth="1"/>
    <col min="55" max="56" width="15" style="6" hidden="1" customWidth="1"/>
    <col min="57" max="57" width="20.81640625" style="6" hidden="1" customWidth="1"/>
    <col min="58" max="58" width="18" style="6" hidden="1" customWidth="1"/>
    <col min="59" max="60" width="13.90625" style="6" hidden="1" customWidth="1"/>
    <col min="61" max="67" width="13.90625" hidden="1" customWidth="1"/>
    <col min="68" max="68" width="27.36328125" customWidth="1"/>
    <col min="69" max="69" width="18.36328125" bestFit="1" customWidth="1"/>
    <col min="70" max="70" width="13.54296875" bestFit="1" customWidth="1"/>
    <col min="71" max="74" width="10.08984375" bestFit="1" customWidth="1"/>
    <col min="75" max="75" width="11.08984375" bestFit="1" customWidth="1"/>
  </cols>
  <sheetData>
    <row r="1" spans="1:76" s="16" customFormat="1" x14ac:dyDescent="0.35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836</v>
      </c>
    </row>
    <row r="2" spans="1:76" hidden="1" x14ac:dyDescent="0.35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20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33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20" si="2">IF(W2 &gt; V2, W2 - V2, 0)</f>
        <v>10392.666666666628</v>
      </c>
      <c r="Z2" s="15">
        <f>SUM(Financials2026[[#This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SUM(Financials2026[[#This Row],[Jan AC]:[Dec AC]])</f>
        <v>150416.66666666666</v>
      </c>
      <c r="BC2" s="71">
        <f>Financials2026[[#This Row],[Jan AC]]-Financials2026[[#This Row],[Jan FC]]</f>
        <v>0</v>
      </c>
      <c r="BD2" s="71">
        <f>Financials2026[[#This Row],[Feb AC]]-Financials2026[[#This Row],[Feb FC]]</f>
        <v>0</v>
      </c>
      <c r="BE2" s="71">
        <f>Financials2026[[#This Row],[Mar AC]]-Financials2026[[#This Row],[Mar FC]]</f>
        <v>0</v>
      </c>
      <c r="BF2" s="71">
        <f>Financials2026[[#This Row],[Apr AC]]-Financials2026[[#This Row],[Apr FC]]</f>
        <v>0</v>
      </c>
      <c r="BG2" s="71">
        <f>Financials2026[[#This Row],[May AC]]-Financials2026[[#This Row],[May FC]]</f>
        <v>0</v>
      </c>
      <c r="BH2" s="71">
        <f>Financials2026[[#This Row],[Jun AC]]-Financials2026[[#This Row],[Jun FC]]</f>
        <v>-31568</v>
      </c>
      <c r="BI2" s="71">
        <f>Financials2026[[#This Row],[Jul AC]]-Financials2026[[#This Row],[Jul FC]]</f>
        <v>-31568</v>
      </c>
      <c r="BJ2" s="71">
        <f>Financials2026[[#This Row],[Aug AC]]-Financials2026[[#This Row],[Aug FC]]</f>
        <v>-31568</v>
      </c>
      <c r="BK2" s="71">
        <f>Financials2026[[#This Row],[Sep AC]]-Financials2026[[#This Row],[Sep FC]]</f>
        <v>-31568</v>
      </c>
      <c r="BL2" s="71">
        <f>Financials2026[[#This Row],[Oct AC]]-Financials2026[[#This Row],[Oct FC]]</f>
        <v>-31568</v>
      </c>
      <c r="BM2" s="71">
        <f>Financials2026[[#This Row],[Nov AC]]-Financials2026[[#This Row],[Nov FC]]</f>
        <v>-31568</v>
      </c>
      <c r="BN2" s="71">
        <f>Financials2026[[#This Row],[Dec AC]]-Financials2026[[#This Row],[Dec FC]]</f>
        <v>-31568</v>
      </c>
      <c r="BO2" s="71">
        <f>SUM(Financials2026[[#This Row],[Jan Opp/Risk]:[Dec Opp./Risk]])</f>
        <v>-220976</v>
      </c>
      <c r="BP2" s="89"/>
      <c r="BQ2" s="47">
        <f>SUM(Financials2026[[#This Row],[Jan AC]:[Apr AC]])</f>
        <v>120333.33333333333</v>
      </c>
      <c r="BS2" s="6"/>
      <c r="BT2" s="6"/>
      <c r="BU2" s="6"/>
      <c r="BV2" s="6"/>
      <c r="BW2" s="6"/>
      <c r="BX2" s="6"/>
    </row>
    <row r="3" spans="1:76" hidden="1" x14ac:dyDescent="0.35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SUM(Financials2026[[#This Row],[Jan AC]:[Dec AC]])</f>
        <v>74583.333333333328</v>
      </c>
      <c r="BC3" s="71">
        <f>Financials2026[[#This Row],[Jan AC]]-Financials2026[[#This Row],[Jan FC]]</f>
        <v>0</v>
      </c>
      <c r="BD3" s="71">
        <f>Financials2026[[#This Row],[Feb AC]]-Financials2026[[#This Row],[Feb FC]]</f>
        <v>0</v>
      </c>
      <c r="BE3" s="71">
        <f>Financials2026[[#This Row],[Mar AC]]-Financials2026[[#This Row],[Mar FC]]</f>
        <v>0</v>
      </c>
      <c r="BF3" s="71">
        <f>Financials2026[[#This Row],[Apr AC]]-Financials2026[[#This Row],[Apr FC]]</f>
        <v>0</v>
      </c>
      <c r="BG3" s="71">
        <f>Financials2026[[#This Row],[May AC]]-Financials2026[[#This Row],[May FC]]</f>
        <v>0</v>
      </c>
      <c r="BH3" s="71">
        <f>Financials2026[[#This Row],[Jun AC]]-Financials2026[[#This Row],[Jun FC]]</f>
        <v>-28477.200000000001</v>
      </c>
      <c r="BI3" s="71">
        <f>Financials2026[[#This Row],[Jul AC]]-Financials2026[[#This Row],[Jul FC]]</f>
        <v>-28477.200000000001</v>
      </c>
      <c r="BJ3" s="71">
        <f>Financials2026[[#This Row],[Aug AC]]-Financials2026[[#This Row],[Aug FC]]</f>
        <v>-28477.200000000001</v>
      </c>
      <c r="BK3" s="71">
        <f>Financials2026[[#This Row],[Sep AC]]-Financials2026[[#This Row],[Sep FC]]</f>
        <v>-28477.200000000001</v>
      </c>
      <c r="BL3" s="71">
        <f>Financials2026[[#This Row],[Oct AC]]-Financials2026[[#This Row],[Oct FC]]</f>
        <v>-28477.200000000001</v>
      </c>
      <c r="BM3" s="71">
        <f>Financials2026[[#This Row],[Nov AC]]-Financials2026[[#This Row],[Nov FC]]</f>
        <v>-28477.200000000001</v>
      </c>
      <c r="BN3" s="71">
        <f>Financials2026[[#This Row],[Dec AC]]-Financials2026[[#This Row],[Dec FC]]</f>
        <v>-28477.200000000001</v>
      </c>
      <c r="BO3" s="71">
        <f>SUM(Financials2026[[#This Row],[Jan Opp/Risk]:[Dec Opp./Risk]])</f>
        <v>-199340.40000000002</v>
      </c>
      <c r="BP3" s="89"/>
      <c r="BQ3" s="47">
        <f>SUM(Financials2026[[#This Row],[Jan AC]:[Apr AC]])</f>
        <v>59666.666666666664</v>
      </c>
      <c r="BS3" s="6"/>
      <c r="BT3" s="6"/>
      <c r="BU3" s="6"/>
      <c r="BV3" s="6"/>
      <c r="BW3" s="6"/>
      <c r="BX3" s="6"/>
    </row>
    <row r="4" spans="1:76" hidden="1" x14ac:dyDescent="0.35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159448.85000000003</v>
      </c>
      <c r="X4" s="15">
        <f t="shared" si="7"/>
        <v>-100000.14999999997</v>
      </c>
      <c r="Y4" s="15">
        <f t="shared" si="2"/>
        <v>0</v>
      </c>
      <c r="Z4" s="15">
        <f>SUM(Financials2026[[#This Row],[2026 Opportunity]:[2026 Risk]])</f>
        <v>-100000.14999999997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</f>
        <v>75791</v>
      </c>
      <c r="AN4" s="46">
        <f>SUM(Financials2026[[#This Row],[Jan FC]:[Dec FC]])</f>
        <v>159448.85</v>
      </c>
      <c r="AO4" s="15">
        <f t="shared" si="5"/>
        <v>75791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SUM(Financials2026[[#This Row],[Jan AC]:[Dec AC]])</f>
        <v>83657.850000000006</v>
      </c>
      <c r="BC4" s="71">
        <f>Financials2026[[#This Row],[Jan AC]]-Financials2026[[#This Row],[Jan FC]]</f>
        <v>0</v>
      </c>
      <c r="BD4" s="71">
        <f>Financials2026[[#This Row],[Feb AC]]-Financials2026[[#This Row],[Feb FC]]</f>
        <v>0</v>
      </c>
      <c r="BE4" s="71">
        <f>Financials2026[[#This Row],[Mar AC]]-Financials2026[[#This Row],[Mar FC]]</f>
        <v>0</v>
      </c>
      <c r="BF4" s="71">
        <f>Financials2026[[#This Row],[Apr AC]]-Financials2026[[#This Row],[Apr FC]]</f>
        <v>0</v>
      </c>
      <c r="BG4" s="71">
        <f>Financials2026[[#This Row],[May AC]]-Financials2026[[#This Row],[May FC]]</f>
        <v>0</v>
      </c>
      <c r="BH4" s="71">
        <f>Financials2026[[#This Row],[Jun AC]]-Financials2026[[#This Row],[Jun FC]]</f>
        <v>0</v>
      </c>
      <c r="BI4" s="71">
        <f>Financials2026[[#This Row],[Jul AC]]-Financials2026[[#This Row],[Jul FC]]</f>
        <v>0</v>
      </c>
      <c r="BJ4" s="71">
        <f>Financials2026[[#This Row],[Aug AC]]-Financials2026[[#This Row],[Aug FC]]</f>
        <v>0</v>
      </c>
      <c r="BK4" s="71">
        <f>Financials2026[[#This Row],[Sep AC]]-Financials2026[[#This Row],[Sep FC]]</f>
        <v>0</v>
      </c>
      <c r="BL4" s="71">
        <f>Financials2026[[#This Row],[Oct AC]]-Financials2026[[#This Row],[Oct FC]]</f>
        <v>0</v>
      </c>
      <c r="BM4" s="71">
        <f>Financials2026[[#This Row],[Nov AC]]-Financials2026[[#This Row],[Nov FC]]</f>
        <v>0</v>
      </c>
      <c r="BN4" s="71">
        <f>Financials2026[[#This Row],[Dec AC]]-Financials2026[[#This Row],[Dec FC]]</f>
        <v>-75791</v>
      </c>
      <c r="BO4" s="71">
        <f>SUM(Financials2026[[#This Row],[Jan Opp/Risk]:[Dec Opp./Risk]])</f>
        <v>-75791</v>
      </c>
      <c r="BP4" s="90" t="s">
        <v>528</v>
      </c>
      <c r="BQ4" s="47">
        <f>SUM(Financials2026[[#This Row],[Jan AC]:[Apr AC]])</f>
        <v>59976.71</v>
      </c>
      <c r="BS4" s="6"/>
      <c r="BT4" s="6"/>
      <c r="BU4" s="6"/>
      <c r="BV4" s="6"/>
      <c r="BW4" s="6"/>
      <c r="BX4" s="6"/>
    </row>
    <row r="5" spans="1:76" hidden="1" x14ac:dyDescent="0.35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100015</v>
      </c>
      <c r="X5" s="15">
        <f t="shared" si="7"/>
        <v>0</v>
      </c>
      <c r="Y5" s="15">
        <f t="shared" si="2"/>
        <v>15</v>
      </c>
      <c r="Z5" s="15">
        <f>SUM(Financials2026[[#This Row],[2026 Opportunity]:[2026 Risk]])</f>
        <v>15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52">
        <v>7600</v>
      </c>
      <c r="AN5" s="46">
        <f>SUM(Financials2026[[#This Row],[Jan FC]:[Dec FC]])</f>
        <v>91200</v>
      </c>
      <c r="AO5" s="15">
        <f t="shared" si="5"/>
        <v>53200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SUM(Financials2026[[#This Row],[Jan AC]:[Dec AC]])</f>
        <v>54415</v>
      </c>
      <c r="BC5" s="71">
        <f>Financials2026[[#This Row],[Jan AC]]-Financials2026[[#This Row],[Jan FC]]</f>
        <v>0</v>
      </c>
      <c r="BD5" s="71">
        <f>Financials2026[[#This Row],[Feb AC]]-Financials2026[[#This Row],[Feb FC]]</f>
        <v>0</v>
      </c>
      <c r="BE5" s="71">
        <f>Financials2026[[#This Row],[Mar AC]]-Financials2026[[#This Row],[Mar FC]]</f>
        <v>1075</v>
      </c>
      <c r="BF5" s="71">
        <f>Financials2026[[#This Row],[Apr AC]]-Financials2026[[#This Row],[Apr FC]]</f>
        <v>0</v>
      </c>
      <c r="BG5" s="71">
        <f>Financials2026[[#This Row],[May AC]]-Financials2026[[#This Row],[May FC]]</f>
        <v>7740</v>
      </c>
      <c r="BH5" s="71">
        <f>Financials2026[[#This Row],[Jun AC]]-Financials2026[[#This Row],[Jun FC]]</f>
        <v>0</v>
      </c>
      <c r="BI5" s="71">
        <f>Financials2026[[#This Row],[Jul AC]]-Financials2026[[#This Row],[Jul FC]]</f>
        <v>-7600</v>
      </c>
      <c r="BJ5" s="71">
        <f>Financials2026[[#This Row],[Aug AC]]-Financials2026[[#This Row],[Aug FC]]</f>
        <v>-7600</v>
      </c>
      <c r="BK5" s="71">
        <f>Financials2026[[#This Row],[Sep AC]]-Financials2026[[#This Row],[Sep FC]]</f>
        <v>-7600</v>
      </c>
      <c r="BL5" s="71">
        <f>Financials2026[[#This Row],[Oct AC]]-Financials2026[[#This Row],[Oct FC]]</f>
        <v>-7600</v>
      </c>
      <c r="BM5" s="71">
        <f>Financials2026[[#This Row],[Nov AC]]-Financials2026[[#This Row],[Nov FC]]</f>
        <v>-7600</v>
      </c>
      <c r="BN5" s="71">
        <f>Financials2026[[#This Row],[Dec AC]]-Financials2026[[#This Row],[Dec FC]]</f>
        <v>-7600</v>
      </c>
      <c r="BO5" s="71">
        <f>SUM(Financials2026[[#This Row],[Jan Opp/Risk]:[Dec Opp./Risk]])</f>
        <v>-36785</v>
      </c>
      <c r="BP5" s="91" t="s">
        <v>849</v>
      </c>
      <c r="BQ5" s="47">
        <f>SUM(Financials2026[[#This Row],[Jan AC]:[Apr AC]])</f>
        <v>31475</v>
      </c>
      <c r="BS5" s="6"/>
      <c r="BT5" s="6"/>
      <c r="BU5" s="6"/>
      <c r="BV5" s="6"/>
      <c r="BW5" s="6"/>
      <c r="BX5" s="6"/>
    </row>
    <row r="6" spans="1:76" hidden="1" x14ac:dyDescent="0.35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SUM(Financials2026[[#This Row],[Jan AC]:[Dec AC]])</f>
        <v>0</v>
      </c>
      <c r="BC6" s="71">
        <f>Financials2026[[#This Row],[Jan AC]]-Financials2026[[#This Row],[Jan FC]]</f>
        <v>0</v>
      </c>
      <c r="BD6" s="71">
        <f>Financials2026[[#This Row],[Feb AC]]-Financials2026[[#This Row],[Feb FC]]</f>
        <v>0</v>
      </c>
      <c r="BE6" s="71">
        <f>Financials2026[[#This Row],[Mar AC]]-Financials2026[[#This Row],[Mar FC]]</f>
        <v>0</v>
      </c>
      <c r="BF6" s="71">
        <f>Financials2026[[#This Row],[Apr AC]]-Financials2026[[#This Row],[Apr FC]]</f>
        <v>0</v>
      </c>
      <c r="BG6" s="71">
        <f>Financials2026[[#This Row],[May AC]]-Financials2026[[#This Row],[May FC]]</f>
        <v>0</v>
      </c>
      <c r="BH6" s="71">
        <f>Financials2026[[#This Row],[Jun AC]]-Financials2026[[#This Row],[Jun FC]]</f>
        <v>0</v>
      </c>
      <c r="BI6" s="71">
        <f>Financials2026[[#This Row],[Jul AC]]-Financials2026[[#This Row],[Jul FC]]</f>
        <v>-39512</v>
      </c>
      <c r="BJ6" s="71">
        <f>Financials2026[[#This Row],[Aug AC]]-Financials2026[[#This Row],[Aug FC]]</f>
        <v>0</v>
      </c>
      <c r="BK6" s="71">
        <f>Financials2026[[#This Row],[Sep AC]]-Financials2026[[#This Row],[Sep FC]]</f>
        <v>0</v>
      </c>
      <c r="BL6" s="71">
        <f>Financials2026[[#This Row],[Oct AC]]-Financials2026[[#This Row],[Oct FC]]</f>
        <v>0</v>
      </c>
      <c r="BM6" s="71">
        <f>Financials2026[[#This Row],[Nov AC]]-Financials2026[[#This Row],[Nov FC]]</f>
        <v>0</v>
      </c>
      <c r="BN6" s="71">
        <f>Financials2026[[#This Row],[Dec AC]]-Financials2026[[#This Row],[Dec FC]]</f>
        <v>0</v>
      </c>
      <c r="BO6" s="71">
        <f>SUM(Financials2026[[#This Row],[Jan Opp/Risk]:[Dec Opp./Risk]])</f>
        <v>-39512</v>
      </c>
      <c r="BP6" s="90"/>
      <c r="BQ6" s="47">
        <f>SUM(Financials2026[[#This Row],[Jan AC]:[Apr AC]])</f>
        <v>0</v>
      </c>
      <c r="BS6" s="6"/>
      <c r="BT6" s="6"/>
      <c r="BU6" s="6"/>
      <c r="BV6" s="6"/>
      <c r="BW6" s="6"/>
      <c r="BX6" s="6"/>
    </row>
    <row r="7" spans="1:76" s="18" customFormat="1" hidden="1" x14ac:dyDescent="0.35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SUM(Financials2026[[#This Row],[Jan AC]:[Dec AC]])</f>
        <v>0</v>
      </c>
      <c r="BC7" s="71">
        <f>Financials2026[[#This Row],[Jan AC]]-Financials2026[[#This Row],[Jan FC]]</f>
        <v>0</v>
      </c>
      <c r="BD7" s="71">
        <f>Financials2026[[#This Row],[Feb AC]]-Financials2026[[#This Row],[Feb FC]]</f>
        <v>0</v>
      </c>
      <c r="BE7" s="71">
        <f>Financials2026[[#This Row],[Mar AC]]-Financials2026[[#This Row],[Mar FC]]</f>
        <v>0</v>
      </c>
      <c r="BF7" s="71">
        <f>Financials2026[[#This Row],[Apr AC]]-Financials2026[[#This Row],[Apr FC]]</f>
        <v>0</v>
      </c>
      <c r="BG7" s="71">
        <f>Financials2026[[#This Row],[May AC]]-Financials2026[[#This Row],[May FC]]</f>
        <v>0</v>
      </c>
      <c r="BH7" s="71">
        <f>Financials2026[[#This Row],[Jun AC]]-Financials2026[[#This Row],[Jun FC]]</f>
        <v>0</v>
      </c>
      <c r="BI7" s="71">
        <f>Financials2026[[#This Row],[Jul AC]]-Financials2026[[#This Row],[Jul FC]]</f>
        <v>0</v>
      </c>
      <c r="BJ7" s="71">
        <f>Financials2026[[#This Row],[Aug AC]]-Financials2026[[#This Row],[Aug FC]]</f>
        <v>0</v>
      </c>
      <c r="BK7" s="71">
        <f>Financials2026[[#This Row],[Sep AC]]-Financials2026[[#This Row],[Sep FC]]</f>
        <v>0</v>
      </c>
      <c r="BL7" s="71">
        <f>Financials2026[[#This Row],[Oct AC]]-Financials2026[[#This Row],[Oct FC]]</f>
        <v>0</v>
      </c>
      <c r="BM7" s="71">
        <f>Financials2026[[#This Row],[Nov AC]]-Financials2026[[#This Row],[Nov FC]]</f>
        <v>0</v>
      </c>
      <c r="BN7" s="71">
        <f>Financials2026[[#This Row],[Dec AC]]-Financials2026[[#This Row],[Dec FC]]</f>
        <v>-14700</v>
      </c>
      <c r="BO7" s="71">
        <f>SUM(Financials2026[[#This Row],[Jan Opp/Risk]:[Dec Opp./Risk]])</f>
        <v>-14700</v>
      </c>
      <c r="BP7" s="90"/>
      <c r="BQ7" s="48">
        <f>SUM(Financials2026[[#This Row],[Jan AC]:[Apr AC]])</f>
        <v>0</v>
      </c>
      <c r="BS7" s="6"/>
      <c r="BT7" s="6"/>
      <c r="BU7" s="6"/>
      <c r="BV7" s="6"/>
      <c r="BW7" s="6"/>
      <c r="BX7" s="6"/>
    </row>
    <row r="8" spans="1:76" hidden="1" x14ac:dyDescent="0.35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ref="K8" si="11">D8 &amp; "-" &amp;E8</f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SUM(Financials2026[[#This Row],[Jan AC]:[Dec AC]])</f>
        <v>9900</v>
      </c>
      <c r="BC8" s="71">
        <f>Financials2026[[#This Row],[Jan AC]]-Financials2026[[#This Row],[Jan FC]]</f>
        <v>0</v>
      </c>
      <c r="BD8" s="71">
        <f>Financials2026[[#This Row],[Feb AC]]-Financials2026[[#This Row],[Feb FC]]</f>
        <v>0</v>
      </c>
      <c r="BE8" s="71">
        <f>Financials2026[[#This Row],[Mar AC]]-Financials2026[[#This Row],[Mar FC]]</f>
        <v>0</v>
      </c>
      <c r="BF8" s="71">
        <f>Financials2026[[#This Row],[Apr AC]]-Financials2026[[#This Row],[Apr FC]]</f>
        <v>0</v>
      </c>
      <c r="BG8" s="71">
        <f>Financials2026[[#This Row],[May AC]]-Financials2026[[#This Row],[May FC]]</f>
        <v>0</v>
      </c>
      <c r="BH8" s="71">
        <f>Financials2026[[#This Row],[Jun AC]]-Financials2026[[#This Row],[Jun FC]]</f>
        <v>0</v>
      </c>
      <c r="BI8" s="71">
        <f>Financials2026[[#This Row],[Jul AC]]-Financials2026[[#This Row],[Jul FC]]</f>
        <v>0</v>
      </c>
      <c r="BJ8" s="71">
        <f>Financials2026[[#This Row],[Aug AC]]-Financials2026[[#This Row],[Aug FC]]</f>
        <v>0</v>
      </c>
      <c r="BK8" s="71">
        <f>Financials2026[[#This Row],[Sep AC]]-Financials2026[[#This Row],[Sep FC]]</f>
        <v>0</v>
      </c>
      <c r="BL8" s="71">
        <f>Financials2026[[#This Row],[Oct AC]]-Financials2026[[#This Row],[Oct FC]]</f>
        <v>0</v>
      </c>
      <c r="BM8" s="71">
        <f>Financials2026[[#This Row],[Nov AC]]-Financials2026[[#This Row],[Nov FC]]</f>
        <v>0</v>
      </c>
      <c r="BN8" s="71">
        <f>Financials2026[[#This Row],[Dec AC]]-Financials2026[[#This Row],[Dec FC]]</f>
        <v>-31350</v>
      </c>
      <c r="BO8" s="71">
        <f>SUM(Financials2026[[#This Row],[Jan Opp/Risk]:[Dec Opp./Risk]])</f>
        <v>-31350</v>
      </c>
      <c r="BP8" s="90" t="s">
        <v>535</v>
      </c>
      <c r="BQ8" s="48">
        <f>SUM(Financials2026[[#This Row],[Jan AC]:[Apr AC]])</f>
        <v>7500</v>
      </c>
      <c r="BS8" s="6"/>
      <c r="BT8" s="6"/>
      <c r="BU8" s="6"/>
      <c r="BV8" s="6"/>
      <c r="BW8" s="6"/>
      <c r="BX8" s="6"/>
    </row>
    <row r="9" spans="1:76" hidden="1" x14ac:dyDescent="0.35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35500</v>
      </c>
      <c r="X9" s="15">
        <f t="shared" si="7"/>
        <v>-6500</v>
      </c>
      <c r="Y9" s="15">
        <f t="shared" si="2"/>
        <v>0</v>
      </c>
      <c r="Z9" s="15">
        <f>SUM(Financials2026[[#This Row],[2026 Opportunity]:[2026 Risk]])</f>
        <v>-6500</v>
      </c>
      <c r="AA9" s="14" t="s">
        <v>145</v>
      </c>
      <c r="AB9" s="52">
        <f t="shared" ref="AB9:AL9" si="12">42000/12</f>
        <v>3500</v>
      </c>
      <c r="AC9" s="52">
        <f t="shared" si="12"/>
        <v>3500</v>
      </c>
      <c r="AD9" s="52">
        <f t="shared" si="12"/>
        <v>3500</v>
      </c>
      <c r="AE9" s="52">
        <f t="shared" si="12"/>
        <v>3500</v>
      </c>
      <c r="AF9" s="52">
        <f t="shared" si="12"/>
        <v>3500</v>
      </c>
      <c r="AG9" s="52">
        <f t="shared" si="12"/>
        <v>3500</v>
      </c>
      <c r="AH9" s="52">
        <f t="shared" si="12"/>
        <v>3500</v>
      </c>
      <c r="AI9" s="52">
        <f t="shared" si="12"/>
        <v>3500</v>
      </c>
      <c r="AJ9" s="52">
        <f t="shared" si="12"/>
        <v>3500</v>
      </c>
      <c r="AK9" s="52">
        <f t="shared" si="12"/>
        <v>3500</v>
      </c>
      <c r="AL9" s="52">
        <f t="shared" si="12"/>
        <v>3500</v>
      </c>
      <c r="AM9" s="46">
        <v>500</v>
      </c>
      <c r="AN9" s="46">
        <f>SUM(Financials2026[[#This Row],[Jan FC]:[Dec FC]])</f>
        <v>39000</v>
      </c>
      <c r="AO9" s="15">
        <f t="shared" si="5"/>
        <v>21500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SUM(Financials2026[[#This Row],[Jan AC]:[Dec AC]])</f>
        <v>3500</v>
      </c>
      <c r="BC9" s="71">
        <f>Financials2026[[#This Row],[Jan AC]]-Financials2026[[#This Row],[Jan FC]]</f>
        <v>-2500</v>
      </c>
      <c r="BD9" s="71">
        <f>Financials2026[[#This Row],[Feb AC]]-Financials2026[[#This Row],[Feb FC]]</f>
        <v>-1000</v>
      </c>
      <c r="BE9" s="71">
        <f>Financials2026[[#This Row],[Mar AC]]-Financials2026[[#This Row],[Mar FC]]</f>
        <v>-3500</v>
      </c>
      <c r="BF9" s="71">
        <f>Financials2026[[#This Row],[Apr AC]]-Financials2026[[#This Row],[Apr FC]]</f>
        <v>-3500</v>
      </c>
      <c r="BG9" s="71">
        <f>Financials2026[[#This Row],[May AC]]-Financials2026[[#This Row],[May FC]]</f>
        <v>-3500</v>
      </c>
      <c r="BH9" s="71">
        <f>Financials2026[[#This Row],[Jun AC]]-Financials2026[[#This Row],[Jun FC]]</f>
        <v>-3500</v>
      </c>
      <c r="BI9" s="71">
        <f>Financials2026[[#This Row],[Jul AC]]-Financials2026[[#This Row],[Jul FC]]</f>
        <v>-3500</v>
      </c>
      <c r="BJ9" s="71">
        <f>Financials2026[[#This Row],[Aug AC]]-Financials2026[[#This Row],[Aug FC]]</f>
        <v>-3500</v>
      </c>
      <c r="BK9" s="71">
        <f>Financials2026[[#This Row],[Sep AC]]-Financials2026[[#This Row],[Sep FC]]</f>
        <v>-3500</v>
      </c>
      <c r="BL9" s="71">
        <f>Financials2026[[#This Row],[Oct AC]]-Financials2026[[#This Row],[Oct FC]]</f>
        <v>-3500</v>
      </c>
      <c r="BM9" s="71">
        <f>Financials2026[[#This Row],[Nov AC]]-Financials2026[[#This Row],[Nov FC]]</f>
        <v>-3500</v>
      </c>
      <c r="BN9" s="71">
        <f>Financials2026[[#This Row],[Dec AC]]-Financials2026[[#This Row],[Dec FC]]</f>
        <v>-500</v>
      </c>
      <c r="BO9" s="71">
        <f>SUM(Financials2026[[#This Row],[Jan Opp/Risk]:[Dec Opp./Risk]])</f>
        <v>-35500</v>
      </c>
      <c r="BP9" s="90" t="s">
        <v>887</v>
      </c>
      <c r="BQ9" s="47">
        <f>SUM(Financials2026[[#This Row],[Jan AC]:[Apr AC]])</f>
        <v>3500</v>
      </c>
      <c r="BS9" s="6"/>
      <c r="BT9" s="6"/>
      <c r="BU9" s="6"/>
      <c r="BV9" s="6"/>
      <c r="BW9" s="6"/>
      <c r="BX9" s="6"/>
    </row>
    <row r="10" spans="1:76" hidden="1" x14ac:dyDescent="0.35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SUM(Financials2026[[#This Row],[Jan AC]:[Dec AC]])</f>
        <v>55025.7</v>
      </c>
      <c r="BC10" s="71">
        <f>Financials2026[[#This Row],[Jan AC]]-Financials2026[[#This Row],[Jan FC]]</f>
        <v>-3994.8600000000006</v>
      </c>
      <c r="BD10" s="71">
        <f>Financials2026[[#This Row],[Feb AC]]-Financials2026[[#This Row],[Feb FC]]</f>
        <v>-3994.8600000000006</v>
      </c>
      <c r="BE10" s="71">
        <f>Financials2026[[#This Row],[Mar AC]]-Financials2026[[#This Row],[Mar FC]]</f>
        <v>-3994.8600000000006</v>
      </c>
      <c r="BF10" s="71">
        <f>Financials2026[[#This Row],[Apr AC]]-Financials2026[[#This Row],[Apr FC]]</f>
        <v>-3994.8600000000006</v>
      </c>
      <c r="BG10" s="71">
        <f>Financials2026[[#This Row],[May AC]]-Financials2026[[#This Row],[May FC]]</f>
        <v>-3994.8600000000006</v>
      </c>
      <c r="BH10" s="71">
        <f>Financials2026[[#This Row],[Jun AC]]-Financials2026[[#This Row],[Jun FC]]</f>
        <v>-15725</v>
      </c>
      <c r="BI10" s="71">
        <f>Financials2026[[#This Row],[Jul AC]]-Financials2026[[#This Row],[Jul FC]]</f>
        <v>-15725</v>
      </c>
      <c r="BJ10" s="71">
        <f>Financials2026[[#This Row],[Aug AC]]-Financials2026[[#This Row],[Aug FC]]</f>
        <v>-15725</v>
      </c>
      <c r="BK10" s="71">
        <f>Financials2026[[#This Row],[Sep AC]]-Financials2026[[#This Row],[Sep FC]]</f>
        <v>-15725</v>
      </c>
      <c r="BL10" s="71">
        <f>Financials2026[[#This Row],[Oct AC]]-Financials2026[[#This Row],[Oct FC]]</f>
        <v>-15725</v>
      </c>
      <c r="BM10" s="71">
        <f>Financials2026[[#This Row],[Nov AC]]-Financials2026[[#This Row],[Nov FC]]</f>
        <v>-15725</v>
      </c>
      <c r="BN10" s="71">
        <f>Financials2026[[#This Row],[Dec AC]]-Financials2026[[#This Row],[Dec FC]]</f>
        <v>-15725</v>
      </c>
      <c r="BO10" s="71">
        <f>SUM(Financials2026[[#This Row],[Jan Opp/Risk]:[Dec Opp./Risk]])</f>
        <v>-130049.3</v>
      </c>
      <c r="BP10" s="91" t="s">
        <v>854</v>
      </c>
      <c r="BQ10" s="47">
        <f>SUM(Financials2026[[#This Row],[Jan AC]:[Apr AC]])</f>
        <v>44020.56</v>
      </c>
      <c r="BS10" s="6"/>
      <c r="BT10" s="6"/>
      <c r="BU10" s="6"/>
      <c r="BV10" s="6"/>
      <c r="BW10" s="6"/>
      <c r="BX10" s="6"/>
    </row>
    <row r="11" spans="1:76" hidden="1" x14ac:dyDescent="0.35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SUM(Financials2026[[#This Row],[Jan AC]:[Dec AC]])</f>
        <v>18056.259999999998</v>
      </c>
      <c r="BC11" s="71">
        <f>Financials2026[[#This Row],[Jan AC]]-Financials2026[[#This Row],[Jan FC]]</f>
        <v>-140.28999999999996</v>
      </c>
      <c r="BD11" s="71">
        <f>Financials2026[[#This Row],[Feb AC]]-Financials2026[[#This Row],[Feb FC]]</f>
        <v>-140.28999999999996</v>
      </c>
      <c r="BE11" s="71">
        <f>Financials2026[[#This Row],[Mar AC]]-Financials2026[[#This Row],[Mar FC]]</f>
        <v>-140.28999999999996</v>
      </c>
      <c r="BF11" s="71">
        <f>Financials2026[[#This Row],[Apr AC]]-Financials2026[[#This Row],[Apr FC]]</f>
        <v>799.71</v>
      </c>
      <c r="BG11" s="71">
        <f>Financials2026[[#This Row],[May AC]]-Financials2026[[#This Row],[May FC]]</f>
        <v>9.7100000000000364</v>
      </c>
      <c r="BH11" s="71">
        <f>Financials2026[[#This Row],[Jun AC]]-Financials2026[[#This Row],[Jun FC]]</f>
        <v>9.7100000000000364</v>
      </c>
      <c r="BI11" s="71">
        <f>Financials2026[[#This Row],[Jul AC]]-Financials2026[[#This Row],[Jul FC]]</f>
        <v>-2943</v>
      </c>
      <c r="BJ11" s="71">
        <f>Financials2026[[#This Row],[Aug AC]]-Financials2026[[#This Row],[Aug FC]]</f>
        <v>-2943</v>
      </c>
      <c r="BK11" s="71">
        <f>Financials2026[[#This Row],[Sep AC]]-Financials2026[[#This Row],[Sep FC]]</f>
        <v>-2943</v>
      </c>
      <c r="BL11" s="71">
        <f>Financials2026[[#This Row],[Oct AC]]-Financials2026[[#This Row],[Oct FC]]</f>
        <v>-2943</v>
      </c>
      <c r="BM11" s="71">
        <f>Financials2026[[#This Row],[Nov AC]]-Financials2026[[#This Row],[Nov FC]]</f>
        <v>-2943</v>
      </c>
      <c r="BN11" s="71">
        <f>Financials2026[[#This Row],[Dec AC]]-Financials2026[[#This Row],[Dec FC]]</f>
        <v>-2941</v>
      </c>
      <c r="BO11" s="71">
        <f>SUM(Financials2026[[#This Row],[Jan Opp/Risk]:[Dec Opp./Risk]])</f>
        <v>-17257.739999999998</v>
      </c>
      <c r="BP11" s="90" t="s">
        <v>534</v>
      </c>
      <c r="BQ11" s="47">
        <f>SUM(Financials2026[[#This Row],[Jan AC]:[Apr AC]])</f>
        <v>12150.84</v>
      </c>
      <c r="BS11" s="6"/>
      <c r="BT11" s="6"/>
      <c r="BU11" s="6"/>
      <c r="BV11" s="6"/>
      <c r="BW11" s="6"/>
      <c r="BX11" s="6"/>
    </row>
    <row r="12" spans="1:76" hidden="1" x14ac:dyDescent="0.35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SUM(Financials2026[[#This Row],[2026 Opportunity]:[2026 Risk]])</f>
        <v>-503.06333333333168</v>
      </c>
      <c r="AA12" s="3" t="s">
        <v>120</v>
      </c>
      <c r="AB12" s="52">
        <f>Financials2026[[#This Row],[2026 Final Budget]]/12</f>
        <v>2119.9166666666665</v>
      </c>
      <c r="AC12" s="52">
        <f>Financials2026[[#This Row],[2026 Final Budget]]/12</f>
        <v>2119.9166666666665</v>
      </c>
      <c r="AD12" s="52">
        <f>Financials2026[[#This Row],[2026 Final Budget]]/12</f>
        <v>2119.9166666666665</v>
      </c>
      <c r="AE12" s="52">
        <f>Financials2026[[#This Row],[2026 Final Budget]]/12</f>
        <v>2119.9166666666665</v>
      </c>
      <c r="AF12" s="52">
        <f>Financials2026[[#This Row],[2026 Final Budget]]/12</f>
        <v>2119.9166666666665</v>
      </c>
      <c r="AG12" s="52">
        <f>Financials2026[[#This Row],[2026 Final Budget]]/12</f>
        <v>2119.9166666666665</v>
      </c>
      <c r="AH12" s="52">
        <f>Financials2026[[#This Row],[2026 Final Budget]]/12</f>
        <v>2119.9166666666665</v>
      </c>
      <c r="AI12" s="52">
        <f>Financials2026[[#This Row],[2026 Final Budget]]/12</f>
        <v>2119.9166666666665</v>
      </c>
      <c r="AJ12" s="52">
        <f>Financials2026[[#This Row],[2026 Final Budget]]/12</f>
        <v>2119.9166666666665</v>
      </c>
      <c r="AK12" s="52">
        <f>Financials2026[[#This Row],[2026 Final Budget]]/12</f>
        <v>2119.9166666666665</v>
      </c>
      <c r="AL12" s="52">
        <f>Financials2026[[#This Row],[2026 Final Budget]]/12</f>
        <v>2119.9166666666665</v>
      </c>
      <c r="AM12" s="52">
        <f>Financials2026[[#This Row],[2026 Final Budget]]/12</f>
        <v>2119.9166666666665</v>
      </c>
      <c r="AN12" s="52">
        <f>SUM(Financials2026[[#This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SUM(Financials2026[[#This Row],[Jan AC]:[Dec AC]])</f>
        <v>12115.970000000001</v>
      </c>
      <c r="BC12" s="71">
        <f>Financials2026[[#This Row],[Jan AC]]-Financials2026[[#This Row],[Jan FC]]</f>
        <v>-100.77666666666642</v>
      </c>
      <c r="BD12" s="71">
        <f>Financials2026[[#This Row],[Feb AC]]-Financials2026[[#This Row],[Feb FC]]</f>
        <v>-100.67666666666651</v>
      </c>
      <c r="BE12" s="71">
        <f>Financials2026[[#This Row],[Mar AC]]-Financials2026[[#This Row],[Mar FC]]</f>
        <v>-100.67666666666651</v>
      </c>
      <c r="BF12" s="71">
        <f>Financials2026[[#This Row],[Apr AC]]-Financials2026[[#This Row],[Apr FC]]</f>
        <v>-100.46666666666647</v>
      </c>
      <c r="BG12" s="71">
        <f>Financials2026[[#This Row],[May AC]]-Financials2026[[#This Row],[May FC]]</f>
        <v>-100.46666666666647</v>
      </c>
      <c r="BH12" s="71">
        <f>Financials2026[[#This Row],[Jun AC]]-Financials2026[[#This Row],[Jun FC]]</f>
        <v>-100.46666666666647</v>
      </c>
      <c r="BI12" s="71">
        <f>Financials2026[[#This Row],[Jul AC]]-Financials2026[[#This Row],[Jul FC]]</f>
        <v>-2119.9166666666665</v>
      </c>
      <c r="BJ12" s="71">
        <f>Financials2026[[#This Row],[Aug AC]]-Financials2026[[#This Row],[Aug FC]]</f>
        <v>-2119.9166666666665</v>
      </c>
      <c r="BK12" s="71">
        <f>Financials2026[[#This Row],[Sep AC]]-Financials2026[[#This Row],[Sep FC]]</f>
        <v>-2119.9166666666665</v>
      </c>
      <c r="BL12" s="71">
        <f>Financials2026[[#This Row],[Oct AC]]-Financials2026[[#This Row],[Oct FC]]</f>
        <v>-2119.9166666666665</v>
      </c>
      <c r="BM12" s="71">
        <f>Financials2026[[#This Row],[Nov AC]]-Financials2026[[#This Row],[Nov FC]]</f>
        <v>-2119.9166666666665</v>
      </c>
      <c r="BN12" s="71">
        <f>Financials2026[[#This Row],[Dec AC]]-Financials2026[[#This Row],[Dec FC]]</f>
        <v>-2119.9166666666665</v>
      </c>
      <c r="BO12" s="71">
        <f>SUM(Financials2026[[#This Row],[Jan Opp/Risk]:[Dec Opp./Risk]])</f>
        <v>-13323.029999999997</v>
      </c>
      <c r="BP12" s="90" t="s">
        <v>534</v>
      </c>
      <c r="BQ12" s="47">
        <f>SUM(Financials2026[[#This Row],[Jan AC]:[Apr AC]])</f>
        <v>8077.07</v>
      </c>
      <c r="BS12" s="6"/>
      <c r="BT12" s="6"/>
      <c r="BU12" s="6"/>
      <c r="BV12" s="6"/>
      <c r="BW12" s="6"/>
      <c r="BX12" s="6"/>
    </row>
    <row r="13" spans="1:76" hidden="1" x14ac:dyDescent="0.35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SUM(Financials2026[[#This Row],[Jan AC]:[Dec AC]])</f>
        <v>0</v>
      </c>
      <c r="BC13" s="71">
        <f>Financials2026[[#This Row],[Jan AC]]-Financials2026[[#This Row],[Jan FC]]</f>
        <v>0</v>
      </c>
      <c r="BD13" s="71">
        <f>Financials2026[[#This Row],[Feb AC]]-Financials2026[[#This Row],[Feb FC]]</f>
        <v>0</v>
      </c>
      <c r="BE13" s="71">
        <f>Financials2026[[#This Row],[Mar AC]]-Financials2026[[#This Row],[Mar FC]]</f>
        <v>-715.75</v>
      </c>
      <c r="BF13" s="71">
        <f>Financials2026[[#This Row],[Apr AC]]-Financials2026[[#This Row],[Apr FC]]</f>
        <v>0</v>
      </c>
      <c r="BG13" s="71">
        <f>Financials2026[[#This Row],[May AC]]-Financials2026[[#This Row],[May FC]]</f>
        <v>0</v>
      </c>
      <c r="BH13" s="71">
        <f>Financials2026[[#This Row],[Jun AC]]-Financials2026[[#This Row],[Jun FC]]</f>
        <v>-715.75</v>
      </c>
      <c r="BI13" s="71">
        <f>Financials2026[[#This Row],[Jul AC]]-Financials2026[[#This Row],[Jul FC]]</f>
        <v>0</v>
      </c>
      <c r="BJ13" s="71">
        <f>Financials2026[[#This Row],[Aug AC]]-Financials2026[[#This Row],[Aug FC]]</f>
        <v>0</v>
      </c>
      <c r="BK13" s="71">
        <f>Financials2026[[#This Row],[Sep AC]]-Financials2026[[#This Row],[Sep FC]]</f>
        <v>-715.75</v>
      </c>
      <c r="BL13" s="71">
        <f>Financials2026[[#This Row],[Oct AC]]-Financials2026[[#This Row],[Oct FC]]</f>
        <v>0</v>
      </c>
      <c r="BM13" s="71">
        <f>Financials2026[[#This Row],[Nov AC]]-Financials2026[[#This Row],[Nov FC]]</f>
        <v>0</v>
      </c>
      <c r="BN13" s="71">
        <f>Financials2026[[#This Row],[Dec AC]]-Financials2026[[#This Row],[Dec FC]]</f>
        <v>-715.75</v>
      </c>
      <c r="BO13" s="71">
        <f>SUM(Financials2026[[#This Row],[Jan Opp/Risk]:[Dec Opp./Risk]])</f>
        <v>-2863</v>
      </c>
      <c r="BP13" s="91"/>
      <c r="BQ13" s="47">
        <f>SUM(Financials2026[[#This Row],[Jan AC]:[Apr AC]])</f>
        <v>0</v>
      </c>
      <c r="BS13" s="6"/>
      <c r="BT13" s="6"/>
      <c r="BU13" s="6"/>
      <c r="BV13" s="6"/>
      <c r="BW13" s="6"/>
      <c r="BX13" s="6"/>
    </row>
    <row r="14" spans="1:76" hidden="1" x14ac:dyDescent="0.35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SUM(Financials2026[[#This Row],[Jan AC]:[Dec AC]])</f>
        <v>0</v>
      </c>
      <c r="BC14" s="71">
        <f>Financials2026[[#This Row],[Jan AC]]-Financials2026[[#This Row],[Jan FC]]</f>
        <v>0</v>
      </c>
      <c r="BD14" s="71">
        <f>Financials2026[[#This Row],[Feb AC]]-Financials2026[[#This Row],[Feb FC]]</f>
        <v>0</v>
      </c>
      <c r="BE14" s="71">
        <f>Financials2026[[#This Row],[Mar AC]]-Financials2026[[#This Row],[Mar FC]]</f>
        <v>0</v>
      </c>
      <c r="BF14" s="71">
        <f>Financials2026[[#This Row],[Apr AC]]-Financials2026[[#This Row],[Apr FC]]</f>
        <v>0</v>
      </c>
      <c r="BG14" s="71">
        <f>Financials2026[[#This Row],[May AC]]-Financials2026[[#This Row],[May FC]]</f>
        <v>0</v>
      </c>
      <c r="BH14" s="71">
        <f>Financials2026[[#This Row],[Jun AC]]-Financials2026[[#This Row],[Jun FC]]</f>
        <v>0</v>
      </c>
      <c r="BI14" s="71">
        <f>Financials2026[[#This Row],[Jul AC]]-Financials2026[[#This Row],[Jul FC]]</f>
        <v>0</v>
      </c>
      <c r="BJ14" s="71">
        <f>Financials2026[[#This Row],[Aug AC]]-Financials2026[[#This Row],[Aug FC]]</f>
        <v>0</v>
      </c>
      <c r="BK14" s="71">
        <f>Financials2026[[#This Row],[Sep AC]]-Financials2026[[#This Row],[Sep FC]]</f>
        <v>0</v>
      </c>
      <c r="BL14" s="71">
        <f>Financials2026[[#This Row],[Oct AC]]-Financials2026[[#This Row],[Oct FC]]</f>
        <v>-15750</v>
      </c>
      <c r="BM14" s="71">
        <f>Financials2026[[#This Row],[Nov AC]]-Financials2026[[#This Row],[Nov FC]]</f>
        <v>0</v>
      </c>
      <c r="BN14" s="71">
        <f>Financials2026[[#This Row],[Dec AC]]-Financials2026[[#This Row],[Dec FC]]</f>
        <v>0</v>
      </c>
      <c r="BO14" s="71">
        <f>SUM(Financials2026[[#This Row],[Jan Opp/Risk]:[Dec Opp./Risk]])</f>
        <v>-15750</v>
      </c>
      <c r="BP14" s="91"/>
      <c r="BQ14" s="47">
        <f>SUM(Financials2026[[#This Row],[Jan AC]:[Apr AC]])</f>
        <v>0</v>
      </c>
      <c r="BS14" s="6"/>
      <c r="BT14" s="6"/>
      <c r="BU14" s="6"/>
      <c r="BV14" s="6"/>
      <c r="BW14" s="6"/>
      <c r="BX14" s="6"/>
    </row>
    <row r="15" spans="1:76" hidden="1" x14ac:dyDescent="0.35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SUM(Financials2026[[#This Row],[Jan AC]:[Dec AC]])</f>
        <v>0</v>
      </c>
      <c r="BC15" s="71">
        <f>Financials2026[[#This Row],[Jan AC]]-Financials2026[[#This Row],[Jan FC]]</f>
        <v>0</v>
      </c>
      <c r="BD15" s="71">
        <f>Financials2026[[#This Row],[Feb AC]]-Financials2026[[#This Row],[Feb FC]]</f>
        <v>0</v>
      </c>
      <c r="BE15" s="71">
        <f>Financials2026[[#This Row],[Mar AC]]-Financials2026[[#This Row],[Mar FC]]</f>
        <v>0</v>
      </c>
      <c r="BF15" s="71">
        <f>Financials2026[[#This Row],[Apr AC]]-Financials2026[[#This Row],[Apr FC]]</f>
        <v>0</v>
      </c>
      <c r="BG15" s="71">
        <f>Financials2026[[#This Row],[May AC]]-Financials2026[[#This Row],[May FC]]</f>
        <v>0</v>
      </c>
      <c r="BH15" s="71">
        <f>Financials2026[[#This Row],[Jun AC]]-Financials2026[[#This Row],[Jun FC]]</f>
        <v>0</v>
      </c>
      <c r="BI15" s="71">
        <f>Financials2026[[#This Row],[Jul AC]]-Financials2026[[#This Row],[Jul FC]]</f>
        <v>0</v>
      </c>
      <c r="BJ15" s="71">
        <f>Financials2026[[#This Row],[Aug AC]]-Financials2026[[#This Row],[Aug FC]]</f>
        <v>0</v>
      </c>
      <c r="BK15" s="71">
        <f>Financials2026[[#This Row],[Sep AC]]-Financials2026[[#This Row],[Sep FC]]</f>
        <v>0</v>
      </c>
      <c r="BL15" s="71">
        <f>Financials2026[[#This Row],[Oct AC]]-Financials2026[[#This Row],[Oct FC]]</f>
        <v>0</v>
      </c>
      <c r="BM15" s="71">
        <f>Financials2026[[#This Row],[Nov AC]]-Financials2026[[#This Row],[Nov FC]]</f>
        <v>0</v>
      </c>
      <c r="BN15" s="71">
        <f>Financials2026[[#This Row],[Dec AC]]-Financials2026[[#This Row],[Dec FC]]</f>
        <v>-52500</v>
      </c>
      <c r="BO15" s="71">
        <f>SUM(Financials2026[[#This Row],[Jan Opp/Risk]:[Dec Opp./Risk]])</f>
        <v>-52500</v>
      </c>
      <c r="BP15" s="91"/>
      <c r="BQ15" s="47">
        <f>SUM(Financials2026[[#This Row],[Jan AC]:[Apr AC]])</f>
        <v>0</v>
      </c>
      <c r="BS15" s="6"/>
      <c r="BT15" s="6"/>
      <c r="BU15" s="6"/>
      <c r="BV15" s="6"/>
      <c r="BW15" s="6"/>
      <c r="BX15" s="6"/>
    </row>
    <row r="16" spans="1:76" hidden="1" x14ac:dyDescent="0.35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SUM(Financials2026[[#This Row],[Jan AC]:[Dec AC]])</f>
        <v>5443.74</v>
      </c>
      <c r="BC16" s="71">
        <f>Financials2026[[#This Row],[Jan AC]]-Financials2026[[#This Row],[Jan FC]]</f>
        <v>0</v>
      </c>
      <c r="BD16" s="71">
        <f>Financials2026[[#This Row],[Feb AC]]-Financials2026[[#This Row],[Feb FC]]</f>
        <v>-1.999999999998181E-2</v>
      </c>
      <c r="BE16" s="71">
        <f>Financials2026[[#This Row],[Mar AC]]-Financials2026[[#This Row],[Mar FC]]</f>
        <v>0</v>
      </c>
      <c r="BF16" s="71">
        <f>Financials2026[[#This Row],[Apr AC]]-Financials2026[[#This Row],[Apr FC]]</f>
        <v>-1.999999999998181E-2</v>
      </c>
      <c r="BG16" s="71">
        <f>Financials2026[[#This Row],[May AC]]-Financials2026[[#This Row],[May FC]]</f>
        <v>-1.999999999998181E-2</v>
      </c>
      <c r="BH16" s="71">
        <f>Financials2026[[#This Row],[Jun AC]]-Financials2026[[#This Row],[Jun FC]]</f>
        <v>-1088.76</v>
      </c>
      <c r="BI16" s="71">
        <f>Financials2026[[#This Row],[Jul AC]]-Financials2026[[#This Row],[Jul FC]]</f>
        <v>-1088.76</v>
      </c>
      <c r="BJ16" s="71">
        <f>Financials2026[[#This Row],[Aug AC]]-Financials2026[[#This Row],[Aug FC]]</f>
        <v>-1088.76</v>
      </c>
      <c r="BK16" s="71">
        <f>Financials2026[[#This Row],[Sep AC]]-Financials2026[[#This Row],[Sep FC]]</f>
        <v>-1088.76</v>
      </c>
      <c r="BL16" s="71">
        <f>Financials2026[[#This Row],[Oct AC]]-Financials2026[[#This Row],[Oct FC]]</f>
        <v>-1088.76</v>
      </c>
      <c r="BM16" s="71">
        <f>Financials2026[[#This Row],[Nov AC]]-Financials2026[[#This Row],[Nov FC]]</f>
        <v>-1088.76</v>
      </c>
      <c r="BN16" s="71">
        <f>Financials2026[[#This Row],[Dec AC]]-Financials2026[[#This Row],[Dec FC]]</f>
        <v>-1088.76</v>
      </c>
      <c r="BO16" s="71">
        <f>SUM(Financials2026[[#This Row],[Jan Opp/Risk]:[Dec Opp./Risk]])</f>
        <v>-7621.380000000001</v>
      </c>
      <c r="BP16" s="90" t="s">
        <v>534</v>
      </c>
      <c r="BQ16" s="47">
        <f>SUM(Financials2026[[#This Row],[Jan AC]:[Apr AC]])</f>
        <v>4355</v>
      </c>
      <c r="BS16" s="6"/>
      <c r="BT16" s="6"/>
      <c r="BU16" s="6"/>
      <c r="BV16" s="6"/>
      <c r="BW16" s="6"/>
      <c r="BX16" s="6"/>
    </row>
    <row r="17" spans="1:76" hidden="1" x14ac:dyDescent="0.35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SUM(Financials2026[[#This Row],[Jan AC]:[Dec AC]])</f>
        <v>0</v>
      </c>
      <c r="BC17" s="71">
        <f>Financials2026[[#This Row],[Jan AC]]-Financials2026[[#This Row],[Jan FC]]</f>
        <v>0</v>
      </c>
      <c r="BD17" s="71">
        <f>Financials2026[[#This Row],[Feb AC]]-Financials2026[[#This Row],[Feb FC]]</f>
        <v>0</v>
      </c>
      <c r="BE17" s="71">
        <f>Financials2026[[#This Row],[Mar AC]]-Financials2026[[#This Row],[Mar FC]]</f>
        <v>0</v>
      </c>
      <c r="BF17" s="71">
        <f>Financials2026[[#This Row],[Apr AC]]-Financials2026[[#This Row],[Apr FC]]</f>
        <v>0</v>
      </c>
      <c r="BG17" s="71">
        <f>Financials2026[[#This Row],[May AC]]-Financials2026[[#This Row],[May FC]]</f>
        <v>0</v>
      </c>
      <c r="BH17" s="71">
        <f>Financials2026[[#This Row],[Jun AC]]-Financials2026[[#This Row],[Jun FC]]</f>
        <v>0</v>
      </c>
      <c r="BI17" s="71">
        <f>Financials2026[[#This Row],[Jul AC]]-Financials2026[[#This Row],[Jul FC]]</f>
        <v>0</v>
      </c>
      <c r="BJ17" s="71">
        <f>Financials2026[[#This Row],[Aug AC]]-Financials2026[[#This Row],[Aug FC]]</f>
        <v>0</v>
      </c>
      <c r="BK17" s="71">
        <f>Financials2026[[#This Row],[Sep AC]]-Financials2026[[#This Row],[Sep FC]]</f>
        <v>0</v>
      </c>
      <c r="BL17" s="71">
        <f>Financials2026[[#This Row],[Oct AC]]-Financials2026[[#This Row],[Oct FC]]</f>
        <v>0</v>
      </c>
      <c r="BM17" s="71">
        <f>Financials2026[[#This Row],[Nov AC]]-Financials2026[[#This Row],[Nov FC]]</f>
        <v>0</v>
      </c>
      <c r="BN17" s="71">
        <f>Financials2026[[#This Row],[Dec AC]]-Financials2026[[#This Row],[Dec FC]]</f>
        <v>-12200</v>
      </c>
      <c r="BO17" s="71">
        <f>SUM(Financials2026[[#This Row],[Jan Opp/Risk]:[Dec Opp./Risk]])</f>
        <v>-12200</v>
      </c>
      <c r="BP17" s="90"/>
      <c r="BQ17" s="47">
        <f>SUM(Financials2026[[#This Row],[Jan AC]:[Apr AC]])</f>
        <v>0</v>
      </c>
      <c r="BS17" s="6"/>
      <c r="BT17" s="6"/>
      <c r="BU17" s="6"/>
      <c r="BV17" s="6"/>
      <c r="BW17" s="6"/>
      <c r="BX17" s="6"/>
    </row>
    <row r="18" spans="1:76" hidden="1" x14ac:dyDescent="0.35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SUM(Financials2026[[#This Row],[Jan AC]:[Dec AC]])</f>
        <v>0</v>
      </c>
      <c r="BC18" s="71">
        <f>Financials2026[[#This Row],[Jan AC]]-Financials2026[[#This Row],[Jan FC]]</f>
        <v>0</v>
      </c>
      <c r="BD18" s="71">
        <f>Financials2026[[#This Row],[Feb AC]]-Financials2026[[#This Row],[Feb FC]]</f>
        <v>0</v>
      </c>
      <c r="BE18" s="71">
        <f>Financials2026[[#This Row],[Mar AC]]-Financials2026[[#This Row],[Mar FC]]</f>
        <v>0</v>
      </c>
      <c r="BF18" s="71">
        <f>Financials2026[[#This Row],[Apr AC]]-Financials2026[[#This Row],[Apr FC]]</f>
        <v>0</v>
      </c>
      <c r="BG18" s="71">
        <f>Financials2026[[#This Row],[May AC]]-Financials2026[[#This Row],[May FC]]</f>
        <v>0</v>
      </c>
      <c r="BH18" s="71">
        <f>Financials2026[[#This Row],[Jun AC]]-Financials2026[[#This Row],[Jun FC]]</f>
        <v>0</v>
      </c>
      <c r="BI18" s="71">
        <f>Financials2026[[#This Row],[Jul AC]]-Financials2026[[#This Row],[Jul FC]]</f>
        <v>0</v>
      </c>
      <c r="BJ18" s="71">
        <f>Financials2026[[#This Row],[Aug AC]]-Financials2026[[#This Row],[Aug FC]]</f>
        <v>0</v>
      </c>
      <c r="BK18" s="71">
        <f>Financials2026[[#This Row],[Sep AC]]-Financials2026[[#This Row],[Sep FC]]</f>
        <v>0</v>
      </c>
      <c r="BL18" s="71">
        <f>Financials2026[[#This Row],[Oct AC]]-Financials2026[[#This Row],[Oct FC]]</f>
        <v>0</v>
      </c>
      <c r="BM18" s="71">
        <f>Financials2026[[#This Row],[Nov AC]]-Financials2026[[#This Row],[Nov FC]]</f>
        <v>0</v>
      </c>
      <c r="BN18" s="71">
        <f>Financials2026[[#This Row],[Dec AC]]-Financials2026[[#This Row],[Dec FC]]</f>
        <v>-236250</v>
      </c>
      <c r="BO18" s="71">
        <f>SUM(Financials2026[[#This Row],[Jan Opp/Risk]:[Dec Opp./Risk]])</f>
        <v>-236250</v>
      </c>
      <c r="BP18" s="91"/>
      <c r="BQ18" s="47">
        <f>SUM(Financials2026[[#This Row],[Jan AC]:[Apr AC]])</f>
        <v>0</v>
      </c>
      <c r="BS18" s="6"/>
      <c r="BT18" s="6"/>
      <c r="BU18" s="6"/>
      <c r="BV18" s="6"/>
      <c r="BW18" s="6"/>
      <c r="BX18" s="6"/>
    </row>
    <row r="19" spans="1:76" hidden="1" x14ac:dyDescent="0.35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SUM(Financials2026[[#This Row],[Jan AC]:[Dec AC]])</f>
        <v>0</v>
      </c>
      <c r="BC19" s="71">
        <f>Financials2026[[#This Row],[Jan AC]]-Financials2026[[#This Row],[Jan FC]]</f>
        <v>0</v>
      </c>
      <c r="BD19" s="71">
        <f>Financials2026[[#This Row],[Feb AC]]-Financials2026[[#This Row],[Feb FC]]</f>
        <v>0</v>
      </c>
      <c r="BE19" s="71">
        <f>Financials2026[[#This Row],[Mar AC]]-Financials2026[[#This Row],[Mar FC]]</f>
        <v>0</v>
      </c>
      <c r="BF19" s="71">
        <f>Financials2026[[#This Row],[Apr AC]]-Financials2026[[#This Row],[Apr FC]]</f>
        <v>0</v>
      </c>
      <c r="BG19" s="71">
        <f>Financials2026[[#This Row],[May AC]]-Financials2026[[#This Row],[May FC]]</f>
        <v>0</v>
      </c>
      <c r="BH19" s="71">
        <f>Financials2026[[#This Row],[Jun AC]]-Financials2026[[#This Row],[Jun FC]]</f>
        <v>0</v>
      </c>
      <c r="BI19" s="71">
        <f>Financials2026[[#This Row],[Jul AC]]-Financials2026[[#This Row],[Jul FC]]</f>
        <v>0</v>
      </c>
      <c r="BJ19" s="71">
        <f>Financials2026[[#This Row],[Aug AC]]-Financials2026[[#This Row],[Aug FC]]</f>
        <v>0</v>
      </c>
      <c r="BK19" s="71">
        <f>Financials2026[[#This Row],[Sep AC]]-Financials2026[[#This Row],[Sep FC]]</f>
        <v>0</v>
      </c>
      <c r="BL19" s="71">
        <f>Financials2026[[#This Row],[Oct AC]]-Financials2026[[#This Row],[Oct FC]]</f>
        <v>0</v>
      </c>
      <c r="BM19" s="71">
        <f>Financials2026[[#This Row],[Nov AC]]-Financials2026[[#This Row],[Nov FC]]</f>
        <v>0</v>
      </c>
      <c r="BN19" s="71">
        <f>Financials2026[[#This Row],[Dec AC]]-Financials2026[[#This Row],[Dec FC]]</f>
        <v>-141750</v>
      </c>
      <c r="BO19" s="71">
        <f>SUM(Financials2026[[#This Row],[Jan Opp/Risk]:[Dec Opp./Risk]])</f>
        <v>-141750</v>
      </c>
      <c r="BP19" s="91"/>
      <c r="BQ19" s="47">
        <f>SUM(Financials2026[[#This Row],[Jan AC]:[Apr AC]])</f>
        <v>0</v>
      </c>
      <c r="BS19" s="6"/>
      <c r="BT19" s="6"/>
      <c r="BU19" s="6"/>
      <c r="BV19" s="6"/>
      <c r="BW19" s="6"/>
      <c r="BX19" s="6"/>
    </row>
    <row r="20" spans="1:76" hidden="1" x14ac:dyDescent="0.35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SUM(Financials2026[[#This Row],[Jan AC]:[Dec AC]])</f>
        <v>0</v>
      </c>
      <c r="BC20" s="71">
        <f>Financials2026[[#This Row],[Jan AC]]-Financials2026[[#This Row],[Jan FC]]</f>
        <v>0</v>
      </c>
      <c r="BD20" s="71">
        <f>Financials2026[[#This Row],[Feb AC]]-Financials2026[[#This Row],[Feb FC]]</f>
        <v>0</v>
      </c>
      <c r="BE20" s="71">
        <f>Financials2026[[#This Row],[Mar AC]]-Financials2026[[#This Row],[Mar FC]]</f>
        <v>0</v>
      </c>
      <c r="BF20" s="71">
        <f>Financials2026[[#This Row],[Apr AC]]-Financials2026[[#This Row],[Apr FC]]</f>
        <v>0</v>
      </c>
      <c r="BG20" s="71">
        <f>Financials2026[[#This Row],[May AC]]-Financials2026[[#This Row],[May FC]]</f>
        <v>0</v>
      </c>
      <c r="BH20" s="71">
        <f>Financials2026[[#This Row],[Jun AC]]-Financials2026[[#This Row],[Jun FC]]</f>
        <v>0</v>
      </c>
      <c r="BI20" s="71">
        <f>Financials2026[[#This Row],[Jul AC]]-Financials2026[[#This Row],[Jul FC]]</f>
        <v>0</v>
      </c>
      <c r="BJ20" s="71">
        <f>Financials2026[[#This Row],[Aug AC]]-Financials2026[[#This Row],[Aug FC]]</f>
        <v>0</v>
      </c>
      <c r="BK20" s="71">
        <f>Financials2026[[#This Row],[Sep AC]]-Financials2026[[#This Row],[Sep FC]]</f>
        <v>0</v>
      </c>
      <c r="BL20" s="71">
        <f>Financials2026[[#This Row],[Oct AC]]-Financials2026[[#This Row],[Oct FC]]</f>
        <v>0</v>
      </c>
      <c r="BM20" s="71">
        <f>Financials2026[[#This Row],[Nov AC]]-Financials2026[[#This Row],[Nov FC]]</f>
        <v>0</v>
      </c>
      <c r="BN20" s="71">
        <f>Financials2026[[#This Row],[Dec AC]]-Financials2026[[#This Row],[Dec FC]]</f>
        <v>-17099</v>
      </c>
      <c r="BO20" s="71">
        <f>SUM(Financials2026[[#This Row],[Jan Opp/Risk]:[Dec Opp./Risk]])</f>
        <v>-17099</v>
      </c>
      <c r="BP20" s="91"/>
      <c r="BQ20" s="47">
        <f>SUM(Financials2026[[#This Row],[Jan AC]:[Apr AC]])</f>
        <v>0</v>
      </c>
      <c r="BS20" s="6"/>
      <c r="BT20" s="6"/>
      <c r="BU20" s="6"/>
      <c r="BV20" s="6"/>
      <c r="BW20" s="6"/>
      <c r="BX20" s="6"/>
    </row>
    <row r="21" spans="1:76" x14ac:dyDescent="0.35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ref="K21:K53" si="13">D21 &amp; "-" &amp;E21</f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ref="Y21:Y53" si="14">IF(W21 &gt; V21, W21 - V21, 0)</f>
        <v>86587</v>
      </c>
      <c r="Z21" s="15">
        <f>SUM(Financials2026[[#This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SUM(Financials2026[[#This Row],[Jan AC]:[Dec AC]])</f>
        <v>566480</v>
      </c>
      <c r="BC21" s="71">
        <f>Financials2026[[#This Row],[Jan AC]]-Financials2026[[#This Row],[Jan FC]]</f>
        <v>0</v>
      </c>
      <c r="BD21" s="71">
        <f>Financials2026[[#This Row],[Feb AC]]-Financials2026[[#This Row],[Feb FC]]</f>
        <v>0</v>
      </c>
      <c r="BE21" s="71">
        <f>Financials2026[[#This Row],[Mar AC]]-Financials2026[[#This Row],[Mar FC]]</f>
        <v>0</v>
      </c>
      <c r="BF21" s="71">
        <f>Financials2026[[#This Row],[Apr AC]]-Financials2026[[#This Row],[Apr FC]]</f>
        <v>0</v>
      </c>
      <c r="BG21" s="71">
        <f>Financials2026[[#This Row],[May AC]]-Financials2026[[#This Row],[May FC]]</f>
        <v>-10788</v>
      </c>
      <c r="BH21" s="71">
        <f>Financials2026[[#This Row],[Jun AC]]-Financials2026[[#This Row],[Jun FC]]</f>
        <v>-120637</v>
      </c>
      <c r="BI21" s="71">
        <f>Financials2026[[#This Row],[Jul AC]]-Financials2026[[#This Row],[Jul FC]]</f>
        <v>-123837</v>
      </c>
      <c r="BJ21" s="71">
        <f>Financials2026[[#This Row],[Aug AC]]-Financials2026[[#This Row],[Aug FC]]</f>
        <v>-127037</v>
      </c>
      <c r="BK21" s="71">
        <f>Financials2026[[#This Row],[Sep AC]]-Financials2026[[#This Row],[Sep FC]]</f>
        <v>-127037</v>
      </c>
      <c r="BL21" s="71">
        <f>Financials2026[[#This Row],[Oct AC]]-Financials2026[[#This Row],[Oct FC]]</f>
        <v>-127037</v>
      </c>
      <c r="BM21" s="71">
        <f>Financials2026[[#This Row],[Nov AC]]-Financials2026[[#This Row],[Nov FC]]</f>
        <v>-127037</v>
      </c>
      <c r="BN21" s="71">
        <f>Financials2026[[#This Row],[Dec AC]]-Financials2026[[#This Row],[Dec FC]]</f>
        <v>-127037</v>
      </c>
      <c r="BO21" s="71">
        <f>SUM(Financials2026[[#This Row],[Jan Opp/Risk]:[Dec Opp./Risk]])</f>
        <v>-890447</v>
      </c>
      <c r="BP21" s="92"/>
      <c r="BQ21" s="47">
        <f>SUM(Financials2026[[#This Row],[Jan AC]:[Apr AC]])</f>
        <v>453184</v>
      </c>
      <c r="BS21" s="6"/>
      <c r="BT21" s="6"/>
      <c r="BU21" s="6"/>
      <c r="BV21" s="6"/>
      <c r="BW21" s="6"/>
      <c r="BX21" s="6"/>
    </row>
    <row r="22" spans="1:76" hidden="1" x14ac:dyDescent="0.35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ref="K22" si="15">D22 &amp; "-" &amp;E22</f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ref="X22" si="16">IF(V22 &gt;= W22, V22 - W22, 0)*-1</f>
        <v>-5308</v>
      </c>
      <c r="Y22" s="15">
        <f t="shared" ref="Y22" si="17">IF(W22 &gt; V22, W22 - V22, 0)</f>
        <v>0</v>
      </c>
      <c r="Z22" s="15">
        <f>SUM(Financials2026[[#This Row],[2026 Opportunity]:[2026 Risk]])</f>
        <v>-5308</v>
      </c>
      <c r="AA22" s="3" t="s">
        <v>186</v>
      </c>
      <c r="AB22" s="52">
        <f>Financials2026[[#This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SUM(Financials2026[[#This Row],[Jan AC]:[Dec AC]])</f>
        <v>85892</v>
      </c>
      <c r="BC22" s="71">
        <f>Financials2026[[#This Row],[Jan AC]]-Financials2026[[#This Row],[Jan FC]]</f>
        <v>-2112</v>
      </c>
      <c r="BD22" s="71">
        <f>Financials2026[[#This Row],[Feb AC]]-Financials2026[[#This Row],[Feb FC]]</f>
        <v>-1776</v>
      </c>
      <c r="BE22" s="71">
        <f>Financials2026[[#This Row],[Mar AC]]-Financials2026[[#This Row],[Mar FC]]</f>
        <v>-1652</v>
      </c>
      <c r="BF22" s="71">
        <f>Financials2026[[#This Row],[Apr AC]]-Financials2026[[#This Row],[Apr FC]]</f>
        <v>864</v>
      </c>
      <c r="BG22" s="71">
        <f>Financials2026[[#This Row],[May AC]]-Financials2026[[#This Row],[May FC]]</f>
        <v>-632</v>
      </c>
      <c r="BH22" s="71">
        <f>Financials2026[[#This Row],[Jun AC]]-Financials2026[[#This Row],[Jun FC]]</f>
        <v>-18240</v>
      </c>
      <c r="BI22" s="71">
        <f>Financials2026[[#This Row],[Jul AC]]-Financials2026[[#This Row],[Jul FC]]</f>
        <v>-18240</v>
      </c>
      <c r="BJ22" s="71">
        <f>Financials2026[[#This Row],[Aug AC]]-Financials2026[[#This Row],[Aug FC]]</f>
        <v>-18240</v>
      </c>
      <c r="BK22" s="71">
        <f>Financials2026[[#This Row],[Sep AC]]-Financials2026[[#This Row],[Sep FC]]</f>
        <v>-18240</v>
      </c>
      <c r="BL22" s="71">
        <f>Financials2026[[#This Row],[Oct AC]]-Financials2026[[#This Row],[Oct FC]]</f>
        <v>-18240</v>
      </c>
      <c r="BM22" s="71">
        <f>Financials2026[[#This Row],[Nov AC]]-Financials2026[[#This Row],[Nov FC]]</f>
        <v>-18240</v>
      </c>
      <c r="BN22" s="71">
        <f>Financials2026[[#This Row],[Dec AC]]-Financials2026[[#This Row],[Dec FC]]</f>
        <v>-18240</v>
      </c>
      <c r="BO22" s="71">
        <f>SUM(Financials2026[[#This Row],[Jan Opp/Risk]:[Dec Opp./Risk]])</f>
        <v>-132988</v>
      </c>
      <c r="BP22" s="92" t="s">
        <v>541</v>
      </c>
      <c r="BQ22" s="47">
        <f>SUM(Financials2026[[#This Row],[Jan AC]:[Apr AC]])</f>
        <v>68284</v>
      </c>
      <c r="BS22" s="6"/>
      <c r="BT22" s="6"/>
      <c r="BU22" s="6"/>
      <c r="BV22" s="6"/>
      <c r="BW22" s="6"/>
      <c r="BX22" s="6"/>
    </row>
    <row r="23" spans="1:76" hidden="1" x14ac:dyDescent="0.35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13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1426303</v>
      </c>
      <c r="X23" s="15">
        <f t="shared" si="7"/>
        <v>-11777</v>
      </c>
      <c r="Y23" s="15">
        <f t="shared" si="14"/>
        <v>0</v>
      </c>
      <c r="Z23" s="15">
        <f>SUM(Financials2026[[#This Row],[2026 Opportunity]:[2026 Risk]])</f>
        <v>-11777</v>
      </c>
      <c r="AA23" s="3" t="s">
        <v>540</v>
      </c>
      <c r="AB23" s="52">
        <f>Financials2026[[#This Row],[2026 Final Budget]]/12</f>
        <v>119840</v>
      </c>
      <c r="AC23" s="52">
        <f>Financials2026[[#This Row],[2026 Final Budget]]/12</f>
        <v>119840</v>
      </c>
      <c r="AD23" s="52">
        <f>Financials2026[[#This Row],[2026 Final Budget]]/12</f>
        <v>119840</v>
      </c>
      <c r="AE23" s="52">
        <f>Financials2026[[#This Row],[2026 Final Budget]]/12</f>
        <v>119840</v>
      </c>
      <c r="AF23" s="52">
        <f>Financials2026[[#This Row],[2026 Final Budget]]/12</f>
        <v>119840</v>
      </c>
      <c r="AG23" s="52">
        <f>Financials2026[[#This Row],[2026 Final Budget]]/12</f>
        <v>119840</v>
      </c>
      <c r="AH23" s="52">
        <f>Financials2026[[#This Row],[2026 Final Budget]]/12</f>
        <v>119840</v>
      </c>
      <c r="AI23" s="52">
        <f>Financials2026[[#This Row],[2026 Final Budget]]/12</f>
        <v>119840</v>
      </c>
      <c r="AJ23" s="52">
        <f>Financials2026[[#This Row],[2026 Final Budget]]/12</f>
        <v>119840</v>
      </c>
      <c r="AK23" s="52">
        <f>Financials2026[[#This Row],[2026 Final Budget]]/12</f>
        <v>119840</v>
      </c>
      <c r="AL23" s="52">
        <f>Financials2026[[#This Row],[2026 Final Budget]]/12</f>
        <v>119840</v>
      </c>
      <c r="AM23" s="52">
        <f>Financials2026[[#This Row],[2026 Final Budget]]/12</f>
        <v>119840</v>
      </c>
      <c r="AN23" s="52">
        <f>SUM(Financials2026[[#This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/>
      <c r="AT23" s="61"/>
      <c r="AU23" s="61"/>
      <c r="AV23" s="61"/>
      <c r="AW23" s="61"/>
      <c r="AX23" s="61"/>
      <c r="AY23" s="61"/>
      <c r="AZ23" s="61"/>
      <c r="BA23" s="61"/>
      <c r="BB23" s="80">
        <f>SUM(Financials2026[[#This Row],[Jan AC]:[Dec AC]])</f>
        <v>347743</v>
      </c>
      <c r="BC23" s="71">
        <f>Financials2026[[#This Row],[Jan AC]]-Financials2026[[#This Row],[Jan FC]]</f>
        <v>-4680</v>
      </c>
      <c r="BD23" s="71">
        <f>Financials2026[[#This Row],[Feb AC]]-Financials2026[[#This Row],[Feb FC]]</f>
        <v>-12229</v>
      </c>
      <c r="BE23" s="71">
        <f>Financials2026[[#This Row],[Mar AC]]-Financials2026[[#This Row],[Mar FC]]</f>
        <v>5132</v>
      </c>
      <c r="BF23" s="71">
        <f>Financials2026[[#This Row],[Apr AC]]-Financials2026[[#This Row],[Apr FC]]</f>
        <v>-119840</v>
      </c>
      <c r="BG23" s="71">
        <f>Financials2026[[#This Row],[May AC]]-Financials2026[[#This Row],[May FC]]</f>
        <v>-119840</v>
      </c>
      <c r="BH23" s="71">
        <f>Financials2026[[#This Row],[Jun AC]]-Financials2026[[#This Row],[Jun FC]]</f>
        <v>-119840</v>
      </c>
      <c r="BI23" s="71">
        <f>Financials2026[[#This Row],[Jul AC]]-Financials2026[[#This Row],[Jul FC]]</f>
        <v>-119840</v>
      </c>
      <c r="BJ23" s="71">
        <f>Financials2026[[#This Row],[Aug AC]]-Financials2026[[#This Row],[Aug FC]]</f>
        <v>-119840</v>
      </c>
      <c r="BK23" s="71">
        <f>Financials2026[[#This Row],[Sep AC]]-Financials2026[[#This Row],[Sep FC]]</f>
        <v>-119840</v>
      </c>
      <c r="BL23" s="71">
        <f>Financials2026[[#This Row],[Oct AC]]-Financials2026[[#This Row],[Oct FC]]</f>
        <v>-119840</v>
      </c>
      <c r="BM23" s="71">
        <f>Financials2026[[#This Row],[Nov AC]]-Financials2026[[#This Row],[Nov FC]]</f>
        <v>-119840</v>
      </c>
      <c r="BN23" s="71">
        <f>Financials2026[[#This Row],[Dec AC]]-Financials2026[[#This Row],[Dec FC]]</f>
        <v>-119840</v>
      </c>
      <c r="BO23" s="71">
        <f>SUM(Financials2026[[#This Row],[Jan Opp/Risk]:[Dec Opp./Risk]])</f>
        <v>-1090337</v>
      </c>
      <c r="BP23" s="92" t="s">
        <v>541</v>
      </c>
      <c r="BQ23" s="47">
        <f>SUM(Financials2026[[#This Row],[Jan AC]:[Apr AC]])</f>
        <v>347743</v>
      </c>
      <c r="BS23" s="6"/>
      <c r="BT23" s="6"/>
      <c r="BU23" s="6"/>
      <c r="BV23" s="6"/>
      <c r="BW23" s="6"/>
      <c r="BX23" s="6"/>
    </row>
    <row r="24" spans="1:76" hidden="1" x14ac:dyDescent="0.35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ref="K24:K25" si="18">D24 &amp; "-" &amp;E24</f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332698</v>
      </c>
      <c r="X24" s="15">
        <f t="shared" si="7"/>
        <v>-81382</v>
      </c>
      <c r="Y24" s="15">
        <f t="shared" ref="Y24:Y25" si="19">IF(W24 &gt; V24, W24 - V24, 0)</f>
        <v>0</v>
      </c>
      <c r="Z24" s="15">
        <f>SUM(Financials2026[[#This Row],[2026 Opportunity]:[2026 Risk]])</f>
        <v>-81382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20">38560-15840</f>
        <v>22720</v>
      </c>
      <c r="AI24" s="53">
        <f t="shared" si="20"/>
        <v>22720</v>
      </c>
      <c r="AJ24" s="53">
        <f t="shared" si="20"/>
        <v>22720</v>
      </c>
      <c r="AK24" s="53">
        <f t="shared" si="20"/>
        <v>22720</v>
      </c>
      <c r="AL24" s="53">
        <f t="shared" si="20"/>
        <v>22720</v>
      </c>
      <c r="AM24" s="53">
        <f t="shared" si="20"/>
        <v>22720</v>
      </c>
      <c r="AN24" s="52">
        <f>SUM(Financials2026[[#This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/>
      <c r="AT24" s="61"/>
      <c r="AU24" s="61"/>
      <c r="AV24" s="61"/>
      <c r="AW24" s="61"/>
      <c r="AX24" s="61"/>
      <c r="AY24" s="61"/>
      <c r="AZ24" s="61"/>
      <c r="BA24" s="61"/>
      <c r="BB24" s="80">
        <f>SUM(Financials2026[[#This Row],[Jan AC]:[Dec AC]])</f>
        <v>96538</v>
      </c>
      <c r="BC24" s="71">
        <f>Financials2026[[#This Row],[Jan AC]]-Financials2026[[#This Row],[Jan FC]]</f>
        <v>-8224</v>
      </c>
      <c r="BD24" s="71">
        <f>Financials2026[[#This Row],[Feb AC]]-Financials2026[[#This Row],[Feb FC]]</f>
        <v>-11294</v>
      </c>
      <c r="BE24" s="71">
        <f>Financials2026[[#This Row],[Mar AC]]-Financials2026[[#This Row],[Mar FC]]</f>
        <v>376</v>
      </c>
      <c r="BF24" s="71">
        <f>Financials2026[[#This Row],[Apr AC]]-Financials2026[[#This Row],[Apr FC]]</f>
        <v>-38560</v>
      </c>
      <c r="BG24" s="71">
        <f>Financials2026[[#This Row],[May AC]]-Financials2026[[#This Row],[May FC]]</f>
        <v>-38560</v>
      </c>
      <c r="BH24" s="71">
        <f>Financials2026[[#This Row],[Jun AC]]-Financials2026[[#This Row],[Jun FC]]</f>
        <v>-22720</v>
      </c>
      <c r="BI24" s="71">
        <f>Financials2026[[#This Row],[Jul AC]]-Financials2026[[#This Row],[Jul FC]]</f>
        <v>-22720</v>
      </c>
      <c r="BJ24" s="71">
        <f>Financials2026[[#This Row],[Aug AC]]-Financials2026[[#This Row],[Aug FC]]</f>
        <v>-22720</v>
      </c>
      <c r="BK24" s="71">
        <f>Financials2026[[#This Row],[Sep AC]]-Financials2026[[#This Row],[Sep FC]]</f>
        <v>-22720</v>
      </c>
      <c r="BL24" s="71">
        <f>Financials2026[[#This Row],[Oct AC]]-Financials2026[[#This Row],[Oct FC]]</f>
        <v>-22720</v>
      </c>
      <c r="BM24" s="71">
        <f>Financials2026[[#This Row],[Nov AC]]-Financials2026[[#This Row],[Nov FC]]</f>
        <v>-22720</v>
      </c>
      <c r="BN24" s="71">
        <f>Financials2026[[#This Row],[Dec AC]]-Financials2026[[#This Row],[Dec FC]]</f>
        <v>-22720</v>
      </c>
      <c r="BO24" s="71">
        <f>SUM(Financials2026[[#This Row],[Jan Opp/Risk]:[Dec Opp./Risk]])</f>
        <v>-255302</v>
      </c>
      <c r="BP24" s="92" t="s">
        <v>890</v>
      </c>
      <c r="BQ24" s="47">
        <f>SUM(Financials2026[[#This Row],[Jan AC]:[Apr AC]])</f>
        <v>96538</v>
      </c>
      <c r="BS24" s="6"/>
      <c r="BT24" s="6"/>
      <c r="BU24" s="6"/>
      <c r="BV24" s="6"/>
      <c r="BW24" s="6"/>
      <c r="BX24" s="6"/>
    </row>
    <row r="25" spans="1:76" hidden="1" x14ac:dyDescent="0.35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18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1234896</v>
      </c>
      <c r="X25" s="15">
        <f t="shared" si="7"/>
        <v>-270384</v>
      </c>
      <c r="Y25" s="15">
        <f t="shared" si="19"/>
        <v>0</v>
      </c>
      <c r="Z25" s="15">
        <f>SUM(Financials2026[[#This Row],[2026 Opportunity]:[2026 Risk]])</f>
        <v>-270384</v>
      </c>
      <c r="AA25" s="3" t="s">
        <v>540</v>
      </c>
      <c r="AB25" s="53">
        <f>Financials2026[[#This Row],[2026 Final Budget]]/12</f>
        <v>125440</v>
      </c>
      <c r="AC25" s="53">
        <f>Financials2026[[#This Row],[2026 Final Budget]]/12</f>
        <v>125440</v>
      </c>
      <c r="AD25" s="53">
        <f>Financials2026[[#This Row],[2026 Final Budget]]/12</f>
        <v>125440</v>
      </c>
      <c r="AE25" s="53">
        <f>Financials2026[[#This Row],[2026 Final Budget]]/12</f>
        <v>125440</v>
      </c>
      <c r="AF25" s="53">
        <f>Financials2026[[#This Row],[2026 Final Budget]]/12</f>
        <v>125440</v>
      </c>
      <c r="AG25" s="53">
        <f>(Financials2026[[#This Row],[2026 Final Budget]]/12)-21000</f>
        <v>104440</v>
      </c>
      <c r="AH25" s="53">
        <f>(Financials2026[[#This Row],[2026 Final Budget]]/12)-21000</f>
        <v>104440</v>
      </c>
      <c r="AI25" s="53">
        <f>(Financials2026[[#This Row],[2026 Final Budget]]/12)-21000-17920</f>
        <v>86520</v>
      </c>
      <c r="AJ25" s="53">
        <f>(Financials2026[[#This Row],[2026 Final Budget]]/12)-21000-17920</f>
        <v>86520</v>
      </c>
      <c r="AK25" s="53">
        <f>(Financials2026[[#This Row],[2026 Final Budget]]/12)-21000-17920</f>
        <v>86520</v>
      </c>
      <c r="AL25" s="53">
        <f>(Financials2026[[#This Row],[2026 Final Budget]]/12)-21000-17920</f>
        <v>86520</v>
      </c>
      <c r="AM25" s="53">
        <f>(Financials2026[[#This Row],[2026 Final Budget]]/12)-21000-17920</f>
        <v>86520</v>
      </c>
      <c r="AN25" s="52">
        <f>SUM(Financials2026[[#This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/>
      <c r="AT25" s="61"/>
      <c r="AU25" s="61"/>
      <c r="AV25" s="61"/>
      <c r="AW25" s="61"/>
      <c r="AX25" s="61"/>
      <c r="AY25" s="61"/>
      <c r="AZ25" s="61"/>
      <c r="BA25" s="61"/>
      <c r="BB25" s="80">
        <f>SUM(Financials2026[[#This Row],[Jan AC]:[Dec AC]])</f>
        <v>342536</v>
      </c>
      <c r="BC25" s="71">
        <f>Financials2026[[#This Row],[Jan AC]]-Financials2026[[#This Row],[Jan FC]]</f>
        <v>-16576</v>
      </c>
      <c r="BD25" s="71">
        <f>Financials2026[[#This Row],[Feb AC]]-Financials2026[[#This Row],[Feb FC]]</f>
        <v>-21256</v>
      </c>
      <c r="BE25" s="71">
        <f>Financials2026[[#This Row],[Mar AC]]-Financials2026[[#This Row],[Mar FC]]</f>
        <v>4048</v>
      </c>
      <c r="BF25" s="71">
        <f>Financials2026[[#This Row],[Apr AC]]-Financials2026[[#This Row],[Apr FC]]</f>
        <v>-125440</v>
      </c>
      <c r="BG25" s="71">
        <f>Financials2026[[#This Row],[May AC]]-Financials2026[[#This Row],[May FC]]</f>
        <v>-125440</v>
      </c>
      <c r="BH25" s="71">
        <f>Financials2026[[#This Row],[Jun AC]]-Financials2026[[#This Row],[Jun FC]]</f>
        <v>-104440</v>
      </c>
      <c r="BI25" s="71">
        <f>Financials2026[[#This Row],[Jul AC]]-Financials2026[[#This Row],[Jul FC]]</f>
        <v>-104440</v>
      </c>
      <c r="BJ25" s="71">
        <f>Financials2026[[#This Row],[Aug AC]]-Financials2026[[#This Row],[Aug FC]]</f>
        <v>-86520</v>
      </c>
      <c r="BK25" s="71">
        <f>Financials2026[[#This Row],[Sep AC]]-Financials2026[[#This Row],[Sep FC]]</f>
        <v>-86520</v>
      </c>
      <c r="BL25" s="71">
        <f>Financials2026[[#This Row],[Oct AC]]-Financials2026[[#This Row],[Oct FC]]</f>
        <v>-86520</v>
      </c>
      <c r="BM25" s="71">
        <f>Financials2026[[#This Row],[Nov AC]]-Financials2026[[#This Row],[Nov FC]]</f>
        <v>-86520</v>
      </c>
      <c r="BN25" s="71">
        <f>Financials2026[[#This Row],[Dec AC]]-Financials2026[[#This Row],[Dec FC]]</f>
        <v>-86520</v>
      </c>
      <c r="BO25" s="71">
        <f>SUM(Financials2026[[#This Row],[Jan Opp/Risk]:[Dec Opp./Risk]])</f>
        <v>-926144</v>
      </c>
      <c r="BP25" s="92" t="s">
        <v>891</v>
      </c>
      <c r="BQ25" s="47">
        <f>SUM(Financials2026[[#This Row],[Jan AC]:[Apr AC]])</f>
        <v>342536</v>
      </c>
      <c r="BS25" s="6"/>
      <c r="BT25" s="6"/>
      <c r="BU25" s="6"/>
      <c r="BV25" s="6"/>
      <c r="BW25" s="6"/>
      <c r="BX25" s="6"/>
    </row>
    <row r="26" spans="1:76" hidden="1" x14ac:dyDescent="0.35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ref="K26" si="21">D26 &amp; "-" &amp;E26</f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ref="X26" si="22">IF(V26 &gt;= W26, V26 - W26, 0)*-1</f>
        <v>0</v>
      </c>
      <c r="Y26" s="15">
        <f t="shared" ref="Y26" si="23">IF(W26 &gt; V26, W26 - V26, 0)</f>
        <v>2432</v>
      </c>
      <c r="Z26" s="15">
        <f>SUM(Financials2026[[#This Row],[2026 Opportunity]:[2026 Risk]])</f>
        <v>2432</v>
      </c>
      <c r="AA26" s="3" t="s">
        <v>540</v>
      </c>
      <c r="AB26" s="53">
        <f>Financials2026[[#This Row],[2026 Final Budget]]/12</f>
        <v>24320</v>
      </c>
      <c r="AC26" s="53">
        <f>Financials2026[[#This Row],[2026 Final Budget]]/12</f>
        <v>24320</v>
      </c>
      <c r="AD26" s="53">
        <f>Financials2026[[#This Row],[2026 Final Budget]]/12</f>
        <v>24320</v>
      </c>
      <c r="AE26" s="53">
        <f>Financials2026[[#This Row],[2026 Final Budget]]/12</f>
        <v>24320</v>
      </c>
      <c r="AF26" s="53">
        <f>Financials2026[[#This Row],[2026 Final Budget]]/12</f>
        <v>24320</v>
      </c>
      <c r="AG26" s="53">
        <f>Financials2026[[#This Row],[2026 Final Budget]]/12</f>
        <v>24320</v>
      </c>
      <c r="AH26" s="53">
        <f>Financials2026[[#This Row],[2026 Final Budget]]/12</f>
        <v>24320</v>
      </c>
      <c r="AI26" s="53">
        <f>Financials2026[[#This Row],[2026 Final Budget]]/12</f>
        <v>24320</v>
      </c>
      <c r="AJ26" s="53">
        <f>Financials2026[[#This Row],[2026 Final Budget]]/12</f>
        <v>24320</v>
      </c>
      <c r="AK26" s="53">
        <f>Financials2026[[#This Row],[2026 Final Budget]]/12</f>
        <v>24320</v>
      </c>
      <c r="AL26" s="53">
        <f>Financials2026[[#This Row],[2026 Final Budget]]/12</f>
        <v>24320</v>
      </c>
      <c r="AM26" s="53">
        <f>Financials2026[[#This Row],[2026 Final Budget]]/12</f>
        <v>24320</v>
      </c>
      <c r="AN26" s="52">
        <f>SUM(Financials2026[[#This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/>
      <c r="AT26" s="61"/>
      <c r="AU26" s="61"/>
      <c r="AV26" s="61"/>
      <c r="AW26" s="61"/>
      <c r="AX26" s="61"/>
      <c r="AY26" s="61"/>
      <c r="AZ26" s="61"/>
      <c r="BA26" s="61"/>
      <c r="BB26" s="80">
        <f>SUM(Financials2026[[#This Row],[Jan AC]:[Dec AC]])</f>
        <v>75392</v>
      </c>
      <c r="BC26" s="71">
        <f>Financials2026[[#This Row],[Jan AC]]-Financials2026[[#This Row],[Jan FC]]</f>
        <v>0</v>
      </c>
      <c r="BD26" s="71">
        <f>Financials2026[[#This Row],[Feb AC]]-Financials2026[[#This Row],[Feb FC]]</f>
        <v>0</v>
      </c>
      <c r="BE26" s="71">
        <f>Financials2026[[#This Row],[Mar AC]]-Financials2026[[#This Row],[Mar FC]]</f>
        <v>2432</v>
      </c>
      <c r="BF26" s="71">
        <f>Financials2026[[#This Row],[Apr AC]]-Financials2026[[#This Row],[Apr FC]]</f>
        <v>-24320</v>
      </c>
      <c r="BG26" s="71">
        <f>Financials2026[[#This Row],[May AC]]-Financials2026[[#This Row],[May FC]]</f>
        <v>-24320</v>
      </c>
      <c r="BH26" s="71">
        <f>Financials2026[[#This Row],[Jun AC]]-Financials2026[[#This Row],[Jun FC]]</f>
        <v>-24320</v>
      </c>
      <c r="BI26" s="71">
        <f>Financials2026[[#This Row],[Jul AC]]-Financials2026[[#This Row],[Jul FC]]</f>
        <v>-24320</v>
      </c>
      <c r="BJ26" s="71">
        <f>Financials2026[[#This Row],[Aug AC]]-Financials2026[[#This Row],[Aug FC]]</f>
        <v>-24320</v>
      </c>
      <c r="BK26" s="71">
        <f>Financials2026[[#This Row],[Sep AC]]-Financials2026[[#This Row],[Sep FC]]</f>
        <v>-24320</v>
      </c>
      <c r="BL26" s="71">
        <f>Financials2026[[#This Row],[Oct AC]]-Financials2026[[#This Row],[Oct FC]]</f>
        <v>-24320</v>
      </c>
      <c r="BM26" s="71">
        <f>Financials2026[[#This Row],[Nov AC]]-Financials2026[[#This Row],[Nov FC]]</f>
        <v>-24320</v>
      </c>
      <c r="BN26" s="71">
        <f>Financials2026[[#This Row],[Dec AC]]-Financials2026[[#This Row],[Dec FC]]</f>
        <v>-24320</v>
      </c>
      <c r="BO26" s="71">
        <f>SUM(Financials2026[[#This Row],[Jan Opp/Risk]:[Dec Opp./Risk]])</f>
        <v>-216448</v>
      </c>
      <c r="BP26" s="92" t="s">
        <v>541</v>
      </c>
      <c r="BQ26" s="47">
        <f>SUM(Financials2026[[#This Row],[Jan AC]:[Apr AC]])</f>
        <v>75392</v>
      </c>
      <c r="BS26" s="6"/>
      <c r="BT26" s="6"/>
      <c r="BU26" s="6"/>
      <c r="BV26" s="6"/>
      <c r="BW26" s="6"/>
      <c r="BX26" s="6"/>
    </row>
    <row r="27" spans="1:76" hidden="1" x14ac:dyDescent="0.35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13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14"/>
        <v>0</v>
      </c>
      <c r="Z27" s="15">
        <f>SUM(Financials2026[[#This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SUM(Financials2026[[#This Row],[Jan AC]:[Dec AC]])</f>
        <v>80950</v>
      </c>
      <c r="BC27" s="71">
        <f>Financials2026[[#This Row],[Jan AC]]-Financials2026[[#This Row],[Jan FC]]</f>
        <v>0</v>
      </c>
      <c r="BD27" s="71">
        <f>Financials2026[[#This Row],[Feb AC]]-Financials2026[[#This Row],[Feb FC]]</f>
        <v>0</v>
      </c>
      <c r="BE27" s="71">
        <f>Financials2026[[#This Row],[Mar AC]]-Financials2026[[#This Row],[Mar FC]]</f>
        <v>0</v>
      </c>
      <c r="BF27" s="71">
        <f>Financials2026[[#This Row],[Apr AC]]-Financials2026[[#This Row],[Apr FC]]</f>
        <v>0</v>
      </c>
      <c r="BG27" s="71">
        <f>Financials2026[[#This Row],[May AC]]-Financials2026[[#This Row],[May FC]]</f>
        <v>0</v>
      </c>
      <c r="BH27" s="71">
        <f>Financials2026[[#This Row],[Jun AC]]-Financials2026[[#This Row],[Jun FC]]</f>
        <v>0</v>
      </c>
      <c r="BI27" s="71">
        <f>Financials2026[[#This Row],[Jul AC]]-Financials2026[[#This Row],[Jul FC]]</f>
        <v>-5950</v>
      </c>
      <c r="BJ27" s="71">
        <f>Financials2026[[#This Row],[Aug AC]]-Financials2026[[#This Row],[Aug FC]]</f>
        <v>-5950</v>
      </c>
      <c r="BK27" s="71">
        <f>Financials2026[[#This Row],[Sep AC]]-Financials2026[[#This Row],[Sep FC]]</f>
        <v>-5950</v>
      </c>
      <c r="BL27" s="71">
        <f>Financials2026[[#This Row],[Oct AC]]-Financials2026[[#This Row],[Oct FC]]</f>
        <v>-5950</v>
      </c>
      <c r="BM27" s="71">
        <f>Financials2026[[#This Row],[Nov AC]]-Financials2026[[#This Row],[Nov FC]]</f>
        <v>-5950</v>
      </c>
      <c r="BN27" s="71">
        <f>Financials2026[[#This Row],[Dec AC]]-Financials2026[[#This Row],[Dec FC]]</f>
        <v>-5950</v>
      </c>
      <c r="BO27" s="71">
        <f>SUM(Financials2026[[#This Row],[Jan Opp/Risk]:[Dec Opp./Risk]])</f>
        <v>-35700</v>
      </c>
      <c r="BP27" s="90" t="s">
        <v>534</v>
      </c>
      <c r="BQ27" s="47">
        <f>SUM(Financials2026[[#This Row],[Jan AC]:[Apr AC]])</f>
        <v>60000</v>
      </c>
      <c r="BS27" s="6"/>
      <c r="BT27" s="6"/>
      <c r="BU27" s="6"/>
      <c r="BV27" s="6"/>
      <c r="BW27" s="6"/>
      <c r="BX27" s="6"/>
    </row>
    <row r="28" spans="1:76" ht="72.5" x14ac:dyDescent="0.35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13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14"/>
        <v>247000</v>
      </c>
      <c r="Z28" s="15">
        <f>SUM(Financials2026[[#This Row],[2026 Opportunity]:[2026 Risk]])</f>
        <v>247000</v>
      </c>
      <c r="AA28" s="11" t="s">
        <v>196</v>
      </c>
      <c r="AB28" s="52">
        <f>Financials2026[[#This Row],[2026 Final Budget]]/12</f>
        <v>28750</v>
      </c>
      <c r="AC28" s="52">
        <f>Financials2026[[#This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SUM(Financials2026[[#This Row],[Jan AC]:[Dec AC]])</f>
        <v>154000</v>
      </c>
      <c r="BC28" s="71">
        <f>Financials2026[[#This Row],[Jan AC]]-Financials2026[[#This Row],[Jan FC]]</f>
        <v>0</v>
      </c>
      <c r="BD28" s="71">
        <f>Financials2026[[#This Row],[Feb AC]]-Financials2026[[#This Row],[Feb FC]]</f>
        <v>0</v>
      </c>
      <c r="BE28" s="71">
        <f>Financials2026[[#This Row],[Mar AC]]-Financials2026[[#This Row],[Mar FC]]</f>
        <v>0</v>
      </c>
      <c r="BF28" s="71">
        <f>Financials2026[[#This Row],[Apr AC]]-Financials2026[[#This Row],[Apr FC]]</f>
        <v>0</v>
      </c>
      <c r="BG28" s="71">
        <f>Financials2026[[#This Row],[May AC]]-Financials2026[[#This Row],[May FC]]</f>
        <v>-54750</v>
      </c>
      <c r="BH28" s="71">
        <f>Financials2026[[#This Row],[Jun AC]]-Financials2026[[#This Row],[Jun FC]]</f>
        <v>-54750</v>
      </c>
      <c r="BI28" s="71">
        <f>Financials2026[[#This Row],[Jul AC]]-Financials2026[[#This Row],[Jul FC]]</f>
        <v>-54750</v>
      </c>
      <c r="BJ28" s="71">
        <f>Financials2026[[#This Row],[Aug AC]]-Financials2026[[#This Row],[Aug FC]]</f>
        <v>-54750</v>
      </c>
      <c r="BK28" s="71">
        <f>Financials2026[[#This Row],[Sep AC]]-Financials2026[[#This Row],[Sep FC]]</f>
        <v>-54750</v>
      </c>
      <c r="BL28" s="71">
        <f>Financials2026[[#This Row],[Oct AC]]-Financials2026[[#This Row],[Oct FC]]</f>
        <v>-54750</v>
      </c>
      <c r="BM28" s="71">
        <f>Financials2026[[#This Row],[Nov AC]]-Financials2026[[#This Row],[Nov FC]]</f>
        <v>-54750</v>
      </c>
      <c r="BN28" s="71">
        <f>Financials2026[[#This Row],[Dec AC]]-Financials2026[[#This Row],[Dec FC]]</f>
        <v>-54750</v>
      </c>
      <c r="BO28" s="71">
        <f>SUM(Financials2026[[#This Row],[Jan Opp/Risk]:[Dec Opp./Risk]])</f>
        <v>-438000</v>
      </c>
      <c r="BP28" s="90" t="s">
        <v>544</v>
      </c>
      <c r="BQ28" s="47">
        <f>SUM(Financials2026[[#This Row],[Jan AC]:[Apr AC]])</f>
        <v>154000</v>
      </c>
      <c r="BS28" s="6"/>
      <c r="BT28" s="6"/>
      <c r="BU28" s="6"/>
      <c r="BV28" s="6"/>
      <c r="BW28" s="6"/>
      <c r="BX28" s="6"/>
    </row>
    <row r="29" spans="1:76" x14ac:dyDescent="0.35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13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14"/>
        <v>155563.91999999993</v>
      </c>
      <c r="Z29" s="15">
        <f>SUM(Financials2026[[#This Row],[2026 Opportunity]:[2026 Risk]])</f>
        <v>155563.91999999993</v>
      </c>
      <c r="AA29" s="3" t="s">
        <v>197</v>
      </c>
      <c r="AB29" s="52">
        <f>Financials2026[[#This Row],[2026 Final Budget]]/12</f>
        <v>33600</v>
      </c>
      <c r="AC29" s="52">
        <f>Financials2026[[#This Row],[2026 Final Budget]]/12</f>
        <v>33600</v>
      </c>
      <c r="AD29" s="52">
        <f>Financials2026[[#This Row],[2026 Final Budget]]/12</f>
        <v>33600</v>
      </c>
      <c r="AE29" s="52">
        <f>Financials2026[[#This Row],[2026 Final Budget]]/12</f>
        <v>33600</v>
      </c>
      <c r="AF29" s="52">
        <f>Financials2026[[#This Row],[2026 Final Budget]]/12</f>
        <v>33600</v>
      </c>
      <c r="AG29" s="52">
        <f>Financials2026[[#This Row],[2026 Final Budget]]/12</f>
        <v>33600</v>
      </c>
      <c r="AH29" s="52">
        <f>Financials2026[[#This Row],[2026 Final Budget]]/12</f>
        <v>33600</v>
      </c>
      <c r="AI29" s="52">
        <f>Financials2026[[#This Row],[2026 Final Budget]]/12</f>
        <v>33600</v>
      </c>
      <c r="AJ29" s="52">
        <f>Financials2026[[#This Row],[2026 Final Budget]]/12</f>
        <v>33600</v>
      </c>
      <c r="AK29" s="52">
        <f>Financials2026[[#This Row],[2026 Final Budget]]/12</f>
        <v>33600</v>
      </c>
      <c r="AL29" s="52">
        <f>Financials2026[[#This Row],[2026 Final Budget]]/12</f>
        <v>33600</v>
      </c>
      <c r="AM29" s="52">
        <f>Financials2026[[#This Row],[2026 Final Budget]]/12</f>
        <v>33600</v>
      </c>
      <c r="AN29" s="52">
        <f>SUM(Financials2026[[#This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SUM(Financials2026[[#This Row],[Jan AC]:[Dec AC]])</f>
        <v>323563.92</v>
      </c>
      <c r="BC29" s="71">
        <f>Financials2026[[#This Row],[Jan AC]]-Financials2026[[#This Row],[Jan FC]]</f>
        <v>23360.559999999998</v>
      </c>
      <c r="BD29" s="71">
        <f>Financials2026[[#This Row],[Feb AC]]-Financials2026[[#This Row],[Feb FC]]</f>
        <v>55922.8</v>
      </c>
      <c r="BE29" s="71">
        <f>Financials2026[[#This Row],[Mar AC]]-Financials2026[[#This Row],[Mar FC]]</f>
        <v>72920.559999999983</v>
      </c>
      <c r="BF29" s="71">
        <f>Financials2026[[#This Row],[Apr AC]]-Financials2026[[#This Row],[Apr FC]]</f>
        <v>3360</v>
      </c>
      <c r="BG29" s="71">
        <f>Financials2026[[#This Row],[May AC]]-Financials2026[[#This Row],[May FC]]</f>
        <v>0</v>
      </c>
      <c r="BH29" s="71">
        <f>Financials2026[[#This Row],[Jun AC]]-Financials2026[[#This Row],[Jun FC]]</f>
        <v>-33600</v>
      </c>
      <c r="BI29" s="71">
        <f>Financials2026[[#This Row],[Jul AC]]-Financials2026[[#This Row],[Jul FC]]</f>
        <v>-33600</v>
      </c>
      <c r="BJ29" s="71">
        <f>Financials2026[[#This Row],[Aug AC]]-Financials2026[[#This Row],[Aug FC]]</f>
        <v>-33600</v>
      </c>
      <c r="BK29" s="71">
        <f>Financials2026[[#This Row],[Sep AC]]-Financials2026[[#This Row],[Sep FC]]</f>
        <v>-33600</v>
      </c>
      <c r="BL29" s="71">
        <f>Financials2026[[#This Row],[Oct AC]]-Financials2026[[#This Row],[Oct FC]]</f>
        <v>-33600</v>
      </c>
      <c r="BM29" s="71">
        <f>Financials2026[[#This Row],[Nov AC]]-Financials2026[[#This Row],[Nov FC]]</f>
        <v>-33600</v>
      </c>
      <c r="BN29" s="71">
        <f>Financials2026[[#This Row],[Dec AC]]-Financials2026[[#This Row],[Dec FC]]</f>
        <v>-33600</v>
      </c>
      <c r="BO29" s="71">
        <f>SUM(Financials2026[[#This Row],[Jan Opp/Risk]:[Dec Opp./Risk]])</f>
        <v>-79636.080000000016</v>
      </c>
      <c r="BP29" s="92" t="s">
        <v>541</v>
      </c>
      <c r="BQ29" s="47">
        <f>SUM(Financials2026[[#This Row],[Jan AC]:[Apr AC]])</f>
        <v>289963.92</v>
      </c>
      <c r="BS29" s="6"/>
      <c r="BT29" s="6"/>
      <c r="BU29" s="6"/>
      <c r="BV29" s="6"/>
      <c r="BW29" s="6"/>
      <c r="BX29" s="6"/>
    </row>
    <row r="30" spans="1:76" x14ac:dyDescent="0.35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ref="K30:K32" si="24">D30 &amp; "-" &amp;E30</f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ref="X30:X32" si="25">IF(V30 &gt;= W30, V30 - W30, 0)*-1</f>
        <v>-7350</v>
      </c>
      <c r="Y30" s="15">
        <f t="shared" ref="Y30:Y32" si="26">IF(W30 &gt; V30, W30 - V30, 0)</f>
        <v>0</v>
      </c>
      <c r="Z30" s="15">
        <f>SUM(Financials2026[[#This Row],[2026 Opportunity]:[2026 Risk]])</f>
        <v>-7350</v>
      </c>
      <c r="AA30" s="3" t="s">
        <v>197</v>
      </c>
      <c r="AB30" s="52">
        <f>Financials2026[[#This Row],[2026 Final Budget]]/12</f>
        <v>21000</v>
      </c>
      <c r="AC30" s="52">
        <f>Financials2026[[#This Row],[2026 Final Budget]]/12</f>
        <v>21000</v>
      </c>
      <c r="AD30" s="52">
        <f>Financials2026[[#This Row],[2026 Final Budget]]/12</f>
        <v>21000</v>
      </c>
      <c r="AE30" s="52">
        <f>Financials2026[[#This Row],[2026 Final Budget]]/12</f>
        <v>21000</v>
      </c>
      <c r="AF30" s="52">
        <f>Financials2026[[#This Row],[2026 Final Budget]]/12</f>
        <v>21000</v>
      </c>
      <c r="AG30" s="52">
        <f>Financials2026[[#This Row],[2026 Final Budget]]/12</f>
        <v>21000</v>
      </c>
      <c r="AH30" s="52">
        <f>Financials2026[[#This Row],[2026 Final Budget]]/12</f>
        <v>21000</v>
      </c>
      <c r="AI30" s="52">
        <f>Financials2026[[#This Row],[2026 Final Budget]]/12</f>
        <v>21000</v>
      </c>
      <c r="AJ30" s="52">
        <f>Financials2026[[#This Row],[2026 Final Budget]]/12</f>
        <v>21000</v>
      </c>
      <c r="AK30" s="52">
        <f>Financials2026[[#This Row],[2026 Final Budget]]/12</f>
        <v>21000</v>
      </c>
      <c r="AL30" s="52">
        <f>Financials2026[[#This Row],[2026 Final Budget]]/12</f>
        <v>21000</v>
      </c>
      <c r="AM30" s="52">
        <f>Financials2026[[#This Row],[2026 Final Budget]]/12</f>
        <v>21000</v>
      </c>
      <c r="AN30" s="52">
        <f>SUM(Financials2026[[#This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SUM(Financials2026[[#This Row],[Jan AC]:[Dec AC]])</f>
        <v>97650</v>
      </c>
      <c r="BC30" s="71">
        <f>Financials2026[[#This Row],[Jan AC]]-Financials2026[[#This Row],[Jan FC]]</f>
        <v>0</v>
      </c>
      <c r="BD30" s="71">
        <f>Financials2026[[#This Row],[Feb AC]]-Financials2026[[#This Row],[Feb FC]]</f>
        <v>-1050</v>
      </c>
      <c r="BE30" s="71">
        <f>Financials2026[[#This Row],[Mar AC]]-Financials2026[[#This Row],[Mar FC]]</f>
        <v>2100</v>
      </c>
      <c r="BF30" s="71">
        <f>Financials2026[[#This Row],[Apr AC]]-Financials2026[[#This Row],[Apr FC]]</f>
        <v>-3150</v>
      </c>
      <c r="BG30" s="71">
        <f>Financials2026[[#This Row],[May AC]]-Financials2026[[#This Row],[May FC]]</f>
        <v>-5250</v>
      </c>
      <c r="BH30" s="71">
        <f>Financials2026[[#This Row],[Jun AC]]-Financials2026[[#This Row],[Jun FC]]</f>
        <v>-21000</v>
      </c>
      <c r="BI30" s="71">
        <f>Financials2026[[#This Row],[Jul AC]]-Financials2026[[#This Row],[Jul FC]]</f>
        <v>-21000</v>
      </c>
      <c r="BJ30" s="71">
        <f>Financials2026[[#This Row],[Aug AC]]-Financials2026[[#This Row],[Aug FC]]</f>
        <v>-21000</v>
      </c>
      <c r="BK30" s="71">
        <f>Financials2026[[#This Row],[Sep AC]]-Financials2026[[#This Row],[Sep FC]]</f>
        <v>-21000</v>
      </c>
      <c r="BL30" s="71">
        <f>Financials2026[[#This Row],[Oct AC]]-Financials2026[[#This Row],[Oct FC]]</f>
        <v>-21000</v>
      </c>
      <c r="BM30" s="71">
        <f>Financials2026[[#This Row],[Nov AC]]-Financials2026[[#This Row],[Nov FC]]</f>
        <v>-21000</v>
      </c>
      <c r="BN30" s="71">
        <f>Financials2026[[#This Row],[Dec AC]]-Financials2026[[#This Row],[Dec FC]]</f>
        <v>-21000</v>
      </c>
      <c r="BO30" s="71">
        <f>SUM(Financials2026[[#This Row],[Jan Opp/Risk]:[Dec Opp./Risk]])</f>
        <v>-154350</v>
      </c>
      <c r="BP30" s="92" t="s">
        <v>541</v>
      </c>
      <c r="BQ30" s="47">
        <f>SUM(Financials2026[[#This Row],[Jan AC]:[Apr AC]])</f>
        <v>81900</v>
      </c>
      <c r="BS30" s="6"/>
      <c r="BT30" s="6"/>
      <c r="BU30" s="6"/>
      <c r="BV30" s="6"/>
      <c r="BW30" s="6"/>
      <c r="BX30" s="6"/>
    </row>
    <row r="31" spans="1:76" x14ac:dyDescent="0.35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24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294640</v>
      </c>
      <c r="X31" s="15">
        <f t="shared" si="25"/>
        <v>-305360</v>
      </c>
      <c r="Y31" s="15">
        <f t="shared" si="26"/>
        <v>0</v>
      </c>
      <c r="Z31" s="15">
        <f>SUM(Financials2026[[#This Row],[2026 Opportunity]:[2026 Risk]])</f>
        <v>-305360</v>
      </c>
      <c r="AA31" s="3" t="s">
        <v>197</v>
      </c>
      <c r="AB31" s="52">
        <f>Financials2026[[#This Row],[2026 Final Budget]]/12</f>
        <v>50000</v>
      </c>
      <c r="AC31" s="52">
        <f>50000-26000</f>
        <v>24000</v>
      </c>
      <c r="AD31" s="52">
        <f t="shared" ref="AD31:AE31" si="27">50000-26000</f>
        <v>24000</v>
      </c>
      <c r="AE31" s="52">
        <f t="shared" si="27"/>
        <v>24000</v>
      </c>
      <c r="AF31" s="52">
        <f>50000-26000</f>
        <v>24000</v>
      </c>
      <c r="AG31" s="52">
        <f>50000-26000</f>
        <v>24000</v>
      </c>
      <c r="AH31" s="52">
        <f t="shared" ref="AH31:AM31" si="28">50000-26000</f>
        <v>24000</v>
      </c>
      <c r="AI31" s="52">
        <f t="shared" si="28"/>
        <v>24000</v>
      </c>
      <c r="AJ31" s="52">
        <f t="shared" si="28"/>
        <v>24000</v>
      </c>
      <c r="AK31" s="52">
        <f t="shared" si="28"/>
        <v>24000</v>
      </c>
      <c r="AL31" s="52">
        <f t="shared" si="28"/>
        <v>24000</v>
      </c>
      <c r="AM31" s="52">
        <f t="shared" si="28"/>
        <v>24000</v>
      </c>
      <c r="AN31" s="52">
        <f>SUM(Financials2026[[#This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SUM(Financials2026[[#This Row],[Jan AC]:[Dec AC]])</f>
        <v>126640</v>
      </c>
      <c r="BC31" s="71">
        <f>Financials2026[[#This Row],[Jan AC]]-Financials2026[[#This Row],[Jan FC]]</f>
        <v>-5200</v>
      </c>
      <c r="BD31" s="71">
        <f>Financials2026[[#This Row],[Feb AC]]-Financials2026[[#This Row],[Feb FC]]</f>
        <v>-1200</v>
      </c>
      <c r="BE31" s="71">
        <f>Financials2026[[#This Row],[Mar AC]]-Financials2026[[#This Row],[Mar FC]]</f>
        <v>-24000</v>
      </c>
      <c r="BF31" s="71">
        <f>Financials2026[[#This Row],[Apr AC]]-Financials2026[[#This Row],[Apr FC]]</f>
        <v>2400</v>
      </c>
      <c r="BG31" s="71">
        <f>Financials2026[[#This Row],[May AC]]-Financials2026[[#This Row],[May FC]]</f>
        <v>8640</v>
      </c>
      <c r="BH31" s="71">
        <f>Financials2026[[#This Row],[Jun AC]]-Financials2026[[#This Row],[Jun FC]]</f>
        <v>-24000</v>
      </c>
      <c r="BI31" s="71">
        <f>Financials2026[[#This Row],[Jul AC]]-Financials2026[[#This Row],[Jul FC]]</f>
        <v>-24000</v>
      </c>
      <c r="BJ31" s="71">
        <f>Financials2026[[#This Row],[Aug AC]]-Financials2026[[#This Row],[Aug FC]]</f>
        <v>-24000</v>
      </c>
      <c r="BK31" s="71">
        <f>Financials2026[[#This Row],[Sep AC]]-Financials2026[[#This Row],[Sep FC]]</f>
        <v>-24000</v>
      </c>
      <c r="BL31" s="71">
        <f>Financials2026[[#This Row],[Oct AC]]-Financials2026[[#This Row],[Oct FC]]</f>
        <v>-24000</v>
      </c>
      <c r="BM31" s="71">
        <f>Financials2026[[#This Row],[Nov AC]]-Financials2026[[#This Row],[Nov FC]]</f>
        <v>-24000</v>
      </c>
      <c r="BN31" s="71">
        <f>Financials2026[[#This Row],[Dec AC]]-Financials2026[[#This Row],[Dec FC]]</f>
        <v>-24000</v>
      </c>
      <c r="BO31" s="71">
        <f>SUM(Financials2026[[#This Row],[Jan Opp/Risk]:[Dec Opp./Risk]])</f>
        <v>-187360</v>
      </c>
      <c r="BP31" s="92" t="s">
        <v>889</v>
      </c>
      <c r="BQ31" s="47">
        <f>SUM(Financials2026[[#This Row],[Jan AC]:[Apr AC]])</f>
        <v>94000</v>
      </c>
      <c r="BS31" s="6"/>
      <c r="BT31" s="6"/>
      <c r="BU31" s="6"/>
      <c r="BV31" s="6"/>
      <c r="BW31" s="6"/>
      <c r="BX31" s="6"/>
    </row>
    <row r="32" spans="1:76" x14ac:dyDescent="0.35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24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25"/>
        <v>-77104</v>
      </c>
      <c r="Y32" s="15">
        <f t="shared" si="26"/>
        <v>0</v>
      </c>
      <c r="Z32" s="15">
        <f>SUM(Financials2026[[#This Row],[2026 Opportunity]:[2026 Risk]])</f>
        <v>-77104</v>
      </c>
      <c r="AA32" s="3" t="s">
        <v>197</v>
      </c>
      <c r="AB32" s="52">
        <f>Financials2026[[#This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29">13440-8000</f>
        <v>5440</v>
      </c>
      <c r="AG32" s="52">
        <f t="shared" si="29"/>
        <v>5440</v>
      </c>
      <c r="AH32" s="52">
        <f t="shared" si="29"/>
        <v>5440</v>
      </c>
      <c r="AI32" s="52">
        <f t="shared" si="29"/>
        <v>5440</v>
      </c>
      <c r="AJ32" s="52">
        <f t="shared" si="29"/>
        <v>5440</v>
      </c>
      <c r="AK32" s="52">
        <f t="shared" si="29"/>
        <v>5440</v>
      </c>
      <c r="AL32" s="52">
        <f t="shared" si="29"/>
        <v>5440</v>
      </c>
      <c r="AM32" s="52">
        <f t="shared" si="29"/>
        <v>5440</v>
      </c>
      <c r="AN32" s="52">
        <f>SUM(Financials2026[[#This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SUM(Financials2026[[#This Row],[Jan AC]:[Dec AC]])</f>
        <v>46096</v>
      </c>
      <c r="BC32" s="71">
        <f>Financials2026[[#This Row],[Jan AC]]-Financials2026[[#This Row],[Jan FC]]</f>
        <v>-2288</v>
      </c>
      <c r="BD32" s="71">
        <f>Financials2026[[#This Row],[Feb AC]]-Financials2026[[#This Row],[Feb FC]]</f>
        <v>-2144</v>
      </c>
      <c r="BE32" s="71">
        <f>Financials2026[[#This Row],[Mar AC]]-Financials2026[[#This Row],[Mar FC]]</f>
        <v>144</v>
      </c>
      <c r="BF32" s="71">
        <f>Financials2026[[#This Row],[Apr AC]]-Financials2026[[#This Row],[Apr FC]]</f>
        <v>-816</v>
      </c>
      <c r="BG32" s="71">
        <f>Financials2026[[#This Row],[May AC]]-Financials2026[[#This Row],[May FC]]</f>
        <v>0</v>
      </c>
      <c r="BH32" s="71">
        <f>Financials2026[[#This Row],[Jun AC]]-Financials2026[[#This Row],[Jun FC]]</f>
        <v>-5440</v>
      </c>
      <c r="BI32" s="71">
        <f>Financials2026[[#This Row],[Jul AC]]-Financials2026[[#This Row],[Jul FC]]</f>
        <v>-5440</v>
      </c>
      <c r="BJ32" s="71">
        <f>Financials2026[[#This Row],[Aug AC]]-Financials2026[[#This Row],[Aug FC]]</f>
        <v>-5440</v>
      </c>
      <c r="BK32" s="71">
        <f>Financials2026[[#This Row],[Sep AC]]-Financials2026[[#This Row],[Sep FC]]</f>
        <v>-5440</v>
      </c>
      <c r="BL32" s="71">
        <f>Financials2026[[#This Row],[Oct AC]]-Financials2026[[#This Row],[Oct FC]]</f>
        <v>-5440</v>
      </c>
      <c r="BM32" s="71">
        <f>Financials2026[[#This Row],[Nov AC]]-Financials2026[[#This Row],[Nov FC]]</f>
        <v>-5440</v>
      </c>
      <c r="BN32" s="71">
        <f>Financials2026[[#This Row],[Dec AC]]-Financials2026[[#This Row],[Dec FC]]</f>
        <v>-5440</v>
      </c>
      <c r="BO32" s="71">
        <f>SUM(Financials2026[[#This Row],[Jan Opp/Risk]:[Dec Opp./Risk]])</f>
        <v>-43184</v>
      </c>
      <c r="BP32" s="92" t="s">
        <v>539</v>
      </c>
      <c r="BQ32" s="47">
        <f>SUM(Financials2026[[#This Row],[Jan AC]:[Apr AC]])</f>
        <v>40656</v>
      </c>
      <c r="BS32" s="6"/>
      <c r="BT32" s="6"/>
      <c r="BU32" s="6"/>
      <c r="BV32" s="6"/>
      <c r="BW32" s="6"/>
      <c r="BX32" s="6"/>
    </row>
    <row r="33" spans="1:76" x14ac:dyDescent="0.35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ref="K33" si="30">D33 &amp; "-" &amp;E33</f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ref="X33" si="31">IF(V33 &gt;= W33, V33 - W33, 0)*-1</f>
        <v>0</v>
      </c>
      <c r="Y33" s="15">
        <f t="shared" ref="Y33" si="32">IF(W33 &gt; V33, W33 - V33, 0)</f>
        <v>0</v>
      </c>
      <c r="Z33" s="15">
        <f>SUM(Financials2026[[#This Row],[2026 Opportunity]:[2026 Risk]])</f>
        <v>0</v>
      </c>
      <c r="AA33" s="3" t="s">
        <v>898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SUM(Financials2026[[#This Row],[Jan AC]:[Dec AC]])</f>
        <v>0</v>
      </c>
      <c r="BC33" s="71">
        <f>Financials2026[[#This Row],[Jan AC]]-Financials2026[[#This Row],[Jan FC]]</f>
        <v>0</v>
      </c>
      <c r="BD33" s="71">
        <f>Financials2026[[#This Row],[Feb AC]]-Financials2026[[#This Row],[Feb FC]]</f>
        <v>0</v>
      </c>
      <c r="BE33" s="71">
        <f>Financials2026[[#This Row],[Mar AC]]-Financials2026[[#This Row],[Mar FC]]</f>
        <v>0</v>
      </c>
      <c r="BF33" s="71">
        <f>Financials2026[[#This Row],[Apr AC]]-Financials2026[[#This Row],[Apr FC]]</f>
        <v>0</v>
      </c>
      <c r="BG33" s="71">
        <f>Financials2026[[#This Row],[May AC]]-Financials2026[[#This Row],[May FC]]</f>
        <v>-15360</v>
      </c>
      <c r="BH33" s="71">
        <f>Financials2026[[#This Row],[Jun AC]]-Financials2026[[#This Row],[Jun FC]]</f>
        <v>-30720</v>
      </c>
      <c r="BI33" s="71">
        <f>Financials2026[[#This Row],[Jul AC]]-Financials2026[[#This Row],[Jul FC]]</f>
        <v>-30720</v>
      </c>
      <c r="BJ33" s="71">
        <f>Financials2026[[#This Row],[Aug AC]]-Financials2026[[#This Row],[Aug FC]]</f>
        <v>-30720</v>
      </c>
      <c r="BK33" s="71">
        <f>Financials2026[[#This Row],[Sep AC]]-Financials2026[[#This Row],[Sep FC]]</f>
        <v>-30720</v>
      </c>
      <c r="BL33" s="71">
        <f>Financials2026[[#This Row],[Oct AC]]-Financials2026[[#This Row],[Oct FC]]</f>
        <v>-30720</v>
      </c>
      <c r="BM33" s="71">
        <f>Financials2026[[#This Row],[Nov AC]]-Financials2026[[#This Row],[Nov FC]]</f>
        <v>-30720</v>
      </c>
      <c r="BN33" s="71">
        <f>Financials2026[[#This Row],[Dec AC]]-Financials2026[[#This Row],[Dec FC]]</f>
        <v>-30720</v>
      </c>
      <c r="BO33" s="71">
        <f>SUM(Financials2026[[#This Row],[Jan Opp/Risk]:[Dec Opp./Risk]])</f>
        <v>-230400</v>
      </c>
      <c r="BP33" s="92" t="s">
        <v>877</v>
      </c>
      <c r="BQ33" s="47">
        <f>SUM(Financials2026[[#This Row],[Jan AC]:[Apr AC]])</f>
        <v>0</v>
      </c>
      <c r="BS33" s="6"/>
      <c r="BT33" s="6"/>
      <c r="BU33" s="6"/>
      <c r="BV33" s="6"/>
      <c r="BW33" s="6"/>
      <c r="BX33" s="6"/>
    </row>
    <row r="34" spans="1:76" hidden="1" x14ac:dyDescent="0.35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13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ref="W34:W65" si="33">AO34+IF(ISBLANK(AP34),AB34,AP34)+IF(ISBLANK(AQ34),AC34,AQ34)+IF(ISBLANK(AR34),AD34,AR34)+IF(ISBLANK(AS34),AE34,AS34)+IF(ISBLANK(AT34),AF34,AT34)</f>
        <v>1141852.6399999999</v>
      </c>
      <c r="X34" s="15">
        <f t="shared" si="7"/>
        <v>0</v>
      </c>
      <c r="Y34" s="15">
        <f t="shared" si="14"/>
        <v>50308.707500000019</v>
      </c>
      <c r="Z34" s="15">
        <f>SUM(Financials2026[[#This Row],[2026 Opportunity]:[2026 Risk]])</f>
        <v>50308.707500000019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v>208501</v>
      </c>
      <c r="AL34" s="52"/>
      <c r="AM34" s="52"/>
      <c r="AN34" s="52">
        <f>SUM(Financials2026[[#This Row],[Jan FC]:[Dec FC]])</f>
        <v>1091543.6400000001</v>
      </c>
      <c r="AO34" s="15">
        <f t="shared" si="5"/>
        <v>515641.29666666669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SUM(Financials2026[[#This Row],[Jan AC]:[Dec AC]])</f>
        <v>724850.64000000013</v>
      </c>
      <c r="BC34" s="71">
        <f>Financials2026[[#This Row],[Jan AC]]-Financials2026[[#This Row],[Jan FC]]</f>
        <v>0</v>
      </c>
      <c r="BD34" s="71">
        <f>Financials2026[[#This Row],[Feb AC]]-Financials2026[[#This Row],[Feb FC]]</f>
        <v>0</v>
      </c>
      <c r="BE34" s="71">
        <f>Financials2026[[#This Row],[Mar AC]]-Financials2026[[#This Row],[Mar FC]]</f>
        <v>0</v>
      </c>
      <c r="BF34" s="71">
        <f>Financials2026[[#This Row],[Apr AC]]-Financials2026[[#This Row],[Apr FC]]</f>
        <v>0</v>
      </c>
      <c r="BG34" s="71">
        <f>Financials2026[[#This Row],[May AC]]-Financials2026[[#This Row],[May FC]]</f>
        <v>50309.000000000015</v>
      </c>
      <c r="BH34" s="71">
        <f>Financials2026[[#This Row],[Jun AC]]-Financials2026[[#This Row],[Jun FC]]</f>
        <v>0</v>
      </c>
      <c r="BI34" s="71">
        <f>Financials2026[[#This Row],[Jul AC]]-Financials2026[[#This Row],[Jul FC]]</f>
        <v>-208501</v>
      </c>
      <c r="BJ34" s="71">
        <f>Financials2026[[#This Row],[Aug AC]]-Financials2026[[#This Row],[Aug FC]]</f>
        <v>0</v>
      </c>
      <c r="BK34" s="71">
        <f>Financials2026[[#This Row],[Sep AC]]-Financials2026[[#This Row],[Sep FC]]</f>
        <v>0</v>
      </c>
      <c r="BL34" s="71">
        <f>Financials2026[[#This Row],[Oct AC]]-Financials2026[[#This Row],[Oct FC]]</f>
        <v>-208501</v>
      </c>
      <c r="BM34" s="71">
        <f>Financials2026[[#This Row],[Nov AC]]-Financials2026[[#This Row],[Nov FC]]</f>
        <v>0</v>
      </c>
      <c r="BN34" s="71">
        <f>Financials2026[[#This Row],[Dec AC]]-Financials2026[[#This Row],[Dec FC]]</f>
        <v>0</v>
      </c>
      <c r="BO34" s="71">
        <f>SUM(Financials2026[[#This Row],[Jan Opp/Risk]:[Dec Opp./Risk]])</f>
        <v>-366693</v>
      </c>
      <c r="BP34" s="90" t="s">
        <v>841</v>
      </c>
      <c r="BQ34" s="47">
        <f>SUM(Financials2026[[#This Row],[Jan AC]:[Apr AC]])</f>
        <v>477263.04666666675</v>
      </c>
      <c r="BS34" s="6"/>
      <c r="BT34" s="6"/>
      <c r="BU34" s="6"/>
      <c r="BV34" s="6"/>
      <c r="BW34" s="6"/>
      <c r="BX34" s="6"/>
    </row>
    <row r="35" spans="1:76" hidden="1" x14ac:dyDescent="0.35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13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33"/>
        <v>4073475.3699999992</v>
      </c>
      <c r="X35" s="15">
        <f t="shared" si="7"/>
        <v>0</v>
      </c>
      <c r="Y35" s="15">
        <f t="shared" si="14"/>
        <v>456079.36999999918</v>
      </c>
      <c r="Z35" s="15">
        <f>SUM(Financials2026[[#This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34">4005319.56/12</f>
        <v>333776.63</v>
      </c>
      <c r="AR35" s="61">
        <f t="shared" si="34"/>
        <v>333776.63</v>
      </c>
      <c r="AS35" s="61">
        <f t="shared" si="34"/>
        <v>333776.63</v>
      </c>
      <c r="AT35" s="61">
        <f t="shared" si="34"/>
        <v>333776.63</v>
      </c>
      <c r="AU35" s="61">
        <f t="shared" si="34"/>
        <v>333776.63</v>
      </c>
      <c r="AV35" s="61">
        <f t="shared" si="34"/>
        <v>333776.63</v>
      </c>
      <c r="AW35" s="61">
        <f t="shared" si="34"/>
        <v>333776.63</v>
      </c>
      <c r="AX35" s="61">
        <f t="shared" si="34"/>
        <v>333776.63</v>
      </c>
      <c r="AY35" s="61">
        <f t="shared" si="34"/>
        <v>333776.63</v>
      </c>
      <c r="AZ35" s="61">
        <f t="shared" si="34"/>
        <v>333776.63</v>
      </c>
      <c r="BA35" s="61">
        <f t="shared" si="34"/>
        <v>333776.63</v>
      </c>
      <c r="BB35" s="80">
        <f>SUM(Financials2026[[#This Row],[Jan AC]:[Dec AC]])</f>
        <v>4073475.3699999992</v>
      </c>
      <c r="BC35" s="71">
        <f>Financials2026[[#This Row],[Jan AC]]-Financials2026[[#This Row],[Jan FC]]</f>
        <v>68155.81</v>
      </c>
      <c r="BD35" s="71">
        <f>Financials2026[[#This Row],[Feb AC]]-Financials2026[[#This Row],[Feb FC]]</f>
        <v>0</v>
      </c>
      <c r="BE35" s="71">
        <f>Financials2026[[#This Row],[Mar AC]]-Financials2026[[#This Row],[Mar FC]]</f>
        <v>0</v>
      </c>
      <c r="BF35" s="71">
        <f>Financials2026[[#This Row],[Apr AC]]-Financials2026[[#This Row],[Apr FC]]</f>
        <v>0</v>
      </c>
      <c r="BG35" s="71">
        <f>Financials2026[[#This Row],[May AC]]-Financials2026[[#This Row],[May FC]]</f>
        <v>0</v>
      </c>
      <c r="BH35" s="71">
        <f>Financials2026[[#This Row],[Jun AC]]-Financials2026[[#This Row],[Jun FC]]</f>
        <v>0</v>
      </c>
      <c r="BI35" s="71">
        <f>Financials2026[[#This Row],[Jul AC]]-Financials2026[[#This Row],[Jul FC]]</f>
        <v>0</v>
      </c>
      <c r="BJ35" s="71">
        <f>Financials2026[[#This Row],[Aug AC]]-Financials2026[[#This Row],[Aug FC]]</f>
        <v>0</v>
      </c>
      <c r="BK35" s="71">
        <f>Financials2026[[#This Row],[Sep AC]]-Financials2026[[#This Row],[Sep FC]]</f>
        <v>0</v>
      </c>
      <c r="BL35" s="71">
        <f>Financials2026[[#This Row],[Oct AC]]-Financials2026[[#This Row],[Oct FC]]</f>
        <v>0</v>
      </c>
      <c r="BM35" s="71">
        <f>Financials2026[[#This Row],[Nov AC]]-Financials2026[[#This Row],[Nov FC]]</f>
        <v>0</v>
      </c>
      <c r="BN35" s="71">
        <f>Financials2026[[#This Row],[Dec AC]]-Financials2026[[#This Row],[Dec FC]]</f>
        <v>0</v>
      </c>
      <c r="BO35" s="71">
        <f>SUM(Financials2026[[#This Row],[Jan Opp/Risk]:[Dec Opp./Risk]])</f>
        <v>68155.81</v>
      </c>
      <c r="BP35" s="90" t="s">
        <v>546</v>
      </c>
      <c r="BQ35" s="47">
        <f>SUM(Financials2026[[#This Row],[Jan AC]:[Apr AC]])</f>
        <v>1403262.33</v>
      </c>
      <c r="BS35" s="6"/>
      <c r="BT35" s="6"/>
      <c r="BU35" s="6"/>
      <c r="BV35" s="6"/>
      <c r="BW35" s="6"/>
      <c r="BX35" s="6"/>
    </row>
    <row r="36" spans="1:76" hidden="1" x14ac:dyDescent="0.35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13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33"/>
        <v>835409.9</v>
      </c>
      <c r="X36" s="15">
        <f t="shared" si="7"/>
        <v>-215775.62164999999</v>
      </c>
      <c r="Y36" s="15">
        <f t="shared" si="14"/>
        <v>0</v>
      </c>
      <c r="Z36" s="15">
        <f>SUM(Financials2026[[#This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SUM(Financials2026[[#This Row],[Jan AC]:[Dec AC]])</f>
        <v>835409.9</v>
      </c>
      <c r="BC36" s="71">
        <f>Financials2026[[#This Row],[Jan AC]]-Financials2026[[#This Row],[Jan FC]]</f>
        <v>0</v>
      </c>
      <c r="BD36" s="71">
        <f>Financials2026[[#This Row],[Feb AC]]-Financials2026[[#This Row],[Feb FC]]</f>
        <v>0</v>
      </c>
      <c r="BE36" s="71">
        <f>Financials2026[[#This Row],[Mar AC]]-Financials2026[[#This Row],[Mar FC]]</f>
        <v>0</v>
      </c>
      <c r="BF36" s="71">
        <f>Financials2026[[#This Row],[Apr AC]]-Financials2026[[#This Row],[Apr FC]]</f>
        <v>0</v>
      </c>
      <c r="BG36" s="71">
        <f>Financials2026[[#This Row],[May AC]]-Financials2026[[#This Row],[May FC]]</f>
        <v>0</v>
      </c>
      <c r="BH36" s="71">
        <f>Financials2026[[#This Row],[Jun AC]]-Financials2026[[#This Row],[Jun FC]]</f>
        <v>0</v>
      </c>
      <c r="BI36" s="71">
        <f>Financials2026[[#This Row],[Jul AC]]-Financials2026[[#This Row],[Jul FC]]</f>
        <v>0</v>
      </c>
      <c r="BJ36" s="71">
        <f>Financials2026[[#This Row],[Aug AC]]-Financials2026[[#This Row],[Aug FC]]</f>
        <v>0</v>
      </c>
      <c r="BK36" s="71">
        <f>Financials2026[[#This Row],[Sep AC]]-Financials2026[[#This Row],[Sep FC]]</f>
        <v>0</v>
      </c>
      <c r="BL36" s="71">
        <f>Financials2026[[#This Row],[Oct AC]]-Financials2026[[#This Row],[Oct FC]]</f>
        <v>0</v>
      </c>
      <c r="BM36" s="71">
        <f>Financials2026[[#This Row],[Nov AC]]-Financials2026[[#This Row],[Nov FC]]</f>
        <v>0</v>
      </c>
      <c r="BN36" s="71">
        <f>Financials2026[[#This Row],[Dec AC]]-Financials2026[[#This Row],[Dec FC]]</f>
        <v>0</v>
      </c>
      <c r="BO36" s="71">
        <f>SUM(Financials2026[[#This Row],[Jan Opp/Risk]:[Dec Opp./Risk]])</f>
        <v>0</v>
      </c>
      <c r="BP36" s="90" t="s">
        <v>534</v>
      </c>
      <c r="BQ36" s="47">
        <f>SUM(Financials2026[[#This Row],[Jan AC]:[Apr AC]])</f>
        <v>347228.96</v>
      </c>
      <c r="BS36" s="6"/>
      <c r="BT36" s="6"/>
      <c r="BU36" s="6"/>
      <c r="BV36" s="6"/>
      <c r="BW36" s="6"/>
      <c r="BX36" s="6"/>
    </row>
    <row r="37" spans="1:76" hidden="1" x14ac:dyDescent="0.35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13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33"/>
        <v>199999.99999999997</v>
      </c>
      <c r="X37" s="15">
        <f t="shared" si="7"/>
        <v>-2.9103830456733704E-11</v>
      </c>
      <c r="Y37" s="15">
        <f t="shared" si="14"/>
        <v>0</v>
      </c>
      <c r="Z37" s="15">
        <f>SUM(Financials2026[[#This Row],[2026 Opportunity]:[2026 Risk]])</f>
        <v>-2.9103830456733704E-11</v>
      </c>
      <c r="AA37" s="3" t="s">
        <v>429</v>
      </c>
      <c r="AB37" s="52">
        <f t="shared" ref="AB37:AU37" si="35">200000/12</f>
        <v>16666.666666666668</v>
      </c>
      <c r="AC37" s="52">
        <f t="shared" si="35"/>
        <v>16666.666666666668</v>
      </c>
      <c r="AD37" s="52">
        <f t="shared" si="35"/>
        <v>16666.666666666668</v>
      </c>
      <c r="AE37" s="52">
        <f t="shared" si="35"/>
        <v>16666.666666666668</v>
      </c>
      <c r="AF37" s="52">
        <f t="shared" si="35"/>
        <v>16666.666666666668</v>
      </c>
      <c r="AG37" s="52">
        <f t="shared" si="35"/>
        <v>16666.666666666668</v>
      </c>
      <c r="AH37" s="52">
        <f t="shared" si="35"/>
        <v>16666.666666666668</v>
      </c>
      <c r="AI37" s="52">
        <f t="shared" si="35"/>
        <v>16666.666666666668</v>
      </c>
      <c r="AJ37" s="52">
        <f t="shared" si="35"/>
        <v>16666.666666666668</v>
      </c>
      <c r="AK37" s="52">
        <f t="shared" si="35"/>
        <v>16666.666666666668</v>
      </c>
      <c r="AL37" s="52">
        <f t="shared" si="35"/>
        <v>16666.666666666668</v>
      </c>
      <c r="AM37" s="52">
        <f t="shared" si="35"/>
        <v>16666.666666666668</v>
      </c>
      <c r="AN37" s="52">
        <f>SUM(Financials2026[[#This Row],[Jan FC]:[Dec FC]])</f>
        <v>199999.99999999997</v>
      </c>
      <c r="AO37" s="15">
        <f t="shared" si="5"/>
        <v>116666.66666666669</v>
      </c>
      <c r="AP37" s="61">
        <f t="shared" si="35"/>
        <v>16666.666666666668</v>
      </c>
      <c r="AQ37" s="61">
        <f t="shared" si="35"/>
        <v>16666.666666666668</v>
      </c>
      <c r="AR37" s="61">
        <f t="shared" si="35"/>
        <v>16666.666666666668</v>
      </c>
      <c r="AS37" s="61">
        <f t="shared" si="35"/>
        <v>16666.666666666668</v>
      </c>
      <c r="AT37" s="61">
        <f t="shared" si="35"/>
        <v>16666.666666666668</v>
      </c>
      <c r="AU37" s="61">
        <f t="shared" si="35"/>
        <v>16666.666666666668</v>
      </c>
      <c r="AV37" s="61"/>
      <c r="AW37" s="61"/>
      <c r="AX37" s="61"/>
      <c r="AY37" s="61"/>
      <c r="AZ37" s="61"/>
      <c r="BA37" s="61"/>
      <c r="BB37" s="80">
        <f>SUM(Financials2026[[#This Row],[Jan AC]:[Dec AC]])</f>
        <v>100000.00000000001</v>
      </c>
      <c r="BC37" s="71">
        <f>Financials2026[[#This Row],[Jan AC]]-Financials2026[[#This Row],[Jan FC]]</f>
        <v>0</v>
      </c>
      <c r="BD37" s="71">
        <f>Financials2026[[#This Row],[Feb AC]]-Financials2026[[#This Row],[Feb FC]]</f>
        <v>0</v>
      </c>
      <c r="BE37" s="71">
        <f>Financials2026[[#This Row],[Mar AC]]-Financials2026[[#This Row],[Mar FC]]</f>
        <v>0</v>
      </c>
      <c r="BF37" s="71">
        <f>Financials2026[[#This Row],[Apr AC]]-Financials2026[[#This Row],[Apr FC]]</f>
        <v>0</v>
      </c>
      <c r="BG37" s="71">
        <f>Financials2026[[#This Row],[May AC]]-Financials2026[[#This Row],[May FC]]</f>
        <v>0</v>
      </c>
      <c r="BH37" s="71">
        <f>Financials2026[[#This Row],[Jun AC]]-Financials2026[[#This Row],[Jun FC]]</f>
        <v>0</v>
      </c>
      <c r="BI37" s="71">
        <f>Financials2026[[#This Row],[Jul AC]]-Financials2026[[#This Row],[Jul FC]]</f>
        <v>-16666.666666666668</v>
      </c>
      <c r="BJ37" s="71">
        <f>Financials2026[[#This Row],[Aug AC]]-Financials2026[[#This Row],[Aug FC]]</f>
        <v>-16666.666666666668</v>
      </c>
      <c r="BK37" s="71">
        <f>Financials2026[[#This Row],[Sep AC]]-Financials2026[[#This Row],[Sep FC]]</f>
        <v>-16666.666666666668</v>
      </c>
      <c r="BL37" s="71">
        <f>Financials2026[[#This Row],[Oct AC]]-Financials2026[[#This Row],[Oct FC]]</f>
        <v>-16666.666666666668</v>
      </c>
      <c r="BM37" s="71">
        <f>Financials2026[[#This Row],[Nov AC]]-Financials2026[[#This Row],[Nov FC]]</f>
        <v>-16666.666666666668</v>
      </c>
      <c r="BN37" s="71">
        <f>Financials2026[[#This Row],[Dec AC]]-Financials2026[[#This Row],[Dec FC]]</f>
        <v>-16666.666666666668</v>
      </c>
      <c r="BO37" s="71">
        <f>SUM(Financials2026[[#This Row],[Jan Opp/Risk]:[Dec Opp./Risk]])</f>
        <v>-100000.00000000001</v>
      </c>
      <c r="BP37" s="90"/>
      <c r="BQ37" s="47">
        <f>SUM(Financials2026[[#This Row],[Jan AC]:[Apr AC]])</f>
        <v>66666.666666666672</v>
      </c>
      <c r="BS37" s="6"/>
      <c r="BT37" s="6"/>
      <c r="BU37" s="6"/>
      <c r="BV37" s="6"/>
      <c r="BW37" s="6"/>
      <c r="BX37" s="6"/>
    </row>
    <row r="38" spans="1:76" hidden="1" x14ac:dyDescent="0.35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13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33"/>
        <v>99999.999999999985</v>
      </c>
      <c r="X38" s="15">
        <f t="shared" si="7"/>
        <v>-1.4551915228366852E-11</v>
      </c>
      <c r="Y38" s="15">
        <f t="shared" si="14"/>
        <v>0</v>
      </c>
      <c r="Z38" s="15">
        <f>SUM(Financials2026[[#This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36">+AF38</f>
        <v>8333.3333333333339</v>
      </c>
      <c r="AH38" s="52">
        <f t="shared" si="36"/>
        <v>8333.3333333333339</v>
      </c>
      <c r="AI38" s="52">
        <f t="shared" si="36"/>
        <v>8333.3333333333339</v>
      </c>
      <c r="AJ38" s="52">
        <f t="shared" si="36"/>
        <v>8333.3333333333339</v>
      </c>
      <c r="AK38" s="52">
        <f t="shared" si="36"/>
        <v>8333.3333333333339</v>
      </c>
      <c r="AL38" s="52">
        <f t="shared" si="36"/>
        <v>8333.3333333333339</v>
      </c>
      <c r="AM38" s="52">
        <f t="shared" si="36"/>
        <v>8333.3333333333339</v>
      </c>
      <c r="AN38" s="52">
        <f>SUM(Financials2026[[#This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" si="37">+AT38</f>
        <v>8333.3333333333339</v>
      </c>
      <c r="AV38" s="61">
        <f t="shared" ref="AV38" si="38">+AU38</f>
        <v>8333.3333333333339</v>
      </c>
      <c r="AW38" s="61">
        <f t="shared" ref="AW38" si="39">+AV38</f>
        <v>8333.3333333333339</v>
      </c>
      <c r="AX38" s="61">
        <f t="shared" ref="AX38" si="40">+AW38</f>
        <v>8333.3333333333339</v>
      </c>
      <c r="AY38" s="61">
        <f t="shared" ref="AY38" si="41">+AX38</f>
        <v>8333.3333333333339</v>
      </c>
      <c r="AZ38" s="61">
        <f t="shared" ref="AZ38" si="42">+AY38</f>
        <v>8333.3333333333339</v>
      </c>
      <c r="BA38" s="61">
        <f t="shared" ref="BA38" si="43">+AZ38</f>
        <v>8333.3333333333339</v>
      </c>
      <c r="BB38" s="80">
        <f>SUM(Financials2026[[#This Row],[Jan AC]:[Dec AC]])</f>
        <v>99999.999999999985</v>
      </c>
      <c r="BC38" s="71">
        <f>Financials2026[[#This Row],[Jan AC]]-Financials2026[[#This Row],[Jan FC]]</f>
        <v>0</v>
      </c>
      <c r="BD38" s="71">
        <f>Financials2026[[#This Row],[Feb AC]]-Financials2026[[#This Row],[Feb FC]]</f>
        <v>0</v>
      </c>
      <c r="BE38" s="71">
        <f>Financials2026[[#This Row],[Mar AC]]-Financials2026[[#This Row],[Mar FC]]</f>
        <v>0</v>
      </c>
      <c r="BF38" s="71">
        <f>Financials2026[[#This Row],[Apr AC]]-Financials2026[[#This Row],[Apr FC]]</f>
        <v>0</v>
      </c>
      <c r="BG38" s="71">
        <f>Financials2026[[#This Row],[May AC]]-Financials2026[[#This Row],[May FC]]</f>
        <v>0</v>
      </c>
      <c r="BH38" s="71">
        <f>Financials2026[[#This Row],[Jun AC]]-Financials2026[[#This Row],[Jun FC]]</f>
        <v>0</v>
      </c>
      <c r="BI38" s="71">
        <f>Financials2026[[#This Row],[Jul AC]]-Financials2026[[#This Row],[Jul FC]]</f>
        <v>0</v>
      </c>
      <c r="BJ38" s="71">
        <f>Financials2026[[#This Row],[Aug AC]]-Financials2026[[#This Row],[Aug FC]]</f>
        <v>0</v>
      </c>
      <c r="BK38" s="71">
        <f>Financials2026[[#This Row],[Sep AC]]-Financials2026[[#This Row],[Sep FC]]</f>
        <v>0</v>
      </c>
      <c r="BL38" s="71">
        <f>Financials2026[[#This Row],[Oct AC]]-Financials2026[[#This Row],[Oct FC]]</f>
        <v>0</v>
      </c>
      <c r="BM38" s="71">
        <f>Financials2026[[#This Row],[Nov AC]]-Financials2026[[#This Row],[Nov FC]]</f>
        <v>0</v>
      </c>
      <c r="BN38" s="71">
        <f>Financials2026[[#This Row],[Dec AC]]-Financials2026[[#This Row],[Dec FC]]</f>
        <v>0</v>
      </c>
      <c r="BO38" s="71">
        <f>SUM(Financials2026[[#This Row],[Jan Opp/Risk]:[Dec Opp./Risk]])</f>
        <v>0</v>
      </c>
      <c r="BP38" s="90"/>
      <c r="BQ38" s="47">
        <f>SUM(Financials2026[[#This Row],[Jan AC]:[Apr AC]])</f>
        <v>33333.333333333336</v>
      </c>
      <c r="BS38" s="6"/>
      <c r="BT38" s="6"/>
      <c r="BU38" s="6"/>
      <c r="BV38" s="6"/>
      <c r="BW38" s="6"/>
      <c r="BX38" s="6"/>
    </row>
    <row r="39" spans="1:76" hidden="1" x14ac:dyDescent="0.35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13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33"/>
        <v>440671.00000000006</v>
      </c>
      <c r="X39" s="15">
        <f t="shared" si="7"/>
        <v>-0.34999999997671694</v>
      </c>
      <c r="Y39" s="15">
        <f t="shared" si="14"/>
        <v>0</v>
      </c>
      <c r="Z39" s="15">
        <f>SUM(Financials2026[[#This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44">434810.4/12</f>
        <v>36234.200000000004</v>
      </c>
      <c r="AE39" s="52">
        <f t="shared" si="44"/>
        <v>36234.200000000004</v>
      </c>
      <c r="AF39" s="52">
        <f t="shared" si="44"/>
        <v>36234.200000000004</v>
      </c>
      <c r="AG39" s="52">
        <f t="shared" si="44"/>
        <v>36234.200000000004</v>
      </c>
      <c r="AH39" s="52">
        <f t="shared" si="44"/>
        <v>36234.200000000004</v>
      </c>
      <c r="AI39" s="52">
        <f t="shared" si="44"/>
        <v>36234.200000000004</v>
      </c>
      <c r="AJ39" s="52">
        <f t="shared" si="44"/>
        <v>36234.200000000004</v>
      </c>
      <c r="AK39" s="52">
        <f t="shared" si="44"/>
        <v>36234.200000000004</v>
      </c>
      <c r="AL39" s="52">
        <f t="shared" si="44"/>
        <v>36234.200000000004</v>
      </c>
      <c r="AM39" s="88">
        <f>(434810.4/12)+78329</f>
        <v>114563.20000000001</v>
      </c>
      <c r="AN39" s="52">
        <f>SUM(Financials2026[[#This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45">434810.4/12</f>
        <v>36234.200000000004</v>
      </c>
      <c r="AS39" s="61">
        <f t="shared" si="45"/>
        <v>36234.200000000004</v>
      </c>
      <c r="AT39" s="61">
        <f t="shared" si="45"/>
        <v>36234.200000000004</v>
      </c>
      <c r="AU39" s="61">
        <f t="shared" si="45"/>
        <v>36234.200000000004</v>
      </c>
      <c r="AV39" s="61">
        <f t="shared" si="45"/>
        <v>36234.200000000004</v>
      </c>
      <c r="AW39" s="61">
        <f t="shared" si="45"/>
        <v>36234.200000000004</v>
      </c>
      <c r="AX39" s="61">
        <f t="shared" si="45"/>
        <v>36234.200000000004</v>
      </c>
      <c r="AY39" s="61">
        <f t="shared" si="45"/>
        <v>36234.200000000004</v>
      </c>
      <c r="AZ39" s="61">
        <f t="shared" si="45"/>
        <v>36234.200000000004</v>
      </c>
      <c r="BA39" s="61">
        <f t="shared" si="45"/>
        <v>36234.200000000004</v>
      </c>
      <c r="BB39" s="80">
        <f>SUM(Financials2026[[#This Row],[Jan AC]:[Dec AC]])</f>
        <v>362342.00000000006</v>
      </c>
      <c r="BC39" s="71">
        <f>Financials2026[[#This Row],[Jan AC]]-Financials2026[[#This Row],[Jan FC]]</f>
        <v>0</v>
      </c>
      <c r="BD39" s="71">
        <f>Financials2026[[#This Row],[Feb AC]]-Financials2026[[#This Row],[Feb FC]]</f>
        <v>0</v>
      </c>
      <c r="BE39" s="71">
        <f>Financials2026[[#This Row],[Mar AC]]-Financials2026[[#This Row],[Mar FC]]</f>
        <v>0</v>
      </c>
      <c r="BF39" s="71">
        <f>Financials2026[[#This Row],[Apr AC]]-Financials2026[[#This Row],[Apr FC]]</f>
        <v>0</v>
      </c>
      <c r="BG39" s="71">
        <f>Financials2026[[#This Row],[May AC]]-Financials2026[[#This Row],[May FC]]</f>
        <v>0</v>
      </c>
      <c r="BH39" s="71">
        <f>Financials2026[[#This Row],[Jun AC]]-Financials2026[[#This Row],[Jun FC]]</f>
        <v>0</v>
      </c>
      <c r="BI39" s="71">
        <f>Financials2026[[#This Row],[Jul AC]]-Financials2026[[#This Row],[Jul FC]]</f>
        <v>0</v>
      </c>
      <c r="BJ39" s="71">
        <f>Financials2026[[#This Row],[Aug AC]]-Financials2026[[#This Row],[Aug FC]]</f>
        <v>0</v>
      </c>
      <c r="BK39" s="71">
        <f>Financials2026[[#This Row],[Sep AC]]-Financials2026[[#This Row],[Sep FC]]</f>
        <v>0</v>
      </c>
      <c r="BL39" s="71">
        <f>Financials2026[[#This Row],[Oct AC]]-Financials2026[[#This Row],[Oct FC]]</f>
        <v>0</v>
      </c>
      <c r="BM39" s="71">
        <f>Financials2026[[#This Row],[Nov AC]]-Financials2026[[#This Row],[Nov FC]]</f>
        <v>0</v>
      </c>
      <c r="BN39" s="71">
        <f>Financials2026[[#This Row],[Dec AC]]-Financials2026[[#This Row],[Dec FC]]</f>
        <v>-78329</v>
      </c>
      <c r="BO39" s="71">
        <f>SUM(Financials2026[[#This Row],[Jan Opp/Risk]:[Dec Opp./Risk]])</f>
        <v>-78329</v>
      </c>
      <c r="BP39" s="90" t="s">
        <v>485</v>
      </c>
      <c r="BQ39" s="47">
        <f>SUM(Financials2026[[#This Row],[Jan AC]:[Apr AC]])</f>
        <v>72468.400000000009</v>
      </c>
      <c r="BS39" s="6"/>
      <c r="BT39" s="6"/>
      <c r="BU39" s="6"/>
      <c r="BV39" s="6"/>
      <c r="BW39" s="6"/>
      <c r="BX39" s="6"/>
    </row>
    <row r="40" spans="1:76" hidden="1" x14ac:dyDescent="0.35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13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33"/>
        <v>14999.48</v>
      </c>
      <c r="X40" s="15">
        <f t="shared" si="7"/>
        <v>-0.52000000000043656</v>
      </c>
      <c r="Y40" s="15">
        <f t="shared" si="14"/>
        <v>0</v>
      </c>
      <c r="Z40" s="15">
        <f>SUM(Financials2026[[#This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SUM(Financials2026[[#This Row],[Jan AC]:[Dec AC]])</f>
        <v>6594.5599999999995</v>
      </c>
      <c r="BC40" s="71">
        <f>Financials2026[[#This Row],[Jan AC]]-Financials2026[[#This Row],[Jan FC]]</f>
        <v>-1250</v>
      </c>
      <c r="BD40" s="71">
        <f>Financials2026[[#This Row],[Feb AC]]-Financials2026[[#This Row],[Feb FC]]</f>
        <v>-1250</v>
      </c>
      <c r="BE40" s="71">
        <f>Financials2026[[#This Row],[Mar AC]]-Financials2026[[#This Row],[Mar FC]]</f>
        <v>-553.67999999999995</v>
      </c>
      <c r="BF40" s="71">
        <f>Financials2026[[#This Row],[Apr AC]]-Financials2026[[#This Row],[Apr FC]]</f>
        <v>-0.92000000000007276</v>
      </c>
      <c r="BG40" s="71">
        <f>Financials2026[[#This Row],[May AC]]-Financials2026[[#This Row],[May FC]]</f>
        <v>-0.92000000000007276</v>
      </c>
      <c r="BH40" s="71">
        <f>Financials2026[[#This Row],[Jun AC]]-Financials2026[[#This Row],[Jun FC]]</f>
        <v>716.07999999999993</v>
      </c>
      <c r="BI40" s="71">
        <f>Financials2026[[#This Row],[Jul AC]]-Financials2026[[#This Row],[Jul FC]]</f>
        <v>-1250</v>
      </c>
      <c r="BJ40" s="71">
        <f>Financials2026[[#This Row],[Aug AC]]-Financials2026[[#This Row],[Aug FC]]</f>
        <v>-1250</v>
      </c>
      <c r="BK40" s="71">
        <f>Financials2026[[#This Row],[Sep AC]]-Financials2026[[#This Row],[Sep FC]]</f>
        <v>-1250</v>
      </c>
      <c r="BL40" s="71">
        <f>Financials2026[[#This Row],[Oct AC]]-Financials2026[[#This Row],[Oct FC]]</f>
        <v>-1250</v>
      </c>
      <c r="BM40" s="71">
        <f>Financials2026[[#This Row],[Nov AC]]-Financials2026[[#This Row],[Nov FC]]</f>
        <v>-1250</v>
      </c>
      <c r="BN40" s="71">
        <f>Financials2026[[#This Row],[Dec AC]]-Financials2026[[#This Row],[Dec FC]]</f>
        <v>-2871</v>
      </c>
      <c r="BO40" s="71">
        <f>SUM(Financials2026[[#This Row],[Jan Opp/Risk]:[Dec Opp./Risk]])</f>
        <v>-11460.44</v>
      </c>
      <c r="BP40" s="90" t="s">
        <v>530</v>
      </c>
      <c r="BQ40" s="47">
        <f>SUM(Financials2026[[#This Row],[Jan AC]:[Apr AC]])</f>
        <v>2662.4</v>
      </c>
      <c r="BS40" s="6"/>
      <c r="BT40" s="6"/>
      <c r="BU40" s="6"/>
      <c r="BV40" s="6"/>
      <c r="BW40" s="6"/>
      <c r="BX40" s="6"/>
    </row>
    <row r="41" spans="1:76" hidden="1" x14ac:dyDescent="0.35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13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33"/>
        <v>6852968.5600000005</v>
      </c>
      <c r="X41" s="15">
        <f t="shared" si="7"/>
        <v>-647031.43999999948</v>
      </c>
      <c r="Y41" s="15">
        <f t="shared" si="14"/>
        <v>0</v>
      </c>
      <c r="Z41" s="15">
        <f>SUM(Financials2026[[#This Row],[2026 Opportunity]:[2026 Risk]])</f>
        <v>-647031.43999999948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625000-16776</f>
        <v>608224</v>
      </c>
      <c r="AN41" s="52">
        <f>SUM(Financials2026[[#This Row],[Jan FC]:[Dec FC]])</f>
        <v>7483224</v>
      </c>
      <c r="AO41" s="15">
        <f t="shared" si="5"/>
        <v>4358224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v>573.85</v>
      </c>
      <c r="AU41" s="61">
        <f>573.85+632824</f>
        <v>633397.85</v>
      </c>
      <c r="AV41" s="61"/>
      <c r="AW41" s="61"/>
      <c r="AX41" s="61"/>
      <c r="AY41" s="61"/>
      <c r="AZ41" s="61"/>
      <c r="BA41" s="61"/>
      <c r="BB41" s="80">
        <f>SUM(Financials2026[[#This Row],[Jan AC]:[Dec AC]])</f>
        <v>3128142.41</v>
      </c>
      <c r="BC41" s="71">
        <f>Financials2026[[#This Row],[Jan AC]]-Financials2026[[#This Row],[Jan FC]]</f>
        <v>35370.400000000023</v>
      </c>
      <c r="BD41" s="71">
        <f>Financials2026[[#This Row],[Feb AC]]-Financials2026[[#This Row],[Feb FC]]</f>
        <v>-21140.429999999935</v>
      </c>
      <c r="BE41" s="71">
        <f>Financials2026[[#This Row],[Mar AC]]-Financials2026[[#This Row],[Mar FC]]</f>
        <v>2545.6900000000605</v>
      </c>
      <c r="BF41" s="71">
        <f>Financials2026[[#This Row],[Apr AC]]-Financials2026[[#This Row],[Apr FC]]</f>
        <v>-22604.95000000007</v>
      </c>
      <c r="BG41" s="71">
        <f>Financials2026[[#This Row],[May AC]]-Financials2026[[#This Row],[May FC]]</f>
        <v>-624426.15</v>
      </c>
      <c r="BH41" s="71">
        <f>Financials2026[[#This Row],[Jun AC]]-Financials2026[[#This Row],[Jun FC]]</f>
        <v>8397.8499999999767</v>
      </c>
      <c r="BI41" s="71">
        <f>Financials2026[[#This Row],[Jul AC]]-Financials2026[[#This Row],[Jul FC]]</f>
        <v>-625000</v>
      </c>
      <c r="BJ41" s="71">
        <f>Financials2026[[#This Row],[Aug AC]]-Financials2026[[#This Row],[Aug FC]]</f>
        <v>-625000</v>
      </c>
      <c r="BK41" s="71">
        <f>Financials2026[[#This Row],[Sep AC]]-Financials2026[[#This Row],[Sep FC]]</f>
        <v>-625000</v>
      </c>
      <c r="BL41" s="71">
        <f>Financials2026[[#This Row],[Oct AC]]-Financials2026[[#This Row],[Oct FC]]</f>
        <v>-625000</v>
      </c>
      <c r="BM41" s="71">
        <f>Financials2026[[#This Row],[Nov AC]]-Financials2026[[#This Row],[Nov FC]]</f>
        <v>-625000</v>
      </c>
      <c r="BN41" s="71">
        <f>Financials2026[[#This Row],[Dec AC]]-Financials2026[[#This Row],[Dec FC]]</f>
        <v>-608224</v>
      </c>
      <c r="BO41" s="71">
        <f>SUM(Financials2026[[#This Row],[Jan Opp/Risk]:[Dec Opp./Risk]])</f>
        <v>-4355081.59</v>
      </c>
      <c r="BP41" s="92" t="s">
        <v>531</v>
      </c>
      <c r="BQ41" s="47">
        <f>SUM(Financials2026[[#This Row],[Jan AC]:[Apr AC]])</f>
        <v>2494170.71</v>
      </c>
      <c r="BS41" s="6"/>
      <c r="BT41" s="6"/>
      <c r="BU41" s="6"/>
      <c r="BV41" s="6"/>
      <c r="BW41" s="6"/>
      <c r="BX41" s="6"/>
    </row>
    <row r="42" spans="1:76" hidden="1" x14ac:dyDescent="0.35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13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33"/>
        <v>99225</v>
      </c>
      <c r="X42" s="15">
        <f t="shared" si="7"/>
        <v>0</v>
      </c>
      <c r="Y42" s="15">
        <f t="shared" si="14"/>
        <v>0</v>
      </c>
      <c r="Z42" s="15">
        <f>SUM(Financials2026[[#This Row],[2026 Opportunity]:[2026 Risk]])</f>
        <v>0</v>
      </c>
      <c r="AA42" s="3" t="s">
        <v>434</v>
      </c>
      <c r="AB42" s="52">
        <f t="shared" ref="AB42:AH42" si="46">(97200)/12</f>
        <v>8100</v>
      </c>
      <c r="AC42" s="52">
        <f t="shared" si="46"/>
        <v>8100</v>
      </c>
      <c r="AD42" s="52">
        <f t="shared" si="46"/>
        <v>8100</v>
      </c>
      <c r="AE42" s="52">
        <f t="shared" si="46"/>
        <v>8100</v>
      </c>
      <c r="AF42" s="52">
        <f t="shared" si="46"/>
        <v>8100</v>
      </c>
      <c r="AG42" s="52">
        <f t="shared" si="46"/>
        <v>8100</v>
      </c>
      <c r="AH42" s="52">
        <f t="shared" si="46"/>
        <v>8100</v>
      </c>
      <c r="AI42" s="52">
        <f>102060/12</f>
        <v>8505</v>
      </c>
      <c r="AJ42" s="52">
        <f t="shared" ref="AJ42:AM42" si="47">102060/12</f>
        <v>8505</v>
      </c>
      <c r="AK42" s="52">
        <f t="shared" si="47"/>
        <v>8505</v>
      </c>
      <c r="AL42" s="52">
        <f t="shared" si="47"/>
        <v>8505</v>
      </c>
      <c r="AM42" s="52">
        <f t="shared" si="47"/>
        <v>8505</v>
      </c>
      <c r="AN42" s="52">
        <f>SUM(Financials2026[[#This Row],[Jan FC]:[Dec FC]])</f>
        <v>99225</v>
      </c>
      <c r="AO42" s="15">
        <f t="shared" si="5"/>
        <v>58725</v>
      </c>
      <c r="AP42" s="61">
        <f t="shared" ref="AP42:AV42" si="48">(97200)/12</f>
        <v>8100</v>
      </c>
      <c r="AQ42" s="61">
        <f t="shared" si="48"/>
        <v>8100</v>
      </c>
      <c r="AR42" s="61">
        <f t="shared" si="48"/>
        <v>8100</v>
      </c>
      <c r="AS42" s="61">
        <f t="shared" si="48"/>
        <v>8100</v>
      </c>
      <c r="AT42" s="61">
        <f t="shared" si="48"/>
        <v>8100</v>
      </c>
      <c r="AU42" s="61">
        <f t="shared" si="48"/>
        <v>8100</v>
      </c>
      <c r="AV42" s="61">
        <f t="shared" si="48"/>
        <v>8100</v>
      </c>
      <c r="AW42" s="61"/>
      <c r="AX42" s="61"/>
      <c r="AY42" s="61"/>
      <c r="AZ42" s="61"/>
      <c r="BA42" s="61"/>
      <c r="BB42" s="80">
        <f>SUM(Financials2026[[#This Row],[Jan AC]:[Dec AC]])</f>
        <v>56700</v>
      </c>
      <c r="BC42" s="71">
        <f>Financials2026[[#This Row],[Jan AC]]-Financials2026[[#This Row],[Jan FC]]</f>
        <v>0</v>
      </c>
      <c r="BD42" s="71">
        <f>Financials2026[[#This Row],[Feb AC]]-Financials2026[[#This Row],[Feb FC]]</f>
        <v>0</v>
      </c>
      <c r="BE42" s="71">
        <f>Financials2026[[#This Row],[Mar AC]]-Financials2026[[#This Row],[Mar FC]]</f>
        <v>0</v>
      </c>
      <c r="BF42" s="71">
        <f>Financials2026[[#This Row],[Apr AC]]-Financials2026[[#This Row],[Apr FC]]</f>
        <v>0</v>
      </c>
      <c r="BG42" s="71">
        <f>Financials2026[[#This Row],[May AC]]-Financials2026[[#This Row],[May FC]]</f>
        <v>0</v>
      </c>
      <c r="BH42" s="71">
        <f>Financials2026[[#This Row],[Jun AC]]-Financials2026[[#This Row],[Jun FC]]</f>
        <v>0</v>
      </c>
      <c r="BI42" s="71">
        <f>Financials2026[[#This Row],[Jul AC]]-Financials2026[[#This Row],[Jul FC]]</f>
        <v>0</v>
      </c>
      <c r="BJ42" s="71">
        <f>Financials2026[[#This Row],[Aug AC]]-Financials2026[[#This Row],[Aug FC]]</f>
        <v>-8505</v>
      </c>
      <c r="BK42" s="71">
        <f>Financials2026[[#This Row],[Sep AC]]-Financials2026[[#This Row],[Sep FC]]</f>
        <v>-8505</v>
      </c>
      <c r="BL42" s="71">
        <f>Financials2026[[#This Row],[Oct AC]]-Financials2026[[#This Row],[Oct FC]]</f>
        <v>-8505</v>
      </c>
      <c r="BM42" s="71">
        <f>Financials2026[[#This Row],[Nov AC]]-Financials2026[[#This Row],[Nov FC]]</f>
        <v>-8505</v>
      </c>
      <c r="BN42" s="71">
        <f>Financials2026[[#This Row],[Dec AC]]-Financials2026[[#This Row],[Dec FC]]</f>
        <v>-8505</v>
      </c>
      <c r="BO42" s="71">
        <f>SUM(Financials2026[[#This Row],[Jan Opp/Risk]:[Dec Opp./Risk]])</f>
        <v>-42525</v>
      </c>
      <c r="BP42" s="90"/>
      <c r="BQ42" s="47">
        <f>SUM(Financials2026[[#This Row],[Jan AC]:[Apr AC]])</f>
        <v>32400</v>
      </c>
      <c r="BS42" s="6"/>
      <c r="BT42" s="6"/>
      <c r="BU42" s="6"/>
      <c r="BV42" s="6"/>
      <c r="BW42" s="6"/>
      <c r="BX42" s="6"/>
    </row>
    <row r="43" spans="1:76" hidden="1" x14ac:dyDescent="0.35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13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33"/>
        <v>86949.882000000012</v>
      </c>
      <c r="X43" s="15">
        <f t="shared" si="7"/>
        <v>0</v>
      </c>
      <c r="Y43" s="15">
        <f t="shared" si="14"/>
        <v>0.15899999999965075</v>
      </c>
      <c r="Z43" s="15">
        <f>SUM(Financials2026[[#This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SUM(Financials2026[[#This Row],[Jan AC]:[Dec AC]])</f>
        <v>8552.09</v>
      </c>
      <c r="BC43" s="71">
        <f>Financials2026[[#This Row],[Jan AC]]-Financials2026[[#This Row],[Jan FC]]</f>
        <v>0</v>
      </c>
      <c r="BD43" s="71">
        <f>Financials2026[[#This Row],[Feb AC]]-Financials2026[[#This Row],[Feb FC]]</f>
        <v>0</v>
      </c>
      <c r="BE43" s="71">
        <f>Financials2026[[#This Row],[Mar AC]]-Financials2026[[#This Row],[Mar FC]]</f>
        <v>-6404.9302500000013</v>
      </c>
      <c r="BF43" s="71">
        <f>Financials2026[[#This Row],[Apr AC]]-Financials2026[[#This Row],[Apr FC]]</f>
        <v>-7245.8102500000014</v>
      </c>
      <c r="BG43" s="71">
        <f>Financials2026[[#This Row],[May AC]]-Financials2026[[#This Row],[May FC]]</f>
        <v>-6404.9302500000013</v>
      </c>
      <c r="BH43" s="71">
        <f>Financials2026[[#This Row],[Jun AC]]-Financials2026[[#This Row],[Jun FC]]</f>
        <v>-2898.1202500000018</v>
      </c>
      <c r="BI43" s="71">
        <f>Financials2026[[#This Row],[Jul AC]]-Financials2026[[#This Row],[Jul FC]]</f>
        <v>-7245.8102500000014</v>
      </c>
      <c r="BJ43" s="71">
        <f>Financials2026[[#This Row],[Aug AC]]-Financials2026[[#This Row],[Aug FC]]</f>
        <v>-7245.8102500000014</v>
      </c>
      <c r="BK43" s="71">
        <f>Financials2026[[#This Row],[Sep AC]]-Financials2026[[#This Row],[Sep FC]]</f>
        <v>-7245.8102500000014</v>
      </c>
      <c r="BL43" s="71">
        <f>Financials2026[[#This Row],[Oct AC]]-Financials2026[[#This Row],[Oct FC]]</f>
        <v>-7245.8102500000014</v>
      </c>
      <c r="BM43" s="71">
        <f>Financials2026[[#This Row],[Nov AC]]-Financials2026[[#This Row],[Nov FC]]</f>
        <v>-7245.8102500000014</v>
      </c>
      <c r="BN43" s="71">
        <f>Financials2026[[#This Row],[Dec AC]]-Financials2026[[#This Row],[Dec FC]]</f>
        <v>-32024.810250000002</v>
      </c>
      <c r="BO43" s="71">
        <f>SUM(Financials2026[[#This Row],[Jan Opp/Risk]:[Dec Opp./Risk]])</f>
        <v>-91207.652500000026</v>
      </c>
      <c r="BP43" s="90" t="s">
        <v>549</v>
      </c>
      <c r="BQ43" s="47">
        <f>SUM(Financials2026[[#This Row],[Jan AC]:[Apr AC]])</f>
        <v>3363.5200000000004</v>
      </c>
      <c r="BS43" s="6"/>
      <c r="BT43" s="6"/>
      <c r="BU43" s="6"/>
      <c r="BV43" s="6"/>
      <c r="BW43" s="6"/>
      <c r="BX43" s="6"/>
    </row>
    <row r="44" spans="1:76" hidden="1" x14ac:dyDescent="0.35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13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33"/>
        <v>63000.37</v>
      </c>
      <c r="X44" s="15">
        <f t="shared" si="7"/>
        <v>0</v>
      </c>
      <c r="Y44" s="15">
        <f t="shared" si="14"/>
        <v>0.37000000000261934</v>
      </c>
      <c r="Z44" s="15">
        <f>SUM(Financials2026[[#This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SUM(Financials2026[[#This Row],[Jan AC]:[Dec AC]])</f>
        <v>2274.37</v>
      </c>
      <c r="BC44" s="71">
        <f>Financials2026[[#This Row],[Jan AC]]-Financials2026[[#This Row],[Jan FC]]</f>
        <v>0</v>
      </c>
      <c r="BD44" s="71">
        <f>Financials2026[[#This Row],[Feb AC]]-Financials2026[[#This Row],[Feb FC]]</f>
        <v>0</v>
      </c>
      <c r="BE44" s="71">
        <f>Financials2026[[#This Row],[Mar AC]]-Financials2026[[#This Row],[Mar FC]]</f>
        <v>0</v>
      </c>
      <c r="BF44" s="71">
        <f>Financials2026[[#This Row],[Apr AC]]-Financials2026[[#This Row],[Apr FC]]</f>
        <v>0</v>
      </c>
      <c r="BG44" s="71">
        <f>Financials2026[[#This Row],[May AC]]-Financials2026[[#This Row],[May FC]]</f>
        <v>0</v>
      </c>
      <c r="BH44" s="71">
        <f>Financials2026[[#This Row],[Jun AC]]-Financials2026[[#This Row],[Jun FC]]</f>
        <v>0</v>
      </c>
      <c r="BI44" s="71">
        <f>Financials2026[[#This Row],[Jul AC]]-Financials2026[[#This Row],[Jul FC]]</f>
        <v>0</v>
      </c>
      <c r="BJ44" s="71">
        <f>Financials2026[[#This Row],[Aug AC]]-Financials2026[[#This Row],[Aug FC]]</f>
        <v>0</v>
      </c>
      <c r="BK44" s="71">
        <f>Financials2026[[#This Row],[Sep AC]]-Financials2026[[#This Row],[Sep FC]]</f>
        <v>0</v>
      </c>
      <c r="BL44" s="71">
        <f>Financials2026[[#This Row],[Oct AC]]-Financials2026[[#This Row],[Oct FC]]</f>
        <v>0</v>
      </c>
      <c r="BM44" s="71">
        <f>Financials2026[[#This Row],[Nov AC]]-Financials2026[[#This Row],[Nov FC]]</f>
        <v>0</v>
      </c>
      <c r="BN44" s="71">
        <f>Financials2026[[#This Row],[Dec AC]]-Financials2026[[#This Row],[Dec FC]]</f>
        <v>-60726</v>
      </c>
      <c r="BO44" s="71">
        <f>SUM(Financials2026[[#This Row],[Jan Opp/Risk]:[Dec Opp./Risk]])</f>
        <v>-60726</v>
      </c>
      <c r="BP44" s="90" t="s">
        <v>851</v>
      </c>
      <c r="BQ44" s="47">
        <f>SUM(Financials2026[[#This Row],[Jan AC]:[Apr AC]])</f>
        <v>0</v>
      </c>
      <c r="BS44" s="6"/>
      <c r="BT44" s="6"/>
      <c r="BU44" s="6"/>
      <c r="BV44" s="6"/>
      <c r="BW44" s="6"/>
      <c r="BX44" s="6"/>
    </row>
    <row r="45" spans="1:76" hidden="1" x14ac:dyDescent="0.35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13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33"/>
        <v>33096.819000000003</v>
      </c>
      <c r="X45" s="15">
        <f t="shared" si="7"/>
        <v>0</v>
      </c>
      <c r="Y45" s="15">
        <f t="shared" si="14"/>
        <v>0</v>
      </c>
      <c r="Z45" s="15">
        <f>SUM(Financials2026[[#This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SUM(Financials2026[[#This Row],[Jan AC]:[Dec AC]])</f>
        <v>0</v>
      </c>
      <c r="BC45" s="71">
        <f>Financials2026[[#This Row],[Jan AC]]-Financials2026[[#This Row],[Jan FC]]</f>
        <v>0</v>
      </c>
      <c r="BD45" s="71">
        <f>Financials2026[[#This Row],[Feb AC]]-Financials2026[[#This Row],[Feb FC]]</f>
        <v>0</v>
      </c>
      <c r="BE45" s="71">
        <f>Financials2026[[#This Row],[Mar AC]]-Financials2026[[#This Row],[Mar FC]]</f>
        <v>0</v>
      </c>
      <c r="BF45" s="71">
        <f>Financials2026[[#This Row],[Apr AC]]-Financials2026[[#This Row],[Apr FC]]</f>
        <v>0</v>
      </c>
      <c r="BG45" s="71">
        <f>Financials2026[[#This Row],[May AC]]-Financials2026[[#This Row],[May FC]]</f>
        <v>0</v>
      </c>
      <c r="BH45" s="71">
        <f>Financials2026[[#This Row],[Jun AC]]-Financials2026[[#This Row],[Jun FC]]</f>
        <v>0</v>
      </c>
      <c r="BI45" s="71">
        <f>Financials2026[[#This Row],[Jul AC]]-Financials2026[[#This Row],[Jul FC]]</f>
        <v>0</v>
      </c>
      <c r="BJ45" s="71">
        <f>Financials2026[[#This Row],[Aug AC]]-Financials2026[[#This Row],[Aug FC]]</f>
        <v>0</v>
      </c>
      <c r="BK45" s="71">
        <f>Financials2026[[#This Row],[Sep AC]]-Financials2026[[#This Row],[Sep FC]]</f>
        <v>-33096.819000000003</v>
      </c>
      <c r="BL45" s="71">
        <f>Financials2026[[#This Row],[Oct AC]]-Financials2026[[#This Row],[Oct FC]]</f>
        <v>0</v>
      </c>
      <c r="BM45" s="71">
        <f>Financials2026[[#This Row],[Nov AC]]-Financials2026[[#This Row],[Nov FC]]</f>
        <v>0</v>
      </c>
      <c r="BN45" s="71">
        <f>Financials2026[[#This Row],[Dec AC]]-Financials2026[[#This Row],[Dec FC]]</f>
        <v>0</v>
      </c>
      <c r="BO45" s="71">
        <f>SUM(Financials2026[[#This Row],[Jan Opp/Risk]:[Dec Opp./Risk]])</f>
        <v>-33096.819000000003</v>
      </c>
      <c r="BP45" s="90"/>
      <c r="BQ45" s="47">
        <f>SUM(Financials2026[[#This Row],[Jan AC]:[Apr AC]])</f>
        <v>0</v>
      </c>
      <c r="BS45" s="6"/>
      <c r="BT45" s="6"/>
      <c r="BU45" s="6"/>
      <c r="BV45" s="6"/>
      <c r="BW45" s="6"/>
      <c r="BX45" s="6"/>
    </row>
    <row r="46" spans="1:76" hidden="1" x14ac:dyDescent="0.35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13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33"/>
        <v>63325.5</v>
      </c>
      <c r="X46" s="15">
        <f t="shared" si="7"/>
        <v>0</v>
      </c>
      <c r="Y46" s="15">
        <f t="shared" si="14"/>
        <v>0</v>
      </c>
      <c r="Z46" s="15">
        <f>SUM(Financials2026[[#This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SUM(Financials2026[[#This Row],[Jan AC]:[Dec AC]])</f>
        <v>1100.47</v>
      </c>
      <c r="BC46" s="71">
        <f>Financials2026[[#This Row],[Jan AC]]-Financials2026[[#This Row],[Jan FC]]</f>
        <v>0</v>
      </c>
      <c r="BD46" s="71">
        <f>Financials2026[[#This Row],[Feb AC]]-Financials2026[[#This Row],[Feb FC]]</f>
        <v>0</v>
      </c>
      <c r="BE46" s="71">
        <f>Financials2026[[#This Row],[Mar AC]]-Financials2026[[#This Row],[Mar FC]]</f>
        <v>0</v>
      </c>
      <c r="BF46" s="71">
        <f>Financials2026[[#This Row],[Apr AC]]-Financials2026[[#This Row],[Apr FC]]</f>
        <v>0</v>
      </c>
      <c r="BG46" s="71">
        <f>Financials2026[[#This Row],[May AC]]-Financials2026[[#This Row],[May FC]]</f>
        <v>0</v>
      </c>
      <c r="BH46" s="71">
        <f>Financials2026[[#This Row],[Jun AC]]-Financials2026[[#This Row],[Jun FC]]</f>
        <v>0</v>
      </c>
      <c r="BI46" s="71">
        <f>Financials2026[[#This Row],[Jul AC]]-Financials2026[[#This Row],[Jul FC]]</f>
        <v>0</v>
      </c>
      <c r="BJ46" s="71">
        <f>Financials2026[[#This Row],[Aug AC]]-Financials2026[[#This Row],[Aug FC]]</f>
        <v>-62225.03</v>
      </c>
      <c r="BK46" s="71">
        <f>Financials2026[[#This Row],[Sep AC]]-Financials2026[[#This Row],[Sep FC]]</f>
        <v>0</v>
      </c>
      <c r="BL46" s="71">
        <f>Financials2026[[#This Row],[Oct AC]]-Financials2026[[#This Row],[Oct FC]]</f>
        <v>0</v>
      </c>
      <c r="BM46" s="71">
        <f>Financials2026[[#This Row],[Nov AC]]-Financials2026[[#This Row],[Nov FC]]</f>
        <v>0</v>
      </c>
      <c r="BN46" s="71">
        <f>Financials2026[[#This Row],[Dec AC]]-Financials2026[[#This Row],[Dec FC]]</f>
        <v>0</v>
      </c>
      <c r="BO46" s="71">
        <f>SUM(Financials2026[[#This Row],[Jan Opp/Risk]:[Dec Opp./Risk]])</f>
        <v>-62225.03</v>
      </c>
      <c r="BP46" s="90"/>
      <c r="BQ46" s="47">
        <f>SUM(Financials2026[[#This Row],[Jan AC]:[Apr AC]])</f>
        <v>1100.47</v>
      </c>
      <c r="BS46" s="6"/>
      <c r="BT46" s="6"/>
      <c r="BU46" s="6"/>
      <c r="BV46" s="6"/>
      <c r="BW46" s="6"/>
      <c r="BX46" s="6"/>
    </row>
    <row r="47" spans="1:76" hidden="1" x14ac:dyDescent="0.35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13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33"/>
        <v>10080</v>
      </c>
      <c r="X47" s="15">
        <f t="shared" si="7"/>
        <v>0</v>
      </c>
      <c r="Y47" s="15">
        <f t="shared" si="14"/>
        <v>0</v>
      </c>
      <c r="Z47" s="15">
        <f>SUM(Financials2026[[#This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SUM(Financials2026[[#This Row],[Jan AC]:[Dec AC]])</f>
        <v>4800</v>
      </c>
      <c r="BC47" s="71">
        <f>Financials2026[[#This Row],[Jan AC]]-Financials2026[[#This Row],[Jan FC]]</f>
        <v>0</v>
      </c>
      <c r="BD47" s="71">
        <f>Financials2026[[#This Row],[Feb AC]]-Financials2026[[#This Row],[Feb FC]]</f>
        <v>0</v>
      </c>
      <c r="BE47" s="71">
        <f>Financials2026[[#This Row],[Mar AC]]-Financials2026[[#This Row],[Mar FC]]</f>
        <v>0</v>
      </c>
      <c r="BF47" s="71">
        <f>Financials2026[[#This Row],[Apr AC]]-Financials2026[[#This Row],[Apr FC]]</f>
        <v>0</v>
      </c>
      <c r="BG47" s="71">
        <f>Financials2026[[#This Row],[May AC]]-Financials2026[[#This Row],[May FC]]</f>
        <v>0</v>
      </c>
      <c r="BH47" s="71">
        <f>Financials2026[[#This Row],[Jun AC]]-Financials2026[[#This Row],[Jun FC]]</f>
        <v>-5280</v>
      </c>
      <c r="BI47" s="71">
        <f>Financials2026[[#This Row],[Jul AC]]-Financials2026[[#This Row],[Jul FC]]</f>
        <v>0</v>
      </c>
      <c r="BJ47" s="71">
        <f>Financials2026[[#This Row],[Aug AC]]-Financials2026[[#This Row],[Aug FC]]</f>
        <v>0</v>
      </c>
      <c r="BK47" s="71">
        <f>Financials2026[[#This Row],[Sep AC]]-Financials2026[[#This Row],[Sep FC]]</f>
        <v>0</v>
      </c>
      <c r="BL47" s="71">
        <f>Financials2026[[#This Row],[Oct AC]]-Financials2026[[#This Row],[Oct FC]]</f>
        <v>0</v>
      </c>
      <c r="BM47" s="71">
        <f>Financials2026[[#This Row],[Nov AC]]-Financials2026[[#This Row],[Nov FC]]</f>
        <v>0</v>
      </c>
      <c r="BN47" s="71">
        <f>Financials2026[[#This Row],[Dec AC]]-Financials2026[[#This Row],[Dec FC]]</f>
        <v>0</v>
      </c>
      <c r="BO47" s="71">
        <f>SUM(Financials2026[[#This Row],[Jan Opp/Risk]:[Dec Opp./Risk]])</f>
        <v>-5280</v>
      </c>
      <c r="BP47" s="90" t="s">
        <v>853</v>
      </c>
      <c r="BQ47" s="47">
        <f>SUM(Financials2026[[#This Row],[Jan AC]:[Apr AC]])</f>
        <v>0</v>
      </c>
      <c r="BS47" s="6"/>
      <c r="BT47" s="6"/>
      <c r="BU47" s="6"/>
      <c r="BV47" s="6"/>
      <c r="BW47" s="6"/>
      <c r="BX47" s="6"/>
    </row>
    <row r="48" spans="1:76" hidden="1" x14ac:dyDescent="0.35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13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33"/>
        <v>232868.65</v>
      </c>
      <c r="X48" s="15">
        <f t="shared" si="7"/>
        <v>-6029.2125000000233</v>
      </c>
      <c r="Y48" s="15">
        <f t="shared" si="14"/>
        <v>0</v>
      </c>
      <c r="Z48" s="15">
        <f>SUM(Financials2026[[#This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SUM(Financials2026[[#This Row],[Jan AC]:[Dec AC]])</f>
        <v>0</v>
      </c>
      <c r="BC48" s="71">
        <f>Financials2026[[#This Row],[Jan AC]]-Financials2026[[#This Row],[Jan FC]]</f>
        <v>0</v>
      </c>
      <c r="BD48" s="71">
        <f>Financials2026[[#This Row],[Feb AC]]-Financials2026[[#This Row],[Feb FC]]</f>
        <v>0</v>
      </c>
      <c r="BE48" s="71">
        <f>Financials2026[[#This Row],[Mar AC]]-Financials2026[[#This Row],[Mar FC]]</f>
        <v>0</v>
      </c>
      <c r="BF48" s="71">
        <f>Financials2026[[#This Row],[Apr AC]]-Financials2026[[#This Row],[Apr FC]]</f>
        <v>-232868.65</v>
      </c>
      <c r="BG48" s="71">
        <f>Financials2026[[#This Row],[May AC]]-Financials2026[[#This Row],[May FC]]</f>
        <v>0</v>
      </c>
      <c r="BH48" s="71">
        <f>Financials2026[[#This Row],[Jun AC]]-Financials2026[[#This Row],[Jun FC]]</f>
        <v>0</v>
      </c>
      <c r="BI48" s="71">
        <f>Financials2026[[#This Row],[Jul AC]]-Financials2026[[#This Row],[Jul FC]]</f>
        <v>0</v>
      </c>
      <c r="BJ48" s="71">
        <f>Financials2026[[#This Row],[Aug AC]]-Financials2026[[#This Row],[Aug FC]]</f>
        <v>0</v>
      </c>
      <c r="BK48" s="71">
        <f>Financials2026[[#This Row],[Sep AC]]-Financials2026[[#This Row],[Sep FC]]</f>
        <v>0</v>
      </c>
      <c r="BL48" s="71">
        <f>Financials2026[[#This Row],[Oct AC]]-Financials2026[[#This Row],[Oct FC]]</f>
        <v>0</v>
      </c>
      <c r="BM48" s="71">
        <f>Financials2026[[#This Row],[Nov AC]]-Financials2026[[#This Row],[Nov FC]]</f>
        <v>0</v>
      </c>
      <c r="BN48" s="71">
        <f>Financials2026[[#This Row],[Dec AC]]-Financials2026[[#This Row],[Dec FC]]</f>
        <v>0</v>
      </c>
      <c r="BO48" s="71">
        <f>SUM(Financials2026[[#This Row],[Jan Opp/Risk]:[Dec Opp./Risk]])</f>
        <v>-232868.65</v>
      </c>
      <c r="BP48" s="91" t="s">
        <v>543</v>
      </c>
      <c r="BQ48" s="47">
        <f>SUM(Financials2026[[#This Row],[Jan AC]:[Apr AC]])</f>
        <v>0</v>
      </c>
      <c r="BS48" s="6"/>
      <c r="BT48" s="6"/>
      <c r="BU48" s="6"/>
      <c r="BV48" s="6"/>
      <c r="BW48" s="6"/>
      <c r="BX48" s="6"/>
    </row>
    <row r="49" spans="1:76" hidden="1" x14ac:dyDescent="0.35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13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33"/>
        <v>12000</v>
      </c>
      <c r="X49" s="15">
        <f t="shared" si="7"/>
        <v>-600</v>
      </c>
      <c r="Y49" s="15">
        <f t="shared" si="14"/>
        <v>0</v>
      </c>
      <c r="Z49" s="15">
        <f>SUM(Financials2026[[#This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SUM(Financials2026[[#This Row],[Jan AC]:[Dec AC]])</f>
        <v>12000</v>
      </c>
      <c r="BC49" s="71">
        <f>Financials2026[[#This Row],[Jan AC]]-Financials2026[[#This Row],[Jan FC]]</f>
        <v>0</v>
      </c>
      <c r="BD49" s="71">
        <f>Financials2026[[#This Row],[Feb AC]]-Financials2026[[#This Row],[Feb FC]]</f>
        <v>-600</v>
      </c>
      <c r="BE49" s="71">
        <f>Financials2026[[#This Row],[Mar AC]]-Financials2026[[#This Row],[Mar FC]]</f>
        <v>0</v>
      </c>
      <c r="BF49" s="71">
        <f>Financials2026[[#This Row],[Apr AC]]-Financials2026[[#This Row],[Apr FC]]</f>
        <v>0</v>
      </c>
      <c r="BG49" s="71">
        <f>Financials2026[[#This Row],[May AC]]-Financials2026[[#This Row],[May FC]]</f>
        <v>0</v>
      </c>
      <c r="BH49" s="71">
        <f>Financials2026[[#This Row],[Jun AC]]-Financials2026[[#This Row],[Jun FC]]</f>
        <v>0</v>
      </c>
      <c r="BI49" s="71">
        <f>Financials2026[[#This Row],[Jul AC]]-Financials2026[[#This Row],[Jul FC]]</f>
        <v>0</v>
      </c>
      <c r="BJ49" s="71">
        <f>Financials2026[[#This Row],[Aug AC]]-Financials2026[[#This Row],[Aug FC]]</f>
        <v>0</v>
      </c>
      <c r="BK49" s="71">
        <f>Financials2026[[#This Row],[Sep AC]]-Financials2026[[#This Row],[Sep FC]]</f>
        <v>0</v>
      </c>
      <c r="BL49" s="71">
        <f>Financials2026[[#This Row],[Oct AC]]-Financials2026[[#This Row],[Oct FC]]</f>
        <v>0</v>
      </c>
      <c r="BM49" s="71">
        <f>Financials2026[[#This Row],[Nov AC]]-Financials2026[[#This Row],[Nov FC]]</f>
        <v>0</v>
      </c>
      <c r="BN49" s="71">
        <f>Financials2026[[#This Row],[Dec AC]]-Financials2026[[#This Row],[Dec FC]]</f>
        <v>0</v>
      </c>
      <c r="BO49" s="71">
        <f>SUM(Financials2026[[#This Row],[Jan Opp/Risk]:[Dec Opp./Risk]])</f>
        <v>-600</v>
      </c>
      <c r="BP49" s="90" t="s">
        <v>534</v>
      </c>
      <c r="BQ49" s="47">
        <f>SUM(Financials2026[[#This Row],[Jan AC]:[Apr AC]])</f>
        <v>12000</v>
      </c>
      <c r="BS49" s="6"/>
      <c r="BT49" s="6"/>
      <c r="BU49" s="6"/>
      <c r="BV49" s="6"/>
      <c r="BW49" s="6"/>
      <c r="BX49" s="6"/>
    </row>
    <row r="50" spans="1:76" hidden="1" x14ac:dyDescent="0.35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13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33"/>
        <v>90000</v>
      </c>
      <c r="X50" s="15">
        <f t="shared" si="7"/>
        <v>0</v>
      </c>
      <c r="Y50" s="15">
        <f t="shared" si="14"/>
        <v>0</v>
      </c>
      <c r="Z50" s="15">
        <f>SUM(Financials2026[[#This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SUM(Financials2026[[#This Row],[Jan AC]:[Dec AC]])</f>
        <v>0</v>
      </c>
      <c r="BC50" s="71">
        <f>Financials2026[[#This Row],[Jan AC]]-Financials2026[[#This Row],[Jan FC]]</f>
        <v>0</v>
      </c>
      <c r="BD50" s="71">
        <f>Financials2026[[#This Row],[Feb AC]]-Financials2026[[#This Row],[Feb FC]]</f>
        <v>0</v>
      </c>
      <c r="BE50" s="71">
        <f>Financials2026[[#This Row],[Mar AC]]-Financials2026[[#This Row],[Mar FC]]</f>
        <v>0</v>
      </c>
      <c r="BF50" s="71">
        <f>Financials2026[[#This Row],[Apr AC]]-Financials2026[[#This Row],[Apr FC]]</f>
        <v>0</v>
      </c>
      <c r="BG50" s="71">
        <f>Financials2026[[#This Row],[May AC]]-Financials2026[[#This Row],[May FC]]</f>
        <v>0</v>
      </c>
      <c r="BH50" s="71">
        <f>Financials2026[[#This Row],[Jun AC]]-Financials2026[[#This Row],[Jun FC]]</f>
        <v>0</v>
      </c>
      <c r="BI50" s="71">
        <f>Financials2026[[#This Row],[Jul AC]]-Financials2026[[#This Row],[Jul FC]]</f>
        <v>0</v>
      </c>
      <c r="BJ50" s="71">
        <f>Financials2026[[#This Row],[Aug AC]]-Financials2026[[#This Row],[Aug FC]]</f>
        <v>-90000</v>
      </c>
      <c r="BK50" s="71">
        <f>Financials2026[[#This Row],[Sep AC]]-Financials2026[[#This Row],[Sep FC]]</f>
        <v>0</v>
      </c>
      <c r="BL50" s="71">
        <f>Financials2026[[#This Row],[Oct AC]]-Financials2026[[#This Row],[Oct FC]]</f>
        <v>0</v>
      </c>
      <c r="BM50" s="71">
        <f>Financials2026[[#This Row],[Nov AC]]-Financials2026[[#This Row],[Nov FC]]</f>
        <v>0</v>
      </c>
      <c r="BN50" s="71">
        <f>Financials2026[[#This Row],[Dec AC]]-Financials2026[[#This Row],[Dec FC]]</f>
        <v>0</v>
      </c>
      <c r="BO50" s="71">
        <f>SUM(Financials2026[[#This Row],[Jan Opp/Risk]:[Dec Opp./Risk]])</f>
        <v>-90000</v>
      </c>
      <c r="BP50" s="90"/>
      <c r="BQ50" s="47">
        <f>SUM(Financials2026[[#This Row],[Jan AC]:[Apr AC]])</f>
        <v>0</v>
      </c>
      <c r="BS50" s="6"/>
      <c r="BT50" s="6"/>
      <c r="BU50" s="6"/>
      <c r="BV50" s="6"/>
      <c r="BW50" s="6"/>
      <c r="BX50" s="6"/>
    </row>
    <row r="51" spans="1:76" hidden="1" x14ac:dyDescent="0.35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13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33"/>
        <v>101291</v>
      </c>
      <c r="X51" s="15">
        <f t="shared" si="7"/>
        <v>0</v>
      </c>
      <c r="Y51" s="15">
        <f t="shared" si="14"/>
        <v>4748</v>
      </c>
      <c r="Z51" s="15">
        <f>SUM(Financials2026[[#This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SUM(Financials2026[[#This Row],[Jan AC]:[Dec AC]])</f>
        <v>101291</v>
      </c>
      <c r="BC51" s="71">
        <f>Financials2026[[#This Row],[Jan AC]]-Financials2026[[#This Row],[Jan FC]]</f>
        <v>0</v>
      </c>
      <c r="BD51" s="71">
        <f>Financials2026[[#This Row],[Feb AC]]-Financials2026[[#This Row],[Feb FC]]</f>
        <v>0</v>
      </c>
      <c r="BE51" s="71">
        <f>Financials2026[[#This Row],[Mar AC]]-Financials2026[[#This Row],[Mar FC]]</f>
        <v>0</v>
      </c>
      <c r="BF51" s="71">
        <f>Financials2026[[#This Row],[Apr AC]]-Financials2026[[#This Row],[Apr FC]]</f>
        <v>0</v>
      </c>
      <c r="BG51" s="71">
        <f>Financials2026[[#This Row],[May AC]]-Financials2026[[#This Row],[May FC]]</f>
        <v>4748</v>
      </c>
      <c r="BH51" s="71">
        <f>Financials2026[[#This Row],[Jun AC]]-Financials2026[[#This Row],[Jun FC]]</f>
        <v>0</v>
      </c>
      <c r="BI51" s="71">
        <f>Financials2026[[#This Row],[Jul AC]]-Financials2026[[#This Row],[Jul FC]]</f>
        <v>0</v>
      </c>
      <c r="BJ51" s="71">
        <f>Financials2026[[#This Row],[Aug AC]]-Financials2026[[#This Row],[Aug FC]]</f>
        <v>0</v>
      </c>
      <c r="BK51" s="71">
        <f>Financials2026[[#This Row],[Sep AC]]-Financials2026[[#This Row],[Sep FC]]</f>
        <v>0</v>
      </c>
      <c r="BL51" s="71">
        <f>Financials2026[[#This Row],[Oct AC]]-Financials2026[[#This Row],[Oct FC]]</f>
        <v>0</v>
      </c>
      <c r="BM51" s="71">
        <f>Financials2026[[#This Row],[Nov AC]]-Financials2026[[#This Row],[Nov FC]]</f>
        <v>0</v>
      </c>
      <c r="BN51" s="71">
        <f>Financials2026[[#This Row],[Dec AC]]-Financials2026[[#This Row],[Dec FC]]</f>
        <v>0</v>
      </c>
      <c r="BO51" s="71">
        <f>SUM(Financials2026[[#This Row],[Jan Opp/Risk]:[Dec Opp./Risk]])</f>
        <v>4748</v>
      </c>
      <c r="BP51" s="93" t="s">
        <v>832</v>
      </c>
      <c r="BQ51" s="47">
        <f>SUM(Financials2026[[#This Row],[Jan AC]:[Apr AC]])</f>
        <v>0</v>
      </c>
      <c r="BS51" s="6"/>
      <c r="BT51" s="6"/>
      <c r="BU51" s="6"/>
      <c r="BV51" s="6"/>
      <c r="BW51" s="6"/>
      <c r="BX51" s="6"/>
    </row>
    <row r="52" spans="1:76" hidden="1" x14ac:dyDescent="0.35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13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33"/>
        <v>14460</v>
      </c>
      <c r="X52" s="15">
        <f t="shared" si="7"/>
        <v>0</v>
      </c>
      <c r="Y52" s="15">
        <f t="shared" si="14"/>
        <v>0</v>
      </c>
      <c r="Z52" s="15">
        <f>SUM(Financials2026[[#This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SUM(Financials2026[[#This Row],[Jan AC]:[Dec AC]])</f>
        <v>0</v>
      </c>
      <c r="BC52" s="71">
        <f>Financials2026[[#This Row],[Jan AC]]-Financials2026[[#This Row],[Jan FC]]</f>
        <v>0</v>
      </c>
      <c r="BD52" s="71">
        <f>Financials2026[[#This Row],[Feb AC]]-Financials2026[[#This Row],[Feb FC]]</f>
        <v>0</v>
      </c>
      <c r="BE52" s="71">
        <f>Financials2026[[#This Row],[Mar AC]]-Financials2026[[#This Row],[Mar FC]]</f>
        <v>0</v>
      </c>
      <c r="BF52" s="71">
        <f>Financials2026[[#This Row],[Apr AC]]-Financials2026[[#This Row],[Apr FC]]</f>
        <v>-14460</v>
      </c>
      <c r="BG52" s="71">
        <f>Financials2026[[#This Row],[May AC]]-Financials2026[[#This Row],[May FC]]</f>
        <v>0</v>
      </c>
      <c r="BH52" s="71">
        <f>Financials2026[[#This Row],[Jun AC]]-Financials2026[[#This Row],[Jun FC]]</f>
        <v>0</v>
      </c>
      <c r="BI52" s="71">
        <f>Financials2026[[#This Row],[Jul AC]]-Financials2026[[#This Row],[Jul FC]]</f>
        <v>0</v>
      </c>
      <c r="BJ52" s="71">
        <f>Financials2026[[#This Row],[Aug AC]]-Financials2026[[#This Row],[Aug FC]]</f>
        <v>0</v>
      </c>
      <c r="BK52" s="71">
        <f>Financials2026[[#This Row],[Sep AC]]-Financials2026[[#This Row],[Sep FC]]</f>
        <v>0</v>
      </c>
      <c r="BL52" s="71">
        <f>Financials2026[[#This Row],[Oct AC]]-Financials2026[[#This Row],[Oct FC]]</f>
        <v>0</v>
      </c>
      <c r="BM52" s="71">
        <f>Financials2026[[#This Row],[Nov AC]]-Financials2026[[#This Row],[Nov FC]]</f>
        <v>0</v>
      </c>
      <c r="BN52" s="71">
        <f>Financials2026[[#This Row],[Dec AC]]-Financials2026[[#This Row],[Dec FC]]</f>
        <v>0</v>
      </c>
      <c r="BO52" s="71">
        <f>SUM(Financials2026[[#This Row],[Jan Opp/Risk]:[Dec Opp./Risk]])</f>
        <v>-14460</v>
      </c>
      <c r="BP52" s="93"/>
      <c r="BQ52" s="47">
        <f>SUM(Financials2026[[#This Row],[Jan AC]:[Apr AC]])</f>
        <v>0</v>
      </c>
      <c r="BS52" s="6"/>
      <c r="BT52" s="6"/>
      <c r="BU52" s="6"/>
      <c r="BV52" s="6"/>
      <c r="BW52" s="6"/>
      <c r="BX52" s="6"/>
    </row>
    <row r="53" spans="1:76" hidden="1" x14ac:dyDescent="0.35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13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33"/>
        <v>59783.0625</v>
      </c>
      <c r="X53" s="15">
        <f t="shared" si="7"/>
        <v>0</v>
      </c>
      <c r="Y53" s="15">
        <f t="shared" si="14"/>
        <v>0</v>
      </c>
      <c r="Z53" s="15">
        <f>SUM(Financials2026[[#This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SUM(Financials2026[[#This Row],[Jan AC]:[Dec AC]])</f>
        <v>0</v>
      </c>
      <c r="BC53" s="71">
        <f>Financials2026[[#This Row],[Jan AC]]-Financials2026[[#This Row],[Jan FC]]</f>
        <v>0</v>
      </c>
      <c r="BD53" s="71">
        <f>Financials2026[[#This Row],[Feb AC]]-Financials2026[[#This Row],[Feb FC]]</f>
        <v>0</v>
      </c>
      <c r="BE53" s="71">
        <f>Financials2026[[#This Row],[Mar AC]]-Financials2026[[#This Row],[Mar FC]]</f>
        <v>0</v>
      </c>
      <c r="BF53" s="71">
        <f>Financials2026[[#This Row],[Apr AC]]-Financials2026[[#This Row],[Apr FC]]</f>
        <v>0</v>
      </c>
      <c r="BG53" s="71">
        <f>Financials2026[[#This Row],[May AC]]-Financials2026[[#This Row],[May FC]]</f>
        <v>0</v>
      </c>
      <c r="BH53" s="71">
        <f>Financials2026[[#This Row],[Jun AC]]-Financials2026[[#This Row],[Jun FC]]</f>
        <v>0</v>
      </c>
      <c r="BI53" s="71">
        <f>Financials2026[[#This Row],[Jul AC]]-Financials2026[[#This Row],[Jul FC]]</f>
        <v>0</v>
      </c>
      <c r="BJ53" s="71">
        <f>Financials2026[[#This Row],[Aug AC]]-Financials2026[[#This Row],[Aug FC]]</f>
        <v>0</v>
      </c>
      <c r="BK53" s="71">
        <f>Financials2026[[#This Row],[Sep AC]]-Financials2026[[#This Row],[Sep FC]]</f>
        <v>0</v>
      </c>
      <c r="BL53" s="71">
        <f>Financials2026[[#This Row],[Oct AC]]-Financials2026[[#This Row],[Oct FC]]</f>
        <v>0</v>
      </c>
      <c r="BM53" s="71">
        <f>Financials2026[[#This Row],[Nov AC]]-Financials2026[[#This Row],[Nov FC]]</f>
        <v>-59783.0625</v>
      </c>
      <c r="BN53" s="71">
        <f>Financials2026[[#This Row],[Dec AC]]-Financials2026[[#This Row],[Dec FC]]</f>
        <v>0</v>
      </c>
      <c r="BO53" s="71">
        <f>SUM(Financials2026[[#This Row],[Jan Opp/Risk]:[Dec Opp./Risk]])</f>
        <v>-59783.0625</v>
      </c>
      <c r="BP53" s="93"/>
      <c r="BQ53" s="47">
        <f>SUM(Financials2026[[#This Row],[Jan AC]:[Apr AC]])</f>
        <v>0</v>
      </c>
      <c r="BS53" s="6"/>
      <c r="BT53" s="6"/>
      <c r="BU53" s="6"/>
      <c r="BV53" s="6"/>
      <c r="BW53" s="6"/>
      <c r="BX53" s="6"/>
    </row>
    <row r="54" spans="1:76" hidden="1" x14ac:dyDescent="0.35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ref="K54:K83" si="49">D54 &amp; "-" &amp;E54</f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33"/>
        <v>1260</v>
      </c>
      <c r="X54" s="15">
        <f t="shared" si="7"/>
        <v>0</v>
      </c>
      <c r="Y54" s="15">
        <f t="shared" ref="Y54:Y83" si="50">IF(W54 &gt; V54, W54 - V54, 0)</f>
        <v>0</v>
      </c>
      <c r="Z54" s="15">
        <f>SUM(Financials2026[[#This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SUM(Financials2026[[#This Row],[Jan AC]:[Dec AC]])</f>
        <v>1260</v>
      </c>
      <c r="BC54" s="71">
        <f>Financials2026[[#This Row],[Jan AC]]-Financials2026[[#This Row],[Jan FC]]</f>
        <v>0</v>
      </c>
      <c r="BD54" s="71">
        <f>Financials2026[[#This Row],[Feb AC]]-Financials2026[[#This Row],[Feb FC]]</f>
        <v>0</v>
      </c>
      <c r="BE54" s="71">
        <f>Financials2026[[#This Row],[Mar AC]]-Financials2026[[#This Row],[Mar FC]]</f>
        <v>0</v>
      </c>
      <c r="BF54" s="71">
        <f>Financials2026[[#This Row],[Apr AC]]-Financials2026[[#This Row],[Apr FC]]</f>
        <v>0</v>
      </c>
      <c r="BG54" s="71">
        <f>Financials2026[[#This Row],[May AC]]-Financials2026[[#This Row],[May FC]]</f>
        <v>0</v>
      </c>
      <c r="BH54" s="71">
        <f>Financials2026[[#This Row],[Jun AC]]-Financials2026[[#This Row],[Jun FC]]</f>
        <v>0</v>
      </c>
      <c r="BI54" s="71">
        <f>Financials2026[[#This Row],[Jul AC]]-Financials2026[[#This Row],[Jul FC]]</f>
        <v>0</v>
      </c>
      <c r="BJ54" s="71">
        <f>Financials2026[[#This Row],[Aug AC]]-Financials2026[[#This Row],[Aug FC]]</f>
        <v>0</v>
      </c>
      <c r="BK54" s="71">
        <f>Financials2026[[#This Row],[Sep AC]]-Financials2026[[#This Row],[Sep FC]]</f>
        <v>0</v>
      </c>
      <c r="BL54" s="71">
        <f>Financials2026[[#This Row],[Oct AC]]-Financials2026[[#This Row],[Oct FC]]</f>
        <v>0</v>
      </c>
      <c r="BM54" s="71">
        <f>Financials2026[[#This Row],[Nov AC]]-Financials2026[[#This Row],[Nov FC]]</f>
        <v>0</v>
      </c>
      <c r="BN54" s="71">
        <f>Financials2026[[#This Row],[Dec AC]]-Financials2026[[#This Row],[Dec FC]]</f>
        <v>0</v>
      </c>
      <c r="BO54" s="71">
        <f>SUM(Financials2026[[#This Row],[Jan Opp/Risk]:[Dec Opp./Risk]])</f>
        <v>0</v>
      </c>
      <c r="BP54" s="90"/>
      <c r="BQ54" s="47">
        <f>SUM(Financials2026[[#This Row],[Jan AC]:[Apr AC]])</f>
        <v>1260</v>
      </c>
      <c r="BS54" s="6"/>
      <c r="BT54" s="6"/>
      <c r="BU54" s="6"/>
      <c r="BV54" s="6"/>
      <c r="BW54" s="6"/>
      <c r="BX54" s="6"/>
    </row>
    <row r="55" spans="1:76" hidden="1" x14ac:dyDescent="0.35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49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33"/>
        <v>1726</v>
      </c>
      <c r="X55" s="15">
        <f t="shared" si="7"/>
        <v>0</v>
      </c>
      <c r="Y55" s="15">
        <f t="shared" si="50"/>
        <v>0.24099999999998545</v>
      </c>
      <c r="Z55" s="15">
        <f>SUM(Financials2026[[#This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SUM(Financials2026[[#This Row],[Jan AC]:[Dec AC]])</f>
        <v>0</v>
      </c>
      <c r="BC55" s="71">
        <f>Financials2026[[#This Row],[Jan AC]]-Financials2026[[#This Row],[Jan FC]]</f>
        <v>0</v>
      </c>
      <c r="BD55" s="71">
        <f>Financials2026[[#This Row],[Feb AC]]-Financials2026[[#This Row],[Feb FC]]</f>
        <v>0</v>
      </c>
      <c r="BE55" s="71">
        <f>Financials2026[[#This Row],[Mar AC]]-Financials2026[[#This Row],[Mar FC]]</f>
        <v>0</v>
      </c>
      <c r="BF55" s="71">
        <f>Financials2026[[#This Row],[Apr AC]]-Financials2026[[#This Row],[Apr FC]]</f>
        <v>0</v>
      </c>
      <c r="BG55" s="71">
        <f>Financials2026[[#This Row],[May AC]]-Financials2026[[#This Row],[May FC]]</f>
        <v>0</v>
      </c>
      <c r="BH55" s="71">
        <f>Financials2026[[#This Row],[Jun AC]]-Financials2026[[#This Row],[Jun FC]]</f>
        <v>0</v>
      </c>
      <c r="BI55" s="71">
        <f>Financials2026[[#This Row],[Jul AC]]-Financials2026[[#This Row],[Jul FC]]</f>
        <v>0</v>
      </c>
      <c r="BJ55" s="71">
        <f>Financials2026[[#This Row],[Aug AC]]-Financials2026[[#This Row],[Aug FC]]</f>
        <v>0</v>
      </c>
      <c r="BK55" s="71">
        <f>Financials2026[[#This Row],[Sep AC]]-Financials2026[[#This Row],[Sep FC]]</f>
        <v>-1726</v>
      </c>
      <c r="BL55" s="71">
        <f>Financials2026[[#This Row],[Oct AC]]-Financials2026[[#This Row],[Oct FC]]</f>
        <v>0</v>
      </c>
      <c r="BM55" s="71">
        <f>Financials2026[[#This Row],[Nov AC]]-Financials2026[[#This Row],[Nov FC]]</f>
        <v>0</v>
      </c>
      <c r="BN55" s="71">
        <f>Financials2026[[#This Row],[Dec AC]]-Financials2026[[#This Row],[Dec FC]]</f>
        <v>0</v>
      </c>
      <c r="BO55" s="71">
        <f>SUM(Financials2026[[#This Row],[Jan Opp/Risk]:[Dec Opp./Risk]])</f>
        <v>-1726</v>
      </c>
      <c r="BP55" s="90"/>
      <c r="BQ55" s="47">
        <f>SUM(Financials2026[[#This Row],[Jan AC]:[Apr AC]])</f>
        <v>0</v>
      </c>
      <c r="BS55" s="6"/>
      <c r="BT55" s="6"/>
      <c r="BU55" s="6"/>
      <c r="BV55" s="6"/>
      <c r="BW55" s="6"/>
      <c r="BX55" s="6"/>
    </row>
    <row r="56" spans="1:76" hidden="1" x14ac:dyDescent="0.35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49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33"/>
        <v>26065</v>
      </c>
      <c r="X56" s="15">
        <f t="shared" si="7"/>
        <v>0</v>
      </c>
      <c r="Y56" s="15">
        <f t="shared" si="50"/>
        <v>0.23049999999784632</v>
      </c>
      <c r="Z56" s="15">
        <f>SUM(Financials2026[[#This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SUM(Financials2026[[#This Row],[Jan AC]:[Dec AC]])</f>
        <v>0</v>
      </c>
      <c r="BC56" s="71">
        <f>Financials2026[[#This Row],[Jan AC]]-Financials2026[[#This Row],[Jan FC]]</f>
        <v>0</v>
      </c>
      <c r="BD56" s="71">
        <f>Financials2026[[#This Row],[Feb AC]]-Financials2026[[#This Row],[Feb FC]]</f>
        <v>0</v>
      </c>
      <c r="BE56" s="71">
        <f>Financials2026[[#This Row],[Mar AC]]-Financials2026[[#This Row],[Mar FC]]</f>
        <v>0</v>
      </c>
      <c r="BF56" s="71">
        <f>Financials2026[[#This Row],[Apr AC]]-Financials2026[[#This Row],[Apr FC]]</f>
        <v>0</v>
      </c>
      <c r="BG56" s="71">
        <f>Financials2026[[#This Row],[May AC]]-Financials2026[[#This Row],[May FC]]</f>
        <v>-26065</v>
      </c>
      <c r="BH56" s="71">
        <f>Financials2026[[#This Row],[Jun AC]]-Financials2026[[#This Row],[Jun FC]]</f>
        <v>0</v>
      </c>
      <c r="BI56" s="71">
        <f>Financials2026[[#This Row],[Jul AC]]-Financials2026[[#This Row],[Jul FC]]</f>
        <v>0</v>
      </c>
      <c r="BJ56" s="71">
        <f>Financials2026[[#This Row],[Aug AC]]-Financials2026[[#This Row],[Aug FC]]</f>
        <v>0</v>
      </c>
      <c r="BK56" s="71">
        <f>Financials2026[[#This Row],[Sep AC]]-Financials2026[[#This Row],[Sep FC]]</f>
        <v>0</v>
      </c>
      <c r="BL56" s="71">
        <f>Financials2026[[#This Row],[Oct AC]]-Financials2026[[#This Row],[Oct FC]]</f>
        <v>0</v>
      </c>
      <c r="BM56" s="71">
        <f>Financials2026[[#This Row],[Nov AC]]-Financials2026[[#This Row],[Nov FC]]</f>
        <v>0</v>
      </c>
      <c r="BN56" s="71">
        <f>Financials2026[[#This Row],[Dec AC]]-Financials2026[[#This Row],[Dec FC]]</f>
        <v>0</v>
      </c>
      <c r="BO56" s="71">
        <f>SUM(Financials2026[[#This Row],[Jan Opp/Risk]:[Dec Opp./Risk]])</f>
        <v>-26065</v>
      </c>
      <c r="BP56" s="90"/>
      <c r="BQ56" s="47">
        <f>SUM(Financials2026[[#This Row],[Jan AC]:[Apr AC]])</f>
        <v>0</v>
      </c>
      <c r="BS56" s="6"/>
      <c r="BT56" s="6"/>
      <c r="BU56" s="6"/>
      <c r="BV56" s="6"/>
      <c r="BW56" s="6"/>
      <c r="BX56" s="6"/>
    </row>
    <row r="57" spans="1:76" hidden="1" x14ac:dyDescent="0.35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49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33"/>
        <v>1719.9</v>
      </c>
      <c r="X57" s="15">
        <f t="shared" si="7"/>
        <v>0</v>
      </c>
      <c r="Y57" s="15">
        <f t="shared" si="50"/>
        <v>358.04999999999995</v>
      </c>
      <c r="Z57" s="15">
        <f>SUM(Financials2026[[#This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SUM(Financials2026[[#This Row],[Jan AC]:[Dec AC]])</f>
        <v>1719.9</v>
      </c>
      <c r="BC57" s="71">
        <f>Financials2026[[#This Row],[Jan AC]]-Financials2026[[#This Row],[Jan FC]]</f>
        <v>0</v>
      </c>
      <c r="BD57" s="71">
        <f>Financials2026[[#This Row],[Feb AC]]-Financials2026[[#This Row],[Feb FC]]</f>
        <v>0</v>
      </c>
      <c r="BE57" s="71">
        <f>Financials2026[[#This Row],[Mar AC]]-Financials2026[[#This Row],[Mar FC]]</f>
        <v>0</v>
      </c>
      <c r="BF57" s="71">
        <f>Financials2026[[#This Row],[Apr AC]]-Financials2026[[#This Row],[Apr FC]]</f>
        <v>357.90000000000009</v>
      </c>
      <c r="BG57" s="71">
        <f>Financials2026[[#This Row],[May AC]]-Financials2026[[#This Row],[May FC]]</f>
        <v>0</v>
      </c>
      <c r="BH57" s="71">
        <f>Financials2026[[#This Row],[Jun AC]]-Financials2026[[#This Row],[Jun FC]]</f>
        <v>0</v>
      </c>
      <c r="BI57" s="71">
        <f>Financials2026[[#This Row],[Jul AC]]-Financials2026[[#This Row],[Jul FC]]</f>
        <v>0</v>
      </c>
      <c r="BJ57" s="71">
        <f>Financials2026[[#This Row],[Aug AC]]-Financials2026[[#This Row],[Aug FC]]</f>
        <v>0</v>
      </c>
      <c r="BK57" s="71">
        <f>Financials2026[[#This Row],[Sep AC]]-Financials2026[[#This Row],[Sep FC]]</f>
        <v>0</v>
      </c>
      <c r="BL57" s="71">
        <f>Financials2026[[#This Row],[Oct AC]]-Financials2026[[#This Row],[Oct FC]]</f>
        <v>0</v>
      </c>
      <c r="BM57" s="71">
        <f>Financials2026[[#This Row],[Nov AC]]-Financials2026[[#This Row],[Nov FC]]</f>
        <v>0</v>
      </c>
      <c r="BN57" s="71">
        <f>Financials2026[[#This Row],[Dec AC]]-Financials2026[[#This Row],[Dec FC]]</f>
        <v>0</v>
      </c>
      <c r="BO57" s="71">
        <f>SUM(Financials2026[[#This Row],[Jan Opp/Risk]:[Dec Opp./Risk]])</f>
        <v>357.90000000000009</v>
      </c>
      <c r="BP57" s="90" t="s">
        <v>534</v>
      </c>
      <c r="BQ57" s="47">
        <f>SUM(Financials2026[[#This Row],[Jan AC]:[Apr AC]])</f>
        <v>1719.9</v>
      </c>
      <c r="BS57" s="6"/>
      <c r="BT57" s="6"/>
      <c r="BU57" s="6"/>
      <c r="BV57" s="6"/>
      <c r="BW57" s="6"/>
      <c r="BX57" s="6"/>
    </row>
    <row r="58" spans="1:76" hidden="1" x14ac:dyDescent="0.35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49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33"/>
        <v>1472.85</v>
      </c>
      <c r="X58" s="15">
        <f t="shared" si="7"/>
        <v>0</v>
      </c>
      <c r="Y58" s="15">
        <f t="shared" si="50"/>
        <v>83.699999999999818</v>
      </c>
      <c r="Z58" s="15">
        <f>SUM(Financials2026[[#This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SUM(Financials2026[[#This Row],[Jan AC]:[Dec AC]])</f>
        <v>1472.85</v>
      </c>
      <c r="BC58" s="71">
        <f>Financials2026[[#This Row],[Jan AC]]-Financials2026[[#This Row],[Jan FC]]</f>
        <v>0</v>
      </c>
      <c r="BD58" s="71">
        <f>Financials2026[[#This Row],[Feb AC]]-Financials2026[[#This Row],[Feb FC]]</f>
        <v>83.849999999999909</v>
      </c>
      <c r="BE58" s="71">
        <f>Financials2026[[#This Row],[Mar AC]]-Financials2026[[#This Row],[Mar FC]]</f>
        <v>0</v>
      </c>
      <c r="BF58" s="71">
        <f>Financials2026[[#This Row],[Apr AC]]-Financials2026[[#This Row],[Apr FC]]</f>
        <v>0</v>
      </c>
      <c r="BG58" s="71">
        <f>Financials2026[[#This Row],[May AC]]-Financials2026[[#This Row],[May FC]]</f>
        <v>0</v>
      </c>
      <c r="BH58" s="71">
        <f>Financials2026[[#This Row],[Jun AC]]-Financials2026[[#This Row],[Jun FC]]</f>
        <v>0</v>
      </c>
      <c r="BI58" s="71">
        <f>Financials2026[[#This Row],[Jul AC]]-Financials2026[[#This Row],[Jul FC]]</f>
        <v>0</v>
      </c>
      <c r="BJ58" s="71">
        <f>Financials2026[[#This Row],[Aug AC]]-Financials2026[[#This Row],[Aug FC]]</f>
        <v>0</v>
      </c>
      <c r="BK58" s="71">
        <f>Financials2026[[#This Row],[Sep AC]]-Financials2026[[#This Row],[Sep FC]]</f>
        <v>0</v>
      </c>
      <c r="BL58" s="71">
        <f>Financials2026[[#This Row],[Oct AC]]-Financials2026[[#This Row],[Oct FC]]</f>
        <v>0</v>
      </c>
      <c r="BM58" s="71">
        <f>Financials2026[[#This Row],[Nov AC]]-Financials2026[[#This Row],[Nov FC]]</f>
        <v>0</v>
      </c>
      <c r="BN58" s="71">
        <f>Financials2026[[#This Row],[Dec AC]]-Financials2026[[#This Row],[Dec FC]]</f>
        <v>0</v>
      </c>
      <c r="BO58" s="71">
        <f>SUM(Financials2026[[#This Row],[Jan Opp/Risk]:[Dec Opp./Risk]])</f>
        <v>83.849999999999909</v>
      </c>
      <c r="BP58" s="90" t="s">
        <v>534</v>
      </c>
      <c r="BQ58" s="47">
        <f>SUM(Financials2026[[#This Row],[Jan AC]:[Apr AC]])</f>
        <v>1472.85</v>
      </c>
      <c r="BS58" s="6"/>
      <c r="BT58" s="6"/>
      <c r="BU58" s="6"/>
      <c r="BV58" s="6"/>
      <c r="BW58" s="6"/>
      <c r="BX58" s="6"/>
    </row>
    <row r="59" spans="1:76" hidden="1" x14ac:dyDescent="0.35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49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33"/>
        <v>2073920.716666667</v>
      </c>
      <c r="X59" s="15">
        <f t="shared" si="7"/>
        <v>0</v>
      </c>
      <c r="Y59" s="15">
        <f t="shared" si="50"/>
        <v>173535.71666666702</v>
      </c>
      <c r="Z59" s="15">
        <f>SUM(Financials2026[[#This Row],[2026 Opportunity]:[2026 Risk]])</f>
        <v>173535.71666666702</v>
      </c>
      <c r="AA59" s="3" t="s">
        <v>437</v>
      </c>
      <c r="AB59" s="51">
        <f t="shared" ref="AB59:AT59" si="51">(1900385/12)</f>
        <v>158365.41666666666</v>
      </c>
      <c r="AC59" s="51">
        <f t="shared" si="51"/>
        <v>158365.41666666666</v>
      </c>
      <c r="AD59" s="51">
        <f t="shared" si="51"/>
        <v>158365.41666666666</v>
      </c>
      <c r="AE59" s="51">
        <f t="shared" si="51"/>
        <v>158365.41666666666</v>
      </c>
      <c r="AF59" s="51">
        <f t="shared" si="51"/>
        <v>158365.41666666666</v>
      </c>
      <c r="AG59" s="51">
        <f>(2197874.8/12)</f>
        <v>183156.23333333331</v>
      </c>
      <c r="AH59" s="51">
        <f t="shared" ref="AH59:AM59" si="52">(2197874.8/12)</f>
        <v>183156.23333333331</v>
      </c>
      <c r="AI59" s="51">
        <f t="shared" si="52"/>
        <v>183156.23333333331</v>
      </c>
      <c r="AJ59" s="51">
        <f t="shared" si="52"/>
        <v>183156.23333333331</v>
      </c>
      <c r="AK59" s="51">
        <f t="shared" si="52"/>
        <v>183156.23333333331</v>
      </c>
      <c r="AL59" s="51">
        <f t="shared" si="52"/>
        <v>183156.23333333331</v>
      </c>
      <c r="AM59" s="51">
        <f t="shared" si="52"/>
        <v>183156.23333333331</v>
      </c>
      <c r="AN59" s="51">
        <f>SUM(Financials2026[[#This Row],[Jan FC]:[Dec FC]])</f>
        <v>2073920.7166666668</v>
      </c>
      <c r="AO59" s="15">
        <f t="shared" si="5"/>
        <v>1282093.6333333333</v>
      </c>
      <c r="AP59" s="60">
        <f t="shared" si="51"/>
        <v>158365.41666666666</v>
      </c>
      <c r="AQ59" s="60">
        <f t="shared" si="51"/>
        <v>158365.41666666666</v>
      </c>
      <c r="AR59" s="60">
        <f t="shared" si="51"/>
        <v>158365.41666666666</v>
      </c>
      <c r="AS59" s="60">
        <f t="shared" si="51"/>
        <v>158365.41666666666</v>
      </c>
      <c r="AT59" s="60">
        <f t="shared" si="51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SUM(Financials2026[[#This Row],[Jan AC]:[Dec AC]])</f>
        <v>791827.08333333326</v>
      </c>
      <c r="BC59" s="71">
        <f>Financials2026[[#This Row],[Jan AC]]-Financials2026[[#This Row],[Jan FC]]</f>
        <v>0</v>
      </c>
      <c r="BD59" s="71">
        <f>Financials2026[[#This Row],[Feb AC]]-Financials2026[[#This Row],[Feb FC]]</f>
        <v>0</v>
      </c>
      <c r="BE59" s="71">
        <f>Financials2026[[#This Row],[Mar AC]]-Financials2026[[#This Row],[Mar FC]]</f>
        <v>0</v>
      </c>
      <c r="BF59" s="71">
        <f>Financials2026[[#This Row],[Apr AC]]-Financials2026[[#This Row],[Apr FC]]</f>
        <v>0</v>
      </c>
      <c r="BG59" s="71">
        <f>Financials2026[[#This Row],[May AC]]-Financials2026[[#This Row],[May FC]]</f>
        <v>0</v>
      </c>
      <c r="BH59" s="71">
        <f>Financials2026[[#This Row],[Jun AC]]-Financials2026[[#This Row],[Jun FC]]</f>
        <v>-183156.23333333331</v>
      </c>
      <c r="BI59" s="71">
        <f>Financials2026[[#This Row],[Jul AC]]-Financials2026[[#This Row],[Jul FC]]</f>
        <v>-183156.23333333331</v>
      </c>
      <c r="BJ59" s="71">
        <f>Financials2026[[#This Row],[Aug AC]]-Financials2026[[#This Row],[Aug FC]]</f>
        <v>-183156.23333333331</v>
      </c>
      <c r="BK59" s="71">
        <f>Financials2026[[#This Row],[Sep AC]]-Financials2026[[#This Row],[Sep FC]]</f>
        <v>-183156.23333333331</v>
      </c>
      <c r="BL59" s="71">
        <f>Financials2026[[#This Row],[Oct AC]]-Financials2026[[#This Row],[Oct FC]]</f>
        <v>-183156.23333333331</v>
      </c>
      <c r="BM59" s="71">
        <f>Financials2026[[#This Row],[Nov AC]]-Financials2026[[#This Row],[Nov FC]]</f>
        <v>-183156.23333333331</v>
      </c>
      <c r="BN59" s="71">
        <f>Financials2026[[#This Row],[Dec AC]]-Financials2026[[#This Row],[Dec FC]]</f>
        <v>-183156.23333333331</v>
      </c>
      <c r="BO59" s="71">
        <f>SUM(Financials2026[[#This Row],[Jan Opp/Risk]:[Dec Opp./Risk]])</f>
        <v>-1282093.6333333333</v>
      </c>
      <c r="BP59" s="89"/>
      <c r="BQ59" s="47">
        <f>SUM(Financials2026[[#This Row],[Jan AC]:[Apr AC]])</f>
        <v>633461.66666666663</v>
      </c>
      <c r="BS59" s="6"/>
      <c r="BT59" s="6"/>
      <c r="BU59" s="6"/>
      <c r="BV59" s="6"/>
      <c r="BW59" s="6"/>
      <c r="BX59" s="6"/>
    </row>
    <row r="60" spans="1:76" hidden="1" x14ac:dyDescent="0.35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49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33"/>
        <v>305666.66666666669</v>
      </c>
      <c r="X60" s="15">
        <f t="shared" si="7"/>
        <v>-1947.1333333333605</v>
      </c>
      <c r="Y60" s="15">
        <f t="shared" si="50"/>
        <v>0</v>
      </c>
      <c r="Z60" s="15">
        <f>SUM(Financials2026[[#This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SUM(Financials2026[[#This Row],[Jan AC]:[Dec AC]])</f>
        <v>305666.66666666663</v>
      </c>
      <c r="BC60" s="71">
        <f>Financials2026[[#This Row],[Jan AC]]-Financials2026[[#This Row],[Jan FC]]</f>
        <v>0</v>
      </c>
      <c r="BD60" s="71">
        <f>Financials2026[[#This Row],[Feb AC]]-Financials2026[[#This Row],[Feb FC]]</f>
        <v>0</v>
      </c>
      <c r="BE60" s="71">
        <f>Financials2026[[#This Row],[Mar AC]]-Financials2026[[#This Row],[Mar FC]]</f>
        <v>0</v>
      </c>
      <c r="BF60" s="71">
        <f>Financials2026[[#This Row],[Apr AC]]-Financials2026[[#This Row],[Apr FC]]</f>
        <v>0</v>
      </c>
      <c r="BG60" s="71">
        <f>Financials2026[[#This Row],[May AC]]-Financials2026[[#This Row],[May FC]]</f>
        <v>0</v>
      </c>
      <c r="BH60" s="71">
        <f>Financials2026[[#This Row],[Jun AC]]-Financials2026[[#This Row],[Jun FC]]</f>
        <v>0</v>
      </c>
      <c r="BI60" s="71">
        <f>Financials2026[[#This Row],[Jul AC]]-Financials2026[[#This Row],[Jul FC]]</f>
        <v>0</v>
      </c>
      <c r="BJ60" s="71">
        <f>Financials2026[[#This Row],[Aug AC]]-Financials2026[[#This Row],[Aug FC]]</f>
        <v>0</v>
      </c>
      <c r="BK60" s="71">
        <f>Financials2026[[#This Row],[Sep AC]]-Financials2026[[#This Row],[Sep FC]]</f>
        <v>0</v>
      </c>
      <c r="BL60" s="71">
        <f>Financials2026[[#This Row],[Oct AC]]-Financials2026[[#This Row],[Oct FC]]</f>
        <v>0</v>
      </c>
      <c r="BM60" s="71">
        <f>Financials2026[[#This Row],[Nov AC]]-Financials2026[[#This Row],[Nov FC]]</f>
        <v>0</v>
      </c>
      <c r="BN60" s="71">
        <f>Financials2026[[#This Row],[Dec AC]]-Financials2026[[#This Row],[Dec FC]]</f>
        <v>0</v>
      </c>
      <c r="BO60" s="71">
        <f>SUM(Financials2026[[#This Row],[Jan Opp/Risk]:[Dec Opp./Risk]])</f>
        <v>0</v>
      </c>
      <c r="BP60" s="90" t="s">
        <v>830</v>
      </c>
      <c r="BQ60" s="47">
        <f>SUM(Financials2026[[#This Row],[Jan AC]:[Apr AC]])</f>
        <v>99633.333333333328</v>
      </c>
      <c r="BS60" s="6"/>
      <c r="BT60" s="6"/>
      <c r="BU60" s="6"/>
      <c r="BV60" s="6"/>
      <c r="BW60" s="6"/>
      <c r="BX60" s="6"/>
    </row>
    <row r="61" spans="1:76" hidden="1" x14ac:dyDescent="0.35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49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33"/>
        <v>461680.95416666666</v>
      </c>
      <c r="X61" s="15">
        <f t="shared" si="7"/>
        <v>0</v>
      </c>
      <c r="Y61" s="15">
        <f t="shared" si="50"/>
        <v>100631.95416666666</v>
      </c>
      <c r="Z61" s="15">
        <f>SUM(Financials2026[[#This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SUM(Financials2026[[#This Row],[Jan FC]:[Dec FC]])</f>
        <v>461680.95416666666</v>
      </c>
      <c r="AO61" s="15">
        <f t="shared" si="5"/>
        <v>251825.97499999995</v>
      </c>
      <c r="AP61" s="61">
        <f t="shared" ref="AP61:AZ61" si="53">((109780.1+393871.85)/12)</f>
        <v>41970.995833333327</v>
      </c>
      <c r="AQ61" s="61">
        <f t="shared" si="53"/>
        <v>41970.995833333327</v>
      </c>
      <c r="AR61" s="61">
        <f t="shared" si="53"/>
        <v>41970.995833333327</v>
      </c>
      <c r="AS61" s="61">
        <f t="shared" si="53"/>
        <v>41970.995833333327</v>
      </c>
      <c r="AT61" s="61">
        <f t="shared" si="53"/>
        <v>41970.995833333327</v>
      </c>
      <c r="AU61" s="61">
        <f t="shared" si="53"/>
        <v>41970.995833333327</v>
      </c>
      <c r="AV61" s="61">
        <f t="shared" si="53"/>
        <v>41970.995833333327</v>
      </c>
      <c r="AW61" s="61">
        <f t="shared" si="53"/>
        <v>41970.995833333327</v>
      </c>
      <c r="AX61" s="61">
        <f t="shared" si="53"/>
        <v>41970.995833333327</v>
      </c>
      <c r="AY61" s="61">
        <f t="shared" si="53"/>
        <v>41970.995833333327</v>
      </c>
      <c r="AZ61" s="61">
        <f t="shared" si="53"/>
        <v>41970.995833333327</v>
      </c>
      <c r="BA61" s="60"/>
      <c r="BB61" s="79">
        <f>SUM(Financials2026[[#This Row],[Jan AC]:[Dec AC]])</f>
        <v>461680.95416666666</v>
      </c>
      <c r="BC61" s="71">
        <f>Financials2026[[#This Row],[Jan AC]]-Financials2026[[#This Row],[Jan FC]]</f>
        <v>0</v>
      </c>
      <c r="BD61" s="71">
        <f>Financials2026[[#This Row],[Feb AC]]-Financials2026[[#This Row],[Feb FC]]</f>
        <v>0</v>
      </c>
      <c r="BE61" s="71">
        <f>Financials2026[[#This Row],[Mar AC]]-Financials2026[[#This Row],[Mar FC]]</f>
        <v>0</v>
      </c>
      <c r="BF61" s="71">
        <f>Financials2026[[#This Row],[Apr AC]]-Financials2026[[#This Row],[Apr FC]]</f>
        <v>0</v>
      </c>
      <c r="BG61" s="71">
        <f>Financials2026[[#This Row],[May AC]]-Financials2026[[#This Row],[May FC]]</f>
        <v>0</v>
      </c>
      <c r="BH61" s="71">
        <f>Financials2026[[#This Row],[Jun AC]]-Financials2026[[#This Row],[Jun FC]]</f>
        <v>0</v>
      </c>
      <c r="BI61" s="71">
        <f>Financials2026[[#This Row],[Jul AC]]-Financials2026[[#This Row],[Jul FC]]</f>
        <v>0</v>
      </c>
      <c r="BJ61" s="71">
        <f>Financials2026[[#This Row],[Aug AC]]-Financials2026[[#This Row],[Aug FC]]</f>
        <v>0</v>
      </c>
      <c r="BK61" s="71">
        <f>Financials2026[[#This Row],[Sep AC]]-Financials2026[[#This Row],[Sep FC]]</f>
        <v>0</v>
      </c>
      <c r="BL61" s="71">
        <f>Financials2026[[#This Row],[Oct AC]]-Financials2026[[#This Row],[Oct FC]]</f>
        <v>0</v>
      </c>
      <c r="BM61" s="71">
        <f>Financials2026[[#This Row],[Nov AC]]-Financials2026[[#This Row],[Nov FC]]</f>
        <v>0</v>
      </c>
      <c r="BN61" s="71">
        <f>Financials2026[[#This Row],[Dec AC]]-Financials2026[[#This Row],[Dec FC]]</f>
        <v>0</v>
      </c>
      <c r="BO61" s="71">
        <f>SUM(Financials2026[[#This Row],[Jan Opp/Risk]:[Dec Opp./Risk]])</f>
        <v>0</v>
      </c>
      <c r="BP61" s="90" t="s">
        <v>490</v>
      </c>
      <c r="BQ61" s="47">
        <f>SUM(Financials2026[[#This Row],[Jan AC]:[Apr AC]])</f>
        <v>167883.98333333331</v>
      </c>
      <c r="BS61" s="6"/>
      <c r="BT61" s="6"/>
      <c r="BU61" s="6"/>
      <c r="BV61" s="6"/>
      <c r="BW61" s="6"/>
      <c r="BX61" s="6"/>
    </row>
    <row r="62" spans="1:76" hidden="1" x14ac:dyDescent="0.35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49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33"/>
        <v>34875</v>
      </c>
      <c r="X62" s="15">
        <f t="shared" si="7"/>
        <v>0</v>
      </c>
      <c r="Y62" s="15">
        <f t="shared" si="50"/>
        <v>0</v>
      </c>
      <c r="Z62" s="15">
        <f>SUM(Financials2026[[#This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SUM(Financials2026[[#This Row],[Jan AC]:[Dec AC]])</f>
        <v>0</v>
      </c>
      <c r="BC62" s="71">
        <f>Financials2026[[#This Row],[Jan AC]]-Financials2026[[#This Row],[Jan FC]]</f>
        <v>0</v>
      </c>
      <c r="BD62" s="71">
        <f>Financials2026[[#This Row],[Feb AC]]-Financials2026[[#This Row],[Feb FC]]</f>
        <v>0</v>
      </c>
      <c r="BE62" s="71">
        <f>Financials2026[[#This Row],[Mar AC]]-Financials2026[[#This Row],[Mar FC]]</f>
        <v>-34875</v>
      </c>
      <c r="BF62" s="71">
        <f>Financials2026[[#This Row],[Apr AC]]-Financials2026[[#This Row],[Apr FC]]</f>
        <v>0</v>
      </c>
      <c r="BG62" s="71">
        <f>Financials2026[[#This Row],[May AC]]-Financials2026[[#This Row],[May FC]]</f>
        <v>0</v>
      </c>
      <c r="BH62" s="71">
        <f>Financials2026[[#This Row],[Jun AC]]-Financials2026[[#This Row],[Jun FC]]</f>
        <v>0</v>
      </c>
      <c r="BI62" s="71">
        <f>Financials2026[[#This Row],[Jul AC]]-Financials2026[[#This Row],[Jul FC]]</f>
        <v>0</v>
      </c>
      <c r="BJ62" s="71">
        <f>Financials2026[[#This Row],[Aug AC]]-Financials2026[[#This Row],[Aug FC]]</f>
        <v>0</v>
      </c>
      <c r="BK62" s="71">
        <f>Financials2026[[#This Row],[Sep AC]]-Financials2026[[#This Row],[Sep FC]]</f>
        <v>0</v>
      </c>
      <c r="BL62" s="71">
        <f>Financials2026[[#This Row],[Oct AC]]-Financials2026[[#This Row],[Oct FC]]</f>
        <v>0</v>
      </c>
      <c r="BM62" s="71">
        <f>Financials2026[[#This Row],[Nov AC]]-Financials2026[[#This Row],[Nov FC]]</f>
        <v>0</v>
      </c>
      <c r="BN62" s="71">
        <f>Financials2026[[#This Row],[Dec AC]]-Financials2026[[#This Row],[Dec FC]]</f>
        <v>0</v>
      </c>
      <c r="BO62" s="71">
        <f>SUM(Financials2026[[#This Row],[Jan Opp/Risk]:[Dec Opp./Risk]])</f>
        <v>-34875</v>
      </c>
      <c r="BP62" s="90"/>
      <c r="BQ62" s="47">
        <f>SUM(Financials2026[[#This Row],[Jan AC]:[Apr AC]])</f>
        <v>0</v>
      </c>
      <c r="BS62" s="6"/>
      <c r="BT62" s="6"/>
      <c r="BU62" s="6"/>
      <c r="BV62" s="6"/>
      <c r="BW62" s="6"/>
      <c r="BX62" s="6"/>
    </row>
    <row r="63" spans="1:76" hidden="1" x14ac:dyDescent="0.35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49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33"/>
        <v>29192</v>
      </c>
      <c r="X63" s="15">
        <f t="shared" si="7"/>
        <v>-27895.964500000002</v>
      </c>
      <c r="Y63" s="15">
        <f t="shared" si="50"/>
        <v>0</v>
      </c>
      <c r="Z63" s="15">
        <f>SUM(Financials2026[[#This Row],[2026 Opportunity]:[2026 Risk]])</f>
        <v>-27895.964500000002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51">
        <v>29192</v>
      </c>
      <c r="AN63" s="51">
        <f>SUM(Financials2026[[#This Row],[Jan FC]:[Dec FC]])</f>
        <v>29192</v>
      </c>
      <c r="AO63" s="15">
        <f t="shared" si="5"/>
        <v>29192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SUM(Financials2026[[#This Row],[Jan AC]:[Dec AC]])</f>
        <v>0</v>
      </c>
      <c r="BC63" s="71">
        <f>Financials2026[[#This Row],[Jan AC]]-Financials2026[[#This Row],[Jan FC]]</f>
        <v>0</v>
      </c>
      <c r="BD63" s="71">
        <f>Financials2026[[#This Row],[Feb AC]]-Financials2026[[#This Row],[Feb FC]]</f>
        <v>0</v>
      </c>
      <c r="BE63" s="71">
        <f>Financials2026[[#This Row],[Mar AC]]-Financials2026[[#This Row],[Mar FC]]</f>
        <v>0</v>
      </c>
      <c r="BF63" s="71">
        <f>Financials2026[[#This Row],[Apr AC]]-Financials2026[[#This Row],[Apr FC]]</f>
        <v>0</v>
      </c>
      <c r="BG63" s="71">
        <f>Financials2026[[#This Row],[May AC]]-Financials2026[[#This Row],[May FC]]</f>
        <v>0</v>
      </c>
      <c r="BH63" s="71">
        <f>Financials2026[[#This Row],[Jun AC]]-Financials2026[[#This Row],[Jun FC]]</f>
        <v>0</v>
      </c>
      <c r="BI63" s="71">
        <f>Financials2026[[#This Row],[Jul AC]]-Financials2026[[#This Row],[Jul FC]]</f>
        <v>0</v>
      </c>
      <c r="BJ63" s="71">
        <f>Financials2026[[#This Row],[Aug AC]]-Financials2026[[#This Row],[Aug FC]]</f>
        <v>0</v>
      </c>
      <c r="BK63" s="71">
        <f>Financials2026[[#This Row],[Sep AC]]-Financials2026[[#This Row],[Sep FC]]</f>
        <v>0</v>
      </c>
      <c r="BL63" s="71">
        <f>Financials2026[[#This Row],[Oct AC]]-Financials2026[[#This Row],[Oct FC]]</f>
        <v>0</v>
      </c>
      <c r="BM63" s="71">
        <f>Financials2026[[#This Row],[Nov AC]]-Financials2026[[#This Row],[Nov FC]]</f>
        <v>0</v>
      </c>
      <c r="BN63" s="71">
        <f>Financials2026[[#This Row],[Dec AC]]-Financials2026[[#This Row],[Dec FC]]</f>
        <v>-29192</v>
      </c>
      <c r="BO63" s="71">
        <f>SUM(Financials2026[[#This Row],[Jan Opp/Risk]:[Dec Opp./Risk]])</f>
        <v>-29192</v>
      </c>
      <c r="BP63" s="90" t="s">
        <v>534</v>
      </c>
      <c r="BQ63" s="47">
        <f>SUM(Financials2026[[#This Row],[Jan AC]:[Apr AC]])</f>
        <v>0</v>
      </c>
      <c r="BS63" s="6"/>
      <c r="BT63" s="6"/>
      <c r="BU63" s="6"/>
      <c r="BV63" s="6"/>
      <c r="BW63" s="6"/>
      <c r="BX63" s="6"/>
    </row>
    <row r="64" spans="1:76" hidden="1" x14ac:dyDescent="0.35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49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33"/>
        <v>8436</v>
      </c>
      <c r="X64" s="15">
        <f t="shared" si="7"/>
        <v>0</v>
      </c>
      <c r="Y64" s="15">
        <f t="shared" si="50"/>
        <v>0.2999999999992724</v>
      </c>
      <c r="Z64" s="15">
        <f>SUM(Financials2026[[#This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SUM(Financials2026[[#This Row],[Jan AC]:[Dec AC]])</f>
        <v>0</v>
      </c>
      <c r="BC64" s="71">
        <f>Financials2026[[#This Row],[Jan AC]]-Financials2026[[#This Row],[Jan FC]]</f>
        <v>0</v>
      </c>
      <c r="BD64" s="71">
        <f>Financials2026[[#This Row],[Feb AC]]-Financials2026[[#This Row],[Feb FC]]</f>
        <v>0</v>
      </c>
      <c r="BE64" s="71">
        <f>Financials2026[[#This Row],[Mar AC]]-Financials2026[[#This Row],[Mar FC]]</f>
        <v>0</v>
      </c>
      <c r="BF64" s="71">
        <f>Financials2026[[#This Row],[Apr AC]]-Financials2026[[#This Row],[Apr FC]]</f>
        <v>0</v>
      </c>
      <c r="BG64" s="71">
        <f>Financials2026[[#This Row],[May AC]]-Financials2026[[#This Row],[May FC]]</f>
        <v>0</v>
      </c>
      <c r="BH64" s="71">
        <f>Financials2026[[#This Row],[Jun AC]]-Financials2026[[#This Row],[Jun FC]]</f>
        <v>0</v>
      </c>
      <c r="BI64" s="71">
        <f>Financials2026[[#This Row],[Jul AC]]-Financials2026[[#This Row],[Jul FC]]</f>
        <v>0</v>
      </c>
      <c r="BJ64" s="71">
        <f>Financials2026[[#This Row],[Aug AC]]-Financials2026[[#This Row],[Aug FC]]</f>
        <v>-8436</v>
      </c>
      <c r="BK64" s="71">
        <f>Financials2026[[#This Row],[Sep AC]]-Financials2026[[#This Row],[Sep FC]]</f>
        <v>0</v>
      </c>
      <c r="BL64" s="71">
        <f>Financials2026[[#This Row],[Oct AC]]-Financials2026[[#This Row],[Oct FC]]</f>
        <v>0</v>
      </c>
      <c r="BM64" s="71">
        <f>Financials2026[[#This Row],[Nov AC]]-Financials2026[[#This Row],[Nov FC]]</f>
        <v>0</v>
      </c>
      <c r="BN64" s="71">
        <f>Financials2026[[#This Row],[Dec AC]]-Financials2026[[#This Row],[Dec FC]]</f>
        <v>0</v>
      </c>
      <c r="BO64" s="71">
        <f>SUM(Financials2026[[#This Row],[Jan Opp/Risk]:[Dec Opp./Risk]])</f>
        <v>-8436</v>
      </c>
      <c r="BP64" s="90"/>
      <c r="BQ64" s="47">
        <f>SUM(Financials2026[[#This Row],[Jan AC]:[Apr AC]])</f>
        <v>0</v>
      </c>
      <c r="BS64" s="6"/>
      <c r="BT64" s="6"/>
      <c r="BU64" s="6"/>
      <c r="BV64" s="6"/>
      <c r="BW64" s="6"/>
      <c r="BX64" s="6"/>
    </row>
    <row r="65" spans="1:76" hidden="1" x14ac:dyDescent="0.35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49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33"/>
        <v>69417.919999999998</v>
      </c>
      <c r="X65" s="15">
        <f t="shared" si="7"/>
        <v>-3470.8960000000079</v>
      </c>
      <c r="Y65" s="15">
        <f t="shared" si="50"/>
        <v>0</v>
      </c>
      <c r="Z65" s="15">
        <f>SUM(Financials2026[[#This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SUM(Financials2026[[#This Row],[Jan AC]:[Dec AC]])</f>
        <v>69417.919999999998</v>
      </c>
      <c r="BC65" s="71">
        <f>Financials2026[[#This Row],[Jan AC]]-Financials2026[[#This Row],[Jan FC]]</f>
        <v>0</v>
      </c>
      <c r="BD65" s="71">
        <f>Financials2026[[#This Row],[Feb AC]]-Financials2026[[#This Row],[Feb FC]]</f>
        <v>0</v>
      </c>
      <c r="BE65" s="71">
        <f>Financials2026[[#This Row],[Mar AC]]-Financials2026[[#This Row],[Mar FC]]</f>
        <v>-3470.8960000000079</v>
      </c>
      <c r="BF65" s="71">
        <f>Financials2026[[#This Row],[Apr AC]]-Financials2026[[#This Row],[Apr FC]]</f>
        <v>0</v>
      </c>
      <c r="BG65" s="71">
        <f>Financials2026[[#This Row],[May AC]]-Financials2026[[#This Row],[May FC]]</f>
        <v>0</v>
      </c>
      <c r="BH65" s="71">
        <f>Financials2026[[#This Row],[Jun AC]]-Financials2026[[#This Row],[Jun FC]]</f>
        <v>0</v>
      </c>
      <c r="BI65" s="71">
        <f>Financials2026[[#This Row],[Jul AC]]-Financials2026[[#This Row],[Jul FC]]</f>
        <v>0</v>
      </c>
      <c r="BJ65" s="71">
        <f>Financials2026[[#This Row],[Aug AC]]-Financials2026[[#This Row],[Aug FC]]</f>
        <v>0</v>
      </c>
      <c r="BK65" s="71">
        <f>Financials2026[[#This Row],[Sep AC]]-Financials2026[[#This Row],[Sep FC]]</f>
        <v>0</v>
      </c>
      <c r="BL65" s="71">
        <f>Financials2026[[#This Row],[Oct AC]]-Financials2026[[#This Row],[Oct FC]]</f>
        <v>0</v>
      </c>
      <c r="BM65" s="71">
        <f>Financials2026[[#This Row],[Nov AC]]-Financials2026[[#This Row],[Nov FC]]</f>
        <v>0</v>
      </c>
      <c r="BN65" s="71">
        <f>Financials2026[[#This Row],[Dec AC]]-Financials2026[[#This Row],[Dec FC]]</f>
        <v>0</v>
      </c>
      <c r="BO65" s="71">
        <f>SUM(Financials2026[[#This Row],[Jan Opp/Risk]:[Dec Opp./Risk]])</f>
        <v>-3470.8960000000079</v>
      </c>
      <c r="BP65" s="90" t="s">
        <v>534</v>
      </c>
      <c r="BQ65" s="47">
        <f>SUM(Financials2026[[#This Row],[Jan AC]:[Apr AC]])</f>
        <v>69417.919999999998</v>
      </c>
      <c r="BS65" s="6"/>
      <c r="BT65" s="6"/>
      <c r="BU65" s="6"/>
      <c r="BV65" s="6"/>
      <c r="BW65" s="6"/>
      <c r="BX65" s="6"/>
    </row>
    <row r="66" spans="1:76" hidden="1" x14ac:dyDescent="0.35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si="49"/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97" si="54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si="50"/>
        <v>2252.8499999999985</v>
      </c>
      <c r="Z66" s="15">
        <f>SUM(Financials2026[[#This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SUM(Financials2026[[#This Row],[Jan FC]:[Dec FC]])</f>
        <v>44460.15</v>
      </c>
      <c r="AO66" s="15">
        <f t="shared" ref="AO66:AO129" si="55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SUM(Financials2026[[#This Row],[Jan AC]:[Dec AC]])</f>
        <v>46713</v>
      </c>
      <c r="BC66" s="71">
        <f>Financials2026[[#This Row],[Jan AC]]-Financials2026[[#This Row],[Jan FC]]</f>
        <v>0</v>
      </c>
      <c r="BD66" s="71">
        <f>Financials2026[[#This Row],[Feb AC]]-Financials2026[[#This Row],[Feb FC]]</f>
        <v>0</v>
      </c>
      <c r="BE66" s="71">
        <f>Financials2026[[#This Row],[Mar AC]]-Financials2026[[#This Row],[Mar FC]]</f>
        <v>2252.8499999999985</v>
      </c>
      <c r="BF66" s="71">
        <f>Financials2026[[#This Row],[Apr AC]]-Financials2026[[#This Row],[Apr FC]]</f>
        <v>0</v>
      </c>
      <c r="BG66" s="71">
        <f>Financials2026[[#This Row],[May AC]]-Financials2026[[#This Row],[May FC]]</f>
        <v>0</v>
      </c>
      <c r="BH66" s="71">
        <f>Financials2026[[#This Row],[Jun AC]]-Financials2026[[#This Row],[Jun FC]]</f>
        <v>0</v>
      </c>
      <c r="BI66" s="71">
        <f>Financials2026[[#This Row],[Jul AC]]-Financials2026[[#This Row],[Jul FC]]</f>
        <v>0</v>
      </c>
      <c r="BJ66" s="71">
        <f>Financials2026[[#This Row],[Aug AC]]-Financials2026[[#This Row],[Aug FC]]</f>
        <v>0</v>
      </c>
      <c r="BK66" s="71">
        <f>Financials2026[[#This Row],[Sep AC]]-Financials2026[[#This Row],[Sep FC]]</f>
        <v>0</v>
      </c>
      <c r="BL66" s="71">
        <f>Financials2026[[#This Row],[Oct AC]]-Financials2026[[#This Row],[Oct FC]]</f>
        <v>0</v>
      </c>
      <c r="BM66" s="71">
        <f>Financials2026[[#This Row],[Nov AC]]-Financials2026[[#This Row],[Nov FC]]</f>
        <v>0</v>
      </c>
      <c r="BN66" s="71">
        <f>Financials2026[[#This Row],[Dec AC]]-Financials2026[[#This Row],[Dec FC]]</f>
        <v>0</v>
      </c>
      <c r="BO66" s="71">
        <f>SUM(Financials2026[[#This Row],[Jan Opp/Risk]:[Dec Opp./Risk]])</f>
        <v>2252.8499999999985</v>
      </c>
      <c r="BP66" s="90" t="s">
        <v>41</v>
      </c>
      <c r="BQ66" s="47">
        <f>SUM(Financials2026[[#This Row],[Jan AC]:[Apr AC]])</f>
        <v>46713</v>
      </c>
      <c r="BS66" s="6"/>
      <c r="BT66" s="6"/>
      <c r="BU66" s="6"/>
      <c r="BV66" s="6"/>
      <c r="BW66" s="6"/>
      <c r="BX66" s="6"/>
    </row>
    <row r="67" spans="1:76" hidden="1" x14ac:dyDescent="0.35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49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54"/>
        <v>39306</v>
      </c>
      <c r="X67" s="15">
        <f t="shared" si="7"/>
        <v>0</v>
      </c>
      <c r="Y67" s="15">
        <f t="shared" si="50"/>
        <v>0.29999999999563443</v>
      </c>
      <c r="Z67" s="15">
        <f>SUM(Financials2026[[#This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SUM(Financials2026[[#This Row],[Jan FC]:[Dec FC]])</f>
        <v>39306</v>
      </c>
      <c r="AO67" s="15">
        <f t="shared" si="55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SUM(Financials2026[[#This Row],[Jan AC]:[Dec AC]])</f>
        <v>2808</v>
      </c>
      <c r="BC67" s="71">
        <f>Financials2026[[#This Row],[Jan AC]]-Financials2026[[#This Row],[Jan FC]]</f>
        <v>0</v>
      </c>
      <c r="BD67" s="71">
        <f>Financials2026[[#This Row],[Feb AC]]-Financials2026[[#This Row],[Feb FC]]</f>
        <v>0</v>
      </c>
      <c r="BE67" s="71">
        <f>Financials2026[[#This Row],[Mar AC]]-Financials2026[[#This Row],[Mar FC]]</f>
        <v>0</v>
      </c>
      <c r="BF67" s="71">
        <f>Financials2026[[#This Row],[Apr AC]]-Financials2026[[#This Row],[Apr FC]]</f>
        <v>0</v>
      </c>
      <c r="BG67" s="71">
        <f>Financials2026[[#This Row],[May AC]]-Financials2026[[#This Row],[May FC]]</f>
        <v>0</v>
      </c>
      <c r="BH67" s="71">
        <f>Financials2026[[#This Row],[Jun AC]]-Financials2026[[#This Row],[Jun FC]]</f>
        <v>0</v>
      </c>
      <c r="BI67" s="71">
        <f>Financials2026[[#This Row],[Jul AC]]-Financials2026[[#This Row],[Jul FC]]</f>
        <v>0</v>
      </c>
      <c r="BJ67" s="71">
        <f>Financials2026[[#This Row],[Aug AC]]-Financials2026[[#This Row],[Aug FC]]</f>
        <v>0</v>
      </c>
      <c r="BK67" s="71">
        <f>Financials2026[[#This Row],[Sep AC]]-Financials2026[[#This Row],[Sep FC]]</f>
        <v>0</v>
      </c>
      <c r="BL67" s="71">
        <f>Financials2026[[#This Row],[Oct AC]]-Financials2026[[#This Row],[Oct FC]]</f>
        <v>0</v>
      </c>
      <c r="BM67" s="71">
        <f>Financials2026[[#This Row],[Nov AC]]-Financials2026[[#This Row],[Nov FC]]</f>
        <v>-36498</v>
      </c>
      <c r="BN67" s="71">
        <f>Financials2026[[#This Row],[Dec AC]]-Financials2026[[#This Row],[Dec FC]]</f>
        <v>0</v>
      </c>
      <c r="BO67" s="71">
        <f>SUM(Financials2026[[#This Row],[Jan Opp/Risk]:[Dec Opp./Risk]])</f>
        <v>-36498</v>
      </c>
      <c r="BP67" s="90"/>
      <c r="BQ67" s="47">
        <f>SUM(Financials2026[[#This Row],[Jan AC]:[Apr AC]])</f>
        <v>2808</v>
      </c>
      <c r="BS67" s="6"/>
      <c r="BT67" s="6"/>
      <c r="BU67" s="6"/>
      <c r="BV67" s="6"/>
      <c r="BW67" s="6"/>
      <c r="BX67" s="6"/>
    </row>
    <row r="68" spans="1:76" hidden="1" x14ac:dyDescent="0.35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49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54"/>
        <v>174825</v>
      </c>
      <c r="X68" s="15">
        <f t="shared" si="7"/>
        <v>0</v>
      </c>
      <c r="Y68" s="15">
        <f t="shared" si="50"/>
        <v>0</v>
      </c>
      <c r="Z68" s="15">
        <f>SUM(Financials2026[[#This Row],[2026 Opportunity]:[2026 Risk]])</f>
        <v>0</v>
      </c>
      <c r="AA68" s="3" t="s">
        <v>442</v>
      </c>
      <c r="AB68" s="52">
        <f t="shared" ref="AB68:AX68" si="56">174825/12</f>
        <v>14568.75</v>
      </c>
      <c r="AC68" s="52">
        <f t="shared" si="56"/>
        <v>14568.75</v>
      </c>
      <c r="AD68" s="52">
        <f t="shared" si="56"/>
        <v>14568.75</v>
      </c>
      <c r="AE68" s="52">
        <f t="shared" si="56"/>
        <v>14568.75</v>
      </c>
      <c r="AF68" s="52">
        <f t="shared" si="56"/>
        <v>14568.75</v>
      </c>
      <c r="AG68" s="52">
        <f t="shared" si="56"/>
        <v>14568.75</v>
      </c>
      <c r="AH68" s="52">
        <f t="shared" si="56"/>
        <v>14568.75</v>
      </c>
      <c r="AI68" s="52">
        <f t="shared" si="56"/>
        <v>14568.75</v>
      </c>
      <c r="AJ68" s="52">
        <f t="shared" si="56"/>
        <v>14568.75</v>
      </c>
      <c r="AK68" s="52">
        <f t="shared" si="56"/>
        <v>14568.75</v>
      </c>
      <c r="AL68" s="52">
        <f t="shared" si="56"/>
        <v>14568.75</v>
      </c>
      <c r="AM68" s="52">
        <f t="shared" si="56"/>
        <v>14568.75</v>
      </c>
      <c r="AN68" s="52">
        <f>SUM(Financials2026[[#This Row],[Jan FC]:[Dec FC]])</f>
        <v>174825</v>
      </c>
      <c r="AO68" s="15">
        <f t="shared" si="55"/>
        <v>101981.25</v>
      </c>
      <c r="AP68" s="61">
        <f t="shared" si="56"/>
        <v>14568.75</v>
      </c>
      <c r="AQ68" s="61">
        <f t="shared" si="56"/>
        <v>14568.75</v>
      </c>
      <c r="AR68" s="61">
        <f t="shared" si="56"/>
        <v>14568.75</v>
      </c>
      <c r="AS68" s="61">
        <f t="shared" si="56"/>
        <v>14568.75</v>
      </c>
      <c r="AT68" s="61">
        <f t="shared" si="56"/>
        <v>14568.75</v>
      </c>
      <c r="AU68" s="61">
        <f t="shared" si="56"/>
        <v>14568.75</v>
      </c>
      <c r="AV68" s="61">
        <f t="shared" si="56"/>
        <v>14568.75</v>
      </c>
      <c r="AW68" s="61">
        <f t="shared" si="56"/>
        <v>14568.75</v>
      </c>
      <c r="AX68" s="61">
        <f t="shared" si="56"/>
        <v>14568.75</v>
      </c>
      <c r="AY68" s="61"/>
      <c r="AZ68" s="61"/>
      <c r="BA68" s="61"/>
      <c r="BB68" s="80">
        <f>SUM(Financials2026[[#This Row],[Jan AC]:[Dec AC]])</f>
        <v>131118.75</v>
      </c>
      <c r="BC68" s="71">
        <f>Financials2026[[#This Row],[Jan AC]]-Financials2026[[#This Row],[Jan FC]]</f>
        <v>0</v>
      </c>
      <c r="BD68" s="71">
        <f>Financials2026[[#This Row],[Feb AC]]-Financials2026[[#This Row],[Feb FC]]</f>
        <v>0</v>
      </c>
      <c r="BE68" s="71">
        <f>Financials2026[[#This Row],[Mar AC]]-Financials2026[[#This Row],[Mar FC]]</f>
        <v>0</v>
      </c>
      <c r="BF68" s="71">
        <f>Financials2026[[#This Row],[Apr AC]]-Financials2026[[#This Row],[Apr FC]]</f>
        <v>0</v>
      </c>
      <c r="BG68" s="71">
        <f>Financials2026[[#This Row],[May AC]]-Financials2026[[#This Row],[May FC]]</f>
        <v>0</v>
      </c>
      <c r="BH68" s="71">
        <f>Financials2026[[#This Row],[Jun AC]]-Financials2026[[#This Row],[Jun FC]]</f>
        <v>0</v>
      </c>
      <c r="BI68" s="71">
        <f>Financials2026[[#This Row],[Jul AC]]-Financials2026[[#This Row],[Jul FC]]</f>
        <v>0</v>
      </c>
      <c r="BJ68" s="71">
        <f>Financials2026[[#This Row],[Aug AC]]-Financials2026[[#This Row],[Aug FC]]</f>
        <v>0</v>
      </c>
      <c r="BK68" s="71">
        <f>Financials2026[[#This Row],[Sep AC]]-Financials2026[[#This Row],[Sep FC]]</f>
        <v>0</v>
      </c>
      <c r="BL68" s="71">
        <f>Financials2026[[#This Row],[Oct AC]]-Financials2026[[#This Row],[Oct FC]]</f>
        <v>-14568.75</v>
      </c>
      <c r="BM68" s="71">
        <f>Financials2026[[#This Row],[Nov AC]]-Financials2026[[#This Row],[Nov FC]]</f>
        <v>-14568.75</v>
      </c>
      <c r="BN68" s="71">
        <f>Financials2026[[#This Row],[Dec AC]]-Financials2026[[#This Row],[Dec FC]]</f>
        <v>-14568.75</v>
      </c>
      <c r="BO68" s="71">
        <f>SUM(Financials2026[[#This Row],[Jan Opp/Risk]:[Dec Opp./Risk]])</f>
        <v>-43706.25</v>
      </c>
      <c r="BP68" s="90"/>
      <c r="BQ68" s="47">
        <f>SUM(Financials2026[[#This Row],[Jan AC]:[Apr AC]])</f>
        <v>58275</v>
      </c>
      <c r="BS68" s="6"/>
      <c r="BT68" s="6"/>
      <c r="BU68" s="6"/>
      <c r="BV68" s="6"/>
      <c r="BW68" s="6"/>
      <c r="BX68" s="6"/>
    </row>
    <row r="69" spans="1:76" hidden="1" x14ac:dyDescent="0.35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49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54"/>
        <v>5407.5</v>
      </c>
      <c r="X69" s="15">
        <f t="shared" si="7"/>
        <v>0</v>
      </c>
      <c r="Y69" s="15">
        <f t="shared" si="50"/>
        <v>0</v>
      </c>
      <c r="Z69" s="15">
        <f>SUM(Financials2026[[#This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SUM(Financials2026[[#This Row],[Jan FC]:[Dec FC]])</f>
        <v>5407.5</v>
      </c>
      <c r="AO69" s="15">
        <f t="shared" si="55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SUM(Financials2026[[#This Row],[Jan AC]:[Dec AC]])</f>
        <v>0</v>
      </c>
      <c r="BC69" s="71">
        <f>Financials2026[[#This Row],[Jan AC]]-Financials2026[[#This Row],[Jan FC]]</f>
        <v>0</v>
      </c>
      <c r="BD69" s="71">
        <f>Financials2026[[#This Row],[Feb AC]]-Financials2026[[#This Row],[Feb FC]]</f>
        <v>0</v>
      </c>
      <c r="BE69" s="71">
        <f>Financials2026[[#This Row],[Mar AC]]-Financials2026[[#This Row],[Mar FC]]</f>
        <v>0</v>
      </c>
      <c r="BF69" s="71">
        <f>Financials2026[[#This Row],[Apr AC]]-Financials2026[[#This Row],[Apr FC]]</f>
        <v>0</v>
      </c>
      <c r="BG69" s="71">
        <f>Financials2026[[#This Row],[May AC]]-Financials2026[[#This Row],[May FC]]</f>
        <v>0</v>
      </c>
      <c r="BH69" s="71">
        <f>Financials2026[[#This Row],[Jun AC]]-Financials2026[[#This Row],[Jun FC]]</f>
        <v>0</v>
      </c>
      <c r="BI69" s="71">
        <f>Financials2026[[#This Row],[Jul AC]]-Financials2026[[#This Row],[Jul FC]]</f>
        <v>0</v>
      </c>
      <c r="BJ69" s="71">
        <f>Financials2026[[#This Row],[Aug AC]]-Financials2026[[#This Row],[Aug FC]]</f>
        <v>0</v>
      </c>
      <c r="BK69" s="71">
        <f>Financials2026[[#This Row],[Sep AC]]-Financials2026[[#This Row],[Sep FC]]</f>
        <v>0</v>
      </c>
      <c r="BL69" s="71">
        <f>Financials2026[[#This Row],[Oct AC]]-Financials2026[[#This Row],[Oct FC]]</f>
        <v>0</v>
      </c>
      <c r="BM69" s="71">
        <f>Financials2026[[#This Row],[Nov AC]]-Financials2026[[#This Row],[Nov FC]]</f>
        <v>0</v>
      </c>
      <c r="BN69" s="71">
        <f>Financials2026[[#This Row],[Dec AC]]-Financials2026[[#This Row],[Dec FC]]</f>
        <v>-5407.5</v>
      </c>
      <c r="BO69" s="71">
        <f>SUM(Financials2026[[#This Row],[Jan Opp/Risk]:[Dec Opp./Risk]])</f>
        <v>-5407.5</v>
      </c>
      <c r="BP69" s="90"/>
      <c r="BQ69" s="47">
        <f>SUM(Financials2026[[#This Row],[Jan AC]:[Apr AC]])</f>
        <v>0</v>
      </c>
      <c r="BS69" s="6"/>
      <c r="BT69" s="6"/>
      <c r="BU69" s="6"/>
      <c r="BV69" s="6"/>
      <c r="BW69" s="6"/>
      <c r="BX69" s="6"/>
    </row>
    <row r="70" spans="1:76" hidden="1" x14ac:dyDescent="0.35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49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54"/>
        <v>0</v>
      </c>
      <c r="X70" s="15">
        <f t="shared" si="7"/>
        <v>0</v>
      </c>
      <c r="Y70" s="15">
        <f t="shared" si="50"/>
        <v>0</v>
      </c>
      <c r="Z70" s="15">
        <f>SUM(Financials2026[[#This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SUM(Financials2026[[#This Row],[Jan FC]:[Dec FC]])</f>
        <v>0</v>
      </c>
      <c r="AO70" s="15">
        <f t="shared" si="55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SUM(Financials2026[[#This Row],[Jan AC]:[Dec AC]])</f>
        <v>0</v>
      </c>
      <c r="BC70" s="71">
        <f>Financials2026[[#This Row],[Jan AC]]-Financials2026[[#This Row],[Jan FC]]</f>
        <v>0</v>
      </c>
      <c r="BD70" s="71">
        <f>Financials2026[[#This Row],[Feb AC]]-Financials2026[[#This Row],[Feb FC]]</f>
        <v>0</v>
      </c>
      <c r="BE70" s="71">
        <f>Financials2026[[#This Row],[Mar AC]]-Financials2026[[#This Row],[Mar FC]]</f>
        <v>0</v>
      </c>
      <c r="BF70" s="71">
        <f>Financials2026[[#This Row],[Apr AC]]-Financials2026[[#This Row],[Apr FC]]</f>
        <v>0</v>
      </c>
      <c r="BG70" s="71">
        <f>Financials2026[[#This Row],[May AC]]-Financials2026[[#This Row],[May FC]]</f>
        <v>0</v>
      </c>
      <c r="BH70" s="71">
        <f>Financials2026[[#This Row],[Jun AC]]-Financials2026[[#This Row],[Jun FC]]</f>
        <v>0</v>
      </c>
      <c r="BI70" s="71">
        <f>Financials2026[[#This Row],[Jul AC]]-Financials2026[[#This Row],[Jul FC]]</f>
        <v>0</v>
      </c>
      <c r="BJ70" s="71">
        <f>Financials2026[[#This Row],[Aug AC]]-Financials2026[[#This Row],[Aug FC]]</f>
        <v>0</v>
      </c>
      <c r="BK70" s="71">
        <f>Financials2026[[#This Row],[Sep AC]]-Financials2026[[#This Row],[Sep FC]]</f>
        <v>0</v>
      </c>
      <c r="BL70" s="71">
        <f>Financials2026[[#This Row],[Oct AC]]-Financials2026[[#This Row],[Oct FC]]</f>
        <v>0</v>
      </c>
      <c r="BM70" s="71">
        <f>Financials2026[[#This Row],[Nov AC]]-Financials2026[[#This Row],[Nov FC]]</f>
        <v>0</v>
      </c>
      <c r="BN70" s="71">
        <f>Financials2026[[#This Row],[Dec AC]]-Financials2026[[#This Row],[Dec FC]]</f>
        <v>0</v>
      </c>
      <c r="BO70" s="71">
        <f>SUM(Financials2026[[#This Row],[Jan Opp/Risk]:[Dec Opp./Risk]])</f>
        <v>0</v>
      </c>
      <c r="BP70" s="90"/>
      <c r="BQ70" s="47">
        <f>SUM(Financials2026[[#This Row],[Jan AC]:[Apr AC]])</f>
        <v>0</v>
      </c>
      <c r="BS70" s="6"/>
      <c r="BT70" s="6"/>
      <c r="BU70" s="6"/>
      <c r="BV70" s="6"/>
      <c r="BW70" s="6"/>
      <c r="BX70" s="6"/>
    </row>
    <row r="71" spans="1:76" hidden="1" x14ac:dyDescent="0.35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49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54"/>
        <v>98943.23</v>
      </c>
      <c r="X71" s="15">
        <f t="shared" ref="X71:X135" si="57">IF(V71 &gt;= W71, V71 - W71, 0)*-1</f>
        <v>0</v>
      </c>
      <c r="Y71" s="15">
        <f t="shared" si="50"/>
        <v>0.3125</v>
      </c>
      <c r="Z71" s="15">
        <f>SUM(Financials2026[[#This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SUM(Financials2026[[#This Row],[Jan FC]:[Dec FC]])</f>
        <v>98943</v>
      </c>
      <c r="AO71" s="15">
        <f t="shared" si="55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SUM(Financials2026[[#This Row],[Jan AC]:[Dec AC]])</f>
        <v>957.23</v>
      </c>
      <c r="BC71" s="71">
        <f>Financials2026[[#This Row],[Jan AC]]-Financials2026[[#This Row],[Jan FC]]</f>
        <v>0.23000000000001819</v>
      </c>
      <c r="BD71" s="71">
        <f>Financials2026[[#This Row],[Feb AC]]-Financials2026[[#This Row],[Feb FC]]</f>
        <v>0</v>
      </c>
      <c r="BE71" s="71">
        <f>Financials2026[[#This Row],[Mar AC]]-Financials2026[[#This Row],[Mar FC]]</f>
        <v>0</v>
      </c>
      <c r="BF71" s="71">
        <f>Financials2026[[#This Row],[Apr AC]]-Financials2026[[#This Row],[Apr FC]]</f>
        <v>0</v>
      </c>
      <c r="BG71" s="71">
        <f>Financials2026[[#This Row],[May AC]]-Financials2026[[#This Row],[May FC]]</f>
        <v>0</v>
      </c>
      <c r="BH71" s="71">
        <f>Financials2026[[#This Row],[Jun AC]]-Financials2026[[#This Row],[Jun FC]]</f>
        <v>0</v>
      </c>
      <c r="BI71" s="71">
        <f>Financials2026[[#This Row],[Jul AC]]-Financials2026[[#This Row],[Jul FC]]</f>
        <v>0</v>
      </c>
      <c r="BJ71" s="71">
        <f>Financials2026[[#This Row],[Aug AC]]-Financials2026[[#This Row],[Aug FC]]</f>
        <v>0</v>
      </c>
      <c r="BK71" s="71">
        <f>Financials2026[[#This Row],[Sep AC]]-Financials2026[[#This Row],[Sep FC]]</f>
        <v>0</v>
      </c>
      <c r="BL71" s="71">
        <f>Financials2026[[#This Row],[Oct AC]]-Financials2026[[#This Row],[Oct FC]]</f>
        <v>-97986</v>
      </c>
      <c r="BM71" s="71">
        <f>Financials2026[[#This Row],[Nov AC]]-Financials2026[[#This Row],[Nov FC]]</f>
        <v>0</v>
      </c>
      <c r="BN71" s="71">
        <f>Financials2026[[#This Row],[Dec AC]]-Financials2026[[#This Row],[Dec FC]]</f>
        <v>0</v>
      </c>
      <c r="BO71" s="71">
        <f>SUM(Financials2026[[#This Row],[Jan Opp/Risk]:[Dec Opp./Risk]])</f>
        <v>-97985.77</v>
      </c>
      <c r="BP71" s="90"/>
      <c r="BQ71" s="47">
        <f>SUM(Financials2026[[#This Row],[Jan AC]:[Apr AC]])</f>
        <v>957.23</v>
      </c>
      <c r="BS71" s="6"/>
      <c r="BT71" s="6"/>
      <c r="BU71" s="6"/>
      <c r="BV71" s="6"/>
      <c r="BW71" s="6"/>
      <c r="BX71" s="6"/>
    </row>
    <row r="72" spans="1:76" hidden="1" x14ac:dyDescent="0.35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49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54"/>
        <v>48667.5</v>
      </c>
      <c r="X72" s="15">
        <f t="shared" si="57"/>
        <v>0</v>
      </c>
      <c r="Y72" s="15">
        <f t="shared" si="50"/>
        <v>0</v>
      </c>
      <c r="Z72" s="15">
        <f>SUM(Financials2026[[#This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SUM(Financials2026[[#This Row],[Jan FC]:[Dec FC]])</f>
        <v>48667.5</v>
      </c>
      <c r="AO72" s="15">
        <f t="shared" si="55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SUM(Financials2026[[#This Row],[Jan AC]:[Dec AC]])</f>
        <v>0</v>
      </c>
      <c r="BC72" s="71">
        <f>Financials2026[[#This Row],[Jan AC]]-Financials2026[[#This Row],[Jan FC]]</f>
        <v>0</v>
      </c>
      <c r="BD72" s="71">
        <f>Financials2026[[#This Row],[Feb AC]]-Financials2026[[#This Row],[Feb FC]]</f>
        <v>0</v>
      </c>
      <c r="BE72" s="71">
        <f>Financials2026[[#This Row],[Mar AC]]-Financials2026[[#This Row],[Mar FC]]</f>
        <v>0</v>
      </c>
      <c r="BF72" s="71">
        <f>Financials2026[[#This Row],[Apr AC]]-Financials2026[[#This Row],[Apr FC]]</f>
        <v>0</v>
      </c>
      <c r="BG72" s="71">
        <f>Financials2026[[#This Row],[May AC]]-Financials2026[[#This Row],[May FC]]</f>
        <v>0</v>
      </c>
      <c r="BH72" s="71">
        <f>Financials2026[[#This Row],[Jun AC]]-Financials2026[[#This Row],[Jun FC]]</f>
        <v>0</v>
      </c>
      <c r="BI72" s="71">
        <f>Financials2026[[#This Row],[Jul AC]]-Financials2026[[#This Row],[Jul FC]]</f>
        <v>0</v>
      </c>
      <c r="BJ72" s="71">
        <f>Financials2026[[#This Row],[Aug AC]]-Financials2026[[#This Row],[Aug FC]]</f>
        <v>0</v>
      </c>
      <c r="BK72" s="71">
        <f>Financials2026[[#This Row],[Sep AC]]-Financials2026[[#This Row],[Sep FC]]</f>
        <v>0</v>
      </c>
      <c r="BL72" s="71">
        <f>Financials2026[[#This Row],[Oct AC]]-Financials2026[[#This Row],[Oct FC]]</f>
        <v>-48667.5</v>
      </c>
      <c r="BM72" s="71">
        <f>Financials2026[[#This Row],[Nov AC]]-Financials2026[[#This Row],[Nov FC]]</f>
        <v>0</v>
      </c>
      <c r="BN72" s="71">
        <f>Financials2026[[#This Row],[Dec AC]]-Financials2026[[#This Row],[Dec FC]]</f>
        <v>0</v>
      </c>
      <c r="BO72" s="71">
        <f>SUM(Financials2026[[#This Row],[Jan Opp/Risk]:[Dec Opp./Risk]])</f>
        <v>-48667.5</v>
      </c>
      <c r="BP72" s="90"/>
      <c r="BQ72" s="47">
        <f>SUM(Financials2026[[#This Row],[Jan AC]:[Apr AC]])</f>
        <v>0</v>
      </c>
      <c r="BS72" s="6"/>
      <c r="BT72" s="6"/>
      <c r="BU72" s="6"/>
      <c r="BV72" s="6"/>
      <c r="BW72" s="6"/>
      <c r="BX72" s="6"/>
    </row>
    <row r="73" spans="1:76" hidden="1" x14ac:dyDescent="0.35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49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54"/>
        <v>68250</v>
      </c>
      <c r="X73" s="15">
        <f t="shared" si="57"/>
        <v>0</v>
      </c>
      <c r="Y73" s="15">
        <f t="shared" si="50"/>
        <v>0</v>
      </c>
      <c r="Z73" s="15">
        <f>SUM(Financials2026[[#This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SUM(Financials2026[[#This Row],[Jan FC]:[Dec FC]])</f>
        <v>68250</v>
      </c>
      <c r="AO73" s="15">
        <f t="shared" si="55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SUM(Financials2026[[#This Row],[Jan AC]:[Dec AC]])</f>
        <v>0</v>
      </c>
      <c r="BC73" s="71">
        <f>Financials2026[[#This Row],[Jan AC]]-Financials2026[[#This Row],[Jan FC]]</f>
        <v>0</v>
      </c>
      <c r="BD73" s="71">
        <f>Financials2026[[#This Row],[Feb AC]]-Financials2026[[#This Row],[Feb FC]]</f>
        <v>0</v>
      </c>
      <c r="BE73" s="71">
        <f>Financials2026[[#This Row],[Mar AC]]-Financials2026[[#This Row],[Mar FC]]</f>
        <v>0</v>
      </c>
      <c r="BF73" s="71">
        <f>Financials2026[[#This Row],[Apr AC]]-Financials2026[[#This Row],[Apr FC]]</f>
        <v>0</v>
      </c>
      <c r="BG73" s="71">
        <f>Financials2026[[#This Row],[May AC]]-Financials2026[[#This Row],[May FC]]</f>
        <v>0</v>
      </c>
      <c r="BH73" s="71">
        <f>Financials2026[[#This Row],[Jun AC]]-Financials2026[[#This Row],[Jun FC]]</f>
        <v>0</v>
      </c>
      <c r="BI73" s="71">
        <f>Financials2026[[#This Row],[Jul AC]]-Financials2026[[#This Row],[Jul FC]]</f>
        <v>0</v>
      </c>
      <c r="BJ73" s="71">
        <f>Financials2026[[#This Row],[Aug AC]]-Financials2026[[#This Row],[Aug FC]]</f>
        <v>-68250</v>
      </c>
      <c r="BK73" s="71">
        <f>Financials2026[[#This Row],[Sep AC]]-Financials2026[[#This Row],[Sep FC]]</f>
        <v>0</v>
      </c>
      <c r="BL73" s="71">
        <f>Financials2026[[#This Row],[Oct AC]]-Financials2026[[#This Row],[Oct FC]]</f>
        <v>0</v>
      </c>
      <c r="BM73" s="71">
        <f>Financials2026[[#This Row],[Nov AC]]-Financials2026[[#This Row],[Nov FC]]</f>
        <v>0</v>
      </c>
      <c r="BN73" s="71">
        <f>Financials2026[[#This Row],[Dec AC]]-Financials2026[[#This Row],[Dec FC]]</f>
        <v>0</v>
      </c>
      <c r="BO73" s="71">
        <f>SUM(Financials2026[[#This Row],[Jan Opp/Risk]:[Dec Opp./Risk]])</f>
        <v>-68250</v>
      </c>
      <c r="BP73" s="90"/>
      <c r="BQ73" s="47">
        <f>SUM(Financials2026[[#This Row],[Jan AC]:[Apr AC]])</f>
        <v>0</v>
      </c>
      <c r="BS73" s="6"/>
      <c r="BT73" s="6"/>
      <c r="BU73" s="6"/>
      <c r="BV73" s="6"/>
      <c r="BW73" s="6"/>
      <c r="BX73" s="6"/>
    </row>
    <row r="74" spans="1:76" x14ac:dyDescent="0.35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49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54"/>
        <v>96041.64</v>
      </c>
      <c r="X74" s="15">
        <f t="shared" si="57"/>
        <v>-4802.4600000000064</v>
      </c>
      <c r="Y74" s="15">
        <f t="shared" si="50"/>
        <v>0</v>
      </c>
      <c r="Z74" s="15">
        <f>SUM(Financials2026[[#This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SUM(Financials2026[[#This Row],[Jan FC]:[Dec FC]])</f>
        <v>100844.1</v>
      </c>
      <c r="AO74" s="15">
        <f t="shared" si="55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SUM(Financials2026[[#This Row],[Jan AC]:[Dec AC]])</f>
        <v>96041.64</v>
      </c>
      <c r="BC74" s="71">
        <f>Financials2026[[#This Row],[Jan AC]]-Financials2026[[#This Row],[Jan FC]]</f>
        <v>0</v>
      </c>
      <c r="BD74" s="71">
        <f>Financials2026[[#This Row],[Feb AC]]-Financials2026[[#This Row],[Feb FC]]</f>
        <v>-4802.4600000000064</v>
      </c>
      <c r="BE74" s="71">
        <f>Financials2026[[#This Row],[Mar AC]]-Financials2026[[#This Row],[Mar FC]]</f>
        <v>0</v>
      </c>
      <c r="BF74" s="71">
        <f>Financials2026[[#This Row],[Apr AC]]-Financials2026[[#This Row],[Apr FC]]</f>
        <v>0</v>
      </c>
      <c r="BG74" s="71">
        <f>Financials2026[[#This Row],[May AC]]-Financials2026[[#This Row],[May FC]]</f>
        <v>0</v>
      </c>
      <c r="BH74" s="71">
        <f>Financials2026[[#This Row],[Jun AC]]-Financials2026[[#This Row],[Jun FC]]</f>
        <v>0</v>
      </c>
      <c r="BI74" s="71">
        <f>Financials2026[[#This Row],[Jul AC]]-Financials2026[[#This Row],[Jul FC]]</f>
        <v>0</v>
      </c>
      <c r="BJ74" s="71">
        <f>Financials2026[[#This Row],[Aug AC]]-Financials2026[[#This Row],[Aug FC]]</f>
        <v>0</v>
      </c>
      <c r="BK74" s="71">
        <f>Financials2026[[#This Row],[Sep AC]]-Financials2026[[#This Row],[Sep FC]]</f>
        <v>0</v>
      </c>
      <c r="BL74" s="71">
        <f>Financials2026[[#This Row],[Oct AC]]-Financials2026[[#This Row],[Oct FC]]</f>
        <v>0</v>
      </c>
      <c r="BM74" s="71">
        <f>Financials2026[[#This Row],[Nov AC]]-Financials2026[[#This Row],[Nov FC]]</f>
        <v>0</v>
      </c>
      <c r="BN74" s="71">
        <f>Financials2026[[#This Row],[Dec AC]]-Financials2026[[#This Row],[Dec FC]]</f>
        <v>0</v>
      </c>
      <c r="BO74" s="71">
        <f>SUM(Financials2026[[#This Row],[Jan Opp/Risk]:[Dec Opp./Risk]])</f>
        <v>-4802.4600000000064</v>
      </c>
      <c r="BP74" s="90" t="s">
        <v>534</v>
      </c>
      <c r="BQ74" s="47">
        <f>SUM(Financials2026[[#This Row],[Jan AC]:[Apr AC]])</f>
        <v>96041.64</v>
      </c>
      <c r="BS74" s="6"/>
      <c r="BT74" s="6"/>
      <c r="BU74" s="6"/>
      <c r="BV74" s="6"/>
      <c r="BW74" s="6"/>
      <c r="BX74" s="6"/>
    </row>
    <row r="75" spans="1:76" hidden="1" x14ac:dyDescent="0.35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49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54"/>
        <v>70310.907999999996</v>
      </c>
      <c r="X75" s="15">
        <f t="shared" si="57"/>
        <v>-121.79000000000815</v>
      </c>
      <c r="Y75" s="15">
        <f t="shared" si="50"/>
        <v>0</v>
      </c>
      <c r="Z75" s="15">
        <f>SUM(Financials2026[[#This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SUM(Financials2026[[#This Row],[Jan FC]:[Dec FC]])</f>
        <v>70432.698000000004</v>
      </c>
      <c r="AO75" s="15">
        <f t="shared" si="55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SUM(Financials2026[[#This Row],[Jan AC]:[Dec AC]])</f>
        <v>878.21</v>
      </c>
      <c r="BC75" s="71">
        <f>Financials2026[[#This Row],[Jan AC]]-Financials2026[[#This Row],[Jan FC]]</f>
        <v>-38.860000000000014</v>
      </c>
      <c r="BD75" s="71">
        <f>Financials2026[[#This Row],[Feb AC]]-Financials2026[[#This Row],[Feb FC]]</f>
        <v>-38.860000000000014</v>
      </c>
      <c r="BE75" s="71">
        <f>Financials2026[[#This Row],[Mar AC]]-Financials2026[[#This Row],[Mar FC]]</f>
        <v>-14.689999999999998</v>
      </c>
      <c r="BF75" s="71">
        <f>Financials2026[[#This Row],[Apr AC]]-Financials2026[[#This Row],[Apr FC]]</f>
        <v>-14.689999999999998</v>
      </c>
      <c r="BG75" s="71">
        <f>Financials2026[[#This Row],[May AC]]-Financials2026[[#This Row],[May FC]]</f>
        <v>-14.689999999999998</v>
      </c>
      <c r="BH75" s="71">
        <f>Financials2026[[#This Row],[Jun AC]]-Financials2026[[#This Row],[Jun FC]]</f>
        <v>-200</v>
      </c>
      <c r="BI75" s="71">
        <f>Financials2026[[#This Row],[Jul AC]]-Financials2026[[#This Row],[Jul FC]]</f>
        <v>-200</v>
      </c>
      <c r="BJ75" s="71">
        <f>Financials2026[[#This Row],[Aug AC]]-Financials2026[[#This Row],[Aug FC]]</f>
        <v>-200</v>
      </c>
      <c r="BK75" s="71">
        <f>Financials2026[[#This Row],[Sep AC]]-Financials2026[[#This Row],[Sep FC]]</f>
        <v>-200</v>
      </c>
      <c r="BL75" s="71">
        <f>Financials2026[[#This Row],[Oct AC]]-Financials2026[[#This Row],[Oct FC]]</f>
        <v>-200</v>
      </c>
      <c r="BM75" s="71">
        <f>Financials2026[[#This Row],[Nov AC]]-Financials2026[[#This Row],[Nov FC]]</f>
        <v>-200</v>
      </c>
      <c r="BN75" s="71">
        <f>Financials2026[[#This Row],[Dec AC]]-Financials2026[[#This Row],[Dec FC]]</f>
        <v>-68232.698000000004</v>
      </c>
      <c r="BO75" s="71">
        <f>SUM(Financials2026[[#This Row],[Jan Opp/Risk]:[Dec Opp./Risk]])</f>
        <v>-69554.487999999998</v>
      </c>
      <c r="BP75" s="90"/>
      <c r="BQ75" s="47">
        <f>SUM(Financials2026[[#This Row],[Jan AC]:[Apr AC]])</f>
        <v>692.9</v>
      </c>
      <c r="BS75" s="6"/>
      <c r="BT75" s="6"/>
      <c r="BU75" s="6"/>
      <c r="BV75" s="6"/>
      <c r="BW75" s="6"/>
      <c r="BX75" s="6"/>
    </row>
    <row r="76" spans="1:76" hidden="1" x14ac:dyDescent="0.35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49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54"/>
        <v>133249.31666666665</v>
      </c>
      <c r="X76" s="15">
        <f t="shared" si="57"/>
        <v>0</v>
      </c>
      <c r="Y76" s="15">
        <f t="shared" si="50"/>
        <v>3.4166666666278616</v>
      </c>
      <c r="Z76" s="15">
        <f>SUM(Financials2026[[#This Row],[2026 Opportunity]:[2026 Risk]])</f>
        <v>3.4166666666278616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v>11375</v>
      </c>
      <c r="AN76" s="77">
        <f>SUM(Financials2026[[#This Row],[Jan FC]:[Dec FC]])</f>
        <v>133245.90000000002</v>
      </c>
      <c r="AO76" s="15">
        <f t="shared" si="55"/>
        <v>79082.649999999994</v>
      </c>
      <c r="AP76" s="61">
        <f t="shared" ref="AP76:AU76" si="58">130000/12</f>
        <v>10833.333333333334</v>
      </c>
      <c r="AQ76" s="61">
        <f t="shared" si="58"/>
        <v>10833.333333333334</v>
      </c>
      <c r="AR76" s="61">
        <f t="shared" si="58"/>
        <v>10833.333333333334</v>
      </c>
      <c r="AS76" s="61">
        <f t="shared" si="58"/>
        <v>10833.333333333334</v>
      </c>
      <c r="AT76" s="61">
        <f t="shared" si="58"/>
        <v>10833.333333333334</v>
      </c>
      <c r="AU76" s="61">
        <f t="shared" si="58"/>
        <v>10833.333333333334</v>
      </c>
      <c r="AV76" s="60"/>
      <c r="AW76" s="60"/>
      <c r="AX76" s="60"/>
      <c r="AY76" s="60"/>
      <c r="AZ76" s="60"/>
      <c r="BA76" s="60"/>
      <c r="BB76" s="79">
        <f>SUM(Financials2026[[#This Row],[Jan AC]:[Dec AC]])</f>
        <v>65000.000000000007</v>
      </c>
      <c r="BC76" s="71">
        <f>Financials2026[[#This Row],[Jan AC]]-Financials2026[[#This Row],[Jan FC]]</f>
        <v>0.68333333333066548</v>
      </c>
      <c r="BD76" s="71">
        <f>Financials2026[[#This Row],[Feb AC]]-Financials2026[[#This Row],[Feb FC]]</f>
        <v>0.68333333333066548</v>
      </c>
      <c r="BE76" s="71">
        <f>Financials2026[[#This Row],[Mar AC]]-Financials2026[[#This Row],[Mar FC]]</f>
        <v>0.68333333333066548</v>
      </c>
      <c r="BF76" s="71">
        <f>Financials2026[[#This Row],[Apr AC]]-Financials2026[[#This Row],[Apr FC]]</f>
        <v>0.68333333333066548</v>
      </c>
      <c r="BG76" s="71">
        <f>Financials2026[[#This Row],[May AC]]-Financials2026[[#This Row],[May FC]]</f>
        <v>0.68333333333066548</v>
      </c>
      <c r="BH76" s="71">
        <f>Financials2026[[#This Row],[Jun AC]]-Financials2026[[#This Row],[Jun FC]]</f>
        <v>0.68333333333066548</v>
      </c>
      <c r="BI76" s="71">
        <f>Financials2026[[#This Row],[Jul AC]]-Financials2026[[#This Row],[Jul FC]]</f>
        <v>-11375</v>
      </c>
      <c r="BJ76" s="71">
        <f>Financials2026[[#This Row],[Aug AC]]-Financials2026[[#This Row],[Aug FC]]</f>
        <v>-11375</v>
      </c>
      <c r="BK76" s="71">
        <f>Financials2026[[#This Row],[Sep AC]]-Financials2026[[#This Row],[Sep FC]]</f>
        <v>-11375</v>
      </c>
      <c r="BL76" s="71">
        <f>Financials2026[[#This Row],[Oct AC]]-Financials2026[[#This Row],[Oct FC]]</f>
        <v>-11375</v>
      </c>
      <c r="BM76" s="71">
        <f>Financials2026[[#This Row],[Nov AC]]-Financials2026[[#This Row],[Nov FC]]</f>
        <v>-11375</v>
      </c>
      <c r="BN76" s="71">
        <f>Financials2026[[#This Row],[Dec AC]]-Financials2026[[#This Row],[Dec FC]]</f>
        <v>-11375</v>
      </c>
      <c r="BO76" s="71">
        <f>SUM(Financials2026[[#This Row],[Jan Opp/Risk]:[Dec Opp./Risk]])</f>
        <v>-68245.900000000023</v>
      </c>
      <c r="BP76" s="90"/>
      <c r="BQ76" s="47">
        <f>SUM(Financials2026[[#This Row],[Jan AC]:[Apr AC]])</f>
        <v>43333.333333333336</v>
      </c>
      <c r="BS76" s="6"/>
      <c r="BT76" s="6"/>
      <c r="BU76" s="6"/>
      <c r="BV76" s="6"/>
      <c r="BW76" s="6"/>
      <c r="BX76" s="6"/>
    </row>
    <row r="77" spans="1:76" hidden="1" x14ac:dyDescent="0.35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49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54"/>
        <v>5250</v>
      </c>
      <c r="X77" s="15">
        <f t="shared" si="57"/>
        <v>0</v>
      </c>
      <c r="Y77" s="15">
        <f t="shared" si="50"/>
        <v>0</v>
      </c>
      <c r="Z77" s="15">
        <f>SUM(Financials2026[[#This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SUM(Financials2026[[#This Row],[Jan FC]:[Dec FC]])</f>
        <v>5250</v>
      </c>
      <c r="AO77" s="15">
        <f t="shared" si="55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SUM(Financials2026[[#This Row],[Jan AC]:[Dec AC]])</f>
        <v>0</v>
      </c>
      <c r="BC77" s="71">
        <f>Financials2026[[#This Row],[Jan AC]]-Financials2026[[#This Row],[Jan FC]]</f>
        <v>0</v>
      </c>
      <c r="BD77" s="71">
        <f>Financials2026[[#This Row],[Feb AC]]-Financials2026[[#This Row],[Feb FC]]</f>
        <v>0</v>
      </c>
      <c r="BE77" s="71">
        <f>Financials2026[[#This Row],[Mar AC]]-Financials2026[[#This Row],[Mar FC]]</f>
        <v>-5250</v>
      </c>
      <c r="BF77" s="71">
        <f>Financials2026[[#This Row],[Apr AC]]-Financials2026[[#This Row],[Apr FC]]</f>
        <v>0</v>
      </c>
      <c r="BG77" s="71">
        <f>Financials2026[[#This Row],[May AC]]-Financials2026[[#This Row],[May FC]]</f>
        <v>0</v>
      </c>
      <c r="BH77" s="71">
        <f>Financials2026[[#This Row],[Jun AC]]-Financials2026[[#This Row],[Jun FC]]</f>
        <v>0</v>
      </c>
      <c r="BI77" s="71">
        <f>Financials2026[[#This Row],[Jul AC]]-Financials2026[[#This Row],[Jul FC]]</f>
        <v>0</v>
      </c>
      <c r="BJ77" s="71">
        <f>Financials2026[[#This Row],[Aug AC]]-Financials2026[[#This Row],[Aug FC]]</f>
        <v>0</v>
      </c>
      <c r="BK77" s="71">
        <f>Financials2026[[#This Row],[Sep AC]]-Financials2026[[#This Row],[Sep FC]]</f>
        <v>0</v>
      </c>
      <c r="BL77" s="71">
        <f>Financials2026[[#This Row],[Oct AC]]-Financials2026[[#This Row],[Oct FC]]</f>
        <v>0</v>
      </c>
      <c r="BM77" s="71">
        <f>Financials2026[[#This Row],[Nov AC]]-Financials2026[[#This Row],[Nov FC]]</f>
        <v>0</v>
      </c>
      <c r="BN77" s="71">
        <f>Financials2026[[#This Row],[Dec AC]]-Financials2026[[#This Row],[Dec FC]]</f>
        <v>0</v>
      </c>
      <c r="BO77" s="71">
        <f>SUM(Financials2026[[#This Row],[Jan Opp/Risk]:[Dec Opp./Risk]])</f>
        <v>-5250</v>
      </c>
      <c r="BP77" s="91"/>
      <c r="BQ77" s="47">
        <f>SUM(Financials2026[[#This Row],[Jan AC]:[Apr AC]])</f>
        <v>0</v>
      </c>
      <c r="BS77" s="6"/>
      <c r="BT77" s="6"/>
      <c r="BU77" s="6"/>
      <c r="BV77" s="6"/>
      <c r="BW77" s="6"/>
      <c r="BX77" s="6"/>
    </row>
    <row r="78" spans="1:76" hidden="1" x14ac:dyDescent="0.35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49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54"/>
        <v>26312.240000000002</v>
      </c>
      <c r="X78" s="15">
        <f t="shared" si="57"/>
        <v>0</v>
      </c>
      <c r="Y78" s="15">
        <f t="shared" si="50"/>
        <v>23.484500000002299</v>
      </c>
      <c r="Z78" s="15">
        <f>SUM(Financials2026[[#This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SUM(Financials2026[[#This Row],[Jan FC]:[Dec FC]])</f>
        <v>26543.14</v>
      </c>
      <c r="AO78" s="15">
        <f t="shared" si="55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SUM(Financials2026[[#This Row],[Jan AC]:[Dec AC]])</f>
        <v>14025.49</v>
      </c>
      <c r="BC78" s="71">
        <f>Financials2026[[#This Row],[Jan AC]]-Financials2026[[#This Row],[Jan FC]]</f>
        <v>0</v>
      </c>
      <c r="BD78" s="71">
        <f>Financials2026[[#This Row],[Feb AC]]-Financials2026[[#This Row],[Feb FC]]</f>
        <v>0</v>
      </c>
      <c r="BE78" s="71">
        <f>Financials2026[[#This Row],[Mar AC]]-Financials2026[[#This Row],[Mar FC]]</f>
        <v>-254.79999999999995</v>
      </c>
      <c r="BF78" s="71">
        <f>Financials2026[[#This Row],[Apr AC]]-Financials2026[[#This Row],[Apr FC]]</f>
        <v>-236.91000000000008</v>
      </c>
      <c r="BG78" s="71">
        <f>Financials2026[[#This Row],[May AC]]-Financials2026[[#This Row],[May FC]]</f>
        <v>260.80999999999995</v>
      </c>
      <c r="BH78" s="71">
        <f>Financials2026[[#This Row],[Jun AC]]-Financials2026[[#This Row],[Jun FC]]</f>
        <v>-1000</v>
      </c>
      <c r="BI78" s="71">
        <f>Financials2026[[#This Row],[Jul AC]]-Financials2026[[#This Row],[Jul FC]]</f>
        <v>-1000</v>
      </c>
      <c r="BJ78" s="71">
        <f>Financials2026[[#This Row],[Aug AC]]-Financials2026[[#This Row],[Aug FC]]</f>
        <v>-2190.75</v>
      </c>
      <c r="BK78" s="71">
        <f>Financials2026[[#This Row],[Sep AC]]-Financials2026[[#This Row],[Sep FC]]</f>
        <v>-2190.75</v>
      </c>
      <c r="BL78" s="71">
        <f>Financials2026[[#This Row],[Oct AC]]-Financials2026[[#This Row],[Oct FC]]</f>
        <v>-2190.75</v>
      </c>
      <c r="BM78" s="71">
        <f>Financials2026[[#This Row],[Nov AC]]-Financials2026[[#This Row],[Nov FC]]</f>
        <v>-2190.75</v>
      </c>
      <c r="BN78" s="71">
        <f>Financials2026[[#This Row],[Dec AC]]-Financials2026[[#This Row],[Dec FC]]</f>
        <v>-1523.75</v>
      </c>
      <c r="BO78" s="83">
        <f>SUM(Financials2026[[#This Row],[Jan Opp/Risk]:[Dec Opp./Risk]])</f>
        <v>-12517.65</v>
      </c>
      <c r="BP78" s="94" t="s">
        <v>830</v>
      </c>
      <c r="BQ78" s="47">
        <f>SUM(Financials2026[[#This Row],[Jan AC]:[Apr AC]])</f>
        <v>12764.68</v>
      </c>
      <c r="BS78" s="6"/>
      <c r="BT78" s="6"/>
      <c r="BU78" s="6"/>
      <c r="BV78" s="6"/>
      <c r="BW78" s="6"/>
      <c r="BX78" s="6"/>
    </row>
    <row r="79" spans="1:76" hidden="1" x14ac:dyDescent="0.35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49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54"/>
        <v>91250</v>
      </c>
      <c r="X79" s="15">
        <f t="shared" si="57"/>
        <v>-0.25</v>
      </c>
      <c r="Y79" s="15">
        <f t="shared" si="50"/>
        <v>0</v>
      </c>
      <c r="Z79" s="15">
        <f>SUM(Financials2026[[#This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SUM(Financials2026[[#This Row],[Jan FC]:[Dec FC]])</f>
        <v>91250</v>
      </c>
      <c r="AO79" s="15">
        <f t="shared" si="55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SUM(Financials2026[[#This Row],[Jan AC]:[Dec AC]])</f>
        <v>0</v>
      </c>
      <c r="BC79" s="71">
        <f>Financials2026[[#This Row],[Jan AC]]-Financials2026[[#This Row],[Jan FC]]</f>
        <v>0</v>
      </c>
      <c r="BD79" s="71">
        <f>Financials2026[[#This Row],[Feb AC]]-Financials2026[[#This Row],[Feb FC]]</f>
        <v>0</v>
      </c>
      <c r="BE79" s="71">
        <f>Financials2026[[#This Row],[Mar AC]]-Financials2026[[#This Row],[Mar FC]]</f>
        <v>0</v>
      </c>
      <c r="BF79" s="71">
        <f>Financials2026[[#This Row],[Apr AC]]-Financials2026[[#This Row],[Apr FC]]</f>
        <v>0</v>
      </c>
      <c r="BG79" s="71">
        <f>Financials2026[[#This Row],[May AC]]-Financials2026[[#This Row],[May FC]]</f>
        <v>0</v>
      </c>
      <c r="BH79" s="71">
        <f>Financials2026[[#This Row],[Jun AC]]-Financials2026[[#This Row],[Jun FC]]</f>
        <v>0</v>
      </c>
      <c r="BI79" s="71">
        <f>Financials2026[[#This Row],[Jul AC]]-Financials2026[[#This Row],[Jul FC]]</f>
        <v>0</v>
      </c>
      <c r="BJ79" s="71">
        <f>Financials2026[[#This Row],[Aug AC]]-Financials2026[[#This Row],[Aug FC]]</f>
        <v>-91250</v>
      </c>
      <c r="BK79" s="71">
        <f>Financials2026[[#This Row],[Sep AC]]-Financials2026[[#This Row],[Sep FC]]</f>
        <v>0</v>
      </c>
      <c r="BL79" s="71">
        <f>Financials2026[[#This Row],[Oct AC]]-Financials2026[[#This Row],[Oct FC]]</f>
        <v>0</v>
      </c>
      <c r="BM79" s="71">
        <f>Financials2026[[#This Row],[Nov AC]]-Financials2026[[#This Row],[Nov FC]]</f>
        <v>0</v>
      </c>
      <c r="BN79" s="71">
        <f>Financials2026[[#This Row],[Dec AC]]-Financials2026[[#This Row],[Dec FC]]</f>
        <v>0</v>
      </c>
      <c r="BO79" s="71">
        <f>SUM(Financials2026[[#This Row],[Jan Opp/Risk]:[Dec Opp./Risk]])</f>
        <v>-91250</v>
      </c>
      <c r="BP79" s="90"/>
      <c r="BQ79" s="47">
        <f>SUM(Financials2026[[#This Row],[Jan AC]:[Apr AC]])</f>
        <v>0</v>
      </c>
      <c r="BS79" s="6"/>
      <c r="BT79" s="6"/>
      <c r="BU79" s="6"/>
      <c r="BV79" s="6"/>
      <c r="BW79" s="6"/>
      <c r="BX79" s="6"/>
    </row>
    <row r="80" spans="1:76" hidden="1" x14ac:dyDescent="0.35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49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54"/>
        <v>32760</v>
      </c>
      <c r="X80" s="15">
        <f t="shared" si="57"/>
        <v>0</v>
      </c>
      <c r="Y80" s="15">
        <f t="shared" si="50"/>
        <v>0</v>
      </c>
      <c r="Z80" s="15">
        <f>SUM(Financials2026[[#This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SUM(Financials2026[[#This Row],[Jan FC]:[Dec FC]])</f>
        <v>32760</v>
      </c>
      <c r="AO80" s="15">
        <f t="shared" si="55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SUM(Financials2026[[#This Row],[Jan AC]:[Dec AC]])</f>
        <v>0</v>
      </c>
      <c r="BC80" s="71">
        <f>Financials2026[[#This Row],[Jan AC]]-Financials2026[[#This Row],[Jan FC]]</f>
        <v>0</v>
      </c>
      <c r="BD80" s="71">
        <f>Financials2026[[#This Row],[Feb AC]]-Financials2026[[#This Row],[Feb FC]]</f>
        <v>0</v>
      </c>
      <c r="BE80" s="71">
        <f>Financials2026[[#This Row],[Mar AC]]-Financials2026[[#This Row],[Mar FC]]</f>
        <v>0</v>
      </c>
      <c r="BF80" s="71">
        <f>Financials2026[[#This Row],[Apr AC]]-Financials2026[[#This Row],[Apr FC]]</f>
        <v>0</v>
      </c>
      <c r="BG80" s="71">
        <f>Financials2026[[#This Row],[May AC]]-Financials2026[[#This Row],[May FC]]</f>
        <v>0</v>
      </c>
      <c r="BH80" s="71">
        <f>Financials2026[[#This Row],[Jun AC]]-Financials2026[[#This Row],[Jun FC]]</f>
        <v>0</v>
      </c>
      <c r="BI80" s="71">
        <f>Financials2026[[#This Row],[Jul AC]]-Financials2026[[#This Row],[Jul FC]]</f>
        <v>0</v>
      </c>
      <c r="BJ80" s="71">
        <f>Financials2026[[#This Row],[Aug AC]]-Financials2026[[#This Row],[Aug FC]]</f>
        <v>0</v>
      </c>
      <c r="BK80" s="71">
        <f>Financials2026[[#This Row],[Sep AC]]-Financials2026[[#This Row],[Sep FC]]</f>
        <v>0</v>
      </c>
      <c r="BL80" s="71">
        <f>Financials2026[[#This Row],[Oct AC]]-Financials2026[[#This Row],[Oct FC]]</f>
        <v>0</v>
      </c>
      <c r="BM80" s="71">
        <f>Financials2026[[#This Row],[Nov AC]]-Financials2026[[#This Row],[Nov FC]]</f>
        <v>0</v>
      </c>
      <c r="BN80" s="71">
        <f>Financials2026[[#This Row],[Dec AC]]-Financials2026[[#This Row],[Dec FC]]</f>
        <v>-32760</v>
      </c>
      <c r="BO80" s="71">
        <f>SUM(Financials2026[[#This Row],[Jan Opp/Risk]:[Dec Opp./Risk]])</f>
        <v>-32760</v>
      </c>
      <c r="BP80" s="90" t="s">
        <v>527</v>
      </c>
      <c r="BQ80" s="47">
        <f>SUM(Financials2026[[#This Row],[Jan AC]:[Apr AC]])</f>
        <v>0</v>
      </c>
      <c r="BS80" s="6"/>
      <c r="BT80" s="6"/>
      <c r="BU80" s="6"/>
      <c r="BV80" s="6"/>
      <c r="BW80" s="6"/>
      <c r="BX80" s="6"/>
    </row>
    <row r="81" spans="1:76" hidden="1" x14ac:dyDescent="0.35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49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54"/>
        <v>8136.97</v>
      </c>
      <c r="X81" s="15">
        <f t="shared" si="57"/>
        <v>0</v>
      </c>
      <c r="Y81" s="15">
        <f t="shared" si="50"/>
        <v>5624.97</v>
      </c>
      <c r="Z81" s="15">
        <f>SUM(Financials2026[[#This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SUM(Financials2026[[#This Row],[Jan FC]:[Dec FC]])</f>
        <v>2512</v>
      </c>
      <c r="AO81" s="15">
        <f t="shared" si="55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SUM(Financials2026[[#This Row],[Jan AC]:[Dec AC]])</f>
        <v>8136.97</v>
      </c>
      <c r="BC81" s="71">
        <f>Financials2026[[#This Row],[Jan AC]]-Financials2026[[#This Row],[Jan FC]]</f>
        <v>0</v>
      </c>
      <c r="BD81" s="71">
        <f>Financials2026[[#This Row],[Feb AC]]-Financials2026[[#This Row],[Feb FC]]</f>
        <v>0</v>
      </c>
      <c r="BE81" s="71">
        <f>Financials2026[[#This Row],[Mar AC]]-Financials2026[[#This Row],[Mar FC]]</f>
        <v>0</v>
      </c>
      <c r="BF81" s="71">
        <f>Financials2026[[#This Row],[Apr AC]]-Financials2026[[#This Row],[Apr FC]]</f>
        <v>5624.97</v>
      </c>
      <c r="BG81" s="71">
        <f>Financials2026[[#This Row],[May AC]]-Financials2026[[#This Row],[May FC]]</f>
        <v>0</v>
      </c>
      <c r="BH81" s="71">
        <f>Financials2026[[#This Row],[Jun AC]]-Financials2026[[#This Row],[Jun FC]]</f>
        <v>0</v>
      </c>
      <c r="BI81" s="71">
        <f>Financials2026[[#This Row],[Jul AC]]-Financials2026[[#This Row],[Jul FC]]</f>
        <v>0</v>
      </c>
      <c r="BJ81" s="71">
        <f>Financials2026[[#This Row],[Aug AC]]-Financials2026[[#This Row],[Aug FC]]</f>
        <v>0</v>
      </c>
      <c r="BK81" s="71">
        <f>Financials2026[[#This Row],[Sep AC]]-Financials2026[[#This Row],[Sep FC]]</f>
        <v>0</v>
      </c>
      <c r="BL81" s="71">
        <f>Financials2026[[#This Row],[Oct AC]]-Financials2026[[#This Row],[Oct FC]]</f>
        <v>0</v>
      </c>
      <c r="BM81" s="71">
        <f>Financials2026[[#This Row],[Nov AC]]-Financials2026[[#This Row],[Nov FC]]</f>
        <v>0</v>
      </c>
      <c r="BN81" s="71">
        <f>Financials2026[[#This Row],[Dec AC]]-Financials2026[[#This Row],[Dec FC]]</f>
        <v>0</v>
      </c>
      <c r="BO81" s="71">
        <f>SUM(Financials2026[[#This Row],[Jan Opp/Risk]:[Dec Opp./Risk]])</f>
        <v>5624.97</v>
      </c>
      <c r="BP81" s="90" t="s">
        <v>828</v>
      </c>
      <c r="BQ81" s="47">
        <f>SUM(Financials2026[[#This Row],[Jan AC]:[Apr AC]])</f>
        <v>8136.97</v>
      </c>
      <c r="BS81" s="6"/>
      <c r="BT81" s="6"/>
      <c r="BU81" s="6"/>
      <c r="BV81" s="6"/>
      <c r="BW81" s="6"/>
      <c r="BX81" s="6"/>
    </row>
    <row r="82" spans="1:76" hidden="1" x14ac:dyDescent="0.35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49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54"/>
        <v>139683.99999999997</v>
      </c>
      <c r="X82" s="15">
        <f t="shared" si="57"/>
        <v>-2.9103830456733704E-11</v>
      </c>
      <c r="Y82" s="15">
        <f t="shared" si="50"/>
        <v>0</v>
      </c>
      <c r="Z82" s="15">
        <f>SUM(Financials2026[[#This Row],[2026 Opportunity]:[2026 Risk]])</f>
        <v>-2.9103830456733704E-11</v>
      </c>
      <c r="AA82" s="3" t="s">
        <v>317</v>
      </c>
      <c r="AB82" s="52">
        <f t="shared" ref="AB82:AW82" si="59">139684/12</f>
        <v>11640.333333333334</v>
      </c>
      <c r="AC82" s="52">
        <f t="shared" si="59"/>
        <v>11640.333333333334</v>
      </c>
      <c r="AD82" s="52">
        <f t="shared" si="59"/>
        <v>11640.333333333334</v>
      </c>
      <c r="AE82" s="52">
        <f t="shared" si="59"/>
        <v>11640.333333333334</v>
      </c>
      <c r="AF82" s="52">
        <f t="shared" si="59"/>
        <v>11640.333333333334</v>
      </c>
      <c r="AG82" s="52">
        <f t="shared" si="59"/>
        <v>11640.333333333334</v>
      </c>
      <c r="AH82" s="52">
        <f t="shared" si="59"/>
        <v>11640.333333333334</v>
      </c>
      <c r="AI82" s="52">
        <f t="shared" si="59"/>
        <v>11640.333333333334</v>
      </c>
      <c r="AJ82" s="52">
        <f t="shared" si="59"/>
        <v>11640.333333333334</v>
      </c>
      <c r="AK82" s="52">
        <f t="shared" si="59"/>
        <v>11640.333333333334</v>
      </c>
      <c r="AL82" s="52">
        <f t="shared" si="59"/>
        <v>11640.333333333334</v>
      </c>
      <c r="AM82" s="52">
        <f t="shared" si="59"/>
        <v>11640.333333333334</v>
      </c>
      <c r="AN82" s="52">
        <f>SUM(Financials2026[[#This Row],[Jan FC]:[Dec FC]])</f>
        <v>139683.99999999997</v>
      </c>
      <c r="AO82" s="15">
        <f t="shared" si="55"/>
        <v>81482.333333333328</v>
      </c>
      <c r="AP82" s="61">
        <f t="shared" si="59"/>
        <v>11640.333333333334</v>
      </c>
      <c r="AQ82" s="61">
        <f t="shared" si="59"/>
        <v>11640.333333333334</v>
      </c>
      <c r="AR82" s="61">
        <f t="shared" si="59"/>
        <v>11640.333333333334</v>
      </c>
      <c r="AS82" s="61">
        <f t="shared" si="59"/>
        <v>11640.333333333334</v>
      </c>
      <c r="AT82" s="61">
        <f t="shared" si="59"/>
        <v>11640.333333333334</v>
      </c>
      <c r="AU82" s="61">
        <f t="shared" si="59"/>
        <v>11640.333333333334</v>
      </c>
      <c r="AV82" s="61">
        <f t="shared" si="59"/>
        <v>11640.333333333334</v>
      </c>
      <c r="AW82" s="61">
        <f t="shared" si="59"/>
        <v>11640.333333333334</v>
      </c>
      <c r="AX82" s="61"/>
      <c r="AY82" s="61"/>
      <c r="AZ82" s="61"/>
      <c r="BA82" s="61"/>
      <c r="BB82" s="80">
        <f>SUM(Financials2026[[#This Row],[Jan AC]:[Dec AC]])</f>
        <v>93122.666666666657</v>
      </c>
      <c r="BC82" s="71">
        <f>Financials2026[[#This Row],[Jan AC]]-Financials2026[[#This Row],[Jan FC]]</f>
        <v>0</v>
      </c>
      <c r="BD82" s="71">
        <f>Financials2026[[#This Row],[Feb AC]]-Financials2026[[#This Row],[Feb FC]]</f>
        <v>0</v>
      </c>
      <c r="BE82" s="71">
        <f>Financials2026[[#This Row],[Mar AC]]-Financials2026[[#This Row],[Mar FC]]</f>
        <v>0</v>
      </c>
      <c r="BF82" s="71">
        <f>Financials2026[[#This Row],[Apr AC]]-Financials2026[[#This Row],[Apr FC]]</f>
        <v>0</v>
      </c>
      <c r="BG82" s="71">
        <f>Financials2026[[#This Row],[May AC]]-Financials2026[[#This Row],[May FC]]</f>
        <v>0</v>
      </c>
      <c r="BH82" s="71">
        <f>Financials2026[[#This Row],[Jun AC]]-Financials2026[[#This Row],[Jun FC]]</f>
        <v>0</v>
      </c>
      <c r="BI82" s="71">
        <f>Financials2026[[#This Row],[Jul AC]]-Financials2026[[#This Row],[Jul FC]]</f>
        <v>0</v>
      </c>
      <c r="BJ82" s="71">
        <f>Financials2026[[#This Row],[Aug AC]]-Financials2026[[#This Row],[Aug FC]]</f>
        <v>0</v>
      </c>
      <c r="BK82" s="71">
        <f>Financials2026[[#This Row],[Sep AC]]-Financials2026[[#This Row],[Sep FC]]</f>
        <v>-11640.333333333334</v>
      </c>
      <c r="BL82" s="71">
        <f>Financials2026[[#This Row],[Oct AC]]-Financials2026[[#This Row],[Oct FC]]</f>
        <v>-11640.333333333334</v>
      </c>
      <c r="BM82" s="71">
        <f>Financials2026[[#This Row],[Nov AC]]-Financials2026[[#This Row],[Nov FC]]</f>
        <v>-11640.333333333334</v>
      </c>
      <c r="BN82" s="71">
        <f>Financials2026[[#This Row],[Dec AC]]-Financials2026[[#This Row],[Dec FC]]</f>
        <v>-11640.333333333334</v>
      </c>
      <c r="BO82" s="71">
        <f>SUM(Financials2026[[#This Row],[Jan Opp/Risk]:[Dec Opp./Risk]])</f>
        <v>-46561.333333333336</v>
      </c>
      <c r="BP82" s="90"/>
      <c r="BQ82" s="47">
        <f>SUM(Financials2026[[#This Row],[Jan AC]:[Apr AC]])</f>
        <v>46561.333333333336</v>
      </c>
      <c r="BS82" s="6"/>
      <c r="BT82" s="6"/>
      <c r="BU82" s="6"/>
      <c r="BV82" s="6"/>
      <c r="BW82" s="6"/>
      <c r="BX82" s="6"/>
    </row>
    <row r="83" spans="1:76" hidden="1" x14ac:dyDescent="0.35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49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54"/>
        <v>3150</v>
      </c>
      <c r="X83" s="15">
        <f t="shared" si="57"/>
        <v>0</v>
      </c>
      <c r="Y83" s="15">
        <f t="shared" si="50"/>
        <v>0</v>
      </c>
      <c r="Z83" s="15">
        <f>SUM(Financials2026[[#This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SUM(Financials2026[[#This Row],[Jan FC]:[Dec FC]])</f>
        <v>3150</v>
      </c>
      <c r="AO83" s="15">
        <f t="shared" si="55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SUM(Financials2026[[#This Row],[Jan AC]:[Dec AC]])</f>
        <v>0</v>
      </c>
      <c r="BC83" s="71">
        <f>Financials2026[[#This Row],[Jan AC]]-Financials2026[[#This Row],[Jan FC]]</f>
        <v>0</v>
      </c>
      <c r="BD83" s="71">
        <f>Financials2026[[#This Row],[Feb AC]]-Financials2026[[#This Row],[Feb FC]]</f>
        <v>0</v>
      </c>
      <c r="BE83" s="71">
        <f>Financials2026[[#This Row],[Mar AC]]-Financials2026[[#This Row],[Mar FC]]</f>
        <v>0</v>
      </c>
      <c r="BF83" s="71">
        <f>Financials2026[[#This Row],[Apr AC]]-Financials2026[[#This Row],[Apr FC]]</f>
        <v>0</v>
      </c>
      <c r="BG83" s="71">
        <f>Financials2026[[#This Row],[May AC]]-Financials2026[[#This Row],[May FC]]</f>
        <v>0</v>
      </c>
      <c r="BH83" s="71">
        <f>Financials2026[[#This Row],[Jun AC]]-Financials2026[[#This Row],[Jun FC]]</f>
        <v>0</v>
      </c>
      <c r="BI83" s="71">
        <f>Financials2026[[#This Row],[Jul AC]]-Financials2026[[#This Row],[Jul FC]]</f>
        <v>0</v>
      </c>
      <c r="BJ83" s="71">
        <f>Financials2026[[#This Row],[Aug AC]]-Financials2026[[#This Row],[Aug FC]]</f>
        <v>0</v>
      </c>
      <c r="BK83" s="71">
        <f>Financials2026[[#This Row],[Sep AC]]-Financials2026[[#This Row],[Sep FC]]</f>
        <v>0</v>
      </c>
      <c r="BL83" s="71">
        <f>Financials2026[[#This Row],[Oct AC]]-Financials2026[[#This Row],[Oct FC]]</f>
        <v>0</v>
      </c>
      <c r="BM83" s="71">
        <f>Financials2026[[#This Row],[Nov AC]]-Financials2026[[#This Row],[Nov FC]]</f>
        <v>0</v>
      </c>
      <c r="BN83" s="71">
        <f>Financials2026[[#This Row],[Dec AC]]-Financials2026[[#This Row],[Dec FC]]</f>
        <v>-3150</v>
      </c>
      <c r="BO83" s="71">
        <f>SUM(Financials2026[[#This Row],[Jan Opp/Risk]:[Dec Opp./Risk]])</f>
        <v>-3150</v>
      </c>
      <c r="BP83" s="91"/>
      <c r="BQ83" s="47">
        <f>SUM(Financials2026[[#This Row],[Jan AC]:[Apr AC]])</f>
        <v>0</v>
      </c>
      <c r="BS83" s="6"/>
      <c r="BT83" s="6"/>
      <c r="BU83" s="6"/>
      <c r="BV83" s="6"/>
      <c r="BW83" s="6"/>
      <c r="BX83" s="6"/>
    </row>
    <row r="84" spans="1:76" hidden="1" x14ac:dyDescent="0.35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ref="K84:K107" si="60">D84 &amp; "-" &amp;E84</f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54"/>
        <v>2595</v>
      </c>
      <c r="X84" s="15">
        <f t="shared" si="57"/>
        <v>0</v>
      </c>
      <c r="Y84" s="15">
        <f t="shared" ref="Y84:Y107" si="61">IF(W84 &gt; V84, W84 - V84, 0)</f>
        <v>0.4499999999998181</v>
      </c>
      <c r="Z84" s="15">
        <f>SUM(Financials2026[[#This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SUM(Financials2026[[#This Row],[Jan FC]:[Dec FC]])</f>
        <v>2595</v>
      </c>
      <c r="AO84" s="15">
        <f t="shared" si="55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SUM(Financials2026[[#This Row],[Jan AC]:[Dec AC]])</f>
        <v>0</v>
      </c>
      <c r="BC84" s="71">
        <f>Financials2026[[#This Row],[Jan AC]]-Financials2026[[#This Row],[Jan FC]]</f>
        <v>0</v>
      </c>
      <c r="BD84" s="71">
        <f>Financials2026[[#This Row],[Feb AC]]-Financials2026[[#This Row],[Feb FC]]</f>
        <v>0</v>
      </c>
      <c r="BE84" s="71">
        <f>Financials2026[[#This Row],[Mar AC]]-Financials2026[[#This Row],[Mar FC]]</f>
        <v>0</v>
      </c>
      <c r="BF84" s="71">
        <f>Financials2026[[#This Row],[Apr AC]]-Financials2026[[#This Row],[Apr FC]]</f>
        <v>0</v>
      </c>
      <c r="BG84" s="71">
        <f>Financials2026[[#This Row],[May AC]]-Financials2026[[#This Row],[May FC]]</f>
        <v>0</v>
      </c>
      <c r="BH84" s="71">
        <f>Financials2026[[#This Row],[Jun AC]]-Financials2026[[#This Row],[Jun FC]]</f>
        <v>0</v>
      </c>
      <c r="BI84" s="71">
        <f>Financials2026[[#This Row],[Jul AC]]-Financials2026[[#This Row],[Jul FC]]</f>
        <v>0</v>
      </c>
      <c r="BJ84" s="71">
        <f>Financials2026[[#This Row],[Aug AC]]-Financials2026[[#This Row],[Aug FC]]</f>
        <v>0</v>
      </c>
      <c r="BK84" s="71">
        <f>Financials2026[[#This Row],[Sep AC]]-Financials2026[[#This Row],[Sep FC]]</f>
        <v>-2595</v>
      </c>
      <c r="BL84" s="71">
        <f>Financials2026[[#This Row],[Oct AC]]-Financials2026[[#This Row],[Oct FC]]</f>
        <v>0</v>
      </c>
      <c r="BM84" s="71">
        <f>Financials2026[[#This Row],[Nov AC]]-Financials2026[[#This Row],[Nov FC]]</f>
        <v>0</v>
      </c>
      <c r="BN84" s="71">
        <f>Financials2026[[#This Row],[Dec AC]]-Financials2026[[#This Row],[Dec FC]]</f>
        <v>0</v>
      </c>
      <c r="BO84" s="71">
        <f>SUM(Financials2026[[#This Row],[Jan Opp/Risk]:[Dec Opp./Risk]])</f>
        <v>-2595</v>
      </c>
      <c r="BP84" s="90"/>
      <c r="BQ84" s="47">
        <f>SUM(Financials2026[[#This Row],[Jan AC]:[Apr AC]])</f>
        <v>0</v>
      </c>
      <c r="BS84" s="6"/>
      <c r="BT84" s="6"/>
      <c r="BU84" s="6"/>
      <c r="BV84" s="6"/>
      <c r="BW84" s="6"/>
      <c r="BX84" s="6"/>
    </row>
    <row r="85" spans="1:76" hidden="1" x14ac:dyDescent="0.35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60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54"/>
        <v>128265.00749999999</v>
      </c>
      <c r="X85" s="15">
        <f t="shared" si="57"/>
        <v>-63380.992500000008</v>
      </c>
      <c r="Y85" s="15">
        <f t="shared" si="61"/>
        <v>0</v>
      </c>
      <c r="Z85" s="15">
        <f>SUM(Financials2026[[#This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SUM(Financials2026[[#This Row],[Jan FC]:[Dec FC]])</f>
        <v>128265.00749999999</v>
      </c>
      <c r="AO85" s="15">
        <f t="shared" si="55"/>
        <v>99761.672500000001</v>
      </c>
      <c r="AP85" s="61"/>
      <c r="AQ85" s="61"/>
      <c r="AR85" s="61"/>
      <c r="AS85" s="61">
        <f t="shared" ref="AS85:BA85" si="62">171020.01/12</f>
        <v>14251.667500000001</v>
      </c>
      <c r="AT85" s="61">
        <f t="shared" si="62"/>
        <v>14251.667500000001</v>
      </c>
      <c r="AU85" s="61">
        <f t="shared" si="62"/>
        <v>14251.667500000001</v>
      </c>
      <c r="AV85" s="61">
        <f t="shared" si="62"/>
        <v>14251.667500000001</v>
      </c>
      <c r="AW85" s="61">
        <f t="shared" si="62"/>
        <v>14251.667500000001</v>
      </c>
      <c r="AX85" s="61">
        <f t="shared" si="62"/>
        <v>14251.667500000001</v>
      </c>
      <c r="AY85" s="61">
        <f t="shared" si="62"/>
        <v>14251.667500000001</v>
      </c>
      <c r="AZ85" s="61">
        <f t="shared" si="62"/>
        <v>14251.667500000001</v>
      </c>
      <c r="BA85" s="61">
        <f t="shared" si="62"/>
        <v>14251.667500000001</v>
      </c>
      <c r="BB85" s="80">
        <f>SUM(Financials2026[[#This Row],[Jan AC]:[Dec AC]])</f>
        <v>128265.00749999999</v>
      </c>
      <c r="BC85" s="71">
        <f>Financials2026[[#This Row],[Jan AC]]-Financials2026[[#This Row],[Jan FC]]</f>
        <v>0</v>
      </c>
      <c r="BD85" s="71">
        <f>Financials2026[[#This Row],[Feb AC]]-Financials2026[[#This Row],[Feb FC]]</f>
        <v>0</v>
      </c>
      <c r="BE85" s="71">
        <f>Financials2026[[#This Row],[Mar AC]]-Financials2026[[#This Row],[Mar FC]]</f>
        <v>0</v>
      </c>
      <c r="BF85" s="71">
        <f>Financials2026[[#This Row],[Apr AC]]-Financials2026[[#This Row],[Apr FC]]</f>
        <v>0</v>
      </c>
      <c r="BG85" s="71">
        <f>Financials2026[[#This Row],[May AC]]-Financials2026[[#This Row],[May FC]]</f>
        <v>0</v>
      </c>
      <c r="BH85" s="71">
        <f>Financials2026[[#This Row],[Jun AC]]-Financials2026[[#This Row],[Jun FC]]</f>
        <v>0</v>
      </c>
      <c r="BI85" s="71">
        <f>Financials2026[[#This Row],[Jul AC]]-Financials2026[[#This Row],[Jul FC]]</f>
        <v>0</v>
      </c>
      <c r="BJ85" s="71">
        <f>Financials2026[[#This Row],[Aug AC]]-Financials2026[[#This Row],[Aug FC]]</f>
        <v>0</v>
      </c>
      <c r="BK85" s="71">
        <f>Financials2026[[#This Row],[Sep AC]]-Financials2026[[#This Row],[Sep FC]]</f>
        <v>0</v>
      </c>
      <c r="BL85" s="71">
        <f>Financials2026[[#This Row],[Oct AC]]-Financials2026[[#This Row],[Oct FC]]</f>
        <v>0</v>
      </c>
      <c r="BM85" s="71">
        <f>Financials2026[[#This Row],[Nov AC]]-Financials2026[[#This Row],[Nov FC]]</f>
        <v>0</v>
      </c>
      <c r="BN85" s="71">
        <f>Financials2026[[#This Row],[Dec AC]]-Financials2026[[#This Row],[Dec FC]]</f>
        <v>0</v>
      </c>
      <c r="BO85" s="71">
        <f>SUM(Financials2026[[#This Row],[Jan Opp/Risk]:[Dec Opp./Risk]])</f>
        <v>0</v>
      </c>
      <c r="BP85" s="91" t="s">
        <v>882</v>
      </c>
      <c r="BQ85" s="47">
        <f>SUM(Financials2026[[#This Row],[Jan AC]:[Apr AC]])</f>
        <v>14251.667500000001</v>
      </c>
      <c r="BS85" s="6"/>
      <c r="BT85" s="6"/>
      <c r="BU85" s="6"/>
      <c r="BV85" s="6"/>
      <c r="BW85" s="6"/>
      <c r="BX85" s="6"/>
    </row>
    <row r="86" spans="1:76" hidden="1" x14ac:dyDescent="0.35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60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54"/>
        <v>50400</v>
      </c>
      <c r="X86" s="15">
        <f t="shared" si="57"/>
        <v>0</v>
      </c>
      <c r="Y86" s="15">
        <f t="shared" si="61"/>
        <v>0</v>
      </c>
      <c r="Z86" s="15">
        <f>SUM(Financials2026[[#This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SUM(Financials2026[[#This Row],[Jan FC]:[Dec FC]])</f>
        <v>50400</v>
      </c>
      <c r="AO86" s="15">
        <f t="shared" si="55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SUM(Financials2026[[#This Row],[Jan AC]:[Dec AC]])</f>
        <v>0</v>
      </c>
      <c r="BC86" s="71">
        <f>Financials2026[[#This Row],[Jan AC]]-Financials2026[[#This Row],[Jan FC]]</f>
        <v>0</v>
      </c>
      <c r="BD86" s="71">
        <f>Financials2026[[#This Row],[Feb AC]]-Financials2026[[#This Row],[Feb FC]]</f>
        <v>0</v>
      </c>
      <c r="BE86" s="71">
        <f>Financials2026[[#This Row],[Mar AC]]-Financials2026[[#This Row],[Mar FC]]</f>
        <v>0</v>
      </c>
      <c r="BF86" s="71">
        <f>Financials2026[[#This Row],[Apr AC]]-Financials2026[[#This Row],[Apr FC]]</f>
        <v>0</v>
      </c>
      <c r="BG86" s="71">
        <f>Financials2026[[#This Row],[May AC]]-Financials2026[[#This Row],[May FC]]</f>
        <v>0</v>
      </c>
      <c r="BH86" s="71">
        <f>Financials2026[[#This Row],[Jun AC]]-Financials2026[[#This Row],[Jun FC]]</f>
        <v>0</v>
      </c>
      <c r="BI86" s="71">
        <f>Financials2026[[#This Row],[Jul AC]]-Financials2026[[#This Row],[Jul FC]]</f>
        <v>0</v>
      </c>
      <c r="BJ86" s="71">
        <f>Financials2026[[#This Row],[Aug AC]]-Financials2026[[#This Row],[Aug FC]]</f>
        <v>0</v>
      </c>
      <c r="BK86" s="71">
        <f>Financials2026[[#This Row],[Sep AC]]-Financials2026[[#This Row],[Sep FC]]</f>
        <v>0</v>
      </c>
      <c r="BL86" s="71">
        <f>Financials2026[[#This Row],[Oct AC]]-Financials2026[[#This Row],[Oct FC]]</f>
        <v>0</v>
      </c>
      <c r="BM86" s="71">
        <f>Financials2026[[#This Row],[Nov AC]]-Financials2026[[#This Row],[Nov FC]]</f>
        <v>0</v>
      </c>
      <c r="BN86" s="71">
        <f>Financials2026[[#This Row],[Dec AC]]-Financials2026[[#This Row],[Dec FC]]</f>
        <v>-50400</v>
      </c>
      <c r="BO86" s="71">
        <f>SUM(Financials2026[[#This Row],[Jan Opp/Risk]:[Dec Opp./Risk]])</f>
        <v>-50400</v>
      </c>
      <c r="BP86" s="90"/>
      <c r="BQ86" s="47">
        <f>SUM(Financials2026[[#This Row],[Jan AC]:[Apr AC]])</f>
        <v>0</v>
      </c>
      <c r="BS86" s="6"/>
      <c r="BT86" s="6"/>
      <c r="BU86" s="6"/>
      <c r="BV86" s="6"/>
      <c r="BW86" s="6"/>
      <c r="BX86" s="6"/>
    </row>
    <row r="87" spans="1:76" hidden="1" x14ac:dyDescent="0.35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60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54"/>
        <v>109130.55</v>
      </c>
      <c r="X87" s="15">
        <f t="shared" si="57"/>
        <v>-10440.509999999995</v>
      </c>
      <c r="Y87" s="15">
        <f t="shared" si="61"/>
        <v>0</v>
      </c>
      <c r="Z87" s="15">
        <f>SUM(Financials2026[[#This Row],[2026 Opportunity]:[2026 Risk]])</f>
        <v>-10440.509999999995</v>
      </c>
      <c r="AA87" s="3" t="s">
        <v>834</v>
      </c>
      <c r="AB87" s="52">
        <v>9964.2549999999992</v>
      </c>
      <c r="AC87" s="52">
        <v>9964.2549999999992</v>
      </c>
      <c r="AD87" s="52">
        <v>9964.2549999999992</v>
      </c>
      <c r="AE87" s="52">
        <v>9964.2549999999992</v>
      </c>
      <c r="AF87" s="52">
        <v>9964.2549999999992</v>
      </c>
      <c r="AG87" s="52">
        <v>9964.2549999999992</v>
      </c>
      <c r="AH87" s="52">
        <v>9964.2549999999992</v>
      </c>
      <c r="AI87" s="52">
        <v>9964.2549999999992</v>
      </c>
      <c r="AJ87" s="52">
        <v>9964.2549999999992</v>
      </c>
      <c r="AK87" s="52">
        <v>9964.2549999999992</v>
      </c>
      <c r="AL87" s="52">
        <v>9964.2549999999992</v>
      </c>
      <c r="AM87" s="52">
        <v>9964.2549999999992</v>
      </c>
      <c r="AN87" s="52">
        <f>SUM(Financials2026[[#This Row],[Jan FC]:[Dec FC]])</f>
        <v>119571.06000000001</v>
      </c>
      <c r="AO87" s="15">
        <f t="shared" si="55"/>
        <v>69749.784999999989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SUM(Financials2026[[#This Row],[Jan AC]:[Dec AC]])</f>
        <v>9488</v>
      </c>
      <c r="BC87" s="71">
        <f>Financials2026[[#This Row],[Jan AC]]-Financials2026[[#This Row],[Jan FC]]</f>
        <v>-3776.2549999999992</v>
      </c>
      <c r="BD87" s="71">
        <f>Financials2026[[#This Row],[Feb AC]]-Financials2026[[#This Row],[Feb FC]]</f>
        <v>-6664.2549999999992</v>
      </c>
      <c r="BE87" s="71">
        <f>Financials2026[[#This Row],[Mar AC]]-Financials2026[[#This Row],[Mar FC]]</f>
        <v>-9964.2549999999992</v>
      </c>
      <c r="BF87" s="71">
        <f>Financials2026[[#This Row],[Apr AC]]-Financials2026[[#This Row],[Apr FC]]</f>
        <v>-9964.2549999999992</v>
      </c>
      <c r="BG87" s="71">
        <f>Financials2026[[#This Row],[May AC]]-Financials2026[[#This Row],[May FC]]</f>
        <v>-9964.2549999999992</v>
      </c>
      <c r="BH87" s="71">
        <f>Financials2026[[#This Row],[Jun AC]]-Financials2026[[#This Row],[Jun FC]]</f>
        <v>-9964.2549999999992</v>
      </c>
      <c r="BI87" s="71">
        <f>Financials2026[[#This Row],[Jul AC]]-Financials2026[[#This Row],[Jul FC]]</f>
        <v>-9964.2549999999992</v>
      </c>
      <c r="BJ87" s="71">
        <f>Financials2026[[#This Row],[Aug AC]]-Financials2026[[#This Row],[Aug FC]]</f>
        <v>-9964.2549999999992</v>
      </c>
      <c r="BK87" s="71">
        <f>Financials2026[[#This Row],[Sep AC]]-Financials2026[[#This Row],[Sep FC]]</f>
        <v>-9964.2549999999992</v>
      </c>
      <c r="BL87" s="71">
        <f>Financials2026[[#This Row],[Oct AC]]-Financials2026[[#This Row],[Oct FC]]</f>
        <v>-9964.2549999999992</v>
      </c>
      <c r="BM87" s="71">
        <f>Financials2026[[#This Row],[Nov AC]]-Financials2026[[#This Row],[Nov FC]]</f>
        <v>-9964.2549999999992</v>
      </c>
      <c r="BN87" s="71">
        <f>Financials2026[[#This Row],[Dec AC]]-Financials2026[[#This Row],[Dec FC]]</f>
        <v>-9964.2549999999992</v>
      </c>
      <c r="BO87" s="71">
        <f>SUM(Financials2026[[#This Row],[Jan Opp/Risk]:[Dec Opp./Risk]])</f>
        <v>-110083.06000000001</v>
      </c>
      <c r="BP87" s="90" t="s">
        <v>835</v>
      </c>
      <c r="BQ87" s="47">
        <f>SUM(Financials2026[[#This Row],[Jan AC]:[Apr AC]])</f>
        <v>9488</v>
      </c>
      <c r="BS87" s="6"/>
      <c r="BT87" s="6"/>
      <c r="BU87" s="6"/>
      <c r="BV87" s="6"/>
      <c r="BW87" s="6"/>
      <c r="BX87" s="6"/>
    </row>
    <row r="88" spans="1:76" hidden="1" x14ac:dyDescent="0.35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60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54"/>
        <v>32009.25</v>
      </c>
      <c r="X88" s="15">
        <f t="shared" si="57"/>
        <v>-390.75</v>
      </c>
      <c r="Y88" s="15">
        <f t="shared" si="61"/>
        <v>0</v>
      </c>
      <c r="Z88" s="15">
        <f>SUM(Financials2026[[#This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SUM(Financials2026[[#This Row],[Jan FC]:[Dec FC]])</f>
        <v>32400</v>
      </c>
      <c r="AO88" s="15">
        <f t="shared" si="55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SUM(Financials2026[[#This Row],[Jan AC]:[Dec AC]])</f>
        <v>32009.25</v>
      </c>
      <c r="BC88" s="71">
        <f>Financials2026[[#This Row],[Jan AC]]-Financials2026[[#This Row],[Jan FC]]</f>
        <v>-390.75</v>
      </c>
      <c r="BD88" s="71">
        <f>Financials2026[[#This Row],[Feb AC]]-Financials2026[[#This Row],[Feb FC]]</f>
        <v>0</v>
      </c>
      <c r="BE88" s="71">
        <f>Financials2026[[#This Row],[Mar AC]]-Financials2026[[#This Row],[Mar FC]]</f>
        <v>0</v>
      </c>
      <c r="BF88" s="71">
        <f>Financials2026[[#This Row],[Apr AC]]-Financials2026[[#This Row],[Apr FC]]</f>
        <v>0</v>
      </c>
      <c r="BG88" s="71">
        <f>Financials2026[[#This Row],[May AC]]-Financials2026[[#This Row],[May FC]]</f>
        <v>0</v>
      </c>
      <c r="BH88" s="71">
        <f>Financials2026[[#This Row],[Jun AC]]-Financials2026[[#This Row],[Jun FC]]</f>
        <v>0</v>
      </c>
      <c r="BI88" s="71">
        <f>Financials2026[[#This Row],[Jul AC]]-Financials2026[[#This Row],[Jul FC]]</f>
        <v>0</v>
      </c>
      <c r="BJ88" s="71">
        <f>Financials2026[[#This Row],[Aug AC]]-Financials2026[[#This Row],[Aug FC]]</f>
        <v>0</v>
      </c>
      <c r="BK88" s="71">
        <f>Financials2026[[#This Row],[Sep AC]]-Financials2026[[#This Row],[Sep FC]]</f>
        <v>0</v>
      </c>
      <c r="BL88" s="71">
        <f>Financials2026[[#This Row],[Oct AC]]-Financials2026[[#This Row],[Oct FC]]</f>
        <v>0</v>
      </c>
      <c r="BM88" s="71">
        <f>Financials2026[[#This Row],[Nov AC]]-Financials2026[[#This Row],[Nov FC]]</f>
        <v>0</v>
      </c>
      <c r="BN88" s="71">
        <f>Financials2026[[#This Row],[Dec AC]]-Financials2026[[#This Row],[Dec FC]]</f>
        <v>0</v>
      </c>
      <c r="BO88" s="71">
        <f>SUM(Financials2026[[#This Row],[Jan Opp/Risk]:[Dec Opp./Risk]])</f>
        <v>-390.75</v>
      </c>
      <c r="BP88" s="90" t="s">
        <v>534</v>
      </c>
      <c r="BQ88" s="47">
        <f>SUM(Financials2026[[#This Row],[Jan AC]:[Apr AC]])</f>
        <v>32009.25</v>
      </c>
      <c r="BS88" s="6"/>
      <c r="BT88" s="6"/>
      <c r="BU88" s="6"/>
      <c r="BV88" s="6"/>
      <c r="BW88" s="6"/>
      <c r="BX88" s="6"/>
    </row>
    <row r="89" spans="1:76" ht="101.5" hidden="1" x14ac:dyDescent="0.35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60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54"/>
        <v>1091630.6000000001</v>
      </c>
      <c r="X89" s="15">
        <f t="shared" si="57"/>
        <v>-0.28000000002793968</v>
      </c>
      <c r="Y89" s="15">
        <f t="shared" si="61"/>
        <v>0</v>
      </c>
      <c r="Z89" s="15">
        <f>SUM(Financials2026[[#This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SUM(Financials2026[[#This Row],[Jan FC]:[Dec FC]])</f>
        <v>1091630.6000000001</v>
      </c>
      <c r="AO89" s="15">
        <f t="shared" si="55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SUM(Financials2026[[#This Row],[Jan AC]:[Dec AC]])</f>
        <v>0</v>
      </c>
      <c r="BC89" s="71">
        <f>Financials2026[[#This Row],[Jan AC]]-Financials2026[[#This Row],[Jan FC]]</f>
        <v>0</v>
      </c>
      <c r="BD89" s="71">
        <f>Financials2026[[#This Row],[Feb AC]]-Financials2026[[#This Row],[Feb FC]]</f>
        <v>0</v>
      </c>
      <c r="BE89" s="71">
        <f>Financials2026[[#This Row],[Mar AC]]-Financials2026[[#This Row],[Mar FC]]</f>
        <v>0</v>
      </c>
      <c r="BF89" s="71">
        <f>Financials2026[[#This Row],[Apr AC]]-Financials2026[[#This Row],[Apr FC]]</f>
        <v>0</v>
      </c>
      <c r="BG89" s="71">
        <f>Financials2026[[#This Row],[May AC]]-Financials2026[[#This Row],[May FC]]</f>
        <v>0</v>
      </c>
      <c r="BH89" s="71">
        <f>Financials2026[[#This Row],[Jun AC]]-Financials2026[[#This Row],[Jun FC]]</f>
        <v>0</v>
      </c>
      <c r="BI89" s="71">
        <f>Financials2026[[#This Row],[Jul AC]]-Financials2026[[#This Row],[Jul FC]]</f>
        <v>0</v>
      </c>
      <c r="BJ89" s="71">
        <f>Financials2026[[#This Row],[Aug AC]]-Financials2026[[#This Row],[Aug FC]]</f>
        <v>-366127.60000000003</v>
      </c>
      <c r="BK89" s="71">
        <f>Financials2026[[#This Row],[Sep AC]]-Financials2026[[#This Row],[Sep FC]]</f>
        <v>0</v>
      </c>
      <c r="BL89" s="71">
        <f>Financials2026[[#This Row],[Oct AC]]-Financials2026[[#This Row],[Oct FC]]</f>
        <v>0</v>
      </c>
      <c r="BM89" s="71">
        <f>Financials2026[[#This Row],[Nov AC]]-Financials2026[[#This Row],[Nov FC]]</f>
        <v>0</v>
      </c>
      <c r="BN89" s="71">
        <f>Financials2026[[#This Row],[Dec AC]]-Financials2026[[#This Row],[Dec FC]]</f>
        <v>-725503</v>
      </c>
      <c r="BO89" s="71">
        <f>SUM(Financials2026[[#This Row],[Jan Opp/Risk]:[Dec Opp./Risk]])</f>
        <v>-1091630.6000000001</v>
      </c>
      <c r="BP89" s="90"/>
      <c r="BQ89" s="47">
        <f>SUM(Financials2026[[#This Row],[Jan AC]:[Apr AC]])</f>
        <v>0</v>
      </c>
      <c r="BS89" s="6"/>
      <c r="BT89" s="6"/>
      <c r="BU89" s="6"/>
      <c r="BV89" s="6"/>
      <c r="BW89" s="6"/>
      <c r="BX89" s="6"/>
    </row>
    <row r="90" spans="1:76" hidden="1" x14ac:dyDescent="0.35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60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54"/>
        <v>191940</v>
      </c>
      <c r="X90" s="15">
        <f t="shared" si="57"/>
        <v>-3644.3399999999965</v>
      </c>
      <c r="Y90" s="15">
        <f t="shared" si="61"/>
        <v>0</v>
      </c>
      <c r="Z90" s="15">
        <f>SUM(Financials2026[[#This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SUM(Financials2026[[#This Row],[Jan FC]:[Dec FC]])</f>
        <v>191940</v>
      </c>
      <c r="AO90" s="15">
        <f t="shared" si="55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SUM(Financials2026[[#This Row],[Jan AC]:[Dec AC]])</f>
        <v>78064</v>
      </c>
      <c r="BC90" s="71">
        <f>Financials2026[[#This Row],[Jan AC]]-Financials2026[[#This Row],[Jan FC]]</f>
        <v>0</v>
      </c>
      <c r="BD90" s="71">
        <f>Financials2026[[#This Row],[Feb AC]]-Financials2026[[#This Row],[Feb FC]]</f>
        <v>0</v>
      </c>
      <c r="BE90" s="71">
        <f>Financials2026[[#This Row],[Mar AC]]-Financials2026[[#This Row],[Mar FC]]</f>
        <v>0</v>
      </c>
      <c r="BF90" s="71">
        <f>Financials2026[[#This Row],[Apr AC]]-Financials2026[[#This Row],[Apr FC]]</f>
        <v>0</v>
      </c>
      <c r="BG90" s="71">
        <f>Financials2026[[#This Row],[May AC]]-Financials2026[[#This Row],[May FC]]</f>
        <v>0</v>
      </c>
      <c r="BH90" s="71">
        <f>Financials2026[[#This Row],[Jun AC]]-Financials2026[[#This Row],[Jun FC]]</f>
        <v>-16268</v>
      </c>
      <c r="BI90" s="71">
        <f>Financials2026[[#This Row],[Jul AC]]-Financials2026[[#This Row],[Jul FC]]</f>
        <v>-16268</v>
      </c>
      <c r="BJ90" s="71">
        <f>Financials2026[[#This Row],[Aug AC]]-Financials2026[[#This Row],[Aug FC]]</f>
        <v>-16268</v>
      </c>
      <c r="BK90" s="71">
        <f>Financials2026[[#This Row],[Sep AC]]-Financials2026[[#This Row],[Sep FC]]</f>
        <v>-16268</v>
      </c>
      <c r="BL90" s="71">
        <f>Financials2026[[#This Row],[Oct AC]]-Financials2026[[#This Row],[Oct FC]]</f>
        <v>-16268</v>
      </c>
      <c r="BM90" s="71">
        <f>Financials2026[[#This Row],[Nov AC]]-Financials2026[[#This Row],[Nov FC]]</f>
        <v>-16268</v>
      </c>
      <c r="BN90" s="71">
        <f>Financials2026[[#This Row],[Dec AC]]-Financials2026[[#This Row],[Dec FC]]</f>
        <v>-16268</v>
      </c>
      <c r="BO90" s="71">
        <f>SUM(Financials2026[[#This Row],[Jan Opp/Risk]:[Dec Opp./Risk]])</f>
        <v>-113876</v>
      </c>
      <c r="BP90" s="90" t="s">
        <v>850</v>
      </c>
      <c r="BQ90" s="47">
        <f>SUM(Financials2026[[#This Row],[Jan AC]:[Apr AC]])</f>
        <v>61796</v>
      </c>
      <c r="BS90" s="6"/>
      <c r="BT90" s="6"/>
      <c r="BU90" s="6"/>
      <c r="BV90" s="6"/>
      <c r="BW90" s="6"/>
      <c r="BX90" s="6"/>
    </row>
    <row r="91" spans="1:76" hidden="1" x14ac:dyDescent="0.35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60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54"/>
        <v>74250</v>
      </c>
      <c r="X91" s="15">
        <f t="shared" si="57"/>
        <v>-11205</v>
      </c>
      <c r="Y91" s="15">
        <f t="shared" si="61"/>
        <v>0</v>
      </c>
      <c r="Z91" s="15">
        <f>SUM(Financials2026[[#This Row],[2026 Opportunity]:[2026 Risk]])</f>
        <v>-11205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52"/>
      <c r="AN91" s="75">
        <f>SUM(Financials2026[[#This Row],[Jan FC]:[Dec FC]])</f>
        <v>74250</v>
      </c>
      <c r="AO91" s="15">
        <f t="shared" si="55"/>
        <v>40500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SUM(Financials2026[[#This Row],[Jan AC]:[Dec AC]])</f>
        <v>33750</v>
      </c>
      <c r="BC91" s="71">
        <f>Financials2026[[#This Row],[Jan AC]]-Financials2026[[#This Row],[Jan FC]]</f>
        <v>0</v>
      </c>
      <c r="BD91" s="71">
        <f>Financials2026[[#This Row],[Feb AC]]-Financials2026[[#This Row],[Feb FC]]</f>
        <v>0</v>
      </c>
      <c r="BE91" s="71">
        <f>Financials2026[[#This Row],[Mar AC]]-Financials2026[[#This Row],[Mar FC]]</f>
        <v>0</v>
      </c>
      <c r="BF91" s="71">
        <f>Financials2026[[#This Row],[Apr AC]]-Financials2026[[#This Row],[Apr FC]]</f>
        <v>0</v>
      </c>
      <c r="BG91" s="71">
        <f>Financials2026[[#This Row],[May AC]]-Financials2026[[#This Row],[May FC]]</f>
        <v>0</v>
      </c>
      <c r="BH91" s="71">
        <f>Financials2026[[#This Row],[Jun AC]]-Financials2026[[#This Row],[Jun FC]]</f>
        <v>-6750</v>
      </c>
      <c r="BI91" s="71">
        <f>Financials2026[[#This Row],[Jul AC]]-Financials2026[[#This Row],[Jul FC]]</f>
        <v>-6750</v>
      </c>
      <c r="BJ91" s="71">
        <f>Financials2026[[#This Row],[Aug AC]]-Financials2026[[#This Row],[Aug FC]]</f>
        <v>-6750</v>
      </c>
      <c r="BK91" s="71">
        <f>Financials2026[[#This Row],[Sep AC]]-Financials2026[[#This Row],[Sep FC]]</f>
        <v>-6750</v>
      </c>
      <c r="BL91" s="71">
        <f>Financials2026[[#This Row],[Oct AC]]-Financials2026[[#This Row],[Oct FC]]</f>
        <v>-6750</v>
      </c>
      <c r="BM91" s="71">
        <f>Financials2026[[#This Row],[Nov AC]]-Financials2026[[#This Row],[Nov FC]]</f>
        <v>-6750</v>
      </c>
      <c r="BN91" s="71">
        <f>Financials2026[[#This Row],[Dec AC]]-Financials2026[[#This Row],[Dec FC]]</f>
        <v>0</v>
      </c>
      <c r="BO91" s="71">
        <f>SUM(Financials2026[[#This Row],[Jan Opp/Risk]:[Dec Opp./Risk]])</f>
        <v>-40500</v>
      </c>
      <c r="BP91" s="90" t="s">
        <v>534</v>
      </c>
      <c r="BQ91" s="47">
        <f>SUM(Financials2026[[#This Row],[Jan AC]:[Apr AC]])</f>
        <v>27000</v>
      </c>
      <c r="BS91" s="6"/>
      <c r="BT91" s="6"/>
      <c r="BU91" s="6"/>
      <c r="BV91" s="6"/>
      <c r="BW91" s="6"/>
      <c r="BX91" s="6"/>
    </row>
    <row r="92" spans="1:76" hidden="1" x14ac:dyDescent="0.35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60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54"/>
        <v>48932</v>
      </c>
      <c r="X92" s="15">
        <f t="shared" si="57"/>
        <v>-2</v>
      </c>
      <c r="Y92" s="15">
        <f t="shared" si="61"/>
        <v>0</v>
      </c>
      <c r="Z92" s="15">
        <f>SUM(Financials2026[[#This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SUM(Financials2026[[#This Row],[Jan FC]:[Dec FC]])</f>
        <v>48934</v>
      </c>
      <c r="AO92" s="15">
        <f t="shared" si="55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SUM(Financials2026[[#This Row],[Jan AC]:[Dec AC]])</f>
        <v>9894</v>
      </c>
      <c r="BC92" s="71">
        <f>Financials2026[[#This Row],[Jan AC]]-Financials2026[[#This Row],[Jan FC]]</f>
        <v>2</v>
      </c>
      <c r="BD92" s="71">
        <f>Financials2026[[#This Row],[Feb AC]]-Financials2026[[#This Row],[Feb FC]]</f>
        <v>-1</v>
      </c>
      <c r="BE92" s="71">
        <f>Financials2026[[#This Row],[Mar AC]]-Financials2026[[#This Row],[Mar FC]]</f>
        <v>-1</v>
      </c>
      <c r="BF92" s="71">
        <f>Financials2026[[#This Row],[Apr AC]]-Financials2026[[#This Row],[Apr FC]]</f>
        <v>-1</v>
      </c>
      <c r="BG92" s="71">
        <f>Financials2026[[#This Row],[May AC]]-Financials2026[[#This Row],[May FC]]</f>
        <v>-1</v>
      </c>
      <c r="BH92" s="71">
        <f>Financials2026[[#This Row],[Jun AC]]-Financials2026[[#This Row],[Jun FC]]</f>
        <v>-1</v>
      </c>
      <c r="BI92" s="71">
        <f>Financials2026[[#This Row],[Jul AC]]-Financials2026[[#This Row],[Jul FC]]</f>
        <v>-1000</v>
      </c>
      <c r="BJ92" s="71">
        <f>Financials2026[[#This Row],[Aug AC]]-Financials2026[[#This Row],[Aug FC]]</f>
        <v>-1000</v>
      </c>
      <c r="BK92" s="71">
        <f>Financials2026[[#This Row],[Sep AC]]-Financials2026[[#This Row],[Sep FC]]</f>
        <v>-1000</v>
      </c>
      <c r="BL92" s="71">
        <f>Financials2026[[#This Row],[Oct AC]]-Financials2026[[#This Row],[Oct FC]]</f>
        <v>-1000</v>
      </c>
      <c r="BM92" s="71">
        <f>Financials2026[[#This Row],[Nov AC]]-Financials2026[[#This Row],[Nov FC]]</f>
        <v>-1000</v>
      </c>
      <c r="BN92" s="71">
        <f>Financials2026[[#This Row],[Dec AC]]-Financials2026[[#This Row],[Dec FC]]</f>
        <v>-34037</v>
      </c>
      <c r="BO92" s="71">
        <f>SUM(Financials2026[[#This Row],[Jan Opp/Risk]:[Dec Opp./Risk]])</f>
        <v>-39040</v>
      </c>
      <c r="BP92" s="90" t="s">
        <v>829</v>
      </c>
      <c r="BQ92" s="47">
        <f>SUM(Financials2026[[#This Row],[Jan AC]:[Apr AC]])</f>
        <v>7896</v>
      </c>
      <c r="BS92" s="6"/>
      <c r="BT92" s="6"/>
      <c r="BU92" s="6"/>
      <c r="BV92" s="6"/>
      <c r="BW92" s="6"/>
      <c r="BX92" s="6"/>
    </row>
    <row r="93" spans="1:76" hidden="1" x14ac:dyDescent="0.35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60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54"/>
        <v>3515202.9299999997</v>
      </c>
      <c r="X93" s="15">
        <f t="shared" si="57"/>
        <v>0</v>
      </c>
      <c r="Y93" s="15">
        <f t="shared" si="61"/>
        <v>15202.929999999702</v>
      </c>
      <c r="Z93" s="15">
        <f>SUM(Financials2026[[#This Row],[2026 Opportunity]:[2026 Risk]])</f>
        <v>15202.929999999702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330305.33333333331</v>
      </c>
      <c r="AI93" s="52">
        <v>330305.33333333331</v>
      </c>
      <c r="AJ93" s="52">
        <v>330305.33333333331</v>
      </c>
      <c r="AK93" s="52">
        <v>330305.33333333331</v>
      </c>
      <c r="AL93" s="52">
        <v>330305.33333333331</v>
      </c>
      <c r="AM93" s="52">
        <f>330305.333333333-10000</f>
        <v>320305.33333333302</v>
      </c>
      <c r="AN93" s="52">
        <f>SUM(Financials2026[[#This Row],[Jan FC]:[Dec FC]])</f>
        <v>3515202.93</v>
      </c>
      <c r="AO93" s="15">
        <f t="shared" si="55"/>
        <v>2225114.0099999993</v>
      </c>
      <c r="AP93" s="61">
        <f>(637500/3)+(146024.9/3)</f>
        <v>261174.96666666667</v>
      </c>
      <c r="AQ93" s="61">
        <f t="shared" ref="AQ93" si="63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64">(637500/3)+(122346.03/3)</f>
        <v>253282.01</v>
      </c>
      <c r="AU93" s="61">
        <f t="shared" si="64"/>
        <v>253282.01</v>
      </c>
      <c r="AV93" s="61"/>
      <c r="AW93" s="61"/>
      <c r="AX93" s="61"/>
      <c r="AY93" s="61"/>
      <c r="AZ93" s="61"/>
      <c r="BA93" s="61"/>
      <c r="BB93" s="80">
        <f>SUM(Financials2026[[#This Row],[Jan AC]:[Dec AC]])</f>
        <v>1543370.93</v>
      </c>
      <c r="BC93" s="71">
        <f>Financials2026[[#This Row],[Jan AC]]-Financials2026[[#This Row],[Jan FC]]</f>
        <v>0</v>
      </c>
      <c r="BD93" s="71">
        <f>Financials2026[[#This Row],[Feb AC]]-Financials2026[[#This Row],[Feb FC]]</f>
        <v>0</v>
      </c>
      <c r="BE93" s="71">
        <f>Financials2026[[#This Row],[Mar AC]]-Financials2026[[#This Row],[Mar FC]]</f>
        <v>0</v>
      </c>
      <c r="BF93" s="71">
        <f>Financials2026[[#This Row],[Apr AC]]-Financials2026[[#This Row],[Apr FC]]</f>
        <v>0</v>
      </c>
      <c r="BG93" s="71">
        <f>Financials2026[[#This Row],[May AC]]-Financials2026[[#This Row],[May FC]]</f>
        <v>0</v>
      </c>
      <c r="BH93" s="71">
        <f>Financials2026[[#This Row],[Jun AC]]-Financials2026[[#This Row],[Jun FC]]</f>
        <v>0</v>
      </c>
      <c r="BI93" s="71">
        <f>Financials2026[[#This Row],[Jul AC]]-Financials2026[[#This Row],[Jul FC]]</f>
        <v>-330305.33333333331</v>
      </c>
      <c r="BJ93" s="71">
        <f>Financials2026[[#This Row],[Aug AC]]-Financials2026[[#This Row],[Aug FC]]</f>
        <v>-330305.33333333331</v>
      </c>
      <c r="BK93" s="71">
        <f>Financials2026[[#This Row],[Sep AC]]-Financials2026[[#This Row],[Sep FC]]</f>
        <v>-330305.33333333331</v>
      </c>
      <c r="BL93" s="71">
        <f>Financials2026[[#This Row],[Oct AC]]-Financials2026[[#This Row],[Oct FC]]</f>
        <v>-330305.33333333331</v>
      </c>
      <c r="BM93" s="71">
        <f>Financials2026[[#This Row],[Nov AC]]-Financials2026[[#This Row],[Nov FC]]</f>
        <v>-330305.33333333331</v>
      </c>
      <c r="BN93" s="71">
        <f>Financials2026[[#This Row],[Dec AC]]-Financials2026[[#This Row],[Dec FC]]</f>
        <v>-320305.33333333302</v>
      </c>
      <c r="BO93" s="71">
        <f>SUM(Financials2026[[#This Row],[Jan Opp/Risk]:[Dec Opp./Risk]])</f>
        <v>-1971831.9999999995</v>
      </c>
      <c r="BP93" s="92" t="s">
        <v>896</v>
      </c>
      <c r="BQ93" s="47">
        <f>SUM(Financials2026[[#This Row],[Jan AC]:[Apr AC]])</f>
        <v>1036806.91</v>
      </c>
      <c r="BS93" s="6"/>
      <c r="BT93" s="6"/>
      <c r="BU93" s="6"/>
      <c r="BV93" s="6"/>
      <c r="BW93" s="6"/>
      <c r="BX93" s="6"/>
    </row>
    <row r="94" spans="1:76" hidden="1" x14ac:dyDescent="0.35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60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54"/>
        <v>642692</v>
      </c>
      <c r="X94" s="15">
        <f t="shared" si="57"/>
        <v>0</v>
      </c>
      <c r="Y94" s="15">
        <f t="shared" si="61"/>
        <v>45779</v>
      </c>
      <c r="Z94" s="15">
        <f>SUM(Financials2026[[#This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65">687472/12</f>
        <v>57289.333333333336</v>
      </c>
      <c r="AI94" s="51">
        <f t="shared" si="65"/>
        <v>57289.333333333336</v>
      </c>
      <c r="AJ94" s="51">
        <f t="shared" si="65"/>
        <v>57289.333333333336</v>
      </c>
      <c r="AK94" s="51">
        <f t="shared" si="65"/>
        <v>57289.333333333336</v>
      </c>
      <c r="AL94" s="51">
        <f t="shared" si="65"/>
        <v>57289.333333333336</v>
      </c>
      <c r="AM94" s="51">
        <f t="shared" si="65"/>
        <v>57289.333333333336</v>
      </c>
      <c r="AN94" s="51">
        <f>SUM(Financials2026[[#This Row],[Jan FC]:[Dec FC]])</f>
        <v>642692</v>
      </c>
      <c r="AO94" s="15">
        <f t="shared" si="55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66">687472.16/12</f>
        <v>57289.346666666672</v>
      </c>
      <c r="AW94" s="60">
        <f t="shared" si="66"/>
        <v>57289.346666666672</v>
      </c>
      <c r="AX94" s="60">
        <f t="shared" si="66"/>
        <v>57289.346666666672</v>
      </c>
      <c r="AY94" s="60">
        <f t="shared" si="66"/>
        <v>57289.346666666672</v>
      </c>
      <c r="AZ94" s="60">
        <f t="shared" si="66"/>
        <v>57289.346666666672</v>
      </c>
      <c r="BA94" s="60">
        <f t="shared" si="66"/>
        <v>57289.346666666672</v>
      </c>
      <c r="BB94" s="79">
        <f>SUM(Financials2026[[#This Row],[Jan AC]:[Dec AC]])</f>
        <v>642692.09333333338</v>
      </c>
      <c r="BC94" s="71">
        <f>Financials2026[[#This Row],[Jan AC]]-Financials2026[[#This Row],[Jan FC]]</f>
        <v>0</v>
      </c>
      <c r="BD94" s="71">
        <f>Financials2026[[#This Row],[Feb AC]]-Financials2026[[#This Row],[Feb FC]]</f>
        <v>0</v>
      </c>
      <c r="BE94" s="71">
        <f>Financials2026[[#This Row],[Mar AC]]-Financials2026[[#This Row],[Mar FC]]</f>
        <v>0</v>
      </c>
      <c r="BF94" s="71">
        <f>Financials2026[[#This Row],[Apr AC]]-Financials2026[[#This Row],[Apr FC]]</f>
        <v>0</v>
      </c>
      <c r="BG94" s="71">
        <f>Financials2026[[#This Row],[May AC]]-Financials2026[[#This Row],[May FC]]</f>
        <v>0</v>
      </c>
      <c r="BH94" s="71">
        <f>Financials2026[[#This Row],[Jun AC]]-Financials2026[[#This Row],[Jun FC]]</f>
        <v>1.3333333336049691E-2</v>
      </c>
      <c r="BI94" s="71">
        <f>Financials2026[[#This Row],[Jul AC]]-Financials2026[[#This Row],[Jul FC]]</f>
        <v>1.3333333336049691E-2</v>
      </c>
      <c r="BJ94" s="71">
        <f>Financials2026[[#This Row],[Aug AC]]-Financials2026[[#This Row],[Aug FC]]</f>
        <v>1.3333333336049691E-2</v>
      </c>
      <c r="BK94" s="71">
        <f>Financials2026[[#This Row],[Sep AC]]-Financials2026[[#This Row],[Sep FC]]</f>
        <v>1.3333333336049691E-2</v>
      </c>
      <c r="BL94" s="71">
        <f>Financials2026[[#This Row],[Oct AC]]-Financials2026[[#This Row],[Oct FC]]</f>
        <v>1.3333333336049691E-2</v>
      </c>
      <c r="BM94" s="71">
        <f>Financials2026[[#This Row],[Nov AC]]-Financials2026[[#This Row],[Nov FC]]</f>
        <v>1.3333333336049691E-2</v>
      </c>
      <c r="BN94" s="71">
        <f>Financials2026[[#This Row],[Dec AC]]-Financials2026[[#This Row],[Dec FC]]</f>
        <v>1.3333333336049691E-2</v>
      </c>
      <c r="BO94" s="71">
        <f>SUM(Financials2026[[#This Row],[Jan Opp/Risk]:[Dec Opp./Risk]])</f>
        <v>9.3333333352347836E-2</v>
      </c>
      <c r="BP94" s="90" t="s">
        <v>876</v>
      </c>
      <c r="BQ94" s="47">
        <f>SUM(Financials2026[[#This Row],[Jan AC]:[Apr AC]])</f>
        <v>193333.33333333334</v>
      </c>
      <c r="BS94" s="6"/>
      <c r="BT94" s="6"/>
      <c r="BU94" s="6"/>
      <c r="BV94" s="6"/>
      <c r="BW94" s="6"/>
      <c r="BX94" s="6"/>
    </row>
    <row r="95" spans="1:76" hidden="1" x14ac:dyDescent="0.35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60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54"/>
        <v>488400</v>
      </c>
      <c r="X95" s="15">
        <f t="shared" si="57"/>
        <v>0</v>
      </c>
      <c r="Y95" s="15">
        <f t="shared" si="61"/>
        <v>272400</v>
      </c>
      <c r="Z95" s="15">
        <f>SUM(Financials2026[[#This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SUM(Financials2026[[#This Row],[Jan FC]:[Dec FC]])</f>
        <v>528000</v>
      </c>
      <c r="AO95" s="15">
        <f t="shared" si="55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SUM(Financials2026[[#This Row],[Jan AC]:[Dec AC]])</f>
        <v>312400</v>
      </c>
      <c r="BC95" s="71">
        <f>Financials2026[[#This Row],[Jan AC]]-Financials2026[[#This Row],[Jan FC]]</f>
        <v>-15000</v>
      </c>
      <c r="BD95" s="71">
        <f>Financials2026[[#This Row],[Feb AC]]-Financials2026[[#This Row],[Feb FC]]</f>
        <v>-17800</v>
      </c>
      <c r="BE95" s="71">
        <f>Financials2026[[#This Row],[Mar AC]]-Financials2026[[#This Row],[Mar FC]]</f>
        <v>-800</v>
      </c>
      <c r="BF95" s="71">
        <f>Financials2026[[#This Row],[Apr AC]]-Financials2026[[#This Row],[Apr FC]]</f>
        <v>-6000</v>
      </c>
      <c r="BG95" s="71">
        <f>Financials2026[[#This Row],[May AC]]-Financials2026[[#This Row],[May FC]]</f>
        <v>-88000</v>
      </c>
      <c r="BH95" s="71">
        <f>Financials2026[[#This Row],[Jun AC]]-Financials2026[[#This Row],[Jun FC]]</f>
        <v>-88000</v>
      </c>
      <c r="BI95" s="71">
        <f>Financials2026[[#This Row],[Jul AC]]-Financials2026[[#This Row],[Jul FC]]</f>
        <v>0</v>
      </c>
      <c r="BJ95" s="71">
        <f>Financials2026[[#This Row],[Aug AC]]-Financials2026[[#This Row],[Aug FC]]</f>
        <v>0</v>
      </c>
      <c r="BK95" s="71">
        <f>Financials2026[[#This Row],[Sep AC]]-Financials2026[[#This Row],[Sep FC]]</f>
        <v>0</v>
      </c>
      <c r="BL95" s="71">
        <f>Financials2026[[#This Row],[Oct AC]]-Financials2026[[#This Row],[Oct FC]]</f>
        <v>0</v>
      </c>
      <c r="BM95" s="71">
        <f>Financials2026[[#This Row],[Nov AC]]-Financials2026[[#This Row],[Nov FC]]</f>
        <v>0</v>
      </c>
      <c r="BN95" s="71">
        <f>Financials2026[[#This Row],[Dec AC]]-Financials2026[[#This Row],[Dec FC]]</f>
        <v>0</v>
      </c>
      <c r="BO95" s="71">
        <f>SUM(Financials2026[[#This Row],[Jan Opp/Risk]:[Dec Opp./Risk]])</f>
        <v>-215600</v>
      </c>
      <c r="BP95" s="92" t="s">
        <v>538</v>
      </c>
      <c r="BQ95" s="47">
        <f>SUM(Financials2026[[#This Row],[Jan AC]:[Apr AC]])</f>
        <v>312400</v>
      </c>
      <c r="BS95" s="6"/>
      <c r="BT95" s="6"/>
      <c r="BU95" s="6"/>
      <c r="BV95" s="6"/>
      <c r="BW95" s="6"/>
      <c r="BX95" s="6"/>
    </row>
    <row r="96" spans="1:76" hidden="1" x14ac:dyDescent="0.35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60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54"/>
        <v>960000</v>
      </c>
      <c r="X96" s="15">
        <f t="shared" si="57"/>
        <v>-384000</v>
      </c>
      <c r="Y96" s="15">
        <f t="shared" si="61"/>
        <v>0</v>
      </c>
      <c r="Z96" s="15">
        <f>SUM(Financials2026[[#This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SUM(Financials2026[[#This Row],[Jan FC]:[Dec FC]])</f>
        <v>960000</v>
      </c>
      <c r="AO96" s="15">
        <f t="shared" si="55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SUM(Financials2026[[#This Row],[Jan AC]:[Dec AC]])</f>
        <v>800000</v>
      </c>
      <c r="BC96" s="71">
        <f>Financials2026[[#This Row],[Jan AC]]-Financials2026[[#This Row],[Jan FC]]</f>
        <v>0</v>
      </c>
      <c r="BD96" s="71">
        <f>Financials2026[[#This Row],[Feb AC]]-Financials2026[[#This Row],[Feb FC]]</f>
        <v>0</v>
      </c>
      <c r="BE96" s="71">
        <f>Financials2026[[#This Row],[Mar AC]]-Financials2026[[#This Row],[Mar FC]]</f>
        <v>0</v>
      </c>
      <c r="BF96" s="71">
        <f>Financials2026[[#This Row],[Apr AC]]-Financials2026[[#This Row],[Apr FC]]</f>
        <v>0</v>
      </c>
      <c r="BG96" s="71">
        <f>Financials2026[[#This Row],[May AC]]-Financials2026[[#This Row],[May FC]]</f>
        <v>0</v>
      </c>
      <c r="BH96" s="71">
        <f>Financials2026[[#This Row],[Jun AC]]-Financials2026[[#This Row],[Jun FC]]</f>
        <v>-160000</v>
      </c>
      <c r="BI96" s="71">
        <f>Financials2026[[#This Row],[Jul AC]]-Financials2026[[#This Row],[Jul FC]]</f>
        <v>0</v>
      </c>
      <c r="BJ96" s="71">
        <f>Financials2026[[#This Row],[Aug AC]]-Financials2026[[#This Row],[Aug FC]]</f>
        <v>0</v>
      </c>
      <c r="BK96" s="71">
        <f>Financials2026[[#This Row],[Sep AC]]-Financials2026[[#This Row],[Sep FC]]</f>
        <v>0</v>
      </c>
      <c r="BL96" s="71">
        <f>Financials2026[[#This Row],[Oct AC]]-Financials2026[[#This Row],[Oct FC]]</f>
        <v>0</v>
      </c>
      <c r="BM96" s="71">
        <f>Financials2026[[#This Row],[Nov AC]]-Financials2026[[#This Row],[Nov FC]]</f>
        <v>0</v>
      </c>
      <c r="BN96" s="71">
        <f>Financials2026[[#This Row],[Dec AC]]-Financials2026[[#This Row],[Dec FC]]</f>
        <v>0</v>
      </c>
      <c r="BO96" s="71">
        <f>SUM(Financials2026[[#This Row],[Jan Opp/Risk]:[Dec Opp./Risk]])</f>
        <v>-160000</v>
      </c>
      <c r="BP96" s="90" t="s">
        <v>534</v>
      </c>
      <c r="BQ96" s="47">
        <f>SUM(Financials2026[[#This Row],[Jan AC]:[Apr AC]])</f>
        <v>640000</v>
      </c>
      <c r="BS96" s="6"/>
      <c r="BT96" s="6"/>
      <c r="BU96" s="6"/>
      <c r="BV96" s="6"/>
      <c r="BW96" s="6"/>
      <c r="BX96" s="6"/>
    </row>
    <row r="97" spans="1:76" hidden="1" x14ac:dyDescent="0.35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60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54"/>
        <v>22318</v>
      </c>
      <c r="X97" s="15">
        <f t="shared" si="57"/>
        <v>0</v>
      </c>
      <c r="Y97" s="15">
        <f t="shared" si="61"/>
        <v>0</v>
      </c>
      <c r="Z97" s="15">
        <f>SUM(Financials2026[[#This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SUM(Financials2026[[#This Row],[Jan FC]:[Dec FC]])</f>
        <v>22318</v>
      </c>
      <c r="AO97" s="15">
        <f t="shared" si="55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SUM(Financials2026[[#This Row],[Jan AC]:[Dec AC]])</f>
        <v>0</v>
      </c>
      <c r="BC97" s="71">
        <f>Financials2026[[#This Row],[Jan AC]]-Financials2026[[#This Row],[Jan FC]]</f>
        <v>0</v>
      </c>
      <c r="BD97" s="71">
        <f>Financials2026[[#This Row],[Feb AC]]-Financials2026[[#This Row],[Feb FC]]</f>
        <v>0</v>
      </c>
      <c r="BE97" s="71">
        <f>Financials2026[[#This Row],[Mar AC]]-Financials2026[[#This Row],[Mar FC]]</f>
        <v>0</v>
      </c>
      <c r="BF97" s="71">
        <f>Financials2026[[#This Row],[Apr AC]]-Financials2026[[#This Row],[Apr FC]]</f>
        <v>-22318</v>
      </c>
      <c r="BG97" s="71">
        <f>Financials2026[[#This Row],[May AC]]-Financials2026[[#This Row],[May FC]]</f>
        <v>0</v>
      </c>
      <c r="BH97" s="71">
        <f>Financials2026[[#This Row],[Jun AC]]-Financials2026[[#This Row],[Jun FC]]</f>
        <v>0</v>
      </c>
      <c r="BI97" s="71">
        <f>Financials2026[[#This Row],[Jul AC]]-Financials2026[[#This Row],[Jul FC]]</f>
        <v>0</v>
      </c>
      <c r="BJ97" s="71">
        <f>Financials2026[[#This Row],[Aug AC]]-Financials2026[[#This Row],[Aug FC]]</f>
        <v>0</v>
      </c>
      <c r="BK97" s="71">
        <f>Financials2026[[#This Row],[Sep AC]]-Financials2026[[#This Row],[Sep FC]]</f>
        <v>0</v>
      </c>
      <c r="BL97" s="71">
        <f>Financials2026[[#This Row],[Oct AC]]-Financials2026[[#This Row],[Oct FC]]</f>
        <v>0</v>
      </c>
      <c r="BM97" s="71">
        <f>Financials2026[[#This Row],[Nov AC]]-Financials2026[[#This Row],[Nov FC]]</f>
        <v>0</v>
      </c>
      <c r="BN97" s="71">
        <f>Financials2026[[#This Row],[Dec AC]]-Financials2026[[#This Row],[Dec FC]]</f>
        <v>0</v>
      </c>
      <c r="BO97" s="71">
        <f>SUM(Financials2026[[#This Row],[Jan Opp/Risk]:[Dec Opp./Risk]])</f>
        <v>-22318</v>
      </c>
      <c r="BP97" s="90"/>
      <c r="BQ97" s="47">
        <f>SUM(Financials2026[[#This Row],[Jan AC]:[Apr AC]])</f>
        <v>0</v>
      </c>
      <c r="BS97" s="6"/>
      <c r="BT97" s="6"/>
      <c r="BU97" s="6"/>
      <c r="BV97" s="6"/>
      <c r="BW97" s="6"/>
      <c r="BX97" s="6"/>
    </row>
    <row r="98" spans="1:76" hidden="1" x14ac:dyDescent="0.35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60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ref="W98:W129" si="67">AO98+IF(ISBLANK(AP98),AB98,AP98)+IF(ISBLANK(AQ98),AC98,AQ98)+IF(ISBLANK(AR98),AD98,AR98)+IF(ISBLANK(AS98),AE98,AS98)+IF(ISBLANK(AT98),AF98,AT98)</f>
        <v>875668</v>
      </c>
      <c r="X98" s="15">
        <f t="shared" si="57"/>
        <v>-65132</v>
      </c>
      <c r="Y98" s="15">
        <f t="shared" si="61"/>
        <v>0</v>
      </c>
      <c r="Z98" s="15">
        <f>SUM(Financials2026[[#This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68">940800/6</f>
        <v>156800</v>
      </c>
      <c r="AD98" s="52">
        <f t="shared" si="68"/>
        <v>156800</v>
      </c>
      <c r="AE98" s="52">
        <f t="shared" si="68"/>
        <v>156800</v>
      </c>
      <c r="AF98" s="52">
        <f t="shared" si="68"/>
        <v>156800</v>
      </c>
      <c r="AG98" s="52">
        <f t="shared" si="68"/>
        <v>156800</v>
      </c>
      <c r="AH98" s="52"/>
      <c r="AI98" s="52"/>
      <c r="AJ98" s="52"/>
      <c r="AK98" s="52"/>
      <c r="AL98" s="52"/>
      <c r="AM98" s="52"/>
      <c r="AN98" s="52">
        <f>SUM(Financials2026[[#This Row],[Jan FC]:[Dec FC]])</f>
        <v>940800</v>
      </c>
      <c r="AO98" s="15">
        <f t="shared" si="55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SUM(Financials2026[[#This Row],[Jan AC]:[Dec AC]])</f>
        <v>718868</v>
      </c>
      <c r="BC98" s="71">
        <f>Financials2026[[#This Row],[Jan AC]]-Financials2026[[#This Row],[Jan FC]]</f>
        <v>-3792</v>
      </c>
      <c r="BD98" s="71">
        <f>Financials2026[[#This Row],[Feb AC]]-Financials2026[[#This Row],[Feb FC]]</f>
        <v>-17952</v>
      </c>
      <c r="BE98" s="71">
        <f>Financials2026[[#This Row],[Mar AC]]-Financials2026[[#This Row],[Mar FC]]</f>
        <v>-2304</v>
      </c>
      <c r="BF98" s="71">
        <f>Financials2026[[#This Row],[Apr AC]]-Financials2026[[#This Row],[Apr FC]]</f>
        <v>6958</v>
      </c>
      <c r="BG98" s="71">
        <f>Financials2026[[#This Row],[May AC]]-Financials2026[[#This Row],[May FC]]</f>
        <v>-48042</v>
      </c>
      <c r="BH98" s="71">
        <f>Financials2026[[#This Row],[Jun AC]]-Financials2026[[#This Row],[Jun FC]]</f>
        <v>-156800</v>
      </c>
      <c r="BI98" s="71">
        <f>Financials2026[[#This Row],[Jul AC]]-Financials2026[[#This Row],[Jul FC]]</f>
        <v>0</v>
      </c>
      <c r="BJ98" s="71">
        <f>Financials2026[[#This Row],[Aug AC]]-Financials2026[[#This Row],[Aug FC]]</f>
        <v>0</v>
      </c>
      <c r="BK98" s="71">
        <f>Financials2026[[#This Row],[Sep AC]]-Financials2026[[#This Row],[Sep FC]]</f>
        <v>0</v>
      </c>
      <c r="BL98" s="71">
        <f>Financials2026[[#This Row],[Oct AC]]-Financials2026[[#This Row],[Oct FC]]</f>
        <v>0</v>
      </c>
      <c r="BM98" s="71">
        <f>Financials2026[[#This Row],[Nov AC]]-Financials2026[[#This Row],[Nov FC]]</f>
        <v>0</v>
      </c>
      <c r="BN98" s="71">
        <f>Financials2026[[#This Row],[Dec AC]]-Financials2026[[#This Row],[Dec FC]]</f>
        <v>0</v>
      </c>
      <c r="BO98" s="71">
        <f>SUM(Financials2026[[#This Row],[Jan Opp/Risk]:[Dec Opp./Risk]])</f>
        <v>-221932</v>
      </c>
      <c r="BP98" s="92" t="s">
        <v>541</v>
      </c>
      <c r="BQ98" s="47">
        <f>SUM(Financials2026[[#This Row],[Jan AC]:[Apr AC]])</f>
        <v>610110</v>
      </c>
      <c r="BS98" s="6"/>
      <c r="BT98" s="6"/>
      <c r="BU98" s="6"/>
      <c r="BV98" s="6"/>
      <c r="BW98" s="6"/>
      <c r="BX98" s="6"/>
    </row>
    <row r="99" spans="1:76" hidden="1" x14ac:dyDescent="0.35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60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67"/>
        <v>137701.66666666669</v>
      </c>
      <c r="X99" s="15">
        <f t="shared" si="57"/>
        <v>-1329.5333333333256</v>
      </c>
      <c r="Y99" s="15">
        <f t="shared" si="61"/>
        <v>0</v>
      </c>
      <c r="Z99" s="15">
        <f>SUM(Financials2026[[#This Row],[2026 Opportunity]:[2026 Risk]])</f>
        <v>-1329.5333333333256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52">
        <f>AL99</f>
        <v>11585.933333333334</v>
      </c>
      <c r="AN99" s="52">
        <f>SUM(Financials2026[[#This Row],[Jan FC]:[Dec FC]])</f>
        <v>137701.66666666669</v>
      </c>
      <c r="AO99" s="15">
        <f t="shared" si="55"/>
        <v>80721.666666666672</v>
      </c>
      <c r="AP99" s="61">
        <f t="shared" ref="AP99:AV99" si="69">136752/12</f>
        <v>11396</v>
      </c>
      <c r="AQ99" s="61">
        <f t="shared" si="69"/>
        <v>11396</v>
      </c>
      <c r="AR99" s="61">
        <f t="shared" si="69"/>
        <v>11396</v>
      </c>
      <c r="AS99" s="61">
        <f t="shared" si="69"/>
        <v>11396</v>
      </c>
      <c r="AT99" s="61">
        <f t="shared" si="69"/>
        <v>11396</v>
      </c>
      <c r="AU99" s="61">
        <f t="shared" si="69"/>
        <v>11396</v>
      </c>
      <c r="AV99" s="61">
        <f t="shared" si="69"/>
        <v>11396</v>
      </c>
      <c r="AW99" s="61"/>
      <c r="AX99" s="61"/>
      <c r="AY99" s="61"/>
      <c r="AZ99" s="61"/>
      <c r="BA99" s="61"/>
      <c r="BB99" s="80">
        <f>SUM(Financials2026[[#This Row],[Jan AC]:[Dec AC]])</f>
        <v>79772</v>
      </c>
      <c r="BC99" s="71">
        <f>Financials2026[[#This Row],[Jan AC]]-Financials2026[[#This Row],[Jan FC]]</f>
        <v>0</v>
      </c>
      <c r="BD99" s="71">
        <f>Financials2026[[#This Row],[Feb AC]]-Financials2026[[#This Row],[Feb FC]]</f>
        <v>0</v>
      </c>
      <c r="BE99" s="71">
        <f>Financials2026[[#This Row],[Mar AC]]-Financials2026[[#This Row],[Mar FC]]</f>
        <v>0</v>
      </c>
      <c r="BF99" s="71">
        <f>Financials2026[[#This Row],[Apr AC]]-Financials2026[[#This Row],[Apr FC]]</f>
        <v>0</v>
      </c>
      <c r="BG99" s="71">
        <f>Financials2026[[#This Row],[May AC]]-Financials2026[[#This Row],[May FC]]</f>
        <v>0</v>
      </c>
      <c r="BH99" s="71">
        <f>Financials2026[[#This Row],[Jun AC]]-Financials2026[[#This Row],[Jun FC]]</f>
        <v>0</v>
      </c>
      <c r="BI99" s="71">
        <f>Financials2026[[#This Row],[Jul AC]]-Financials2026[[#This Row],[Jul FC]]</f>
        <v>0</v>
      </c>
      <c r="BJ99" s="71">
        <f>Financials2026[[#This Row],[Aug AC]]-Financials2026[[#This Row],[Aug FC]]</f>
        <v>-11585.933333333334</v>
      </c>
      <c r="BK99" s="71">
        <f>Financials2026[[#This Row],[Sep AC]]-Financials2026[[#This Row],[Sep FC]]</f>
        <v>-11585.933333333334</v>
      </c>
      <c r="BL99" s="71">
        <f>Financials2026[[#This Row],[Oct AC]]-Financials2026[[#This Row],[Oct FC]]</f>
        <v>-11585.933333333334</v>
      </c>
      <c r="BM99" s="71">
        <f>Financials2026[[#This Row],[Nov AC]]-Financials2026[[#This Row],[Nov FC]]</f>
        <v>-11585.933333333334</v>
      </c>
      <c r="BN99" s="71">
        <f>Financials2026[[#This Row],[Dec AC]]-Financials2026[[#This Row],[Dec FC]]</f>
        <v>-11585.933333333334</v>
      </c>
      <c r="BO99" s="71">
        <f>SUM(Financials2026[[#This Row],[Jan Opp/Risk]:[Dec Opp./Risk]])</f>
        <v>-57929.666666666672</v>
      </c>
      <c r="BP99" s="90" t="s">
        <v>534</v>
      </c>
      <c r="BQ99" s="47">
        <f>SUM(Financials2026[[#This Row],[Jan AC]:[Apr AC]])</f>
        <v>45584</v>
      </c>
      <c r="BS99" s="6"/>
      <c r="BT99" s="6"/>
      <c r="BU99" s="6"/>
      <c r="BV99" s="6"/>
      <c r="BW99" s="6"/>
      <c r="BX99" s="6"/>
    </row>
    <row r="100" spans="1:76" hidden="1" x14ac:dyDescent="0.35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60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67"/>
        <v>-4000000.0000000005</v>
      </c>
      <c r="X100" s="15">
        <f t="shared" si="57"/>
        <v>-4.6566128730773926E-10</v>
      </c>
      <c r="Y100" s="15">
        <f t="shared" si="61"/>
        <v>0</v>
      </c>
      <c r="Z100" s="15">
        <f>SUM(Financials2026[[#This Row],[2026 Opportunity]:[2026 Risk]])</f>
        <v>-4.6566128730773926E-10</v>
      </c>
      <c r="AA100" s="3" t="s">
        <v>352</v>
      </c>
      <c r="AB100" s="52">
        <f t="shared" ref="AB100:BA100" si="70">-4000000/12</f>
        <v>-333333.33333333331</v>
      </c>
      <c r="AC100" s="52">
        <f t="shared" si="70"/>
        <v>-333333.33333333331</v>
      </c>
      <c r="AD100" s="52">
        <f t="shared" si="70"/>
        <v>-333333.33333333331</v>
      </c>
      <c r="AE100" s="52">
        <f t="shared" si="70"/>
        <v>-333333.33333333331</v>
      </c>
      <c r="AF100" s="52">
        <f t="shared" si="70"/>
        <v>-333333.33333333331</v>
      </c>
      <c r="AG100" s="52">
        <f t="shared" si="70"/>
        <v>-333333.33333333331</v>
      </c>
      <c r="AH100" s="52">
        <f t="shared" si="70"/>
        <v>-333333.33333333331</v>
      </c>
      <c r="AI100" s="52">
        <f t="shared" si="70"/>
        <v>-333333.33333333331</v>
      </c>
      <c r="AJ100" s="52">
        <f t="shared" si="70"/>
        <v>-333333.33333333331</v>
      </c>
      <c r="AK100" s="52">
        <f t="shared" si="70"/>
        <v>-333333.33333333331</v>
      </c>
      <c r="AL100" s="52">
        <f t="shared" si="70"/>
        <v>-333333.33333333331</v>
      </c>
      <c r="AM100" s="52">
        <f t="shared" si="70"/>
        <v>-333333.33333333331</v>
      </c>
      <c r="AN100" s="52">
        <f>SUM(Financials2026[[#This Row],[Jan FC]:[Dec FC]])</f>
        <v>-4000000.0000000005</v>
      </c>
      <c r="AO100" s="15">
        <f t="shared" si="55"/>
        <v>-2333333.333333333</v>
      </c>
      <c r="AP100" s="61">
        <f t="shared" si="70"/>
        <v>-333333.33333333331</v>
      </c>
      <c r="AQ100" s="61">
        <f t="shared" si="70"/>
        <v>-333333.33333333331</v>
      </c>
      <c r="AR100" s="61">
        <f t="shared" si="70"/>
        <v>-333333.33333333331</v>
      </c>
      <c r="AS100" s="61">
        <f t="shared" si="70"/>
        <v>-333333.33333333331</v>
      </c>
      <c r="AT100" s="61">
        <f t="shared" si="70"/>
        <v>-333333.33333333331</v>
      </c>
      <c r="AU100" s="61">
        <f t="shared" si="70"/>
        <v>-333333.33333333331</v>
      </c>
      <c r="AV100" s="61">
        <f t="shared" si="70"/>
        <v>-333333.33333333331</v>
      </c>
      <c r="AW100" s="61">
        <f t="shared" si="70"/>
        <v>-333333.33333333331</v>
      </c>
      <c r="AX100" s="61">
        <f t="shared" si="70"/>
        <v>-333333.33333333331</v>
      </c>
      <c r="AY100" s="61">
        <f t="shared" si="70"/>
        <v>-333333.33333333331</v>
      </c>
      <c r="AZ100" s="61">
        <f t="shared" si="70"/>
        <v>-333333.33333333331</v>
      </c>
      <c r="BA100" s="61">
        <f t="shared" si="70"/>
        <v>-333333.33333333331</v>
      </c>
      <c r="BB100" s="80">
        <f>SUM(Financials2026[[#This Row],[Jan AC]:[Dec AC]])</f>
        <v>-4000000.0000000005</v>
      </c>
      <c r="BC100" s="71">
        <f>Financials2026[[#This Row],[Jan AC]]-Financials2026[[#This Row],[Jan FC]]</f>
        <v>0</v>
      </c>
      <c r="BD100" s="71">
        <f>Financials2026[[#This Row],[Feb AC]]-Financials2026[[#This Row],[Feb FC]]</f>
        <v>0</v>
      </c>
      <c r="BE100" s="71">
        <f>Financials2026[[#This Row],[Mar AC]]-Financials2026[[#This Row],[Mar FC]]</f>
        <v>0</v>
      </c>
      <c r="BF100" s="71">
        <f>Financials2026[[#This Row],[Apr AC]]-Financials2026[[#This Row],[Apr FC]]</f>
        <v>0</v>
      </c>
      <c r="BG100" s="71">
        <f>Financials2026[[#This Row],[May AC]]-Financials2026[[#This Row],[May FC]]</f>
        <v>0</v>
      </c>
      <c r="BH100" s="71">
        <f>Financials2026[[#This Row],[Jun AC]]-Financials2026[[#This Row],[Jun FC]]</f>
        <v>0</v>
      </c>
      <c r="BI100" s="71">
        <f>Financials2026[[#This Row],[Jul AC]]-Financials2026[[#This Row],[Jul FC]]</f>
        <v>0</v>
      </c>
      <c r="BJ100" s="71">
        <f>Financials2026[[#This Row],[Aug AC]]-Financials2026[[#This Row],[Aug FC]]</f>
        <v>0</v>
      </c>
      <c r="BK100" s="71">
        <f>Financials2026[[#This Row],[Sep AC]]-Financials2026[[#This Row],[Sep FC]]</f>
        <v>0</v>
      </c>
      <c r="BL100" s="71">
        <f>Financials2026[[#This Row],[Oct AC]]-Financials2026[[#This Row],[Oct FC]]</f>
        <v>0</v>
      </c>
      <c r="BM100" s="71">
        <f>Financials2026[[#This Row],[Nov AC]]-Financials2026[[#This Row],[Nov FC]]</f>
        <v>0</v>
      </c>
      <c r="BN100" s="71">
        <f>Financials2026[[#This Row],[Dec AC]]-Financials2026[[#This Row],[Dec FC]]</f>
        <v>0</v>
      </c>
      <c r="BO100" s="71">
        <f>SUM(Financials2026[[#This Row],[Jan Opp/Risk]:[Dec Opp./Risk]])</f>
        <v>0</v>
      </c>
      <c r="BP100" s="90" t="s">
        <v>883</v>
      </c>
      <c r="BQ100" s="49">
        <f>SUM(Financials2026[[#This Row],[Jan AC]:[Apr AC]])</f>
        <v>-1333333.3333333333</v>
      </c>
      <c r="BS100" s="6"/>
      <c r="BT100" s="6"/>
      <c r="BU100" s="6"/>
      <c r="BV100" s="6"/>
      <c r="BW100" s="6"/>
      <c r="BX100" s="6"/>
    </row>
    <row r="101" spans="1:76" hidden="1" x14ac:dyDescent="0.35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60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67"/>
        <v>1276687.2541666667</v>
      </c>
      <c r="X101" s="15">
        <f t="shared" si="57"/>
        <v>0</v>
      </c>
      <c r="Y101" s="15">
        <f t="shared" si="61"/>
        <v>32669.254166666651</v>
      </c>
      <c r="Z101" s="37">
        <f>SUM(Financials2026[[#This Row],[2026 Opportunity]:[2026 Risk]])</f>
        <v>32669.254166666651</v>
      </c>
      <c r="AA101" s="41" t="s">
        <v>884</v>
      </c>
      <c r="AB101" s="54">
        <f>Financials2026[[#This Row],[2026 Final Budget]]/12</f>
        <v>103668.16666666667</v>
      </c>
      <c r="AC101" s="54">
        <f>Financials2026[[#This Row],[2026 Final Budget]]/12</f>
        <v>103668.16666666667</v>
      </c>
      <c r="AD101" s="54">
        <f>Financials2026[[#This Row],[2026 Final Budget]]/12</f>
        <v>103668.16666666667</v>
      </c>
      <c r="AE101" s="54">
        <f>Financials2026[[#This Row],[2026 Final Budget]]/12</f>
        <v>103668.16666666667</v>
      </c>
      <c r="AF101" s="54">
        <f>Financials2026[[#This Row],[2026 Final Budget]]/12</f>
        <v>103668.16666666667</v>
      </c>
      <c r="AG101" s="54">
        <f>Financials2026[[#This Row],[2026 Final Budget]]/12</f>
        <v>103668.16666666667</v>
      </c>
      <c r="AH101" s="54">
        <f>Financials2026[[#This Row],[2026 Final Budget]]/12</f>
        <v>103668.16666666667</v>
      </c>
      <c r="AI101" s="54">
        <f>Financials2026[[#This Row],[2026 Final Budget]]/12</f>
        <v>103668.16666666667</v>
      </c>
      <c r="AJ101" s="54">
        <f>Financials2026[[#This Row],[2026 Final Budget]]/12</f>
        <v>103668.16666666667</v>
      </c>
      <c r="AK101" s="54">
        <f>Financials2026[[#This Row],[2026 Final Budget]]/12</f>
        <v>103668.16666666667</v>
      </c>
      <c r="AL101" s="54">
        <f>Financials2026[[#This Row],[2026 Final Budget]]/12</f>
        <v>103668.16666666667</v>
      </c>
      <c r="AM101" s="54">
        <f>Financials2026[[#This Row],[2026 Final Budget]]/12</f>
        <v>103668.16666666667</v>
      </c>
      <c r="AN101" s="52">
        <f>SUM(Financials2026[[#This Row],[Jan FC]:[Dec FC]])</f>
        <v>1244018</v>
      </c>
      <c r="AO101" s="15">
        <f t="shared" si="55"/>
        <v>725677.16666666663</v>
      </c>
      <c r="AP101" s="63">
        <v>110202.0175</v>
      </c>
      <c r="AQ101" s="61">
        <v>110202.0175</v>
      </c>
      <c r="AR101" s="61">
        <v>110202.0175</v>
      </c>
      <c r="AS101" s="61">
        <v>110202.0175</v>
      </c>
      <c r="AT101" s="61">
        <v>110202.0175</v>
      </c>
      <c r="AU101" s="61">
        <v>110202.0175</v>
      </c>
      <c r="AV101" s="61">
        <v>110202.0175</v>
      </c>
      <c r="AW101" s="61">
        <v>110202.0175</v>
      </c>
      <c r="AX101" s="61">
        <v>110202.0175</v>
      </c>
      <c r="AY101" s="61">
        <v>110202.0175</v>
      </c>
      <c r="AZ101" s="61">
        <v>110202.0175</v>
      </c>
      <c r="BA101" s="61">
        <v>110202.0175</v>
      </c>
      <c r="BB101" s="80">
        <f>SUM(Financials2026[[#This Row],[Jan AC]:[Dec AC]])</f>
        <v>1322424.21</v>
      </c>
      <c r="BC101" s="71">
        <f>Financials2026[[#This Row],[Jan AC]]-Financials2026[[#This Row],[Jan FC]]</f>
        <v>6533.8508333333302</v>
      </c>
      <c r="BD101" s="71">
        <f>Financials2026[[#This Row],[Feb AC]]-Financials2026[[#This Row],[Feb FC]]</f>
        <v>6533.8508333333302</v>
      </c>
      <c r="BE101" s="71">
        <f>Financials2026[[#This Row],[Mar AC]]-Financials2026[[#This Row],[Mar FC]]</f>
        <v>6533.8508333333302</v>
      </c>
      <c r="BF101" s="71">
        <f>Financials2026[[#This Row],[Apr AC]]-Financials2026[[#This Row],[Apr FC]]</f>
        <v>6533.8508333333302</v>
      </c>
      <c r="BG101" s="71">
        <f>Financials2026[[#This Row],[May AC]]-Financials2026[[#This Row],[May FC]]</f>
        <v>6533.8508333333302</v>
      </c>
      <c r="BH101" s="71">
        <f>Financials2026[[#This Row],[Jun AC]]-Financials2026[[#This Row],[Jun FC]]</f>
        <v>6533.8508333333302</v>
      </c>
      <c r="BI101" s="71">
        <f>Financials2026[[#This Row],[Jul AC]]-Financials2026[[#This Row],[Jul FC]]</f>
        <v>6533.8508333333302</v>
      </c>
      <c r="BJ101" s="71">
        <f>Financials2026[[#This Row],[Aug AC]]-Financials2026[[#This Row],[Aug FC]]</f>
        <v>6533.8508333333302</v>
      </c>
      <c r="BK101" s="71">
        <f>Financials2026[[#This Row],[Sep AC]]-Financials2026[[#This Row],[Sep FC]]</f>
        <v>6533.8508333333302</v>
      </c>
      <c r="BL101" s="71">
        <f>Financials2026[[#This Row],[Oct AC]]-Financials2026[[#This Row],[Oct FC]]</f>
        <v>6533.8508333333302</v>
      </c>
      <c r="BM101" s="71">
        <f>Financials2026[[#This Row],[Nov AC]]-Financials2026[[#This Row],[Nov FC]]</f>
        <v>6533.8508333333302</v>
      </c>
      <c r="BN101" s="71">
        <f>Financials2026[[#This Row],[Dec AC]]-Financials2026[[#This Row],[Dec FC]]</f>
        <v>6533.8508333333302</v>
      </c>
      <c r="BO101" s="84">
        <f>SUM(Financials2026[[#This Row],[Jan Opp/Risk]:[Dec Opp./Risk]])</f>
        <v>78406.209999999963</v>
      </c>
      <c r="BP101" s="95" t="s">
        <v>881</v>
      </c>
      <c r="BQ101" s="47">
        <f>SUM(Financials2026[[#This Row],[Jan AC]:[Apr AC]])</f>
        <v>440808.07</v>
      </c>
      <c r="BS101" s="6"/>
      <c r="BT101" s="6"/>
      <c r="BU101" s="6"/>
      <c r="BV101" s="6"/>
      <c r="BW101" s="6"/>
      <c r="BX101" s="6"/>
    </row>
    <row r="102" spans="1:76" hidden="1" x14ac:dyDescent="0.35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60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67"/>
        <v>544374.99999999988</v>
      </c>
      <c r="X102" s="15">
        <f t="shared" si="57"/>
        <v>0</v>
      </c>
      <c r="Y102" s="15">
        <f t="shared" si="61"/>
        <v>132827.49999999988</v>
      </c>
      <c r="Z102" s="15">
        <f>SUM(Financials2026[[#This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SUM(Financials2026[[#This Row],[Jan FC]:[Dec FC]])</f>
        <v>544374.99999999988</v>
      </c>
      <c r="AO102" s="15">
        <f t="shared" si="55"/>
        <v>317552.08333333331</v>
      </c>
      <c r="AP102" s="61">
        <f>544375/12</f>
        <v>45364.583333333336</v>
      </c>
      <c r="AQ102" s="61">
        <f t="shared" ref="AQ102:BA102" si="71">544375/12</f>
        <v>45364.583333333336</v>
      </c>
      <c r="AR102" s="61">
        <f t="shared" si="71"/>
        <v>45364.583333333336</v>
      </c>
      <c r="AS102" s="61">
        <f t="shared" si="71"/>
        <v>45364.583333333336</v>
      </c>
      <c r="AT102" s="61">
        <f t="shared" si="71"/>
        <v>45364.583333333336</v>
      </c>
      <c r="AU102" s="61">
        <f t="shared" si="71"/>
        <v>45364.583333333336</v>
      </c>
      <c r="AV102" s="61">
        <f t="shared" si="71"/>
        <v>45364.583333333336</v>
      </c>
      <c r="AW102" s="61">
        <f t="shared" si="71"/>
        <v>45364.583333333336</v>
      </c>
      <c r="AX102" s="61">
        <f t="shared" si="71"/>
        <v>45364.583333333336</v>
      </c>
      <c r="AY102" s="61">
        <f t="shared" si="71"/>
        <v>45364.583333333336</v>
      </c>
      <c r="AZ102" s="61">
        <f t="shared" si="71"/>
        <v>45364.583333333336</v>
      </c>
      <c r="BA102" s="61">
        <f t="shared" si="71"/>
        <v>45364.583333333336</v>
      </c>
      <c r="BB102" s="80">
        <f>SUM(Financials2026[[#This Row],[Jan AC]:[Dec AC]])</f>
        <v>544374.99999999988</v>
      </c>
      <c r="BC102" s="71">
        <f>Financials2026[[#This Row],[Jan AC]]-Financials2026[[#This Row],[Jan FC]]</f>
        <v>0</v>
      </c>
      <c r="BD102" s="71">
        <f>Financials2026[[#This Row],[Feb AC]]-Financials2026[[#This Row],[Feb FC]]</f>
        <v>0</v>
      </c>
      <c r="BE102" s="71">
        <f>Financials2026[[#This Row],[Mar AC]]-Financials2026[[#This Row],[Mar FC]]</f>
        <v>0</v>
      </c>
      <c r="BF102" s="71">
        <f>Financials2026[[#This Row],[Apr AC]]-Financials2026[[#This Row],[Apr FC]]</f>
        <v>0</v>
      </c>
      <c r="BG102" s="71">
        <f>Financials2026[[#This Row],[May AC]]-Financials2026[[#This Row],[May FC]]</f>
        <v>0</v>
      </c>
      <c r="BH102" s="71">
        <f>Financials2026[[#This Row],[Jun AC]]-Financials2026[[#This Row],[Jun FC]]</f>
        <v>0</v>
      </c>
      <c r="BI102" s="71">
        <f>Financials2026[[#This Row],[Jul AC]]-Financials2026[[#This Row],[Jul FC]]</f>
        <v>0</v>
      </c>
      <c r="BJ102" s="71">
        <f>Financials2026[[#This Row],[Aug AC]]-Financials2026[[#This Row],[Aug FC]]</f>
        <v>0</v>
      </c>
      <c r="BK102" s="71">
        <f>Financials2026[[#This Row],[Sep AC]]-Financials2026[[#This Row],[Sep FC]]</f>
        <v>0</v>
      </c>
      <c r="BL102" s="71">
        <f>Financials2026[[#This Row],[Oct AC]]-Financials2026[[#This Row],[Oct FC]]</f>
        <v>0</v>
      </c>
      <c r="BM102" s="71">
        <f>Financials2026[[#This Row],[Nov AC]]-Financials2026[[#This Row],[Nov FC]]</f>
        <v>0</v>
      </c>
      <c r="BN102" s="71">
        <f>Financials2026[[#This Row],[Dec AC]]-Financials2026[[#This Row],[Dec FC]]</f>
        <v>0</v>
      </c>
      <c r="BO102" s="71">
        <f>SUM(Financials2026[[#This Row],[Jan Opp/Risk]:[Dec Opp./Risk]])</f>
        <v>0</v>
      </c>
      <c r="BP102" s="90" t="s">
        <v>534</v>
      </c>
      <c r="BQ102" s="47">
        <f>SUM(Financials2026[[#This Row],[Jan AC]:[Apr AC]])</f>
        <v>181458.33333333334</v>
      </c>
      <c r="BS102" s="6"/>
      <c r="BT102" s="6"/>
      <c r="BU102" s="6"/>
      <c r="BV102" s="6"/>
      <c r="BW102" s="6"/>
      <c r="BX102" s="6"/>
    </row>
    <row r="103" spans="1:76" hidden="1" x14ac:dyDescent="0.35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60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67"/>
        <v>37142.130000000005</v>
      </c>
      <c r="X103" s="15">
        <f t="shared" si="57"/>
        <v>0</v>
      </c>
      <c r="Y103" s="15">
        <f t="shared" si="61"/>
        <v>797.13000000000466</v>
      </c>
      <c r="Z103" s="15">
        <f>SUM(Financials2026[[#This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SUM(Financials2026[[#This Row],[Jan FC]:[Dec FC]])</f>
        <v>36345</v>
      </c>
      <c r="AO103" s="15">
        <f t="shared" si="55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SUM(Financials2026[[#This Row],[Jan AC]:[Dec AC]])</f>
        <v>9883.380000000001</v>
      </c>
      <c r="BC103" s="71">
        <f>Financials2026[[#This Row],[Jan AC]]-Financials2026[[#This Row],[Jan FC]]</f>
        <v>254.65000000000009</v>
      </c>
      <c r="BD103" s="71">
        <f>Financials2026[[#This Row],[Feb AC]]-Financials2026[[#This Row],[Feb FC]]</f>
        <v>-736.92999999999984</v>
      </c>
      <c r="BE103" s="71">
        <f>Financials2026[[#This Row],[Mar AC]]-Financials2026[[#This Row],[Mar FC]]</f>
        <v>1279.4099999999999</v>
      </c>
      <c r="BF103" s="71">
        <f>Financials2026[[#This Row],[Apr AC]]-Financials2026[[#This Row],[Apr FC]]</f>
        <v>-3028.75</v>
      </c>
      <c r="BG103" s="71">
        <f>Financials2026[[#This Row],[May AC]]-Financials2026[[#This Row],[May FC]]</f>
        <v>-3028.75</v>
      </c>
      <c r="BH103" s="71">
        <f>Financials2026[[#This Row],[Jun AC]]-Financials2026[[#This Row],[Jun FC]]</f>
        <v>-3028.75</v>
      </c>
      <c r="BI103" s="71">
        <f>Financials2026[[#This Row],[Jul AC]]-Financials2026[[#This Row],[Jul FC]]</f>
        <v>-3028.75</v>
      </c>
      <c r="BJ103" s="71">
        <f>Financials2026[[#This Row],[Aug AC]]-Financials2026[[#This Row],[Aug FC]]</f>
        <v>-3028.75</v>
      </c>
      <c r="BK103" s="71">
        <f>Financials2026[[#This Row],[Sep AC]]-Financials2026[[#This Row],[Sep FC]]</f>
        <v>-3028.75</v>
      </c>
      <c r="BL103" s="71">
        <f>Financials2026[[#This Row],[Oct AC]]-Financials2026[[#This Row],[Oct FC]]</f>
        <v>-3028.75</v>
      </c>
      <c r="BM103" s="71">
        <f>Financials2026[[#This Row],[Nov AC]]-Financials2026[[#This Row],[Nov FC]]</f>
        <v>-3028.75</v>
      </c>
      <c r="BN103" s="71">
        <f>Financials2026[[#This Row],[Dec AC]]-Financials2026[[#This Row],[Dec FC]]</f>
        <v>-3028.75</v>
      </c>
      <c r="BO103" s="71">
        <f>SUM(Financials2026[[#This Row],[Jan Opp/Risk]:[Dec Opp./Risk]])</f>
        <v>-26461.62</v>
      </c>
      <c r="BP103" s="91" t="s">
        <v>830</v>
      </c>
      <c r="BQ103" s="47">
        <f>SUM(Financials2026[[#This Row],[Jan AC]:[Apr AC]])</f>
        <v>9883.380000000001</v>
      </c>
      <c r="BS103" s="6"/>
      <c r="BT103" s="6"/>
      <c r="BU103" s="6"/>
      <c r="BV103" s="6"/>
      <c r="BW103" s="6"/>
      <c r="BX103" s="6"/>
    </row>
    <row r="104" spans="1:76" hidden="1" x14ac:dyDescent="0.35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60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67"/>
        <v>4469.03</v>
      </c>
      <c r="X104" s="15">
        <f t="shared" si="57"/>
        <v>0</v>
      </c>
      <c r="Y104" s="15">
        <f t="shared" si="61"/>
        <v>239.02999999999975</v>
      </c>
      <c r="Z104" s="15">
        <f>SUM(Financials2026[[#This Row],[2026 Opportunity]:[2026 Risk]])</f>
        <v>239.02999999999975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SUM(Financials2026[[#This Row],[Jan FC]:[Dec FC]])</f>
        <v>4230</v>
      </c>
      <c r="AO104" s="15">
        <f t="shared" si="55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514.15</v>
      </c>
      <c r="AU104" s="132">
        <v>514.15</v>
      </c>
      <c r="AV104" s="61"/>
      <c r="AW104" s="61"/>
      <c r="AX104" s="61"/>
      <c r="AY104" s="61"/>
      <c r="AZ104" s="61"/>
      <c r="BA104" s="61"/>
      <c r="BB104" s="80">
        <f>SUM(Financials2026[[#This Row],[Jan AC]:[Dec AC]])</f>
        <v>2518.1799999999998</v>
      </c>
      <c r="BC104" s="71">
        <f>Financials2026[[#This Row],[Jan AC]]-Financials2026[[#This Row],[Jan FC]]</f>
        <v>17.829999999999984</v>
      </c>
      <c r="BD104" s="71">
        <f>Financials2026[[#This Row],[Feb AC]]-Financials2026[[#This Row],[Feb FC]]</f>
        <v>22.949999999999989</v>
      </c>
      <c r="BE104" s="71">
        <f>Financials2026[[#This Row],[Mar AC]]-Financials2026[[#This Row],[Mar FC]]</f>
        <v>18.550000000000011</v>
      </c>
      <c r="BF104" s="71">
        <f>Financials2026[[#This Row],[Apr AC]]-Financials2026[[#This Row],[Apr FC]]</f>
        <v>18.550000000000011</v>
      </c>
      <c r="BG104" s="71">
        <f>Financials2026[[#This Row],[May AC]]-Financials2026[[#This Row],[May FC]]</f>
        <v>161.14999999999998</v>
      </c>
      <c r="BH104" s="71">
        <f>Financials2026[[#This Row],[Jun AC]]-Financials2026[[#This Row],[Jun FC]]</f>
        <v>161.14999999999998</v>
      </c>
      <c r="BI104" s="71">
        <f>Financials2026[[#This Row],[Jul AC]]-Financials2026[[#This Row],[Jul FC]]</f>
        <v>-353</v>
      </c>
      <c r="BJ104" s="71">
        <f>Financials2026[[#This Row],[Aug AC]]-Financials2026[[#This Row],[Aug FC]]</f>
        <v>-353</v>
      </c>
      <c r="BK104" s="71">
        <f>Financials2026[[#This Row],[Sep AC]]-Financials2026[[#This Row],[Sep FC]]</f>
        <v>-353</v>
      </c>
      <c r="BL104" s="71">
        <f>Financials2026[[#This Row],[Oct AC]]-Financials2026[[#This Row],[Oct FC]]</f>
        <v>-353</v>
      </c>
      <c r="BM104" s="71">
        <f>Financials2026[[#This Row],[Nov AC]]-Financials2026[[#This Row],[Nov FC]]</f>
        <v>-353</v>
      </c>
      <c r="BN104" s="71">
        <f>Financials2026[[#This Row],[Dec AC]]-Financials2026[[#This Row],[Dec FC]]</f>
        <v>-347</v>
      </c>
      <c r="BO104" s="71">
        <f>SUM(Financials2026[[#This Row],[Jan Opp/Risk]:[Dec Opp./Risk]])</f>
        <v>-1711.8200000000002</v>
      </c>
      <c r="BP104" s="90"/>
      <c r="BQ104" s="47">
        <f>SUM(Financials2026[[#This Row],[Jan AC]:[Apr AC]])</f>
        <v>1489.8799999999999</v>
      </c>
      <c r="BS104" s="6"/>
      <c r="BT104" s="6"/>
      <c r="BU104" s="6"/>
      <c r="BV104" s="6"/>
      <c r="BW104" s="6"/>
      <c r="BX104" s="6"/>
    </row>
    <row r="105" spans="1:76" hidden="1" x14ac:dyDescent="0.35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60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67"/>
        <v>7241.6659</v>
      </c>
      <c r="X105" s="15">
        <f t="shared" si="57"/>
        <v>0</v>
      </c>
      <c r="Y105" s="15">
        <f t="shared" si="61"/>
        <v>198.66589999999997</v>
      </c>
      <c r="Z105" s="15">
        <f>SUM(Financials2026[[#This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SUM(Financials2026[[#This Row],[Jan FC]:[Dec FC]])</f>
        <v>7043</v>
      </c>
      <c r="AO105" s="15">
        <f t="shared" si="55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61">
        <v>859.75</v>
      </c>
      <c r="AV105" s="61"/>
      <c r="AW105" s="61"/>
      <c r="AX105" s="61"/>
      <c r="AY105" s="61"/>
      <c r="AZ105" s="61"/>
      <c r="BA105" s="61"/>
      <c r="BB105" s="80">
        <f>SUM(Financials2026[[#This Row],[Jan AC]:[Dec AC]])</f>
        <v>3993.4158999999995</v>
      </c>
      <c r="BC105" s="71">
        <f>Financials2026[[#This Row],[Jan AC]]-Financials2026[[#This Row],[Jan FC]]</f>
        <v>33.090000000000032</v>
      </c>
      <c r="BD105" s="71">
        <f>Financials2026[[#This Row],[Feb AC]]-Financials2026[[#This Row],[Feb FC]]</f>
        <v>41.659999999999968</v>
      </c>
      <c r="BE105" s="71">
        <f>Financials2026[[#This Row],[Mar AC]]-Financials2026[[#This Row],[Mar FC]]</f>
        <v>40.61749999999995</v>
      </c>
      <c r="BF105" s="71">
        <f>Financials2026[[#This Row],[Apr AC]]-Financials2026[[#This Row],[Apr FC]]</f>
        <v>41.649199999999951</v>
      </c>
      <c r="BG105" s="71">
        <f>Financials2026[[#This Row],[May AC]]-Financials2026[[#This Row],[May FC]]</f>
        <v>41.649199999999951</v>
      </c>
      <c r="BH105" s="71">
        <f>Financials2026[[#This Row],[Jun AC]]-Financials2026[[#This Row],[Jun FC]]</f>
        <v>272.75</v>
      </c>
      <c r="BI105" s="71">
        <f>Financials2026[[#This Row],[Jul AC]]-Financials2026[[#This Row],[Jul FC]]</f>
        <v>-587</v>
      </c>
      <c r="BJ105" s="71">
        <f>Financials2026[[#This Row],[Aug AC]]-Financials2026[[#This Row],[Aug FC]]</f>
        <v>-587</v>
      </c>
      <c r="BK105" s="71">
        <f>Financials2026[[#This Row],[Sep AC]]-Financials2026[[#This Row],[Sep FC]]</f>
        <v>-587</v>
      </c>
      <c r="BL105" s="71">
        <f>Financials2026[[#This Row],[Oct AC]]-Financials2026[[#This Row],[Oct FC]]</f>
        <v>-587</v>
      </c>
      <c r="BM105" s="71">
        <f>Financials2026[[#This Row],[Nov AC]]-Financials2026[[#This Row],[Nov FC]]</f>
        <v>-587</v>
      </c>
      <c r="BN105" s="71">
        <f>Financials2026[[#This Row],[Dec AC]]-Financials2026[[#This Row],[Dec FC]]</f>
        <v>-586</v>
      </c>
      <c r="BO105" s="71">
        <f>SUM(Financials2026[[#This Row],[Jan Opp/Risk]:[Dec Opp./Risk]])</f>
        <v>-3049.5841</v>
      </c>
      <c r="BP105" s="90" t="s">
        <v>534</v>
      </c>
      <c r="BQ105" s="47">
        <f>SUM(Financials2026[[#This Row],[Jan AC]:[Apr AC]])</f>
        <v>2505.0166999999997</v>
      </c>
      <c r="BS105" s="6"/>
      <c r="BT105" s="6"/>
      <c r="BU105" s="6"/>
      <c r="BV105" s="6"/>
      <c r="BW105" s="6"/>
      <c r="BX105" s="6"/>
    </row>
    <row r="106" spans="1:76" hidden="1" x14ac:dyDescent="0.35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60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67"/>
        <v>292</v>
      </c>
      <c r="X106" s="15">
        <f t="shared" si="57"/>
        <v>0</v>
      </c>
      <c r="Y106" s="15">
        <f t="shared" si="61"/>
        <v>0</v>
      </c>
      <c r="Z106" s="15">
        <f>SUM(Financials2026[[#This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SUM(Financials2026[[#This Row],[Jan FC]:[Dec FC]])</f>
        <v>292</v>
      </c>
      <c r="AO106" s="15">
        <f t="shared" si="55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SUM(Financials2026[[#This Row],[Jan AC]:[Dec AC]])</f>
        <v>0</v>
      </c>
      <c r="BC106" s="71">
        <f>Financials2026[[#This Row],[Jan AC]]-Financials2026[[#This Row],[Jan FC]]</f>
        <v>0</v>
      </c>
      <c r="BD106" s="71">
        <f>Financials2026[[#This Row],[Feb AC]]-Financials2026[[#This Row],[Feb FC]]</f>
        <v>0</v>
      </c>
      <c r="BE106" s="71">
        <f>Financials2026[[#This Row],[Mar AC]]-Financials2026[[#This Row],[Mar FC]]</f>
        <v>0</v>
      </c>
      <c r="BF106" s="71">
        <f>Financials2026[[#This Row],[Apr AC]]-Financials2026[[#This Row],[Apr FC]]</f>
        <v>0</v>
      </c>
      <c r="BG106" s="71">
        <f>Financials2026[[#This Row],[May AC]]-Financials2026[[#This Row],[May FC]]</f>
        <v>0</v>
      </c>
      <c r="BH106" s="71">
        <f>Financials2026[[#This Row],[Jun AC]]-Financials2026[[#This Row],[Jun FC]]</f>
        <v>0</v>
      </c>
      <c r="BI106" s="71">
        <f>Financials2026[[#This Row],[Jul AC]]-Financials2026[[#This Row],[Jul FC]]</f>
        <v>-292</v>
      </c>
      <c r="BJ106" s="71">
        <f>Financials2026[[#This Row],[Aug AC]]-Financials2026[[#This Row],[Aug FC]]</f>
        <v>0</v>
      </c>
      <c r="BK106" s="71">
        <f>Financials2026[[#This Row],[Sep AC]]-Financials2026[[#This Row],[Sep FC]]</f>
        <v>0</v>
      </c>
      <c r="BL106" s="71">
        <f>Financials2026[[#This Row],[Oct AC]]-Financials2026[[#This Row],[Oct FC]]</f>
        <v>0</v>
      </c>
      <c r="BM106" s="71">
        <f>Financials2026[[#This Row],[Nov AC]]-Financials2026[[#This Row],[Nov FC]]</f>
        <v>0</v>
      </c>
      <c r="BN106" s="71">
        <f>Financials2026[[#This Row],[Dec AC]]-Financials2026[[#This Row],[Dec FC]]</f>
        <v>0</v>
      </c>
      <c r="BO106" s="71">
        <f>SUM(Financials2026[[#This Row],[Jan Opp/Risk]:[Dec Opp./Risk]])</f>
        <v>-292</v>
      </c>
      <c r="BP106" s="90"/>
      <c r="BQ106" s="47">
        <f>SUM(Financials2026[[#This Row],[Jan AC]:[Apr AC]])</f>
        <v>0</v>
      </c>
      <c r="BS106" s="6"/>
      <c r="BT106" s="6"/>
      <c r="BU106" s="6"/>
      <c r="BV106" s="6"/>
      <c r="BW106" s="6"/>
      <c r="BX106" s="6"/>
    </row>
    <row r="107" spans="1:76" hidden="1" x14ac:dyDescent="0.35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60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67"/>
        <v>8407.75</v>
      </c>
      <c r="X107" s="15">
        <f t="shared" si="57"/>
        <v>0</v>
      </c>
      <c r="Y107" s="15">
        <f t="shared" si="61"/>
        <v>5507.75</v>
      </c>
      <c r="Z107" s="15">
        <f>SUM(Financials2026[[#This Row],[2026 Opportunity]:[2026 Risk]])</f>
        <v>5507.75</v>
      </c>
      <c r="AA107" s="3" t="s">
        <v>894</v>
      </c>
      <c r="AB107" s="52"/>
      <c r="AC107" s="52">
        <v>17</v>
      </c>
      <c r="AD107" s="52"/>
      <c r="AE107" s="52">
        <f>2900-17</f>
        <v>2883</v>
      </c>
      <c r="AF107" s="52"/>
      <c r="AG107" s="52"/>
      <c r="AH107" s="52"/>
      <c r="AI107" s="52"/>
      <c r="AJ107" s="52"/>
      <c r="AK107" s="52"/>
      <c r="AL107" s="52"/>
      <c r="AM107" s="52"/>
      <c r="AN107" s="52">
        <f>SUM(Financials2026[[#This Row],[Jan FC]:[Dec FC]])</f>
        <v>2900</v>
      </c>
      <c r="AO107" s="15">
        <f t="shared" si="55"/>
        <v>0</v>
      </c>
      <c r="AP107" s="61"/>
      <c r="AQ107" s="61">
        <v>16.739999999999998</v>
      </c>
      <c r="AR107" s="61"/>
      <c r="AS107" s="61">
        <v>7001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SUM(Financials2026[[#This Row],[Jan AC]:[Dec AC]])</f>
        <v>8407.75</v>
      </c>
      <c r="BC107" s="71">
        <f>Financials2026[[#This Row],[Jan AC]]-Financials2026[[#This Row],[Jan FC]]</f>
        <v>0</v>
      </c>
      <c r="BD107" s="71">
        <f>Financials2026[[#This Row],[Feb AC]]-Financials2026[[#This Row],[Feb FC]]</f>
        <v>-0.26000000000000156</v>
      </c>
      <c r="BE107" s="71">
        <f>Financials2026[[#This Row],[Mar AC]]-Financials2026[[#This Row],[Mar FC]]</f>
        <v>0</v>
      </c>
      <c r="BF107" s="71">
        <f>Financials2026[[#This Row],[Apr AC]]-Financials2026[[#This Row],[Apr FC]]</f>
        <v>4118</v>
      </c>
      <c r="BG107" s="71">
        <f>Financials2026[[#This Row],[May AC]]-Financials2026[[#This Row],[May FC]]</f>
        <v>1390.01</v>
      </c>
      <c r="BH107" s="71">
        <f>Financials2026[[#This Row],[Jun AC]]-Financials2026[[#This Row],[Jun FC]]</f>
        <v>0</v>
      </c>
      <c r="BI107" s="71">
        <f>Financials2026[[#This Row],[Jul AC]]-Financials2026[[#This Row],[Jul FC]]</f>
        <v>0</v>
      </c>
      <c r="BJ107" s="71">
        <f>Financials2026[[#This Row],[Aug AC]]-Financials2026[[#This Row],[Aug FC]]</f>
        <v>0</v>
      </c>
      <c r="BK107" s="71">
        <f>Financials2026[[#This Row],[Sep AC]]-Financials2026[[#This Row],[Sep FC]]</f>
        <v>0</v>
      </c>
      <c r="BL107" s="71">
        <f>Financials2026[[#This Row],[Oct AC]]-Financials2026[[#This Row],[Oct FC]]</f>
        <v>0</v>
      </c>
      <c r="BM107" s="71">
        <f>Financials2026[[#This Row],[Nov AC]]-Financials2026[[#This Row],[Nov FC]]</f>
        <v>0</v>
      </c>
      <c r="BN107" s="71">
        <f>Financials2026[[#This Row],[Dec AC]]-Financials2026[[#This Row],[Dec FC]]</f>
        <v>0</v>
      </c>
      <c r="BO107" s="71">
        <f>SUM(Financials2026[[#This Row],[Jan Opp/Risk]:[Dec Opp./Risk]])</f>
        <v>5507.75</v>
      </c>
      <c r="BP107" s="90" t="s">
        <v>825</v>
      </c>
      <c r="BQ107" s="47">
        <f>SUM(Financials2026[[#This Row],[Jan AC]:[Apr AC]])</f>
        <v>7017.74</v>
      </c>
      <c r="BS107" s="6"/>
      <c r="BT107" s="6"/>
      <c r="BU107" s="6"/>
      <c r="BV107" s="6"/>
      <c r="BW107" s="6"/>
      <c r="BX107" s="6"/>
    </row>
    <row r="108" spans="1:76" hidden="1" x14ac:dyDescent="0.35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ref="K108:K129" si="72">D108 &amp; "-" &amp;E108</f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67"/>
        <v>8000</v>
      </c>
      <c r="X108" s="15">
        <f t="shared" si="57"/>
        <v>-400</v>
      </c>
      <c r="Y108" s="15">
        <f t="shared" ref="Y108:Y129" si="73">IF(W108 &gt; V108, W108 - V108, 0)</f>
        <v>0</v>
      </c>
      <c r="Z108" s="15">
        <f>SUM(Financials2026[[#This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SUM(Financials2026[[#This Row],[Jan FC]:[Dec FC]])</f>
        <v>8400</v>
      </c>
      <c r="AO108" s="15">
        <f t="shared" si="55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SUM(Financials2026[[#This Row],[Jan AC]:[Dec AC]])</f>
        <v>8000</v>
      </c>
      <c r="BC108" s="71">
        <f>Financials2026[[#This Row],[Jan AC]]-Financials2026[[#This Row],[Jan FC]]</f>
        <v>-400</v>
      </c>
      <c r="BD108" s="71">
        <f>Financials2026[[#This Row],[Feb AC]]-Financials2026[[#This Row],[Feb FC]]</f>
        <v>0</v>
      </c>
      <c r="BE108" s="71">
        <f>Financials2026[[#This Row],[Mar AC]]-Financials2026[[#This Row],[Mar FC]]</f>
        <v>0</v>
      </c>
      <c r="BF108" s="71">
        <f>Financials2026[[#This Row],[Apr AC]]-Financials2026[[#This Row],[Apr FC]]</f>
        <v>0</v>
      </c>
      <c r="BG108" s="71">
        <f>Financials2026[[#This Row],[May AC]]-Financials2026[[#This Row],[May FC]]</f>
        <v>0</v>
      </c>
      <c r="BH108" s="71">
        <f>Financials2026[[#This Row],[Jun AC]]-Financials2026[[#This Row],[Jun FC]]</f>
        <v>0</v>
      </c>
      <c r="BI108" s="71">
        <f>Financials2026[[#This Row],[Jul AC]]-Financials2026[[#This Row],[Jul FC]]</f>
        <v>0</v>
      </c>
      <c r="BJ108" s="71">
        <f>Financials2026[[#This Row],[Aug AC]]-Financials2026[[#This Row],[Aug FC]]</f>
        <v>0</v>
      </c>
      <c r="BK108" s="71">
        <f>Financials2026[[#This Row],[Sep AC]]-Financials2026[[#This Row],[Sep FC]]</f>
        <v>0</v>
      </c>
      <c r="BL108" s="71">
        <f>Financials2026[[#This Row],[Oct AC]]-Financials2026[[#This Row],[Oct FC]]</f>
        <v>0</v>
      </c>
      <c r="BM108" s="71">
        <f>Financials2026[[#This Row],[Nov AC]]-Financials2026[[#This Row],[Nov FC]]</f>
        <v>0</v>
      </c>
      <c r="BN108" s="71">
        <f>Financials2026[[#This Row],[Dec AC]]-Financials2026[[#This Row],[Dec FC]]</f>
        <v>0</v>
      </c>
      <c r="BO108" s="71">
        <f>SUM(Financials2026[[#This Row],[Jan Opp/Risk]:[Dec Opp./Risk]])</f>
        <v>-400</v>
      </c>
      <c r="BP108" s="90" t="s">
        <v>534</v>
      </c>
      <c r="BQ108" s="47">
        <f>SUM(Financials2026[[#This Row],[Jan AC]:[Apr AC]])</f>
        <v>8000</v>
      </c>
      <c r="BS108" s="6"/>
      <c r="BT108" s="6"/>
      <c r="BU108" s="6"/>
      <c r="BV108" s="6"/>
      <c r="BW108" s="6"/>
      <c r="BX108" s="6"/>
    </row>
    <row r="109" spans="1:76" hidden="1" x14ac:dyDescent="0.35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72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67"/>
        <v>3000</v>
      </c>
      <c r="X109" s="15">
        <f t="shared" si="57"/>
        <v>-150</v>
      </c>
      <c r="Y109" s="15">
        <f t="shared" si="73"/>
        <v>0</v>
      </c>
      <c r="Z109" s="15">
        <f>SUM(Financials2026[[#This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SUM(Financials2026[[#This Row],[Jan FC]:[Dec FC]])</f>
        <v>3150</v>
      </c>
      <c r="AO109" s="15">
        <f t="shared" si="55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SUM(Financials2026[[#This Row],[Jan AC]:[Dec AC]])</f>
        <v>3000</v>
      </c>
      <c r="BC109" s="71">
        <f>Financials2026[[#This Row],[Jan AC]]-Financials2026[[#This Row],[Jan FC]]</f>
        <v>0</v>
      </c>
      <c r="BD109" s="71">
        <f>Financials2026[[#This Row],[Feb AC]]-Financials2026[[#This Row],[Feb FC]]</f>
        <v>-150</v>
      </c>
      <c r="BE109" s="71">
        <f>Financials2026[[#This Row],[Mar AC]]-Financials2026[[#This Row],[Mar FC]]</f>
        <v>0</v>
      </c>
      <c r="BF109" s="71">
        <f>Financials2026[[#This Row],[Apr AC]]-Financials2026[[#This Row],[Apr FC]]</f>
        <v>0</v>
      </c>
      <c r="BG109" s="71">
        <f>Financials2026[[#This Row],[May AC]]-Financials2026[[#This Row],[May FC]]</f>
        <v>0</v>
      </c>
      <c r="BH109" s="71">
        <f>Financials2026[[#This Row],[Jun AC]]-Financials2026[[#This Row],[Jun FC]]</f>
        <v>0</v>
      </c>
      <c r="BI109" s="71">
        <f>Financials2026[[#This Row],[Jul AC]]-Financials2026[[#This Row],[Jul FC]]</f>
        <v>0</v>
      </c>
      <c r="BJ109" s="71">
        <f>Financials2026[[#This Row],[Aug AC]]-Financials2026[[#This Row],[Aug FC]]</f>
        <v>0</v>
      </c>
      <c r="BK109" s="71">
        <f>Financials2026[[#This Row],[Sep AC]]-Financials2026[[#This Row],[Sep FC]]</f>
        <v>0</v>
      </c>
      <c r="BL109" s="71">
        <f>Financials2026[[#This Row],[Oct AC]]-Financials2026[[#This Row],[Oct FC]]</f>
        <v>0</v>
      </c>
      <c r="BM109" s="71">
        <f>Financials2026[[#This Row],[Nov AC]]-Financials2026[[#This Row],[Nov FC]]</f>
        <v>0</v>
      </c>
      <c r="BN109" s="71">
        <f>Financials2026[[#This Row],[Dec AC]]-Financials2026[[#This Row],[Dec FC]]</f>
        <v>0</v>
      </c>
      <c r="BO109" s="71">
        <f>SUM(Financials2026[[#This Row],[Jan Opp/Risk]:[Dec Opp./Risk]])</f>
        <v>-150</v>
      </c>
      <c r="BP109" s="90" t="s">
        <v>534</v>
      </c>
      <c r="BQ109" s="47">
        <f>SUM(Financials2026[[#This Row],[Jan AC]:[Apr AC]])</f>
        <v>3000</v>
      </c>
      <c r="BS109" s="6"/>
      <c r="BT109" s="6"/>
      <c r="BU109" s="6"/>
      <c r="BV109" s="6"/>
      <c r="BW109" s="6"/>
      <c r="BX109" s="6"/>
    </row>
    <row r="110" spans="1:76" hidden="1" x14ac:dyDescent="0.35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72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67"/>
        <v>0</v>
      </c>
      <c r="X110" s="15">
        <f t="shared" si="57"/>
        <v>-1674</v>
      </c>
      <c r="Y110" s="15">
        <f t="shared" si="73"/>
        <v>0</v>
      </c>
      <c r="Z110" s="15">
        <f>SUM(Financials2026[[#This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SUM(Financials2026[[#This Row],[Jan FC]:[Dec FC]])</f>
        <v>0</v>
      </c>
      <c r="AO110" s="15">
        <f t="shared" si="55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SUM(Financials2026[[#This Row],[Jan AC]:[Dec AC]])</f>
        <v>0</v>
      </c>
      <c r="BC110" s="71">
        <f>Financials2026[[#This Row],[Jan AC]]-Financials2026[[#This Row],[Jan FC]]</f>
        <v>0</v>
      </c>
      <c r="BD110" s="71">
        <f>Financials2026[[#This Row],[Feb AC]]-Financials2026[[#This Row],[Feb FC]]</f>
        <v>0</v>
      </c>
      <c r="BE110" s="71">
        <f>Financials2026[[#This Row],[Mar AC]]-Financials2026[[#This Row],[Mar FC]]</f>
        <v>0</v>
      </c>
      <c r="BF110" s="71">
        <f>Financials2026[[#This Row],[Apr AC]]-Financials2026[[#This Row],[Apr FC]]</f>
        <v>0</v>
      </c>
      <c r="BG110" s="71">
        <f>Financials2026[[#This Row],[May AC]]-Financials2026[[#This Row],[May FC]]</f>
        <v>0</v>
      </c>
      <c r="BH110" s="71">
        <f>Financials2026[[#This Row],[Jun AC]]-Financials2026[[#This Row],[Jun FC]]</f>
        <v>0</v>
      </c>
      <c r="BI110" s="71">
        <f>Financials2026[[#This Row],[Jul AC]]-Financials2026[[#This Row],[Jul FC]]</f>
        <v>0</v>
      </c>
      <c r="BJ110" s="71">
        <f>Financials2026[[#This Row],[Aug AC]]-Financials2026[[#This Row],[Aug FC]]</f>
        <v>0</v>
      </c>
      <c r="BK110" s="71">
        <f>Financials2026[[#This Row],[Sep AC]]-Financials2026[[#This Row],[Sep FC]]</f>
        <v>0</v>
      </c>
      <c r="BL110" s="71">
        <f>Financials2026[[#This Row],[Oct AC]]-Financials2026[[#This Row],[Oct FC]]</f>
        <v>0</v>
      </c>
      <c r="BM110" s="71">
        <f>Financials2026[[#This Row],[Nov AC]]-Financials2026[[#This Row],[Nov FC]]</f>
        <v>0</v>
      </c>
      <c r="BN110" s="71">
        <f>Financials2026[[#This Row],[Dec AC]]-Financials2026[[#This Row],[Dec FC]]</f>
        <v>0</v>
      </c>
      <c r="BO110" s="71">
        <f>SUM(Financials2026[[#This Row],[Jan Opp/Risk]:[Dec Opp./Risk]])</f>
        <v>0</v>
      </c>
      <c r="BP110" s="3" t="s">
        <v>555</v>
      </c>
      <c r="BQ110" s="47">
        <f>SUM(Financials2026[[#This Row],[Jan AC]:[Apr AC]])</f>
        <v>0</v>
      </c>
      <c r="BS110" s="6"/>
      <c r="BT110" s="6"/>
      <c r="BU110" s="6"/>
      <c r="BV110" s="6"/>
      <c r="BW110" s="6"/>
      <c r="BX110" s="6"/>
    </row>
    <row r="111" spans="1:76" hidden="1" x14ac:dyDescent="0.35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72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67"/>
        <v>19510.98</v>
      </c>
      <c r="X111" s="15">
        <f t="shared" si="57"/>
        <v>0</v>
      </c>
      <c r="Y111" s="15">
        <f t="shared" si="73"/>
        <v>645.97999999999956</v>
      </c>
      <c r="Z111" s="15">
        <f>SUM(Financials2026[[#This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SUM(Financials2026[[#This Row],[Jan FC]:[Dec FC]])</f>
        <v>18864.900000000001</v>
      </c>
      <c r="AO111" s="15">
        <f t="shared" si="55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SUM(Financials2026[[#This Row],[Jan AC]:[Dec AC]])</f>
        <v>6681.98</v>
      </c>
      <c r="BC111" s="71">
        <f>Financials2026[[#This Row],[Jan AC]]-Financials2026[[#This Row],[Jan FC]]</f>
        <v>0</v>
      </c>
      <c r="BD111" s="71">
        <f>Financials2026[[#This Row],[Feb AC]]-Financials2026[[#This Row],[Feb FC]]</f>
        <v>0</v>
      </c>
      <c r="BE111" s="71">
        <f>Financials2026[[#This Row],[Mar AC]]-Financials2026[[#This Row],[Mar FC]]</f>
        <v>323.32999999999993</v>
      </c>
      <c r="BF111" s="71">
        <f>Financials2026[[#This Row],[Apr AC]]-Financials2026[[#This Row],[Apr FC]]</f>
        <v>322.75</v>
      </c>
      <c r="BG111" s="71">
        <f>Financials2026[[#This Row],[May AC]]-Financials2026[[#This Row],[May FC]]</f>
        <v>-1500</v>
      </c>
      <c r="BH111" s="71">
        <f>Financials2026[[#This Row],[Jun AC]]-Financials2026[[#This Row],[Jun FC]]</f>
        <v>-1500</v>
      </c>
      <c r="BI111" s="71">
        <f>Financials2026[[#This Row],[Jul AC]]-Financials2026[[#This Row],[Jul FC]]</f>
        <v>-1500</v>
      </c>
      <c r="BJ111" s="71">
        <f>Financials2026[[#This Row],[Aug AC]]-Financials2026[[#This Row],[Aug FC]]</f>
        <v>-1500</v>
      </c>
      <c r="BK111" s="71">
        <f>Financials2026[[#This Row],[Sep AC]]-Financials2026[[#This Row],[Sep FC]]</f>
        <v>-1500</v>
      </c>
      <c r="BL111" s="71">
        <f>Financials2026[[#This Row],[Oct AC]]-Financials2026[[#This Row],[Oct FC]]</f>
        <v>-1500</v>
      </c>
      <c r="BM111" s="71">
        <f>Financials2026[[#This Row],[Nov AC]]-Financials2026[[#This Row],[Nov FC]]</f>
        <v>-1500</v>
      </c>
      <c r="BN111" s="71">
        <f>Financials2026[[#This Row],[Dec AC]]-Financials2026[[#This Row],[Dec FC]]</f>
        <v>-2329</v>
      </c>
      <c r="BO111" s="71">
        <f>SUM(Financials2026[[#This Row],[Jan Opp/Risk]:[Dec Opp./Risk]])</f>
        <v>-12182.92</v>
      </c>
      <c r="BP111" s="90" t="s">
        <v>534</v>
      </c>
      <c r="BQ111" s="47">
        <f>SUM(Financials2026[[#This Row],[Jan AC]:[Apr AC]])</f>
        <v>6681.98</v>
      </c>
      <c r="BS111" s="6"/>
      <c r="BT111" s="6"/>
      <c r="BU111" s="6"/>
      <c r="BV111" s="6"/>
      <c r="BW111" s="6"/>
      <c r="BX111" s="6"/>
    </row>
    <row r="112" spans="1:76" hidden="1" x14ac:dyDescent="0.35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72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67"/>
        <v>33853.833333333336</v>
      </c>
      <c r="X112" s="15">
        <f t="shared" si="57"/>
        <v>-683.16666666666424</v>
      </c>
      <c r="Y112" s="15">
        <f t="shared" si="73"/>
        <v>0</v>
      </c>
      <c r="Z112" s="15">
        <f>SUM(Financials2026[[#This Row],[2026 Opportunity]:[2026 Risk]])</f>
        <v>-683.16666666666424</v>
      </c>
      <c r="AA112" s="3"/>
      <c r="AB112" s="52">
        <f>Financials2026[[#This Row],[2026 Final Budget]]/12</f>
        <v>2878.0833333333335</v>
      </c>
      <c r="AC112" s="52">
        <f>Financials2026[[#This Row],[2026 Final Budget]]/12</f>
        <v>2878.0833333333335</v>
      </c>
      <c r="AD112" s="52">
        <f>Financials2026[[#This Row],[2026 Final Budget]]/12</f>
        <v>2878.0833333333335</v>
      </c>
      <c r="AE112" s="52">
        <f>Financials2026[[#This Row],[2026 Final Budget]]/12</f>
        <v>2878.0833333333335</v>
      </c>
      <c r="AF112" s="52">
        <f>Financials2026[[#This Row],[2026 Final Budget]]/12</f>
        <v>2878.0833333333335</v>
      </c>
      <c r="AG112" s="52">
        <f>Financials2026[[#This Row],[2026 Final Budget]]/12</f>
        <v>2878.0833333333335</v>
      </c>
      <c r="AH112" s="52">
        <f>Financials2026[[#This Row],[2026 Final Budget]]/12</f>
        <v>2878.0833333333335</v>
      </c>
      <c r="AI112" s="52">
        <f>Financials2026[[#This Row],[2026 Final Budget]]/12</f>
        <v>2878.0833333333335</v>
      </c>
      <c r="AJ112" s="52">
        <f>Financials2026[[#This Row],[2026 Final Budget]]/12</f>
        <v>2878.0833333333335</v>
      </c>
      <c r="AK112" s="52">
        <f>Financials2026[[#This Row],[2026 Final Budget]]/12</f>
        <v>2878.0833333333335</v>
      </c>
      <c r="AL112" s="52">
        <f>Financials2026[[#This Row],[2026 Final Budget]]/12</f>
        <v>2878.0833333333335</v>
      </c>
      <c r="AM112" s="52">
        <f>Financials2026[[#This Row],[2026 Final Budget]]/12</f>
        <v>2878.0833333333335</v>
      </c>
      <c r="AN112" s="75">
        <f>SUM(Financials2026[[#This Row],[Jan FC]:[Dec FC]])</f>
        <v>34536.999999999993</v>
      </c>
      <c r="AO112" s="15">
        <f t="shared" si="55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SUM(Financials2026[[#This Row],[Jan AC]:[Dec AC]])</f>
        <v>13707.25</v>
      </c>
      <c r="BC112" s="71">
        <f>Financials2026[[#This Row],[Jan AC]]-Financials2026[[#This Row],[Jan FC]]</f>
        <v>-136.63333333333367</v>
      </c>
      <c r="BD112" s="71">
        <f>Financials2026[[#This Row],[Feb AC]]-Financials2026[[#This Row],[Feb FC]]</f>
        <v>-136.63333333333367</v>
      </c>
      <c r="BE112" s="71">
        <f>Financials2026[[#This Row],[Mar AC]]-Financials2026[[#This Row],[Mar FC]]</f>
        <v>-136.63333333333367</v>
      </c>
      <c r="BF112" s="71">
        <f>Financials2026[[#This Row],[Apr AC]]-Financials2026[[#This Row],[Apr FC]]</f>
        <v>-136.63333333333367</v>
      </c>
      <c r="BG112" s="71">
        <f>Financials2026[[#This Row],[May AC]]-Financials2026[[#This Row],[May FC]]</f>
        <v>-136.63333333333367</v>
      </c>
      <c r="BH112" s="71">
        <f>Financials2026[[#This Row],[Jun AC]]-Financials2026[[#This Row],[Jun FC]]</f>
        <v>-2878.0833333333335</v>
      </c>
      <c r="BI112" s="71">
        <f>Financials2026[[#This Row],[Jul AC]]-Financials2026[[#This Row],[Jul FC]]</f>
        <v>-2878.0833333333335</v>
      </c>
      <c r="BJ112" s="71">
        <f>Financials2026[[#This Row],[Aug AC]]-Financials2026[[#This Row],[Aug FC]]</f>
        <v>-2878.0833333333335</v>
      </c>
      <c r="BK112" s="71">
        <f>Financials2026[[#This Row],[Sep AC]]-Financials2026[[#This Row],[Sep FC]]</f>
        <v>-2878.0833333333335</v>
      </c>
      <c r="BL112" s="71">
        <f>Financials2026[[#This Row],[Oct AC]]-Financials2026[[#This Row],[Oct FC]]</f>
        <v>-2878.0833333333335</v>
      </c>
      <c r="BM112" s="71">
        <f>Financials2026[[#This Row],[Nov AC]]-Financials2026[[#This Row],[Nov FC]]</f>
        <v>-2878.0833333333335</v>
      </c>
      <c r="BN112" s="71">
        <f>Financials2026[[#This Row],[Dec AC]]-Financials2026[[#This Row],[Dec FC]]</f>
        <v>-2878.0833333333335</v>
      </c>
      <c r="BO112" s="71">
        <f>SUM(Financials2026[[#This Row],[Jan Opp/Risk]:[Dec Opp./Risk]])</f>
        <v>-20829.750000000004</v>
      </c>
      <c r="BP112" s="90" t="s">
        <v>534</v>
      </c>
      <c r="BQ112" s="47">
        <f>SUM(Financials2026[[#This Row],[Jan AC]:[Apr AC]])</f>
        <v>10965.8</v>
      </c>
      <c r="BS112" s="6"/>
      <c r="BT112" s="6"/>
      <c r="BU112" s="6"/>
      <c r="BV112" s="6"/>
      <c r="BW112" s="6"/>
      <c r="BX112" s="6"/>
    </row>
    <row r="113" spans="1:76" hidden="1" x14ac:dyDescent="0.35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72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 t="shared" si="67"/>
        <v>407892.6966666666</v>
      </c>
      <c r="X113" s="15">
        <f t="shared" si="57"/>
        <v>-13820.378333333472</v>
      </c>
      <c r="Y113" s="15">
        <f t="shared" si="73"/>
        <v>0</v>
      </c>
      <c r="Z113" s="15">
        <f>SUM(Financials2026[[#This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SUM(Financials2026[[#This Row],[Jan FC]:[Dec FC]])</f>
        <v>421712.7533333333</v>
      </c>
      <c r="AO113" s="15">
        <f t="shared" si="55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SUM(Financials2026[[#This Row],[Jan AC]:[Dec AC]])</f>
        <v>122576.03</v>
      </c>
      <c r="BC113" s="71">
        <f>Financials2026[[#This Row],[Jan AC]]-Financials2026[[#This Row],[Jan FC]]</f>
        <v>0</v>
      </c>
      <c r="BD113" s="71">
        <f>Financials2026[[#This Row],[Feb AC]]-Financials2026[[#This Row],[Feb FC]]</f>
        <v>0</v>
      </c>
      <c r="BE113" s="71">
        <f>Financials2026[[#This Row],[Mar AC]]-Financials2026[[#This Row],[Mar FC]]</f>
        <v>-7111.1433333333371</v>
      </c>
      <c r="BF113" s="71">
        <f>Financials2026[[#This Row],[Apr AC]]-Financials2026[[#This Row],[Apr FC]]</f>
        <v>-6708.9133333333375</v>
      </c>
      <c r="BG113" s="71">
        <f>Financials2026[[#This Row],[May AC]]-Financials2026[[#This Row],[May FC]]</f>
        <v>-35143.583333333336</v>
      </c>
      <c r="BH113" s="71">
        <f>Financials2026[[#This Row],[Jun AC]]-Financials2026[[#This Row],[Jun FC]]</f>
        <v>-35143.583333333336</v>
      </c>
      <c r="BI113" s="71">
        <f>Financials2026[[#This Row],[Jul AC]]-Financials2026[[#This Row],[Jul FC]]</f>
        <v>-35143.583333333336</v>
      </c>
      <c r="BJ113" s="71">
        <f>Financials2026[[#This Row],[Aug AC]]-Financials2026[[#This Row],[Aug FC]]</f>
        <v>-35143.583333333336</v>
      </c>
      <c r="BK113" s="71">
        <f>Financials2026[[#This Row],[Sep AC]]-Financials2026[[#This Row],[Sep FC]]</f>
        <v>-35143.583333333336</v>
      </c>
      <c r="BL113" s="71">
        <f>Financials2026[[#This Row],[Oct AC]]-Financials2026[[#This Row],[Oct FC]]</f>
        <v>-35143.583333333336</v>
      </c>
      <c r="BM113" s="71">
        <f>Financials2026[[#This Row],[Nov AC]]-Financials2026[[#This Row],[Nov FC]]</f>
        <v>-35143.583333333336</v>
      </c>
      <c r="BN113" s="71">
        <f>Financials2026[[#This Row],[Dec AC]]-Financials2026[[#This Row],[Dec FC]]</f>
        <v>-39311.583333333299</v>
      </c>
      <c r="BO113" s="71">
        <f>SUM(Financials2026[[#This Row],[Jan Opp/Risk]:[Dec Opp./Risk]])</f>
        <v>-299136.72333333339</v>
      </c>
      <c r="BP113" s="91"/>
      <c r="BQ113" s="47">
        <f>SUM(Financials2026[[#This Row],[Jan AC]:[Apr AC]])</f>
        <v>122576.03</v>
      </c>
      <c r="BS113" s="6"/>
      <c r="BT113" s="6"/>
      <c r="BU113" s="6"/>
      <c r="BV113" s="6"/>
      <c r="BW113" s="6"/>
      <c r="BX113" s="6"/>
    </row>
    <row r="114" spans="1:76" hidden="1" x14ac:dyDescent="0.35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72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67"/>
        <v>4982.8</v>
      </c>
      <c r="X114" s="15">
        <f t="shared" si="57"/>
        <v>0</v>
      </c>
      <c r="Y114" s="15">
        <f t="shared" si="73"/>
        <v>573.80000000000018</v>
      </c>
      <c r="Z114" s="15">
        <f>SUM(Financials2026[[#This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SUM(Financials2026[[#This Row],[Jan FC]:[Dec FC]])</f>
        <v>4409</v>
      </c>
      <c r="AO114" s="15">
        <f t="shared" si="55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SUM(Financials2026[[#This Row],[Jan AC]:[Dec AC]])</f>
        <v>4982.8</v>
      </c>
      <c r="BC114" s="71">
        <f>Financials2026[[#This Row],[Jan AC]]-Financials2026[[#This Row],[Jan FC]]</f>
        <v>573.80000000000018</v>
      </c>
      <c r="BD114" s="71">
        <f>Financials2026[[#This Row],[Feb AC]]-Financials2026[[#This Row],[Feb FC]]</f>
        <v>0</v>
      </c>
      <c r="BE114" s="71">
        <f>Financials2026[[#This Row],[Mar AC]]-Financials2026[[#This Row],[Mar FC]]</f>
        <v>0</v>
      </c>
      <c r="BF114" s="71">
        <f>Financials2026[[#This Row],[Apr AC]]-Financials2026[[#This Row],[Apr FC]]</f>
        <v>0</v>
      </c>
      <c r="BG114" s="71">
        <f>Financials2026[[#This Row],[May AC]]-Financials2026[[#This Row],[May FC]]</f>
        <v>0</v>
      </c>
      <c r="BH114" s="71">
        <f>Financials2026[[#This Row],[Jun AC]]-Financials2026[[#This Row],[Jun FC]]</f>
        <v>0</v>
      </c>
      <c r="BI114" s="71">
        <f>Financials2026[[#This Row],[Jul AC]]-Financials2026[[#This Row],[Jul FC]]</f>
        <v>0</v>
      </c>
      <c r="BJ114" s="71">
        <f>Financials2026[[#This Row],[Aug AC]]-Financials2026[[#This Row],[Aug FC]]</f>
        <v>0</v>
      </c>
      <c r="BK114" s="71">
        <f>Financials2026[[#This Row],[Sep AC]]-Financials2026[[#This Row],[Sep FC]]</f>
        <v>0</v>
      </c>
      <c r="BL114" s="71">
        <f>Financials2026[[#This Row],[Oct AC]]-Financials2026[[#This Row],[Oct FC]]</f>
        <v>0</v>
      </c>
      <c r="BM114" s="71">
        <f>Financials2026[[#This Row],[Nov AC]]-Financials2026[[#This Row],[Nov FC]]</f>
        <v>0</v>
      </c>
      <c r="BN114" s="71">
        <f>Financials2026[[#This Row],[Dec AC]]-Financials2026[[#This Row],[Dec FC]]</f>
        <v>0</v>
      </c>
      <c r="BO114" s="71">
        <f>SUM(Financials2026[[#This Row],[Jan Opp/Risk]:[Dec Opp./Risk]])</f>
        <v>573.80000000000018</v>
      </c>
      <c r="BP114" s="90" t="s">
        <v>534</v>
      </c>
      <c r="BQ114" s="47">
        <f>SUM(Financials2026[[#This Row],[Jan AC]:[Apr AC]])</f>
        <v>4982.8</v>
      </c>
      <c r="BS114" s="6"/>
      <c r="BT114" s="6"/>
      <c r="BU114" s="6"/>
      <c r="BV114" s="6"/>
      <c r="BW114" s="6"/>
      <c r="BX114" s="6"/>
    </row>
    <row r="115" spans="1:76" hidden="1" x14ac:dyDescent="0.35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72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67"/>
        <v>359</v>
      </c>
      <c r="X115" s="15">
        <f t="shared" si="57"/>
        <v>0</v>
      </c>
      <c r="Y115" s="15">
        <f t="shared" si="73"/>
        <v>0</v>
      </c>
      <c r="Z115" s="15">
        <f>SUM(Financials2026[[#This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SUM(Financials2026[[#This Row],[Jan FC]:[Dec FC]])</f>
        <v>359</v>
      </c>
      <c r="AO115" s="15">
        <f t="shared" si="55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SUM(Financials2026[[#This Row],[Jan AC]:[Dec AC]])</f>
        <v>0</v>
      </c>
      <c r="BC115" s="71">
        <f>Financials2026[[#This Row],[Jan AC]]-Financials2026[[#This Row],[Jan FC]]</f>
        <v>0</v>
      </c>
      <c r="BD115" s="71">
        <f>Financials2026[[#This Row],[Feb AC]]-Financials2026[[#This Row],[Feb FC]]</f>
        <v>0</v>
      </c>
      <c r="BE115" s="71">
        <f>Financials2026[[#This Row],[Mar AC]]-Financials2026[[#This Row],[Mar FC]]</f>
        <v>-359</v>
      </c>
      <c r="BF115" s="71">
        <f>Financials2026[[#This Row],[Apr AC]]-Financials2026[[#This Row],[Apr FC]]</f>
        <v>0</v>
      </c>
      <c r="BG115" s="71">
        <f>Financials2026[[#This Row],[May AC]]-Financials2026[[#This Row],[May FC]]</f>
        <v>0</v>
      </c>
      <c r="BH115" s="71">
        <f>Financials2026[[#This Row],[Jun AC]]-Financials2026[[#This Row],[Jun FC]]</f>
        <v>0</v>
      </c>
      <c r="BI115" s="71">
        <f>Financials2026[[#This Row],[Jul AC]]-Financials2026[[#This Row],[Jul FC]]</f>
        <v>0</v>
      </c>
      <c r="BJ115" s="71">
        <f>Financials2026[[#This Row],[Aug AC]]-Financials2026[[#This Row],[Aug FC]]</f>
        <v>0</v>
      </c>
      <c r="BK115" s="71">
        <f>Financials2026[[#This Row],[Sep AC]]-Financials2026[[#This Row],[Sep FC]]</f>
        <v>0</v>
      </c>
      <c r="BL115" s="71">
        <f>Financials2026[[#This Row],[Oct AC]]-Financials2026[[#This Row],[Oct FC]]</f>
        <v>0</v>
      </c>
      <c r="BM115" s="71">
        <f>Financials2026[[#This Row],[Nov AC]]-Financials2026[[#This Row],[Nov FC]]</f>
        <v>0</v>
      </c>
      <c r="BN115" s="71">
        <f>Financials2026[[#This Row],[Dec AC]]-Financials2026[[#This Row],[Dec FC]]</f>
        <v>0</v>
      </c>
      <c r="BO115" s="71">
        <f>SUM(Financials2026[[#This Row],[Jan Opp/Risk]:[Dec Opp./Risk]])</f>
        <v>-359</v>
      </c>
      <c r="BP115" s="90"/>
      <c r="BQ115" s="47">
        <f>SUM(Financials2026[[#This Row],[Jan AC]:[Apr AC]])</f>
        <v>0</v>
      </c>
      <c r="BS115" s="6"/>
      <c r="BT115" s="6"/>
      <c r="BU115" s="6"/>
      <c r="BV115" s="6"/>
      <c r="BW115" s="6"/>
      <c r="BX115" s="6"/>
    </row>
    <row r="116" spans="1:76" hidden="1" x14ac:dyDescent="0.35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72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67"/>
        <v>67964.899999999994</v>
      </c>
      <c r="X116" s="15">
        <f t="shared" si="57"/>
        <v>0</v>
      </c>
      <c r="Y116" s="15">
        <f t="shared" si="73"/>
        <v>494.89999999999418</v>
      </c>
      <c r="Z116" s="15">
        <f>SUM(Financials2026[[#This Row],[2026 Opportunity]:[2026 Risk]])</f>
        <v>494.89999999999418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>
        <v>-13</v>
      </c>
      <c r="AN116" s="75">
        <f>SUM(Financials2026[[#This Row],[Jan FC]:[Dec FC]])</f>
        <v>67467.649999999994</v>
      </c>
      <c r="AO116" s="15">
        <f t="shared" si="55"/>
        <v>33722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SUM(Financials2026[[#This Row],[Jan AC]:[Dec AC]])</f>
        <v>34242.9</v>
      </c>
      <c r="BC116" s="71">
        <f>Financials2026[[#This Row],[Jan AC]]-Financials2026[[#This Row],[Jan FC]]</f>
        <v>0</v>
      </c>
      <c r="BD116" s="71">
        <f>Financials2026[[#This Row],[Feb AC]]-Financials2026[[#This Row],[Feb FC]]</f>
        <v>0</v>
      </c>
      <c r="BE116" s="71">
        <f>Financials2026[[#This Row],[Mar AC]]-Financials2026[[#This Row],[Mar FC]]</f>
        <v>0</v>
      </c>
      <c r="BF116" s="71">
        <f>Financials2026[[#This Row],[Apr AC]]-Financials2026[[#This Row],[Apr FC]]</f>
        <v>497.25</v>
      </c>
      <c r="BG116" s="71">
        <f>Financials2026[[#This Row],[May AC]]-Financials2026[[#This Row],[May FC]]</f>
        <v>0</v>
      </c>
      <c r="BH116" s="71">
        <f>Financials2026[[#This Row],[Jun AC]]-Financials2026[[#This Row],[Jun FC]]</f>
        <v>0</v>
      </c>
      <c r="BI116" s="71">
        <f>Financials2026[[#This Row],[Jul AC]]-Financials2026[[#This Row],[Jul FC]]</f>
        <v>-16867.5</v>
      </c>
      <c r="BJ116" s="71">
        <f>Financials2026[[#This Row],[Aug AC]]-Financials2026[[#This Row],[Aug FC]]</f>
        <v>0</v>
      </c>
      <c r="BK116" s="71">
        <f>Financials2026[[#This Row],[Sep AC]]-Financials2026[[#This Row],[Sep FC]]</f>
        <v>0</v>
      </c>
      <c r="BL116" s="71">
        <f>Financials2026[[#This Row],[Oct AC]]-Financials2026[[#This Row],[Oct FC]]</f>
        <v>-16867.5</v>
      </c>
      <c r="BM116" s="71">
        <f>Financials2026[[#This Row],[Nov AC]]-Financials2026[[#This Row],[Nov FC]]</f>
        <v>0</v>
      </c>
      <c r="BN116" s="71">
        <f>Financials2026[[#This Row],[Dec AC]]-Financials2026[[#This Row],[Dec FC]]</f>
        <v>13</v>
      </c>
      <c r="BO116" s="71">
        <f>SUM(Financials2026[[#This Row],[Jan Opp/Risk]:[Dec Opp./Risk]])</f>
        <v>-33224.75</v>
      </c>
      <c r="BP116" s="90"/>
      <c r="BQ116" s="47">
        <f>SUM(Financials2026[[#This Row],[Jan AC]:[Apr AC]])</f>
        <v>34242.9</v>
      </c>
      <c r="BS116" s="6"/>
      <c r="BT116" s="6"/>
      <c r="BU116" s="6"/>
      <c r="BV116" s="6"/>
      <c r="BW116" s="6"/>
      <c r="BX116" s="6"/>
    </row>
    <row r="117" spans="1:76" hidden="1" x14ac:dyDescent="0.35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72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67"/>
        <v>25000</v>
      </c>
      <c r="X117" s="15">
        <f t="shared" si="57"/>
        <v>0</v>
      </c>
      <c r="Y117" s="15">
        <f t="shared" si="73"/>
        <v>0</v>
      </c>
      <c r="Z117" s="15">
        <f>SUM(Financials2026[[#This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SUM(Financials2026[[#This Row],[Jan FC]:[Dec FC]])</f>
        <v>25000</v>
      </c>
      <c r="AO117" s="15">
        <f t="shared" si="55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SUM(Financials2026[[#This Row],[Jan AC]:[Dec AC]])</f>
        <v>0</v>
      </c>
      <c r="BC117" s="71">
        <f>Financials2026[[#This Row],[Jan AC]]-Financials2026[[#This Row],[Jan FC]]</f>
        <v>0</v>
      </c>
      <c r="BD117" s="71">
        <f>Financials2026[[#This Row],[Feb AC]]-Financials2026[[#This Row],[Feb FC]]</f>
        <v>0</v>
      </c>
      <c r="BE117" s="71">
        <f>Financials2026[[#This Row],[Mar AC]]-Financials2026[[#This Row],[Mar FC]]</f>
        <v>0</v>
      </c>
      <c r="BF117" s="71">
        <f>Financials2026[[#This Row],[Apr AC]]-Financials2026[[#This Row],[Apr FC]]</f>
        <v>0</v>
      </c>
      <c r="BG117" s="71">
        <f>Financials2026[[#This Row],[May AC]]-Financials2026[[#This Row],[May FC]]</f>
        <v>0</v>
      </c>
      <c r="BH117" s="71">
        <f>Financials2026[[#This Row],[Jun AC]]-Financials2026[[#This Row],[Jun FC]]</f>
        <v>0</v>
      </c>
      <c r="BI117" s="71">
        <f>Financials2026[[#This Row],[Jul AC]]-Financials2026[[#This Row],[Jul FC]]</f>
        <v>0</v>
      </c>
      <c r="BJ117" s="71">
        <f>Financials2026[[#This Row],[Aug AC]]-Financials2026[[#This Row],[Aug FC]]</f>
        <v>0</v>
      </c>
      <c r="BK117" s="71">
        <f>Financials2026[[#This Row],[Sep AC]]-Financials2026[[#This Row],[Sep FC]]</f>
        <v>0</v>
      </c>
      <c r="BL117" s="71">
        <f>Financials2026[[#This Row],[Oct AC]]-Financials2026[[#This Row],[Oct FC]]</f>
        <v>0</v>
      </c>
      <c r="BM117" s="71">
        <f>Financials2026[[#This Row],[Nov AC]]-Financials2026[[#This Row],[Nov FC]]</f>
        <v>-25000</v>
      </c>
      <c r="BN117" s="71">
        <f>Financials2026[[#This Row],[Dec AC]]-Financials2026[[#This Row],[Dec FC]]</f>
        <v>0</v>
      </c>
      <c r="BO117" s="71">
        <f>SUM(Financials2026[[#This Row],[Jan Opp/Risk]:[Dec Opp./Risk]])</f>
        <v>-25000</v>
      </c>
      <c r="BP117" s="90"/>
      <c r="BQ117" s="47">
        <f>SUM(Financials2026[[#This Row],[Jan AC]:[Apr AC]])</f>
        <v>0</v>
      </c>
      <c r="BS117" s="6"/>
      <c r="BT117" s="6"/>
      <c r="BU117" s="6"/>
      <c r="BV117" s="6"/>
      <c r="BW117" s="6"/>
      <c r="BX117" s="6"/>
    </row>
    <row r="118" spans="1:76" hidden="1" x14ac:dyDescent="0.35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72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67"/>
        <v>25341.853333333336</v>
      </c>
      <c r="X118" s="15">
        <f t="shared" si="57"/>
        <v>-9304.1466666666638</v>
      </c>
      <c r="Y118" s="15">
        <f t="shared" si="73"/>
        <v>0</v>
      </c>
      <c r="Z118" s="15">
        <f>SUM(Financials2026[[#This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SUM(Financials2026[[#This Row],[Jan FC]:[Dec FC]])</f>
        <v>34646.000000000007</v>
      </c>
      <c r="AO118" s="15">
        <f t="shared" si="55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SUM(Financials2026[[#This Row],[Jan AC]:[Dec AC]])</f>
        <v>2244.52</v>
      </c>
      <c r="BC118" s="71">
        <f>Financials2026[[#This Row],[Jan AC]]-Financials2026[[#This Row],[Jan FC]]</f>
        <v>-1915.6466666666665</v>
      </c>
      <c r="BD118" s="71">
        <f>Financials2026[[#This Row],[Feb AC]]-Financials2026[[#This Row],[Feb FC]]</f>
        <v>-2744.7966666666666</v>
      </c>
      <c r="BE118" s="71">
        <f>Financials2026[[#This Row],[Mar AC]]-Financials2026[[#This Row],[Mar FC]]</f>
        <v>-2537.5566666666664</v>
      </c>
      <c r="BF118" s="71">
        <f>Financials2026[[#This Row],[Apr AC]]-Financials2026[[#This Row],[Apr FC]]</f>
        <v>-2106.1466666666665</v>
      </c>
      <c r="BG118" s="71">
        <f>Financials2026[[#This Row],[May AC]]-Financials2026[[#This Row],[May FC]]</f>
        <v>-2887.1666666666665</v>
      </c>
      <c r="BH118" s="71">
        <f>Financials2026[[#This Row],[Jun AC]]-Financials2026[[#This Row],[Jun FC]]</f>
        <v>-2887.1666666666665</v>
      </c>
      <c r="BI118" s="71">
        <f>Financials2026[[#This Row],[Jul AC]]-Financials2026[[#This Row],[Jul FC]]</f>
        <v>-2887.1666666666665</v>
      </c>
      <c r="BJ118" s="71">
        <f>Financials2026[[#This Row],[Aug AC]]-Financials2026[[#This Row],[Aug FC]]</f>
        <v>-2887.1666666666665</v>
      </c>
      <c r="BK118" s="71">
        <f>Financials2026[[#This Row],[Sep AC]]-Financials2026[[#This Row],[Sep FC]]</f>
        <v>-2887.1666666666665</v>
      </c>
      <c r="BL118" s="71">
        <f>Financials2026[[#This Row],[Oct AC]]-Financials2026[[#This Row],[Oct FC]]</f>
        <v>-2887.1666666666665</v>
      </c>
      <c r="BM118" s="71">
        <f>Financials2026[[#This Row],[Nov AC]]-Financials2026[[#This Row],[Nov FC]]</f>
        <v>-2887.1666666666665</v>
      </c>
      <c r="BN118" s="71">
        <f>Financials2026[[#This Row],[Dec AC]]-Financials2026[[#This Row],[Dec FC]]</f>
        <v>-2887.1666666666665</v>
      </c>
      <c r="BO118" s="71">
        <f>SUM(Financials2026[[#This Row],[Jan Opp/Risk]:[Dec Opp./Risk]])</f>
        <v>-32401.480000000003</v>
      </c>
      <c r="BP118" s="90" t="s">
        <v>831</v>
      </c>
      <c r="BQ118" s="47">
        <f>SUM(Financials2026[[#This Row],[Jan AC]:[Apr AC]])</f>
        <v>2244.52</v>
      </c>
      <c r="BS118" s="6"/>
      <c r="BT118" s="6"/>
      <c r="BU118" s="6"/>
      <c r="BV118" s="6"/>
      <c r="BW118" s="6"/>
      <c r="BX118" s="6"/>
    </row>
    <row r="119" spans="1:76" hidden="1" x14ac:dyDescent="0.35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72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67"/>
        <v>15583.84</v>
      </c>
      <c r="X119" s="15">
        <f t="shared" si="57"/>
        <v>0</v>
      </c>
      <c r="Y119" s="15">
        <f t="shared" si="73"/>
        <v>15583.84</v>
      </c>
      <c r="Z119" s="15">
        <f>SUM(Financials2026[[#This Row],[2026 Opportunity]:[2026 Risk]])</f>
        <v>15583.84</v>
      </c>
      <c r="AA119" s="3" t="s">
        <v>907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SUM(Financials2026[[#This Row],[Jan FC]:[Dec FC]])</f>
        <v>0</v>
      </c>
      <c r="AO119" s="15">
        <f t="shared" si="55"/>
        <v>0</v>
      </c>
      <c r="AP119" s="61">
        <v>0</v>
      </c>
      <c r="AQ119" s="61">
        <v>0</v>
      </c>
      <c r="AR119" s="61">
        <f>5153.97+1278.65+336.91</f>
        <v>6769.5300000000007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SUM(Financials2026[[#This Row],[Jan AC]:[Dec AC]])</f>
        <v>23348.62</v>
      </c>
      <c r="BC119" s="71">
        <f>Financials2026[[#This Row],[Jan AC]]-Financials2026[[#This Row],[Jan FC]]</f>
        <v>0</v>
      </c>
      <c r="BD119" s="71">
        <f>Financials2026[[#This Row],[Feb AC]]-Financials2026[[#This Row],[Feb FC]]</f>
        <v>0</v>
      </c>
      <c r="BE119" s="71">
        <f>Financials2026[[#This Row],[Mar AC]]-Financials2026[[#This Row],[Mar FC]]</f>
        <v>6769.5300000000007</v>
      </c>
      <c r="BF119" s="71">
        <f>Financials2026[[#This Row],[Apr AC]]-Financials2026[[#This Row],[Apr FC]]</f>
        <v>8814.31</v>
      </c>
      <c r="BG119" s="71">
        <f>Financials2026[[#This Row],[May AC]]-Financials2026[[#This Row],[May FC]]</f>
        <v>0</v>
      </c>
      <c r="BH119" s="71">
        <f>Financials2026[[#This Row],[Jun AC]]-Financials2026[[#This Row],[Jun FC]]</f>
        <v>7764.78</v>
      </c>
      <c r="BI119" s="71">
        <f>Financials2026[[#This Row],[Jul AC]]-Financials2026[[#This Row],[Jul FC]]</f>
        <v>0</v>
      </c>
      <c r="BJ119" s="71">
        <f>Financials2026[[#This Row],[Aug AC]]-Financials2026[[#This Row],[Aug FC]]</f>
        <v>0</v>
      </c>
      <c r="BK119" s="71">
        <f>Financials2026[[#This Row],[Sep AC]]-Financials2026[[#This Row],[Sep FC]]</f>
        <v>0</v>
      </c>
      <c r="BL119" s="71">
        <f>Financials2026[[#This Row],[Oct AC]]-Financials2026[[#This Row],[Oct FC]]</f>
        <v>0</v>
      </c>
      <c r="BM119" s="71">
        <f>Financials2026[[#This Row],[Nov AC]]-Financials2026[[#This Row],[Nov FC]]</f>
        <v>0</v>
      </c>
      <c r="BN119" s="71">
        <f>Financials2026[[#This Row],[Dec AC]]-Financials2026[[#This Row],[Dec FC]]</f>
        <v>0</v>
      </c>
      <c r="BO119" s="71">
        <f>SUM(Financials2026[[#This Row],[Jan Opp/Risk]:[Dec Opp./Risk]])</f>
        <v>23348.62</v>
      </c>
      <c r="BP119" s="90" t="s">
        <v>908</v>
      </c>
      <c r="BQ119" s="47">
        <f>SUM(Financials2026[[#This Row],[Jan AC]:[Apr AC]])</f>
        <v>15583.84</v>
      </c>
      <c r="BS119" s="6"/>
      <c r="BT119" s="6"/>
      <c r="BU119" s="6"/>
      <c r="BV119" s="6"/>
      <c r="BW119" s="6"/>
      <c r="BX119" s="6"/>
    </row>
    <row r="120" spans="1:76" hidden="1" x14ac:dyDescent="0.35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72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67"/>
        <v>139.94</v>
      </c>
      <c r="X120" s="15">
        <f t="shared" si="57"/>
        <v>0</v>
      </c>
      <c r="Y120" s="15">
        <f t="shared" si="73"/>
        <v>139.94</v>
      </c>
      <c r="Z120" s="15">
        <f>SUM(Financials2026[[#This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SUM(Financials2026[[#This Row],[Jan FC]:[Dec FC]])</f>
        <v>0</v>
      </c>
      <c r="AO120" s="15">
        <f t="shared" si="55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SUM(Financials2026[[#This Row],[Jan AC]:[Dec AC]])</f>
        <v>139.94</v>
      </c>
      <c r="BC120" s="71">
        <f>Financials2026[[#This Row],[Jan AC]]-Financials2026[[#This Row],[Jan FC]]</f>
        <v>26.13</v>
      </c>
      <c r="BD120" s="71">
        <f>Financials2026[[#This Row],[Feb AC]]-Financials2026[[#This Row],[Feb FC]]</f>
        <v>24.41</v>
      </c>
      <c r="BE120" s="71">
        <f>Financials2026[[#This Row],[Mar AC]]-Financials2026[[#This Row],[Mar FC]]</f>
        <v>23.21</v>
      </c>
      <c r="BF120" s="71">
        <f>Financials2026[[#This Row],[Apr AC]]-Financials2026[[#This Row],[Apr FC]]</f>
        <v>43.39</v>
      </c>
      <c r="BG120" s="71">
        <f>Financials2026[[#This Row],[May AC]]-Financials2026[[#This Row],[May FC]]</f>
        <v>22.8</v>
      </c>
      <c r="BH120" s="71">
        <f>Financials2026[[#This Row],[Jun AC]]-Financials2026[[#This Row],[Jun FC]]</f>
        <v>0</v>
      </c>
      <c r="BI120" s="71">
        <f>Financials2026[[#This Row],[Jul AC]]-Financials2026[[#This Row],[Jul FC]]</f>
        <v>0</v>
      </c>
      <c r="BJ120" s="71">
        <f>Financials2026[[#This Row],[Aug AC]]-Financials2026[[#This Row],[Aug FC]]</f>
        <v>0</v>
      </c>
      <c r="BK120" s="71">
        <f>Financials2026[[#This Row],[Sep AC]]-Financials2026[[#This Row],[Sep FC]]</f>
        <v>0</v>
      </c>
      <c r="BL120" s="71">
        <f>Financials2026[[#This Row],[Oct AC]]-Financials2026[[#This Row],[Oct FC]]</f>
        <v>0</v>
      </c>
      <c r="BM120" s="71">
        <f>Financials2026[[#This Row],[Nov AC]]-Financials2026[[#This Row],[Nov FC]]</f>
        <v>0</v>
      </c>
      <c r="BN120" s="71">
        <f>Financials2026[[#This Row],[Dec AC]]-Financials2026[[#This Row],[Dec FC]]</f>
        <v>0</v>
      </c>
      <c r="BO120" s="71">
        <f>SUM(Financials2026[[#This Row],[Jan Opp/Risk]:[Dec Opp./Risk]])</f>
        <v>139.94</v>
      </c>
      <c r="BP120" s="90" t="s">
        <v>548</v>
      </c>
      <c r="BQ120" s="47">
        <f>SUM(Financials2026[[#This Row],[Jan AC]:[Apr AC]])</f>
        <v>117.14</v>
      </c>
      <c r="BS120" s="6"/>
      <c r="BT120" s="6"/>
      <c r="BU120" s="6"/>
      <c r="BV120" s="6"/>
      <c r="BW120" s="6"/>
      <c r="BX120" s="6"/>
    </row>
    <row r="121" spans="1:76" hidden="1" x14ac:dyDescent="0.35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72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67"/>
        <v>66307.210000000006</v>
      </c>
      <c r="X121" s="15">
        <f t="shared" si="57"/>
        <v>-15282.789999999994</v>
      </c>
      <c r="Y121" s="15">
        <f t="shared" si="73"/>
        <v>0</v>
      </c>
      <c r="Z121" s="15">
        <f>SUM(Financials2026[[#This Row],[2026 Opportunity]:[2026 Risk]])</f>
        <v>-15282.789999999994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SUM(Financials2026[[#This Row],[Jan FC]:[Dec FC]])</f>
        <v>81590</v>
      </c>
      <c r="AO121" s="15">
        <f t="shared" si="55"/>
        <v>61192.5</v>
      </c>
      <c r="AP121" s="61"/>
      <c r="AQ121" s="61"/>
      <c r="AR121" s="61">
        <f>5114.71</f>
        <v>5114.71</v>
      </c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SUM(Financials2026[[#This Row],[Jan AC]:[Dec AC]])</f>
        <v>5114.71</v>
      </c>
      <c r="BC121" s="71">
        <f>Financials2026[[#This Row],[Jan AC]]-Financials2026[[#This Row],[Jan FC]]</f>
        <v>0</v>
      </c>
      <c r="BD121" s="71">
        <f>Financials2026[[#This Row],[Feb AC]]-Financials2026[[#This Row],[Feb FC]]</f>
        <v>0</v>
      </c>
      <c r="BE121" s="71">
        <f>Financials2026[[#This Row],[Mar AC]]-Financials2026[[#This Row],[Mar FC]]</f>
        <v>-15282.79</v>
      </c>
      <c r="BF121" s="71">
        <f>Financials2026[[#This Row],[Apr AC]]-Financials2026[[#This Row],[Apr FC]]</f>
        <v>0</v>
      </c>
      <c r="BG121" s="71">
        <f>Financials2026[[#This Row],[May AC]]-Financials2026[[#This Row],[May FC]]</f>
        <v>0</v>
      </c>
      <c r="BH121" s="71">
        <f>Financials2026[[#This Row],[Jun AC]]-Financials2026[[#This Row],[Jun FC]]</f>
        <v>-20397.5</v>
      </c>
      <c r="BI121" s="71">
        <f>Financials2026[[#This Row],[Jul AC]]-Financials2026[[#This Row],[Jul FC]]</f>
        <v>0</v>
      </c>
      <c r="BJ121" s="71">
        <f>Financials2026[[#This Row],[Aug AC]]-Financials2026[[#This Row],[Aug FC]]</f>
        <v>0</v>
      </c>
      <c r="BK121" s="71">
        <f>Financials2026[[#This Row],[Sep AC]]-Financials2026[[#This Row],[Sep FC]]</f>
        <v>-20397.5</v>
      </c>
      <c r="BL121" s="71">
        <f>Financials2026[[#This Row],[Oct AC]]-Financials2026[[#This Row],[Oct FC]]</f>
        <v>0</v>
      </c>
      <c r="BM121" s="71">
        <f>Financials2026[[#This Row],[Nov AC]]-Financials2026[[#This Row],[Nov FC]]</f>
        <v>0</v>
      </c>
      <c r="BN121" s="71">
        <f>Financials2026[[#This Row],[Dec AC]]-Financials2026[[#This Row],[Dec FC]]</f>
        <v>-20397.5</v>
      </c>
      <c r="BO121" s="71">
        <f>SUM(Financials2026[[#This Row],[Jan Opp/Risk]:[Dec Opp./Risk]])</f>
        <v>-76475.290000000008</v>
      </c>
      <c r="BP121" s="90" t="s">
        <v>909</v>
      </c>
      <c r="BQ121" s="47">
        <f>SUM(Financials2026[[#This Row],[Jan AC]:[Apr AC]])</f>
        <v>5114.71</v>
      </c>
      <c r="BS121" s="6"/>
      <c r="BT121" s="6"/>
      <c r="BU121" s="6"/>
      <c r="BV121" s="6"/>
      <c r="BW121" s="6"/>
      <c r="BX121" s="6"/>
    </row>
    <row r="122" spans="1:76" hidden="1" x14ac:dyDescent="0.35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72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67"/>
        <v>160000</v>
      </c>
      <c r="X122" s="15">
        <f t="shared" si="57"/>
        <v>0</v>
      </c>
      <c r="Y122" s="15">
        <f t="shared" si="73"/>
        <v>0</v>
      </c>
      <c r="Z122" s="15">
        <f>SUM(Financials2026[[#This Row],[2026 Opportunity]:[2026 Risk]])</f>
        <v>0</v>
      </c>
      <c r="AA122" s="3" t="s">
        <v>383</v>
      </c>
      <c r="AB122" s="52">
        <f t="shared" ref="AB122:AJ122" si="74">150000/12</f>
        <v>12500</v>
      </c>
      <c r="AC122" s="52">
        <f t="shared" si="74"/>
        <v>12500</v>
      </c>
      <c r="AD122" s="52">
        <f t="shared" si="74"/>
        <v>12500</v>
      </c>
      <c r="AE122" s="52">
        <f t="shared" si="74"/>
        <v>12500</v>
      </c>
      <c r="AF122" s="52">
        <f t="shared" si="74"/>
        <v>12500</v>
      </c>
      <c r="AG122" s="52">
        <f t="shared" si="74"/>
        <v>12500</v>
      </c>
      <c r="AH122" s="52">
        <f t="shared" si="74"/>
        <v>12500</v>
      </c>
      <c r="AI122" s="52">
        <f t="shared" si="74"/>
        <v>12500</v>
      </c>
      <c r="AJ122" s="52">
        <f t="shared" si="74"/>
        <v>12500</v>
      </c>
      <c r="AK122" s="52">
        <v>15833</v>
      </c>
      <c r="AL122" s="52">
        <v>15833</v>
      </c>
      <c r="AM122" s="52">
        <v>15834</v>
      </c>
      <c r="AN122" s="52">
        <f>SUM(Financials2026[[#This Row],[Jan FC]:[Dec FC]])</f>
        <v>160000</v>
      </c>
      <c r="AO122" s="15">
        <f t="shared" si="55"/>
        <v>97500</v>
      </c>
      <c r="AP122" s="61">
        <f t="shared" ref="AP122:AX122" si="75">150000/12</f>
        <v>12500</v>
      </c>
      <c r="AQ122" s="61">
        <f t="shared" si="75"/>
        <v>12500</v>
      </c>
      <c r="AR122" s="61">
        <f t="shared" si="75"/>
        <v>12500</v>
      </c>
      <c r="AS122" s="61">
        <f t="shared" si="75"/>
        <v>12500</v>
      </c>
      <c r="AT122" s="61">
        <f t="shared" si="75"/>
        <v>12500</v>
      </c>
      <c r="AU122" s="61">
        <f t="shared" si="75"/>
        <v>12500</v>
      </c>
      <c r="AV122" s="61">
        <f t="shared" si="75"/>
        <v>12500</v>
      </c>
      <c r="AW122" s="61">
        <f t="shared" si="75"/>
        <v>12500</v>
      </c>
      <c r="AX122" s="61">
        <f t="shared" si="75"/>
        <v>12500</v>
      </c>
      <c r="AY122" s="61"/>
      <c r="AZ122" s="61"/>
      <c r="BA122" s="61"/>
      <c r="BB122" s="80">
        <f>SUM(Financials2026[[#This Row],[Jan AC]:[Dec AC]])</f>
        <v>112500</v>
      </c>
      <c r="BC122" s="71">
        <f>Financials2026[[#This Row],[Jan AC]]-Financials2026[[#This Row],[Jan FC]]</f>
        <v>0</v>
      </c>
      <c r="BD122" s="71">
        <f>Financials2026[[#This Row],[Feb AC]]-Financials2026[[#This Row],[Feb FC]]</f>
        <v>0</v>
      </c>
      <c r="BE122" s="71">
        <f>Financials2026[[#This Row],[Mar AC]]-Financials2026[[#This Row],[Mar FC]]</f>
        <v>0</v>
      </c>
      <c r="BF122" s="71">
        <f>Financials2026[[#This Row],[Apr AC]]-Financials2026[[#This Row],[Apr FC]]</f>
        <v>0</v>
      </c>
      <c r="BG122" s="71">
        <f>Financials2026[[#This Row],[May AC]]-Financials2026[[#This Row],[May FC]]</f>
        <v>0</v>
      </c>
      <c r="BH122" s="71">
        <f>Financials2026[[#This Row],[Jun AC]]-Financials2026[[#This Row],[Jun FC]]</f>
        <v>0</v>
      </c>
      <c r="BI122" s="71">
        <f>Financials2026[[#This Row],[Jul AC]]-Financials2026[[#This Row],[Jul FC]]</f>
        <v>0</v>
      </c>
      <c r="BJ122" s="71">
        <f>Financials2026[[#This Row],[Aug AC]]-Financials2026[[#This Row],[Aug FC]]</f>
        <v>0</v>
      </c>
      <c r="BK122" s="71">
        <f>Financials2026[[#This Row],[Sep AC]]-Financials2026[[#This Row],[Sep FC]]</f>
        <v>0</v>
      </c>
      <c r="BL122" s="71">
        <f>Financials2026[[#This Row],[Oct AC]]-Financials2026[[#This Row],[Oct FC]]</f>
        <v>-15833</v>
      </c>
      <c r="BM122" s="71">
        <f>Financials2026[[#This Row],[Nov AC]]-Financials2026[[#This Row],[Nov FC]]</f>
        <v>-15833</v>
      </c>
      <c r="BN122" s="71">
        <f>Financials2026[[#This Row],[Dec AC]]-Financials2026[[#This Row],[Dec FC]]</f>
        <v>-15834</v>
      </c>
      <c r="BO122" s="71">
        <f>SUM(Financials2026[[#This Row],[Jan Opp/Risk]:[Dec Opp./Risk]])</f>
        <v>-47500</v>
      </c>
      <c r="BP122" s="90"/>
      <c r="BQ122" s="47">
        <f>SUM(Financials2026[[#This Row],[Jan AC]:[Apr AC]])</f>
        <v>50000</v>
      </c>
      <c r="BS122" s="6"/>
      <c r="BT122" s="6"/>
      <c r="BU122" s="6"/>
      <c r="BV122" s="6"/>
      <c r="BW122" s="6"/>
      <c r="BX122" s="6"/>
    </row>
    <row r="123" spans="1:76" x14ac:dyDescent="0.35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72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67"/>
        <v>150000</v>
      </c>
      <c r="X123" s="15">
        <f t="shared" si="57"/>
        <v>-100000</v>
      </c>
      <c r="Y123" s="15">
        <f t="shared" si="73"/>
        <v>0</v>
      </c>
      <c r="Z123" s="15">
        <f>SUM(Financials2026[[#This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SUM(Financials2026[[#This Row],[Jan FC]:[Dec FC]])</f>
        <v>150000</v>
      </c>
      <c r="AO123" s="15">
        <f t="shared" si="55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SUM(Financials2026[[#This Row],[Jan AC]:[Dec AC]])</f>
        <v>0</v>
      </c>
      <c r="BC123" s="71">
        <f>Financials2026[[#This Row],[Jan AC]]-Financials2026[[#This Row],[Jan FC]]</f>
        <v>0</v>
      </c>
      <c r="BD123" s="71">
        <f>Financials2026[[#This Row],[Feb AC]]-Financials2026[[#This Row],[Feb FC]]</f>
        <v>0</v>
      </c>
      <c r="BE123" s="71">
        <f>Financials2026[[#This Row],[Mar AC]]-Financials2026[[#This Row],[Mar FC]]</f>
        <v>0</v>
      </c>
      <c r="BF123" s="71">
        <f>Financials2026[[#This Row],[Apr AC]]-Financials2026[[#This Row],[Apr FC]]</f>
        <v>0</v>
      </c>
      <c r="BG123" s="71">
        <f>Financials2026[[#This Row],[May AC]]-Financials2026[[#This Row],[May FC]]</f>
        <v>0</v>
      </c>
      <c r="BH123" s="71">
        <f>Financials2026[[#This Row],[Jun AC]]-Financials2026[[#This Row],[Jun FC]]</f>
        <v>0</v>
      </c>
      <c r="BI123" s="71">
        <f>Financials2026[[#This Row],[Jul AC]]-Financials2026[[#This Row],[Jul FC]]</f>
        <v>0</v>
      </c>
      <c r="BJ123" s="71">
        <f>Financials2026[[#This Row],[Aug AC]]-Financials2026[[#This Row],[Aug FC]]</f>
        <v>0</v>
      </c>
      <c r="BK123" s="71">
        <f>Financials2026[[#This Row],[Sep AC]]-Financials2026[[#This Row],[Sep FC]]</f>
        <v>0</v>
      </c>
      <c r="BL123" s="71">
        <f>Financials2026[[#This Row],[Oct AC]]-Financials2026[[#This Row],[Oct FC]]</f>
        <v>0</v>
      </c>
      <c r="BM123" s="71">
        <f>Financials2026[[#This Row],[Nov AC]]-Financials2026[[#This Row],[Nov FC]]</f>
        <v>0</v>
      </c>
      <c r="BN123" s="71">
        <f>Financials2026[[#This Row],[Dec AC]]-Financials2026[[#This Row],[Dec FC]]</f>
        <v>-150000</v>
      </c>
      <c r="BO123" s="71">
        <f>SUM(Financials2026[[#This Row],[Jan Opp/Risk]:[Dec Opp./Risk]])</f>
        <v>-150000</v>
      </c>
      <c r="BP123" s="90" t="s">
        <v>880</v>
      </c>
      <c r="BQ123" s="47">
        <f>SUM(Financials2026[[#This Row],[Jan AC]:[Apr AC]])</f>
        <v>0</v>
      </c>
      <c r="BS123" s="6"/>
      <c r="BT123" s="6"/>
      <c r="BU123" s="6"/>
      <c r="BV123" s="6"/>
      <c r="BW123" s="6"/>
      <c r="BX123" s="6"/>
    </row>
    <row r="124" spans="1:76" x14ac:dyDescent="0.35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72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67"/>
        <v>165000</v>
      </c>
      <c r="X124" s="15">
        <f t="shared" si="57"/>
        <v>0</v>
      </c>
      <c r="Y124" s="15">
        <f t="shared" si="73"/>
        <v>0</v>
      </c>
      <c r="Z124" s="15">
        <f>SUM(Financials2026[[#This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SUM(Financials2026[[#This Row],[Jan FC]:[Dec FC]])</f>
        <v>165000</v>
      </c>
      <c r="AO124" s="15">
        <f t="shared" si="55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SUM(Financials2026[[#This Row],[Jan AC]:[Dec AC]])</f>
        <v>0</v>
      </c>
      <c r="BC124" s="71">
        <f>Financials2026[[#This Row],[Jan AC]]-Financials2026[[#This Row],[Jan FC]]</f>
        <v>0</v>
      </c>
      <c r="BD124" s="71">
        <f>Financials2026[[#This Row],[Feb AC]]-Financials2026[[#This Row],[Feb FC]]</f>
        <v>0</v>
      </c>
      <c r="BE124" s="71">
        <f>Financials2026[[#This Row],[Mar AC]]-Financials2026[[#This Row],[Mar FC]]</f>
        <v>0</v>
      </c>
      <c r="BF124" s="71">
        <f>Financials2026[[#This Row],[Apr AC]]-Financials2026[[#This Row],[Apr FC]]</f>
        <v>0</v>
      </c>
      <c r="BG124" s="71">
        <f>Financials2026[[#This Row],[May AC]]-Financials2026[[#This Row],[May FC]]</f>
        <v>0</v>
      </c>
      <c r="BH124" s="71">
        <f>Financials2026[[#This Row],[Jun AC]]-Financials2026[[#This Row],[Jun FC]]</f>
        <v>0</v>
      </c>
      <c r="BI124" s="71">
        <f>Financials2026[[#This Row],[Jul AC]]-Financials2026[[#This Row],[Jul FC]]</f>
        <v>0</v>
      </c>
      <c r="BJ124" s="71">
        <f>Financials2026[[#This Row],[Aug AC]]-Financials2026[[#This Row],[Aug FC]]</f>
        <v>0</v>
      </c>
      <c r="BK124" s="71">
        <f>Financials2026[[#This Row],[Sep AC]]-Financials2026[[#This Row],[Sep FC]]</f>
        <v>0</v>
      </c>
      <c r="BL124" s="71">
        <f>Financials2026[[#This Row],[Oct AC]]-Financials2026[[#This Row],[Oct FC]]</f>
        <v>0</v>
      </c>
      <c r="BM124" s="71">
        <f>Financials2026[[#This Row],[Nov AC]]-Financials2026[[#This Row],[Nov FC]]</f>
        <v>0</v>
      </c>
      <c r="BN124" s="71">
        <f>Financials2026[[#This Row],[Dec AC]]-Financials2026[[#This Row],[Dec FC]]</f>
        <v>-165000</v>
      </c>
      <c r="BO124" s="71">
        <f>SUM(Financials2026[[#This Row],[Jan Opp/Risk]:[Dec Opp./Risk]])</f>
        <v>-165000</v>
      </c>
      <c r="BP124" s="90" t="s">
        <v>880</v>
      </c>
      <c r="BQ124" s="47">
        <f>SUM(Financials2026[[#This Row],[Jan AC]:[Apr AC]])</f>
        <v>0</v>
      </c>
      <c r="BS124" s="6"/>
      <c r="BT124" s="6"/>
      <c r="BU124" s="6"/>
      <c r="BV124" s="6"/>
      <c r="BW124" s="6"/>
      <c r="BX124" s="6"/>
    </row>
    <row r="125" spans="1:76" hidden="1" x14ac:dyDescent="0.35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72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67"/>
        <v>0</v>
      </c>
      <c r="X125" s="15">
        <f t="shared" si="57"/>
        <v>-50000</v>
      </c>
      <c r="Y125" s="15">
        <f t="shared" si="73"/>
        <v>0</v>
      </c>
      <c r="Z125" s="15">
        <f>SUM(Financials2026[[#This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SUM(Financials2026[[#This Row],[Jan FC]:[Dec FC]])</f>
        <v>0</v>
      </c>
      <c r="AO125" s="15">
        <f t="shared" si="55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SUM(Financials2026[[#This Row],[Jan AC]:[Dec AC]])</f>
        <v>0</v>
      </c>
      <c r="BC125" s="71">
        <f>Financials2026[[#This Row],[Jan AC]]-Financials2026[[#This Row],[Jan FC]]</f>
        <v>0</v>
      </c>
      <c r="BD125" s="71">
        <f>Financials2026[[#This Row],[Feb AC]]-Financials2026[[#This Row],[Feb FC]]</f>
        <v>0</v>
      </c>
      <c r="BE125" s="71">
        <f>Financials2026[[#This Row],[Mar AC]]-Financials2026[[#This Row],[Mar FC]]</f>
        <v>0</v>
      </c>
      <c r="BF125" s="71">
        <f>Financials2026[[#This Row],[Apr AC]]-Financials2026[[#This Row],[Apr FC]]</f>
        <v>0</v>
      </c>
      <c r="BG125" s="71">
        <f>Financials2026[[#This Row],[May AC]]-Financials2026[[#This Row],[May FC]]</f>
        <v>0</v>
      </c>
      <c r="BH125" s="71">
        <f>Financials2026[[#This Row],[Jun AC]]-Financials2026[[#This Row],[Jun FC]]</f>
        <v>0</v>
      </c>
      <c r="BI125" s="71">
        <f>Financials2026[[#This Row],[Jul AC]]-Financials2026[[#This Row],[Jul FC]]</f>
        <v>0</v>
      </c>
      <c r="BJ125" s="71">
        <f>Financials2026[[#This Row],[Aug AC]]-Financials2026[[#This Row],[Aug FC]]</f>
        <v>0</v>
      </c>
      <c r="BK125" s="71">
        <f>Financials2026[[#This Row],[Sep AC]]-Financials2026[[#This Row],[Sep FC]]</f>
        <v>0</v>
      </c>
      <c r="BL125" s="71">
        <f>Financials2026[[#This Row],[Oct AC]]-Financials2026[[#This Row],[Oct FC]]</f>
        <v>0</v>
      </c>
      <c r="BM125" s="71">
        <f>Financials2026[[#This Row],[Nov AC]]-Financials2026[[#This Row],[Nov FC]]</f>
        <v>0</v>
      </c>
      <c r="BN125" s="71">
        <f>Financials2026[[#This Row],[Dec AC]]-Financials2026[[#This Row],[Dec FC]]</f>
        <v>0</v>
      </c>
      <c r="BO125" s="71">
        <f>SUM(Financials2026[[#This Row],[Jan Opp/Risk]:[Dec Opp./Risk]])</f>
        <v>0</v>
      </c>
      <c r="BP125" s="90" t="s">
        <v>880</v>
      </c>
      <c r="BQ125" s="47">
        <f>SUM(Financials2026[[#This Row],[Jan AC]:[Apr AC]])</f>
        <v>0</v>
      </c>
      <c r="BS125" s="6"/>
      <c r="BT125" s="6"/>
      <c r="BU125" s="6"/>
      <c r="BV125" s="6"/>
      <c r="BW125" s="6"/>
      <c r="BX125" s="6"/>
    </row>
    <row r="126" spans="1:76" hidden="1" x14ac:dyDescent="0.35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72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f>850000-V127-V33</f>
        <v>499600</v>
      </c>
      <c r="W126" s="15">
        <f t="shared" si="67"/>
        <v>163600</v>
      </c>
      <c r="X126" s="15">
        <f t="shared" si="57"/>
        <v>-336000</v>
      </c>
      <c r="Y126" s="15">
        <f t="shared" si="73"/>
        <v>0</v>
      </c>
      <c r="Z126" s="15">
        <f>SUM(Financials2026[[#This Row],[2026 Opportunity]:[2026 Risk]])</f>
        <v>-336000</v>
      </c>
      <c r="AA126" s="3" t="s">
        <v>385</v>
      </c>
      <c r="AB126" s="52"/>
      <c r="AC126" s="52"/>
      <c r="AD126" s="52"/>
      <c r="AE126" s="52">
        <v>10000</v>
      </c>
      <c r="AF126" s="52"/>
      <c r="AG126" s="52"/>
      <c r="AH126" s="52"/>
      <c r="AI126" s="52"/>
      <c r="AJ126" s="52"/>
      <c r="AK126" s="52"/>
      <c r="AL126" s="52"/>
      <c r="AM126" s="46">
        <f>99600+54000-10000</f>
        <v>143600</v>
      </c>
      <c r="AN126" s="75">
        <f>SUM(Financials2026[[#This Row],[Jan FC]:[Dec FC]])</f>
        <v>153600</v>
      </c>
      <c r="AO126" s="15">
        <f t="shared" si="55"/>
        <v>143600</v>
      </c>
      <c r="AP126" s="61"/>
      <c r="AQ126" s="61"/>
      <c r="AR126" s="61">
        <v>10000</v>
      </c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SUM(Financials2026[[#This Row],[Jan AC]:[Dec AC]])</f>
        <v>10000</v>
      </c>
      <c r="BC126" s="71">
        <f>Financials2026[[#This Row],[Jan AC]]-Financials2026[[#This Row],[Jan FC]]</f>
        <v>0</v>
      </c>
      <c r="BD126" s="71">
        <f>Financials2026[[#This Row],[Feb AC]]-Financials2026[[#This Row],[Feb FC]]</f>
        <v>0</v>
      </c>
      <c r="BE126" s="71">
        <f>Financials2026[[#This Row],[Mar AC]]-Financials2026[[#This Row],[Mar FC]]</f>
        <v>10000</v>
      </c>
      <c r="BF126" s="71">
        <f>Financials2026[[#This Row],[Apr AC]]-Financials2026[[#This Row],[Apr FC]]</f>
        <v>-10000</v>
      </c>
      <c r="BG126" s="71">
        <f>Financials2026[[#This Row],[May AC]]-Financials2026[[#This Row],[May FC]]</f>
        <v>0</v>
      </c>
      <c r="BH126" s="71">
        <f>Financials2026[[#This Row],[Jun AC]]-Financials2026[[#This Row],[Jun FC]]</f>
        <v>0</v>
      </c>
      <c r="BI126" s="71">
        <f>Financials2026[[#This Row],[Jul AC]]-Financials2026[[#This Row],[Jul FC]]</f>
        <v>0</v>
      </c>
      <c r="BJ126" s="71">
        <f>Financials2026[[#This Row],[Aug AC]]-Financials2026[[#This Row],[Aug FC]]</f>
        <v>0</v>
      </c>
      <c r="BK126" s="71">
        <f>Financials2026[[#This Row],[Sep AC]]-Financials2026[[#This Row],[Sep FC]]</f>
        <v>0</v>
      </c>
      <c r="BL126" s="71">
        <f>Financials2026[[#This Row],[Oct AC]]-Financials2026[[#This Row],[Oct FC]]</f>
        <v>0</v>
      </c>
      <c r="BM126" s="71">
        <f>Financials2026[[#This Row],[Nov AC]]-Financials2026[[#This Row],[Nov FC]]</f>
        <v>0</v>
      </c>
      <c r="BN126" s="71">
        <f>Financials2026[[#This Row],[Dec AC]]-Financials2026[[#This Row],[Dec FC]]</f>
        <v>-143600</v>
      </c>
      <c r="BO126" s="71">
        <f>SUM(Financials2026[[#This Row],[Jan Opp/Risk]:[Dec Opp./Risk]])</f>
        <v>-143600</v>
      </c>
      <c r="BP126" s="90" t="s">
        <v>880</v>
      </c>
      <c r="BQ126" s="47">
        <f>SUM(Financials2026[[#This Row],[Jan AC]:[Apr AC]])</f>
        <v>10000</v>
      </c>
      <c r="BS126" s="6"/>
      <c r="BT126" s="6"/>
      <c r="BU126" s="6"/>
      <c r="BV126" s="6"/>
      <c r="BW126" s="6"/>
      <c r="BX126" s="6"/>
    </row>
    <row r="127" spans="1:76" hidden="1" x14ac:dyDescent="0.35">
      <c r="A127" s="22" t="s">
        <v>101</v>
      </c>
      <c r="B127" s="21" t="s">
        <v>208</v>
      </c>
      <c r="C127" s="21"/>
      <c r="D127" s="10" t="s">
        <v>35</v>
      </c>
      <c r="E127" s="7" t="s">
        <v>389</v>
      </c>
      <c r="F127" s="3" t="s">
        <v>205</v>
      </c>
      <c r="G127" s="3" t="s">
        <v>50</v>
      </c>
      <c r="H127" s="4">
        <v>46157</v>
      </c>
      <c r="I127" s="4">
        <v>46234</v>
      </c>
      <c r="J127" s="3"/>
      <c r="K127" s="3" t="str">
        <f t="shared" ref="K127" si="76">D127 &amp; "-" &amp;E127</f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21" t="s">
        <v>129</v>
      </c>
      <c r="T127" s="5"/>
      <c r="U127" s="17">
        <v>0</v>
      </c>
      <c r="V127" s="17">
        <v>120000</v>
      </c>
      <c r="W127" s="15">
        <f t="shared" si="67"/>
        <v>120000</v>
      </c>
      <c r="X127" s="15">
        <f t="shared" ref="X127" si="77">IF(V127 &gt;= W127, V127 - W127, 0)*-1</f>
        <v>0</v>
      </c>
      <c r="Y127" s="15">
        <f t="shared" ref="Y127" si="78">IF(W127 &gt; V127, W127 - V127, 0)</f>
        <v>0</v>
      </c>
      <c r="Z127" s="15">
        <f>SUM(Financials2026[[#This Row],[2026 Opportunity]:[2026 Risk]])</f>
        <v>0</v>
      </c>
      <c r="AA127" s="3" t="s">
        <v>899</v>
      </c>
      <c r="AB127" s="52"/>
      <c r="AC127" s="52"/>
      <c r="AD127" s="52"/>
      <c r="AE127" s="52"/>
      <c r="AF127" s="52">
        <v>40000</v>
      </c>
      <c r="AG127" s="52">
        <v>40000</v>
      </c>
      <c r="AH127" s="52">
        <v>40000</v>
      </c>
      <c r="AI127" s="52"/>
      <c r="AJ127" s="52"/>
      <c r="AK127" s="52"/>
      <c r="AL127" s="52"/>
      <c r="AM127" s="52"/>
      <c r="AN127" s="75">
        <f>SUM(Financials2026[[#This Row],[Jan FC]:[Dec FC]])</f>
        <v>120000</v>
      </c>
      <c r="AO127" s="15">
        <f t="shared" si="55"/>
        <v>80000</v>
      </c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SUM(Financials2026[[#This Row],[Jan AC]:[Dec AC]])</f>
        <v>0</v>
      </c>
      <c r="BC127" s="71">
        <f>Financials2026[[#This Row],[Jan AC]]-Financials2026[[#This Row],[Jan FC]]</f>
        <v>0</v>
      </c>
      <c r="BD127" s="71">
        <f>Financials2026[[#This Row],[Feb AC]]-Financials2026[[#This Row],[Feb FC]]</f>
        <v>0</v>
      </c>
      <c r="BE127" s="71">
        <f>Financials2026[[#This Row],[Mar AC]]-Financials2026[[#This Row],[Mar FC]]</f>
        <v>0</v>
      </c>
      <c r="BF127" s="71">
        <f>Financials2026[[#This Row],[Apr AC]]-Financials2026[[#This Row],[Apr FC]]</f>
        <v>0</v>
      </c>
      <c r="BG127" s="71">
        <f>Financials2026[[#This Row],[May AC]]-Financials2026[[#This Row],[May FC]]</f>
        <v>-40000</v>
      </c>
      <c r="BH127" s="71">
        <f>Financials2026[[#This Row],[Jun AC]]-Financials2026[[#This Row],[Jun FC]]</f>
        <v>-40000</v>
      </c>
      <c r="BI127" s="71">
        <f>Financials2026[[#This Row],[Jul AC]]-Financials2026[[#This Row],[Jul FC]]</f>
        <v>-40000</v>
      </c>
      <c r="BJ127" s="71">
        <f>Financials2026[[#This Row],[Aug AC]]-Financials2026[[#This Row],[Aug FC]]</f>
        <v>0</v>
      </c>
      <c r="BK127" s="71">
        <f>Financials2026[[#This Row],[Sep AC]]-Financials2026[[#This Row],[Sep FC]]</f>
        <v>0</v>
      </c>
      <c r="BL127" s="71">
        <f>Financials2026[[#This Row],[Oct AC]]-Financials2026[[#This Row],[Oct FC]]</f>
        <v>0</v>
      </c>
      <c r="BM127" s="71">
        <f>Financials2026[[#This Row],[Nov AC]]-Financials2026[[#This Row],[Nov FC]]</f>
        <v>0</v>
      </c>
      <c r="BN127" s="71">
        <f>Financials2026[[#This Row],[Dec AC]]-Financials2026[[#This Row],[Dec FC]]</f>
        <v>0</v>
      </c>
      <c r="BO127" s="71">
        <f>SUM(Financials2026[[#This Row],[Jan Opp/Risk]:[Dec Opp./Risk]])</f>
        <v>-120000</v>
      </c>
      <c r="BP127" s="90" t="s">
        <v>874</v>
      </c>
      <c r="BQ127" s="47">
        <f>SUM(Financials2026[[#This Row],[Jan AC]:[Apr AC]])</f>
        <v>0</v>
      </c>
      <c r="BS127" s="6"/>
      <c r="BT127" s="6"/>
      <c r="BU127" s="6"/>
      <c r="BV127" s="6"/>
      <c r="BW127" s="6"/>
      <c r="BX127" s="6"/>
    </row>
    <row r="128" spans="1:76" hidden="1" x14ac:dyDescent="0.35">
      <c r="A128" s="22" t="s">
        <v>101</v>
      </c>
      <c r="B128" s="21" t="s">
        <v>334</v>
      </c>
      <c r="C128" s="21" t="s">
        <v>335</v>
      </c>
      <c r="D128" s="10" t="s">
        <v>9</v>
      </c>
      <c r="E128" s="7" t="s">
        <v>390</v>
      </c>
      <c r="F128" s="3" t="s">
        <v>205</v>
      </c>
      <c r="G128" s="3" t="s">
        <v>50</v>
      </c>
      <c r="H128" s="4"/>
      <c r="I128" s="4"/>
      <c r="J128" s="3"/>
      <c r="K128" s="3" t="str">
        <f t="shared" si="72"/>
        <v>Prj000211-Implement - WSO Balance Sheet Mig &amp; Reporting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3" t="s">
        <v>385</v>
      </c>
      <c r="T128" s="5"/>
      <c r="U128" s="17">
        <v>500000</v>
      </c>
      <c r="V128" s="17">
        <v>500000</v>
      </c>
      <c r="W128" s="15">
        <f t="shared" si="67"/>
        <v>0</v>
      </c>
      <c r="X128" s="15">
        <f t="shared" si="57"/>
        <v>-500000</v>
      </c>
      <c r="Y128" s="15">
        <f t="shared" si="73"/>
        <v>0</v>
      </c>
      <c r="Z128" s="15">
        <f>SUM(Financials2026[[#This Row],[2026 Opportunity]:[2026 Risk]])</f>
        <v>-500000</v>
      </c>
      <c r="AA128" s="3" t="s">
        <v>878</v>
      </c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N128" s="75">
        <f>SUM(Financials2026[[#This Row],[Jan FC]:[Dec FC]])</f>
        <v>0</v>
      </c>
      <c r="AO128" s="15">
        <f t="shared" si="55"/>
        <v>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SUM(Financials2026[[#This Row],[Jan AC]:[Dec AC]])</f>
        <v>0</v>
      </c>
      <c r="BC128" s="71">
        <f>Financials2026[[#This Row],[Jan AC]]-Financials2026[[#This Row],[Jan FC]]</f>
        <v>0</v>
      </c>
      <c r="BD128" s="71">
        <f>Financials2026[[#This Row],[Feb AC]]-Financials2026[[#This Row],[Feb FC]]</f>
        <v>0</v>
      </c>
      <c r="BE128" s="71">
        <f>Financials2026[[#This Row],[Mar AC]]-Financials2026[[#This Row],[Mar FC]]</f>
        <v>0</v>
      </c>
      <c r="BF128" s="71">
        <f>Financials2026[[#This Row],[Apr AC]]-Financials2026[[#This Row],[Apr FC]]</f>
        <v>0</v>
      </c>
      <c r="BG128" s="71">
        <f>Financials2026[[#This Row],[May AC]]-Financials2026[[#This Row],[May FC]]</f>
        <v>0</v>
      </c>
      <c r="BH128" s="71">
        <f>Financials2026[[#This Row],[Jun AC]]-Financials2026[[#This Row],[Jun FC]]</f>
        <v>0</v>
      </c>
      <c r="BI128" s="71">
        <f>Financials2026[[#This Row],[Jul AC]]-Financials2026[[#This Row],[Jul FC]]</f>
        <v>0</v>
      </c>
      <c r="BJ128" s="71">
        <f>Financials2026[[#This Row],[Aug AC]]-Financials2026[[#This Row],[Aug FC]]</f>
        <v>0</v>
      </c>
      <c r="BK128" s="71">
        <f>Financials2026[[#This Row],[Sep AC]]-Financials2026[[#This Row],[Sep FC]]</f>
        <v>0</v>
      </c>
      <c r="BL128" s="71">
        <f>Financials2026[[#This Row],[Oct AC]]-Financials2026[[#This Row],[Oct FC]]</f>
        <v>0</v>
      </c>
      <c r="BM128" s="71">
        <f>Financials2026[[#This Row],[Nov AC]]-Financials2026[[#This Row],[Nov FC]]</f>
        <v>0</v>
      </c>
      <c r="BN128" s="71">
        <f>Financials2026[[#This Row],[Dec AC]]-Financials2026[[#This Row],[Dec FC]]</f>
        <v>0</v>
      </c>
      <c r="BO128" s="71">
        <f>SUM(Financials2026[[#This Row],[Jan Opp/Risk]:[Dec Opp./Risk]])</f>
        <v>0</v>
      </c>
      <c r="BP128" s="90" t="s">
        <v>880</v>
      </c>
      <c r="BQ128" s="47">
        <f>SUM(Financials2026[[#This Row],[Jan AC]:[Apr AC]])</f>
        <v>0</v>
      </c>
      <c r="BS128" s="6"/>
      <c r="BT128" s="6"/>
      <c r="BU128" s="6"/>
      <c r="BV128" s="6"/>
      <c r="BW128" s="6"/>
      <c r="BX128" s="6"/>
    </row>
    <row r="129" spans="1:76" hidden="1" x14ac:dyDescent="0.35">
      <c r="A129" s="22" t="s">
        <v>101</v>
      </c>
      <c r="B129" s="21" t="s">
        <v>208</v>
      </c>
      <c r="C129" s="21" t="s">
        <v>209</v>
      </c>
      <c r="D129" s="10" t="s">
        <v>34</v>
      </c>
      <c r="E129" s="7" t="s">
        <v>391</v>
      </c>
      <c r="F129" s="3" t="s">
        <v>211</v>
      </c>
      <c r="G129" s="3" t="s">
        <v>48</v>
      </c>
      <c r="H129" s="4"/>
      <c r="I129" s="4"/>
      <c r="J129" s="3" t="s">
        <v>392</v>
      </c>
      <c r="K129" s="3" t="str">
        <f t="shared" si="72"/>
        <v>Prj000477-Implement - Odyssey Reporting &amp; Exception Mgmt</v>
      </c>
      <c r="L129" s="21" t="s">
        <v>124</v>
      </c>
      <c r="M129" s="21" t="s">
        <v>2</v>
      </c>
      <c r="N129" s="21" t="s">
        <v>341</v>
      </c>
      <c r="O129" s="21"/>
      <c r="P129" s="21" t="s">
        <v>126</v>
      </c>
      <c r="Q129" s="21" t="s">
        <v>127</v>
      </c>
      <c r="R129" s="21" t="s">
        <v>128</v>
      </c>
      <c r="S129" s="3" t="s">
        <v>385</v>
      </c>
      <c r="T129" s="5">
        <v>0</v>
      </c>
      <c r="U129" s="17">
        <v>600000</v>
      </c>
      <c r="V129" s="17">
        <v>600000</v>
      </c>
      <c r="W129" s="15">
        <f t="shared" si="67"/>
        <v>600000</v>
      </c>
      <c r="X129" s="15">
        <f t="shared" si="57"/>
        <v>0</v>
      </c>
      <c r="Y129" s="15">
        <f t="shared" si="73"/>
        <v>0</v>
      </c>
      <c r="Z129" s="15">
        <f>SUM(Financials2026[[#This Row],[2026 Opportunity]:[2026 Risk]])</f>
        <v>0</v>
      </c>
      <c r="AA129" s="3" t="s">
        <v>388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46">
        <v>600000</v>
      </c>
      <c r="AN129" s="75">
        <f>SUM(Financials2026[[#This Row],[Jan FC]:[Dec FC]])</f>
        <v>600000</v>
      </c>
      <c r="AO129" s="15">
        <f t="shared" si="55"/>
        <v>600000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SUM(Financials2026[[#This Row],[Jan AC]:[Dec AC]])</f>
        <v>0</v>
      </c>
      <c r="BC129" s="71">
        <f>Financials2026[[#This Row],[Jan AC]]-Financials2026[[#This Row],[Jan FC]]</f>
        <v>0</v>
      </c>
      <c r="BD129" s="71">
        <f>Financials2026[[#This Row],[Feb AC]]-Financials2026[[#This Row],[Feb FC]]</f>
        <v>0</v>
      </c>
      <c r="BE129" s="71">
        <f>Financials2026[[#This Row],[Mar AC]]-Financials2026[[#This Row],[Mar FC]]</f>
        <v>0</v>
      </c>
      <c r="BF129" s="71">
        <f>Financials2026[[#This Row],[Apr AC]]-Financials2026[[#This Row],[Apr FC]]</f>
        <v>0</v>
      </c>
      <c r="BG129" s="71">
        <f>Financials2026[[#This Row],[May AC]]-Financials2026[[#This Row],[May FC]]</f>
        <v>0</v>
      </c>
      <c r="BH129" s="71">
        <f>Financials2026[[#This Row],[Jun AC]]-Financials2026[[#This Row],[Jun FC]]</f>
        <v>0</v>
      </c>
      <c r="BI129" s="71">
        <f>Financials2026[[#This Row],[Jul AC]]-Financials2026[[#This Row],[Jul FC]]</f>
        <v>0</v>
      </c>
      <c r="BJ129" s="71">
        <f>Financials2026[[#This Row],[Aug AC]]-Financials2026[[#This Row],[Aug FC]]</f>
        <v>0</v>
      </c>
      <c r="BK129" s="71">
        <f>Financials2026[[#This Row],[Sep AC]]-Financials2026[[#This Row],[Sep FC]]</f>
        <v>0</v>
      </c>
      <c r="BL129" s="71">
        <f>Financials2026[[#This Row],[Oct AC]]-Financials2026[[#This Row],[Oct FC]]</f>
        <v>0</v>
      </c>
      <c r="BM129" s="71">
        <f>Financials2026[[#This Row],[Nov AC]]-Financials2026[[#This Row],[Nov FC]]</f>
        <v>0</v>
      </c>
      <c r="BN129" s="71">
        <f>Financials2026[[#This Row],[Dec AC]]-Financials2026[[#This Row],[Dec FC]]</f>
        <v>-600000</v>
      </c>
      <c r="BO129" s="71">
        <f>SUM(Financials2026[[#This Row],[Jan Opp/Risk]:[Dec Opp./Risk]])</f>
        <v>-600000</v>
      </c>
      <c r="BP129" s="90" t="s">
        <v>880</v>
      </c>
      <c r="BQ129" s="47">
        <f>SUM(Financials2026[[#This Row],[Jan AC]:[Apr AC]])</f>
        <v>0</v>
      </c>
      <c r="BS129" s="6"/>
      <c r="BT129" s="6"/>
      <c r="BU129" s="6"/>
      <c r="BV129" s="6"/>
      <c r="BW129" s="6"/>
      <c r="BX129" s="6"/>
    </row>
    <row r="130" spans="1:76" hidden="1" x14ac:dyDescent="0.35">
      <c r="A130" s="22" t="s">
        <v>101</v>
      </c>
      <c r="B130" s="21" t="s">
        <v>208</v>
      </c>
      <c r="C130" s="21" t="s">
        <v>209</v>
      </c>
      <c r="D130" s="10" t="s">
        <v>37</v>
      </c>
      <c r="E130" s="7" t="s">
        <v>213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1" si="79">D130 &amp; "-" &amp;E130</f>
        <v>Prj000548-Implement - Reporting for Internal Audit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500000</v>
      </c>
      <c r="V130" s="17">
        <v>500000</v>
      </c>
      <c r="W130" s="15">
        <f t="shared" ref="W130:W148" si="80">AO130+IF(ISBLANK(AP130),AB130,AP130)+IF(ISBLANK(AQ130),AC130,AQ130)+IF(ISBLANK(AR130),AD130,AR130)+IF(ISBLANK(AS130),AE130,AS130)+IF(ISBLANK(AT130),AF130,AT130)</f>
        <v>0</v>
      </c>
      <c r="X130" s="15">
        <f t="shared" si="57"/>
        <v>-500000</v>
      </c>
      <c r="Y130" s="15">
        <f t="shared" ref="Y130:Y146" si="81">IF(W130 &gt; V130, W130 - V130, 0)</f>
        <v>0</v>
      </c>
      <c r="Z130" s="15">
        <f>SUM(Financials2026[[#This Row],[2026 Opportunity]:[2026 Risk]])</f>
        <v>-500000</v>
      </c>
      <c r="AA130" s="3" t="s">
        <v>879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75">
        <f>SUM(Financials2026[[#This Row],[Jan FC]:[Dec FC]])</f>
        <v>0</v>
      </c>
      <c r="AO130" s="15">
        <f t="shared" ref="AO130:AO148" si="82">SUM(AG130:AM130)</f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SUM(Financials2026[[#This Row],[Jan AC]:[Dec AC]])</f>
        <v>0</v>
      </c>
      <c r="BC130" s="71">
        <f>Financials2026[[#This Row],[Jan AC]]-Financials2026[[#This Row],[Jan FC]]</f>
        <v>0</v>
      </c>
      <c r="BD130" s="71">
        <f>Financials2026[[#This Row],[Feb AC]]-Financials2026[[#This Row],[Feb FC]]</f>
        <v>0</v>
      </c>
      <c r="BE130" s="71">
        <f>Financials2026[[#This Row],[Mar AC]]-Financials2026[[#This Row],[Mar FC]]</f>
        <v>0</v>
      </c>
      <c r="BF130" s="71">
        <f>Financials2026[[#This Row],[Apr AC]]-Financials2026[[#This Row],[Apr FC]]</f>
        <v>0</v>
      </c>
      <c r="BG130" s="71">
        <f>Financials2026[[#This Row],[May AC]]-Financials2026[[#This Row],[May FC]]</f>
        <v>0</v>
      </c>
      <c r="BH130" s="71">
        <f>Financials2026[[#This Row],[Jun AC]]-Financials2026[[#This Row],[Jun FC]]</f>
        <v>0</v>
      </c>
      <c r="BI130" s="71">
        <f>Financials2026[[#This Row],[Jul AC]]-Financials2026[[#This Row],[Jul FC]]</f>
        <v>0</v>
      </c>
      <c r="BJ130" s="71">
        <f>Financials2026[[#This Row],[Aug AC]]-Financials2026[[#This Row],[Aug FC]]</f>
        <v>0</v>
      </c>
      <c r="BK130" s="71">
        <f>Financials2026[[#This Row],[Sep AC]]-Financials2026[[#This Row],[Sep FC]]</f>
        <v>0</v>
      </c>
      <c r="BL130" s="71">
        <f>Financials2026[[#This Row],[Oct AC]]-Financials2026[[#This Row],[Oct FC]]</f>
        <v>0</v>
      </c>
      <c r="BM130" s="71">
        <f>Financials2026[[#This Row],[Nov AC]]-Financials2026[[#This Row],[Nov FC]]</f>
        <v>0</v>
      </c>
      <c r="BN130" s="71">
        <f>Financials2026[[#This Row],[Dec AC]]-Financials2026[[#This Row],[Dec FC]]</f>
        <v>0</v>
      </c>
      <c r="BO130" s="71">
        <f>SUM(Financials2026[[#This Row],[Jan Opp/Risk]:[Dec Opp./Risk]])</f>
        <v>0</v>
      </c>
      <c r="BP130" s="90" t="s">
        <v>880</v>
      </c>
      <c r="BQ130" s="47">
        <f>SUM(Financials2026[[#This Row],[Jan AC]:[Apr AC]])</f>
        <v>0</v>
      </c>
      <c r="BS130" s="6"/>
      <c r="BT130" s="6"/>
      <c r="BU130" s="6"/>
      <c r="BV130" s="6"/>
      <c r="BW130" s="6"/>
      <c r="BX130" s="6"/>
    </row>
    <row r="131" spans="1:76" hidden="1" x14ac:dyDescent="0.35">
      <c r="A131" s="22" t="s">
        <v>101</v>
      </c>
      <c r="B131" s="21" t="s">
        <v>74</v>
      </c>
      <c r="C131" s="21" t="s">
        <v>265</v>
      </c>
      <c r="D131" s="10" t="s">
        <v>28</v>
      </c>
      <c r="E131" s="7" t="s">
        <v>393</v>
      </c>
      <c r="F131" s="3" t="s">
        <v>104</v>
      </c>
      <c r="G131" s="3" t="s">
        <v>49</v>
      </c>
      <c r="H131" s="4">
        <v>46023</v>
      </c>
      <c r="I131" s="4">
        <v>46194</v>
      </c>
      <c r="J131" s="3" t="s">
        <v>394</v>
      </c>
      <c r="K131" s="3" t="str">
        <f t="shared" si="79"/>
        <v>Prj000447-Implement - Minor Enhancements SNOW - Phase 2</v>
      </c>
      <c r="L131" s="21" t="s">
        <v>124</v>
      </c>
      <c r="M131" s="21" t="s">
        <v>5</v>
      </c>
      <c r="N131" s="21" t="s">
        <v>125</v>
      </c>
      <c r="O131" s="21" t="s">
        <v>329</v>
      </c>
      <c r="P131" s="21" t="s">
        <v>107</v>
      </c>
      <c r="Q131" s="21" t="s">
        <v>134</v>
      </c>
      <c r="R131" s="21" t="s">
        <v>134</v>
      </c>
      <c r="S131" s="21" t="s">
        <v>129</v>
      </c>
      <c r="T131" s="5">
        <v>0</v>
      </c>
      <c r="U131" s="17">
        <v>178500</v>
      </c>
      <c r="V131" s="17">
        <v>178500</v>
      </c>
      <c r="W131" s="15">
        <f t="shared" si="80"/>
        <v>174169.56</v>
      </c>
      <c r="X131" s="15">
        <f t="shared" si="57"/>
        <v>-4330.4400000000023</v>
      </c>
      <c r="Y131" s="15">
        <f t="shared" si="81"/>
        <v>0</v>
      </c>
      <c r="Z131" s="15">
        <f>SUM(Financials2026[[#This Row],[2026 Opportunity]:[2026 Risk]])</f>
        <v>-4330.4400000000023</v>
      </c>
      <c r="AA131" s="3" t="s">
        <v>395</v>
      </c>
      <c r="AB131" s="52">
        <v>29028.26</v>
      </c>
      <c r="AC131" s="52">
        <v>29028.26</v>
      </c>
      <c r="AD131" s="52">
        <v>29028.26</v>
      </c>
      <c r="AE131" s="52">
        <v>29028.26</v>
      </c>
      <c r="AF131" s="52">
        <v>29028.26</v>
      </c>
      <c r="AG131" s="52">
        <v>29028.26</v>
      </c>
      <c r="AH131" s="52"/>
      <c r="AI131" s="52"/>
      <c r="AJ131" s="52"/>
      <c r="AK131" s="52"/>
      <c r="AL131" s="52"/>
      <c r="AM131" s="52"/>
      <c r="AN131" s="75">
        <f>SUM(Financials2026[[#This Row],[Jan FC]:[Dec FC]])</f>
        <v>174169.56</v>
      </c>
      <c r="AO131" s="15">
        <f t="shared" si="82"/>
        <v>29028.26</v>
      </c>
      <c r="AP131" s="61">
        <v>29028.26</v>
      </c>
      <c r="AQ131" s="61">
        <v>29028.26</v>
      </c>
      <c r="AR131" s="61">
        <v>29028.26</v>
      </c>
      <c r="AS131" s="61">
        <v>29028.26</v>
      </c>
      <c r="AT131" s="61">
        <v>29028.26</v>
      </c>
      <c r="AU131" s="61">
        <v>29028.26</v>
      </c>
      <c r="AV131" s="61"/>
      <c r="AW131" s="61"/>
      <c r="AX131" s="61"/>
      <c r="AY131" s="61"/>
      <c r="AZ131" s="61"/>
      <c r="BA131" s="61"/>
      <c r="BB131" s="80">
        <f>SUM(Financials2026[[#This Row],[Jan AC]:[Dec AC]])</f>
        <v>174169.56</v>
      </c>
      <c r="BC131" s="71">
        <f>Financials2026[[#This Row],[Jan AC]]-Financials2026[[#This Row],[Jan FC]]</f>
        <v>0</v>
      </c>
      <c r="BD131" s="71">
        <f>Financials2026[[#This Row],[Feb AC]]-Financials2026[[#This Row],[Feb FC]]</f>
        <v>0</v>
      </c>
      <c r="BE131" s="71">
        <f>Financials2026[[#This Row],[Mar AC]]-Financials2026[[#This Row],[Mar FC]]</f>
        <v>0</v>
      </c>
      <c r="BF131" s="71">
        <f>Financials2026[[#This Row],[Apr AC]]-Financials2026[[#This Row],[Apr FC]]</f>
        <v>0</v>
      </c>
      <c r="BG131" s="71">
        <f>Financials2026[[#This Row],[May AC]]-Financials2026[[#This Row],[May FC]]</f>
        <v>0</v>
      </c>
      <c r="BH131" s="71">
        <f>Financials2026[[#This Row],[Jun AC]]-Financials2026[[#This Row],[Jun FC]]</f>
        <v>0</v>
      </c>
      <c r="BI131" s="71">
        <f>Financials2026[[#This Row],[Jul AC]]-Financials2026[[#This Row],[Jul FC]]</f>
        <v>0</v>
      </c>
      <c r="BJ131" s="71">
        <f>Financials2026[[#This Row],[Aug AC]]-Financials2026[[#This Row],[Aug FC]]</f>
        <v>0</v>
      </c>
      <c r="BK131" s="71">
        <f>Financials2026[[#This Row],[Sep AC]]-Financials2026[[#This Row],[Sep FC]]</f>
        <v>0</v>
      </c>
      <c r="BL131" s="71">
        <f>Financials2026[[#This Row],[Oct AC]]-Financials2026[[#This Row],[Oct FC]]</f>
        <v>0</v>
      </c>
      <c r="BM131" s="71">
        <f>Financials2026[[#This Row],[Nov AC]]-Financials2026[[#This Row],[Nov FC]]</f>
        <v>0</v>
      </c>
      <c r="BN131" s="71">
        <f>Financials2026[[#This Row],[Dec AC]]-Financials2026[[#This Row],[Dec FC]]</f>
        <v>0</v>
      </c>
      <c r="BO131" s="71">
        <f>SUM(Financials2026[[#This Row],[Jan Opp/Risk]:[Dec Opp./Risk]])</f>
        <v>0</v>
      </c>
      <c r="BP131" s="90" t="s">
        <v>534</v>
      </c>
      <c r="BQ131" s="47">
        <f>SUM(Financials2026[[#This Row],[Jan AC]:[Apr AC]])</f>
        <v>116113.04</v>
      </c>
      <c r="BS131" s="6"/>
      <c r="BT131" s="6"/>
      <c r="BU131" s="6"/>
      <c r="BV131" s="6"/>
      <c r="BW131" s="6"/>
      <c r="BX131" s="6"/>
    </row>
    <row r="132" spans="1:76" hidden="1" x14ac:dyDescent="0.35">
      <c r="A132" s="22" t="s">
        <v>101</v>
      </c>
      <c r="B132" s="21" t="s">
        <v>278</v>
      </c>
      <c r="C132" s="21" t="s">
        <v>279</v>
      </c>
      <c r="D132" s="10" t="s">
        <v>33</v>
      </c>
      <c r="E132" s="7" t="s">
        <v>396</v>
      </c>
      <c r="F132" s="3" t="s">
        <v>211</v>
      </c>
      <c r="G132" s="3" t="s">
        <v>48</v>
      </c>
      <c r="H132" s="4">
        <v>45943</v>
      </c>
      <c r="I132" s="4">
        <v>46109</v>
      </c>
      <c r="J132" s="3" t="s">
        <v>397</v>
      </c>
      <c r="K132" s="3" t="str">
        <f t="shared" si="79"/>
        <v>Prj000476-Implement - Reporting to Support DGC</v>
      </c>
      <c r="L132" s="21" t="s">
        <v>106</v>
      </c>
      <c r="M132" s="21" t="s">
        <v>7</v>
      </c>
      <c r="N132" s="21" t="s">
        <v>7</v>
      </c>
      <c r="O132" s="21"/>
      <c r="P132" s="21" t="s">
        <v>107</v>
      </c>
      <c r="Q132" s="21" t="s">
        <v>108</v>
      </c>
      <c r="R132" s="21" t="s">
        <v>108</v>
      </c>
      <c r="S132" s="21" t="s">
        <v>132</v>
      </c>
      <c r="T132" s="5">
        <v>3529.53</v>
      </c>
      <c r="U132" s="5">
        <v>7470</v>
      </c>
      <c r="V132" s="5">
        <v>7470</v>
      </c>
      <c r="W132" s="15">
        <f t="shared" si="80"/>
        <v>7470</v>
      </c>
      <c r="X132" s="15">
        <f t="shared" si="57"/>
        <v>0</v>
      </c>
      <c r="Y132" s="15">
        <f t="shared" si="81"/>
        <v>0</v>
      </c>
      <c r="Z132" s="15">
        <f>SUM(Financials2026[[#This Row],[2026 Opportunity]:[2026 Risk]])</f>
        <v>0</v>
      </c>
      <c r="AA132" s="3" t="s">
        <v>398</v>
      </c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>
        <v>7470</v>
      </c>
      <c r="AM132" s="52"/>
      <c r="AN132" s="52">
        <f>SUM(Financials2026[[#This Row],[Jan FC]:[Dec FC]])</f>
        <v>7470</v>
      </c>
      <c r="AO132" s="15">
        <f t="shared" si="82"/>
        <v>7470</v>
      </c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80">
        <f>SUM(Financials2026[[#This Row],[Jan AC]:[Dec AC]])</f>
        <v>0</v>
      </c>
      <c r="BC132" s="71">
        <f>Financials2026[[#This Row],[Jan AC]]-Financials2026[[#This Row],[Jan FC]]</f>
        <v>0</v>
      </c>
      <c r="BD132" s="71">
        <f>Financials2026[[#This Row],[Feb AC]]-Financials2026[[#This Row],[Feb FC]]</f>
        <v>0</v>
      </c>
      <c r="BE132" s="71">
        <f>Financials2026[[#This Row],[Mar AC]]-Financials2026[[#This Row],[Mar FC]]</f>
        <v>0</v>
      </c>
      <c r="BF132" s="71">
        <f>Financials2026[[#This Row],[Apr AC]]-Financials2026[[#This Row],[Apr FC]]</f>
        <v>0</v>
      </c>
      <c r="BG132" s="71">
        <f>Financials2026[[#This Row],[May AC]]-Financials2026[[#This Row],[May FC]]</f>
        <v>0</v>
      </c>
      <c r="BH132" s="71">
        <f>Financials2026[[#This Row],[Jun AC]]-Financials2026[[#This Row],[Jun FC]]</f>
        <v>0</v>
      </c>
      <c r="BI132" s="71">
        <f>Financials2026[[#This Row],[Jul AC]]-Financials2026[[#This Row],[Jul FC]]</f>
        <v>0</v>
      </c>
      <c r="BJ132" s="71">
        <f>Financials2026[[#This Row],[Aug AC]]-Financials2026[[#This Row],[Aug FC]]</f>
        <v>0</v>
      </c>
      <c r="BK132" s="71">
        <f>Financials2026[[#This Row],[Sep AC]]-Financials2026[[#This Row],[Sep FC]]</f>
        <v>0</v>
      </c>
      <c r="BL132" s="71">
        <f>Financials2026[[#This Row],[Oct AC]]-Financials2026[[#This Row],[Oct FC]]</f>
        <v>0</v>
      </c>
      <c r="BM132" s="71">
        <f>Financials2026[[#This Row],[Nov AC]]-Financials2026[[#This Row],[Nov FC]]</f>
        <v>-7470</v>
      </c>
      <c r="BN132" s="71">
        <f>Financials2026[[#This Row],[Dec AC]]-Financials2026[[#This Row],[Dec FC]]</f>
        <v>0</v>
      </c>
      <c r="BO132" s="71">
        <f>SUM(Financials2026[[#This Row],[Jan Opp/Risk]:[Dec Opp./Risk]])</f>
        <v>-7470</v>
      </c>
      <c r="BP132" s="90"/>
      <c r="BQ132" s="47">
        <f>SUM(Financials2026[[#This Row],[Jan AC]:[Apr AC]])</f>
        <v>0</v>
      </c>
      <c r="BS132" s="6"/>
      <c r="BT132" s="6"/>
      <c r="BU132" s="6"/>
      <c r="BV132" s="6"/>
      <c r="BW132" s="6"/>
      <c r="BX132" s="6"/>
    </row>
    <row r="133" spans="1:76" hidden="1" x14ac:dyDescent="0.35">
      <c r="A133" s="22" t="s">
        <v>101</v>
      </c>
      <c r="B133" s="21" t="s">
        <v>208</v>
      </c>
      <c r="C133" s="21" t="s">
        <v>209</v>
      </c>
      <c r="D133" s="10" t="s">
        <v>21</v>
      </c>
      <c r="E133" s="7" t="s">
        <v>399</v>
      </c>
      <c r="F133" s="3" t="s">
        <v>168</v>
      </c>
      <c r="G133" s="3" t="s">
        <v>51</v>
      </c>
      <c r="H133" s="4"/>
      <c r="I133" s="4"/>
      <c r="J133" s="3"/>
      <c r="K133" s="3" t="str">
        <f t="shared" si="79"/>
        <v>Prj000402-Implement - Minor Enhancements for Data Services</v>
      </c>
      <c r="L133" s="21" t="s">
        <v>124</v>
      </c>
      <c r="M133" s="21" t="s">
        <v>5</v>
      </c>
      <c r="N133" s="21" t="s">
        <v>125</v>
      </c>
      <c r="O133" s="21"/>
      <c r="P133" s="21" t="s">
        <v>126</v>
      </c>
      <c r="Q133" s="21" t="s">
        <v>127</v>
      </c>
      <c r="R133" s="21" t="s">
        <v>128</v>
      </c>
      <c r="S133" s="3" t="s">
        <v>385</v>
      </c>
      <c r="T133" s="5">
        <v>0</v>
      </c>
      <c r="U133" s="5">
        <v>100000</v>
      </c>
      <c r="V133" s="5">
        <v>100000</v>
      </c>
      <c r="W133" s="15">
        <f t="shared" si="80"/>
        <v>100000</v>
      </c>
      <c r="X133" s="15">
        <f t="shared" si="57"/>
        <v>0</v>
      </c>
      <c r="Y133" s="15">
        <f t="shared" si="81"/>
        <v>0</v>
      </c>
      <c r="Z133" s="15">
        <f>SUM(Financials2026[[#This Row],[2026 Opportunity]:[2026 Risk]])</f>
        <v>0</v>
      </c>
      <c r="AA133" s="3" t="s">
        <v>385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46">
        <v>100000</v>
      </c>
      <c r="AN133" s="52">
        <f>SUM(Financials2026[[#This Row],[Jan FC]:[Dec FC]])</f>
        <v>100000</v>
      </c>
      <c r="AO133" s="15">
        <f t="shared" si="82"/>
        <v>100000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SUM(Financials2026[[#This Row],[Jan AC]:[Dec AC]])</f>
        <v>0</v>
      </c>
      <c r="BC133" s="71">
        <f>Financials2026[[#This Row],[Jan AC]]-Financials2026[[#This Row],[Jan FC]]</f>
        <v>0</v>
      </c>
      <c r="BD133" s="71">
        <f>Financials2026[[#This Row],[Feb AC]]-Financials2026[[#This Row],[Feb FC]]</f>
        <v>0</v>
      </c>
      <c r="BE133" s="71">
        <f>Financials2026[[#This Row],[Mar AC]]-Financials2026[[#This Row],[Mar FC]]</f>
        <v>0</v>
      </c>
      <c r="BF133" s="71">
        <f>Financials2026[[#This Row],[Apr AC]]-Financials2026[[#This Row],[Apr FC]]</f>
        <v>0</v>
      </c>
      <c r="BG133" s="71">
        <f>Financials2026[[#This Row],[May AC]]-Financials2026[[#This Row],[May FC]]</f>
        <v>0</v>
      </c>
      <c r="BH133" s="71">
        <f>Financials2026[[#This Row],[Jun AC]]-Financials2026[[#This Row],[Jun FC]]</f>
        <v>0</v>
      </c>
      <c r="BI133" s="71">
        <f>Financials2026[[#This Row],[Jul AC]]-Financials2026[[#This Row],[Jul FC]]</f>
        <v>0</v>
      </c>
      <c r="BJ133" s="71">
        <f>Financials2026[[#This Row],[Aug AC]]-Financials2026[[#This Row],[Aug FC]]</f>
        <v>0</v>
      </c>
      <c r="BK133" s="71">
        <f>Financials2026[[#This Row],[Sep AC]]-Financials2026[[#This Row],[Sep FC]]</f>
        <v>0</v>
      </c>
      <c r="BL133" s="71">
        <f>Financials2026[[#This Row],[Oct AC]]-Financials2026[[#This Row],[Oct FC]]</f>
        <v>0</v>
      </c>
      <c r="BM133" s="71">
        <f>Financials2026[[#This Row],[Nov AC]]-Financials2026[[#This Row],[Nov FC]]</f>
        <v>0</v>
      </c>
      <c r="BN133" s="71">
        <f>Financials2026[[#This Row],[Dec AC]]-Financials2026[[#This Row],[Dec FC]]</f>
        <v>-100000</v>
      </c>
      <c r="BO133" s="71">
        <f>SUM(Financials2026[[#This Row],[Jan Opp/Risk]:[Dec Opp./Risk]])</f>
        <v>-100000</v>
      </c>
      <c r="BP133" s="90" t="s">
        <v>880</v>
      </c>
      <c r="BQ133" s="47">
        <f>SUM(Financials2026[[#This Row],[Jan AC]:[Apr AC]])</f>
        <v>0</v>
      </c>
      <c r="BS133" s="6"/>
      <c r="BT133" s="6"/>
      <c r="BU133" s="6"/>
      <c r="BV133" s="6"/>
      <c r="BW133" s="6"/>
      <c r="BX133" s="6"/>
    </row>
    <row r="134" spans="1:76" hidden="1" x14ac:dyDescent="0.35">
      <c r="A134" s="22" t="s">
        <v>101</v>
      </c>
      <c r="B134" s="21" t="s">
        <v>400</v>
      </c>
      <c r="C134" s="21"/>
      <c r="D134" s="10" t="s">
        <v>12</v>
      </c>
      <c r="E134" s="7" t="s">
        <v>401</v>
      </c>
      <c r="F134" s="3" t="s">
        <v>123</v>
      </c>
      <c r="G134" s="3" t="s">
        <v>50</v>
      </c>
      <c r="H134" s="4"/>
      <c r="I134" s="4"/>
      <c r="J134" s="3"/>
      <c r="K134" s="3" t="str">
        <f t="shared" si="79"/>
        <v>Prj000278-Implement - Fund Acctn Modules to Support BS Transition</v>
      </c>
      <c r="L134" s="21" t="s">
        <v>124</v>
      </c>
      <c r="M134" s="21" t="s">
        <v>2</v>
      </c>
      <c r="N134" s="21" t="s">
        <v>350</v>
      </c>
      <c r="O134" s="21"/>
      <c r="P134" s="21" t="s">
        <v>345</v>
      </c>
      <c r="Q134" s="21" t="s">
        <v>346</v>
      </c>
      <c r="R134" s="21" t="s">
        <v>143</v>
      </c>
      <c r="S134" s="3" t="s">
        <v>385</v>
      </c>
      <c r="T134" s="5">
        <v>0</v>
      </c>
      <c r="U134" s="5">
        <v>250000</v>
      </c>
      <c r="V134" s="5">
        <v>250000</v>
      </c>
      <c r="W134" s="15">
        <f t="shared" si="80"/>
        <v>150000</v>
      </c>
      <c r="X134" s="15">
        <f t="shared" si="57"/>
        <v>-100000</v>
      </c>
      <c r="Y134" s="15">
        <f t="shared" si="81"/>
        <v>0</v>
      </c>
      <c r="Z134" s="15">
        <f>SUM(Financials2026[[#This Row],[2026 Opportunity]:[2026 Risk]])</f>
        <v>-100000</v>
      </c>
      <c r="AA134" s="3" t="s">
        <v>388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150000</v>
      </c>
      <c r="AN134" s="52">
        <f>SUM(Financials2026[[#This Row],[Jan FC]:[Dec FC]])</f>
        <v>150000</v>
      </c>
      <c r="AO134" s="15">
        <f t="shared" si="82"/>
        <v>150000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SUM(Financials2026[[#This Row],[Jan AC]:[Dec AC]])</f>
        <v>0</v>
      </c>
      <c r="BC134" s="71">
        <f>Financials2026[[#This Row],[Jan AC]]-Financials2026[[#This Row],[Jan FC]]</f>
        <v>0</v>
      </c>
      <c r="BD134" s="71">
        <f>Financials2026[[#This Row],[Feb AC]]-Financials2026[[#This Row],[Feb FC]]</f>
        <v>0</v>
      </c>
      <c r="BE134" s="71">
        <f>Financials2026[[#This Row],[Mar AC]]-Financials2026[[#This Row],[Mar FC]]</f>
        <v>0</v>
      </c>
      <c r="BF134" s="71">
        <f>Financials2026[[#This Row],[Apr AC]]-Financials2026[[#This Row],[Apr FC]]</f>
        <v>0</v>
      </c>
      <c r="BG134" s="71">
        <f>Financials2026[[#This Row],[May AC]]-Financials2026[[#This Row],[May FC]]</f>
        <v>0</v>
      </c>
      <c r="BH134" s="71">
        <f>Financials2026[[#This Row],[Jun AC]]-Financials2026[[#This Row],[Jun FC]]</f>
        <v>0</v>
      </c>
      <c r="BI134" s="71">
        <f>Financials2026[[#This Row],[Jul AC]]-Financials2026[[#This Row],[Jul FC]]</f>
        <v>0</v>
      </c>
      <c r="BJ134" s="71">
        <f>Financials2026[[#This Row],[Aug AC]]-Financials2026[[#This Row],[Aug FC]]</f>
        <v>0</v>
      </c>
      <c r="BK134" s="71">
        <f>Financials2026[[#This Row],[Sep AC]]-Financials2026[[#This Row],[Sep FC]]</f>
        <v>0</v>
      </c>
      <c r="BL134" s="71">
        <f>Financials2026[[#This Row],[Oct AC]]-Financials2026[[#This Row],[Oct FC]]</f>
        <v>0</v>
      </c>
      <c r="BM134" s="71">
        <f>Financials2026[[#This Row],[Nov AC]]-Financials2026[[#This Row],[Nov FC]]</f>
        <v>0</v>
      </c>
      <c r="BN134" s="71">
        <f>Financials2026[[#This Row],[Dec AC]]-Financials2026[[#This Row],[Dec FC]]</f>
        <v>-150000</v>
      </c>
      <c r="BO134" s="71">
        <f>SUM(Financials2026[[#This Row],[Jan Opp/Risk]:[Dec Opp./Risk]])</f>
        <v>-150000</v>
      </c>
      <c r="BP134" s="90" t="s">
        <v>880</v>
      </c>
      <c r="BQ134" s="47">
        <f>SUM(Financials2026[[#This Row],[Jan AC]:[Apr AC]])</f>
        <v>0</v>
      </c>
      <c r="BS134" s="6"/>
      <c r="BT134" s="6"/>
      <c r="BU134" s="6"/>
      <c r="BV134" s="6"/>
      <c r="BW134" s="6"/>
      <c r="BX134" s="6"/>
    </row>
    <row r="135" spans="1:76" hidden="1" x14ac:dyDescent="0.35">
      <c r="A135" s="22" t="s">
        <v>101</v>
      </c>
      <c r="B135" s="21" t="s">
        <v>402</v>
      </c>
      <c r="C135" s="21"/>
      <c r="D135" s="10" t="s">
        <v>14</v>
      </c>
      <c r="E135" s="7" t="s">
        <v>403</v>
      </c>
      <c r="F135" s="3" t="s">
        <v>114</v>
      </c>
      <c r="G135" s="3" t="s">
        <v>53</v>
      </c>
      <c r="H135" s="4">
        <v>45971</v>
      </c>
      <c r="I135" s="4">
        <v>46190</v>
      </c>
      <c r="J135" s="3"/>
      <c r="K135" s="3" t="str">
        <f t="shared" si="79"/>
        <v>Prj000296-Support - PMO Governance &amp; Reporting Activities</v>
      </c>
      <c r="L135" s="21" t="s">
        <v>106</v>
      </c>
      <c r="M135" s="21" t="s">
        <v>7</v>
      </c>
      <c r="N135" s="21" t="s">
        <v>7</v>
      </c>
      <c r="O135" s="21"/>
      <c r="P135" s="21" t="s">
        <v>107</v>
      </c>
      <c r="Q135" s="21" t="s">
        <v>201</v>
      </c>
      <c r="R135" s="21" t="s">
        <v>201</v>
      </c>
      <c r="S135" s="3" t="s">
        <v>109</v>
      </c>
      <c r="T135" s="5">
        <v>52988.05</v>
      </c>
      <c r="U135" s="5">
        <v>100000</v>
      </c>
      <c r="V135" s="5">
        <v>100000</v>
      </c>
      <c r="W135" s="15">
        <f t="shared" si="80"/>
        <v>109890</v>
      </c>
      <c r="X135" s="15">
        <f t="shared" si="57"/>
        <v>0</v>
      </c>
      <c r="Y135" s="15">
        <f t="shared" si="81"/>
        <v>9890</v>
      </c>
      <c r="Z135" s="15">
        <f>SUM(Financials2026[[#This Row],[2026 Opportunity]:[2026 Risk]])</f>
        <v>9890</v>
      </c>
      <c r="AA135" s="3" t="s">
        <v>900</v>
      </c>
      <c r="AB135" s="52"/>
      <c r="AC135" s="52"/>
      <c r="AD135" s="52"/>
      <c r="AE135" s="52"/>
      <c r="AF135" s="52"/>
      <c r="AG135" s="52"/>
      <c r="AH135" s="52"/>
      <c r="AI135" s="52">
        <v>109890</v>
      </c>
      <c r="AJ135" s="52"/>
      <c r="AK135" s="52"/>
      <c r="AL135" s="52"/>
      <c r="AM135" s="52"/>
      <c r="AN135" s="52">
        <f>SUM(Financials2026[[#This Row],[Jan FC]:[Dec FC]])</f>
        <v>109890</v>
      </c>
      <c r="AO135" s="15">
        <f t="shared" si="82"/>
        <v>109890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SUM(Financials2026[[#This Row],[Jan AC]:[Dec AC]])</f>
        <v>0</v>
      </c>
      <c r="BC135" s="71">
        <f>Financials2026[[#This Row],[Jan AC]]-Financials2026[[#This Row],[Jan FC]]</f>
        <v>0</v>
      </c>
      <c r="BD135" s="71">
        <f>Financials2026[[#This Row],[Feb AC]]-Financials2026[[#This Row],[Feb FC]]</f>
        <v>0</v>
      </c>
      <c r="BE135" s="71">
        <f>Financials2026[[#This Row],[Mar AC]]-Financials2026[[#This Row],[Mar FC]]</f>
        <v>0</v>
      </c>
      <c r="BF135" s="71">
        <f>Financials2026[[#This Row],[Apr AC]]-Financials2026[[#This Row],[Apr FC]]</f>
        <v>0</v>
      </c>
      <c r="BG135" s="71">
        <f>Financials2026[[#This Row],[May AC]]-Financials2026[[#This Row],[May FC]]</f>
        <v>0</v>
      </c>
      <c r="BH135" s="71">
        <f>Financials2026[[#This Row],[Jun AC]]-Financials2026[[#This Row],[Jun FC]]</f>
        <v>0</v>
      </c>
      <c r="BI135" s="71">
        <f>Financials2026[[#This Row],[Jul AC]]-Financials2026[[#This Row],[Jul FC]]</f>
        <v>0</v>
      </c>
      <c r="BJ135" s="71">
        <f>Financials2026[[#This Row],[Aug AC]]-Financials2026[[#This Row],[Aug FC]]</f>
        <v>-109890</v>
      </c>
      <c r="BK135" s="71">
        <f>Financials2026[[#This Row],[Sep AC]]-Financials2026[[#This Row],[Sep FC]]</f>
        <v>0</v>
      </c>
      <c r="BL135" s="71">
        <f>Financials2026[[#This Row],[Oct AC]]-Financials2026[[#This Row],[Oct FC]]</f>
        <v>0</v>
      </c>
      <c r="BM135" s="71">
        <f>Financials2026[[#This Row],[Nov AC]]-Financials2026[[#This Row],[Nov FC]]</f>
        <v>0</v>
      </c>
      <c r="BN135" s="71">
        <f>Financials2026[[#This Row],[Dec AC]]-Financials2026[[#This Row],[Dec FC]]</f>
        <v>0</v>
      </c>
      <c r="BO135" s="71">
        <f>SUM(Financials2026[[#This Row],[Jan Opp/Risk]:[Dec Opp./Risk]])</f>
        <v>-109890</v>
      </c>
      <c r="BP135" s="90" t="s">
        <v>880</v>
      </c>
      <c r="BQ135" s="47">
        <f>SUM(Financials2026[[#This Row],[Jan AC]:[Apr AC]])</f>
        <v>0</v>
      </c>
      <c r="BS135" s="6"/>
      <c r="BT135" s="6"/>
      <c r="BU135" s="6"/>
      <c r="BV135" s="6"/>
      <c r="BW135" s="6"/>
      <c r="BX135" s="6"/>
    </row>
    <row r="136" spans="1:76" ht="43.5" x14ac:dyDescent="0.35">
      <c r="A136" s="22" t="s">
        <v>101</v>
      </c>
      <c r="B136" s="21" t="s">
        <v>181</v>
      </c>
      <c r="C136" s="21"/>
      <c r="D136" s="10" t="s">
        <v>18</v>
      </c>
      <c r="E136" s="7" t="s">
        <v>386</v>
      </c>
      <c r="F136" s="3" t="s">
        <v>183</v>
      </c>
      <c r="G136" s="3" t="s">
        <v>48</v>
      </c>
      <c r="H136" s="4">
        <v>46023</v>
      </c>
      <c r="I136" s="4">
        <v>46112</v>
      </c>
      <c r="J136" s="3"/>
      <c r="K136" s="3" t="str">
        <f t="shared" si="79"/>
        <v>Prj000353-Implement - L1/L2 CoE for Additional Platforms</v>
      </c>
      <c r="L136" s="21" t="s">
        <v>124</v>
      </c>
      <c r="M136" s="21" t="s">
        <v>2</v>
      </c>
      <c r="N136" s="21" t="s">
        <v>341</v>
      </c>
      <c r="O136" s="21"/>
      <c r="P136" s="21" t="s">
        <v>126</v>
      </c>
      <c r="Q136" s="21" t="s">
        <v>127</v>
      </c>
      <c r="R136" s="21" t="s">
        <v>128</v>
      </c>
      <c r="S136" s="3" t="s">
        <v>385</v>
      </c>
      <c r="T136" s="15">
        <v>0</v>
      </c>
      <c r="U136" s="15">
        <v>250000</v>
      </c>
      <c r="V136" s="5">
        <v>250000</v>
      </c>
      <c r="W136" s="15">
        <f t="shared" si="80"/>
        <v>152500</v>
      </c>
      <c r="X136" s="15">
        <f t="shared" ref="X136:X148" si="83">IF(V136 &gt;= W136, V136 - W136, 0)*-1</f>
        <v>-97500</v>
      </c>
      <c r="Y136" s="15">
        <f t="shared" si="81"/>
        <v>0</v>
      </c>
      <c r="Z136" s="15">
        <f>SUM(Financials2026[[#This Row],[2026 Opportunity]:[2026 Risk]])</f>
        <v>-97500</v>
      </c>
      <c r="AA136" s="3" t="s">
        <v>404</v>
      </c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>
        <v>152500</v>
      </c>
      <c r="AN136" s="75">
        <f>SUM(Financials2026[[#This Row],[Jan FC]:[Dec FC]])</f>
        <v>152500</v>
      </c>
      <c r="AO136" s="15">
        <f t="shared" si="82"/>
        <v>152500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SUM(Financials2026[[#This Row],[Jan AC]:[Dec AC]])</f>
        <v>0</v>
      </c>
      <c r="BC136" s="71">
        <f>Financials2026[[#This Row],[Jan AC]]-Financials2026[[#This Row],[Jan FC]]</f>
        <v>0</v>
      </c>
      <c r="BD136" s="71">
        <f>Financials2026[[#This Row],[Feb AC]]-Financials2026[[#This Row],[Feb FC]]</f>
        <v>0</v>
      </c>
      <c r="BE136" s="71">
        <f>Financials2026[[#This Row],[Mar AC]]-Financials2026[[#This Row],[Mar FC]]</f>
        <v>0</v>
      </c>
      <c r="BF136" s="71">
        <f>Financials2026[[#This Row],[Apr AC]]-Financials2026[[#This Row],[Apr FC]]</f>
        <v>0</v>
      </c>
      <c r="BG136" s="71">
        <f>Financials2026[[#This Row],[May AC]]-Financials2026[[#This Row],[May FC]]</f>
        <v>0</v>
      </c>
      <c r="BH136" s="71">
        <f>Financials2026[[#This Row],[Jun AC]]-Financials2026[[#This Row],[Jun FC]]</f>
        <v>0</v>
      </c>
      <c r="BI136" s="71">
        <f>Financials2026[[#This Row],[Jul AC]]-Financials2026[[#This Row],[Jul FC]]</f>
        <v>0</v>
      </c>
      <c r="BJ136" s="71">
        <f>Financials2026[[#This Row],[Aug AC]]-Financials2026[[#This Row],[Aug FC]]</f>
        <v>0</v>
      </c>
      <c r="BK136" s="71">
        <f>Financials2026[[#This Row],[Sep AC]]-Financials2026[[#This Row],[Sep FC]]</f>
        <v>0</v>
      </c>
      <c r="BL136" s="71">
        <f>Financials2026[[#This Row],[Oct AC]]-Financials2026[[#This Row],[Oct FC]]</f>
        <v>0</v>
      </c>
      <c r="BM136" s="71">
        <f>Financials2026[[#This Row],[Nov AC]]-Financials2026[[#This Row],[Nov FC]]</f>
        <v>0</v>
      </c>
      <c r="BN136" s="71">
        <f>Financials2026[[#This Row],[Dec AC]]-Financials2026[[#This Row],[Dec FC]]</f>
        <v>-152500</v>
      </c>
      <c r="BO136" s="71">
        <f>SUM(Financials2026[[#This Row],[Jan Opp/Risk]:[Dec Opp./Risk]])</f>
        <v>-152500</v>
      </c>
      <c r="BP136" s="44" t="s">
        <v>419</v>
      </c>
      <c r="BQ136" s="47">
        <f>SUM(Financials2026[[#This Row],[Jan AC]:[Apr AC]])</f>
        <v>0</v>
      </c>
      <c r="BS136" s="6"/>
      <c r="BT136" s="6"/>
      <c r="BU136" s="6"/>
      <c r="BV136" s="6"/>
      <c r="BW136" s="6"/>
      <c r="BX136" s="6"/>
    </row>
    <row r="137" spans="1:76" x14ac:dyDescent="0.35">
      <c r="A137" s="22" t="s">
        <v>101</v>
      </c>
      <c r="B137" s="21" t="s">
        <v>181</v>
      </c>
      <c r="C137" s="21"/>
      <c r="D137" s="10" t="s">
        <v>14</v>
      </c>
      <c r="E137" s="7" t="s">
        <v>403</v>
      </c>
      <c r="F137" s="3" t="s">
        <v>114</v>
      </c>
      <c r="G137" s="3" t="s">
        <v>53</v>
      </c>
      <c r="H137" s="4"/>
      <c r="I137" s="4"/>
      <c r="J137" s="3"/>
      <c r="K137" s="3" t="str">
        <f t="shared" si="79"/>
        <v>Prj000296-Support - PMO Governance &amp; Reporting Activities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5">
        <v>100000</v>
      </c>
      <c r="V137" s="5">
        <v>100000</v>
      </c>
      <c r="W137" s="15">
        <f t="shared" si="80"/>
        <v>0</v>
      </c>
      <c r="X137" s="15">
        <f t="shared" si="83"/>
        <v>-100000</v>
      </c>
      <c r="Y137" s="15">
        <f t="shared" si="81"/>
        <v>0</v>
      </c>
      <c r="Z137" s="15">
        <f>SUM(Financials2026[[#This Row],[2026 Opportunity]:[2026 Risk]])</f>
        <v>-100000</v>
      </c>
      <c r="AA137" s="3" t="s">
        <v>405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N137" s="52">
        <f>SUM(Financials2026[[#This Row],[Jan FC]:[Dec FC]])</f>
        <v>0</v>
      </c>
      <c r="AO137" s="15">
        <f t="shared" si="82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SUM(Financials2026[[#This Row],[Jan AC]:[Dec AC]])</f>
        <v>0</v>
      </c>
      <c r="BC137" s="71">
        <f>Financials2026[[#This Row],[Jan AC]]-Financials2026[[#This Row],[Jan FC]]</f>
        <v>0</v>
      </c>
      <c r="BD137" s="71">
        <f>Financials2026[[#This Row],[Feb AC]]-Financials2026[[#This Row],[Feb FC]]</f>
        <v>0</v>
      </c>
      <c r="BE137" s="71">
        <f>Financials2026[[#This Row],[Mar AC]]-Financials2026[[#This Row],[Mar FC]]</f>
        <v>0</v>
      </c>
      <c r="BF137" s="71">
        <f>Financials2026[[#This Row],[Apr AC]]-Financials2026[[#This Row],[Apr FC]]</f>
        <v>0</v>
      </c>
      <c r="BG137" s="71">
        <f>Financials2026[[#This Row],[May AC]]-Financials2026[[#This Row],[May FC]]</f>
        <v>0</v>
      </c>
      <c r="BH137" s="71">
        <f>Financials2026[[#This Row],[Jun AC]]-Financials2026[[#This Row],[Jun FC]]</f>
        <v>0</v>
      </c>
      <c r="BI137" s="71">
        <f>Financials2026[[#This Row],[Jul AC]]-Financials2026[[#This Row],[Jul FC]]</f>
        <v>0</v>
      </c>
      <c r="BJ137" s="71">
        <f>Financials2026[[#This Row],[Aug AC]]-Financials2026[[#This Row],[Aug FC]]</f>
        <v>0</v>
      </c>
      <c r="BK137" s="71">
        <f>Financials2026[[#This Row],[Sep AC]]-Financials2026[[#This Row],[Sep FC]]</f>
        <v>0</v>
      </c>
      <c r="BL137" s="71">
        <f>Financials2026[[#This Row],[Oct AC]]-Financials2026[[#This Row],[Oct FC]]</f>
        <v>0</v>
      </c>
      <c r="BM137" s="71">
        <f>Financials2026[[#This Row],[Nov AC]]-Financials2026[[#This Row],[Nov FC]]</f>
        <v>0</v>
      </c>
      <c r="BN137" s="71">
        <f>Financials2026[[#This Row],[Dec AC]]-Financials2026[[#This Row],[Dec FC]]</f>
        <v>0</v>
      </c>
      <c r="BO137" s="71">
        <f>SUM(Financials2026[[#This Row],[Jan Opp/Risk]:[Dec Opp./Risk]])</f>
        <v>0</v>
      </c>
      <c r="BP137" s="90" t="s">
        <v>880</v>
      </c>
      <c r="BQ137" s="47">
        <f>SUM(Financials2026[[#This Row],[Jan AC]:[Apr AC]])</f>
        <v>0</v>
      </c>
      <c r="BS137" s="6"/>
      <c r="BT137" s="6"/>
      <c r="BU137" s="6"/>
      <c r="BV137" s="6"/>
      <c r="BW137" s="6"/>
      <c r="BX137" s="6"/>
    </row>
    <row r="138" spans="1:76" hidden="1" x14ac:dyDescent="0.35">
      <c r="A138" s="22" t="s">
        <v>101</v>
      </c>
      <c r="B138" s="21" t="s">
        <v>57</v>
      </c>
      <c r="C138" s="21"/>
      <c r="D138" s="10" t="s">
        <v>17</v>
      </c>
      <c r="E138" s="7" t="s">
        <v>103</v>
      </c>
      <c r="F138" s="3" t="s">
        <v>104</v>
      </c>
      <c r="G138" s="3" t="s">
        <v>49</v>
      </c>
      <c r="H138" s="4" t="s">
        <v>115</v>
      </c>
      <c r="I138" s="4" t="s">
        <v>115</v>
      </c>
      <c r="J138" s="3"/>
      <c r="K138" s="3" t="str">
        <f t="shared" si="79"/>
        <v>Prj000350-Support - Infrastructure for Tech</v>
      </c>
      <c r="L138" s="21" t="s">
        <v>106</v>
      </c>
      <c r="M138" s="21" t="s">
        <v>3</v>
      </c>
      <c r="N138" s="21" t="s">
        <v>3</v>
      </c>
      <c r="O138" s="21"/>
      <c r="P138" s="21" t="s">
        <v>107</v>
      </c>
      <c r="Q138" s="21" t="s">
        <v>378</v>
      </c>
      <c r="R138" s="21" t="s">
        <v>378</v>
      </c>
      <c r="S138" s="21" t="s">
        <v>132</v>
      </c>
      <c r="T138" s="5">
        <v>0</v>
      </c>
      <c r="U138" s="5">
        <v>0</v>
      </c>
      <c r="V138" s="5">
        <v>0</v>
      </c>
      <c r="W138" s="15">
        <f t="shared" si="80"/>
        <v>75000</v>
      </c>
      <c r="X138" s="15">
        <f t="shared" si="83"/>
        <v>0</v>
      </c>
      <c r="Y138" s="15">
        <f t="shared" si="81"/>
        <v>75000</v>
      </c>
      <c r="Z138" s="15">
        <f>SUM(Financials2026[[#This Row],[2026 Opportunity]:[2026 Risk]])</f>
        <v>75000</v>
      </c>
      <c r="AA138" s="3" t="s">
        <v>406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>
        <v>75000</v>
      </c>
      <c r="AN138" s="52">
        <f>SUM(Financials2026[[#This Row],[Jan FC]:[Dec FC]])</f>
        <v>75000</v>
      </c>
      <c r="AO138" s="15">
        <f t="shared" si="82"/>
        <v>75000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SUM(Financials2026[[#This Row],[Jan AC]:[Dec AC]])</f>
        <v>0</v>
      </c>
      <c r="BC138" s="71">
        <f>Financials2026[[#This Row],[Jan AC]]-Financials2026[[#This Row],[Jan FC]]</f>
        <v>0</v>
      </c>
      <c r="BD138" s="71">
        <f>Financials2026[[#This Row],[Feb AC]]-Financials2026[[#This Row],[Feb FC]]</f>
        <v>0</v>
      </c>
      <c r="BE138" s="71">
        <f>Financials2026[[#This Row],[Mar AC]]-Financials2026[[#This Row],[Mar FC]]</f>
        <v>0</v>
      </c>
      <c r="BF138" s="71">
        <f>Financials2026[[#This Row],[Apr AC]]-Financials2026[[#This Row],[Apr FC]]</f>
        <v>0</v>
      </c>
      <c r="BG138" s="71">
        <f>Financials2026[[#This Row],[May AC]]-Financials2026[[#This Row],[May FC]]</f>
        <v>0</v>
      </c>
      <c r="BH138" s="71">
        <f>Financials2026[[#This Row],[Jun AC]]-Financials2026[[#This Row],[Jun FC]]</f>
        <v>0</v>
      </c>
      <c r="BI138" s="71">
        <f>Financials2026[[#This Row],[Jul AC]]-Financials2026[[#This Row],[Jul FC]]</f>
        <v>0</v>
      </c>
      <c r="BJ138" s="71">
        <f>Financials2026[[#This Row],[Aug AC]]-Financials2026[[#This Row],[Aug FC]]</f>
        <v>0</v>
      </c>
      <c r="BK138" s="71">
        <f>Financials2026[[#This Row],[Sep AC]]-Financials2026[[#This Row],[Sep FC]]</f>
        <v>0</v>
      </c>
      <c r="BL138" s="71">
        <f>Financials2026[[#This Row],[Oct AC]]-Financials2026[[#This Row],[Oct FC]]</f>
        <v>0</v>
      </c>
      <c r="BM138" s="71">
        <f>Financials2026[[#This Row],[Nov AC]]-Financials2026[[#This Row],[Nov FC]]</f>
        <v>0</v>
      </c>
      <c r="BN138" s="71">
        <f>Financials2026[[#This Row],[Dec AC]]-Financials2026[[#This Row],[Dec FC]]</f>
        <v>-75000</v>
      </c>
      <c r="BO138" s="71">
        <f>SUM(Financials2026[[#This Row],[Jan Opp/Risk]:[Dec Opp./Risk]])</f>
        <v>-75000</v>
      </c>
      <c r="BP138" s="90" t="s">
        <v>545</v>
      </c>
      <c r="BQ138" s="47">
        <f>SUM(Financials2026[[#This Row],[Jan AC]:[Apr AC]])</f>
        <v>0</v>
      </c>
      <c r="BS138" s="6"/>
      <c r="BT138" s="6"/>
      <c r="BU138" s="6"/>
      <c r="BV138" s="6"/>
      <c r="BW138" s="6"/>
      <c r="BX138" s="6"/>
    </row>
    <row r="139" spans="1:76" hidden="1" x14ac:dyDescent="0.35">
      <c r="A139" s="22" t="s">
        <v>101</v>
      </c>
      <c r="B139" s="21" t="s">
        <v>407</v>
      </c>
      <c r="C139" s="21"/>
      <c r="D139" s="10" t="s">
        <v>20</v>
      </c>
      <c r="E139" s="7" t="s">
        <v>160</v>
      </c>
      <c r="F139" s="3" t="s">
        <v>161</v>
      </c>
      <c r="G139" s="3" t="s">
        <v>50</v>
      </c>
      <c r="H139" s="4">
        <v>46023</v>
      </c>
      <c r="I139" s="4">
        <v>46387</v>
      </c>
      <c r="J139" s="3" t="s">
        <v>408</v>
      </c>
      <c r="K139" s="3" t="str">
        <f t="shared" si="79"/>
        <v>Prj000381-Support - Prod Support for Credit Apps</v>
      </c>
      <c r="L139" s="21" t="s">
        <v>106</v>
      </c>
      <c r="M139" s="21" t="s">
        <v>7</v>
      </c>
      <c r="N139" s="21" t="s">
        <v>7</v>
      </c>
      <c r="O139" s="21" t="s">
        <v>165</v>
      </c>
      <c r="P139" s="21" t="s">
        <v>107</v>
      </c>
      <c r="Q139" s="21" t="s">
        <v>201</v>
      </c>
      <c r="R139" s="21" t="s">
        <v>201</v>
      </c>
      <c r="S139" s="21" t="s">
        <v>109</v>
      </c>
      <c r="T139" s="5">
        <v>1670024</v>
      </c>
      <c r="U139" s="15">
        <v>1778445.9000000001</v>
      </c>
      <c r="V139" s="15">
        <v>1778445.9000000001</v>
      </c>
      <c r="W139" s="15">
        <f t="shared" si="80"/>
        <v>1864672.0199999998</v>
      </c>
      <c r="X139" s="15">
        <f t="shared" si="83"/>
        <v>0</v>
      </c>
      <c r="Y139" s="15">
        <f t="shared" si="81"/>
        <v>86226.119999999646</v>
      </c>
      <c r="Z139" s="15">
        <f>SUM(Financials2026[[#This Row],[2026 Opportunity]:[2026 Risk]])</f>
        <v>86226.119999999646</v>
      </c>
      <c r="AA139" s="14" t="s">
        <v>409</v>
      </c>
      <c r="AB139" s="52">
        <v>155389.33499999999</v>
      </c>
      <c r="AC139" s="52">
        <v>155389.33499999999</v>
      </c>
      <c r="AD139" s="52">
        <v>155389.33499999999</v>
      </c>
      <c r="AE139" s="52">
        <v>155389.33499999999</v>
      </c>
      <c r="AF139" s="52">
        <v>155389.33499999999</v>
      </c>
      <c r="AG139" s="52">
        <v>155389.33499999999</v>
      </c>
      <c r="AH139" s="52">
        <v>155389.33499999999</v>
      </c>
      <c r="AI139" s="52">
        <v>155389.33499999999</v>
      </c>
      <c r="AJ139" s="52">
        <v>155389.33499999999</v>
      </c>
      <c r="AK139" s="52">
        <v>155389.33499999999</v>
      </c>
      <c r="AL139" s="52">
        <v>155389.33499999999</v>
      </c>
      <c r="AM139" s="52">
        <v>155389.33499999999</v>
      </c>
      <c r="AN139" s="52">
        <f>SUM(Financials2026[[#This Row],[Jan FC]:[Dec FC]])</f>
        <v>1864672.0199999998</v>
      </c>
      <c r="AO139" s="15">
        <f t="shared" si="82"/>
        <v>1087725.345</v>
      </c>
      <c r="AP139" s="61">
        <f t="shared" ref="AP139:BA139" si="84">1864672.02/12</f>
        <v>155389.33499999999</v>
      </c>
      <c r="AQ139" s="61">
        <f t="shared" si="84"/>
        <v>155389.33499999999</v>
      </c>
      <c r="AR139" s="61">
        <f t="shared" si="84"/>
        <v>155389.33499999999</v>
      </c>
      <c r="AS139" s="61">
        <f t="shared" si="84"/>
        <v>155389.33499999999</v>
      </c>
      <c r="AT139" s="61">
        <f t="shared" si="84"/>
        <v>155389.33499999999</v>
      </c>
      <c r="AU139" s="61">
        <f t="shared" si="84"/>
        <v>155389.33499999999</v>
      </c>
      <c r="AV139" s="61">
        <f t="shared" si="84"/>
        <v>155389.33499999999</v>
      </c>
      <c r="AW139" s="61">
        <f t="shared" si="84"/>
        <v>155389.33499999999</v>
      </c>
      <c r="AX139" s="61">
        <f t="shared" si="84"/>
        <v>155389.33499999999</v>
      </c>
      <c r="AY139" s="61">
        <f t="shared" si="84"/>
        <v>155389.33499999999</v>
      </c>
      <c r="AZ139" s="61">
        <f t="shared" si="84"/>
        <v>155389.33499999999</v>
      </c>
      <c r="BA139" s="61">
        <f t="shared" si="84"/>
        <v>155389.33499999999</v>
      </c>
      <c r="BB139" s="80">
        <f>SUM(Financials2026[[#This Row],[Jan AC]:[Dec AC]])</f>
        <v>1864672.0199999998</v>
      </c>
      <c r="BC139" s="71">
        <f>Financials2026[[#This Row],[Jan AC]]-Financials2026[[#This Row],[Jan FC]]</f>
        <v>0</v>
      </c>
      <c r="BD139" s="71">
        <f>Financials2026[[#This Row],[Feb AC]]-Financials2026[[#This Row],[Feb FC]]</f>
        <v>0</v>
      </c>
      <c r="BE139" s="71">
        <f>Financials2026[[#This Row],[Mar AC]]-Financials2026[[#This Row],[Mar FC]]</f>
        <v>0</v>
      </c>
      <c r="BF139" s="71">
        <f>Financials2026[[#This Row],[Apr AC]]-Financials2026[[#This Row],[Apr FC]]</f>
        <v>0</v>
      </c>
      <c r="BG139" s="71">
        <f>Financials2026[[#This Row],[May AC]]-Financials2026[[#This Row],[May FC]]</f>
        <v>0</v>
      </c>
      <c r="BH139" s="71">
        <f>Financials2026[[#This Row],[Jun AC]]-Financials2026[[#This Row],[Jun FC]]</f>
        <v>0</v>
      </c>
      <c r="BI139" s="71">
        <f>Financials2026[[#This Row],[Jul AC]]-Financials2026[[#This Row],[Jul FC]]</f>
        <v>0</v>
      </c>
      <c r="BJ139" s="71">
        <f>Financials2026[[#This Row],[Aug AC]]-Financials2026[[#This Row],[Aug FC]]</f>
        <v>0</v>
      </c>
      <c r="BK139" s="71">
        <f>Financials2026[[#This Row],[Sep AC]]-Financials2026[[#This Row],[Sep FC]]</f>
        <v>0</v>
      </c>
      <c r="BL139" s="71">
        <f>Financials2026[[#This Row],[Oct AC]]-Financials2026[[#This Row],[Oct FC]]</f>
        <v>0</v>
      </c>
      <c r="BM139" s="71">
        <f>Financials2026[[#This Row],[Nov AC]]-Financials2026[[#This Row],[Nov FC]]</f>
        <v>0</v>
      </c>
      <c r="BN139" s="71">
        <f>Financials2026[[#This Row],[Dec AC]]-Financials2026[[#This Row],[Dec FC]]</f>
        <v>0</v>
      </c>
      <c r="BO139" s="71">
        <f>SUM(Financials2026[[#This Row],[Jan Opp/Risk]:[Dec Opp./Risk]])</f>
        <v>0</v>
      </c>
      <c r="BP139" s="90" t="s">
        <v>534</v>
      </c>
      <c r="BQ139" s="47">
        <f>SUM(Financials2026[[#This Row],[Jan AC]:[Apr AC]])</f>
        <v>621557.34</v>
      </c>
      <c r="BS139" s="6"/>
      <c r="BT139" s="6"/>
      <c r="BU139" s="6"/>
      <c r="BV139" s="6"/>
      <c r="BW139" s="6"/>
      <c r="BX139" s="6"/>
    </row>
    <row r="140" spans="1:76" hidden="1" x14ac:dyDescent="0.35">
      <c r="A140" s="22" t="s">
        <v>101</v>
      </c>
      <c r="B140" s="21" t="s">
        <v>410</v>
      </c>
      <c r="C140" s="21" t="s">
        <v>411</v>
      </c>
      <c r="D140" s="10" t="s">
        <v>16</v>
      </c>
      <c r="E140" s="7" t="s">
        <v>122</v>
      </c>
      <c r="F140" s="3" t="s">
        <v>123</v>
      </c>
      <c r="G140" s="3" t="s">
        <v>50</v>
      </c>
      <c r="H140" s="4">
        <v>46013</v>
      </c>
      <c r="I140" s="4">
        <v>46377</v>
      </c>
      <c r="J140" s="3"/>
      <c r="K140" s="3" t="str">
        <f t="shared" si="79"/>
        <v>Prj000344-Support - Prod support for Finance Applications</v>
      </c>
      <c r="L140" s="21" t="s">
        <v>106</v>
      </c>
      <c r="M140" s="21" t="s">
        <v>7</v>
      </c>
      <c r="N140" s="21" t="s">
        <v>7</v>
      </c>
      <c r="O140" s="21"/>
      <c r="P140" s="21" t="s">
        <v>107</v>
      </c>
      <c r="Q140" s="21" t="s">
        <v>108</v>
      </c>
      <c r="R140" s="21" t="s">
        <v>108</v>
      </c>
      <c r="S140" s="21" t="s">
        <v>109</v>
      </c>
      <c r="T140" s="5">
        <v>284328.36999999994</v>
      </c>
      <c r="U140" s="15">
        <v>298544.40000000002</v>
      </c>
      <c r="V140" s="15">
        <v>298544.40000000002</v>
      </c>
      <c r="W140" s="15">
        <f t="shared" si="80"/>
        <v>284328.36999999994</v>
      </c>
      <c r="X140" s="15">
        <f t="shared" si="83"/>
        <v>-14216.030000000086</v>
      </c>
      <c r="Y140" s="15">
        <f t="shared" si="81"/>
        <v>0</v>
      </c>
      <c r="Z140" s="15">
        <f>SUM(Financials2026[[#This Row],[2026 Opportunity]:[2026 Risk]])</f>
        <v>-14216.030000000086</v>
      </c>
      <c r="AA140" s="14" t="s">
        <v>409</v>
      </c>
      <c r="AB140" s="52">
        <v>23694.030833333334</v>
      </c>
      <c r="AC140" s="52">
        <v>23694.030833333334</v>
      </c>
      <c r="AD140" s="52">
        <v>23694.030833333334</v>
      </c>
      <c r="AE140" s="52">
        <v>23694.030833333334</v>
      </c>
      <c r="AF140" s="52">
        <v>23694.030833333334</v>
      </c>
      <c r="AG140" s="52">
        <v>23694.030833333334</v>
      </c>
      <c r="AH140" s="52">
        <v>23694.030833333334</v>
      </c>
      <c r="AI140" s="52">
        <v>23694.030833333334</v>
      </c>
      <c r="AJ140" s="52">
        <v>23694.030833333334</v>
      </c>
      <c r="AK140" s="52">
        <v>23694.030833333334</v>
      </c>
      <c r="AL140" s="52">
        <v>23694.030833333334</v>
      </c>
      <c r="AM140" s="52">
        <v>23694.030833333334</v>
      </c>
      <c r="AN140" s="52">
        <f>SUM(Financials2026[[#This Row],[Jan FC]:[Dec FC]])</f>
        <v>284328.36999999994</v>
      </c>
      <c r="AO140" s="15">
        <f t="shared" si="82"/>
        <v>165858.21583333332</v>
      </c>
      <c r="AP140" s="61">
        <f t="shared" ref="AP140:BA140" si="85">284328.37/12</f>
        <v>23694.030833333334</v>
      </c>
      <c r="AQ140" s="61">
        <f t="shared" si="85"/>
        <v>23694.030833333334</v>
      </c>
      <c r="AR140" s="61">
        <f t="shared" si="85"/>
        <v>23694.030833333334</v>
      </c>
      <c r="AS140" s="61">
        <f t="shared" si="85"/>
        <v>23694.030833333334</v>
      </c>
      <c r="AT140" s="61">
        <f t="shared" si="85"/>
        <v>23694.030833333334</v>
      </c>
      <c r="AU140" s="61">
        <f t="shared" si="85"/>
        <v>23694.030833333334</v>
      </c>
      <c r="AV140" s="61">
        <f t="shared" si="85"/>
        <v>23694.030833333334</v>
      </c>
      <c r="AW140" s="61">
        <f t="shared" si="85"/>
        <v>23694.030833333334</v>
      </c>
      <c r="AX140" s="61">
        <f t="shared" si="85"/>
        <v>23694.030833333334</v>
      </c>
      <c r="AY140" s="61">
        <f t="shared" si="85"/>
        <v>23694.030833333334</v>
      </c>
      <c r="AZ140" s="61">
        <f t="shared" si="85"/>
        <v>23694.030833333334</v>
      </c>
      <c r="BA140" s="61">
        <f t="shared" si="85"/>
        <v>23694.030833333334</v>
      </c>
      <c r="BB140" s="80">
        <f>SUM(Financials2026[[#This Row],[Jan AC]:[Dec AC]])</f>
        <v>284328.36999999994</v>
      </c>
      <c r="BC140" s="71">
        <f>Financials2026[[#This Row],[Jan AC]]-Financials2026[[#This Row],[Jan FC]]</f>
        <v>0</v>
      </c>
      <c r="BD140" s="71">
        <f>Financials2026[[#This Row],[Feb AC]]-Financials2026[[#This Row],[Feb FC]]</f>
        <v>0</v>
      </c>
      <c r="BE140" s="71">
        <f>Financials2026[[#This Row],[Mar AC]]-Financials2026[[#This Row],[Mar FC]]</f>
        <v>0</v>
      </c>
      <c r="BF140" s="71">
        <f>Financials2026[[#This Row],[Apr AC]]-Financials2026[[#This Row],[Apr FC]]</f>
        <v>0</v>
      </c>
      <c r="BG140" s="71">
        <f>Financials2026[[#This Row],[May AC]]-Financials2026[[#This Row],[May FC]]</f>
        <v>0</v>
      </c>
      <c r="BH140" s="71">
        <f>Financials2026[[#This Row],[Jun AC]]-Financials2026[[#This Row],[Jun FC]]</f>
        <v>0</v>
      </c>
      <c r="BI140" s="71">
        <f>Financials2026[[#This Row],[Jul AC]]-Financials2026[[#This Row],[Jul FC]]</f>
        <v>0</v>
      </c>
      <c r="BJ140" s="71">
        <f>Financials2026[[#This Row],[Aug AC]]-Financials2026[[#This Row],[Aug FC]]</f>
        <v>0</v>
      </c>
      <c r="BK140" s="71">
        <f>Financials2026[[#This Row],[Sep AC]]-Financials2026[[#This Row],[Sep FC]]</f>
        <v>0</v>
      </c>
      <c r="BL140" s="71">
        <f>Financials2026[[#This Row],[Oct AC]]-Financials2026[[#This Row],[Oct FC]]</f>
        <v>0</v>
      </c>
      <c r="BM140" s="71">
        <f>Financials2026[[#This Row],[Nov AC]]-Financials2026[[#This Row],[Nov FC]]</f>
        <v>0</v>
      </c>
      <c r="BN140" s="71">
        <f>Financials2026[[#This Row],[Dec AC]]-Financials2026[[#This Row],[Dec FC]]</f>
        <v>0</v>
      </c>
      <c r="BO140" s="71">
        <f>SUM(Financials2026[[#This Row],[Jan Opp/Risk]:[Dec Opp./Risk]])</f>
        <v>0</v>
      </c>
      <c r="BP140" s="90" t="s">
        <v>534</v>
      </c>
      <c r="BQ140" s="47">
        <f>SUM(Financials2026[[#This Row],[Jan AC]:[Apr AC]])</f>
        <v>94776.123333333337</v>
      </c>
      <c r="BS140" s="6"/>
      <c r="BT140" s="6"/>
      <c r="BU140" s="6"/>
      <c r="BV140" s="6"/>
      <c r="BW140" s="6"/>
      <c r="BX140" s="6"/>
    </row>
    <row r="141" spans="1:76" hidden="1" x14ac:dyDescent="0.35">
      <c r="A141" s="22" t="s">
        <v>101</v>
      </c>
      <c r="B141" s="21" t="s">
        <v>334</v>
      </c>
      <c r="C141" s="21" t="s">
        <v>412</v>
      </c>
      <c r="D141" s="10" t="s">
        <v>31</v>
      </c>
      <c r="E141" s="7" t="s">
        <v>204</v>
      </c>
      <c r="F141" s="3" t="s">
        <v>205</v>
      </c>
      <c r="G141" s="3" t="s">
        <v>50</v>
      </c>
      <c r="H141" s="4"/>
      <c r="I141" s="4"/>
      <c r="J141" s="3"/>
      <c r="K141" s="3" t="str">
        <f t="shared" si="79"/>
        <v>Prj000469-Support - Prod Support for Ops Apps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134</v>
      </c>
      <c r="R141" s="21" t="s">
        <v>134</v>
      </c>
      <c r="S141" s="21" t="s">
        <v>132</v>
      </c>
      <c r="T141" s="5">
        <v>0</v>
      </c>
      <c r="U141" s="15">
        <v>0</v>
      </c>
      <c r="V141" s="15">
        <v>0</v>
      </c>
      <c r="W141" s="15">
        <f t="shared" si="80"/>
        <v>232487.75</v>
      </c>
      <c r="X141" s="15">
        <f t="shared" si="83"/>
        <v>0</v>
      </c>
      <c r="Y141" s="15">
        <f>IF(W141 &gt; V141, W141 - V141, 0)</f>
        <v>232487.75</v>
      </c>
      <c r="Z141" s="15">
        <f>SUM(Financials2026[[#This Row],[2026 Opportunity]:[2026 Risk]])</f>
        <v>232487.75</v>
      </c>
      <c r="AA141" s="3" t="s">
        <v>40</v>
      </c>
      <c r="AB141" s="51"/>
      <c r="AC141" s="51"/>
      <c r="AD141" s="55"/>
      <c r="AE141" s="52">
        <v>232487.75</v>
      </c>
      <c r="AF141" s="56"/>
      <c r="AG141" s="51"/>
      <c r="AH141" s="57"/>
      <c r="AI141" s="52"/>
      <c r="AJ141" s="58"/>
      <c r="AK141" s="59"/>
      <c r="AL141" s="59"/>
      <c r="AM141" s="52"/>
      <c r="AN141" s="52">
        <f>SUM(Financials2026[[#This Row],[Jan FC]:[Dec FC]])</f>
        <v>232487.75</v>
      </c>
      <c r="AO141" s="15">
        <f t="shared" si="82"/>
        <v>0</v>
      </c>
      <c r="AP141" s="60"/>
      <c r="AQ141" s="60"/>
      <c r="AR141" s="64"/>
      <c r="AS141" s="61">
        <v>232487.75</v>
      </c>
      <c r="AT141" s="65"/>
      <c r="AU141" s="60"/>
      <c r="AV141" s="66"/>
      <c r="AW141" s="61"/>
      <c r="AX141" s="67"/>
      <c r="AY141" s="68"/>
      <c r="AZ141" s="68"/>
      <c r="BA141" s="61"/>
      <c r="BB141" s="80">
        <f>SUM(Financials2026[[#This Row],[Jan AC]:[Dec AC]])</f>
        <v>232487.75</v>
      </c>
      <c r="BC141" s="71">
        <f>Financials2026[[#This Row],[Jan AC]]-Financials2026[[#This Row],[Jan FC]]</f>
        <v>0</v>
      </c>
      <c r="BD141" s="71">
        <f>Financials2026[[#This Row],[Feb AC]]-Financials2026[[#This Row],[Feb FC]]</f>
        <v>0</v>
      </c>
      <c r="BE141" s="71">
        <f>Financials2026[[#This Row],[Mar AC]]-Financials2026[[#This Row],[Mar FC]]</f>
        <v>0</v>
      </c>
      <c r="BF141" s="71">
        <f>Financials2026[[#This Row],[Apr AC]]-Financials2026[[#This Row],[Apr FC]]</f>
        <v>0</v>
      </c>
      <c r="BG141" s="71">
        <f>Financials2026[[#This Row],[May AC]]-Financials2026[[#This Row],[May FC]]</f>
        <v>0</v>
      </c>
      <c r="BH141" s="71">
        <f>Financials2026[[#This Row],[Jun AC]]-Financials2026[[#This Row],[Jun FC]]</f>
        <v>0</v>
      </c>
      <c r="BI141" s="71">
        <f>Financials2026[[#This Row],[Jul AC]]-Financials2026[[#This Row],[Jul FC]]</f>
        <v>0</v>
      </c>
      <c r="BJ141" s="71">
        <f>Financials2026[[#This Row],[Aug AC]]-Financials2026[[#This Row],[Aug FC]]</f>
        <v>0</v>
      </c>
      <c r="BK141" s="71">
        <f>Financials2026[[#This Row],[Sep AC]]-Financials2026[[#This Row],[Sep FC]]</f>
        <v>0</v>
      </c>
      <c r="BL141" s="71">
        <f>Financials2026[[#This Row],[Oct AC]]-Financials2026[[#This Row],[Oct FC]]</f>
        <v>0</v>
      </c>
      <c r="BM141" s="71">
        <f>Financials2026[[#This Row],[Nov AC]]-Financials2026[[#This Row],[Nov FC]]</f>
        <v>0</v>
      </c>
      <c r="BN141" s="71">
        <f>Financials2026[[#This Row],[Dec AC]]-Financials2026[[#This Row],[Dec FC]]</f>
        <v>0</v>
      </c>
      <c r="BO141" s="83">
        <f>SUM(Financials2026[[#This Row],[Jan Opp/Risk]:[Dec Opp./Risk]])</f>
        <v>0</v>
      </c>
      <c r="BP141" s="94" t="s">
        <v>547</v>
      </c>
      <c r="BQ141" s="47">
        <f>SUM(Financials2026[[#This Row],[Jan AC]:[Apr AC]])</f>
        <v>232487.75</v>
      </c>
      <c r="BS141" s="6"/>
      <c r="BT141" s="6"/>
      <c r="BU141" s="6"/>
      <c r="BV141" s="6"/>
      <c r="BW141" s="6"/>
      <c r="BX141" s="6"/>
    </row>
    <row r="142" spans="1:76" hidden="1" x14ac:dyDescent="0.35">
      <c r="A142" s="22" t="s">
        <v>101</v>
      </c>
      <c r="B142" s="21" t="s">
        <v>342</v>
      </c>
      <c r="C142" s="21" t="s">
        <v>343</v>
      </c>
      <c r="D142" s="10" t="s">
        <v>186</v>
      </c>
      <c r="E142" s="7" t="s">
        <v>186</v>
      </c>
      <c r="F142" s="3" t="s">
        <v>336</v>
      </c>
      <c r="G142" s="3" t="s">
        <v>48</v>
      </c>
      <c r="H142" s="4">
        <v>46204</v>
      </c>
      <c r="I142" s="4">
        <v>46387</v>
      </c>
      <c r="J142" s="3" t="s">
        <v>186</v>
      </c>
      <c r="K142" s="3" t="s">
        <v>413</v>
      </c>
      <c r="L142" s="21" t="s">
        <v>124</v>
      </c>
      <c r="M142" s="21" t="s">
        <v>46</v>
      </c>
      <c r="N142" s="21" t="s">
        <v>344</v>
      </c>
      <c r="O142" s="21" t="s">
        <v>186</v>
      </c>
      <c r="P142" s="21" t="s">
        <v>345</v>
      </c>
      <c r="Q142" s="21" t="s">
        <v>346</v>
      </c>
      <c r="R142" s="21" t="s">
        <v>143</v>
      </c>
      <c r="S142" s="21" t="s">
        <v>129</v>
      </c>
      <c r="T142" s="5">
        <v>0</v>
      </c>
      <c r="U142" s="15">
        <v>0</v>
      </c>
      <c r="V142" s="15">
        <v>0</v>
      </c>
      <c r="W142" s="15">
        <f t="shared" si="80"/>
        <v>606720</v>
      </c>
      <c r="X142" s="15">
        <f t="shared" si="83"/>
        <v>0</v>
      </c>
      <c r="Y142" s="15">
        <f t="shared" si="81"/>
        <v>606720</v>
      </c>
      <c r="Z142" s="15">
        <f>SUM(Financials2026[[#This Row],[2026 Opportunity]:[2026 Risk]])</f>
        <v>606720</v>
      </c>
      <c r="AA142" s="3" t="s">
        <v>906</v>
      </c>
      <c r="AB142" s="52"/>
      <c r="AC142" s="52"/>
      <c r="AD142" s="52"/>
      <c r="AE142" s="52"/>
      <c r="AF142" s="52"/>
      <c r="AG142" s="52"/>
      <c r="AH142" s="52">
        <v>101120</v>
      </c>
      <c r="AI142" s="52">
        <v>101120</v>
      </c>
      <c r="AJ142" s="52">
        <v>101120</v>
      </c>
      <c r="AK142" s="52">
        <v>101120</v>
      </c>
      <c r="AL142" s="52">
        <v>101120</v>
      </c>
      <c r="AM142" s="52">
        <v>101120</v>
      </c>
      <c r="AN142" s="52">
        <f>SUM(Financials2026[[#This Row],[Jan FC]:[Dec FC]])</f>
        <v>606720</v>
      </c>
      <c r="AO142" s="15">
        <f t="shared" si="82"/>
        <v>606720</v>
      </c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80">
        <f>SUM(Financials2026[[#This Row],[Jan AC]:[Dec AC]])</f>
        <v>0</v>
      </c>
      <c r="BC142" s="71">
        <f>Financials2026[[#This Row],[Jan AC]]-Financials2026[[#This Row],[Jan FC]]</f>
        <v>0</v>
      </c>
      <c r="BD142" s="71">
        <f>Financials2026[[#This Row],[Feb AC]]-Financials2026[[#This Row],[Feb FC]]</f>
        <v>0</v>
      </c>
      <c r="BE142" s="71">
        <f>Financials2026[[#This Row],[Mar AC]]-Financials2026[[#This Row],[Mar FC]]</f>
        <v>0</v>
      </c>
      <c r="BF142" s="71">
        <f>Financials2026[[#This Row],[Apr AC]]-Financials2026[[#This Row],[Apr FC]]</f>
        <v>0</v>
      </c>
      <c r="BG142" s="71">
        <f>Financials2026[[#This Row],[May AC]]-Financials2026[[#This Row],[May FC]]</f>
        <v>0</v>
      </c>
      <c r="BH142" s="71">
        <f>Financials2026[[#This Row],[Jun AC]]-Financials2026[[#This Row],[Jun FC]]</f>
        <v>0</v>
      </c>
      <c r="BI142" s="71">
        <f>Financials2026[[#This Row],[Jul AC]]-Financials2026[[#This Row],[Jul FC]]</f>
        <v>-101120</v>
      </c>
      <c r="BJ142" s="71">
        <f>Financials2026[[#This Row],[Aug AC]]-Financials2026[[#This Row],[Aug FC]]</f>
        <v>-101120</v>
      </c>
      <c r="BK142" s="71">
        <f>Financials2026[[#This Row],[Sep AC]]-Financials2026[[#This Row],[Sep FC]]</f>
        <v>-101120</v>
      </c>
      <c r="BL142" s="71">
        <f>Financials2026[[#This Row],[Oct AC]]-Financials2026[[#This Row],[Oct FC]]</f>
        <v>-101120</v>
      </c>
      <c r="BM142" s="71">
        <f>Financials2026[[#This Row],[Nov AC]]-Financials2026[[#This Row],[Nov FC]]</f>
        <v>-101120</v>
      </c>
      <c r="BN142" s="71">
        <f>Financials2026[[#This Row],[Dec AC]]-Financials2026[[#This Row],[Dec FC]]</f>
        <v>-101120</v>
      </c>
      <c r="BO142" s="71">
        <f>SUM(Financials2026[[#This Row],[Jan Opp/Risk]:[Dec Opp./Risk]])</f>
        <v>-606720</v>
      </c>
      <c r="BP142" s="90" t="s">
        <v>537</v>
      </c>
      <c r="BQ142" s="47">
        <f>SUM(Financials2026[[#This Row],[Jan AC]:[Apr AC]])</f>
        <v>0</v>
      </c>
      <c r="BS142" s="6"/>
      <c r="BT142" s="6"/>
      <c r="BU142" s="6"/>
      <c r="BV142" s="6"/>
      <c r="BW142" s="6"/>
      <c r="BX142" s="6"/>
    </row>
    <row r="143" spans="1:76" hidden="1" x14ac:dyDescent="0.35">
      <c r="A143" s="22" t="s">
        <v>101</v>
      </c>
      <c r="B143" s="21" t="s">
        <v>208</v>
      </c>
      <c r="C143" s="21" t="s">
        <v>209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337</v>
      </c>
      <c r="K143" s="3" t="s">
        <v>413</v>
      </c>
      <c r="L143" s="21" t="s">
        <v>124</v>
      </c>
      <c r="M143" s="21" t="s">
        <v>46</v>
      </c>
      <c r="N143" s="21" t="s">
        <v>189</v>
      </c>
      <c r="O143" s="21" t="s">
        <v>186</v>
      </c>
      <c r="P143" s="21" t="s">
        <v>126</v>
      </c>
      <c r="Q143" s="21" t="s">
        <v>127</v>
      </c>
      <c r="R143" s="21" t="s">
        <v>128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80"/>
        <v>1557600</v>
      </c>
      <c r="X143" s="15">
        <f t="shared" si="83"/>
        <v>0</v>
      </c>
      <c r="Y143" s="15">
        <f t="shared" si="81"/>
        <v>1557600</v>
      </c>
      <c r="Z143" s="15">
        <f>SUM(Financials2026[[#This Row],[2026 Opportunity]:[2026 Risk]])</f>
        <v>1557600</v>
      </c>
      <c r="AA143" s="3" t="s">
        <v>893</v>
      </c>
      <c r="AB143" s="52"/>
      <c r="AC143" s="52"/>
      <c r="AD143" s="52"/>
      <c r="AE143" s="52"/>
      <c r="AF143" s="52"/>
      <c r="AG143" s="52"/>
      <c r="AH143" s="52">
        <v>259600</v>
      </c>
      <c r="AI143" s="52">
        <v>259600</v>
      </c>
      <c r="AJ143" s="52">
        <v>259600</v>
      </c>
      <c r="AK143" s="52">
        <v>259600</v>
      </c>
      <c r="AL143" s="52">
        <v>259600</v>
      </c>
      <c r="AM143" s="52">
        <v>259600</v>
      </c>
      <c r="AN143" s="52">
        <f>SUM(Financials2026[[#This Row],[Jan FC]:[Dec FC]])</f>
        <v>1557600</v>
      </c>
      <c r="AO143" s="15">
        <f t="shared" si="82"/>
        <v>1557600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SUM(Financials2026[[#This Row],[Jan AC]:[Dec AC]])</f>
        <v>0</v>
      </c>
      <c r="BC143" s="71">
        <f>Financials2026[[#This Row],[Jan AC]]-Financials2026[[#This Row],[Jan FC]]</f>
        <v>0</v>
      </c>
      <c r="BD143" s="71">
        <f>Financials2026[[#This Row],[Feb AC]]-Financials2026[[#This Row],[Feb FC]]</f>
        <v>0</v>
      </c>
      <c r="BE143" s="71">
        <f>Financials2026[[#This Row],[Mar AC]]-Financials2026[[#This Row],[Mar FC]]</f>
        <v>0</v>
      </c>
      <c r="BF143" s="71">
        <f>Financials2026[[#This Row],[Apr AC]]-Financials2026[[#This Row],[Apr FC]]</f>
        <v>0</v>
      </c>
      <c r="BG143" s="71">
        <f>Financials2026[[#This Row],[May AC]]-Financials2026[[#This Row],[May FC]]</f>
        <v>0</v>
      </c>
      <c r="BH143" s="71">
        <f>Financials2026[[#This Row],[Jun AC]]-Financials2026[[#This Row],[Jun FC]]</f>
        <v>0</v>
      </c>
      <c r="BI143" s="71">
        <f>Financials2026[[#This Row],[Jul AC]]-Financials2026[[#This Row],[Jul FC]]</f>
        <v>-259600</v>
      </c>
      <c r="BJ143" s="71">
        <f>Financials2026[[#This Row],[Aug AC]]-Financials2026[[#This Row],[Aug FC]]</f>
        <v>-259600</v>
      </c>
      <c r="BK143" s="71">
        <f>Financials2026[[#This Row],[Sep AC]]-Financials2026[[#This Row],[Sep FC]]</f>
        <v>-259600</v>
      </c>
      <c r="BL143" s="71">
        <f>Financials2026[[#This Row],[Oct AC]]-Financials2026[[#This Row],[Oct FC]]</f>
        <v>-259600</v>
      </c>
      <c r="BM143" s="71">
        <f>Financials2026[[#This Row],[Nov AC]]-Financials2026[[#This Row],[Nov FC]]</f>
        <v>-259600</v>
      </c>
      <c r="BN143" s="71">
        <f>Financials2026[[#This Row],[Dec AC]]-Financials2026[[#This Row],[Dec FC]]</f>
        <v>-259600</v>
      </c>
      <c r="BO143" s="71">
        <f>SUM(Financials2026[[#This Row],[Jan Opp/Risk]:[Dec Opp./Risk]])</f>
        <v>-1557600</v>
      </c>
      <c r="BP143" s="90" t="s">
        <v>892</v>
      </c>
      <c r="BQ143" s="47">
        <f>SUM(Financials2026[[#This Row],[Jan AC]:[Apr AC]])</f>
        <v>0</v>
      </c>
      <c r="BS143" s="6"/>
      <c r="BT143" s="6"/>
      <c r="BU143" s="6"/>
      <c r="BV143" s="6"/>
      <c r="BW143" s="6"/>
      <c r="BX143" s="6"/>
    </row>
    <row r="144" spans="1:76" hidden="1" x14ac:dyDescent="0.35">
      <c r="A144" s="22" t="s">
        <v>101</v>
      </c>
      <c r="B144" s="21" t="s">
        <v>400</v>
      </c>
      <c r="C144" s="21"/>
      <c r="D144" s="10" t="s">
        <v>14</v>
      </c>
      <c r="E144" s="7" t="s">
        <v>403</v>
      </c>
      <c r="F144" s="3" t="s">
        <v>114</v>
      </c>
      <c r="G144" s="3" t="s">
        <v>53</v>
      </c>
      <c r="H144" s="4" t="s">
        <v>115</v>
      </c>
      <c r="I144" s="4" t="s">
        <v>115</v>
      </c>
      <c r="J144" s="3"/>
      <c r="K144" s="3" t="str">
        <f t="shared" ref="K144:K145" si="86">D144 &amp; "-" &amp;E144</f>
        <v>Prj000296-Support - PMO Governance &amp; Reporting Activities</v>
      </c>
      <c r="L144" s="21" t="s">
        <v>124</v>
      </c>
      <c r="M144" s="21" t="s">
        <v>2</v>
      </c>
      <c r="N144" s="21" t="s">
        <v>341</v>
      </c>
      <c r="O144" s="21"/>
      <c r="P144" s="21" t="s">
        <v>126</v>
      </c>
      <c r="Q144" s="21" t="s">
        <v>127</v>
      </c>
      <c r="R144" s="21" t="s">
        <v>128</v>
      </c>
      <c r="S144" s="21" t="s">
        <v>115</v>
      </c>
      <c r="T144" s="5">
        <v>0</v>
      </c>
      <c r="U144" s="15">
        <v>0</v>
      </c>
      <c r="V144" s="15">
        <f>10848+2048</f>
        <v>12896</v>
      </c>
      <c r="W144" s="15">
        <f t="shared" si="80"/>
        <v>12896</v>
      </c>
      <c r="X144" s="15">
        <f t="shared" si="83"/>
        <v>0</v>
      </c>
      <c r="Y144" s="15">
        <f t="shared" si="81"/>
        <v>0</v>
      </c>
      <c r="Z144" s="15">
        <f>SUM(Financials2026[[#This Row],[2026 Opportunity]:[2026 Risk]])</f>
        <v>0</v>
      </c>
      <c r="AA144" s="3" t="s">
        <v>414</v>
      </c>
      <c r="AB144" s="53">
        <v>0</v>
      </c>
      <c r="AC144" s="53">
        <v>0</v>
      </c>
      <c r="AD144" s="53">
        <v>0</v>
      </c>
      <c r="AE144" s="53">
        <v>0</v>
      </c>
      <c r="AF144" s="53">
        <v>0</v>
      </c>
      <c r="AG144" s="53">
        <v>0</v>
      </c>
      <c r="AH144" s="53">
        <v>0</v>
      </c>
      <c r="AI144" s="53">
        <v>0</v>
      </c>
      <c r="AJ144" s="53">
        <v>0</v>
      </c>
      <c r="AK144" s="53">
        <v>0</v>
      </c>
      <c r="AL144" s="53">
        <v>0</v>
      </c>
      <c r="AM144" s="53">
        <v>12896</v>
      </c>
      <c r="AN144" s="53">
        <f>SUM(Financials2026[[#This Row],[Jan FC]:[Dec FC]])</f>
        <v>12896</v>
      </c>
      <c r="AO144" s="15">
        <f t="shared" si="82"/>
        <v>12896</v>
      </c>
      <c r="AP144" s="62">
        <v>0</v>
      </c>
      <c r="AQ144" s="62">
        <v>0</v>
      </c>
      <c r="AR144" s="62">
        <v>0</v>
      </c>
      <c r="AS144" s="62">
        <v>0</v>
      </c>
      <c r="AT144" s="62">
        <v>0</v>
      </c>
      <c r="AU144" s="62">
        <v>0</v>
      </c>
      <c r="AV144" s="62">
        <v>0</v>
      </c>
      <c r="AW144" s="62">
        <v>0</v>
      </c>
      <c r="AX144" s="62">
        <v>0</v>
      </c>
      <c r="AY144" s="62">
        <v>0</v>
      </c>
      <c r="AZ144" s="62">
        <v>0</v>
      </c>
      <c r="BA144" s="62">
        <v>0</v>
      </c>
      <c r="BB144" s="81">
        <f>SUM(Financials2026[[#This Row],[Jan AC]:[Dec AC]])</f>
        <v>0</v>
      </c>
      <c r="BC144" s="71">
        <f>Financials2026[[#This Row],[Jan AC]]-Financials2026[[#This Row],[Jan FC]]</f>
        <v>0</v>
      </c>
      <c r="BD144" s="71">
        <f>Financials2026[[#This Row],[Feb AC]]-Financials2026[[#This Row],[Feb FC]]</f>
        <v>0</v>
      </c>
      <c r="BE144" s="71">
        <f>Financials2026[[#This Row],[Mar AC]]-Financials2026[[#This Row],[Mar FC]]</f>
        <v>0</v>
      </c>
      <c r="BF144" s="71">
        <f>Financials2026[[#This Row],[Apr AC]]-Financials2026[[#This Row],[Apr FC]]</f>
        <v>0</v>
      </c>
      <c r="BG144" s="71">
        <f>Financials2026[[#This Row],[May AC]]-Financials2026[[#This Row],[May FC]]</f>
        <v>0</v>
      </c>
      <c r="BH144" s="71">
        <f>Financials2026[[#This Row],[Jun AC]]-Financials2026[[#This Row],[Jun FC]]</f>
        <v>0</v>
      </c>
      <c r="BI144" s="71">
        <f>Financials2026[[#This Row],[Jul AC]]-Financials2026[[#This Row],[Jul FC]]</f>
        <v>0</v>
      </c>
      <c r="BJ144" s="71">
        <f>Financials2026[[#This Row],[Aug AC]]-Financials2026[[#This Row],[Aug FC]]</f>
        <v>0</v>
      </c>
      <c r="BK144" s="71">
        <f>Financials2026[[#This Row],[Sep AC]]-Financials2026[[#This Row],[Sep FC]]</f>
        <v>0</v>
      </c>
      <c r="BL144" s="71">
        <f>Financials2026[[#This Row],[Oct AC]]-Financials2026[[#This Row],[Oct FC]]</f>
        <v>0</v>
      </c>
      <c r="BM144" s="71">
        <f>Financials2026[[#This Row],[Nov AC]]-Financials2026[[#This Row],[Nov FC]]</f>
        <v>0</v>
      </c>
      <c r="BN144" s="71">
        <f>Financials2026[[#This Row],[Dec AC]]-Financials2026[[#This Row],[Dec FC]]</f>
        <v>-12896</v>
      </c>
      <c r="BO144" s="71">
        <f>SUM(Financials2026[[#This Row],[Jan Opp/Risk]:[Dec Opp./Risk]])</f>
        <v>-12896</v>
      </c>
      <c r="BP144" s="96" t="s">
        <v>542</v>
      </c>
      <c r="BQ144" s="47">
        <f>SUM(Financials2026[[#This Row],[Jan AC]:[Apr AC]])</f>
        <v>0</v>
      </c>
      <c r="BS144" s="6"/>
      <c r="BT144" s="6"/>
      <c r="BU144" s="6"/>
      <c r="BV144" s="6"/>
      <c r="BW144" s="6"/>
      <c r="BX144" s="6"/>
    </row>
    <row r="145" spans="1:76" hidden="1" x14ac:dyDescent="0.35">
      <c r="A145" s="22" t="s">
        <v>101</v>
      </c>
      <c r="B145" s="21" t="s">
        <v>73</v>
      </c>
      <c r="C145" s="21" t="s">
        <v>190</v>
      </c>
      <c r="D145" s="10" t="s">
        <v>186</v>
      </c>
      <c r="E145" s="7" t="s">
        <v>186</v>
      </c>
      <c r="F145" s="3" t="s">
        <v>187</v>
      </c>
      <c r="G145" s="3" t="s">
        <v>53</v>
      </c>
      <c r="H145" s="4">
        <v>46097</v>
      </c>
      <c r="I145" s="4">
        <v>46387</v>
      </c>
      <c r="J145" s="3"/>
      <c r="K145" s="3" t="str">
        <f t="shared" si="86"/>
        <v>T&amp;M-T&amp;M</v>
      </c>
      <c r="L145" s="21" t="s">
        <v>124</v>
      </c>
      <c r="M145" s="21" t="s">
        <v>46</v>
      </c>
      <c r="N145" s="21" t="s">
        <v>189</v>
      </c>
      <c r="O145" s="21" t="s">
        <v>186</v>
      </c>
      <c r="P145" s="21" t="s">
        <v>126</v>
      </c>
      <c r="Q145" s="21" t="s">
        <v>127</v>
      </c>
      <c r="R145" s="21" t="s">
        <v>128</v>
      </c>
      <c r="S145" s="21" t="s">
        <v>129</v>
      </c>
      <c r="T145" s="5"/>
      <c r="U145" s="15"/>
      <c r="V145" s="15">
        <v>0</v>
      </c>
      <c r="W145" s="15">
        <f t="shared" si="80"/>
        <v>71440</v>
      </c>
      <c r="X145" s="15">
        <f t="shared" si="83"/>
        <v>0</v>
      </c>
      <c r="Y145" s="15">
        <f t="shared" si="81"/>
        <v>71440</v>
      </c>
      <c r="Z145" s="15">
        <f>SUM(Financials2026[[#This Row],[2026 Opportunity]:[2026 Risk]])</f>
        <v>71440</v>
      </c>
      <c r="AA145" s="3" t="s">
        <v>415</v>
      </c>
      <c r="AB145" s="53"/>
      <c r="AC145" s="53"/>
      <c r="AD145" s="52">
        <v>3760</v>
      </c>
      <c r="AE145" s="52">
        <v>7520</v>
      </c>
      <c r="AF145" s="52">
        <v>7520</v>
      </c>
      <c r="AG145" s="52">
        <v>7520</v>
      </c>
      <c r="AH145" s="52">
        <v>7520</v>
      </c>
      <c r="AI145" s="52">
        <v>7520</v>
      </c>
      <c r="AJ145" s="52">
        <v>7520</v>
      </c>
      <c r="AK145" s="52">
        <v>7520</v>
      </c>
      <c r="AL145" s="52">
        <v>7520</v>
      </c>
      <c r="AM145" s="52">
        <v>7520</v>
      </c>
      <c r="AN145" s="52">
        <f>SUM(Financials2026[[#This Row],[Jan FC]:[Dec FC]])</f>
        <v>71440</v>
      </c>
      <c r="AO145" s="15">
        <f t="shared" si="82"/>
        <v>52640</v>
      </c>
      <c r="AP145" s="62">
        <v>0</v>
      </c>
      <c r="AQ145" s="62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80">
        <f>SUM(Financials2026[[#This Row],[Jan AC]:[Dec AC]])</f>
        <v>0</v>
      </c>
      <c r="BC145" s="71">
        <f>Financials2026[[#This Row],[Jan AC]]-Financials2026[[#This Row],[Jan FC]]</f>
        <v>0</v>
      </c>
      <c r="BD145" s="71">
        <f>Financials2026[[#This Row],[Feb AC]]-Financials2026[[#This Row],[Feb FC]]</f>
        <v>0</v>
      </c>
      <c r="BE145" s="71">
        <f>Financials2026[[#This Row],[Mar AC]]-Financials2026[[#This Row],[Mar FC]]</f>
        <v>-3760</v>
      </c>
      <c r="BF145" s="71">
        <f>Financials2026[[#This Row],[Apr AC]]-Financials2026[[#This Row],[Apr FC]]</f>
        <v>-7520</v>
      </c>
      <c r="BG145" s="71">
        <f>Financials2026[[#This Row],[May AC]]-Financials2026[[#This Row],[May FC]]</f>
        <v>-7520</v>
      </c>
      <c r="BH145" s="71">
        <f>Financials2026[[#This Row],[Jun AC]]-Financials2026[[#This Row],[Jun FC]]</f>
        <v>-7520</v>
      </c>
      <c r="BI145" s="71">
        <f>Financials2026[[#This Row],[Jul AC]]-Financials2026[[#This Row],[Jul FC]]</f>
        <v>-7520</v>
      </c>
      <c r="BJ145" s="71">
        <f>Financials2026[[#This Row],[Aug AC]]-Financials2026[[#This Row],[Aug FC]]</f>
        <v>-7520</v>
      </c>
      <c r="BK145" s="71">
        <f>Financials2026[[#This Row],[Sep AC]]-Financials2026[[#This Row],[Sep FC]]</f>
        <v>-7520</v>
      </c>
      <c r="BL145" s="71">
        <f>Financials2026[[#This Row],[Oct AC]]-Financials2026[[#This Row],[Oct FC]]</f>
        <v>-7520</v>
      </c>
      <c r="BM145" s="71">
        <f>Financials2026[[#This Row],[Nov AC]]-Financials2026[[#This Row],[Nov FC]]</f>
        <v>-7520</v>
      </c>
      <c r="BN145" s="71">
        <f>Financials2026[[#This Row],[Dec AC]]-Financials2026[[#This Row],[Dec FC]]</f>
        <v>-7520</v>
      </c>
      <c r="BO145" s="71">
        <f>SUM(Financials2026[[#This Row],[Jan Opp/Risk]:[Dec Opp./Risk]])</f>
        <v>-71440</v>
      </c>
      <c r="BP145" s="91" t="s">
        <v>536</v>
      </c>
      <c r="BQ145" s="47">
        <f>SUM(Financials2026[[#This Row],[Jan AC]:[Apr AC]])</f>
        <v>0</v>
      </c>
      <c r="BS145" s="6"/>
      <c r="BT145" s="6"/>
      <c r="BU145" s="6"/>
      <c r="BV145" s="6"/>
      <c r="BW145" s="6"/>
      <c r="BX145" s="6"/>
    </row>
    <row r="146" spans="1:76" hidden="1" x14ac:dyDescent="0.35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49</v>
      </c>
      <c r="H146" s="4">
        <v>46057</v>
      </c>
      <c r="I146" s="4">
        <v>46234</v>
      </c>
      <c r="J146" s="3"/>
      <c r="K146" s="3" t="str">
        <f t="shared" ref="K146" si="87">D146 &amp; "-" &amp;E146</f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5">
        <v>0</v>
      </c>
      <c r="W146" s="15">
        <f t="shared" si="80"/>
        <v>37224</v>
      </c>
      <c r="X146" s="15">
        <f t="shared" si="83"/>
        <v>0</v>
      </c>
      <c r="Y146" s="15">
        <f t="shared" si="81"/>
        <v>37224</v>
      </c>
      <c r="Z146" s="15">
        <f>SUM(Financials2026[[#This Row],[2026 Opportunity]:[2026 Risk]])</f>
        <v>37224</v>
      </c>
      <c r="AA146" s="14" t="s">
        <v>416</v>
      </c>
      <c r="AB146" s="52"/>
      <c r="AC146" s="52"/>
      <c r="AD146" s="52">
        <v>7520</v>
      </c>
      <c r="AE146" s="52">
        <v>7520</v>
      </c>
      <c r="AF146" s="52">
        <v>7520</v>
      </c>
      <c r="AG146" s="52">
        <v>7520</v>
      </c>
      <c r="AH146" s="52">
        <v>7520</v>
      </c>
      <c r="AI146" s="52"/>
      <c r="AJ146" s="52"/>
      <c r="AK146" s="52"/>
      <c r="AL146" s="52"/>
      <c r="AM146" s="52"/>
      <c r="AN146" s="52">
        <f>SUM(Financials2026[[#This Row],[Jan FC]:[Dec FC]])</f>
        <v>37600</v>
      </c>
      <c r="AO146" s="15">
        <f t="shared" si="82"/>
        <v>15040</v>
      </c>
      <c r="AP146" s="61">
        <v>0</v>
      </c>
      <c r="AQ146" s="61"/>
      <c r="AR146" s="61">
        <v>7144</v>
      </c>
      <c r="AS146" s="61"/>
      <c r="AT146" s="61"/>
      <c r="AU146" s="61"/>
      <c r="AV146" s="61"/>
      <c r="AW146" s="61"/>
      <c r="AX146" s="61"/>
      <c r="AY146" s="61"/>
      <c r="AZ146" s="61"/>
      <c r="BA146" s="61"/>
      <c r="BB146" s="80">
        <f>SUM(Financials2026[[#This Row],[Jan AC]:[Dec AC]])</f>
        <v>7144</v>
      </c>
      <c r="BC146" s="71">
        <f>Financials2026[[#This Row],[Jan AC]]-Financials2026[[#This Row],[Jan FC]]</f>
        <v>0</v>
      </c>
      <c r="BD146" s="71">
        <f>Financials2026[[#This Row],[Feb AC]]-Financials2026[[#This Row],[Feb FC]]</f>
        <v>0</v>
      </c>
      <c r="BE146" s="71">
        <f>Financials2026[[#This Row],[Mar AC]]-Financials2026[[#This Row],[Mar FC]]</f>
        <v>-376</v>
      </c>
      <c r="BF146" s="71">
        <f>Financials2026[[#This Row],[Apr AC]]-Financials2026[[#This Row],[Apr FC]]</f>
        <v>-7520</v>
      </c>
      <c r="BG146" s="71">
        <f>Financials2026[[#This Row],[May AC]]-Financials2026[[#This Row],[May FC]]</f>
        <v>-7520</v>
      </c>
      <c r="BH146" s="71">
        <f>Financials2026[[#This Row],[Jun AC]]-Financials2026[[#This Row],[Jun FC]]</f>
        <v>-7520</v>
      </c>
      <c r="BI146" s="71">
        <f>Financials2026[[#This Row],[Jul AC]]-Financials2026[[#This Row],[Jul FC]]</f>
        <v>-7520</v>
      </c>
      <c r="BJ146" s="71">
        <f>Financials2026[[#This Row],[Aug AC]]-Financials2026[[#This Row],[Aug FC]]</f>
        <v>0</v>
      </c>
      <c r="BK146" s="71">
        <f>Financials2026[[#This Row],[Sep AC]]-Financials2026[[#This Row],[Sep FC]]</f>
        <v>0</v>
      </c>
      <c r="BL146" s="71">
        <f>Financials2026[[#This Row],[Oct AC]]-Financials2026[[#This Row],[Oct FC]]</f>
        <v>0</v>
      </c>
      <c r="BM146" s="71">
        <f>Financials2026[[#This Row],[Nov AC]]-Financials2026[[#This Row],[Nov FC]]</f>
        <v>0</v>
      </c>
      <c r="BN146" s="71">
        <f>Financials2026[[#This Row],[Dec AC]]-Financials2026[[#This Row],[Dec FC]]</f>
        <v>0</v>
      </c>
      <c r="BO146" s="71">
        <f>SUM(Financials2026[[#This Row],[Jan Opp/Risk]:[Dec Opp./Risk]])</f>
        <v>-30456</v>
      </c>
      <c r="BP146" s="91" t="s">
        <v>556</v>
      </c>
      <c r="BQ146" s="47">
        <f>SUM(Financials2026[[#This Row],[Jan AC]:[Apr AC]])</f>
        <v>7144</v>
      </c>
      <c r="BS146" s="6"/>
      <c r="BT146" s="6"/>
      <c r="BU146" s="6"/>
      <c r="BV146" s="6"/>
      <c r="BW146" s="6"/>
      <c r="BX146" s="6"/>
    </row>
    <row r="147" spans="1:76" hidden="1" x14ac:dyDescent="0.35">
      <c r="A147" s="32" t="s">
        <v>101</v>
      </c>
      <c r="B147" s="21" t="s">
        <v>486</v>
      </c>
      <c r="C147" s="33" t="s">
        <v>425</v>
      </c>
      <c r="D147" s="10" t="s">
        <v>31</v>
      </c>
      <c r="E147" s="7" t="s">
        <v>204</v>
      </c>
      <c r="F147" s="3" t="s">
        <v>205</v>
      </c>
      <c r="G147" s="3" t="s">
        <v>50</v>
      </c>
      <c r="H147" s="4">
        <v>46082</v>
      </c>
      <c r="I147" s="4">
        <v>46387</v>
      </c>
      <c r="J147" s="35"/>
      <c r="K147" s="35" t="s">
        <v>479</v>
      </c>
      <c r="L147" s="33" t="s">
        <v>106</v>
      </c>
      <c r="M147" s="33" t="s">
        <v>6</v>
      </c>
      <c r="N147" s="33" t="s">
        <v>6</v>
      </c>
      <c r="O147" s="33" t="s">
        <v>373</v>
      </c>
      <c r="P147" s="33" t="s">
        <v>163</v>
      </c>
      <c r="Q147" s="33" t="s">
        <v>163</v>
      </c>
      <c r="R147" s="33" t="s">
        <v>164</v>
      </c>
      <c r="S147" s="33" t="s">
        <v>154</v>
      </c>
      <c r="T147" s="36">
        <v>0</v>
      </c>
      <c r="U147" s="36">
        <v>0</v>
      </c>
      <c r="V147" s="5">
        <v>0</v>
      </c>
      <c r="W147" s="15">
        <f t="shared" si="80"/>
        <v>15208</v>
      </c>
      <c r="X147" s="15">
        <f t="shared" ref="X147" si="88">IF(V147 &gt;= W147, V147 - W147, 0)*-1</f>
        <v>0</v>
      </c>
      <c r="Y147" s="15">
        <f t="shared" ref="Y147" si="89">IF(W147 &gt; V147, W147 - V147, 0)</f>
        <v>15208</v>
      </c>
      <c r="Z147" s="15">
        <f>SUM(Financials2026[[#This Row],[2026 Opportunity]:[2026 Risk]])</f>
        <v>15208</v>
      </c>
      <c r="AA147" s="42"/>
      <c r="AB147" s="54"/>
      <c r="AC147" s="54"/>
      <c r="AD147" s="54"/>
      <c r="AE147" s="54">
        <v>15208</v>
      </c>
      <c r="AF147" s="54"/>
      <c r="AG147" s="54"/>
      <c r="AH147" s="54"/>
      <c r="AI147" s="54"/>
      <c r="AJ147" s="54"/>
      <c r="AK147" s="54"/>
      <c r="AL147" s="54"/>
      <c r="AM147" s="54"/>
      <c r="AN147" s="52">
        <f>SUM(Financials2026[[#This Row],[Jan FC]:[Dec FC]])</f>
        <v>15208</v>
      </c>
      <c r="AO147" s="15">
        <f t="shared" si="82"/>
        <v>0</v>
      </c>
      <c r="AP147" s="63"/>
      <c r="AQ147" s="63"/>
      <c r="AR147" s="63"/>
      <c r="AS147" s="61">
        <v>15208</v>
      </c>
      <c r="AT147" s="63"/>
      <c r="AU147" s="63"/>
      <c r="AV147" s="63"/>
      <c r="AW147" s="63"/>
      <c r="AX147" s="63"/>
      <c r="AY147" s="63"/>
      <c r="AZ147" s="63"/>
      <c r="BA147" s="63"/>
      <c r="BB147" s="82">
        <f>SUM(Financials2026[[#This Row],[Jan AC]:[Dec AC]])</f>
        <v>15208</v>
      </c>
      <c r="BC147" s="71">
        <f>Financials2026[[#This Row],[Jan AC]]-Financials2026[[#This Row],[Jan FC]]</f>
        <v>0</v>
      </c>
      <c r="BD147" s="71">
        <f>Financials2026[[#This Row],[Feb AC]]-Financials2026[[#This Row],[Feb FC]]</f>
        <v>0</v>
      </c>
      <c r="BE147" s="71">
        <f>Financials2026[[#This Row],[Mar AC]]-Financials2026[[#This Row],[Mar FC]]</f>
        <v>0</v>
      </c>
      <c r="BF147" s="71">
        <f>Financials2026[[#This Row],[Apr AC]]-Financials2026[[#This Row],[Apr FC]]</f>
        <v>0</v>
      </c>
      <c r="BG147" s="71">
        <f>Financials2026[[#This Row],[May AC]]-Financials2026[[#This Row],[May FC]]</f>
        <v>0</v>
      </c>
      <c r="BH147" s="71">
        <f>Financials2026[[#This Row],[Jun AC]]-Financials2026[[#This Row],[Jun FC]]</f>
        <v>0</v>
      </c>
      <c r="BI147" s="71">
        <f>Financials2026[[#This Row],[Jul AC]]-Financials2026[[#This Row],[Jul FC]]</f>
        <v>0</v>
      </c>
      <c r="BJ147" s="71">
        <f>Financials2026[[#This Row],[Aug AC]]-Financials2026[[#This Row],[Aug FC]]</f>
        <v>0</v>
      </c>
      <c r="BK147" s="71">
        <f>Financials2026[[#This Row],[Sep AC]]-Financials2026[[#This Row],[Sep FC]]</f>
        <v>0</v>
      </c>
      <c r="BL147" s="71">
        <f>Financials2026[[#This Row],[Oct AC]]-Financials2026[[#This Row],[Oct FC]]</f>
        <v>0</v>
      </c>
      <c r="BM147" s="71">
        <f>Financials2026[[#This Row],[Nov AC]]-Financials2026[[#This Row],[Nov FC]]</f>
        <v>0</v>
      </c>
      <c r="BN147" s="71">
        <f>Financials2026[[#This Row],[Dec AC]]-Financials2026[[#This Row],[Dec FC]]</f>
        <v>0</v>
      </c>
      <c r="BO147" s="84">
        <f>SUM(Financials2026[[#This Row],[Jan Opp/Risk]:[Dec Opp./Risk]])</f>
        <v>0</v>
      </c>
      <c r="BP147" s="97" t="s">
        <v>487</v>
      </c>
      <c r="BQ147" s="47">
        <f>SUM(Financials2026[[#This Row],[Jan AC]:[Apr AC]])</f>
        <v>15208</v>
      </c>
    </row>
    <row r="148" spans="1:76" ht="58" hidden="1" x14ac:dyDescent="0.35">
      <c r="A148" s="32" t="s">
        <v>101</v>
      </c>
      <c r="B148" s="21" t="s">
        <v>417</v>
      </c>
      <c r="C148" s="39"/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45992</v>
      </c>
      <c r="I148" s="4">
        <v>46387</v>
      </c>
      <c r="J148" s="40" t="s">
        <v>203</v>
      </c>
      <c r="K148" s="40" t="str">
        <f>D148 &amp; "-" &amp;E148</f>
        <v>Prj000469-Support - Prod Support for Ops Apps</v>
      </c>
      <c r="L148" s="39" t="s">
        <v>106</v>
      </c>
      <c r="M148" s="39" t="s">
        <v>7</v>
      </c>
      <c r="N148" s="39" t="s">
        <v>7</v>
      </c>
      <c r="O148" s="39" t="s">
        <v>224</v>
      </c>
      <c r="P148" s="39" t="s">
        <v>107</v>
      </c>
      <c r="Q148" s="33" t="s">
        <v>108</v>
      </c>
      <c r="R148" s="39" t="s">
        <v>108</v>
      </c>
      <c r="S148" s="39" t="s">
        <v>132</v>
      </c>
      <c r="T148" s="36">
        <v>0</v>
      </c>
      <c r="U148" s="37">
        <v>0</v>
      </c>
      <c r="V148" s="37">
        <v>0</v>
      </c>
      <c r="W148" s="15">
        <f t="shared" si="80"/>
        <v>102000</v>
      </c>
      <c r="X148" s="15">
        <f t="shared" si="83"/>
        <v>0</v>
      </c>
      <c r="Y148" s="38">
        <f>IF(W148 &gt; V148, W148 - V148, 0)</f>
        <v>102000</v>
      </c>
      <c r="Z148" s="38">
        <f>SUM(Financials2026[[#This Row],[2026 Opportunity]:[2026 Risk]])</f>
        <v>102000</v>
      </c>
      <c r="AA148" s="14" t="s">
        <v>418</v>
      </c>
      <c r="AB148" s="54"/>
      <c r="AC148" s="54"/>
      <c r="AD148" s="54"/>
      <c r="AE148" s="54">
        <v>92000</v>
      </c>
      <c r="AF148" s="54"/>
      <c r="AG148" s="54"/>
      <c r="AH148" s="54"/>
      <c r="AI148" s="54"/>
      <c r="AJ148" s="54"/>
      <c r="AK148" s="54"/>
      <c r="AL148" s="54"/>
      <c r="AM148" s="54">
        <v>10000</v>
      </c>
      <c r="AN148" s="54">
        <f>SUM(Financials2026[[#This Row],[Jan FC]:[Dec FC]])</f>
        <v>102000</v>
      </c>
      <c r="AO148" s="15">
        <f t="shared" si="82"/>
        <v>10000</v>
      </c>
      <c r="AP148" s="63"/>
      <c r="AQ148" s="63"/>
      <c r="AR148" s="63"/>
      <c r="AS148" s="63">
        <v>92000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SUM(Financials2026[[#This Row],[Jan AC]:[Dec AC]])</f>
        <v>92000</v>
      </c>
      <c r="BC148" s="71">
        <f>Financials2026[[#This Row],[Jan AC]]-Financials2026[[#This Row],[Jan FC]]</f>
        <v>0</v>
      </c>
      <c r="BD148" s="71">
        <f>Financials2026[[#This Row],[Feb AC]]-Financials2026[[#This Row],[Feb FC]]</f>
        <v>0</v>
      </c>
      <c r="BE148" s="71">
        <f>Financials2026[[#This Row],[Mar AC]]-Financials2026[[#This Row],[Mar FC]]</f>
        <v>0</v>
      </c>
      <c r="BF148" s="71">
        <f>Financials2026[[#This Row],[Apr AC]]-Financials2026[[#This Row],[Apr FC]]</f>
        <v>0</v>
      </c>
      <c r="BG148" s="71">
        <f>Financials2026[[#This Row],[May AC]]-Financials2026[[#This Row],[May FC]]</f>
        <v>0</v>
      </c>
      <c r="BH148" s="71">
        <f>Financials2026[[#This Row],[Jun AC]]-Financials2026[[#This Row],[Jun FC]]</f>
        <v>0</v>
      </c>
      <c r="BI148" s="71">
        <f>Financials2026[[#This Row],[Jul AC]]-Financials2026[[#This Row],[Jul FC]]</f>
        <v>0</v>
      </c>
      <c r="BJ148" s="71">
        <f>Financials2026[[#This Row],[Aug AC]]-Financials2026[[#This Row],[Aug FC]]</f>
        <v>0</v>
      </c>
      <c r="BK148" s="71">
        <f>Financials2026[[#This Row],[Sep AC]]-Financials2026[[#This Row],[Sep FC]]</f>
        <v>0</v>
      </c>
      <c r="BL148" s="71">
        <f>Financials2026[[#This Row],[Oct AC]]-Financials2026[[#This Row],[Oct FC]]</f>
        <v>0</v>
      </c>
      <c r="BM148" s="71">
        <f>Financials2026[[#This Row],[Nov AC]]-Financials2026[[#This Row],[Nov FC]]</f>
        <v>0</v>
      </c>
      <c r="BN148" s="71">
        <f>Financials2026[[#This Row],[Dec AC]]-Financials2026[[#This Row],[Dec FC]]</f>
        <v>-10000</v>
      </c>
      <c r="BO148" s="84">
        <f>SUM(Financials2026[[#This Row],[Jan Opp/Risk]:[Dec Opp./Risk]])</f>
        <v>-10000</v>
      </c>
      <c r="BP148" s="98" t="s">
        <v>910</v>
      </c>
      <c r="BQ148" s="47">
        <f>SUM(Financials2026[[#This Row],[Jan AC]:[Apr AC]])</f>
        <v>92000</v>
      </c>
    </row>
    <row r="149" spans="1:76" x14ac:dyDescent="0.35">
      <c r="A149" s="161"/>
      <c r="B149" s="161"/>
      <c r="C149" s="162"/>
      <c r="D149"/>
      <c r="G149"/>
      <c r="J149" s="163"/>
      <c r="K149" s="163"/>
      <c r="L149" s="162"/>
      <c r="M149" s="162"/>
      <c r="N149" s="162"/>
      <c r="O149" s="162"/>
      <c r="P149" s="162"/>
      <c r="Q149" s="161"/>
      <c r="R149" s="162"/>
      <c r="S149" s="162"/>
      <c r="T149" s="6"/>
      <c r="U149" s="164"/>
      <c r="V149" s="164"/>
      <c r="W149" s="164"/>
      <c r="X149" s="164"/>
      <c r="Y149" s="165"/>
      <c r="Z149" s="165"/>
      <c r="AA149"/>
      <c r="AB149"/>
      <c r="AC149"/>
      <c r="AD149"/>
      <c r="AE149"/>
      <c r="AF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</row>
    <row r="150" spans="1:76" x14ac:dyDescent="0.35">
      <c r="A150" s="127"/>
      <c r="B150" s="127" t="s">
        <v>826</v>
      </c>
      <c r="C150" s="127"/>
      <c r="D150" s="128"/>
      <c r="E150" s="127"/>
      <c r="F150" s="127"/>
      <c r="G150" s="128"/>
      <c r="H150" s="129"/>
      <c r="I150" s="129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30">
        <f>SUBTOTAL(9,T2:T149)</f>
        <v>6312510.6399999997</v>
      </c>
      <c r="U150" s="130">
        <f t="shared" ref="U150:BQ150" si="90">SUBTOTAL(9,U2:U149)</f>
        <v>3967977.7010165188</v>
      </c>
      <c r="V150" s="130">
        <f t="shared" si="90"/>
        <v>4217276.0999999996</v>
      </c>
      <c r="W150" s="130">
        <f t="shared" si="90"/>
        <v>4014310.56</v>
      </c>
      <c r="X150" s="130">
        <f t="shared" si="90"/>
        <v>-692116.46</v>
      </c>
      <c r="Y150" s="130">
        <f t="shared" si="90"/>
        <v>489150.91999999993</v>
      </c>
      <c r="Z150" s="130">
        <f t="shared" si="90"/>
        <v>-202965.5400000001</v>
      </c>
      <c r="AA150" s="130">
        <f t="shared" si="90"/>
        <v>0</v>
      </c>
      <c r="AB150" s="130">
        <f t="shared" si="90"/>
        <v>260086</v>
      </c>
      <c r="AC150" s="130">
        <f t="shared" si="90"/>
        <v>334930.09999999998</v>
      </c>
      <c r="AD150" s="130">
        <f t="shared" si="90"/>
        <v>247086</v>
      </c>
      <c r="AE150" s="130">
        <f t="shared" si="90"/>
        <v>252086</v>
      </c>
      <c r="AF150" s="130">
        <f t="shared" si="90"/>
        <v>278234</v>
      </c>
      <c r="AG150" s="130">
        <f t="shared" si="90"/>
        <v>290147</v>
      </c>
      <c r="AH150" s="130">
        <f t="shared" si="90"/>
        <v>293347</v>
      </c>
      <c r="AI150" s="130">
        <f t="shared" si="90"/>
        <v>296547</v>
      </c>
      <c r="AJ150" s="130">
        <f t="shared" si="90"/>
        <v>296547</v>
      </c>
      <c r="AK150" s="130">
        <f t="shared" si="90"/>
        <v>296547</v>
      </c>
      <c r="AL150" s="130">
        <f t="shared" si="90"/>
        <v>296547</v>
      </c>
      <c r="AM150" s="130">
        <f t="shared" si="90"/>
        <v>764047</v>
      </c>
      <c r="AN150" s="130">
        <f t="shared" si="90"/>
        <v>3906151.1</v>
      </c>
      <c r="AO150" s="130">
        <f t="shared" si="90"/>
        <v>2533729</v>
      </c>
      <c r="AP150" s="130">
        <f t="shared" si="90"/>
        <v>275958.56</v>
      </c>
      <c r="AQ150" s="130">
        <f t="shared" si="90"/>
        <v>381656.44</v>
      </c>
      <c r="AR150" s="130">
        <f t="shared" si="90"/>
        <v>298250.56</v>
      </c>
      <c r="AS150" s="130">
        <f t="shared" si="90"/>
        <v>253880</v>
      </c>
      <c r="AT150" s="130">
        <f t="shared" si="90"/>
        <v>200726</v>
      </c>
      <c r="AU150" s="130">
        <f t="shared" si="90"/>
        <v>0</v>
      </c>
      <c r="AV150" s="130">
        <f t="shared" si="90"/>
        <v>0</v>
      </c>
      <c r="AW150" s="130">
        <f t="shared" si="90"/>
        <v>0</v>
      </c>
      <c r="AX150" s="130">
        <f t="shared" si="90"/>
        <v>0</v>
      </c>
      <c r="AY150" s="130">
        <f t="shared" si="90"/>
        <v>0</v>
      </c>
      <c r="AZ150" s="130">
        <f t="shared" si="90"/>
        <v>0</v>
      </c>
      <c r="BA150" s="130">
        <f t="shared" si="90"/>
        <v>0</v>
      </c>
      <c r="BB150" s="130">
        <f t="shared" si="90"/>
        <v>1410471.5599999998</v>
      </c>
      <c r="BC150" s="130">
        <f t="shared" si="90"/>
        <v>15872.559999999998</v>
      </c>
      <c r="BD150" s="130">
        <f t="shared" si="90"/>
        <v>46726.34</v>
      </c>
      <c r="BE150" s="130">
        <f t="shared" si="90"/>
        <v>51164.559999999983</v>
      </c>
      <c r="BF150" s="130">
        <f t="shared" si="90"/>
        <v>1794</v>
      </c>
      <c r="BG150" s="130">
        <f t="shared" si="90"/>
        <v>-77508</v>
      </c>
      <c r="BH150" s="130">
        <f t="shared" si="90"/>
        <v>-290147</v>
      </c>
      <c r="BI150" s="130">
        <f t="shared" si="90"/>
        <v>-293347</v>
      </c>
      <c r="BJ150" s="130">
        <f t="shared" si="90"/>
        <v>-296547</v>
      </c>
      <c r="BK150" s="130">
        <f t="shared" si="90"/>
        <v>-296547</v>
      </c>
      <c r="BL150" s="130">
        <f t="shared" si="90"/>
        <v>-296547</v>
      </c>
      <c r="BM150" s="130">
        <f t="shared" si="90"/>
        <v>-296547</v>
      </c>
      <c r="BN150" s="130">
        <f t="shared" si="90"/>
        <v>-764047</v>
      </c>
      <c r="BO150" s="130">
        <f t="shared" si="90"/>
        <v>-2495679.54</v>
      </c>
      <c r="BP150" s="130">
        <f t="shared" si="90"/>
        <v>0</v>
      </c>
      <c r="BQ150" s="130">
        <f t="shared" si="90"/>
        <v>1209745.5599999998</v>
      </c>
    </row>
    <row r="152" spans="1:76" x14ac:dyDescent="0.35">
      <c r="T152" s="6"/>
      <c r="U152" s="155"/>
      <c r="V152" s="159"/>
      <c r="AG152" s="6"/>
    </row>
    <row r="153" spans="1:76" x14ac:dyDescent="0.35">
      <c r="U153" s="43"/>
      <c r="AE153"/>
      <c r="AF153" s="45"/>
      <c r="AG153" s="6"/>
      <c r="AH153" s="158"/>
    </row>
    <row r="154" spans="1:76" x14ac:dyDescent="0.35">
      <c r="U154" s="6"/>
      <c r="AG154" s="6"/>
      <c r="AH154" s="6"/>
    </row>
    <row r="155" spans="1:76" x14ac:dyDescent="0.35">
      <c r="AJ155" s="160"/>
    </row>
    <row r="156" spans="1:76" x14ac:dyDescent="0.35">
      <c r="AG156" s="6"/>
      <c r="AH156" s="6"/>
    </row>
    <row r="159" spans="1:76" x14ac:dyDescent="0.35">
      <c r="AN159"/>
    </row>
    <row r="160" spans="1:76" x14ac:dyDescent="0.35">
      <c r="AN160"/>
    </row>
    <row r="161" spans="40:41" x14ac:dyDescent="0.35">
      <c r="AN161"/>
    </row>
    <row r="162" spans="40:41" x14ac:dyDescent="0.35">
      <c r="AN162"/>
    </row>
    <row r="163" spans="40:41" x14ac:dyDescent="0.35">
      <c r="AN163"/>
      <c r="AO163" s="157"/>
    </row>
    <row r="164" spans="40:41" x14ac:dyDescent="0.35">
      <c r="AN164"/>
    </row>
    <row r="165" spans="40:41" x14ac:dyDescent="0.35">
      <c r="AN165"/>
    </row>
    <row r="166" spans="40:41" x14ac:dyDescent="0.35">
      <c r="AN166"/>
    </row>
    <row r="167" spans="40:41" x14ac:dyDescent="0.35">
      <c r="AN167"/>
    </row>
  </sheetData>
  <phoneticPr fontId="11" type="noConversion"/>
  <conditionalFormatting sqref="Y1:Z149">
    <cfRule type="cellIs" dxfId="2" priority="2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8"/>
  <sheetViews>
    <sheetView zoomScaleNormal="100" workbookViewId="0">
      <pane xSplit="2" ySplit="1" topLeftCell="AZ124" activePane="bottomRight" state="frozen"/>
      <selection pane="topRight" activeCell="C1" sqref="C1"/>
      <selection pane="bottomLeft" activeCell="A2" sqref="A2"/>
      <selection pane="bottomRight" activeCell="AN28" sqref="AN28"/>
    </sheetView>
  </sheetViews>
  <sheetFormatPr defaultColWidth="8.90625" defaultRowHeight="14.5" x14ac:dyDescent="0.35"/>
  <cols>
    <col min="1" max="1" width="19.453125" bestFit="1" customWidth="1"/>
    <col min="2" max="2" width="42.81640625" bestFit="1" customWidth="1"/>
    <col min="3" max="3" width="32.6328125" customWidth="1"/>
    <col min="4" max="4" width="13.54296875" style="9" customWidth="1"/>
    <col min="5" max="5" width="51.08984375" customWidth="1"/>
    <col min="6" max="6" width="22.36328125" customWidth="1"/>
    <col min="7" max="7" width="17.6328125" style="9" customWidth="1"/>
    <col min="8" max="8" width="17.08984375" style="13" customWidth="1"/>
    <col min="9" max="9" width="16.08984375" style="13" customWidth="1"/>
    <col min="10" max="10" width="12.54296875" customWidth="1"/>
    <col min="11" max="11" width="56.1796875" customWidth="1"/>
    <col min="12" max="12" width="12.81640625" customWidth="1"/>
    <col min="13" max="14" width="17.81640625" customWidth="1"/>
    <col min="15" max="15" width="18.1796875" customWidth="1"/>
    <col min="16" max="16" width="34.1796875" customWidth="1"/>
    <col min="17" max="17" width="44.90625" customWidth="1"/>
    <col min="18" max="18" width="29.08984375" customWidth="1"/>
    <col min="19" max="19" width="20.453125" customWidth="1"/>
    <col min="20" max="20" width="16.08984375" customWidth="1"/>
    <col min="21" max="21" width="21" customWidth="1"/>
    <col min="22" max="22" width="20.1796875" style="6" customWidth="1"/>
    <col min="23" max="23" width="26.54296875" style="6" customWidth="1"/>
    <col min="24" max="24" width="19.90625" style="6" customWidth="1"/>
    <col min="25" max="25" width="13.36328125" style="6" customWidth="1"/>
    <col min="26" max="26" width="21.08984375" style="6" customWidth="1"/>
    <col min="27" max="27" width="26.6328125" style="6" customWidth="1"/>
    <col min="28" max="28" width="13.453125" style="6" customWidth="1"/>
    <col min="29" max="29" width="13.54296875" style="6" customWidth="1"/>
    <col min="30" max="30" width="13.81640625" style="6" customWidth="1"/>
    <col min="31" max="32" width="13.90625" style="6" customWidth="1"/>
    <col min="33" max="34" width="13.90625" customWidth="1"/>
    <col min="35" max="42" width="13.90625" style="6" customWidth="1"/>
    <col min="43" max="43" width="11.1796875" style="6" customWidth="1"/>
    <col min="44" max="44" width="15.08984375" style="6" customWidth="1"/>
    <col min="45" max="54" width="15" style="6" customWidth="1"/>
    <col min="55" max="56" width="15" style="6" hidden="1" customWidth="1"/>
    <col min="57" max="57" width="20.81640625" style="6" hidden="1" customWidth="1"/>
    <col min="58" max="58" width="18" style="6" hidden="1" customWidth="1"/>
    <col min="59" max="60" width="13.90625" style="6" hidden="1" customWidth="1"/>
    <col min="61" max="67" width="13.90625" hidden="1" customWidth="1"/>
    <col min="68" max="68" width="27.36328125" customWidth="1"/>
    <col min="69" max="69" width="18.36328125" bestFit="1" customWidth="1"/>
    <col min="70" max="70" width="13.54296875" bestFit="1" customWidth="1"/>
    <col min="71" max="74" width="10.08984375" bestFit="1" customWidth="1"/>
    <col min="75" max="75" width="11.08984375" bestFit="1" customWidth="1"/>
  </cols>
  <sheetData>
    <row r="1" spans="1:76" s="16" customFormat="1" x14ac:dyDescent="0.35">
      <c r="A1" s="23" t="s">
        <v>42</v>
      </c>
      <c r="B1" s="23" t="s">
        <v>55</v>
      </c>
      <c r="C1" s="23" t="s">
        <v>80</v>
      </c>
      <c r="D1" s="23" t="s">
        <v>81</v>
      </c>
      <c r="E1" s="23" t="s">
        <v>82</v>
      </c>
      <c r="F1" s="23" t="s">
        <v>83</v>
      </c>
      <c r="G1" s="23" t="s">
        <v>54</v>
      </c>
      <c r="H1" s="24" t="s">
        <v>84</v>
      </c>
      <c r="I1" s="24" t="s">
        <v>85</v>
      </c>
      <c r="J1" s="24" t="s">
        <v>86</v>
      </c>
      <c r="K1" s="23" t="s">
        <v>87</v>
      </c>
      <c r="L1" s="23" t="s">
        <v>88</v>
      </c>
      <c r="M1" s="23" t="s">
        <v>47</v>
      </c>
      <c r="N1" s="23" t="s">
        <v>89</v>
      </c>
      <c r="O1" s="25" t="s">
        <v>90</v>
      </c>
      <c r="P1" s="23" t="s">
        <v>91</v>
      </c>
      <c r="Q1" s="23" t="s">
        <v>92</v>
      </c>
      <c r="R1" s="23" t="s">
        <v>93</v>
      </c>
      <c r="S1" s="23" t="s">
        <v>94</v>
      </c>
      <c r="T1" s="25" t="s">
        <v>95</v>
      </c>
      <c r="U1" s="26" t="s">
        <v>96</v>
      </c>
      <c r="V1" s="26" t="s">
        <v>97</v>
      </c>
      <c r="W1" s="26" t="s">
        <v>98</v>
      </c>
      <c r="X1" s="28" t="s">
        <v>99</v>
      </c>
      <c r="Y1" s="27" t="s">
        <v>100</v>
      </c>
      <c r="Z1" s="27" t="s">
        <v>476</v>
      </c>
      <c r="AA1" s="29" t="s">
        <v>448</v>
      </c>
      <c r="AB1" s="26" t="s">
        <v>449</v>
      </c>
      <c r="AC1" s="26" t="s">
        <v>450</v>
      </c>
      <c r="AD1" s="26" t="s">
        <v>451</v>
      </c>
      <c r="AE1" s="26" t="s">
        <v>464</v>
      </c>
      <c r="AF1" s="25" t="s">
        <v>465</v>
      </c>
      <c r="AG1" s="25" t="s">
        <v>466</v>
      </c>
      <c r="AH1" s="25" t="s">
        <v>467</v>
      </c>
      <c r="AI1" s="25" t="s">
        <v>468</v>
      </c>
      <c r="AJ1" s="25" t="s">
        <v>469</v>
      </c>
      <c r="AK1" s="25" t="s">
        <v>470</v>
      </c>
      <c r="AL1" s="25" t="s">
        <v>471</v>
      </c>
      <c r="AM1" s="25" t="s">
        <v>472</v>
      </c>
      <c r="AN1" s="25" t="s">
        <v>474</v>
      </c>
      <c r="AO1" s="30" t="s">
        <v>885</v>
      </c>
      <c r="AP1" s="69" t="s">
        <v>452</v>
      </c>
      <c r="AQ1" s="69" t="s">
        <v>453</v>
      </c>
      <c r="AR1" s="69" t="s">
        <v>454</v>
      </c>
      <c r="AS1" s="69" t="s">
        <v>455</v>
      </c>
      <c r="AT1" s="70" t="s">
        <v>456</v>
      </c>
      <c r="AU1" s="70" t="s">
        <v>457</v>
      </c>
      <c r="AV1" s="70" t="s">
        <v>458</v>
      </c>
      <c r="AW1" s="70" t="s">
        <v>459</v>
      </c>
      <c r="AX1" s="70" t="s">
        <v>460</v>
      </c>
      <c r="AY1" s="70" t="s">
        <v>461</v>
      </c>
      <c r="AZ1" s="70" t="s">
        <v>462</v>
      </c>
      <c r="BA1" s="70" t="s">
        <v>463</v>
      </c>
      <c r="BB1" s="78" t="s">
        <v>475</v>
      </c>
      <c r="BC1" s="72" t="s">
        <v>508</v>
      </c>
      <c r="BD1" s="72" t="s">
        <v>509</v>
      </c>
      <c r="BE1" s="72" t="s">
        <v>510</v>
      </c>
      <c r="BF1" s="72" t="s">
        <v>511</v>
      </c>
      <c r="BG1" s="73" t="s">
        <v>512</v>
      </c>
      <c r="BH1" s="73" t="s">
        <v>513</v>
      </c>
      <c r="BI1" s="73" t="s">
        <v>514</v>
      </c>
      <c r="BJ1" s="73" t="s">
        <v>515</v>
      </c>
      <c r="BK1" s="73" t="s">
        <v>516</v>
      </c>
      <c r="BL1" s="73" t="s">
        <v>517</v>
      </c>
      <c r="BM1" s="73" t="s">
        <v>518</v>
      </c>
      <c r="BN1" s="74" t="s">
        <v>519</v>
      </c>
      <c r="BO1" s="74" t="s">
        <v>520</v>
      </c>
      <c r="BP1" s="31" t="s">
        <v>473</v>
      </c>
      <c r="BQ1" s="50" t="s">
        <v>911</v>
      </c>
      <c r="BR1" s="50" t="s">
        <v>912</v>
      </c>
      <c r="BS1" s="50" t="s">
        <v>913</v>
      </c>
      <c r="BT1" s="50" t="s">
        <v>914</v>
      </c>
      <c r="BU1" s="50" t="s">
        <v>915</v>
      </c>
    </row>
    <row r="2" spans="1:76" x14ac:dyDescent="0.35">
      <c r="A2" s="22" t="s">
        <v>101</v>
      </c>
      <c r="B2" s="21" t="s">
        <v>67</v>
      </c>
      <c r="C2" s="21" t="s">
        <v>102</v>
      </c>
      <c r="D2" s="10" t="s">
        <v>17</v>
      </c>
      <c r="E2" s="7" t="s">
        <v>103</v>
      </c>
      <c r="F2" s="3" t="s">
        <v>104</v>
      </c>
      <c r="G2" s="3" t="s">
        <v>49</v>
      </c>
      <c r="H2" s="4">
        <v>45809</v>
      </c>
      <c r="I2" s="4">
        <v>46904</v>
      </c>
      <c r="J2" s="21" t="s">
        <v>105</v>
      </c>
      <c r="K2" s="3" t="str">
        <f t="shared" ref="K2:K65" si="0">D2 &amp; "-" &amp;E2</f>
        <v>Prj000350-Support - Infrastructure for Tech</v>
      </c>
      <c r="L2" s="21" t="s">
        <v>106</v>
      </c>
      <c r="M2" s="21" t="s">
        <v>7</v>
      </c>
      <c r="N2" s="21" t="s">
        <v>7</v>
      </c>
      <c r="O2" s="21" t="s">
        <v>105</v>
      </c>
      <c r="P2" s="21" t="s">
        <v>107</v>
      </c>
      <c r="Q2" s="21" t="s">
        <v>108</v>
      </c>
      <c r="R2" s="21" t="s">
        <v>108</v>
      </c>
      <c r="S2" s="21" t="s">
        <v>109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426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9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/>
      <c r="BX2" s="6"/>
    </row>
    <row r="3" spans="1:76" x14ac:dyDescent="0.35">
      <c r="A3" s="22" t="s">
        <v>101</v>
      </c>
      <c r="B3" s="21" t="s">
        <v>67</v>
      </c>
      <c r="C3" s="21" t="s">
        <v>102</v>
      </c>
      <c r="D3" s="10" t="s">
        <v>17</v>
      </c>
      <c r="E3" s="7" t="s">
        <v>103</v>
      </c>
      <c r="F3" s="3" t="s">
        <v>104</v>
      </c>
      <c r="G3" s="3" t="s">
        <v>49</v>
      </c>
      <c r="H3" s="4">
        <v>45809</v>
      </c>
      <c r="I3" s="4">
        <v>46904</v>
      </c>
      <c r="J3" s="21" t="s">
        <v>110</v>
      </c>
      <c r="K3" s="3" t="str">
        <f t="shared" si="0"/>
        <v>Prj000350-Support - Infrastructure for Tech</v>
      </c>
      <c r="L3" s="21" t="s">
        <v>106</v>
      </c>
      <c r="M3" s="21" t="s">
        <v>7</v>
      </c>
      <c r="N3" s="21" t="s">
        <v>7</v>
      </c>
      <c r="O3" s="21" t="s">
        <v>110</v>
      </c>
      <c r="P3" s="21" t="s">
        <v>107</v>
      </c>
      <c r="Q3" s="21" t="s">
        <v>108</v>
      </c>
      <c r="R3" s="21" t="s">
        <v>108</v>
      </c>
      <c r="S3" s="21" t="s">
        <v>109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427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9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/>
      <c r="BX3" s="6"/>
    </row>
    <row r="4" spans="1:76" x14ac:dyDescent="0.35">
      <c r="A4" s="22" t="s">
        <v>111</v>
      </c>
      <c r="B4" s="21" t="s">
        <v>112</v>
      </c>
      <c r="C4" s="21"/>
      <c r="D4" s="10" t="s">
        <v>11</v>
      </c>
      <c r="E4" s="7" t="s">
        <v>113</v>
      </c>
      <c r="F4" s="3" t="s">
        <v>114</v>
      </c>
      <c r="G4" s="3" t="s">
        <v>53</v>
      </c>
      <c r="H4" s="4" t="s">
        <v>115</v>
      </c>
      <c r="I4" s="4" t="s">
        <v>115</v>
      </c>
      <c r="J4" s="3"/>
      <c r="K4" s="3" t="str">
        <f t="shared" si="0"/>
        <v>Prj000266-Support - Internal Tech Workforce Activities</v>
      </c>
      <c r="L4" s="21" t="s">
        <v>106</v>
      </c>
      <c r="M4" s="21" t="s">
        <v>6</v>
      </c>
      <c r="N4" s="21" t="s">
        <v>6</v>
      </c>
      <c r="O4" s="21"/>
      <c r="P4" s="21" t="s">
        <v>116</v>
      </c>
      <c r="Q4" s="21" t="s">
        <v>117</v>
      </c>
      <c r="R4" s="21" t="s">
        <v>118</v>
      </c>
      <c r="S4" s="21" t="s">
        <v>119</v>
      </c>
      <c r="T4" s="5">
        <v>211257</v>
      </c>
      <c r="U4" s="15">
        <v>259449</v>
      </c>
      <c r="V4" s="15">
        <v>259449</v>
      </c>
      <c r="W4" s="15">
        <f t="shared" si="1"/>
        <v>209448.84999999998</v>
      </c>
      <c r="X4" s="15">
        <f t="shared" si="7"/>
        <v>-50000.150000000023</v>
      </c>
      <c r="Y4" s="15">
        <f t="shared" si="2"/>
        <v>0</v>
      </c>
      <c r="Z4" s="15">
        <f>SUM(Financials20263[[#This Row],[2026 Opportunity]:[2026 Risk]])</f>
        <v>-50000.150000000023</v>
      </c>
      <c r="AA4" s="14" t="s">
        <v>888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</f>
        <v>125791</v>
      </c>
      <c r="AN4" s="46">
        <f>SUM(Financials20263[[#This Row],[Jan FC]:[Dec FC]])</f>
        <v>209448.85</v>
      </c>
      <c r="AO4" s="15">
        <f t="shared" si="5"/>
        <v>125791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-125791</v>
      </c>
      <c r="BO4" s="71">
        <f>SUM(Financials20263[[#This Row],[Jan Opp/Risk]:[Dec Opp./Risk]])</f>
        <v>-125791</v>
      </c>
      <c r="BP4" s="90" t="s">
        <v>528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125791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209448.85</v>
      </c>
      <c r="BV4" s="6"/>
      <c r="BW4" s="6"/>
      <c r="BX4" s="6"/>
    </row>
    <row r="5" spans="1:76" x14ac:dyDescent="0.35">
      <c r="A5" s="22" t="s">
        <v>101</v>
      </c>
      <c r="B5" s="21" t="s">
        <v>121</v>
      </c>
      <c r="C5" s="21"/>
      <c r="D5" s="10" t="s">
        <v>16</v>
      </c>
      <c r="E5" s="7" t="s">
        <v>122</v>
      </c>
      <c r="F5" s="3" t="s">
        <v>123</v>
      </c>
      <c r="G5" s="3" t="s">
        <v>50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124</v>
      </c>
      <c r="M5" s="21" t="s">
        <v>5</v>
      </c>
      <c r="N5" s="21" t="s">
        <v>125</v>
      </c>
      <c r="O5" s="21" t="s">
        <v>2</v>
      </c>
      <c r="P5" s="21" t="s">
        <v>126</v>
      </c>
      <c r="Q5" s="21" t="s">
        <v>127</v>
      </c>
      <c r="R5" s="21" t="s">
        <v>128</v>
      </c>
      <c r="S5" s="21" t="s">
        <v>129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130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91" t="s">
        <v>849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/>
      <c r="BX5" s="6"/>
    </row>
    <row r="6" spans="1:76" x14ac:dyDescent="0.35">
      <c r="A6" s="22" t="s">
        <v>101</v>
      </c>
      <c r="B6" s="21" t="s">
        <v>79</v>
      </c>
      <c r="C6" s="21" t="s">
        <v>131</v>
      </c>
      <c r="D6" s="10" t="s">
        <v>17</v>
      </c>
      <c r="E6" s="7" t="s">
        <v>103</v>
      </c>
      <c r="F6" s="3" t="s">
        <v>104</v>
      </c>
      <c r="G6" s="3" t="s">
        <v>49</v>
      </c>
      <c r="H6" s="4">
        <v>45853</v>
      </c>
      <c r="I6" s="4">
        <v>46217</v>
      </c>
      <c r="J6" s="3" t="s">
        <v>131</v>
      </c>
      <c r="K6" s="3" t="str">
        <f t="shared" si="0"/>
        <v>Prj000350-Support - Infrastructure for Tech</v>
      </c>
      <c r="L6" s="21" t="s">
        <v>106</v>
      </c>
      <c r="M6" s="21" t="s">
        <v>7</v>
      </c>
      <c r="N6" s="21" t="s">
        <v>7</v>
      </c>
      <c r="O6" s="21"/>
      <c r="P6" s="21" t="s">
        <v>107</v>
      </c>
      <c r="Q6" s="21" t="s">
        <v>108</v>
      </c>
      <c r="R6" s="21" t="s">
        <v>108</v>
      </c>
      <c r="S6" s="21" t="s">
        <v>132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90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/>
      <c r="BX6" s="6"/>
    </row>
    <row r="7" spans="1:76" s="18" customFormat="1" x14ac:dyDescent="0.35">
      <c r="A7" s="22" t="s">
        <v>101</v>
      </c>
      <c r="B7" s="21" t="s">
        <v>133</v>
      </c>
      <c r="C7" s="21"/>
      <c r="D7" s="10" t="s">
        <v>16</v>
      </c>
      <c r="E7" s="7" t="s">
        <v>122</v>
      </c>
      <c r="F7" s="3" t="s">
        <v>123</v>
      </c>
      <c r="G7" s="3" t="s">
        <v>50</v>
      </c>
      <c r="H7" s="4" t="s">
        <v>115</v>
      </c>
      <c r="I7" s="4" t="s">
        <v>115</v>
      </c>
      <c r="J7" s="3"/>
      <c r="K7" s="3" t="str">
        <f t="shared" si="0"/>
        <v>Prj000344-Support - Prod support for Finance Applications</v>
      </c>
      <c r="L7" s="21" t="s">
        <v>106</v>
      </c>
      <c r="M7" s="21" t="s">
        <v>7</v>
      </c>
      <c r="N7" s="21" t="s">
        <v>7</v>
      </c>
      <c r="O7" s="21"/>
      <c r="P7" s="21" t="s">
        <v>107</v>
      </c>
      <c r="Q7" s="21" t="s">
        <v>134</v>
      </c>
      <c r="R7" s="21" t="s">
        <v>135</v>
      </c>
      <c r="S7" s="21" t="s">
        <v>136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137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90"/>
      <c r="BQ7" s="48">
        <f>SUM(Financials20263[[#This Row],[Jan AC]:[May AC]])</f>
        <v>0</v>
      </c>
      <c r="BR7" s="166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/>
      <c r="BX7" s="6"/>
    </row>
    <row r="8" spans="1:76" x14ac:dyDescent="0.35">
      <c r="A8" s="22" t="s">
        <v>101</v>
      </c>
      <c r="B8" s="21" t="s">
        <v>133</v>
      </c>
      <c r="C8" s="21"/>
      <c r="D8" s="10" t="s">
        <v>532</v>
      </c>
      <c r="E8" s="7" t="s">
        <v>533</v>
      </c>
      <c r="F8" s="3" t="s">
        <v>123</v>
      </c>
      <c r="G8" s="3" t="s">
        <v>50</v>
      </c>
      <c r="H8" s="110">
        <v>46120</v>
      </c>
      <c r="I8" s="110">
        <v>46484</v>
      </c>
      <c r="J8" s="3"/>
      <c r="K8" s="3" t="str">
        <f t="shared" si="0"/>
        <v>Prj000603-Implement - Cash Matching Recon Solution</v>
      </c>
      <c r="L8" s="21" t="s">
        <v>106</v>
      </c>
      <c r="M8" s="21" t="s">
        <v>7</v>
      </c>
      <c r="N8" s="21" t="s">
        <v>7</v>
      </c>
      <c r="O8" s="21"/>
      <c r="P8" s="21" t="s">
        <v>107</v>
      </c>
      <c r="Q8" s="21" t="s">
        <v>134</v>
      </c>
      <c r="R8" s="21" t="s">
        <v>135</v>
      </c>
      <c r="S8" s="21" t="s">
        <v>132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827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3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90" t="s">
        <v>535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/>
      <c r="BX8" s="6"/>
    </row>
    <row r="9" spans="1:76" x14ac:dyDescent="0.35">
      <c r="A9" s="22" t="s">
        <v>101</v>
      </c>
      <c r="B9" s="21" t="s">
        <v>138</v>
      </c>
      <c r="C9" s="21" t="s">
        <v>139</v>
      </c>
      <c r="D9" s="10" t="s">
        <v>13</v>
      </c>
      <c r="E9" s="7" t="s">
        <v>140</v>
      </c>
      <c r="F9" s="3" t="s">
        <v>141</v>
      </c>
      <c r="G9" s="3" t="s">
        <v>52</v>
      </c>
      <c r="H9" s="4" t="s">
        <v>142</v>
      </c>
      <c r="I9" s="4" t="s">
        <v>142</v>
      </c>
      <c r="J9" s="3"/>
      <c r="K9" s="3" t="str">
        <f t="shared" si="0"/>
        <v>Prj000290-Support - Asset Management Applications</v>
      </c>
      <c r="L9" s="21" t="s">
        <v>106</v>
      </c>
      <c r="M9" s="21" t="s">
        <v>7</v>
      </c>
      <c r="N9" s="21" t="s">
        <v>7</v>
      </c>
      <c r="O9" s="21" t="s">
        <v>2</v>
      </c>
      <c r="P9" s="21" t="s">
        <v>107</v>
      </c>
      <c r="Q9" s="21" t="s">
        <v>108</v>
      </c>
      <c r="R9" s="21" t="s">
        <v>143</v>
      </c>
      <c r="S9" s="21" t="s">
        <v>144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145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90" t="s">
        <v>916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/>
      <c r="BX9" s="6"/>
    </row>
    <row r="10" spans="1:76" x14ac:dyDescent="0.35">
      <c r="A10" s="22" t="s">
        <v>101</v>
      </c>
      <c r="B10" s="21" t="s">
        <v>57</v>
      </c>
      <c r="C10" s="21"/>
      <c r="D10" s="10" t="s">
        <v>17</v>
      </c>
      <c r="E10" s="7" t="s">
        <v>103</v>
      </c>
      <c r="F10" s="3" t="s">
        <v>104</v>
      </c>
      <c r="G10" s="3" t="s">
        <v>49</v>
      </c>
      <c r="H10" s="4" t="s">
        <v>142</v>
      </c>
      <c r="I10" s="4" t="s">
        <v>142</v>
      </c>
      <c r="J10" s="3"/>
      <c r="K10" s="3" t="str">
        <f t="shared" si="0"/>
        <v>Prj000350-Support - Infrastructure for Tech</v>
      </c>
      <c r="L10" s="21" t="s">
        <v>106</v>
      </c>
      <c r="M10" s="21" t="s">
        <v>4</v>
      </c>
      <c r="N10" s="21" t="s">
        <v>4</v>
      </c>
      <c r="O10" s="21"/>
      <c r="P10" s="21" t="s">
        <v>107</v>
      </c>
      <c r="Q10" s="21" t="s">
        <v>146</v>
      </c>
      <c r="R10" s="21" t="s">
        <v>146</v>
      </c>
      <c r="S10" s="21" t="s">
        <v>129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147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91" t="s">
        <v>854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6"/>
      <c r="BX10" s="6"/>
    </row>
    <row r="11" spans="1:76" x14ac:dyDescent="0.35">
      <c r="A11" s="22" t="s">
        <v>101</v>
      </c>
      <c r="B11" s="21" t="s">
        <v>63</v>
      </c>
      <c r="C11" s="21"/>
      <c r="D11" s="10" t="s">
        <v>17</v>
      </c>
      <c r="E11" s="7" t="s">
        <v>103</v>
      </c>
      <c r="F11" s="3" t="s">
        <v>104</v>
      </c>
      <c r="G11" s="3" t="s">
        <v>49</v>
      </c>
      <c r="H11" s="4" t="s">
        <v>142</v>
      </c>
      <c r="I11" s="4" t="s">
        <v>142</v>
      </c>
      <c r="J11" s="3"/>
      <c r="K11" s="3" t="str">
        <f t="shared" si="0"/>
        <v>Prj000350-Support - Infrastructure for Tech</v>
      </c>
      <c r="L11" s="21" t="s">
        <v>106</v>
      </c>
      <c r="M11" s="21" t="s">
        <v>4</v>
      </c>
      <c r="N11" s="21" t="s">
        <v>4</v>
      </c>
      <c r="O11" s="21" t="s">
        <v>148</v>
      </c>
      <c r="P11" s="21" t="s">
        <v>107</v>
      </c>
      <c r="Q11" s="21" t="s">
        <v>146</v>
      </c>
      <c r="R11" s="21" t="s">
        <v>146</v>
      </c>
      <c r="S11" s="21" t="s">
        <v>129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120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90" t="s">
        <v>534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6"/>
      <c r="BX11" s="6"/>
    </row>
    <row r="12" spans="1:76" x14ac:dyDescent="0.35">
      <c r="A12" s="22" t="s">
        <v>101</v>
      </c>
      <c r="B12" s="21" t="s">
        <v>65</v>
      </c>
      <c r="C12" s="21" t="s">
        <v>149</v>
      </c>
      <c r="D12" s="10" t="s">
        <v>17</v>
      </c>
      <c r="E12" s="7" t="s">
        <v>103</v>
      </c>
      <c r="F12" s="3" t="s">
        <v>104</v>
      </c>
      <c r="G12" s="3" t="s">
        <v>49</v>
      </c>
      <c r="H12" s="4" t="s">
        <v>142</v>
      </c>
      <c r="I12" s="4" t="s">
        <v>142</v>
      </c>
      <c r="J12" s="3"/>
      <c r="K12" s="3" t="str">
        <f t="shared" si="0"/>
        <v>Prj000350-Support - Infrastructure for Tech</v>
      </c>
      <c r="L12" s="21" t="s">
        <v>106</v>
      </c>
      <c r="M12" s="21" t="s">
        <v>4</v>
      </c>
      <c r="N12" s="21" t="s">
        <v>4</v>
      </c>
      <c r="O12" s="21" t="s">
        <v>148</v>
      </c>
      <c r="P12" s="21" t="s">
        <v>107</v>
      </c>
      <c r="Q12" s="21" t="s">
        <v>146</v>
      </c>
      <c r="R12" s="21" t="s">
        <v>146</v>
      </c>
      <c r="S12" s="21" t="s">
        <v>129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120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90" t="s">
        <v>534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6"/>
      <c r="BX12" s="6"/>
    </row>
    <row r="13" spans="1:76" x14ac:dyDescent="0.35">
      <c r="A13" s="22" t="s">
        <v>101</v>
      </c>
      <c r="B13" s="21" t="s">
        <v>60</v>
      </c>
      <c r="C13" s="21"/>
      <c r="D13" s="10" t="s">
        <v>17</v>
      </c>
      <c r="E13" s="7" t="s">
        <v>103</v>
      </c>
      <c r="F13" s="3" t="s">
        <v>104</v>
      </c>
      <c r="G13" s="3" t="s">
        <v>49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106</v>
      </c>
      <c r="M13" s="21" t="s">
        <v>4</v>
      </c>
      <c r="N13" s="21" t="s">
        <v>4</v>
      </c>
      <c r="O13" s="21" t="s">
        <v>150</v>
      </c>
      <c r="P13" s="21" t="s">
        <v>151</v>
      </c>
      <c r="Q13" s="21" t="s">
        <v>152</v>
      </c>
      <c r="R13" s="21" t="s">
        <v>153</v>
      </c>
      <c r="S13" s="21" t="s">
        <v>154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91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6"/>
      <c r="BX13" s="6"/>
    </row>
    <row r="14" spans="1:76" x14ac:dyDescent="0.35">
      <c r="A14" s="22" t="s">
        <v>101</v>
      </c>
      <c r="B14" s="21" t="s">
        <v>72</v>
      </c>
      <c r="C14" s="21"/>
      <c r="D14" s="10" t="s">
        <v>17</v>
      </c>
      <c r="E14" s="7" t="s">
        <v>103</v>
      </c>
      <c r="F14" s="3" t="s">
        <v>104</v>
      </c>
      <c r="G14" s="3" t="s">
        <v>49</v>
      </c>
      <c r="H14" s="4">
        <v>45947</v>
      </c>
      <c r="I14" s="4">
        <v>46311</v>
      </c>
      <c r="J14" s="3" t="s">
        <v>155</v>
      </c>
      <c r="K14" s="3" t="str">
        <f t="shared" si="0"/>
        <v>Prj000350-Support - Infrastructure for Tech</v>
      </c>
      <c r="L14" s="21" t="s">
        <v>106</v>
      </c>
      <c r="M14" s="21" t="s">
        <v>4</v>
      </c>
      <c r="N14" s="21" t="s">
        <v>4</v>
      </c>
      <c r="O14" s="21"/>
      <c r="P14" s="21" t="s">
        <v>151</v>
      </c>
      <c r="Q14" s="21" t="s">
        <v>152</v>
      </c>
      <c r="R14" s="21" t="s">
        <v>153</v>
      </c>
      <c r="S14" s="21" t="s">
        <v>132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156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91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6"/>
      <c r="BX14" s="6"/>
    </row>
    <row r="15" spans="1:76" x14ac:dyDescent="0.35">
      <c r="A15" s="22" t="s">
        <v>157</v>
      </c>
      <c r="B15" s="21" t="s">
        <v>68</v>
      </c>
      <c r="C15" s="21"/>
      <c r="D15" s="10" t="s">
        <v>17</v>
      </c>
      <c r="E15" s="7" t="s">
        <v>103</v>
      </c>
      <c r="F15" s="3" t="s">
        <v>104</v>
      </c>
      <c r="G15" s="3" t="s">
        <v>49</v>
      </c>
      <c r="H15" s="4" t="s">
        <v>115</v>
      </c>
      <c r="I15" s="4" t="s">
        <v>115</v>
      </c>
      <c r="J15" s="3"/>
      <c r="K15" s="3" t="str">
        <f t="shared" si="0"/>
        <v>Prj000350-Support - Infrastructure for Tech</v>
      </c>
      <c r="L15" s="21" t="s">
        <v>106</v>
      </c>
      <c r="M15" s="21" t="s">
        <v>4</v>
      </c>
      <c r="N15" s="21" t="s">
        <v>4</v>
      </c>
      <c r="O15" s="21"/>
      <c r="P15" s="21" t="s">
        <v>151</v>
      </c>
      <c r="Q15" s="21" t="s">
        <v>152</v>
      </c>
      <c r="R15" s="21" t="s">
        <v>153</v>
      </c>
      <c r="S15" s="21" t="s">
        <v>136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158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91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6"/>
      <c r="BX15" s="6"/>
    </row>
    <row r="16" spans="1:76" x14ac:dyDescent="0.35">
      <c r="A16" s="22" t="s">
        <v>101</v>
      </c>
      <c r="B16" s="21" t="s">
        <v>159</v>
      </c>
      <c r="C16" s="21"/>
      <c r="D16" s="10" t="s">
        <v>20</v>
      </c>
      <c r="E16" s="7" t="s">
        <v>160</v>
      </c>
      <c r="F16" s="3" t="s">
        <v>161</v>
      </c>
      <c r="G16" s="3" t="s">
        <v>50</v>
      </c>
      <c r="H16" s="4" t="s">
        <v>142</v>
      </c>
      <c r="I16" s="4" t="s">
        <v>142</v>
      </c>
      <c r="J16" s="3"/>
      <c r="K16" s="3" t="str">
        <f t="shared" si="0"/>
        <v>Prj000381-Support - Prod Support for Credit Apps</v>
      </c>
      <c r="L16" s="21" t="s">
        <v>106</v>
      </c>
      <c r="M16" s="21" t="s">
        <v>6</v>
      </c>
      <c r="N16" s="21" t="s">
        <v>6</v>
      </c>
      <c r="O16" s="21" t="s">
        <v>162</v>
      </c>
      <c r="P16" s="21" t="s">
        <v>163</v>
      </c>
      <c r="Q16" s="21" t="s">
        <v>163</v>
      </c>
      <c r="R16" s="21" t="s">
        <v>164</v>
      </c>
      <c r="S16" s="21" t="s">
        <v>129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165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90" t="s">
        <v>534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/>
      <c r="BX16" s="6"/>
    </row>
    <row r="17" spans="1:76" x14ac:dyDescent="0.35">
      <c r="A17" s="22" t="s">
        <v>101</v>
      </c>
      <c r="B17" s="21" t="s">
        <v>166</v>
      </c>
      <c r="C17" s="21"/>
      <c r="D17" s="10" t="s">
        <v>25</v>
      </c>
      <c r="E17" s="7" t="s">
        <v>167</v>
      </c>
      <c r="F17" s="3" t="s">
        <v>168</v>
      </c>
      <c r="G17" s="3" t="s">
        <v>51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106</v>
      </c>
      <c r="M17" s="21" t="s">
        <v>6</v>
      </c>
      <c r="N17" s="21" t="s">
        <v>6</v>
      </c>
      <c r="O17" s="21"/>
      <c r="P17" s="21" t="s">
        <v>163</v>
      </c>
      <c r="Q17" s="21" t="s">
        <v>163</v>
      </c>
      <c r="R17" s="21" t="s">
        <v>164</v>
      </c>
      <c r="S17" s="21" t="s">
        <v>132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169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90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/>
      <c r="BX17" s="6"/>
    </row>
    <row r="18" spans="1:76" x14ac:dyDescent="0.35">
      <c r="A18" s="22" t="s">
        <v>111</v>
      </c>
      <c r="B18" s="21" t="s">
        <v>170</v>
      </c>
      <c r="C18" s="21" t="s">
        <v>171</v>
      </c>
      <c r="D18" s="10" t="s">
        <v>11</v>
      </c>
      <c r="E18" s="7" t="s">
        <v>113</v>
      </c>
      <c r="F18" s="3" t="s">
        <v>114</v>
      </c>
      <c r="G18" s="3" t="s">
        <v>53</v>
      </c>
      <c r="H18" s="4" t="s">
        <v>115</v>
      </c>
      <c r="I18" s="4" t="s">
        <v>115</v>
      </c>
      <c r="J18" s="3"/>
      <c r="K18" s="3" t="str">
        <f t="shared" si="0"/>
        <v>Prj000266-Support - Internal Tech Workforce Activities</v>
      </c>
      <c r="L18" s="21" t="s">
        <v>106</v>
      </c>
      <c r="M18" s="21" t="s">
        <v>6</v>
      </c>
      <c r="N18" s="21" t="s">
        <v>6</v>
      </c>
      <c r="O18" s="21"/>
      <c r="P18" s="21" t="s">
        <v>172</v>
      </c>
      <c r="Q18" s="21" t="s">
        <v>173</v>
      </c>
      <c r="R18" s="21" t="s">
        <v>174</v>
      </c>
      <c r="S18" s="21" t="s">
        <v>132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175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91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/>
      <c r="BX18" s="6"/>
    </row>
    <row r="19" spans="1:76" x14ac:dyDescent="0.35">
      <c r="A19" s="22" t="s">
        <v>111</v>
      </c>
      <c r="B19" t="s">
        <v>176</v>
      </c>
      <c r="C19" s="21" t="s">
        <v>171</v>
      </c>
      <c r="D19" s="10" t="s">
        <v>11</v>
      </c>
      <c r="E19" s="7" t="s">
        <v>113</v>
      </c>
      <c r="F19" s="3" t="s">
        <v>114</v>
      </c>
      <c r="G19" s="3" t="s">
        <v>53</v>
      </c>
      <c r="H19" s="4" t="s">
        <v>115</v>
      </c>
      <c r="I19" s="4" t="s">
        <v>115</v>
      </c>
      <c r="J19" s="3"/>
      <c r="K19" s="3" t="str">
        <f t="shared" si="0"/>
        <v>Prj000266-Support - Internal Tech Workforce Activities</v>
      </c>
      <c r="L19" s="21" t="s">
        <v>106</v>
      </c>
      <c r="M19" s="21" t="s">
        <v>6</v>
      </c>
      <c r="N19" s="21" t="s">
        <v>6</v>
      </c>
      <c r="O19" s="21"/>
      <c r="P19" s="21" t="s">
        <v>172</v>
      </c>
      <c r="Q19" s="21" t="s">
        <v>173</v>
      </c>
      <c r="R19" s="21" t="s">
        <v>174</v>
      </c>
      <c r="S19" s="21" t="s">
        <v>132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175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91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/>
      <c r="BX19" s="6"/>
    </row>
    <row r="20" spans="1:76" x14ac:dyDescent="0.35">
      <c r="A20" s="22" t="s">
        <v>111</v>
      </c>
      <c r="B20" s="21" t="s">
        <v>177</v>
      </c>
      <c r="C20" s="21" t="s">
        <v>178</v>
      </c>
      <c r="D20" s="10" t="s">
        <v>11</v>
      </c>
      <c r="E20" s="7" t="s">
        <v>113</v>
      </c>
      <c r="F20" s="3" t="s">
        <v>114</v>
      </c>
      <c r="G20" s="3" t="s">
        <v>53</v>
      </c>
      <c r="H20" s="4" t="s">
        <v>115</v>
      </c>
      <c r="I20" s="4" t="s">
        <v>115</v>
      </c>
      <c r="J20" s="3"/>
      <c r="K20" s="3" t="str">
        <f t="shared" si="0"/>
        <v>Prj000266-Support - Internal Tech Workforce Activities</v>
      </c>
      <c r="L20" s="21" t="s">
        <v>106</v>
      </c>
      <c r="M20" s="21" t="s">
        <v>6</v>
      </c>
      <c r="N20" s="21" t="s">
        <v>6</v>
      </c>
      <c r="O20" s="21"/>
      <c r="P20" s="21" t="s">
        <v>116</v>
      </c>
      <c r="Q20" s="21" t="s">
        <v>179</v>
      </c>
      <c r="R20" s="21" t="s">
        <v>180</v>
      </c>
      <c r="S20" s="21" t="s">
        <v>136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120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91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/>
      <c r="BX20" s="6"/>
    </row>
    <row r="21" spans="1:76" x14ac:dyDescent="0.35">
      <c r="A21" s="22" t="s">
        <v>101</v>
      </c>
      <c r="B21" s="21" t="s">
        <v>181</v>
      </c>
      <c r="C21" s="21"/>
      <c r="D21" s="10" t="s">
        <v>22</v>
      </c>
      <c r="E21" s="7" t="s">
        <v>182</v>
      </c>
      <c r="F21" s="3" t="s">
        <v>183</v>
      </c>
      <c r="G21" s="3" t="s">
        <v>48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124</v>
      </c>
      <c r="M21" s="21" t="s">
        <v>5</v>
      </c>
      <c r="N21" s="21" t="s">
        <v>125</v>
      </c>
      <c r="O21" s="21" t="s">
        <v>184</v>
      </c>
      <c r="P21" s="21" t="s">
        <v>107</v>
      </c>
      <c r="Q21" s="21" t="s">
        <v>134</v>
      </c>
      <c r="R21" s="21" t="s">
        <v>134</v>
      </c>
      <c r="S21" s="21" t="s">
        <v>129</v>
      </c>
      <c r="T21" s="5">
        <v>1357227</v>
      </c>
      <c r="U21" s="15">
        <v>1359552</v>
      </c>
      <c r="V21" s="15">
        <v>1359552</v>
      </c>
      <c r="W21" s="15">
        <f t="shared" si="1"/>
        <v>1446139</v>
      </c>
      <c r="X21" s="15">
        <f t="shared" si="7"/>
        <v>0</v>
      </c>
      <c r="Y21" s="15">
        <f t="shared" si="2"/>
        <v>86587</v>
      </c>
      <c r="Z21" s="15">
        <f>SUM(Financials20263[[#This Row],[2026 Opportunity]:[2026 Risk]])</f>
        <v>86587</v>
      </c>
      <c r="AA21" s="3" t="s">
        <v>184</v>
      </c>
      <c r="AB21" s="52">
        <v>113296</v>
      </c>
      <c r="AC21" s="52">
        <v>113296</v>
      </c>
      <c r="AD21" s="52">
        <v>113296</v>
      </c>
      <c r="AE21" s="52">
        <v>113296</v>
      </c>
      <c r="AF21" s="52">
        <v>124084</v>
      </c>
      <c r="AG21" s="52">
        <v>120637</v>
      </c>
      <c r="AH21" s="52">
        <v>123837</v>
      </c>
      <c r="AI21" s="52">
        <v>127037</v>
      </c>
      <c r="AJ21" s="52">
        <v>127037</v>
      </c>
      <c r="AK21" s="52">
        <v>127037</v>
      </c>
      <c r="AL21" s="52">
        <v>127037</v>
      </c>
      <c r="AM21" s="52">
        <v>127037</v>
      </c>
      <c r="AN21" s="52">
        <f>SUM(Financials20263[[#This Row],[Jan FC]:[Dec FC]])</f>
        <v>1456927</v>
      </c>
      <c r="AO21" s="15">
        <f t="shared" si="5"/>
        <v>879659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0</v>
      </c>
      <c r="BG21" s="71">
        <f>Financials20263[[#This Row],[May AC]]-Financials20263[[#This Row],[May FC]]</f>
        <v>-10788</v>
      </c>
      <c r="BH21" s="71">
        <f>Financials20263[[#This Row],[Jun AC]]-Financials20263[[#This Row],[Jun FC]]</f>
        <v>-120637</v>
      </c>
      <c r="BI21" s="71">
        <f>Financials20263[[#This Row],[Jul AC]]-Financials20263[[#This Row],[Jul FC]]</f>
        <v>-123837</v>
      </c>
      <c r="BJ21" s="71">
        <f>Financials20263[[#This Row],[Aug AC]]-Financials20263[[#This Row],[Aug FC]]</f>
        <v>-127037</v>
      </c>
      <c r="BK21" s="71">
        <f>Financials20263[[#This Row],[Sep AC]]-Financials20263[[#This Row],[Sep FC]]</f>
        <v>-127037</v>
      </c>
      <c r="BL21" s="71">
        <f>Financials20263[[#This Row],[Oct AC]]-Financials20263[[#This Row],[Oct FC]]</f>
        <v>-127037</v>
      </c>
      <c r="BM21" s="71">
        <f>Financials20263[[#This Row],[Nov AC]]-Financials20263[[#This Row],[Nov FC]]</f>
        <v>-127037</v>
      </c>
      <c r="BN21" s="71">
        <f>Financials20263[[#This Row],[Dec AC]]-Financials20263[[#This Row],[Dec FC]]</f>
        <v>-127037</v>
      </c>
      <c r="BO21" s="71">
        <f>SUM(Financials20263[[#This Row],[Jan Opp/Risk]:[Dec Opp./Risk]])</f>
        <v>-890447</v>
      </c>
      <c r="BP21" s="92" t="s">
        <v>917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879659</v>
      </c>
      <c r="BT21" s="6">
        <f>SUM(Financials20263[[#This Row],[Jan FC]:[May FC]])</f>
        <v>577268</v>
      </c>
      <c r="BU21" s="6">
        <f>Financials20263[[#This Row],[Jan-May Actuals]]+Financials20263[[#This Row],[Forecast Jun-Dec]]</f>
        <v>1446139</v>
      </c>
      <c r="BV21" s="6"/>
      <c r="BW21" s="6"/>
      <c r="BX21" s="6"/>
    </row>
    <row r="22" spans="1:76" x14ac:dyDescent="0.35">
      <c r="A22" s="22" t="s">
        <v>101</v>
      </c>
      <c r="B22" s="21" t="s">
        <v>185</v>
      </c>
      <c r="C22" s="21"/>
      <c r="D22" s="10" t="s">
        <v>186</v>
      </c>
      <c r="E22" s="7" t="s">
        <v>186</v>
      </c>
      <c r="F22" s="3" t="s">
        <v>187</v>
      </c>
      <c r="G22" s="3" t="s">
        <v>53</v>
      </c>
      <c r="H22" s="4">
        <v>46023</v>
      </c>
      <c r="I22" s="4">
        <v>46387</v>
      </c>
      <c r="J22" s="3" t="s">
        <v>188</v>
      </c>
      <c r="K22" s="3" t="str">
        <f t="shared" si="0"/>
        <v>T&amp;M-T&amp;M</v>
      </c>
      <c r="L22" s="21" t="s">
        <v>124</v>
      </c>
      <c r="M22" s="21" t="s">
        <v>46</v>
      </c>
      <c r="N22" s="21" t="s">
        <v>189</v>
      </c>
      <c r="O22" s="21" t="s">
        <v>186</v>
      </c>
      <c r="P22" s="21" t="s">
        <v>126</v>
      </c>
      <c r="Q22" s="21" t="s">
        <v>127</v>
      </c>
      <c r="R22" s="21" t="s">
        <v>128</v>
      </c>
      <c r="S22" s="21" t="s">
        <v>129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186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92" t="s">
        <v>541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/>
      <c r="BX22" s="6"/>
    </row>
    <row r="23" spans="1:76" x14ac:dyDescent="0.35">
      <c r="A23" s="22" t="s">
        <v>101</v>
      </c>
      <c r="B23" s="21" t="s">
        <v>73</v>
      </c>
      <c r="C23" s="21" t="s">
        <v>190</v>
      </c>
      <c r="D23" s="10" t="s">
        <v>186</v>
      </c>
      <c r="E23" s="7" t="s">
        <v>186</v>
      </c>
      <c r="F23" s="3" t="s">
        <v>187</v>
      </c>
      <c r="G23" s="3" t="s">
        <v>48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124</v>
      </c>
      <c r="M23" s="21" t="s">
        <v>46</v>
      </c>
      <c r="N23" s="21" t="s">
        <v>189</v>
      </c>
      <c r="O23" s="21" t="s">
        <v>186</v>
      </c>
      <c r="P23" s="21" t="s">
        <v>126</v>
      </c>
      <c r="Q23" s="21" t="s">
        <v>127</v>
      </c>
      <c r="R23" s="21" t="s">
        <v>128</v>
      </c>
      <c r="S23" s="21" t="s">
        <v>129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540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92" t="s">
        <v>541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/>
      <c r="BX23" s="6"/>
    </row>
    <row r="24" spans="1:76" x14ac:dyDescent="0.35">
      <c r="A24" s="22" t="s">
        <v>101</v>
      </c>
      <c r="B24" s="21" t="s">
        <v>73</v>
      </c>
      <c r="C24" s="21" t="s">
        <v>190</v>
      </c>
      <c r="D24" s="10" t="s">
        <v>186</v>
      </c>
      <c r="E24" s="7" t="s">
        <v>186</v>
      </c>
      <c r="F24" s="3" t="s">
        <v>187</v>
      </c>
      <c r="G24" s="3" t="s">
        <v>49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124</v>
      </c>
      <c r="M24" s="21" t="s">
        <v>46</v>
      </c>
      <c r="N24" s="21" t="s">
        <v>189</v>
      </c>
      <c r="O24" s="21" t="s">
        <v>186</v>
      </c>
      <c r="P24" s="21" t="s">
        <v>126</v>
      </c>
      <c r="Q24" s="21" t="s">
        <v>127</v>
      </c>
      <c r="R24" s="21" t="s">
        <v>128</v>
      </c>
      <c r="S24" s="21" t="s">
        <v>129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540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92" t="s">
        <v>890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/>
      <c r="BX24" s="6"/>
    </row>
    <row r="25" spans="1:76" x14ac:dyDescent="0.35">
      <c r="A25" s="22" t="s">
        <v>101</v>
      </c>
      <c r="B25" s="21" t="s">
        <v>73</v>
      </c>
      <c r="C25" s="21" t="s">
        <v>190</v>
      </c>
      <c r="D25" s="10" t="s">
        <v>186</v>
      </c>
      <c r="E25" s="7" t="s">
        <v>186</v>
      </c>
      <c r="F25" s="3" t="s">
        <v>187</v>
      </c>
      <c r="G25" s="3" t="s">
        <v>50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124</v>
      </c>
      <c r="M25" s="21" t="s">
        <v>46</v>
      </c>
      <c r="N25" s="21" t="s">
        <v>189</v>
      </c>
      <c r="O25" s="21" t="s">
        <v>186</v>
      </c>
      <c r="P25" s="21" t="s">
        <v>126</v>
      </c>
      <c r="Q25" s="21" t="s">
        <v>127</v>
      </c>
      <c r="R25" s="21" t="s">
        <v>128</v>
      </c>
      <c r="S25" s="21" t="s">
        <v>129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540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92" t="s">
        <v>891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/>
      <c r="BX25" s="6"/>
    </row>
    <row r="26" spans="1:76" x14ac:dyDescent="0.35">
      <c r="A26" s="22" t="s">
        <v>101</v>
      </c>
      <c r="B26" s="21" t="s">
        <v>73</v>
      </c>
      <c r="C26" s="21" t="s">
        <v>190</v>
      </c>
      <c r="D26" s="10" t="s">
        <v>186</v>
      </c>
      <c r="E26" s="7" t="s">
        <v>186</v>
      </c>
      <c r="F26" s="3" t="s">
        <v>187</v>
      </c>
      <c r="G26" s="3" t="s">
        <v>53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124</v>
      </c>
      <c r="M26" s="21" t="s">
        <v>46</v>
      </c>
      <c r="N26" s="21" t="s">
        <v>189</v>
      </c>
      <c r="O26" s="21" t="s">
        <v>186</v>
      </c>
      <c r="P26" s="21" t="s">
        <v>126</v>
      </c>
      <c r="Q26" s="21" t="s">
        <v>127</v>
      </c>
      <c r="R26" s="21" t="s">
        <v>128</v>
      </c>
      <c r="S26" s="21" t="s">
        <v>129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540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92" t="s">
        <v>541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/>
      <c r="BX26" s="6"/>
    </row>
    <row r="27" spans="1:76" x14ac:dyDescent="0.35">
      <c r="A27" s="22" t="s">
        <v>101</v>
      </c>
      <c r="B27" s="21" t="s">
        <v>191</v>
      </c>
      <c r="C27" s="21" t="s">
        <v>192</v>
      </c>
      <c r="D27" s="10" t="s">
        <v>30</v>
      </c>
      <c r="E27" s="7" t="s">
        <v>193</v>
      </c>
      <c r="F27" s="3" t="s">
        <v>183</v>
      </c>
      <c r="G27" s="3" t="s">
        <v>48</v>
      </c>
      <c r="H27" s="4" t="s">
        <v>142</v>
      </c>
      <c r="I27" s="4" t="s">
        <v>142</v>
      </c>
      <c r="J27" s="3"/>
      <c r="K27" s="3" t="str">
        <f t="shared" si="0"/>
        <v>Prj000467-Support - Enterprise Tech Helpdesk</v>
      </c>
      <c r="L27" s="21" t="s">
        <v>124</v>
      </c>
      <c r="M27" s="21" t="s">
        <v>5</v>
      </c>
      <c r="N27" s="21" t="s">
        <v>125</v>
      </c>
      <c r="O27" s="21" t="s">
        <v>2</v>
      </c>
      <c r="P27" s="21" t="s">
        <v>126</v>
      </c>
      <c r="Q27" s="21" t="s">
        <v>127</v>
      </c>
      <c r="R27" s="21" t="s">
        <v>128</v>
      </c>
      <c r="S27" s="21" t="s">
        <v>129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901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90" t="s">
        <v>534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/>
      <c r="BX27" s="6"/>
    </row>
    <row r="28" spans="1:76" ht="72.5" x14ac:dyDescent="0.35">
      <c r="A28" s="22" t="s">
        <v>101</v>
      </c>
      <c r="B28" s="21" t="s">
        <v>181</v>
      </c>
      <c r="C28" s="21"/>
      <c r="D28" s="10" t="s">
        <v>23</v>
      </c>
      <c r="E28" s="7" t="s">
        <v>194</v>
      </c>
      <c r="F28" s="3" t="s">
        <v>183</v>
      </c>
      <c r="G28" s="3" t="s">
        <v>51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124</v>
      </c>
      <c r="M28" s="21" t="s">
        <v>5</v>
      </c>
      <c r="N28" s="21" t="s">
        <v>125</v>
      </c>
      <c r="O28" s="21" t="s">
        <v>195</v>
      </c>
      <c r="P28" s="21" t="s">
        <v>126</v>
      </c>
      <c r="Q28" s="21" t="s">
        <v>127</v>
      </c>
      <c r="R28" s="21" t="s">
        <v>128</v>
      </c>
      <c r="S28" s="21" t="s">
        <v>129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196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90" t="s">
        <v>544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/>
      <c r="BX28" s="6"/>
    </row>
    <row r="29" spans="1:76" x14ac:dyDescent="0.35">
      <c r="A29" s="22" t="s">
        <v>101</v>
      </c>
      <c r="B29" s="21" t="s">
        <v>181</v>
      </c>
      <c r="C29" s="21"/>
      <c r="D29" s="10" t="s">
        <v>186</v>
      </c>
      <c r="E29" s="7" t="s">
        <v>186</v>
      </c>
      <c r="F29" s="3" t="s">
        <v>187</v>
      </c>
      <c r="G29" s="3" t="s">
        <v>48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124</v>
      </c>
      <c r="M29" s="21" t="s">
        <v>46</v>
      </c>
      <c r="N29" s="21" t="s">
        <v>189</v>
      </c>
      <c r="O29" s="21" t="s">
        <v>186</v>
      </c>
      <c r="P29" s="21" t="s">
        <v>126</v>
      </c>
      <c r="Q29" s="21" t="s">
        <v>127</v>
      </c>
      <c r="R29" s="21" t="s">
        <v>128</v>
      </c>
      <c r="S29" s="21" t="s">
        <v>129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197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92" t="s">
        <v>541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/>
      <c r="BX29" s="6"/>
    </row>
    <row r="30" spans="1:76" x14ac:dyDescent="0.35">
      <c r="A30" s="22" t="s">
        <v>101</v>
      </c>
      <c r="B30" s="21" t="s">
        <v>181</v>
      </c>
      <c r="C30" s="21"/>
      <c r="D30" s="10" t="s">
        <v>186</v>
      </c>
      <c r="E30" s="7" t="s">
        <v>186</v>
      </c>
      <c r="F30" s="3" t="s">
        <v>187</v>
      </c>
      <c r="G30" s="3" t="s">
        <v>50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124</v>
      </c>
      <c r="M30" s="21" t="s">
        <v>46</v>
      </c>
      <c r="N30" s="21" t="s">
        <v>189</v>
      </c>
      <c r="O30" s="21" t="s">
        <v>186</v>
      </c>
      <c r="P30" s="21" t="s">
        <v>126</v>
      </c>
      <c r="Q30" s="21" t="s">
        <v>127</v>
      </c>
      <c r="R30" s="21" t="s">
        <v>128</v>
      </c>
      <c r="S30" s="21" t="s">
        <v>129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197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92" t="s">
        <v>541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/>
      <c r="BX30" s="6"/>
    </row>
    <row r="31" spans="1:76" x14ac:dyDescent="0.35">
      <c r="A31" s="22" t="s">
        <v>101</v>
      </c>
      <c r="B31" s="21" t="s">
        <v>181</v>
      </c>
      <c r="C31" s="21"/>
      <c r="D31" s="10" t="s">
        <v>186</v>
      </c>
      <c r="E31" s="7" t="s">
        <v>186</v>
      </c>
      <c r="F31" s="3" t="s">
        <v>187</v>
      </c>
      <c r="G31" s="3" t="s">
        <v>51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124</v>
      </c>
      <c r="M31" s="21" t="s">
        <v>46</v>
      </c>
      <c r="N31" s="21" t="s">
        <v>189</v>
      </c>
      <c r="O31" s="21" t="s">
        <v>186</v>
      </c>
      <c r="P31" s="21" t="s">
        <v>126</v>
      </c>
      <c r="Q31" s="21" t="s">
        <v>127</v>
      </c>
      <c r="R31" s="21" t="s">
        <v>128</v>
      </c>
      <c r="S31" s="21" t="s">
        <v>129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197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92" t="s">
        <v>889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/>
      <c r="BX31" s="6"/>
    </row>
    <row r="32" spans="1:76" x14ac:dyDescent="0.35">
      <c r="A32" s="22" t="s">
        <v>101</v>
      </c>
      <c r="B32" s="21" t="s">
        <v>181</v>
      </c>
      <c r="C32" s="21"/>
      <c r="D32" s="10" t="s">
        <v>186</v>
      </c>
      <c r="E32" s="7" t="s">
        <v>186</v>
      </c>
      <c r="F32" s="3" t="s">
        <v>187</v>
      </c>
      <c r="G32" s="3" t="s">
        <v>53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124</v>
      </c>
      <c r="M32" s="21" t="s">
        <v>46</v>
      </c>
      <c r="N32" s="21" t="s">
        <v>189</v>
      </c>
      <c r="O32" s="21" t="s">
        <v>186</v>
      </c>
      <c r="P32" s="21" t="s">
        <v>126</v>
      </c>
      <c r="Q32" s="21" t="s">
        <v>127</v>
      </c>
      <c r="R32" s="21" t="s">
        <v>128</v>
      </c>
      <c r="S32" s="21" t="s">
        <v>129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197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92" t="s">
        <v>539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/>
      <c r="BX32" s="6"/>
    </row>
    <row r="33" spans="1:76" x14ac:dyDescent="0.35">
      <c r="A33" s="22" t="s">
        <v>101</v>
      </c>
      <c r="B33" s="21" t="s">
        <v>181</v>
      </c>
      <c r="C33" s="21"/>
      <c r="D33" s="10" t="s">
        <v>186</v>
      </c>
      <c r="E33" s="7" t="s">
        <v>186</v>
      </c>
      <c r="F33" s="3" t="s">
        <v>187</v>
      </c>
      <c r="G33" s="3" t="s">
        <v>51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124</v>
      </c>
      <c r="M33" s="21" t="s">
        <v>46</v>
      </c>
      <c r="N33" s="21" t="s">
        <v>189</v>
      </c>
      <c r="O33" s="21" t="s">
        <v>186</v>
      </c>
      <c r="P33" s="21" t="s">
        <v>126</v>
      </c>
      <c r="Q33" s="21" t="s">
        <v>127</v>
      </c>
      <c r="R33" s="21" t="s">
        <v>128</v>
      </c>
      <c r="S33" s="21" t="s">
        <v>129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918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92" t="s">
        <v>877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/>
      <c r="BX33" s="6"/>
    </row>
    <row r="34" spans="1:76" x14ac:dyDescent="0.35">
      <c r="A34" s="22" t="s">
        <v>101</v>
      </c>
      <c r="B34" s="21" t="s">
        <v>198</v>
      </c>
      <c r="C34" s="21"/>
      <c r="D34" s="10" t="s">
        <v>13</v>
      </c>
      <c r="E34" s="7" t="s">
        <v>140</v>
      </c>
      <c r="F34" s="3" t="s">
        <v>141</v>
      </c>
      <c r="G34" s="3" t="s">
        <v>52</v>
      </c>
      <c r="H34" s="4">
        <v>44545</v>
      </c>
      <c r="I34" s="4">
        <v>46370</v>
      </c>
      <c r="J34" s="3" t="s">
        <v>199</v>
      </c>
      <c r="K34" s="3" t="str">
        <f t="shared" si="0"/>
        <v>Prj000290-Support - Asset Management Applications</v>
      </c>
      <c r="L34" s="21" t="s">
        <v>106</v>
      </c>
      <c r="M34" s="21" t="s">
        <v>7</v>
      </c>
      <c r="N34" s="21" t="s">
        <v>7</v>
      </c>
      <c r="O34" s="21" t="s">
        <v>200</v>
      </c>
      <c r="P34" s="21" t="s">
        <v>107</v>
      </c>
      <c r="Q34" s="21" t="s">
        <v>201</v>
      </c>
      <c r="R34" s="21" t="s">
        <v>201</v>
      </c>
      <c r="S34" s="21" t="s">
        <v>202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833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90" t="s">
        <v>841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/>
      <c r="BX34" s="6"/>
    </row>
    <row r="35" spans="1:76" x14ac:dyDescent="0.35">
      <c r="A35" s="22" t="s">
        <v>101</v>
      </c>
      <c r="B35" s="21" t="s">
        <v>56</v>
      </c>
      <c r="C35" s="21" t="s">
        <v>203</v>
      </c>
      <c r="D35" s="10" t="s">
        <v>31</v>
      </c>
      <c r="E35" s="7" t="s">
        <v>204</v>
      </c>
      <c r="F35" s="3" t="s">
        <v>205</v>
      </c>
      <c r="G35" s="3" t="s">
        <v>50</v>
      </c>
      <c r="H35" s="4">
        <v>46037</v>
      </c>
      <c r="I35" s="4">
        <v>46401</v>
      </c>
      <c r="J35" s="3" t="s">
        <v>206</v>
      </c>
      <c r="K35" s="3" t="str">
        <f t="shared" si="0"/>
        <v>Prj000469-Support - Prod Support for Ops Apps</v>
      </c>
      <c r="L35" s="21" t="s">
        <v>106</v>
      </c>
      <c r="M35" s="21" t="s">
        <v>7</v>
      </c>
      <c r="N35" s="21" t="s">
        <v>7</v>
      </c>
      <c r="O35" s="21" t="s">
        <v>7</v>
      </c>
      <c r="P35" s="21" t="s">
        <v>107</v>
      </c>
      <c r="Q35" s="21" t="s">
        <v>201</v>
      </c>
      <c r="R35" s="21" t="s">
        <v>201</v>
      </c>
      <c r="S35" s="21" t="s">
        <v>109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207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90" t="s">
        <v>546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/>
      <c r="BX35" s="6"/>
    </row>
    <row r="36" spans="1:76" x14ac:dyDescent="0.35">
      <c r="A36" s="22" t="s">
        <v>101</v>
      </c>
      <c r="B36" s="21" t="s">
        <v>208</v>
      </c>
      <c r="C36" s="21" t="s">
        <v>209</v>
      </c>
      <c r="D36" s="10" t="s">
        <v>29</v>
      </c>
      <c r="E36" s="7" t="s">
        <v>210</v>
      </c>
      <c r="F36" s="3" t="s">
        <v>211</v>
      </c>
      <c r="G36" s="3" t="s">
        <v>48</v>
      </c>
      <c r="H36" s="4">
        <v>45968</v>
      </c>
      <c r="I36" s="4">
        <v>46332</v>
      </c>
      <c r="J36" s="3" t="s">
        <v>212</v>
      </c>
      <c r="K36" s="3" t="str">
        <f t="shared" si="0"/>
        <v>Prj000458-Support - Data Analytics Office</v>
      </c>
      <c r="L36" s="21" t="s">
        <v>106</v>
      </c>
      <c r="M36" s="21" t="s">
        <v>7</v>
      </c>
      <c r="N36" s="21" t="s">
        <v>7</v>
      </c>
      <c r="O36" s="21" t="s">
        <v>7</v>
      </c>
      <c r="P36" s="21" t="s">
        <v>107</v>
      </c>
      <c r="Q36" s="21" t="s">
        <v>201</v>
      </c>
      <c r="R36" s="21" t="s">
        <v>201</v>
      </c>
      <c r="S36" s="21" t="s">
        <v>109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428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90" t="s">
        <v>534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/>
      <c r="BX36" s="6"/>
    </row>
    <row r="37" spans="1:76" x14ac:dyDescent="0.35">
      <c r="A37" s="22" t="s">
        <v>101</v>
      </c>
      <c r="B37" s="21" t="s">
        <v>208</v>
      </c>
      <c r="C37" s="21" t="s">
        <v>209</v>
      </c>
      <c r="D37" s="10" t="s">
        <v>37</v>
      </c>
      <c r="E37" s="7" t="s">
        <v>213</v>
      </c>
      <c r="F37" s="3" t="s">
        <v>211</v>
      </c>
      <c r="G37" s="3" t="s">
        <v>48</v>
      </c>
      <c r="H37" s="4">
        <v>45839</v>
      </c>
      <c r="I37" s="4">
        <v>46203</v>
      </c>
      <c r="J37" s="3" t="s">
        <v>214</v>
      </c>
      <c r="K37" s="3" t="str">
        <f t="shared" si="0"/>
        <v>Prj000548-Implement - Reporting for Internal Audit</v>
      </c>
      <c r="L37" s="21" t="s">
        <v>106</v>
      </c>
      <c r="M37" s="21" t="s">
        <v>7</v>
      </c>
      <c r="N37" s="21" t="s">
        <v>7</v>
      </c>
      <c r="O37" s="21"/>
      <c r="P37" s="21" t="s">
        <v>107</v>
      </c>
      <c r="Q37" s="21" t="s">
        <v>201</v>
      </c>
      <c r="R37" s="21" t="s">
        <v>201</v>
      </c>
      <c r="S37" s="21" t="s">
        <v>109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429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90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/>
      <c r="BX37" s="6"/>
    </row>
    <row r="38" spans="1:76" x14ac:dyDescent="0.35">
      <c r="A38" s="22" t="s">
        <v>101</v>
      </c>
      <c r="B38" s="21" t="s">
        <v>208</v>
      </c>
      <c r="C38" s="21" t="s">
        <v>209</v>
      </c>
      <c r="D38" s="10" t="s">
        <v>29</v>
      </c>
      <c r="E38" s="7" t="s">
        <v>210</v>
      </c>
      <c r="F38" s="3" t="s">
        <v>211</v>
      </c>
      <c r="G38" s="3" t="s">
        <v>48</v>
      </c>
      <c r="H38" s="4">
        <v>46143</v>
      </c>
      <c r="I38" s="4">
        <v>46507</v>
      </c>
      <c r="J38" s="3" t="s">
        <v>214</v>
      </c>
      <c r="K38" s="3" t="str">
        <f t="shared" si="0"/>
        <v>Prj000458-Support - Data Analytics Office</v>
      </c>
      <c r="L38" s="21" t="s">
        <v>106</v>
      </c>
      <c r="M38" s="21" t="s">
        <v>7</v>
      </c>
      <c r="N38" s="21" t="s">
        <v>7</v>
      </c>
      <c r="O38" s="21" t="s">
        <v>7</v>
      </c>
      <c r="P38" s="21" t="s">
        <v>107</v>
      </c>
      <c r="Q38" s="21" t="s">
        <v>201</v>
      </c>
      <c r="R38" s="21" t="s">
        <v>201</v>
      </c>
      <c r="S38" s="21" t="s">
        <v>109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430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90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/>
      <c r="BX38" s="6"/>
    </row>
    <row r="39" spans="1:76" x14ac:dyDescent="0.35">
      <c r="A39" s="22" t="s">
        <v>101</v>
      </c>
      <c r="B39" s="21" t="s">
        <v>215</v>
      </c>
      <c r="C39" s="21"/>
      <c r="D39" s="10" t="s">
        <v>27</v>
      </c>
      <c r="E39" s="7" t="s">
        <v>216</v>
      </c>
      <c r="F39" s="3" t="s">
        <v>114</v>
      </c>
      <c r="G39" s="3" t="s">
        <v>53</v>
      </c>
      <c r="H39" s="4">
        <v>46082</v>
      </c>
      <c r="I39" s="4">
        <v>46446</v>
      </c>
      <c r="J39" s="3" t="s">
        <v>217</v>
      </c>
      <c r="K39" s="3" t="str">
        <f t="shared" si="0"/>
        <v>Prj000446-Implement - Minor Enhancements for Enterprise Apps</v>
      </c>
      <c r="L39" s="21" t="s">
        <v>106</v>
      </c>
      <c r="M39" s="21" t="s">
        <v>7</v>
      </c>
      <c r="N39" s="21" t="s">
        <v>7</v>
      </c>
      <c r="O39" s="21" t="s">
        <v>7</v>
      </c>
      <c r="P39" s="21" t="s">
        <v>107</v>
      </c>
      <c r="Q39" s="21" t="s">
        <v>201</v>
      </c>
      <c r="R39" s="21" t="s">
        <v>201</v>
      </c>
      <c r="S39" s="21" t="s">
        <v>109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431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8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90" t="s">
        <v>485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/>
      <c r="BX39" s="6"/>
    </row>
    <row r="40" spans="1:76" x14ac:dyDescent="0.35">
      <c r="A40" s="22" t="s">
        <v>101</v>
      </c>
      <c r="B40" s="21" t="s">
        <v>67</v>
      </c>
      <c r="C40" s="21"/>
      <c r="D40" s="10" t="s">
        <v>17</v>
      </c>
      <c r="E40" s="7" t="s">
        <v>103</v>
      </c>
      <c r="F40" s="3" t="s">
        <v>104</v>
      </c>
      <c r="G40" s="3" t="s">
        <v>49</v>
      </c>
      <c r="H40" s="4" t="s">
        <v>142</v>
      </c>
      <c r="I40" s="4" t="s">
        <v>142</v>
      </c>
      <c r="J40" s="3"/>
      <c r="K40" s="3" t="str">
        <f t="shared" si="0"/>
        <v>Prj000350-Support - Infrastructure for Tech</v>
      </c>
      <c r="L40" s="21" t="s">
        <v>106</v>
      </c>
      <c r="M40" s="21" t="s">
        <v>7</v>
      </c>
      <c r="N40" s="21" t="s">
        <v>7</v>
      </c>
      <c r="O40" s="21" t="s">
        <v>218</v>
      </c>
      <c r="P40" s="21" t="s">
        <v>107</v>
      </c>
      <c r="Q40" s="21" t="s">
        <v>108</v>
      </c>
      <c r="R40" s="21" t="s">
        <v>108</v>
      </c>
      <c r="S40" s="21" t="s">
        <v>129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432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90" t="s">
        <v>530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/>
      <c r="BX40" s="6"/>
    </row>
    <row r="41" spans="1:76" x14ac:dyDescent="0.35">
      <c r="A41" s="22" t="s">
        <v>101</v>
      </c>
      <c r="B41" s="21" t="s">
        <v>67</v>
      </c>
      <c r="C41" s="21"/>
      <c r="D41" s="10" t="s">
        <v>15</v>
      </c>
      <c r="E41" s="7" t="s">
        <v>219</v>
      </c>
      <c r="F41" s="3" t="s">
        <v>104</v>
      </c>
      <c r="G41" s="3" t="s">
        <v>49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106</v>
      </c>
      <c r="M41" s="21" t="s">
        <v>4</v>
      </c>
      <c r="N41" s="21" t="s">
        <v>4</v>
      </c>
      <c r="O41" s="21" t="s">
        <v>220</v>
      </c>
      <c r="P41" s="21" t="s">
        <v>107</v>
      </c>
      <c r="Q41" s="21" t="s">
        <v>221</v>
      </c>
      <c r="R41" s="21" t="s">
        <v>221</v>
      </c>
      <c r="S41" s="21" t="s">
        <v>129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433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92" t="s">
        <v>531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6"/>
      <c r="BX41" s="6"/>
    </row>
    <row r="42" spans="1:76" x14ac:dyDescent="0.35">
      <c r="A42" s="22" t="s">
        <v>101</v>
      </c>
      <c r="B42" s="21" t="s">
        <v>222</v>
      </c>
      <c r="C42" s="21" t="s">
        <v>223</v>
      </c>
      <c r="D42" s="10" t="s">
        <v>27</v>
      </c>
      <c r="E42" s="7" t="s">
        <v>216</v>
      </c>
      <c r="F42" s="3" t="s">
        <v>114</v>
      </c>
      <c r="G42" s="3" t="s">
        <v>53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106</v>
      </c>
      <c r="M42" s="21" t="s">
        <v>7</v>
      </c>
      <c r="N42" s="21" t="s">
        <v>7</v>
      </c>
      <c r="O42" s="21" t="s">
        <v>224</v>
      </c>
      <c r="P42" s="21" t="s">
        <v>107</v>
      </c>
      <c r="Q42" s="21" t="s">
        <v>108</v>
      </c>
      <c r="R42" s="21" t="s">
        <v>108</v>
      </c>
      <c r="S42" s="21" t="s">
        <v>109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434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90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/>
      <c r="BX42" s="6"/>
    </row>
    <row r="43" spans="1:76" x14ac:dyDescent="0.35">
      <c r="A43" s="22" t="s">
        <v>101</v>
      </c>
      <c r="B43" s="21" t="s">
        <v>57</v>
      </c>
      <c r="C43" s="21" t="s">
        <v>225</v>
      </c>
      <c r="D43" s="10" t="s">
        <v>17</v>
      </c>
      <c r="E43" s="7" t="s">
        <v>103</v>
      </c>
      <c r="F43" s="3" t="s">
        <v>104</v>
      </c>
      <c r="G43" s="3" t="s">
        <v>49</v>
      </c>
      <c r="H43" s="4">
        <v>46023</v>
      </c>
      <c r="I43" s="4">
        <v>46387</v>
      </c>
      <c r="J43" s="3" t="s">
        <v>226</v>
      </c>
      <c r="K43" s="3" t="str">
        <f t="shared" si="0"/>
        <v>Prj000350-Support - Infrastructure for Tech</v>
      </c>
      <c r="L43" s="21" t="s">
        <v>106</v>
      </c>
      <c r="M43" s="21" t="s">
        <v>7</v>
      </c>
      <c r="N43" s="21" t="s">
        <v>7</v>
      </c>
      <c r="O43" s="21"/>
      <c r="P43" s="21" t="s">
        <v>107</v>
      </c>
      <c r="Q43" s="21" t="s">
        <v>108</v>
      </c>
      <c r="R43" s="21" t="s">
        <v>108</v>
      </c>
      <c r="S43" s="21" t="s">
        <v>129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227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90" t="s">
        <v>549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/>
      <c r="BX43" s="6"/>
    </row>
    <row r="44" spans="1:76" x14ac:dyDescent="0.35">
      <c r="A44" s="22" t="s">
        <v>101</v>
      </c>
      <c r="B44" s="21" t="s">
        <v>57</v>
      </c>
      <c r="C44" s="21" t="s">
        <v>225</v>
      </c>
      <c r="D44" s="10" t="s">
        <v>17</v>
      </c>
      <c r="E44" s="7" t="s">
        <v>103</v>
      </c>
      <c r="F44" s="3" t="s">
        <v>104</v>
      </c>
      <c r="G44" s="3" t="s">
        <v>49</v>
      </c>
      <c r="H44" s="4">
        <v>45931</v>
      </c>
      <c r="I44" s="4">
        <v>46295</v>
      </c>
      <c r="J44" s="3" t="s">
        <v>228</v>
      </c>
      <c r="K44" s="3" t="str">
        <f t="shared" si="0"/>
        <v>Prj000350-Support - Infrastructure for Tech</v>
      </c>
      <c r="L44" s="21" t="s">
        <v>106</v>
      </c>
      <c r="M44" s="21" t="s">
        <v>7</v>
      </c>
      <c r="N44" s="21" t="s">
        <v>7</v>
      </c>
      <c r="O44" s="21"/>
      <c r="P44" s="21" t="s">
        <v>107</v>
      </c>
      <c r="Q44" s="21" t="s">
        <v>108</v>
      </c>
      <c r="R44" s="21" t="s">
        <v>108</v>
      </c>
      <c r="S44" s="21" t="s">
        <v>132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229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90" t="s">
        <v>851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/>
      <c r="BX44" s="6"/>
    </row>
    <row r="45" spans="1:76" x14ac:dyDescent="0.35">
      <c r="A45" s="22" t="s">
        <v>101</v>
      </c>
      <c r="B45" s="21" t="s">
        <v>57</v>
      </c>
      <c r="C45" s="21" t="s">
        <v>230</v>
      </c>
      <c r="D45" s="10" t="s">
        <v>15</v>
      </c>
      <c r="E45" s="7" t="s">
        <v>219</v>
      </c>
      <c r="F45" s="3" t="s">
        <v>104</v>
      </c>
      <c r="G45" s="3" t="s">
        <v>49</v>
      </c>
      <c r="H45" s="4">
        <v>45901</v>
      </c>
      <c r="I45" s="4">
        <v>46265</v>
      </c>
      <c r="J45" s="3" t="s">
        <v>231</v>
      </c>
      <c r="K45" s="3" t="str">
        <f t="shared" si="0"/>
        <v>Prj000342-Support - Site Reliability Engineering for Tech</v>
      </c>
      <c r="L45" s="21" t="s">
        <v>106</v>
      </c>
      <c r="M45" s="21" t="s">
        <v>7</v>
      </c>
      <c r="N45" s="21" t="s">
        <v>7</v>
      </c>
      <c r="O45" s="21"/>
      <c r="P45" s="21" t="s">
        <v>107</v>
      </c>
      <c r="Q45" s="21" t="s">
        <v>108</v>
      </c>
      <c r="R45" s="21" t="s">
        <v>108</v>
      </c>
      <c r="S45" s="21" t="s">
        <v>132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232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90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/>
      <c r="BX45" s="6"/>
    </row>
    <row r="46" spans="1:76" x14ac:dyDescent="0.35">
      <c r="A46" s="22" t="s">
        <v>101</v>
      </c>
      <c r="B46" s="21" t="s">
        <v>57</v>
      </c>
      <c r="C46" s="21" t="s">
        <v>230</v>
      </c>
      <c r="D46" s="10" t="s">
        <v>19</v>
      </c>
      <c r="E46" s="7" t="s">
        <v>233</v>
      </c>
      <c r="F46" s="3" t="s">
        <v>104</v>
      </c>
      <c r="G46" s="3" t="s">
        <v>49</v>
      </c>
      <c r="H46" s="4" t="s">
        <v>115</v>
      </c>
      <c r="I46" s="4" t="s">
        <v>115</v>
      </c>
      <c r="J46" s="3"/>
      <c r="K46" s="3" t="str">
        <f t="shared" si="0"/>
        <v>Prj000358-Support - Security Operations for Cybersecurity</v>
      </c>
      <c r="L46" s="21" t="s">
        <v>106</v>
      </c>
      <c r="M46" s="21" t="s">
        <v>7</v>
      </c>
      <c r="N46" s="21" t="s">
        <v>7</v>
      </c>
      <c r="O46" s="21"/>
      <c r="P46" s="21" t="s">
        <v>107</v>
      </c>
      <c r="Q46" s="21" t="s">
        <v>108</v>
      </c>
      <c r="R46" s="21" t="s">
        <v>108</v>
      </c>
      <c r="S46" s="21" t="s">
        <v>132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435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90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/>
      <c r="BX46" s="6"/>
    </row>
    <row r="47" spans="1:76" x14ac:dyDescent="0.35">
      <c r="A47" s="22" t="s">
        <v>101</v>
      </c>
      <c r="B47" s="21" t="s">
        <v>234</v>
      </c>
      <c r="C47" s="21" t="s">
        <v>235</v>
      </c>
      <c r="D47" s="10" t="s">
        <v>22</v>
      </c>
      <c r="E47" s="7" t="s">
        <v>182</v>
      </c>
      <c r="F47" s="3" t="s">
        <v>183</v>
      </c>
      <c r="G47" s="3" t="s">
        <v>48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106</v>
      </c>
      <c r="M47" s="21" t="s">
        <v>7</v>
      </c>
      <c r="N47" s="21" t="s">
        <v>7</v>
      </c>
      <c r="O47" s="21" t="s">
        <v>7</v>
      </c>
      <c r="P47" s="21" t="s">
        <v>107</v>
      </c>
      <c r="Q47" s="21" t="s">
        <v>108</v>
      </c>
      <c r="R47" s="21" t="s">
        <v>108</v>
      </c>
      <c r="S47" s="21" t="s">
        <v>132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852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90" t="s">
        <v>853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/>
      <c r="BX47" s="6"/>
    </row>
    <row r="48" spans="1:76" x14ac:dyDescent="0.35">
      <c r="A48" s="22" t="s">
        <v>101</v>
      </c>
      <c r="B48" s="21" t="s">
        <v>236</v>
      </c>
      <c r="C48" s="21" t="s">
        <v>237</v>
      </c>
      <c r="D48" s="10" t="s">
        <v>13</v>
      </c>
      <c r="E48" s="7" t="s">
        <v>140</v>
      </c>
      <c r="F48" s="3" t="s">
        <v>141</v>
      </c>
      <c r="G48" s="3" t="s">
        <v>52</v>
      </c>
      <c r="H48" s="4">
        <v>46113</v>
      </c>
      <c r="I48" s="4">
        <v>46477</v>
      </c>
      <c r="J48" s="3" t="s">
        <v>238</v>
      </c>
      <c r="K48" s="3" t="str">
        <f t="shared" si="0"/>
        <v>Prj000290-Support - Asset Management Applications</v>
      </c>
      <c r="L48" s="21" t="s">
        <v>106</v>
      </c>
      <c r="M48" s="21" t="s">
        <v>7</v>
      </c>
      <c r="N48" s="21" t="s">
        <v>7</v>
      </c>
      <c r="O48" s="21" t="s">
        <v>239</v>
      </c>
      <c r="P48" s="21" t="s">
        <v>107</v>
      </c>
      <c r="Q48" s="21" t="s">
        <v>108</v>
      </c>
      <c r="R48" s="21" t="s">
        <v>108</v>
      </c>
      <c r="S48" s="21" t="s">
        <v>132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529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91" t="s">
        <v>543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/>
      <c r="BX48" s="6"/>
    </row>
    <row r="49" spans="1:76" x14ac:dyDescent="0.35">
      <c r="A49" s="22" t="s">
        <v>101</v>
      </c>
      <c r="B49" s="21" t="s">
        <v>240</v>
      </c>
      <c r="C49" s="21" t="s">
        <v>241</v>
      </c>
      <c r="D49" s="10" t="s">
        <v>16</v>
      </c>
      <c r="E49" s="7" t="s">
        <v>122</v>
      </c>
      <c r="F49" s="3" t="s">
        <v>123</v>
      </c>
      <c r="G49" s="3" t="s">
        <v>50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106</v>
      </c>
      <c r="M49" s="21" t="s">
        <v>7</v>
      </c>
      <c r="N49" s="21" t="s">
        <v>7</v>
      </c>
      <c r="O49" s="21"/>
      <c r="P49" s="21" t="s">
        <v>107</v>
      </c>
      <c r="Q49" s="21" t="s">
        <v>108</v>
      </c>
      <c r="R49" s="21" t="s">
        <v>108</v>
      </c>
      <c r="S49" s="21" t="s">
        <v>132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120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90" t="s">
        <v>534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/>
      <c r="BX49" s="6"/>
    </row>
    <row r="50" spans="1:76" x14ac:dyDescent="0.35">
      <c r="A50" s="22" t="s">
        <v>101</v>
      </c>
      <c r="B50" s="21" t="s">
        <v>242</v>
      </c>
      <c r="C50" s="21" t="s">
        <v>243</v>
      </c>
      <c r="D50" s="10" t="s">
        <v>27</v>
      </c>
      <c r="E50" s="7" t="s">
        <v>216</v>
      </c>
      <c r="F50" s="3" t="s">
        <v>114</v>
      </c>
      <c r="G50" s="3" t="s">
        <v>53</v>
      </c>
      <c r="H50" s="4">
        <v>45857</v>
      </c>
      <c r="I50" s="4">
        <v>46221</v>
      </c>
      <c r="J50" s="3" t="s">
        <v>244</v>
      </c>
      <c r="K50" s="3" t="str">
        <f t="shared" si="0"/>
        <v>Prj000446-Implement - Minor Enhancements for Enterprise Apps</v>
      </c>
      <c r="L50" s="21" t="s">
        <v>106</v>
      </c>
      <c r="M50" s="21" t="s">
        <v>7</v>
      </c>
      <c r="N50" s="21" t="s">
        <v>7</v>
      </c>
      <c r="O50" s="21"/>
      <c r="P50" s="21" t="s">
        <v>107</v>
      </c>
      <c r="Q50" s="21" t="s">
        <v>108</v>
      </c>
      <c r="R50" s="21" t="s">
        <v>108</v>
      </c>
      <c r="S50" s="21" t="s">
        <v>132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436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90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/>
      <c r="BX50" s="6"/>
    </row>
    <row r="51" spans="1:76" x14ac:dyDescent="0.35">
      <c r="A51" s="22" t="s">
        <v>101</v>
      </c>
      <c r="B51" s="21" t="s">
        <v>208</v>
      </c>
      <c r="C51" s="21" t="s">
        <v>209</v>
      </c>
      <c r="D51" s="10" t="s">
        <v>16</v>
      </c>
      <c r="E51" s="7" t="s">
        <v>122</v>
      </c>
      <c r="F51" s="3" t="s">
        <v>123</v>
      </c>
      <c r="G51" s="3" t="s">
        <v>50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106</v>
      </c>
      <c r="M51" s="21" t="s">
        <v>7</v>
      </c>
      <c r="N51" s="21" t="s">
        <v>7</v>
      </c>
      <c r="O51" s="21" t="s">
        <v>7</v>
      </c>
      <c r="P51" s="21" t="s">
        <v>107</v>
      </c>
      <c r="Q51" s="21" t="s">
        <v>108</v>
      </c>
      <c r="R51" s="21" t="s">
        <v>108</v>
      </c>
      <c r="S51" s="21" t="s">
        <v>132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842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3" t="s">
        <v>832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/>
      <c r="BX51" s="6"/>
    </row>
    <row r="52" spans="1:76" x14ac:dyDescent="0.35">
      <c r="A52" s="22" t="s">
        <v>101</v>
      </c>
      <c r="B52" s="21" t="s">
        <v>208</v>
      </c>
      <c r="C52" s="21" t="s">
        <v>209</v>
      </c>
      <c r="D52" s="10" t="s">
        <v>16</v>
      </c>
      <c r="E52" s="7" t="s">
        <v>122</v>
      </c>
      <c r="F52" s="3" t="s">
        <v>123</v>
      </c>
      <c r="G52" s="3" t="s">
        <v>50</v>
      </c>
      <c r="H52" s="4">
        <v>45640</v>
      </c>
      <c r="I52" s="4">
        <v>46004</v>
      </c>
      <c r="J52" s="3" t="s">
        <v>245</v>
      </c>
      <c r="K52" s="3" t="str">
        <f t="shared" si="0"/>
        <v>Prj000344-Support - Prod support for Finance Applications</v>
      </c>
      <c r="L52" s="21" t="s">
        <v>106</v>
      </c>
      <c r="M52" s="21" t="s">
        <v>7</v>
      </c>
      <c r="N52" s="21" t="s">
        <v>7</v>
      </c>
      <c r="O52" s="21" t="s">
        <v>7</v>
      </c>
      <c r="P52" s="21" t="s">
        <v>107</v>
      </c>
      <c r="Q52" s="21" t="s">
        <v>108</v>
      </c>
      <c r="R52" s="21" t="s">
        <v>108</v>
      </c>
      <c r="S52" s="21" t="s">
        <v>132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246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3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/>
      <c r="BX52" s="6"/>
    </row>
    <row r="53" spans="1:76" x14ac:dyDescent="0.35">
      <c r="A53" s="22" t="s">
        <v>101</v>
      </c>
      <c r="B53" s="21" t="s">
        <v>208</v>
      </c>
      <c r="C53" s="21" t="s">
        <v>209</v>
      </c>
      <c r="D53" s="10" t="s">
        <v>29</v>
      </c>
      <c r="E53" s="7" t="s">
        <v>210</v>
      </c>
      <c r="F53" s="3" t="s">
        <v>211</v>
      </c>
      <c r="G53" s="3" t="s">
        <v>48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106</v>
      </c>
      <c r="M53" s="21" t="s">
        <v>7</v>
      </c>
      <c r="N53" s="21" t="s">
        <v>7</v>
      </c>
      <c r="O53" s="21" t="s">
        <v>7</v>
      </c>
      <c r="P53" s="21" t="s">
        <v>107</v>
      </c>
      <c r="Q53" s="21" t="s">
        <v>108</v>
      </c>
      <c r="R53" s="21" t="s">
        <v>108</v>
      </c>
      <c r="S53" s="21" t="s">
        <v>132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247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3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/>
      <c r="BX53" s="6"/>
    </row>
    <row r="54" spans="1:76" x14ac:dyDescent="0.35">
      <c r="A54" s="22" t="s">
        <v>101</v>
      </c>
      <c r="B54" s="21" t="s">
        <v>248</v>
      </c>
      <c r="C54" s="21" t="s">
        <v>249</v>
      </c>
      <c r="D54" s="10" t="s">
        <v>26</v>
      </c>
      <c r="E54" s="7" t="s">
        <v>250</v>
      </c>
      <c r="F54" s="3" t="s">
        <v>168</v>
      </c>
      <c r="G54" s="3" t="s">
        <v>51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106</v>
      </c>
      <c r="M54" s="21" t="s">
        <v>7</v>
      </c>
      <c r="N54" s="21" t="s">
        <v>7</v>
      </c>
      <c r="O54" s="21"/>
      <c r="P54" s="21" t="s">
        <v>107</v>
      </c>
      <c r="Q54" s="21" t="s">
        <v>108</v>
      </c>
      <c r="R54" s="21" t="s">
        <v>108</v>
      </c>
      <c r="S54" s="21" t="s">
        <v>132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120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90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/>
      <c r="BX54" s="6"/>
    </row>
    <row r="55" spans="1:76" x14ac:dyDescent="0.35">
      <c r="A55" s="22" t="s">
        <v>101</v>
      </c>
      <c r="B55" s="21" t="s">
        <v>76</v>
      </c>
      <c r="C55" s="21" t="s">
        <v>251</v>
      </c>
      <c r="D55" s="10" t="s">
        <v>24</v>
      </c>
      <c r="E55" s="7" t="s">
        <v>252</v>
      </c>
      <c r="F55" s="3" t="s">
        <v>104</v>
      </c>
      <c r="G55" s="3" t="s">
        <v>49</v>
      </c>
      <c r="H55" s="4">
        <v>45912</v>
      </c>
      <c r="I55" s="4">
        <v>46174</v>
      </c>
      <c r="J55" s="3" t="s">
        <v>253</v>
      </c>
      <c r="K55" s="3" t="str">
        <f t="shared" si="0"/>
        <v>Prj000410-Support - Tech Enablement 2026</v>
      </c>
      <c r="L55" s="21" t="s">
        <v>106</v>
      </c>
      <c r="M55" s="21" t="s">
        <v>7</v>
      </c>
      <c r="N55" s="21" t="s">
        <v>7</v>
      </c>
      <c r="O55" s="21"/>
      <c r="P55" s="21" t="s">
        <v>107</v>
      </c>
      <c r="Q55" s="21" t="s">
        <v>108</v>
      </c>
      <c r="R55" s="21" t="s">
        <v>108</v>
      </c>
      <c r="S55" s="21" t="s">
        <v>132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254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90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/>
      <c r="BX55" s="6"/>
    </row>
    <row r="56" spans="1:76" x14ac:dyDescent="0.35">
      <c r="A56" s="22" t="s">
        <v>101</v>
      </c>
      <c r="B56" s="21" t="s">
        <v>76</v>
      </c>
      <c r="C56" s="21" t="s">
        <v>251</v>
      </c>
      <c r="D56" s="10" t="s">
        <v>24</v>
      </c>
      <c r="E56" s="7" t="s">
        <v>252</v>
      </c>
      <c r="F56" s="3" t="s">
        <v>104</v>
      </c>
      <c r="G56" s="3" t="s">
        <v>49</v>
      </c>
      <c r="H56" s="4">
        <v>45809</v>
      </c>
      <c r="I56" s="4">
        <v>46175</v>
      </c>
      <c r="J56" s="3" t="s">
        <v>253</v>
      </c>
      <c r="K56" s="3" t="str">
        <f t="shared" si="0"/>
        <v>Prj000410-Support - Tech Enablement 2026</v>
      </c>
      <c r="L56" s="21" t="s">
        <v>106</v>
      </c>
      <c r="M56" s="21" t="s">
        <v>7</v>
      </c>
      <c r="N56" s="21" t="s">
        <v>7</v>
      </c>
      <c r="O56" s="21"/>
      <c r="P56" s="21" t="s">
        <v>107</v>
      </c>
      <c r="Q56" s="21" t="s">
        <v>108</v>
      </c>
      <c r="R56" s="21" t="s">
        <v>108</v>
      </c>
      <c r="S56" s="21" t="s">
        <v>132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255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90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/>
      <c r="BX56" s="6"/>
    </row>
    <row r="57" spans="1:76" x14ac:dyDescent="0.35">
      <c r="A57" s="22" t="s">
        <v>101</v>
      </c>
      <c r="B57" s="21" t="s">
        <v>256</v>
      </c>
      <c r="C57" s="21" t="s">
        <v>257</v>
      </c>
      <c r="D57" s="10" t="s">
        <v>16</v>
      </c>
      <c r="E57" s="7" t="s">
        <v>122</v>
      </c>
      <c r="F57" s="3" t="s">
        <v>123</v>
      </c>
      <c r="G57" s="3" t="s">
        <v>50</v>
      </c>
      <c r="H57" s="4">
        <v>45770</v>
      </c>
      <c r="I57" s="4">
        <v>46135</v>
      </c>
      <c r="J57" s="3" t="s">
        <v>258</v>
      </c>
      <c r="K57" s="3" t="str">
        <f t="shared" si="0"/>
        <v>Prj000344-Support - Prod support for Finance Applications</v>
      </c>
      <c r="L57" s="21" t="s">
        <v>106</v>
      </c>
      <c r="M57" s="21" t="s">
        <v>7</v>
      </c>
      <c r="N57" s="21" t="s">
        <v>7</v>
      </c>
      <c r="O57" s="21"/>
      <c r="P57" s="21" t="s">
        <v>107</v>
      </c>
      <c r="Q57" s="21" t="s">
        <v>108</v>
      </c>
      <c r="R57" s="21" t="s">
        <v>108</v>
      </c>
      <c r="S57" s="21" t="s">
        <v>132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120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90" t="s">
        <v>534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/>
      <c r="BX57" s="6"/>
    </row>
    <row r="58" spans="1:76" x14ac:dyDescent="0.35">
      <c r="A58" s="22" t="s">
        <v>101</v>
      </c>
      <c r="B58" s="21" t="s">
        <v>256</v>
      </c>
      <c r="C58" s="21" t="s">
        <v>257</v>
      </c>
      <c r="D58" s="10" t="s">
        <v>16</v>
      </c>
      <c r="E58" s="7" t="s">
        <v>122</v>
      </c>
      <c r="F58" s="3" t="s">
        <v>123</v>
      </c>
      <c r="G58" s="3" t="s">
        <v>50</v>
      </c>
      <c r="H58" s="4">
        <v>46056</v>
      </c>
      <c r="I58" s="4">
        <v>46421</v>
      </c>
      <c r="J58" s="3" t="s">
        <v>259</v>
      </c>
      <c r="K58" s="3" t="str">
        <f t="shared" si="0"/>
        <v>Prj000344-Support - Prod support for Finance Applications</v>
      </c>
      <c r="L58" s="21" t="s">
        <v>106</v>
      </c>
      <c r="M58" s="21" t="s">
        <v>7</v>
      </c>
      <c r="N58" s="21" t="s">
        <v>7</v>
      </c>
      <c r="O58" s="21"/>
      <c r="P58" s="21" t="s">
        <v>107</v>
      </c>
      <c r="Q58" s="21" t="s">
        <v>108</v>
      </c>
      <c r="R58" s="21" t="s">
        <v>108</v>
      </c>
      <c r="S58" s="21" t="s">
        <v>132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120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90" t="s">
        <v>534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/>
      <c r="BX58" s="6"/>
    </row>
    <row r="59" spans="1:76" x14ac:dyDescent="0.35">
      <c r="A59" s="22" t="s">
        <v>101</v>
      </c>
      <c r="B59" s="21" t="s">
        <v>67</v>
      </c>
      <c r="C59" s="21" t="s">
        <v>260</v>
      </c>
      <c r="D59" s="10" t="s">
        <v>17</v>
      </c>
      <c r="E59" s="7" t="s">
        <v>103</v>
      </c>
      <c r="F59" s="3" t="s">
        <v>104</v>
      </c>
      <c r="G59" s="3" t="s">
        <v>49</v>
      </c>
      <c r="H59" s="4">
        <v>45809</v>
      </c>
      <c r="I59" s="4">
        <v>46904</v>
      </c>
      <c r="J59" s="3" t="s">
        <v>261</v>
      </c>
      <c r="K59" s="3" t="str">
        <f t="shared" si="0"/>
        <v>Prj000350-Support - Infrastructure for Tech</v>
      </c>
      <c r="L59" s="21" t="s">
        <v>106</v>
      </c>
      <c r="M59" s="21" t="s">
        <v>7</v>
      </c>
      <c r="N59" s="21" t="s">
        <v>7</v>
      </c>
      <c r="O59" s="21" t="s">
        <v>262</v>
      </c>
      <c r="P59" s="21" t="s">
        <v>107</v>
      </c>
      <c r="Q59" s="21" t="s">
        <v>108</v>
      </c>
      <c r="R59" s="21" t="s">
        <v>108</v>
      </c>
      <c r="S59" s="21" t="s">
        <v>109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437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9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/>
      <c r="BX59" s="6"/>
    </row>
    <row r="60" spans="1:76" x14ac:dyDescent="0.35">
      <c r="A60" s="22" t="s">
        <v>101</v>
      </c>
      <c r="B60" s="21" t="s">
        <v>77</v>
      </c>
      <c r="C60" s="21" t="s">
        <v>263</v>
      </c>
      <c r="D60" s="10" t="s">
        <v>24</v>
      </c>
      <c r="E60" s="7" t="s">
        <v>252</v>
      </c>
      <c r="F60" s="3" t="s">
        <v>104</v>
      </c>
      <c r="G60" s="3" t="s">
        <v>49</v>
      </c>
      <c r="H60" s="4">
        <v>45822</v>
      </c>
      <c r="I60" s="4">
        <v>46186</v>
      </c>
      <c r="J60" s="3" t="s">
        <v>264</v>
      </c>
      <c r="K60" s="3" t="str">
        <f t="shared" si="0"/>
        <v>Prj000410-Support - Tech Enablement 2026</v>
      </c>
      <c r="L60" s="21" t="s">
        <v>106</v>
      </c>
      <c r="M60" s="21" t="s">
        <v>7</v>
      </c>
      <c r="N60" s="21" t="s">
        <v>7</v>
      </c>
      <c r="O60" s="21"/>
      <c r="P60" s="21" t="s">
        <v>107</v>
      </c>
      <c r="Q60" s="21" t="s">
        <v>108</v>
      </c>
      <c r="R60" s="21" t="s">
        <v>108</v>
      </c>
      <c r="S60" s="21" t="s">
        <v>109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438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90" t="s">
        <v>919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/>
      <c r="BX60" s="6"/>
    </row>
    <row r="61" spans="1:76" x14ac:dyDescent="0.35">
      <c r="A61" s="22" t="s">
        <v>101</v>
      </c>
      <c r="B61" s="21" t="s">
        <v>74</v>
      </c>
      <c r="C61" s="21" t="s">
        <v>265</v>
      </c>
      <c r="D61" s="10" t="s">
        <v>17</v>
      </c>
      <c r="E61" s="7" t="s">
        <v>103</v>
      </c>
      <c r="F61" s="3" t="s">
        <v>104</v>
      </c>
      <c r="G61" s="3" t="s">
        <v>49</v>
      </c>
      <c r="H61" s="4">
        <v>46010</v>
      </c>
      <c r="I61" s="4">
        <v>46374</v>
      </c>
      <c r="J61" s="3" t="s">
        <v>266</v>
      </c>
      <c r="K61" s="3" t="str">
        <f t="shared" si="0"/>
        <v>Prj000350-Support - Infrastructure for Tech</v>
      </c>
      <c r="L61" s="21" t="s">
        <v>106</v>
      </c>
      <c r="M61" s="21" t="s">
        <v>7</v>
      </c>
      <c r="N61" s="21" t="s">
        <v>7</v>
      </c>
      <c r="O61" s="21" t="s">
        <v>267</v>
      </c>
      <c r="P61" s="21" t="s">
        <v>107</v>
      </c>
      <c r="Q61" s="21" t="s">
        <v>108</v>
      </c>
      <c r="R61" s="21" t="s">
        <v>108</v>
      </c>
      <c r="S61" s="21" t="s">
        <v>109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439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90" t="s">
        <v>490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/>
      <c r="BX61" s="6"/>
    </row>
    <row r="62" spans="1:76" x14ac:dyDescent="0.35">
      <c r="A62" s="22" t="s">
        <v>101</v>
      </c>
      <c r="B62" s="21" t="s">
        <v>74</v>
      </c>
      <c r="C62" s="21" t="s">
        <v>265</v>
      </c>
      <c r="D62" s="10" t="s">
        <v>17</v>
      </c>
      <c r="E62" s="7" t="s">
        <v>103</v>
      </c>
      <c r="F62" s="3" t="s">
        <v>104</v>
      </c>
      <c r="G62" s="3" t="s">
        <v>49</v>
      </c>
      <c r="H62" s="4">
        <v>45645</v>
      </c>
      <c r="I62" s="4">
        <v>46009</v>
      </c>
      <c r="J62" s="3" t="s">
        <v>268</v>
      </c>
      <c r="K62" s="3" t="str">
        <f t="shared" si="0"/>
        <v>Prj000350-Support - Infrastructure for Tech</v>
      </c>
      <c r="L62" s="21" t="s">
        <v>106</v>
      </c>
      <c r="M62" s="21" t="s">
        <v>7</v>
      </c>
      <c r="N62" s="21" t="s">
        <v>7</v>
      </c>
      <c r="O62" s="21" t="s">
        <v>269</v>
      </c>
      <c r="P62" s="21" t="s">
        <v>107</v>
      </c>
      <c r="Q62" s="21" t="s">
        <v>108</v>
      </c>
      <c r="R62" s="21" t="s">
        <v>108</v>
      </c>
      <c r="S62" s="21" t="s">
        <v>132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440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90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/>
      <c r="BX62" s="6"/>
    </row>
    <row r="63" spans="1:76" x14ac:dyDescent="0.35">
      <c r="A63" s="22" t="s">
        <v>101</v>
      </c>
      <c r="B63" s="21" t="s">
        <v>74</v>
      </c>
      <c r="C63" s="21" t="s">
        <v>265</v>
      </c>
      <c r="D63" s="10" t="s">
        <v>17</v>
      </c>
      <c r="E63" s="7" t="s">
        <v>103</v>
      </c>
      <c r="F63" s="3" t="s">
        <v>104</v>
      </c>
      <c r="G63" s="3" t="s">
        <v>49</v>
      </c>
      <c r="H63" s="4">
        <v>46010</v>
      </c>
      <c r="I63" s="4">
        <v>46374</v>
      </c>
      <c r="J63" s="3" t="s">
        <v>270</v>
      </c>
      <c r="K63" s="3" t="str">
        <f t="shared" si="0"/>
        <v>Prj000350-Support - Infrastructure for Tech</v>
      </c>
      <c r="L63" s="21" t="s">
        <v>106</v>
      </c>
      <c r="M63" s="21" t="s">
        <v>7</v>
      </c>
      <c r="N63" s="21" t="s">
        <v>7</v>
      </c>
      <c r="O63" s="21" t="s">
        <v>271</v>
      </c>
      <c r="P63" s="21" t="s">
        <v>107</v>
      </c>
      <c r="Q63" s="21" t="s">
        <v>108</v>
      </c>
      <c r="R63" s="21" t="s">
        <v>108</v>
      </c>
      <c r="S63" s="21" t="s">
        <v>132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441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3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90" t="s">
        <v>534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/>
      <c r="BX63" s="6"/>
    </row>
    <row r="64" spans="1:76" x14ac:dyDescent="0.35">
      <c r="A64" s="22" t="s">
        <v>101</v>
      </c>
      <c r="B64" s="21" t="s">
        <v>272</v>
      </c>
      <c r="C64" s="21" t="s">
        <v>273</v>
      </c>
      <c r="D64" s="10" t="s">
        <v>31</v>
      </c>
      <c r="E64" s="7" t="s">
        <v>204</v>
      </c>
      <c r="F64" s="3" t="s">
        <v>205</v>
      </c>
      <c r="G64" s="3" t="s">
        <v>50</v>
      </c>
      <c r="H64" s="4">
        <v>45362</v>
      </c>
      <c r="I64" s="4">
        <v>45726</v>
      </c>
      <c r="J64" s="3" t="s">
        <v>274</v>
      </c>
      <c r="K64" s="3" t="str">
        <f t="shared" si="0"/>
        <v>Prj000469-Support - Prod Support for Ops Apps</v>
      </c>
      <c r="L64" s="21" t="s">
        <v>106</v>
      </c>
      <c r="M64" s="21" t="s">
        <v>7</v>
      </c>
      <c r="N64" s="21" t="s">
        <v>7</v>
      </c>
      <c r="O64" s="21"/>
      <c r="P64" s="21" t="s">
        <v>107</v>
      </c>
      <c r="Q64" s="21" t="s">
        <v>108</v>
      </c>
      <c r="R64" s="21" t="s">
        <v>108</v>
      </c>
      <c r="S64" s="21" t="s">
        <v>132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275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90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/>
      <c r="BX64" s="6"/>
    </row>
    <row r="65" spans="1:76" x14ac:dyDescent="0.35">
      <c r="A65" s="22" t="s">
        <v>101</v>
      </c>
      <c r="B65" s="21" t="s">
        <v>276</v>
      </c>
      <c r="C65" s="21" t="s">
        <v>277</v>
      </c>
      <c r="D65" s="10" t="s">
        <v>27</v>
      </c>
      <c r="E65" s="7" t="s">
        <v>216</v>
      </c>
      <c r="F65" s="3" t="s">
        <v>114</v>
      </c>
      <c r="G65" s="3" t="s">
        <v>53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106</v>
      </c>
      <c r="M65" s="21" t="s">
        <v>7</v>
      </c>
      <c r="N65" s="21" t="s">
        <v>7</v>
      </c>
      <c r="O65" s="21"/>
      <c r="P65" s="21" t="s">
        <v>107</v>
      </c>
      <c r="Q65" s="21" t="s">
        <v>108</v>
      </c>
      <c r="R65" s="21" t="s">
        <v>108</v>
      </c>
      <c r="S65" s="21" t="s">
        <v>132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120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90" t="s">
        <v>534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/>
      <c r="BX65" s="6"/>
    </row>
    <row r="66" spans="1:76" x14ac:dyDescent="0.35">
      <c r="A66" s="22" t="s">
        <v>101</v>
      </c>
      <c r="B66" s="21" t="s">
        <v>278</v>
      </c>
      <c r="C66" s="21" t="s">
        <v>279</v>
      </c>
      <c r="D66" s="10" t="s">
        <v>29</v>
      </c>
      <c r="E66" s="7" t="s">
        <v>210</v>
      </c>
      <c r="F66" s="3" t="s">
        <v>211</v>
      </c>
      <c r="G66" s="3" t="s">
        <v>48</v>
      </c>
      <c r="H66" s="4">
        <v>45745</v>
      </c>
      <c r="I66" s="4">
        <v>46109</v>
      </c>
      <c r="J66" s="3" t="s">
        <v>280</v>
      </c>
      <c r="K66" s="3" t="str">
        <f t="shared" ref="K66:K129" si="28">D66 &amp; "-" &amp;E66</f>
        <v>Prj000458-Support - Data Analytics Office</v>
      </c>
      <c r="L66" s="21" t="s">
        <v>106</v>
      </c>
      <c r="M66" s="21" t="s">
        <v>7</v>
      </c>
      <c r="N66" s="21" t="s">
        <v>7</v>
      </c>
      <c r="O66" s="21" t="s">
        <v>281</v>
      </c>
      <c r="P66" s="21" t="s">
        <v>107</v>
      </c>
      <c r="Q66" s="21" t="s">
        <v>108</v>
      </c>
      <c r="R66" s="21" t="s">
        <v>108</v>
      </c>
      <c r="S66" s="21" t="s">
        <v>132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90" t="s">
        <v>41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/>
      <c r="BX66" s="6"/>
    </row>
    <row r="67" spans="1:76" x14ac:dyDescent="0.35">
      <c r="A67" s="22" t="s">
        <v>101</v>
      </c>
      <c r="B67" s="21" t="s">
        <v>282</v>
      </c>
      <c r="C67" s="21" t="s">
        <v>283</v>
      </c>
      <c r="D67" s="10" t="s">
        <v>25</v>
      </c>
      <c r="E67" s="7" t="s">
        <v>167</v>
      </c>
      <c r="F67" s="3" t="s">
        <v>168</v>
      </c>
      <c r="G67" s="3" t="s">
        <v>51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106</v>
      </c>
      <c r="M67" s="21" t="s">
        <v>7</v>
      </c>
      <c r="N67" s="21" t="s">
        <v>7</v>
      </c>
      <c r="O67" s="21"/>
      <c r="P67" s="21" t="s">
        <v>107</v>
      </c>
      <c r="Q67" s="21" t="s">
        <v>108</v>
      </c>
      <c r="R67" s="21" t="s">
        <v>108</v>
      </c>
      <c r="S67" s="21" t="s">
        <v>132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120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90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/>
      <c r="BX67" s="6"/>
    </row>
    <row r="68" spans="1:76" x14ac:dyDescent="0.35">
      <c r="A68" s="22" t="s">
        <v>101</v>
      </c>
      <c r="B68" s="21" t="s">
        <v>284</v>
      </c>
      <c r="C68" s="21" t="s">
        <v>285</v>
      </c>
      <c r="D68" s="10" t="s">
        <v>25</v>
      </c>
      <c r="E68" s="7" t="s">
        <v>167</v>
      </c>
      <c r="F68" s="3" t="s">
        <v>168</v>
      </c>
      <c r="G68" s="3" t="s">
        <v>51</v>
      </c>
      <c r="H68" s="4">
        <v>45904</v>
      </c>
      <c r="I68" s="4">
        <v>46268</v>
      </c>
      <c r="J68" s="3" t="s">
        <v>286</v>
      </c>
      <c r="K68" s="3" t="str">
        <f t="shared" si="28"/>
        <v>Prj000426-Implement - Minor Enhancements for Sales</v>
      </c>
      <c r="L68" s="21" t="s">
        <v>106</v>
      </c>
      <c r="M68" s="21" t="s">
        <v>7</v>
      </c>
      <c r="N68" s="21" t="s">
        <v>7</v>
      </c>
      <c r="O68" s="21"/>
      <c r="P68" s="21" t="s">
        <v>107</v>
      </c>
      <c r="Q68" s="21" t="s">
        <v>108</v>
      </c>
      <c r="R68" s="21" t="s">
        <v>108</v>
      </c>
      <c r="S68" s="21" t="s">
        <v>109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442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90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/>
      <c r="BX68" s="6"/>
    </row>
    <row r="69" spans="1:76" x14ac:dyDescent="0.35">
      <c r="A69" s="22" t="s">
        <v>101</v>
      </c>
      <c r="B69" s="21" t="s">
        <v>78</v>
      </c>
      <c r="C69" s="21" t="s">
        <v>287</v>
      </c>
      <c r="D69" s="10" t="s">
        <v>15</v>
      </c>
      <c r="E69" s="7" t="s">
        <v>219</v>
      </c>
      <c r="F69" s="3" t="s">
        <v>104</v>
      </c>
      <c r="G69" s="3" t="s">
        <v>49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106</v>
      </c>
      <c r="M69" s="21" t="s">
        <v>7</v>
      </c>
      <c r="N69" s="21" t="s">
        <v>7</v>
      </c>
      <c r="O69" s="21"/>
      <c r="P69" s="21" t="s">
        <v>107</v>
      </c>
      <c r="Q69" s="21" t="s">
        <v>108</v>
      </c>
      <c r="R69" s="21" t="s">
        <v>108</v>
      </c>
      <c r="S69" s="21" t="s">
        <v>132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120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90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/>
      <c r="BX69" s="6"/>
    </row>
    <row r="70" spans="1:76" x14ac:dyDescent="0.35">
      <c r="A70" s="22" t="s">
        <v>101</v>
      </c>
      <c r="B70" s="21" t="s">
        <v>70</v>
      </c>
      <c r="C70" s="21" t="s">
        <v>288</v>
      </c>
      <c r="D70" s="10" t="s">
        <v>17</v>
      </c>
      <c r="E70" s="7" t="s">
        <v>103</v>
      </c>
      <c r="F70" s="3" t="s">
        <v>104</v>
      </c>
      <c r="G70" s="3" t="s">
        <v>49</v>
      </c>
      <c r="H70" s="4">
        <v>45947</v>
      </c>
      <c r="I70" s="4">
        <v>46676</v>
      </c>
      <c r="J70" s="3" t="s">
        <v>289</v>
      </c>
      <c r="K70" s="3" t="str">
        <f t="shared" si="28"/>
        <v>Prj000350-Support - Infrastructure for Tech</v>
      </c>
      <c r="L70" s="21" t="s">
        <v>106</v>
      </c>
      <c r="M70" s="21" t="s">
        <v>7</v>
      </c>
      <c r="N70" s="21" t="s">
        <v>7</v>
      </c>
      <c r="O70" s="21" t="s">
        <v>7</v>
      </c>
      <c r="P70" s="21" t="s">
        <v>107</v>
      </c>
      <c r="Q70" s="21" t="s">
        <v>108</v>
      </c>
      <c r="R70" s="21" t="s">
        <v>108</v>
      </c>
      <c r="S70" s="21" t="s">
        <v>115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443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90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/>
      <c r="BX70" s="6"/>
    </row>
    <row r="71" spans="1:76" x14ac:dyDescent="0.35">
      <c r="A71" s="22" t="s">
        <v>101</v>
      </c>
      <c r="B71" s="21" t="s">
        <v>70</v>
      </c>
      <c r="C71" s="21" t="s">
        <v>288</v>
      </c>
      <c r="D71" s="10" t="s">
        <v>30</v>
      </c>
      <c r="E71" s="7" t="s">
        <v>193</v>
      </c>
      <c r="F71" s="3" t="s">
        <v>183</v>
      </c>
      <c r="G71" s="3" t="s">
        <v>48</v>
      </c>
      <c r="H71" s="4">
        <v>45960</v>
      </c>
      <c r="I71" s="4">
        <v>46324</v>
      </c>
      <c r="J71" s="3" t="s">
        <v>290</v>
      </c>
      <c r="K71" s="3" t="str">
        <f t="shared" si="28"/>
        <v>Prj000467-Support - Enterprise Tech Helpdesk</v>
      </c>
      <c r="L71" s="21" t="s">
        <v>106</v>
      </c>
      <c r="M71" s="21" t="s">
        <v>7</v>
      </c>
      <c r="N71" s="21" t="s">
        <v>7</v>
      </c>
      <c r="O71" s="21" t="s">
        <v>7</v>
      </c>
      <c r="P71" s="21" t="s">
        <v>107</v>
      </c>
      <c r="Q71" s="21" t="s">
        <v>108</v>
      </c>
      <c r="R71" s="21" t="s">
        <v>108</v>
      </c>
      <c r="S71" s="21" t="s">
        <v>132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290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90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/>
      <c r="BX71" s="6"/>
    </row>
    <row r="72" spans="1:76" x14ac:dyDescent="0.35">
      <c r="A72" s="22" t="s">
        <v>101</v>
      </c>
      <c r="B72" s="21" t="s">
        <v>70</v>
      </c>
      <c r="C72" s="21" t="s">
        <v>288</v>
      </c>
      <c r="D72" s="10" t="s">
        <v>37</v>
      </c>
      <c r="E72" s="7" t="s">
        <v>213</v>
      </c>
      <c r="F72" s="3" t="s">
        <v>211</v>
      </c>
      <c r="G72" s="3" t="s">
        <v>48</v>
      </c>
      <c r="H72" s="4">
        <v>45870</v>
      </c>
      <c r="I72" s="4">
        <v>46234</v>
      </c>
      <c r="J72" s="3" t="s">
        <v>291</v>
      </c>
      <c r="K72" s="3" t="str">
        <f t="shared" si="28"/>
        <v>Prj000548-Implement - Reporting for Internal Audit</v>
      </c>
      <c r="L72" s="21" t="s">
        <v>106</v>
      </c>
      <c r="M72" s="21" t="s">
        <v>7</v>
      </c>
      <c r="N72" s="21" t="s">
        <v>7</v>
      </c>
      <c r="O72" s="21" t="s">
        <v>7</v>
      </c>
      <c r="P72" s="21" t="s">
        <v>107</v>
      </c>
      <c r="Q72" s="21" t="s">
        <v>108</v>
      </c>
      <c r="R72" s="21" t="s">
        <v>108</v>
      </c>
      <c r="S72" s="21" t="s">
        <v>132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292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90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/>
      <c r="BX72" s="6"/>
    </row>
    <row r="73" spans="1:76" x14ac:dyDescent="0.35">
      <c r="A73" s="22" t="s">
        <v>101</v>
      </c>
      <c r="B73" s="21" t="s">
        <v>70</v>
      </c>
      <c r="C73" s="21" t="s">
        <v>288</v>
      </c>
      <c r="D73" s="10" t="s">
        <v>29</v>
      </c>
      <c r="E73" s="7" t="s">
        <v>210</v>
      </c>
      <c r="F73" s="3" t="s">
        <v>211</v>
      </c>
      <c r="G73" s="3" t="s">
        <v>48</v>
      </c>
      <c r="H73" s="4">
        <v>45896</v>
      </c>
      <c r="I73" s="4">
        <v>46260</v>
      </c>
      <c r="J73" s="3" t="s">
        <v>293</v>
      </c>
      <c r="K73" s="3" t="str">
        <f t="shared" si="28"/>
        <v>Prj000458-Support - Data Analytics Office</v>
      </c>
      <c r="L73" s="21" t="s">
        <v>106</v>
      </c>
      <c r="M73" s="21" t="s">
        <v>7</v>
      </c>
      <c r="N73" s="21" t="s">
        <v>7</v>
      </c>
      <c r="O73" s="21" t="s">
        <v>294</v>
      </c>
      <c r="P73" s="21" t="s">
        <v>107</v>
      </c>
      <c r="Q73" s="21" t="s">
        <v>108</v>
      </c>
      <c r="R73" s="21" t="s">
        <v>108</v>
      </c>
      <c r="S73" s="21" t="s">
        <v>132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295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90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/>
      <c r="BX73" s="6"/>
    </row>
    <row r="74" spans="1:76" x14ac:dyDescent="0.35">
      <c r="A74" s="22" t="s">
        <v>101</v>
      </c>
      <c r="B74" s="21" t="s">
        <v>181</v>
      </c>
      <c r="C74" s="21" t="s">
        <v>296</v>
      </c>
      <c r="D74" s="10" t="s">
        <v>22</v>
      </c>
      <c r="E74" s="7" t="s">
        <v>182</v>
      </c>
      <c r="F74" s="3" t="s">
        <v>183</v>
      </c>
      <c r="G74" s="3" t="s">
        <v>48</v>
      </c>
      <c r="H74" s="4">
        <v>46022</v>
      </c>
      <c r="I74" s="4">
        <v>46386</v>
      </c>
      <c r="J74" s="3" t="s">
        <v>297</v>
      </c>
      <c r="K74" s="3" t="str">
        <f t="shared" si="28"/>
        <v>Prj000403-Support - L2 CoE Management for Tech Horizontals</v>
      </c>
      <c r="L74" s="21" t="s">
        <v>106</v>
      </c>
      <c r="M74" s="21" t="s">
        <v>7</v>
      </c>
      <c r="N74" s="21" t="s">
        <v>7</v>
      </c>
      <c r="O74" s="21" t="s">
        <v>200</v>
      </c>
      <c r="P74" s="21" t="s">
        <v>107</v>
      </c>
      <c r="Q74" s="21" t="s">
        <v>108</v>
      </c>
      <c r="R74" s="21" t="s">
        <v>108</v>
      </c>
      <c r="S74" s="21" t="s">
        <v>132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444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90" t="s">
        <v>534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/>
      <c r="BX74" s="6"/>
    </row>
    <row r="75" spans="1:76" x14ac:dyDescent="0.35">
      <c r="A75" s="22" t="s">
        <v>101</v>
      </c>
      <c r="B75" s="21" t="s">
        <v>298</v>
      </c>
      <c r="C75" s="21" t="s">
        <v>299</v>
      </c>
      <c r="D75" s="10" t="s">
        <v>27</v>
      </c>
      <c r="E75" s="7" t="s">
        <v>216</v>
      </c>
      <c r="F75" s="3" t="s">
        <v>114</v>
      </c>
      <c r="G75" s="3" t="s">
        <v>53</v>
      </c>
      <c r="H75" s="4">
        <v>46017</v>
      </c>
      <c r="I75" s="4">
        <v>46381</v>
      </c>
      <c r="J75" s="3" t="s">
        <v>165</v>
      </c>
      <c r="K75" s="3" t="str">
        <f t="shared" si="28"/>
        <v>Prj000446-Implement - Minor Enhancements for Enterprise Apps</v>
      </c>
      <c r="L75" s="21" t="s">
        <v>106</v>
      </c>
      <c r="M75" s="21" t="s">
        <v>7</v>
      </c>
      <c r="N75" s="21" t="s">
        <v>7</v>
      </c>
      <c r="O75" s="21"/>
      <c r="P75" s="21" t="s">
        <v>107</v>
      </c>
      <c r="Q75" s="21" t="s">
        <v>108</v>
      </c>
      <c r="R75" s="21" t="s">
        <v>108</v>
      </c>
      <c r="S75" s="21" t="s">
        <v>132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90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/>
      <c r="BX75" s="6"/>
    </row>
    <row r="76" spans="1:76" x14ac:dyDescent="0.35">
      <c r="A76" s="22" t="s">
        <v>101</v>
      </c>
      <c r="B76" s="21" t="s">
        <v>138</v>
      </c>
      <c r="C76" s="21" t="s">
        <v>139</v>
      </c>
      <c r="D76" s="10" t="s">
        <v>13</v>
      </c>
      <c r="E76" s="7" t="s">
        <v>140</v>
      </c>
      <c r="F76" s="3" t="s">
        <v>141</v>
      </c>
      <c r="G76" s="3" t="s">
        <v>52</v>
      </c>
      <c r="H76" s="4">
        <v>45831</v>
      </c>
      <c r="I76" s="4">
        <v>46196</v>
      </c>
      <c r="J76" s="3" t="s">
        <v>300</v>
      </c>
      <c r="K76" s="3" t="str">
        <f t="shared" si="28"/>
        <v>Prj000290-Support - Asset Management Applications</v>
      </c>
      <c r="L76" s="21" t="s">
        <v>106</v>
      </c>
      <c r="M76" s="21" t="s">
        <v>7</v>
      </c>
      <c r="N76" s="21" t="s">
        <v>7</v>
      </c>
      <c r="O76" s="21" t="s">
        <v>301</v>
      </c>
      <c r="P76" s="21" t="s">
        <v>107</v>
      </c>
      <c r="Q76" s="21" t="s">
        <v>108</v>
      </c>
      <c r="R76" s="21" t="s">
        <v>108</v>
      </c>
      <c r="S76" s="21" t="s">
        <v>109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302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90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/>
      <c r="BX76" s="6"/>
    </row>
    <row r="77" spans="1:76" x14ac:dyDescent="0.35">
      <c r="A77" s="22" t="s">
        <v>101</v>
      </c>
      <c r="B77" s="21" t="s">
        <v>75</v>
      </c>
      <c r="C77" s="21" t="s">
        <v>303</v>
      </c>
      <c r="D77" s="10" t="s">
        <v>17</v>
      </c>
      <c r="E77" s="7" t="s">
        <v>103</v>
      </c>
      <c r="F77" s="3" t="s">
        <v>104</v>
      </c>
      <c r="G77" s="3" t="s">
        <v>49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106</v>
      </c>
      <c r="M77" s="21" t="s">
        <v>7</v>
      </c>
      <c r="N77" s="21" t="s">
        <v>7</v>
      </c>
      <c r="O77" s="21"/>
      <c r="P77" s="21" t="s">
        <v>107</v>
      </c>
      <c r="Q77" s="21" t="s">
        <v>108</v>
      </c>
      <c r="R77" s="21" t="s">
        <v>108</v>
      </c>
      <c r="S77" s="21" t="s">
        <v>132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91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/>
      <c r="BX77" s="6"/>
    </row>
    <row r="78" spans="1:76" x14ac:dyDescent="0.35">
      <c r="A78" s="22" t="s">
        <v>101</v>
      </c>
      <c r="B78" s="21" t="s">
        <v>304</v>
      </c>
      <c r="C78" s="21" t="s">
        <v>305</v>
      </c>
      <c r="D78" s="10" t="s">
        <v>22</v>
      </c>
      <c r="E78" s="7" t="s">
        <v>182</v>
      </c>
      <c r="F78" s="3" t="s">
        <v>183</v>
      </c>
      <c r="G78" s="3" t="s">
        <v>48</v>
      </c>
      <c r="H78" s="2" t="s">
        <v>142</v>
      </c>
      <c r="I78" s="2" t="s">
        <v>142</v>
      </c>
      <c r="J78" s="3"/>
      <c r="K78" s="3" t="str">
        <f t="shared" si="28"/>
        <v>Prj000403-Support - L2 CoE Management for Tech Horizontals</v>
      </c>
      <c r="L78" s="21" t="s">
        <v>106</v>
      </c>
      <c r="M78" s="21" t="s">
        <v>7</v>
      </c>
      <c r="N78" s="21" t="s">
        <v>7</v>
      </c>
      <c r="O78" s="21" t="s">
        <v>7</v>
      </c>
      <c r="P78" s="21" t="s">
        <v>107</v>
      </c>
      <c r="Q78" s="21" t="s">
        <v>108</v>
      </c>
      <c r="R78" s="21" t="s">
        <v>108</v>
      </c>
      <c r="S78" s="21" t="s">
        <v>129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306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4" t="s">
        <v>830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/>
      <c r="BX78" s="6"/>
    </row>
    <row r="79" spans="1:76" x14ac:dyDescent="0.35">
      <c r="A79" s="22" t="s">
        <v>101</v>
      </c>
      <c r="B79" s="21" t="s">
        <v>304</v>
      </c>
      <c r="C79" s="21" t="s">
        <v>305</v>
      </c>
      <c r="D79" s="10" t="s">
        <v>22</v>
      </c>
      <c r="E79" s="7" t="s">
        <v>182</v>
      </c>
      <c r="F79" s="3" t="s">
        <v>183</v>
      </c>
      <c r="G79" s="3" t="s">
        <v>48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106</v>
      </c>
      <c r="M79" s="21" t="s">
        <v>7</v>
      </c>
      <c r="N79" s="21" t="s">
        <v>7</v>
      </c>
      <c r="O79" s="21" t="s">
        <v>7</v>
      </c>
      <c r="P79" s="21" t="s">
        <v>107</v>
      </c>
      <c r="Q79" s="21" t="s">
        <v>108</v>
      </c>
      <c r="R79" s="21" t="s">
        <v>108</v>
      </c>
      <c r="S79" s="21" t="s">
        <v>132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307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90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/>
      <c r="BX79" s="6"/>
    </row>
    <row r="80" spans="1:76" x14ac:dyDescent="0.35">
      <c r="A80" s="22" t="s">
        <v>101</v>
      </c>
      <c r="B80" s="21" t="s">
        <v>308</v>
      </c>
      <c r="C80" s="21" t="s">
        <v>309</v>
      </c>
      <c r="D80" s="10" t="s">
        <v>11</v>
      </c>
      <c r="E80" s="7" t="s">
        <v>113</v>
      </c>
      <c r="F80" s="3" t="s">
        <v>114</v>
      </c>
      <c r="G80" s="3" t="s">
        <v>53</v>
      </c>
      <c r="H80" s="4">
        <v>45992</v>
      </c>
      <c r="I80" s="4">
        <v>46356</v>
      </c>
      <c r="J80" s="3" t="s">
        <v>309</v>
      </c>
      <c r="K80" s="3" t="str">
        <f t="shared" si="28"/>
        <v>Prj000266-Support - Internal Tech Workforce Activities</v>
      </c>
      <c r="L80" s="21" t="s">
        <v>106</v>
      </c>
      <c r="M80" s="21" t="s">
        <v>7</v>
      </c>
      <c r="N80" s="21" t="s">
        <v>7</v>
      </c>
      <c r="O80" s="21" t="s">
        <v>7</v>
      </c>
      <c r="P80" s="21" t="s">
        <v>107</v>
      </c>
      <c r="Q80" s="21" t="s">
        <v>108</v>
      </c>
      <c r="R80" s="21" t="s">
        <v>108</v>
      </c>
      <c r="S80" s="21" t="s">
        <v>132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445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90" t="s">
        <v>527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/>
      <c r="BX80" s="6"/>
    </row>
    <row r="81" spans="1:76" x14ac:dyDescent="0.35">
      <c r="A81" s="22" t="s">
        <v>101</v>
      </c>
      <c r="B81" s="21" t="s">
        <v>57</v>
      </c>
      <c r="C81" s="21" t="s">
        <v>310</v>
      </c>
      <c r="D81" s="10" t="s">
        <v>11</v>
      </c>
      <c r="E81" s="7" t="s">
        <v>113</v>
      </c>
      <c r="F81" s="3" t="s">
        <v>114</v>
      </c>
      <c r="G81" s="3" t="s">
        <v>53</v>
      </c>
      <c r="H81" s="4">
        <v>45763</v>
      </c>
      <c r="I81" s="4">
        <v>46096</v>
      </c>
      <c r="J81" s="3" t="s">
        <v>311</v>
      </c>
      <c r="K81" s="3" t="str">
        <f t="shared" si="28"/>
        <v>Prj000266-Support - Internal Tech Workforce Activities</v>
      </c>
      <c r="L81" s="21" t="s">
        <v>106</v>
      </c>
      <c r="M81" s="21" t="s">
        <v>7</v>
      </c>
      <c r="N81" s="21" t="s">
        <v>7</v>
      </c>
      <c r="O81" s="21"/>
      <c r="P81" s="21" t="s">
        <v>107</v>
      </c>
      <c r="Q81" s="21" t="s">
        <v>108</v>
      </c>
      <c r="R81" s="21" t="s">
        <v>108</v>
      </c>
      <c r="S81" s="21" t="s">
        <v>132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312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90" t="s">
        <v>828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/>
      <c r="BX81" s="6"/>
    </row>
    <row r="82" spans="1:76" x14ac:dyDescent="0.35">
      <c r="A82" s="22" t="s">
        <v>101</v>
      </c>
      <c r="B82" s="21" t="s">
        <v>313</v>
      </c>
      <c r="C82" s="21" t="s">
        <v>314</v>
      </c>
      <c r="D82" s="10" t="s">
        <v>29</v>
      </c>
      <c r="E82" s="7" t="s">
        <v>210</v>
      </c>
      <c r="F82" s="3" t="s">
        <v>211</v>
      </c>
      <c r="G82" s="3" t="s">
        <v>48</v>
      </c>
      <c r="H82" s="4">
        <v>45900</v>
      </c>
      <c r="I82" s="4">
        <v>46264</v>
      </c>
      <c r="J82" s="3" t="s">
        <v>315</v>
      </c>
      <c r="K82" s="3" t="str">
        <f t="shared" si="28"/>
        <v>Prj000458-Support - Data Analytics Office</v>
      </c>
      <c r="L82" s="21" t="s">
        <v>106</v>
      </c>
      <c r="M82" s="21" t="s">
        <v>7</v>
      </c>
      <c r="N82" s="21" t="s">
        <v>7</v>
      </c>
      <c r="O82" s="21" t="s">
        <v>316</v>
      </c>
      <c r="P82" s="21" t="s">
        <v>107</v>
      </c>
      <c r="Q82" s="21" t="s">
        <v>108</v>
      </c>
      <c r="R82" s="21" t="s">
        <v>108</v>
      </c>
      <c r="S82" s="21" t="s">
        <v>109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317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90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/>
      <c r="BX82" s="6"/>
    </row>
    <row r="83" spans="1:76" x14ac:dyDescent="0.35">
      <c r="A83" s="22" t="s">
        <v>101</v>
      </c>
      <c r="B83" s="21" t="s">
        <v>318</v>
      </c>
      <c r="C83" s="21" t="s">
        <v>318</v>
      </c>
      <c r="D83" s="10" t="s">
        <v>27</v>
      </c>
      <c r="E83" s="7" t="s">
        <v>216</v>
      </c>
      <c r="F83" s="3" t="s">
        <v>114</v>
      </c>
      <c r="G83" s="3" t="s">
        <v>53</v>
      </c>
      <c r="H83" s="2" t="s">
        <v>142</v>
      </c>
      <c r="I83" s="2" t="s">
        <v>142</v>
      </c>
      <c r="J83" s="3"/>
      <c r="K83" s="3" t="str">
        <f t="shared" si="28"/>
        <v>Prj000446-Implement - Minor Enhancements for Enterprise Apps</v>
      </c>
      <c r="L83" s="21" t="s">
        <v>106</v>
      </c>
      <c r="M83" s="21" t="s">
        <v>7</v>
      </c>
      <c r="N83" s="21" t="s">
        <v>7</v>
      </c>
      <c r="O83" s="21" t="s">
        <v>7</v>
      </c>
      <c r="P83" s="21" t="s">
        <v>107</v>
      </c>
      <c r="Q83" s="21" t="s">
        <v>108</v>
      </c>
      <c r="R83" s="21" t="s">
        <v>108</v>
      </c>
      <c r="S83" s="21" t="s">
        <v>132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319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91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/>
      <c r="BX83" s="6"/>
    </row>
    <row r="84" spans="1:76" x14ac:dyDescent="0.35">
      <c r="A84" s="22" t="s">
        <v>101</v>
      </c>
      <c r="B84" s="21" t="s">
        <v>320</v>
      </c>
      <c r="C84" s="21" t="s">
        <v>320</v>
      </c>
      <c r="D84" s="10" t="s">
        <v>27</v>
      </c>
      <c r="E84" s="7" t="s">
        <v>216</v>
      </c>
      <c r="F84" s="3" t="s">
        <v>114</v>
      </c>
      <c r="G84" s="3" t="s">
        <v>53</v>
      </c>
      <c r="H84" s="4">
        <v>45949</v>
      </c>
      <c r="I84" s="4">
        <v>46313</v>
      </c>
      <c r="J84" s="3" t="s">
        <v>321</v>
      </c>
      <c r="K84" s="3" t="str">
        <f t="shared" si="28"/>
        <v>Prj000446-Implement - Minor Enhancements for Enterprise Apps</v>
      </c>
      <c r="L84" s="21" t="s">
        <v>106</v>
      </c>
      <c r="M84" s="21" t="s">
        <v>7</v>
      </c>
      <c r="N84" s="21" t="s">
        <v>7</v>
      </c>
      <c r="O84" s="21" t="s">
        <v>294</v>
      </c>
      <c r="P84" s="21" t="s">
        <v>107</v>
      </c>
      <c r="Q84" s="21" t="s">
        <v>108</v>
      </c>
      <c r="R84" s="21" t="s">
        <v>108</v>
      </c>
      <c r="S84" s="21" t="s">
        <v>132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120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90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/>
      <c r="BX84" s="6"/>
    </row>
    <row r="85" spans="1:76" x14ac:dyDescent="0.35">
      <c r="A85" s="22" t="s">
        <v>101</v>
      </c>
      <c r="B85" s="21" t="s">
        <v>322</v>
      </c>
      <c r="C85" s="21" t="s">
        <v>323</v>
      </c>
      <c r="D85" s="10" t="s">
        <v>29</v>
      </c>
      <c r="E85" s="7" t="s">
        <v>210</v>
      </c>
      <c r="F85" s="3" t="s">
        <v>211</v>
      </c>
      <c r="G85" s="3" t="s">
        <v>48</v>
      </c>
      <c r="H85" s="4">
        <v>45765</v>
      </c>
      <c r="I85" s="4">
        <v>46129</v>
      </c>
      <c r="J85" s="3" t="s">
        <v>323</v>
      </c>
      <c r="K85" s="3" t="str">
        <f t="shared" si="28"/>
        <v>Prj000458-Support - Data Analytics Office</v>
      </c>
      <c r="L85" s="21" t="s">
        <v>106</v>
      </c>
      <c r="M85" s="21" t="s">
        <v>7</v>
      </c>
      <c r="N85" s="21" t="s">
        <v>7</v>
      </c>
      <c r="O85" s="21" t="s">
        <v>165</v>
      </c>
      <c r="P85" s="21" t="s">
        <v>107</v>
      </c>
      <c r="Q85" s="21" t="s">
        <v>108</v>
      </c>
      <c r="R85" s="21" t="s">
        <v>108</v>
      </c>
      <c r="S85" s="21" t="s">
        <v>109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557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91" t="s">
        <v>882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/>
      <c r="BX85" s="6"/>
    </row>
    <row r="86" spans="1:76" x14ac:dyDescent="0.35">
      <c r="A86" s="22" t="s">
        <v>101</v>
      </c>
      <c r="B86" s="21" t="s">
        <v>324</v>
      </c>
      <c r="C86" s="21" t="s">
        <v>325</v>
      </c>
      <c r="D86" s="10" t="s">
        <v>27</v>
      </c>
      <c r="E86" s="7" t="s">
        <v>216</v>
      </c>
      <c r="F86" s="3" t="s">
        <v>114</v>
      </c>
      <c r="G86" s="3" t="s">
        <v>53</v>
      </c>
      <c r="H86" s="4" t="s">
        <v>115</v>
      </c>
      <c r="I86" s="4" t="s">
        <v>115</v>
      </c>
      <c r="J86" s="3"/>
      <c r="K86" s="3" t="str">
        <f t="shared" si="28"/>
        <v>Prj000446-Implement - Minor Enhancements for Enterprise Apps</v>
      </c>
      <c r="L86" s="21" t="s">
        <v>106</v>
      </c>
      <c r="M86" s="21" t="s">
        <v>7</v>
      </c>
      <c r="N86" s="21" t="s">
        <v>7</v>
      </c>
      <c r="O86" s="21"/>
      <c r="P86" s="21" t="s">
        <v>107</v>
      </c>
      <c r="Q86" s="21" t="s">
        <v>108</v>
      </c>
      <c r="R86" s="21" t="s">
        <v>108</v>
      </c>
      <c r="S86" s="21" t="s">
        <v>132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326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90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/>
      <c r="BX86" s="6"/>
    </row>
    <row r="87" spans="1:76" x14ac:dyDescent="0.35">
      <c r="A87" s="22" t="s">
        <v>101</v>
      </c>
      <c r="B87" s="21" t="s">
        <v>198</v>
      </c>
      <c r="C87" s="21"/>
      <c r="D87" s="10" t="s">
        <v>13</v>
      </c>
      <c r="E87" s="7" t="s">
        <v>140</v>
      </c>
      <c r="F87" s="3" t="s">
        <v>141</v>
      </c>
      <c r="G87" s="3" t="s">
        <v>52</v>
      </c>
      <c r="H87" s="4" t="s">
        <v>115</v>
      </c>
      <c r="I87" s="4" t="s">
        <v>115</v>
      </c>
      <c r="J87" s="3"/>
      <c r="K87" s="3" t="str">
        <f t="shared" si="28"/>
        <v>Prj000290-Support - Asset Management Applications</v>
      </c>
      <c r="L87" s="21" t="s">
        <v>106</v>
      </c>
      <c r="M87" s="21" t="s">
        <v>7</v>
      </c>
      <c r="N87" s="21" t="s">
        <v>7</v>
      </c>
      <c r="O87" s="21"/>
      <c r="P87" s="21" t="s">
        <v>107</v>
      </c>
      <c r="Q87" s="21" t="s">
        <v>134</v>
      </c>
      <c r="R87" s="21" t="s">
        <v>135</v>
      </c>
      <c r="S87" s="21" t="s">
        <v>129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834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90" t="s">
        <v>835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/>
      <c r="BX87" s="6"/>
    </row>
    <row r="88" spans="1:76" x14ac:dyDescent="0.35">
      <c r="A88" s="22" t="s">
        <v>101</v>
      </c>
      <c r="B88" s="21" t="s">
        <v>222</v>
      </c>
      <c r="C88" s="21" t="s">
        <v>223</v>
      </c>
      <c r="D88" s="10" t="s">
        <v>27</v>
      </c>
      <c r="E88" s="7" t="s">
        <v>216</v>
      </c>
      <c r="F88" s="3" t="s">
        <v>114</v>
      </c>
      <c r="G88" s="3" t="s">
        <v>53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106</v>
      </c>
      <c r="M88" s="21" t="s">
        <v>5</v>
      </c>
      <c r="N88" s="21" t="s">
        <v>7</v>
      </c>
      <c r="O88" s="21" t="s">
        <v>135</v>
      </c>
      <c r="P88" s="21" t="s">
        <v>126</v>
      </c>
      <c r="Q88" s="21" t="s">
        <v>127</v>
      </c>
      <c r="R88" s="21" t="s">
        <v>128</v>
      </c>
      <c r="S88" s="21" t="s">
        <v>132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90" t="s">
        <v>534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/>
      <c r="BX88" s="6"/>
    </row>
    <row r="89" spans="1:76" ht="101.5" x14ac:dyDescent="0.35">
      <c r="A89" s="22" t="s">
        <v>101</v>
      </c>
      <c r="B89" s="21" t="s">
        <v>57</v>
      </c>
      <c r="C89" s="21"/>
      <c r="D89" s="10" t="s">
        <v>17</v>
      </c>
      <c r="E89" s="7" t="s">
        <v>103</v>
      </c>
      <c r="F89" s="3" t="s">
        <v>104</v>
      </c>
      <c r="G89" s="3" t="s">
        <v>49</v>
      </c>
      <c r="H89" s="4" t="s">
        <v>327</v>
      </c>
      <c r="I89" s="4" t="s">
        <v>327</v>
      </c>
      <c r="J89" s="3"/>
      <c r="K89" s="3" t="str">
        <f t="shared" si="28"/>
        <v>Prj000350-Support - Infrastructure for Tech</v>
      </c>
      <c r="L89" s="21" t="s">
        <v>106</v>
      </c>
      <c r="M89" s="21" t="s">
        <v>7</v>
      </c>
      <c r="N89" s="21" t="s">
        <v>7</v>
      </c>
      <c r="O89" s="21"/>
      <c r="P89" s="21" t="s">
        <v>107</v>
      </c>
      <c r="Q89" s="21" t="s">
        <v>134</v>
      </c>
      <c r="R89" s="21" t="s">
        <v>135</v>
      </c>
      <c r="S89" s="21" t="s">
        <v>129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424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90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/>
      <c r="BX89" s="6"/>
    </row>
    <row r="90" spans="1:76" x14ac:dyDescent="0.35">
      <c r="A90" s="22" t="s">
        <v>101</v>
      </c>
      <c r="B90" s="21" t="s">
        <v>208</v>
      </c>
      <c r="C90" s="21" t="s">
        <v>209</v>
      </c>
      <c r="D90" s="10" t="s">
        <v>22</v>
      </c>
      <c r="E90" s="7" t="s">
        <v>182</v>
      </c>
      <c r="F90" s="3" t="s">
        <v>183</v>
      </c>
      <c r="G90" s="3" t="s">
        <v>48</v>
      </c>
      <c r="H90" s="4">
        <v>45413</v>
      </c>
      <c r="I90" s="4">
        <v>46332</v>
      </c>
      <c r="J90" s="3" t="s">
        <v>328</v>
      </c>
      <c r="K90" s="3" t="str">
        <f t="shared" si="28"/>
        <v>Prj000403-Support - L2 CoE Management for Tech Horizontals</v>
      </c>
      <c r="L90" s="21" t="s">
        <v>124</v>
      </c>
      <c r="M90" s="21" t="s">
        <v>5</v>
      </c>
      <c r="N90" s="21" t="s">
        <v>125</v>
      </c>
      <c r="O90" s="21" t="s">
        <v>329</v>
      </c>
      <c r="P90" s="21" t="s">
        <v>107</v>
      </c>
      <c r="Q90" s="21" t="s">
        <v>134</v>
      </c>
      <c r="R90" s="21" t="s">
        <v>134</v>
      </c>
      <c r="S90" s="21" t="s">
        <v>129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330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90" t="s">
        <v>850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/>
      <c r="BX90" s="6"/>
    </row>
    <row r="91" spans="1:76" x14ac:dyDescent="0.35">
      <c r="A91" s="22" t="s">
        <v>101</v>
      </c>
      <c r="B91" s="21" t="s">
        <v>208</v>
      </c>
      <c r="C91" s="21" t="s">
        <v>209</v>
      </c>
      <c r="D91" s="10" t="s">
        <v>22</v>
      </c>
      <c r="E91" s="7" t="s">
        <v>182</v>
      </c>
      <c r="F91" s="3" t="s">
        <v>183</v>
      </c>
      <c r="G91" s="3" t="s">
        <v>48</v>
      </c>
      <c r="H91" s="4">
        <v>45778</v>
      </c>
      <c r="I91" s="4">
        <v>46332</v>
      </c>
      <c r="J91" s="3" t="s">
        <v>331</v>
      </c>
      <c r="K91" s="3" t="str">
        <f t="shared" si="28"/>
        <v>Prj000403-Support - L2 CoE Management for Tech Horizontals</v>
      </c>
      <c r="L91" s="21" t="s">
        <v>124</v>
      </c>
      <c r="M91" s="21" t="s">
        <v>5</v>
      </c>
      <c r="N91" s="21" t="s">
        <v>125</v>
      </c>
      <c r="O91" s="21" t="s">
        <v>329</v>
      </c>
      <c r="P91" s="21" t="s">
        <v>107</v>
      </c>
      <c r="Q91" s="21" t="s">
        <v>134</v>
      </c>
      <c r="R91" s="21" t="s">
        <v>134</v>
      </c>
      <c r="S91" s="21" t="s">
        <v>129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332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90" t="s">
        <v>534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/>
      <c r="BX91" s="6"/>
    </row>
    <row r="92" spans="1:76" x14ac:dyDescent="0.35">
      <c r="A92" s="22" t="s">
        <v>101</v>
      </c>
      <c r="B92" s="21" t="s">
        <v>333</v>
      </c>
      <c r="C92" s="21"/>
      <c r="D92" s="10" t="s">
        <v>27</v>
      </c>
      <c r="E92" s="7" t="s">
        <v>216</v>
      </c>
      <c r="F92" s="3" t="s">
        <v>114</v>
      </c>
      <c r="G92" s="3" t="s">
        <v>53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106</v>
      </c>
      <c r="M92" s="21" t="s">
        <v>7</v>
      </c>
      <c r="N92" s="21" t="s">
        <v>7</v>
      </c>
      <c r="O92" s="21"/>
      <c r="P92" s="21" t="s">
        <v>107</v>
      </c>
      <c r="Q92" s="21" t="s">
        <v>134</v>
      </c>
      <c r="R92" s="21" t="s">
        <v>134</v>
      </c>
      <c r="S92" s="21" t="s">
        <v>129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446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90" t="s">
        <v>829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/>
      <c r="BX92" s="6"/>
    </row>
    <row r="93" spans="1:76" x14ac:dyDescent="0.35">
      <c r="A93" s="22" t="s">
        <v>101</v>
      </c>
      <c r="B93" s="21" t="s">
        <v>334</v>
      </c>
      <c r="C93" s="21" t="s">
        <v>335</v>
      </c>
      <c r="D93" s="10" t="s">
        <v>31</v>
      </c>
      <c r="E93" s="7" t="s">
        <v>204</v>
      </c>
      <c r="F93" s="3" t="s">
        <v>205</v>
      </c>
      <c r="G93" s="3" t="s">
        <v>50</v>
      </c>
      <c r="H93" s="4"/>
      <c r="I93" s="4"/>
      <c r="J93" s="3"/>
      <c r="K93" s="3" t="str">
        <f t="shared" si="28"/>
        <v>Prj000469-Support - Prod Support for Ops Apps</v>
      </c>
      <c r="L93" s="21" t="s">
        <v>106</v>
      </c>
      <c r="M93" s="21" t="s">
        <v>7</v>
      </c>
      <c r="N93" s="21" t="s">
        <v>7</v>
      </c>
      <c r="O93" s="21"/>
      <c r="P93" s="21" t="s">
        <v>107</v>
      </c>
      <c r="Q93" s="21" t="s">
        <v>134</v>
      </c>
      <c r="R93" s="21" t="s">
        <v>134</v>
      </c>
      <c r="S93" s="21" t="s">
        <v>202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897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92" t="s">
        <v>896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/>
      <c r="BX93" s="6"/>
    </row>
    <row r="94" spans="1:76" x14ac:dyDescent="0.35">
      <c r="A94" s="22" t="s">
        <v>101</v>
      </c>
      <c r="B94" s="21" t="s">
        <v>67</v>
      </c>
      <c r="C94" s="21"/>
      <c r="D94" s="10" t="s">
        <v>17</v>
      </c>
      <c r="E94" s="7" t="s">
        <v>103</v>
      </c>
      <c r="F94" s="3" t="s">
        <v>104</v>
      </c>
      <c r="G94" s="3" t="s">
        <v>49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106</v>
      </c>
      <c r="M94" s="21" t="s">
        <v>7</v>
      </c>
      <c r="N94" s="21" t="s">
        <v>7</v>
      </c>
      <c r="O94" s="21" t="s">
        <v>329</v>
      </c>
      <c r="P94" s="21" t="s">
        <v>107</v>
      </c>
      <c r="Q94" s="21" t="s">
        <v>134</v>
      </c>
      <c r="R94" s="21" t="s">
        <v>135</v>
      </c>
      <c r="S94" s="21" t="s">
        <v>109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875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90" t="s">
        <v>876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/>
      <c r="BX94" s="6"/>
    </row>
    <row r="95" spans="1:76" x14ac:dyDescent="0.35">
      <c r="A95" s="22" t="s">
        <v>101</v>
      </c>
      <c r="B95" s="21" t="s">
        <v>208</v>
      </c>
      <c r="C95" s="21" t="s">
        <v>209</v>
      </c>
      <c r="D95" s="10" t="s">
        <v>186</v>
      </c>
      <c r="E95" s="7" t="s">
        <v>186</v>
      </c>
      <c r="F95" s="3" t="s">
        <v>336</v>
      </c>
      <c r="G95" s="3" t="s">
        <v>48</v>
      </c>
      <c r="H95" s="4">
        <v>46023</v>
      </c>
      <c r="I95" s="4">
        <v>46203</v>
      </c>
      <c r="J95" s="3" t="s">
        <v>337</v>
      </c>
      <c r="K95" s="3" t="str">
        <f t="shared" si="28"/>
        <v>T&amp;M-T&amp;M</v>
      </c>
      <c r="L95" s="21" t="s">
        <v>124</v>
      </c>
      <c r="M95" s="21" t="s">
        <v>46</v>
      </c>
      <c r="N95" s="21" t="s">
        <v>189</v>
      </c>
      <c r="O95" s="21" t="s">
        <v>186</v>
      </c>
      <c r="P95" s="21" t="s">
        <v>126</v>
      </c>
      <c r="Q95" s="21" t="s">
        <v>127</v>
      </c>
      <c r="R95" s="21" t="s">
        <v>128</v>
      </c>
      <c r="S95" s="21" t="s">
        <v>129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338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92" t="s">
        <v>538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/>
      <c r="BX95" s="6"/>
    </row>
    <row r="96" spans="1:76" x14ac:dyDescent="0.35">
      <c r="A96" s="22" t="s">
        <v>101</v>
      </c>
      <c r="B96" s="21" t="s">
        <v>208</v>
      </c>
      <c r="C96" s="21" t="s">
        <v>209</v>
      </c>
      <c r="D96" s="10" t="s">
        <v>32</v>
      </c>
      <c r="E96" s="7" t="s">
        <v>339</v>
      </c>
      <c r="F96" s="3" t="s">
        <v>211</v>
      </c>
      <c r="G96" s="3" t="s">
        <v>48</v>
      </c>
      <c r="H96" s="4">
        <v>46023</v>
      </c>
      <c r="I96" s="4">
        <v>46203</v>
      </c>
      <c r="J96" s="3" t="s">
        <v>340</v>
      </c>
      <c r="K96" s="3" t="str">
        <f t="shared" si="28"/>
        <v>Prj000472-Implement - Build Pipes from CORE Systems to IVP</v>
      </c>
      <c r="L96" s="21" t="s">
        <v>124</v>
      </c>
      <c r="M96" s="21" t="s">
        <v>2</v>
      </c>
      <c r="N96" s="21" t="s">
        <v>341</v>
      </c>
      <c r="O96" s="21"/>
      <c r="P96" s="21" t="s">
        <v>107</v>
      </c>
      <c r="Q96" s="21" t="s">
        <v>134</v>
      </c>
      <c r="R96" s="21" t="s">
        <v>128</v>
      </c>
      <c r="S96" s="21" t="s">
        <v>129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447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90" t="s">
        <v>534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/>
      <c r="BW96" s="6"/>
      <c r="BX96" s="6"/>
    </row>
    <row r="97" spans="1:76" x14ac:dyDescent="0.35">
      <c r="A97" s="22" t="s">
        <v>101</v>
      </c>
      <c r="B97" s="21" t="s">
        <v>79</v>
      </c>
      <c r="C97" s="21" t="s">
        <v>131</v>
      </c>
      <c r="D97" s="10" t="s">
        <v>17</v>
      </c>
      <c r="E97" s="7" t="s">
        <v>103</v>
      </c>
      <c r="F97" s="3" t="s">
        <v>104</v>
      </c>
      <c r="G97" s="3" t="s">
        <v>49</v>
      </c>
      <c r="H97" s="4" t="s">
        <v>115</v>
      </c>
      <c r="I97" s="4" t="s">
        <v>115</v>
      </c>
      <c r="J97" s="3"/>
      <c r="K97" s="3" t="str">
        <f t="shared" si="28"/>
        <v>Prj000350-Support - Infrastructure for Tech</v>
      </c>
      <c r="L97" s="21" t="s">
        <v>106</v>
      </c>
      <c r="M97" s="21" t="s">
        <v>7</v>
      </c>
      <c r="N97" s="21" t="s">
        <v>7</v>
      </c>
      <c r="O97" s="21" t="s">
        <v>2</v>
      </c>
      <c r="P97" s="21" t="s">
        <v>107</v>
      </c>
      <c r="Q97" s="21" t="s">
        <v>201</v>
      </c>
      <c r="R97" s="21" t="s">
        <v>201</v>
      </c>
      <c r="S97" s="21" t="s">
        <v>132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90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/>
      <c r="BX97" s="6"/>
    </row>
    <row r="98" spans="1:76" x14ac:dyDescent="0.35">
      <c r="A98" s="22" t="s">
        <v>101</v>
      </c>
      <c r="B98" s="21" t="s">
        <v>342</v>
      </c>
      <c r="C98" s="21" t="s">
        <v>343</v>
      </c>
      <c r="D98" s="10" t="s">
        <v>186</v>
      </c>
      <c r="E98" s="7" t="s">
        <v>186</v>
      </c>
      <c r="F98" s="3" t="s">
        <v>336</v>
      </c>
      <c r="G98" s="3" t="s">
        <v>48</v>
      </c>
      <c r="H98" s="4">
        <v>46023</v>
      </c>
      <c r="I98" s="4">
        <v>46203</v>
      </c>
      <c r="J98" s="3" t="s">
        <v>186</v>
      </c>
      <c r="K98" s="3" t="str">
        <f t="shared" si="28"/>
        <v>T&amp;M-T&amp;M</v>
      </c>
      <c r="L98" s="21" t="s">
        <v>124</v>
      </c>
      <c r="M98" s="21" t="s">
        <v>46</v>
      </c>
      <c r="N98" s="21" t="s">
        <v>344</v>
      </c>
      <c r="O98" s="21" t="s">
        <v>186</v>
      </c>
      <c r="P98" s="21" t="s">
        <v>345</v>
      </c>
      <c r="Q98" s="21" t="s">
        <v>346</v>
      </c>
      <c r="R98" s="21" t="s">
        <v>143</v>
      </c>
      <c r="S98" s="21" t="s">
        <v>129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423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92" t="s">
        <v>541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/>
      <c r="BX98" s="6"/>
    </row>
    <row r="99" spans="1:76" x14ac:dyDescent="0.35">
      <c r="A99" s="22" t="s">
        <v>101</v>
      </c>
      <c r="B99" s="21" t="s">
        <v>347</v>
      </c>
      <c r="C99" s="21"/>
      <c r="D99" s="10" t="s">
        <v>27</v>
      </c>
      <c r="E99" s="7" t="s">
        <v>216</v>
      </c>
      <c r="F99" s="3" t="s">
        <v>114</v>
      </c>
      <c r="G99" s="3" t="s">
        <v>53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106</v>
      </c>
      <c r="M99" s="21" t="s">
        <v>7</v>
      </c>
      <c r="N99" s="21" t="s">
        <v>7</v>
      </c>
      <c r="O99" s="21" t="s">
        <v>2</v>
      </c>
      <c r="P99" s="21" t="s">
        <v>107</v>
      </c>
      <c r="Q99" s="21" t="s">
        <v>108</v>
      </c>
      <c r="R99" s="21" t="s">
        <v>143</v>
      </c>
      <c r="S99" s="21" t="s">
        <v>109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422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90" t="s">
        <v>534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/>
      <c r="BX99" s="6"/>
    </row>
    <row r="100" spans="1:76" x14ac:dyDescent="0.35">
      <c r="A100" s="22" t="s">
        <v>348</v>
      </c>
      <c r="B100" s="21" t="s">
        <v>349</v>
      </c>
      <c r="C100" s="21"/>
      <c r="D100" s="3" t="s">
        <v>421</v>
      </c>
      <c r="E100" s="3" t="s">
        <v>421</v>
      </c>
      <c r="F100" s="3" t="s">
        <v>421</v>
      </c>
      <c r="G100" s="3" t="s">
        <v>421</v>
      </c>
      <c r="H100" s="4"/>
      <c r="I100" s="4"/>
      <c r="J100" s="3"/>
      <c r="K100" s="3" t="str">
        <f t="shared" si="28"/>
        <v>N/A-N/A</v>
      </c>
      <c r="L100" s="21" t="s">
        <v>348</v>
      </c>
      <c r="M100" s="21" t="s">
        <v>348</v>
      </c>
      <c r="N100" s="21" t="s">
        <v>350</v>
      </c>
      <c r="O100" s="21" t="s">
        <v>351</v>
      </c>
      <c r="P100" s="21" t="s">
        <v>345</v>
      </c>
      <c r="Q100" s="21" t="s">
        <v>346</v>
      </c>
      <c r="R100" s="21" t="s">
        <v>143</v>
      </c>
      <c r="S100" s="21" t="s">
        <v>348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352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90" t="s">
        <v>883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/>
      <c r="BX100" s="6"/>
    </row>
    <row r="101" spans="1:76" x14ac:dyDescent="0.35">
      <c r="A101" s="32" t="s">
        <v>375</v>
      </c>
      <c r="B101" s="32" t="s">
        <v>420</v>
      </c>
      <c r="C101" s="39"/>
      <c r="D101" s="32" t="s">
        <v>375</v>
      </c>
      <c r="E101" s="34" t="s">
        <v>421</v>
      </c>
      <c r="F101" s="34" t="s">
        <v>421</v>
      </c>
      <c r="G101" s="34" t="s">
        <v>421</v>
      </c>
      <c r="H101" s="34" t="s">
        <v>421</v>
      </c>
      <c r="I101" s="34" t="s">
        <v>421</v>
      </c>
      <c r="J101" s="34" t="s">
        <v>421</v>
      </c>
      <c r="K101" s="35" t="str">
        <f t="shared" si="28"/>
        <v>Amortization-N/A</v>
      </c>
      <c r="L101" s="33" t="s">
        <v>375</v>
      </c>
      <c r="M101" s="33" t="s">
        <v>6</v>
      </c>
      <c r="N101" s="33" t="s">
        <v>6</v>
      </c>
      <c r="O101" s="33" t="s">
        <v>375</v>
      </c>
      <c r="P101" s="33" t="s">
        <v>107</v>
      </c>
      <c r="Q101" s="33" t="s">
        <v>376</v>
      </c>
      <c r="R101" s="33" t="s">
        <v>377</v>
      </c>
      <c r="S101" s="22" t="s">
        <v>375</v>
      </c>
      <c r="T101" s="36">
        <v>534786</v>
      </c>
      <c r="U101" s="37"/>
      <c r="V101" s="37">
        <v>1244018</v>
      </c>
      <c r="W101" s="15">
        <f t="shared" si="29"/>
        <v>1441946.6100000003</v>
      </c>
      <c r="X101" s="15">
        <f t="shared" si="33"/>
        <v>0</v>
      </c>
      <c r="Y101" s="15">
        <f t="shared" si="30"/>
        <v>197928.61000000034</v>
      </c>
      <c r="Z101" s="37">
        <f>SUM(Financials20263[[#This Row],[2026 Opportunity]:[2026 Risk]])</f>
        <v>197928.61000000034</v>
      </c>
      <c r="AA101" s="41" t="s">
        <v>920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5" t="s">
        <v>881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/>
      <c r="BX101" s="6"/>
    </row>
    <row r="102" spans="1:76" x14ac:dyDescent="0.35">
      <c r="A102" s="22" t="s">
        <v>101</v>
      </c>
      <c r="B102" s="21" t="s">
        <v>353</v>
      </c>
      <c r="C102" s="21"/>
      <c r="D102" s="10" t="s">
        <v>20</v>
      </c>
      <c r="E102" s="7" t="s">
        <v>160</v>
      </c>
      <c r="F102" s="3" t="s">
        <v>161</v>
      </c>
      <c r="G102" s="3" t="s">
        <v>50</v>
      </c>
      <c r="H102" s="4">
        <v>46048</v>
      </c>
      <c r="I102" s="4">
        <v>46412</v>
      </c>
      <c r="J102" s="3" t="s">
        <v>354</v>
      </c>
      <c r="K102" s="3" t="str">
        <f t="shared" si="28"/>
        <v>Prj000381-Support - Prod Support for Credit Apps</v>
      </c>
      <c r="L102" s="21" t="s">
        <v>106</v>
      </c>
      <c r="M102" s="21" t="s">
        <v>7</v>
      </c>
      <c r="N102" s="21" t="s">
        <v>7</v>
      </c>
      <c r="O102" s="21"/>
      <c r="P102" s="21" t="s">
        <v>107</v>
      </c>
      <c r="Q102" s="21" t="s">
        <v>108</v>
      </c>
      <c r="R102" s="21" t="s">
        <v>143</v>
      </c>
      <c r="S102" s="21" t="s">
        <v>109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355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90" t="s">
        <v>534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/>
      <c r="BX102" s="6"/>
    </row>
    <row r="103" spans="1:76" x14ac:dyDescent="0.35">
      <c r="A103" s="22" t="s">
        <v>101</v>
      </c>
      <c r="B103" s="21" t="s">
        <v>58</v>
      </c>
      <c r="C103" s="21" t="s">
        <v>356</v>
      </c>
      <c r="D103" s="10" t="s">
        <v>17</v>
      </c>
      <c r="E103" s="7" t="s">
        <v>103</v>
      </c>
      <c r="F103" s="3" t="s">
        <v>104</v>
      </c>
      <c r="G103" s="3" t="s">
        <v>49</v>
      </c>
      <c r="H103" s="4" t="s">
        <v>142</v>
      </c>
      <c r="I103" s="4" t="s">
        <v>142</v>
      </c>
      <c r="J103" s="3"/>
      <c r="K103" s="3" t="str">
        <f t="shared" si="28"/>
        <v>Prj000350-Support - Infrastructure for Tech</v>
      </c>
      <c r="L103" s="21" t="s">
        <v>106</v>
      </c>
      <c r="M103" s="21" t="s">
        <v>4</v>
      </c>
      <c r="N103" s="21" t="s">
        <v>4</v>
      </c>
      <c r="O103" s="21" t="s">
        <v>357</v>
      </c>
      <c r="P103" s="21" t="s">
        <v>107</v>
      </c>
      <c r="Q103" s="21" t="s">
        <v>146</v>
      </c>
      <c r="R103" s="21" t="s">
        <v>146</v>
      </c>
      <c r="S103" s="21" t="s">
        <v>129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554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91" t="s">
        <v>830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6"/>
      <c r="BX103" s="6"/>
    </row>
    <row r="104" spans="1:76" x14ac:dyDescent="0.35">
      <c r="A104" s="22" t="s">
        <v>101</v>
      </c>
      <c r="B104" s="21" t="s">
        <v>59</v>
      </c>
      <c r="C104" s="21"/>
      <c r="D104" s="10" t="s">
        <v>17</v>
      </c>
      <c r="E104" s="7" t="s">
        <v>103</v>
      </c>
      <c r="F104" s="3" t="s">
        <v>104</v>
      </c>
      <c r="G104" s="3" t="s">
        <v>49</v>
      </c>
      <c r="H104" s="4" t="s">
        <v>142</v>
      </c>
      <c r="I104" s="4" t="s">
        <v>142</v>
      </c>
      <c r="J104" s="3"/>
      <c r="K104" s="3" t="str">
        <f t="shared" si="28"/>
        <v>Prj000350-Support - Infrastructure for Tech</v>
      </c>
      <c r="L104" s="21" t="s">
        <v>106</v>
      </c>
      <c r="M104" s="21" t="s">
        <v>4</v>
      </c>
      <c r="N104" s="21" t="s">
        <v>4</v>
      </c>
      <c r="O104" s="21"/>
      <c r="P104" s="21" t="s">
        <v>107</v>
      </c>
      <c r="Q104" s="21" t="s">
        <v>146</v>
      </c>
      <c r="R104" s="21" t="s">
        <v>146</v>
      </c>
      <c r="S104" s="21" t="s">
        <v>129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32">
        <v>372</v>
      </c>
      <c r="AU104" s="13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90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6"/>
      <c r="BX104" s="6"/>
    </row>
    <row r="105" spans="1:76" x14ac:dyDescent="0.35">
      <c r="A105" s="22" t="s">
        <v>101</v>
      </c>
      <c r="B105" s="21" t="s">
        <v>62</v>
      </c>
      <c r="C105" s="21"/>
      <c r="D105" s="10" t="s">
        <v>17</v>
      </c>
      <c r="E105" s="7" t="s">
        <v>103</v>
      </c>
      <c r="F105" s="3" t="s">
        <v>104</v>
      </c>
      <c r="G105" s="3" t="s">
        <v>49</v>
      </c>
      <c r="H105" s="4" t="s">
        <v>142</v>
      </c>
      <c r="I105" s="4" t="s">
        <v>142</v>
      </c>
      <c r="J105" s="3"/>
      <c r="K105" s="3" t="str">
        <f t="shared" si="28"/>
        <v>Prj000350-Support - Infrastructure for Tech</v>
      </c>
      <c r="L105" s="21" t="s">
        <v>106</v>
      </c>
      <c r="M105" s="21" t="s">
        <v>4</v>
      </c>
      <c r="N105" s="21" t="s">
        <v>4</v>
      </c>
      <c r="O105" s="21" t="s">
        <v>148</v>
      </c>
      <c r="P105" s="21" t="s">
        <v>107</v>
      </c>
      <c r="Q105" s="21" t="s">
        <v>146</v>
      </c>
      <c r="R105" s="21" t="s">
        <v>146</v>
      </c>
      <c r="S105" s="21" t="s">
        <v>129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550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32">
        <v>628.64919999999995</v>
      </c>
      <c r="AU105" s="13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90" t="s">
        <v>534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6"/>
      <c r="BX105" s="6"/>
    </row>
    <row r="106" spans="1:76" x14ac:dyDescent="0.35">
      <c r="A106" s="22" t="s">
        <v>157</v>
      </c>
      <c r="B106" s="21" t="s">
        <v>358</v>
      </c>
      <c r="C106" s="21"/>
      <c r="D106" s="10" t="s">
        <v>11</v>
      </c>
      <c r="E106" s="7" t="s">
        <v>113</v>
      </c>
      <c r="F106" s="3" t="s">
        <v>114</v>
      </c>
      <c r="G106" s="3" t="s">
        <v>53</v>
      </c>
      <c r="H106" s="4" t="s">
        <v>115</v>
      </c>
      <c r="I106" s="4" t="s">
        <v>115</v>
      </c>
      <c r="J106" s="3"/>
      <c r="K106" s="3" t="str">
        <f t="shared" si="28"/>
        <v>Prj000266-Support - Internal Tech Workforce Activities</v>
      </c>
      <c r="L106" s="21" t="s">
        <v>106</v>
      </c>
      <c r="M106" s="21" t="s">
        <v>4</v>
      </c>
      <c r="N106" s="21" t="s">
        <v>4</v>
      </c>
      <c r="O106" s="21"/>
      <c r="P106" s="21" t="s">
        <v>151</v>
      </c>
      <c r="Q106" s="21" t="s">
        <v>152</v>
      </c>
      <c r="R106" s="21" t="s">
        <v>359</v>
      </c>
      <c r="S106" s="21" t="s">
        <v>132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120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90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6"/>
      <c r="BX106" s="6"/>
    </row>
    <row r="107" spans="1:76" x14ac:dyDescent="0.35">
      <c r="A107" s="22" t="s">
        <v>111</v>
      </c>
      <c r="B107" s="21" t="s">
        <v>360</v>
      </c>
      <c r="C107" s="21"/>
      <c r="D107" s="10" t="s">
        <v>11</v>
      </c>
      <c r="E107" s="7" t="s">
        <v>113</v>
      </c>
      <c r="F107" s="3" t="s">
        <v>114</v>
      </c>
      <c r="G107" s="3" t="s">
        <v>53</v>
      </c>
      <c r="H107" s="4" t="s">
        <v>115</v>
      </c>
      <c r="I107" s="4" t="s">
        <v>115</v>
      </c>
      <c r="J107" s="3"/>
      <c r="K107" s="3" t="str">
        <f t="shared" si="28"/>
        <v>Prj000266-Support - Internal Tech Workforce Activities</v>
      </c>
      <c r="L107" s="21" t="s">
        <v>106</v>
      </c>
      <c r="M107" s="21" t="s">
        <v>4</v>
      </c>
      <c r="N107" s="21" t="s">
        <v>4</v>
      </c>
      <c r="O107" s="21"/>
      <c r="P107" s="21" t="s">
        <v>151</v>
      </c>
      <c r="Q107" s="21" t="s">
        <v>152</v>
      </c>
      <c r="R107" s="21" t="s">
        <v>361</v>
      </c>
      <c r="S107" s="21" t="s">
        <v>119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894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90" t="s">
        <v>825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6"/>
      <c r="BX107" s="6"/>
    </row>
    <row r="108" spans="1:76" x14ac:dyDescent="0.35">
      <c r="A108" s="22" t="s">
        <v>101</v>
      </c>
      <c r="B108" s="21" t="s">
        <v>362</v>
      </c>
      <c r="C108" s="21"/>
      <c r="D108" s="10" t="s">
        <v>31</v>
      </c>
      <c r="E108" s="7" t="s">
        <v>204</v>
      </c>
      <c r="F108" s="3" t="s">
        <v>205</v>
      </c>
      <c r="G108" s="3" t="s">
        <v>50</v>
      </c>
      <c r="H108" s="4">
        <v>46023</v>
      </c>
      <c r="I108" s="4">
        <v>46387</v>
      </c>
      <c r="J108" s="3" t="s">
        <v>363</v>
      </c>
      <c r="K108" s="3" t="str">
        <f t="shared" si="28"/>
        <v>Prj000469-Support - Prod Support for Ops Apps</v>
      </c>
      <c r="L108" s="21" t="s">
        <v>106</v>
      </c>
      <c r="M108" s="21" t="s">
        <v>6</v>
      </c>
      <c r="N108" s="21" t="s">
        <v>6</v>
      </c>
      <c r="O108" s="21" t="s">
        <v>364</v>
      </c>
      <c r="P108" s="21" t="s">
        <v>151</v>
      </c>
      <c r="Q108" s="21" t="s">
        <v>152</v>
      </c>
      <c r="R108" s="21" t="s">
        <v>365</v>
      </c>
      <c r="S108" s="21" t="s">
        <v>132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366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90" t="s">
        <v>534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/>
      <c r="BX108" s="6"/>
    </row>
    <row r="109" spans="1:76" x14ac:dyDescent="0.35">
      <c r="A109" s="22" t="s">
        <v>101</v>
      </c>
      <c r="B109" s="21" t="s">
        <v>69</v>
      </c>
      <c r="C109" s="21"/>
      <c r="D109" s="10" t="s">
        <v>17</v>
      </c>
      <c r="E109" s="7" t="s">
        <v>103</v>
      </c>
      <c r="F109" s="3" t="s">
        <v>104</v>
      </c>
      <c r="G109" s="3" t="s">
        <v>49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106</v>
      </c>
      <c r="M109" s="21" t="s">
        <v>4</v>
      </c>
      <c r="N109" s="21" t="s">
        <v>4</v>
      </c>
      <c r="O109" s="21"/>
      <c r="P109" s="21" t="s">
        <v>151</v>
      </c>
      <c r="Q109" s="21" t="s">
        <v>152</v>
      </c>
      <c r="R109" s="21" t="s">
        <v>365</v>
      </c>
      <c r="S109" s="21" t="s">
        <v>132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120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90" t="s">
        <v>534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6"/>
      <c r="BX109" s="6"/>
    </row>
    <row r="110" spans="1:76" x14ac:dyDescent="0.35">
      <c r="A110" s="22" t="s">
        <v>157</v>
      </c>
      <c r="B110" s="21" t="s">
        <v>61</v>
      </c>
      <c r="C110" s="21"/>
      <c r="D110" s="10" t="s">
        <v>17</v>
      </c>
      <c r="E110" s="7" t="s">
        <v>103</v>
      </c>
      <c r="F110" s="3" t="s">
        <v>104</v>
      </c>
      <c r="G110" s="3" t="s">
        <v>49</v>
      </c>
      <c r="H110" s="4" t="s">
        <v>115</v>
      </c>
      <c r="I110" s="4" t="s">
        <v>115</v>
      </c>
      <c r="J110" s="3"/>
      <c r="K110" s="3" t="str">
        <f t="shared" si="28"/>
        <v>Prj000350-Support - Infrastructure for Tech</v>
      </c>
      <c r="L110" s="21" t="s">
        <v>106</v>
      </c>
      <c r="M110" s="21" t="s">
        <v>4</v>
      </c>
      <c r="N110" s="21" t="s">
        <v>4</v>
      </c>
      <c r="O110" s="21" t="s">
        <v>367</v>
      </c>
      <c r="P110" s="21" t="s">
        <v>151</v>
      </c>
      <c r="Q110" s="21" t="s">
        <v>152</v>
      </c>
      <c r="R110" s="21" t="s">
        <v>153</v>
      </c>
      <c r="S110" s="21" t="s">
        <v>129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555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555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6"/>
      <c r="BX110" s="6"/>
    </row>
    <row r="111" spans="1:76" x14ac:dyDescent="0.35">
      <c r="A111" s="22" t="s">
        <v>157</v>
      </c>
      <c r="B111" s="21" t="s">
        <v>64</v>
      </c>
      <c r="C111" s="21"/>
      <c r="D111" s="10" t="s">
        <v>17</v>
      </c>
      <c r="E111" s="7" t="s">
        <v>103</v>
      </c>
      <c r="F111" s="3" t="s">
        <v>104</v>
      </c>
      <c r="G111" s="3" t="s">
        <v>49</v>
      </c>
      <c r="H111" s="4" t="s">
        <v>142</v>
      </c>
      <c r="I111" s="4" t="s">
        <v>142</v>
      </c>
      <c r="J111" s="3"/>
      <c r="K111" s="3" t="str">
        <f t="shared" si="28"/>
        <v>Prj000350-Support - Infrastructure for Tech</v>
      </c>
      <c r="L111" s="21" t="s">
        <v>106</v>
      </c>
      <c r="M111" s="21" t="s">
        <v>4</v>
      </c>
      <c r="N111" s="21" t="s">
        <v>4</v>
      </c>
      <c r="O111" s="21"/>
      <c r="P111" s="21" t="s">
        <v>151</v>
      </c>
      <c r="Q111" s="21" t="s">
        <v>152</v>
      </c>
      <c r="R111" s="21" t="s">
        <v>153</v>
      </c>
      <c r="S111" s="21" t="s">
        <v>129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120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90" t="s">
        <v>534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6"/>
      <c r="BX111" s="6"/>
    </row>
    <row r="112" spans="1:76" x14ac:dyDescent="0.35">
      <c r="A112" s="22" t="s">
        <v>157</v>
      </c>
      <c r="B112" s="21" t="s">
        <v>66</v>
      </c>
      <c r="C112" s="21"/>
      <c r="D112" s="10" t="s">
        <v>17</v>
      </c>
      <c r="E112" s="7" t="s">
        <v>103</v>
      </c>
      <c r="F112" s="3" t="s">
        <v>104</v>
      </c>
      <c r="G112" s="3" t="s">
        <v>49</v>
      </c>
      <c r="H112" s="4" t="s">
        <v>142</v>
      </c>
      <c r="I112" s="4" t="s">
        <v>142</v>
      </c>
      <c r="J112" s="3"/>
      <c r="K112" s="3" t="str">
        <f t="shared" si="28"/>
        <v>Prj000350-Support - Infrastructure for Tech</v>
      </c>
      <c r="L112" s="21" t="s">
        <v>106</v>
      </c>
      <c r="M112" s="21" t="s">
        <v>4</v>
      </c>
      <c r="N112" s="21" t="s">
        <v>4</v>
      </c>
      <c r="O112" s="21"/>
      <c r="P112" s="21" t="s">
        <v>151</v>
      </c>
      <c r="Q112" s="21" t="s">
        <v>152</v>
      </c>
      <c r="R112" s="21" t="s">
        <v>153</v>
      </c>
      <c r="S112" s="21" t="s">
        <v>129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90" t="s">
        <v>534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6"/>
      <c r="BX112" s="6"/>
    </row>
    <row r="113" spans="1:76" x14ac:dyDescent="0.35">
      <c r="A113" s="22" t="s">
        <v>157</v>
      </c>
      <c r="B113" s="21" t="s">
        <v>71</v>
      </c>
      <c r="C113" s="21"/>
      <c r="D113" s="10" t="s">
        <v>17</v>
      </c>
      <c r="E113" s="7" t="s">
        <v>103</v>
      </c>
      <c r="F113" s="3" t="s">
        <v>104</v>
      </c>
      <c r="G113" s="3" t="s">
        <v>49</v>
      </c>
      <c r="H113" s="4" t="s">
        <v>142</v>
      </c>
      <c r="I113" s="4" t="s">
        <v>142</v>
      </c>
      <c r="J113" s="3"/>
      <c r="K113" s="3" t="str">
        <f t="shared" si="28"/>
        <v>Prj000350-Support - Infrastructure for Tech</v>
      </c>
      <c r="L113" s="21" t="s">
        <v>106</v>
      </c>
      <c r="M113" s="21" t="s">
        <v>4</v>
      </c>
      <c r="N113" s="21" t="s">
        <v>4</v>
      </c>
      <c r="O113" s="21"/>
      <c r="P113" s="21" t="s">
        <v>151</v>
      </c>
      <c r="Q113" s="21" t="s">
        <v>152</v>
      </c>
      <c r="R113" s="21" t="s">
        <v>153</v>
      </c>
      <c r="S113" s="21" t="s">
        <v>129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91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6"/>
      <c r="BX113" s="6"/>
    </row>
    <row r="114" spans="1:76" x14ac:dyDescent="0.35">
      <c r="A114" s="22" t="s">
        <v>101</v>
      </c>
      <c r="B114" s="21" t="s">
        <v>368</v>
      </c>
      <c r="C114" s="21"/>
      <c r="D114" s="10" t="s">
        <v>31</v>
      </c>
      <c r="E114" s="7" t="s">
        <v>204</v>
      </c>
      <c r="F114" s="3" t="s">
        <v>205</v>
      </c>
      <c r="G114" s="3" t="s">
        <v>50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106</v>
      </c>
      <c r="M114" s="21" t="s">
        <v>6</v>
      </c>
      <c r="N114" s="21" t="s">
        <v>6</v>
      </c>
      <c r="O114" s="21" t="s">
        <v>162</v>
      </c>
      <c r="P114" s="21" t="s">
        <v>163</v>
      </c>
      <c r="Q114" s="21" t="s">
        <v>163</v>
      </c>
      <c r="R114" s="21" t="s">
        <v>164</v>
      </c>
      <c r="S114" s="21" t="s">
        <v>132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369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90" t="s">
        <v>534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/>
      <c r="BX114" s="6"/>
    </row>
    <row r="115" spans="1:76" x14ac:dyDescent="0.35">
      <c r="A115" s="22" t="s">
        <v>101</v>
      </c>
      <c r="B115" s="21" t="s">
        <v>370</v>
      </c>
      <c r="C115" s="21"/>
      <c r="D115" s="10" t="s">
        <v>13</v>
      </c>
      <c r="E115" s="7" t="s">
        <v>140</v>
      </c>
      <c r="F115" s="3" t="s">
        <v>141</v>
      </c>
      <c r="G115" s="3" t="s">
        <v>52</v>
      </c>
      <c r="H115" s="4"/>
      <c r="I115" s="4"/>
      <c r="J115" s="3"/>
      <c r="K115" s="3" t="str">
        <f t="shared" si="28"/>
        <v>Prj000290-Support - Asset Management Applications</v>
      </c>
      <c r="L115" s="21" t="s">
        <v>106</v>
      </c>
      <c r="M115" s="21" t="s">
        <v>6</v>
      </c>
      <c r="N115" s="21" t="s">
        <v>6</v>
      </c>
      <c r="O115" s="21"/>
      <c r="P115" s="21" t="s">
        <v>163</v>
      </c>
      <c r="Q115" s="21" t="s">
        <v>163</v>
      </c>
      <c r="R115" s="21" t="s">
        <v>164</v>
      </c>
      <c r="S115" s="21" t="s">
        <v>132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120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90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/>
      <c r="BX115" s="6"/>
    </row>
    <row r="116" spans="1:76" x14ac:dyDescent="0.35">
      <c r="A116" s="22" t="s">
        <v>101</v>
      </c>
      <c r="B116" s="21" t="s">
        <v>371</v>
      </c>
      <c r="C116" s="21" t="s">
        <v>372</v>
      </c>
      <c r="D116" s="10" t="s">
        <v>31</v>
      </c>
      <c r="E116" s="7" t="s">
        <v>204</v>
      </c>
      <c r="F116" s="3" t="s">
        <v>205</v>
      </c>
      <c r="G116" s="3" t="s">
        <v>50</v>
      </c>
      <c r="H116" s="4"/>
      <c r="I116" s="4"/>
      <c r="J116" s="3"/>
      <c r="K116" s="3" t="str">
        <f t="shared" si="28"/>
        <v>Prj000469-Support - Prod Support for Ops Apps</v>
      </c>
      <c r="L116" s="21" t="s">
        <v>106</v>
      </c>
      <c r="M116" s="21" t="s">
        <v>6</v>
      </c>
      <c r="N116" s="21" t="s">
        <v>6</v>
      </c>
      <c r="O116" s="21" t="s">
        <v>373</v>
      </c>
      <c r="P116" s="21" t="s">
        <v>163</v>
      </c>
      <c r="Q116" s="21" t="s">
        <v>163</v>
      </c>
      <c r="R116" s="21" t="s">
        <v>164</v>
      </c>
      <c r="S116" s="21" t="s">
        <v>154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120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90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/>
      <c r="BX116" s="6"/>
    </row>
    <row r="117" spans="1:76" x14ac:dyDescent="0.35">
      <c r="A117" s="22" t="s">
        <v>101</v>
      </c>
      <c r="B117" s="21" t="s">
        <v>374</v>
      </c>
      <c r="C117" s="21"/>
      <c r="D117" s="10" t="s">
        <v>31</v>
      </c>
      <c r="E117" s="7" t="s">
        <v>204</v>
      </c>
      <c r="F117" s="3" t="s">
        <v>205</v>
      </c>
      <c r="G117" s="3" t="s">
        <v>50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106</v>
      </c>
      <c r="M117" s="21" t="s">
        <v>6</v>
      </c>
      <c r="N117" s="21" t="s">
        <v>6</v>
      </c>
      <c r="O117" s="21"/>
      <c r="P117" s="21" t="s">
        <v>163</v>
      </c>
      <c r="Q117" s="21" t="s">
        <v>163</v>
      </c>
      <c r="R117" s="21" t="s">
        <v>164</v>
      </c>
      <c r="S117" s="21" t="s">
        <v>132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120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90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/>
      <c r="BX117" s="6"/>
    </row>
    <row r="118" spans="1:76" x14ac:dyDescent="0.35">
      <c r="A118" s="22" t="s">
        <v>157</v>
      </c>
      <c r="B118" s="21" t="s">
        <v>57</v>
      </c>
      <c r="C118" s="21"/>
      <c r="D118" s="10" t="s">
        <v>17</v>
      </c>
      <c r="E118" s="7" t="s">
        <v>103</v>
      </c>
      <c r="F118" s="3" t="s">
        <v>104</v>
      </c>
      <c r="G118" s="3" t="s">
        <v>49</v>
      </c>
      <c r="H118" s="4" t="s">
        <v>115</v>
      </c>
      <c r="I118" s="4" t="s">
        <v>115</v>
      </c>
      <c r="J118" s="3"/>
      <c r="K118" s="3" t="str">
        <f t="shared" si="28"/>
        <v>Prj000350-Support - Infrastructure for Tech</v>
      </c>
      <c r="L118" s="21" t="s">
        <v>106</v>
      </c>
      <c r="M118" s="21" t="s">
        <v>3</v>
      </c>
      <c r="N118" s="21" t="s">
        <v>3</v>
      </c>
      <c r="O118" s="21"/>
      <c r="P118" s="21" t="s">
        <v>107</v>
      </c>
      <c r="Q118" s="21" t="s">
        <v>378</v>
      </c>
      <c r="R118" s="21" t="s">
        <v>378</v>
      </c>
      <c r="S118" s="21" t="s">
        <v>129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90" t="s">
        <v>831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6"/>
      <c r="BX118" s="6"/>
    </row>
    <row r="119" spans="1:76" x14ac:dyDescent="0.35">
      <c r="A119" s="22" t="s">
        <v>101</v>
      </c>
      <c r="B119" s="21" t="s">
        <v>70</v>
      </c>
      <c r="C119" s="21" t="s">
        <v>288</v>
      </c>
      <c r="D119" s="10" t="s">
        <v>17</v>
      </c>
      <c r="E119" s="7" t="s">
        <v>103</v>
      </c>
      <c r="F119" s="3" t="s">
        <v>104</v>
      </c>
      <c r="G119" s="3" t="s">
        <v>49</v>
      </c>
      <c r="H119" s="4">
        <v>46052</v>
      </c>
      <c r="I119" s="4">
        <v>46416</v>
      </c>
      <c r="J119" s="3" t="s">
        <v>379</v>
      </c>
      <c r="K119" s="3" t="str">
        <f t="shared" si="28"/>
        <v>Prj000350-Support - Infrastructure for Tech</v>
      </c>
      <c r="L119" s="21" t="s">
        <v>106</v>
      </c>
      <c r="M119" s="21" t="s">
        <v>3</v>
      </c>
      <c r="N119" s="21" t="s">
        <v>3</v>
      </c>
      <c r="O119" s="21"/>
      <c r="P119" s="21" t="s">
        <v>107</v>
      </c>
      <c r="Q119" s="21" t="s">
        <v>378</v>
      </c>
      <c r="R119" s="21" t="s">
        <v>378</v>
      </c>
      <c r="S119" s="21" t="s">
        <v>132</v>
      </c>
      <c r="T119" s="5">
        <v>0</v>
      </c>
      <c r="U119" s="15">
        <v>0</v>
      </c>
      <c r="V119" s="15">
        <v>0</v>
      </c>
      <c r="W119" s="15">
        <f t="shared" si="29"/>
        <v>20698.550000000003</v>
      </c>
      <c r="X119" s="15">
        <f t="shared" si="33"/>
        <v>0</v>
      </c>
      <c r="Y119" s="15">
        <f t="shared" si="30"/>
        <v>20698.550000000003</v>
      </c>
      <c r="Z119" s="15">
        <f>SUM(Financials20263[[#This Row],[2026 Opportunity]:[2026 Risk]])</f>
        <v>20698.550000000003</v>
      </c>
      <c r="AA119" s="3" t="s">
        <v>921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52"/>
      <c r="AN119" s="52">
        <f>SUM(Financials20263[[#This Row],[Jan FC]:[Dec FC]])</f>
        <v>0</v>
      </c>
      <c r="AO119" s="15">
        <f t="shared" si="31"/>
        <v>0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0</v>
      </c>
      <c r="BO119" s="71">
        <f>SUM(Financials20263[[#This Row],[Jan Opp/Risk]:[Dec Opp./Risk]])</f>
        <v>28463.33</v>
      </c>
      <c r="BP119" s="90" t="s">
        <v>922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0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20698.550000000003</v>
      </c>
      <c r="BV119" s="6"/>
      <c r="BW119" s="6"/>
      <c r="BX119" s="6"/>
    </row>
    <row r="120" spans="1:76" x14ac:dyDescent="0.35">
      <c r="A120" s="22" t="s">
        <v>101</v>
      </c>
      <c r="B120" s="21" t="s">
        <v>70</v>
      </c>
      <c r="C120" s="21" t="s">
        <v>288</v>
      </c>
      <c r="D120" s="10" t="s">
        <v>17</v>
      </c>
      <c r="E120" s="7" t="s">
        <v>103</v>
      </c>
      <c r="F120" s="3" t="s">
        <v>104</v>
      </c>
      <c r="G120" s="3" t="s">
        <v>49</v>
      </c>
      <c r="H120" s="1" t="s">
        <v>142</v>
      </c>
      <c r="I120" s="1" t="s">
        <v>142</v>
      </c>
      <c r="J120" s="3" t="s">
        <v>380</v>
      </c>
      <c r="K120" s="3" t="str">
        <f t="shared" si="28"/>
        <v>Prj000350-Support - Infrastructure for Tech</v>
      </c>
      <c r="L120" s="21" t="s">
        <v>106</v>
      </c>
      <c r="M120" s="21" t="s">
        <v>4</v>
      </c>
      <c r="N120" s="21" t="s">
        <v>4</v>
      </c>
      <c r="O120" s="21" t="s">
        <v>220</v>
      </c>
      <c r="P120" s="21" t="s">
        <v>107</v>
      </c>
      <c r="Q120" s="21" t="s">
        <v>221</v>
      </c>
      <c r="R120" s="21" t="s">
        <v>221</v>
      </c>
      <c r="S120" s="21" t="s">
        <v>129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886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90" t="s">
        <v>548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6"/>
      <c r="BX120" s="6"/>
    </row>
    <row r="121" spans="1:76" x14ac:dyDescent="0.35">
      <c r="A121" s="22" t="s">
        <v>157</v>
      </c>
      <c r="B121" s="21" t="s">
        <v>70</v>
      </c>
      <c r="C121" s="21" t="s">
        <v>288</v>
      </c>
      <c r="D121" s="10" t="s">
        <v>30</v>
      </c>
      <c r="E121" s="7" t="s">
        <v>193</v>
      </c>
      <c r="F121" s="3" t="s">
        <v>183</v>
      </c>
      <c r="G121" s="3" t="s">
        <v>48</v>
      </c>
      <c r="H121" s="4" t="s">
        <v>115</v>
      </c>
      <c r="I121" s="4" t="s">
        <v>115</v>
      </c>
      <c r="J121" s="3"/>
      <c r="K121" s="3" t="str">
        <f t="shared" si="28"/>
        <v>Prj000467-Support - Enterprise Tech Helpdesk</v>
      </c>
      <c r="L121" s="21" t="s">
        <v>106</v>
      </c>
      <c r="M121" s="21" t="s">
        <v>3</v>
      </c>
      <c r="N121" s="21" t="s">
        <v>3</v>
      </c>
      <c r="O121" s="21"/>
      <c r="P121" s="21" t="s">
        <v>107</v>
      </c>
      <c r="Q121" s="21" t="s">
        <v>378</v>
      </c>
      <c r="R121" s="21" t="s">
        <v>378</v>
      </c>
      <c r="S121" s="21" t="s">
        <v>154</v>
      </c>
      <c r="T121" s="5">
        <v>77705</v>
      </c>
      <c r="U121" s="15">
        <v>81590</v>
      </c>
      <c r="V121" s="15">
        <v>81590</v>
      </c>
      <c r="W121" s="15">
        <f t="shared" si="29"/>
        <v>81590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/>
      <c r="AB121" s="52"/>
      <c r="AC121" s="52"/>
      <c r="AD121" s="52">
        <v>20397.5</v>
      </c>
      <c r="AE121" s="52"/>
      <c r="AF121" s="52"/>
      <c r="AG121" s="52">
        <v>20397.5</v>
      </c>
      <c r="AH121" s="52"/>
      <c r="AI121" s="52"/>
      <c r="AJ121" s="52">
        <v>20397.5</v>
      </c>
      <c r="AK121" s="52"/>
      <c r="AL121" s="52"/>
      <c r="AM121" s="52">
        <v>20397.5</v>
      </c>
      <c r="AN121" s="52">
        <f>SUM(Financials20263[[#This Row],[Jan FC]:[Dec FC]])</f>
        <v>81590</v>
      </c>
      <c r="AO121" s="15">
        <f t="shared" si="31"/>
        <v>61192.5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-20397.5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-20397.5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-20397.5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-20397.5</v>
      </c>
      <c r="BO121" s="71">
        <f>SUM(Financials20263[[#This Row],[Jan Opp/Risk]:[Dec Opp./Risk]])</f>
        <v>-81590</v>
      </c>
      <c r="BP121" s="90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20397.5</v>
      </c>
      <c r="BS121" s="6">
        <f>Financials20263[[#This Row],[Jun-Dec FC]]+Financials20263[[#This Row],[Jan-May Forecast ]]</f>
        <v>81590</v>
      </c>
      <c r="BT121" s="6">
        <f>SUM(Financials20263[[#This Row],[Jan FC]:[May FC]])</f>
        <v>20397.5</v>
      </c>
      <c r="BU121" s="6">
        <f>Financials20263[[#This Row],[Jan-May Actuals]]+Financials20263[[#This Row],[Forecast Jun-Dec]]</f>
        <v>81590</v>
      </c>
      <c r="BV121" s="6"/>
      <c r="BW121" s="6"/>
      <c r="BX121" s="6"/>
    </row>
    <row r="122" spans="1:76" x14ac:dyDescent="0.35">
      <c r="A122" s="22" t="s">
        <v>101</v>
      </c>
      <c r="B122" s="21" t="s">
        <v>381</v>
      </c>
      <c r="C122" s="21"/>
      <c r="D122" s="10" t="s">
        <v>10</v>
      </c>
      <c r="E122" s="7" t="s">
        <v>382</v>
      </c>
      <c r="F122" s="3" t="s">
        <v>141</v>
      </c>
      <c r="G122" s="3" t="s">
        <v>52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106</v>
      </c>
      <c r="M122" s="21" t="s">
        <v>7</v>
      </c>
      <c r="N122" s="21" t="s">
        <v>7</v>
      </c>
      <c r="O122" s="21"/>
      <c r="P122" s="21" t="s">
        <v>107</v>
      </c>
      <c r="Q122" s="21" t="s">
        <v>201</v>
      </c>
      <c r="R122" s="21" t="s">
        <v>201</v>
      </c>
      <c r="S122" s="21" t="s">
        <v>109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383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90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/>
      <c r="BX122" s="6"/>
    </row>
    <row r="123" spans="1:76" x14ac:dyDescent="0.35">
      <c r="A123" s="22" t="s">
        <v>101</v>
      </c>
      <c r="B123" s="21" t="s">
        <v>181</v>
      </c>
      <c r="C123" s="21"/>
      <c r="D123" s="10" t="s">
        <v>38</v>
      </c>
      <c r="E123" s="7" t="s">
        <v>384</v>
      </c>
      <c r="F123" s="3" t="s">
        <v>183</v>
      </c>
      <c r="G123" s="3" t="s">
        <v>51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124</v>
      </c>
      <c r="M123" s="21" t="s">
        <v>2</v>
      </c>
      <c r="N123" s="21" t="s">
        <v>341</v>
      </c>
      <c r="O123" s="21"/>
      <c r="P123" s="21" t="s">
        <v>126</v>
      </c>
      <c r="Q123" s="21" t="s">
        <v>127</v>
      </c>
      <c r="R123" s="21" t="s">
        <v>128</v>
      </c>
      <c r="S123" s="3" t="s">
        <v>385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385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5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90" t="s">
        <v>880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/>
      <c r="BW123" s="6"/>
      <c r="BX123" s="6"/>
    </row>
    <row r="124" spans="1:76" x14ac:dyDescent="0.35">
      <c r="A124" s="22" t="s">
        <v>101</v>
      </c>
      <c r="B124" s="21" t="s">
        <v>181</v>
      </c>
      <c r="C124" s="21"/>
      <c r="D124" s="10" t="s">
        <v>18</v>
      </c>
      <c r="E124" s="7" t="s">
        <v>386</v>
      </c>
      <c r="F124" s="3" t="s">
        <v>183</v>
      </c>
      <c r="G124" s="3" t="s">
        <v>48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124</v>
      </c>
      <c r="M124" s="21" t="s">
        <v>5</v>
      </c>
      <c r="N124" s="21" t="s">
        <v>125</v>
      </c>
      <c r="O124" s="21"/>
      <c r="P124" s="21" t="s">
        <v>126</v>
      </c>
      <c r="Q124" s="21" t="s">
        <v>127</v>
      </c>
      <c r="R124" s="21" t="s">
        <v>128</v>
      </c>
      <c r="S124" s="3" t="s">
        <v>385</v>
      </c>
      <c r="T124" s="5">
        <v>0</v>
      </c>
      <c r="U124" s="5">
        <v>165000</v>
      </c>
      <c r="V124" s="5">
        <v>165000</v>
      </c>
      <c r="W124" s="15">
        <f t="shared" si="29"/>
        <v>165000</v>
      </c>
      <c r="X124" s="15">
        <f t="shared" si="33"/>
        <v>0</v>
      </c>
      <c r="Y124" s="15">
        <f t="shared" si="30"/>
        <v>0</v>
      </c>
      <c r="Z124" s="15">
        <f>SUM(Financials20263[[#This Row],[2026 Opportunity]:[2026 Risk]])</f>
        <v>0</v>
      </c>
      <c r="AA124" s="3" t="s">
        <v>385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165000</v>
      </c>
      <c r="AN124" s="52">
        <f>SUM(Financials20263[[#This Row],[Jan FC]:[Dec FC]])</f>
        <v>165000</v>
      </c>
      <c r="AO124" s="15">
        <f t="shared" si="31"/>
        <v>165000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-165000</v>
      </c>
      <c r="BO124" s="71">
        <f>SUM(Financials20263[[#This Row],[Jan Opp/Risk]:[Dec Opp./Risk]])</f>
        <v>-165000</v>
      </c>
      <c r="BP124" s="90" t="s">
        <v>880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165000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165000</v>
      </c>
      <c r="BV124" s="6"/>
      <c r="BW124" s="6"/>
      <c r="BX124" s="6"/>
    </row>
    <row r="125" spans="1:76" x14ac:dyDescent="0.35">
      <c r="A125" s="22" t="s">
        <v>101</v>
      </c>
      <c r="B125" s="21" t="s">
        <v>56</v>
      </c>
      <c r="C125" s="21" t="s">
        <v>203</v>
      </c>
      <c r="D125" s="10" t="s">
        <v>36</v>
      </c>
      <c r="E125" s="7" t="s">
        <v>387</v>
      </c>
      <c r="F125" s="3" t="s">
        <v>205</v>
      </c>
      <c r="G125" s="3" t="s">
        <v>50</v>
      </c>
      <c r="H125" s="4"/>
      <c r="I125" s="4"/>
      <c r="J125" s="3"/>
      <c r="K125" s="3" t="str">
        <f t="shared" si="28"/>
        <v>Prj000489-Implement - Strategic Modules for LIQ</v>
      </c>
      <c r="L125" s="21" t="s">
        <v>124</v>
      </c>
      <c r="M125" s="21" t="s">
        <v>2</v>
      </c>
      <c r="N125" s="21" t="s">
        <v>341</v>
      </c>
      <c r="O125" s="21"/>
      <c r="P125" s="21" t="s">
        <v>107</v>
      </c>
      <c r="Q125" s="21" t="s">
        <v>134</v>
      </c>
      <c r="R125" s="21" t="s">
        <v>128</v>
      </c>
      <c r="S125" s="3" t="s">
        <v>385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388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90" t="s">
        <v>880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/>
      <c r="BW125" s="6"/>
      <c r="BX125" s="6"/>
    </row>
    <row r="126" spans="1:76" x14ac:dyDescent="0.35">
      <c r="A126" s="22" t="s">
        <v>101</v>
      </c>
      <c r="B126" s="21" t="s">
        <v>334</v>
      </c>
      <c r="C126" s="21" t="s">
        <v>335</v>
      </c>
      <c r="D126" s="10" t="s">
        <v>35</v>
      </c>
      <c r="E126" s="7" t="s">
        <v>389</v>
      </c>
      <c r="F126" s="3" t="s">
        <v>205</v>
      </c>
      <c r="G126" s="3" t="s">
        <v>50</v>
      </c>
      <c r="H126" s="4"/>
      <c r="I126" s="4"/>
      <c r="J126" s="3"/>
      <c r="K126" s="3" t="str">
        <f t="shared" si="28"/>
        <v>Prj000482-Implement - WSO Own Instance (AM)</v>
      </c>
      <c r="L126" s="21" t="s">
        <v>124</v>
      </c>
      <c r="M126" s="21" t="s">
        <v>2</v>
      </c>
      <c r="N126" s="21" t="s">
        <v>341</v>
      </c>
      <c r="O126" s="21"/>
      <c r="P126" s="21" t="s">
        <v>107</v>
      </c>
      <c r="Q126" s="21" t="s">
        <v>134</v>
      </c>
      <c r="R126" s="21" t="s">
        <v>128</v>
      </c>
      <c r="S126" s="3" t="s">
        <v>385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923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90" t="s">
        <v>924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/>
      <c r="BW126" s="6"/>
      <c r="BX126" s="6"/>
    </row>
    <row r="127" spans="1:76" x14ac:dyDescent="0.35">
      <c r="A127" s="22" t="s">
        <v>101</v>
      </c>
      <c r="B127" s="21" t="s">
        <v>334</v>
      </c>
      <c r="C127" s="21" t="s">
        <v>335</v>
      </c>
      <c r="D127" s="10" t="s">
        <v>35</v>
      </c>
      <c r="E127" s="7" t="s">
        <v>389</v>
      </c>
      <c r="F127" s="3" t="s">
        <v>205</v>
      </c>
      <c r="G127" s="3" t="s">
        <v>50</v>
      </c>
      <c r="H127" s="4"/>
      <c r="I127" s="4"/>
      <c r="J127" s="3"/>
      <c r="K127" s="3" t="str">
        <f t="shared" si="28"/>
        <v>Prj000482-Implement - WSO Own Instance (AM)</v>
      </c>
      <c r="L127" s="21" t="s">
        <v>124</v>
      </c>
      <c r="M127" s="21" t="s">
        <v>2</v>
      </c>
      <c r="N127" s="21" t="s">
        <v>341</v>
      </c>
      <c r="O127" s="21"/>
      <c r="P127" s="21" t="s">
        <v>107</v>
      </c>
      <c r="Q127" s="21" t="s">
        <v>134</v>
      </c>
      <c r="R127" s="21" t="s">
        <v>128</v>
      </c>
      <c r="S127" s="3" t="s">
        <v>385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925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90" t="s">
        <v>926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/>
      <c r="BX127" s="6"/>
    </row>
    <row r="128" spans="1:76" x14ac:dyDescent="0.35">
      <c r="A128" s="22" t="s">
        <v>101</v>
      </c>
      <c r="B128" s="21" t="s">
        <v>208</v>
      </c>
      <c r="C128" s="21"/>
      <c r="D128" s="10" t="s">
        <v>35</v>
      </c>
      <c r="E128" s="7" t="s">
        <v>389</v>
      </c>
      <c r="F128" s="3" t="s">
        <v>205</v>
      </c>
      <c r="G128" s="3" t="s">
        <v>50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124</v>
      </c>
      <c r="M128" s="21" t="s">
        <v>2</v>
      </c>
      <c r="N128" s="21" t="s">
        <v>341</v>
      </c>
      <c r="O128" s="21"/>
      <c r="P128" s="21" t="s">
        <v>107</v>
      </c>
      <c r="Q128" s="21" t="s">
        <v>134</v>
      </c>
      <c r="R128" s="21" t="s">
        <v>128</v>
      </c>
      <c r="S128" s="21" t="s">
        <v>129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899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90" t="s">
        <v>874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/>
      <c r="BX128" s="6"/>
    </row>
    <row r="129" spans="1:76" x14ac:dyDescent="0.35">
      <c r="A129" s="22" t="s">
        <v>101</v>
      </c>
      <c r="B129" s="21" t="s">
        <v>334</v>
      </c>
      <c r="C129" s="21" t="s">
        <v>335</v>
      </c>
      <c r="D129" s="10" t="s">
        <v>9</v>
      </c>
      <c r="E129" s="7" t="s">
        <v>390</v>
      </c>
      <c r="F129" s="3" t="s">
        <v>205</v>
      </c>
      <c r="G129" s="3" t="s">
        <v>50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124</v>
      </c>
      <c r="M129" s="21" t="s">
        <v>2</v>
      </c>
      <c r="N129" s="21" t="s">
        <v>341</v>
      </c>
      <c r="O129" s="21"/>
      <c r="P129" s="21" t="s">
        <v>107</v>
      </c>
      <c r="Q129" s="21" t="s">
        <v>134</v>
      </c>
      <c r="R129" s="21" t="s">
        <v>128</v>
      </c>
      <c r="S129" s="3" t="s">
        <v>385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878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90" t="s">
        <v>880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/>
      <c r="BW129" s="6"/>
      <c r="BX129" s="6"/>
    </row>
    <row r="130" spans="1:76" x14ac:dyDescent="0.35">
      <c r="A130" s="22" t="s">
        <v>101</v>
      </c>
      <c r="B130" s="21" t="s">
        <v>208</v>
      </c>
      <c r="C130" s="21" t="s">
        <v>209</v>
      </c>
      <c r="D130" s="10" t="s">
        <v>34</v>
      </c>
      <c r="E130" s="7" t="s">
        <v>391</v>
      </c>
      <c r="F130" s="3" t="s">
        <v>211</v>
      </c>
      <c r="G130" s="3" t="s">
        <v>48</v>
      </c>
      <c r="H130" s="4"/>
      <c r="I130" s="4"/>
      <c r="J130" s="3" t="s">
        <v>392</v>
      </c>
      <c r="K130" s="3" t="str">
        <f t="shared" ref="K130:K142" si="47">D130 &amp; "-" &amp;E130</f>
        <v>Prj000477-Implement - Odyssey Reporting &amp; Exception Mgmt</v>
      </c>
      <c r="L130" s="21" t="s">
        <v>124</v>
      </c>
      <c r="M130" s="21" t="s">
        <v>2</v>
      </c>
      <c r="N130" s="21" t="s">
        <v>341</v>
      </c>
      <c r="O130" s="21"/>
      <c r="P130" s="21" t="s">
        <v>126</v>
      </c>
      <c r="Q130" s="21" t="s">
        <v>127</v>
      </c>
      <c r="R130" s="21" t="s">
        <v>128</v>
      </c>
      <c r="S130" s="3" t="s">
        <v>385</v>
      </c>
      <c r="T130" s="5">
        <v>0</v>
      </c>
      <c r="U130" s="17">
        <v>600000</v>
      </c>
      <c r="V130" s="17">
        <v>600000</v>
      </c>
      <c r="W130" s="15">
        <f t="shared" ref="W130:W149" si="48">AO130+IF(ISBLANK(AP130),AB130,AP130)+IF(ISBLANK(AQ130),AC130,AQ130)+IF(ISBLANK(AR130),AD130,AR130)+IF(ISBLANK(AS130),AE130,AS130)+IF(ISBLANK(AT130),AF130,AT130)</f>
        <v>600000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388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>
        <v>600000</v>
      </c>
      <c r="AN130" s="75">
        <f>SUM(Financials20263[[#This Row],[Jan FC]:[Dec FC]])</f>
        <v>600000</v>
      </c>
      <c r="AO130" s="15">
        <f t="shared" si="31"/>
        <v>600000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-600000</v>
      </c>
      <c r="BO130" s="71">
        <f>SUM(Financials20263[[#This Row],[Jan Opp/Risk]:[Dec Opp./Risk]])</f>
        <v>-600000</v>
      </c>
      <c r="BP130" s="90" t="s">
        <v>880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600000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600000</v>
      </c>
      <c r="BV130" s="6"/>
      <c r="BW130" s="6"/>
      <c r="BX130" s="6"/>
    </row>
    <row r="131" spans="1:76" x14ac:dyDescent="0.35">
      <c r="A131" s="22" t="s">
        <v>101</v>
      </c>
      <c r="B131" s="21" t="s">
        <v>208</v>
      </c>
      <c r="C131" s="21" t="s">
        <v>209</v>
      </c>
      <c r="D131" s="10" t="s">
        <v>37</v>
      </c>
      <c r="E131" s="7" t="s">
        <v>213</v>
      </c>
      <c r="F131" s="3" t="s">
        <v>211</v>
      </c>
      <c r="G131" s="3" t="s">
        <v>48</v>
      </c>
      <c r="H131" s="4"/>
      <c r="I131" s="4"/>
      <c r="J131" s="3" t="s">
        <v>392</v>
      </c>
      <c r="K131" s="3" t="str">
        <f t="shared" si="47"/>
        <v>Prj000548-Implement - Reporting for Internal Audit</v>
      </c>
      <c r="L131" s="21" t="s">
        <v>124</v>
      </c>
      <c r="M131" s="21" t="s">
        <v>2</v>
      </c>
      <c r="N131" s="21" t="s">
        <v>341</v>
      </c>
      <c r="O131" s="21"/>
      <c r="P131" s="21" t="s">
        <v>126</v>
      </c>
      <c r="Q131" s="21" t="s">
        <v>127</v>
      </c>
      <c r="R131" s="21" t="s">
        <v>128</v>
      </c>
      <c r="S131" s="3" t="s">
        <v>385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879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49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90" t="s">
        <v>880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/>
      <c r="BW131" s="6"/>
      <c r="BX131" s="6"/>
    </row>
    <row r="132" spans="1:76" x14ac:dyDescent="0.35">
      <c r="A132" s="22" t="s">
        <v>101</v>
      </c>
      <c r="B132" s="21" t="s">
        <v>74</v>
      </c>
      <c r="C132" s="21" t="s">
        <v>265</v>
      </c>
      <c r="D132" s="10" t="s">
        <v>28</v>
      </c>
      <c r="E132" s="7" t="s">
        <v>393</v>
      </c>
      <c r="F132" s="3" t="s">
        <v>104</v>
      </c>
      <c r="G132" s="3" t="s">
        <v>49</v>
      </c>
      <c r="H132" s="4">
        <v>46023</v>
      </c>
      <c r="I132" s="4">
        <v>46194</v>
      </c>
      <c r="J132" s="3" t="s">
        <v>394</v>
      </c>
      <c r="K132" s="3" t="str">
        <f t="shared" si="47"/>
        <v>Prj000447-Implement - Minor Enhancements SNOW - Phase 2</v>
      </c>
      <c r="L132" s="21" t="s">
        <v>124</v>
      </c>
      <c r="M132" s="21" t="s">
        <v>5</v>
      </c>
      <c r="N132" s="21" t="s">
        <v>125</v>
      </c>
      <c r="O132" s="21" t="s">
        <v>329</v>
      </c>
      <c r="P132" s="21" t="s">
        <v>107</v>
      </c>
      <c r="Q132" s="21" t="s">
        <v>134</v>
      </c>
      <c r="R132" s="21" t="s">
        <v>134</v>
      </c>
      <c r="S132" s="21" t="s">
        <v>129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395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90" t="s">
        <v>534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/>
      <c r="BX132" s="6"/>
    </row>
    <row r="133" spans="1:76" x14ac:dyDescent="0.35">
      <c r="A133" s="22" t="s">
        <v>101</v>
      </c>
      <c r="B133" s="21" t="s">
        <v>278</v>
      </c>
      <c r="C133" s="21" t="s">
        <v>279</v>
      </c>
      <c r="D133" s="10" t="s">
        <v>33</v>
      </c>
      <c r="E133" s="7" t="s">
        <v>396</v>
      </c>
      <c r="F133" s="3" t="s">
        <v>211</v>
      </c>
      <c r="G133" s="3" t="s">
        <v>48</v>
      </c>
      <c r="H133" s="4">
        <v>45943</v>
      </c>
      <c r="I133" s="4">
        <v>46109</v>
      </c>
      <c r="J133" s="3" t="s">
        <v>397</v>
      </c>
      <c r="K133" s="3" t="str">
        <f t="shared" si="47"/>
        <v>Prj000476-Implement - Reporting to Support DGC</v>
      </c>
      <c r="L133" s="21" t="s">
        <v>106</v>
      </c>
      <c r="M133" s="21" t="s">
        <v>7</v>
      </c>
      <c r="N133" s="21" t="s">
        <v>7</v>
      </c>
      <c r="O133" s="21"/>
      <c r="P133" s="21" t="s">
        <v>107</v>
      </c>
      <c r="Q133" s="21" t="s">
        <v>108</v>
      </c>
      <c r="R133" s="21" t="s">
        <v>108</v>
      </c>
      <c r="S133" s="21" t="s">
        <v>132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398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90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/>
      <c r="BX133" s="6"/>
    </row>
    <row r="134" spans="1:76" x14ac:dyDescent="0.35">
      <c r="A134" s="22" t="s">
        <v>101</v>
      </c>
      <c r="B134" s="21" t="s">
        <v>208</v>
      </c>
      <c r="C134" s="21" t="s">
        <v>209</v>
      </c>
      <c r="D134" s="10" t="s">
        <v>21</v>
      </c>
      <c r="E134" s="7" t="s">
        <v>399</v>
      </c>
      <c r="F134" s="3" t="s">
        <v>168</v>
      </c>
      <c r="G134" s="3" t="s">
        <v>51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124</v>
      </c>
      <c r="M134" s="21" t="s">
        <v>5</v>
      </c>
      <c r="N134" s="21" t="s">
        <v>125</v>
      </c>
      <c r="O134" s="21"/>
      <c r="P134" s="21" t="s">
        <v>126</v>
      </c>
      <c r="Q134" s="21" t="s">
        <v>127</v>
      </c>
      <c r="R134" s="21" t="s">
        <v>128</v>
      </c>
      <c r="S134" s="3" t="s">
        <v>385</v>
      </c>
      <c r="T134" s="5">
        <v>0</v>
      </c>
      <c r="U134" s="5">
        <v>100000</v>
      </c>
      <c r="V134" s="5">
        <v>100000</v>
      </c>
      <c r="W134" s="15">
        <f t="shared" si="48"/>
        <v>100000</v>
      </c>
      <c r="X134" s="15">
        <f t="shared" si="33"/>
        <v>0</v>
      </c>
      <c r="Y134" s="15">
        <f t="shared" si="49"/>
        <v>0</v>
      </c>
      <c r="Z134" s="15">
        <f>SUM(Financials20263[[#This Row],[2026 Opportunity]:[2026 Risk]])</f>
        <v>0</v>
      </c>
      <c r="AA134" s="3" t="s">
        <v>385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>
        <v>100000</v>
      </c>
      <c r="AN134" s="52">
        <f>SUM(Financials20263[[#This Row],[Jan FC]:[Dec FC]])</f>
        <v>100000</v>
      </c>
      <c r="AO134" s="15">
        <f t="shared" si="50"/>
        <v>100000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-100000</v>
      </c>
      <c r="BO134" s="71">
        <f>SUM(Financials20263[[#This Row],[Jan Opp/Risk]:[Dec Opp./Risk]])</f>
        <v>-100000</v>
      </c>
      <c r="BP134" s="90" t="s">
        <v>880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100000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100000</v>
      </c>
      <c r="BV134" s="6"/>
      <c r="BW134" s="6"/>
      <c r="BX134" s="6"/>
    </row>
    <row r="135" spans="1:76" x14ac:dyDescent="0.35">
      <c r="A135" s="22" t="s">
        <v>101</v>
      </c>
      <c r="B135" s="21" t="s">
        <v>400</v>
      </c>
      <c r="C135" s="21"/>
      <c r="D135" s="10" t="s">
        <v>12</v>
      </c>
      <c r="E135" s="7" t="s">
        <v>401</v>
      </c>
      <c r="F135" s="3" t="s">
        <v>123</v>
      </c>
      <c r="G135" s="3" t="s">
        <v>50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124</v>
      </c>
      <c r="M135" s="21" t="s">
        <v>2</v>
      </c>
      <c r="N135" s="21" t="s">
        <v>350</v>
      </c>
      <c r="O135" s="21"/>
      <c r="P135" s="21" t="s">
        <v>345</v>
      </c>
      <c r="Q135" s="21" t="s">
        <v>346</v>
      </c>
      <c r="R135" s="21" t="s">
        <v>143</v>
      </c>
      <c r="S135" s="3" t="s">
        <v>385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388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90" t="s">
        <v>880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/>
      <c r="BW135" s="6"/>
      <c r="BX135" s="6"/>
    </row>
    <row r="136" spans="1:76" x14ac:dyDescent="0.35">
      <c r="A136" s="22" t="s">
        <v>101</v>
      </c>
      <c r="B136" s="21" t="s">
        <v>402</v>
      </c>
      <c r="C136" s="21"/>
      <c r="D136" s="10" t="s">
        <v>14</v>
      </c>
      <c r="E136" s="7" t="s">
        <v>403</v>
      </c>
      <c r="F136" s="3" t="s">
        <v>114</v>
      </c>
      <c r="G136" s="3" t="s">
        <v>53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106</v>
      </c>
      <c r="M136" s="21" t="s">
        <v>7</v>
      </c>
      <c r="N136" s="21" t="s">
        <v>7</v>
      </c>
      <c r="O136" s="21"/>
      <c r="P136" s="21" t="s">
        <v>107</v>
      </c>
      <c r="Q136" s="21" t="s">
        <v>201</v>
      </c>
      <c r="R136" s="21" t="s">
        <v>201</v>
      </c>
      <c r="S136" s="3" t="s">
        <v>109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900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90" t="s">
        <v>880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/>
      <c r="BX136" s="6"/>
    </row>
    <row r="137" spans="1:76" ht="43.5" x14ac:dyDescent="0.35">
      <c r="A137" s="22" t="s">
        <v>101</v>
      </c>
      <c r="B137" s="21" t="s">
        <v>181</v>
      </c>
      <c r="C137" s="21"/>
      <c r="D137" s="10" t="s">
        <v>18</v>
      </c>
      <c r="E137" s="7" t="s">
        <v>386</v>
      </c>
      <c r="F137" s="3" t="s">
        <v>183</v>
      </c>
      <c r="G137" s="3" t="s">
        <v>48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124</v>
      </c>
      <c r="M137" s="21" t="s">
        <v>2</v>
      </c>
      <c r="N137" s="21" t="s">
        <v>341</v>
      </c>
      <c r="O137" s="21"/>
      <c r="P137" s="21" t="s">
        <v>126</v>
      </c>
      <c r="Q137" s="21" t="s">
        <v>127</v>
      </c>
      <c r="R137" s="21" t="s">
        <v>128</v>
      </c>
      <c r="S137" s="3" t="s">
        <v>385</v>
      </c>
      <c r="T137" s="15">
        <v>0</v>
      </c>
      <c r="U137" s="15">
        <v>250000</v>
      </c>
      <c r="V137" s="5">
        <v>250000</v>
      </c>
      <c r="W137" s="15">
        <f t="shared" si="48"/>
        <v>152500</v>
      </c>
      <c r="X137" s="15">
        <f t="shared" ref="X137:X149" si="51">IF(V137 &gt;= W137, V137 - W137, 0)*-1</f>
        <v>-97500</v>
      </c>
      <c r="Y137" s="15">
        <f t="shared" si="49"/>
        <v>0</v>
      </c>
      <c r="Z137" s="15">
        <f>SUM(Financials20263[[#This Row],[2026 Opportunity]:[2026 Risk]])</f>
        <v>-97500</v>
      </c>
      <c r="AA137" s="3" t="s">
        <v>927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>
        <v>152500</v>
      </c>
      <c r="AN137" s="75">
        <f>SUM(Financials20263[[#This Row],[Jan FC]:[Dec FC]])</f>
        <v>152500</v>
      </c>
      <c r="AO137" s="15">
        <f t="shared" si="50"/>
        <v>152500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-152500</v>
      </c>
      <c r="BO137" s="71">
        <f>SUM(Financials20263[[#This Row],[Jan Opp/Risk]:[Dec Opp./Risk]])</f>
        <v>-152500</v>
      </c>
      <c r="BP137" s="44" t="s">
        <v>419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152500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152500</v>
      </c>
      <c r="BV137" s="6"/>
      <c r="BW137" s="6"/>
      <c r="BX137" s="6"/>
    </row>
    <row r="138" spans="1:76" x14ac:dyDescent="0.35">
      <c r="A138" s="22" t="s">
        <v>101</v>
      </c>
      <c r="B138" s="21" t="s">
        <v>181</v>
      </c>
      <c r="C138" s="21"/>
      <c r="D138" s="10" t="s">
        <v>14</v>
      </c>
      <c r="E138" s="7" t="s">
        <v>403</v>
      </c>
      <c r="F138" s="3" t="s">
        <v>114</v>
      </c>
      <c r="G138" s="3" t="s">
        <v>53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124</v>
      </c>
      <c r="M138" s="21" t="s">
        <v>2</v>
      </c>
      <c r="N138" s="21" t="s">
        <v>341</v>
      </c>
      <c r="O138" s="21"/>
      <c r="P138" s="21" t="s">
        <v>126</v>
      </c>
      <c r="Q138" s="21" t="s">
        <v>127</v>
      </c>
      <c r="R138" s="21" t="s">
        <v>128</v>
      </c>
      <c r="S138" s="3" t="s">
        <v>385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405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90" t="s">
        <v>880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/>
      <c r="BW138" s="6"/>
      <c r="BX138" s="6"/>
    </row>
    <row r="139" spans="1:76" x14ac:dyDescent="0.35">
      <c r="A139" s="22" t="s">
        <v>101</v>
      </c>
      <c r="B139" s="21" t="s">
        <v>57</v>
      </c>
      <c r="C139" s="21"/>
      <c r="D139" s="10" t="s">
        <v>17</v>
      </c>
      <c r="E139" s="7" t="s">
        <v>103</v>
      </c>
      <c r="F139" s="3" t="s">
        <v>104</v>
      </c>
      <c r="G139" s="3" t="s">
        <v>49</v>
      </c>
      <c r="H139" s="4" t="s">
        <v>115</v>
      </c>
      <c r="I139" s="4" t="s">
        <v>115</v>
      </c>
      <c r="J139" s="3"/>
      <c r="K139" s="3" t="str">
        <f t="shared" si="47"/>
        <v>Prj000350-Support - Infrastructure for Tech</v>
      </c>
      <c r="L139" s="21" t="s">
        <v>106</v>
      </c>
      <c r="M139" s="21" t="s">
        <v>3</v>
      </c>
      <c r="N139" s="21" t="s">
        <v>3</v>
      </c>
      <c r="O139" s="21"/>
      <c r="P139" s="21" t="s">
        <v>107</v>
      </c>
      <c r="Q139" s="21" t="s">
        <v>378</v>
      </c>
      <c r="R139" s="21" t="s">
        <v>378</v>
      </c>
      <c r="S139" s="21" t="s">
        <v>132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406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90" t="s">
        <v>545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6"/>
      <c r="BX139" s="6"/>
    </row>
    <row r="140" spans="1:76" x14ac:dyDescent="0.35">
      <c r="A140" s="22" t="s">
        <v>101</v>
      </c>
      <c r="B140" s="21" t="s">
        <v>407</v>
      </c>
      <c r="C140" s="21"/>
      <c r="D140" s="10" t="s">
        <v>20</v>
      </c>
      <c r="E140" s="7" t="s">
        <v>160</v>
      </c>
      <c r="F140" s="3" t="s">
        <v>161</v>
      </c>
      <c r="G140" s="3" t="s">
        <v>50</v>
      </c>
      <c r="H140" s="4">
        <v>46023</v>
      </c>
      <c r="I140" s="4">
        <v>46387</v>
      </c>
      <c r="J140" s="3" t="s">
        <v>408</v>
      </c>
      <c r="K140" s="3" t="str">
        <f t="shared" si="47"/>
        <v>Prj000381-Support - Prod Support for Credit Apps</v>
      </c>
      <c r="L140" s="21" t="s">
        <v>106</v>
      </c>
      <c r="M140" s="21" t="s">
        <v>7</v>
      </c>
      <c r="N140" s="21" t="s">
        <v>7</v>
      </c>
      <c r="O140" s="21" t="s">
        <v>165</v>
      </c>
      <c r="P140" s="21" t="s">
        <v>107</v>
      </c>
      <c r="Q140" s="21" t="s">
        <v>201</v>
      </c>
      <c r="R140" s="21" t="s">
        <v>201</v>
      </c>
      <c r="S140" s="21" t="s">
        <v>109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409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90" t="s">
        <v>534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/>
      <c r="BX140" s="6"/>
    </row>
    <row r="141" spans="1:76" x14ac:dyDescent="0.35">
      <c r="A141" s="22" t="s">
        <v>101</v>
      </c>
      <c r="B141" s="21" t="s">
        <v>410</v>
      </c>
      <c r="C141" s="21" t="s">
        <v>411</v>
      </c>
      <c r="D141" s="10" t="s">
        <v>16</v>
      </c>
      <c r="E141" s="7" t="s">
        <v>122</v>
      </c>
      <c r="F141" s="3" t="s">
        <v>123</v>
      </c>
      <c r="G141" s="3" t="s">
        <v>50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106</v>
      </c>
      <c r="M141" s="21" t="s">
        <v>7</v>
      </c>
      <c r="N141" s="21" t="s">
        <v>7</v>
      </c>
      <c r="O141" s="21"/>
      <c r="P141" s="21" t="s">
        <v>107</v>
      </c>
      <c r="Q141" s="21" t="s">
        <v>108</v>
      </c>
      <c r="R141" s="21" t="s">
        <v>108</v>
      </c>
      <c r="S141" s="21" t="s">
        <v>109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409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90" t="s">
        <v>534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/>
      <c r="BX141" s="6"/>
    </row>
    <row r="142" spans="1:76" x14ac:dyDescent="0.35">
      <c r="A142" s="22" t="s">
        <v>101</v>
      </c>
      <c r="B142" s="21" t="s">
        <v>334</v>
      </c>
      <c r="C142" s="21" t="s">
        <v>412</v>
      </c>
      <c r="D142" s="10" t="s">
        <v>31</v>
      </c>
      <c r="E142" s="7" t="s">
        <v>204</v>
      </c>
      <c r="F142" s="3" t="s">
        <v>205</v>
      </c>
      <c r="G142" s="3" t="s">
        <v>50</v>
      </c>
      <c r="H142" s="4"/>
      <c r="I142" s="4"/>
      <c r="J142" s="3"/>
      <c r="K142" s="3" t="str">
        <f t="shared" si="47"/>
        <v>Prj000469-Support - Prod Support for Ops Apps</v>
      </c>
      <c r="L142" s="21" t="s">
        <v>106</v>
      </c>
      <c r="M142" s="21" t="s">
        <v>7</v>
      </c>
      <c r="N142" s="21" t="s">
        <v>7</v>
      </c>
      <c r="O142" s="21"/>
      <c r="P142" s="21" t="s">
        <v>107</v>
      </c>
      <c r="Q142" s="21" t="s">
        <v>134</v>
      </c>
      <c r="R142" s="21" t="s">
        <v>134</v>
      </c>
      <c r="S142" s="21" t="s">
        <v>132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40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4" t="s">
        <v>547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/>
      <c r="BX142" s="6"/>
    </row>
    <row r="143" spans="1:76" x14ac:dyDescent="0.35">
      <c r="A143" s="22" t="s">
        <v>101</v>
      </c>
      <c r="B143" s="21" t="s">
        <v>342</v>
      </c>
      <c r="C143" s="21" t="s">
        <v>343</v>
      </c>
      <c r="D143" s="10" t="s">
        <v>186</v>
      </c>
      <c r="E143" s="7" t="s">
        <v>186</v>
      </c>
      <c r="F143" s="3" t="s">
        <v>336</v>
      </c>
      <c r="G143" s="3" t="s">
        <v>48</v>
      </c>
      <c r="H143" s="4">
        <v>46204</v>
      </c>
      <c r="I143" s="4">
        <v>46387</v>
      </c>
      <c r="J143" s="3" t="s">
        <v>186</v>
      </c>
      <c r="K143" s="3" t="s">
        <v>413</v>
      </c>
      <c r="L143" s="21" t="s">
        <v>124</v>
      </c>
      <c r="M143" s="21" t="s">
        <v>46</v>
      </c>
      <c r="N143" s="21" t="s">
        <v>344</v>
      </c>
      <c r="O143" s="21" t="s">
        <v>186</v>
      </c>
      <c r="P143" s="21" t="s">
        <v>345</v>
      </c>
      <c r="Q143" s="21" t="s">
        <v>346</v>
      </c>
      <c r="R143" s="21" t="s">
        <v>143</v>
      </c>
      <c r="S143" s="21" t="s">
        <v>129</v>
      </c>
      <c r="T143" s="5">
        <v>0</v>
      </c>
      <c r="U143" s="15">
        <v>0</v>
      </c>
      <c r="V143" s="15">
        <v>0</v>
      </c>
      <c r="W143" s="15">
        <f t="shared" si="48"/>
        <v>606720</v>
      </c>
      <c r="X143" s="15">
        <f t="shared" si="51"/>
        <v>0</v>
      </c>
      <c r="Y143" s="15">
        <f t="shared" si="49"/>
        <v>606720</v>
      </c>
      <c r="Z143" s="15">
        <f>SUM(Financials20263[[#This Row],[2026 Opportunity]:[2026 Risk]])</f>
        <v>606720</v>
      </c>
      <c r="AA143" s="3" t="s">
        <v>906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90" t="s">
        <v>537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/>
      <c r="BX143" s="6"/>
    </row>
    <row r="144" spans="1:76" x14ac:dyDescent="0.35">
      <c r="A144" s="22" t="s">
        <v>101</v>
      </c>
      <c r="B144" s="21" t="s">
        <v>208</v>
      </c>
      <c r="C144" s="21" t="s">
        <v>209</v>
      </c>
      <c r="D144" s="10" t="s">
        <v>186</v>
      </c>
      <c r="E144" s="7" t="s">
        <v>186</v>
      </c>
      <c r="F144" s="3" t="s">
        <v>336</v>
      </c>
      <c r="G144" s="3" t="s">
        <v>48</v>
      </c>
      <c r="H144" s="4">
        <v>46204</v>
      </c>
      <c r="I144" s="4">
        <v>46387</v>
      </c>
      <c r="J144" s="3" t="s">
        <v>337</v>
      </c>
      <c r="K144" s="3" t="s">
        <v>413</v>
      </c>
      <c r="L144" s="21" t="s">
        <v>124</v>
      </c>
      <c r="M144" s="21" t="s">
        <v>46</v>
      </c>
      <c r="N144" s="21" t="s">
        <v>189</v>
      </c>
      <c r="O144" s="21" t="s">
        <v>186</v>
      </c>
      <c r="P144" s="21" t="s">
        <v>126</v>
      </c>
      <c r="Q144" s="21" t="s">
        <v>127</v>
      </c>
      <c r="R144" s="21" t="s">
        <v>128</v>
      </c>
      <c r="S144" s="21" t="s">
        <v>129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893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90" t="s">
        <v>892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/>
      <c r="BX144" s="6"/>
    </row>
    <row r="145" spans="1:76" x14ac:dyDescent="0.35">
      <c r="A145" s="22" t="s">
        <v>101</v>
      </c>
      <c r="B145" s="21" t="s">
        <v>400</v>
      </c>
      <c r="C145" s="21"/>
      <c r="D145" s="10" t="s">
        <v>14</v>
      </c>
      <c r="E145" s="7" t="s">
        <v>403</v>
      </c>
      <c r="F145" s="3" t="s">
        <v>114</v>
      </c>
      <c r="G145" s="3" t="s">
        <v>53</v>
      </c>
      <c r="H145" s="4" t="s">
        <v>115</v>
      </c>
      <c r="I145" s="4" t="s">
        <v>115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124</v>
      </c>
      <c r="M145" s="21" t="s">
        <v>2</v>
      </c>
      <c r="N145" s="21" t="s">
        <v>341</v>
      </c>
      <c r="O145" s="21"/>
      <c r="P145" s="21" t="s">
        <v>126</v>
      </c>
      <c r="Q145" s="21" t="s">
        <v>127</v>
      </c>
      <c r="R145" s="21" t="s">
        <v>128</v>
      </c>
      <c r="S145" s="21" t="s">
        <v>115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414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6" t="s">
        <v>542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/>
      <c r="BX145" s="6"/>
    </row>
    <row r="146" spans="1:76" x14ac:dyDescent="0.35">
      <c r="A146" s="22" t="s">
        <v>101</v>
      </c>
      <c r="B146" s="21" t="s">
        <v>73</v>
      </c>
      <c r="C146" s="21" t="s">
        <v>190</v>
      </c>
      <c r="D146" s="10" t="s">
        <v>186</v>
      </c>
      <c r="E146" s="7" t="s">
        <v>186</v>
      </c>
      <c r="F146" s="3" t="s">
        <v>187</v>
      </c>
      <c r="G146" s="3" t="s">
        <v>53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124</v>
      </c>
      <c r="M146" s="21" t="s">
        <v>46</v>
      </c>
      <c r="N146" s="21" t="s">
        <v>189</v>
      </c>
      <c r="O146" s="21" t="s">
        <v>186</v>
      </c>
      <c r="P146" s="21" t="s">
        <v>126</v>
      </c>
      <c r="Q146" s="21" t="s">
        <v>127</v>
      </c>
      <c r="R146" s="21" t="s">
        <v>128</v>
      </c>
      <c r="S146" s="21" t="s">
        <v>129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415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91" t="s">
        <v>536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/>
      <c r="BX146" s="6"/>
    </row>
    <row r="147" spans="1:76" x14ac:dyDescent="0.35">
      <c r="A147" s="22" t="s">
        <v>101</v>
      </c>
      <c r="B147" s="21" t="s">
        <v>73</v>
      </c>
      <c r="C147" s="21" t="s">
        <v>190</v>
      </c>
      <c r="D147" s="10" t="s">
        <v>186</v>
      </c>
      <c r="E147" s="7" t="s">
        <v>186</v>
      </c>
      <c r="F147" s="3" t="s">
        <v>187</v>
      </c>
      <c r="G147" s="3" t="s">
        <v>49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124</v>
      </c>
      <c r="M147" s="21" t="s">
        <v>46</v>
      </c>
      <c r="N147" s="21" t="s">
        <v>189</v>
      </c>
      <c r="O147" s="21" t="s">
        <v>186</v>
      </c>
      <c r="P147" s="21" t="s">
        <v>126</v>
      </c>
      <c r="Q147" s="21" t="s">
        <v>127</v>
      </c>
      <c r="R147" s="21" t="s">
        <v>128</v>
      </c>
      <c r="S147" s="21" t="s">
        <v>129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416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91" t="s">
        <v>556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</row>
    <row r="148" spans="1:76" x14ac:dyDescent="0.35">
      <c r="A148" s="32" t="s">
        <v>101</v>
      </c>
      <c r="B148" s="21" t="s">
        <v>486</v>
      </c>
      <c r="C148" s="33" t="s">
        <v>425</v>
      </c>
      <c r="D148" s="10" t="s">
        <v>31</v>
      </c>
      <c r="E148" s="7" t="s">
        <v>204</v>
      </c>
      <c r="F148" s="3" t="s">
        <v>205</v>
      </c>
      <c r="G148" s="3" t="s">
        <v>50</v>
      </c>
      <c r="H148" s="4">
        <v>46082</v>
      </c>
      <c r="I148" s="4">
        <v>46387</v>
      </c>
      <c r="J148" s="35"/>
      <c r="K148" s="35" t="s">
        <v>479</v>
      </c>
      <c r="L148" s="33" t="s">
        <v>106</v>
      </c>
      <c r="M148" s="33" t="s">
        <v>6</v>
      </c>
      <c r="N148" s="33" t="s">
        <v>6</v>
      </c>
      <c r="O148" s="33" t="s">
        <v>373</v>
      </c>
      <c r="P148" s="33" t="s">
        <v>163</v>
      </c>
      <c r="Q148" s="33" t="s">
        <v>163</v>
      </c>
      <c r="R148" s="33" t="s">
        <v>164</v>
      </c>
      <c r="S148" s="33" t="s">
        <v>154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7" t="s">
        <v>487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</row>
    <row r="149" spans="1:76" ht="58" x14ac:dyDescent="0.35">
      <c r="A149" s="32" t="s">
        <v>101</v>
      </c>
      <c r="B149" s="21" t="s">
        <v>417</v>
      </c>
      <c r="C149" s="39"/>
      <c r="D149" s="10" t="s">
        <v>31</v>
      </c>
      <c r="E149" s="7" t="s">
        <v>204</v>
      </c>
      <c r="F149" s="3" t="s">
        <v>205</v>
      </c>
      <c r="G149" s="3" t="s">
        <v>50</v>
      </c>
      <c r="H149" s="4">
        <v>45992</v>
      </c>
      <c r="I149" s="4">
        <v>46387</v>
      </c>
      <c r="J149" s="40" t="s">
        <v>203</v>
      </c>
      <c r="K149" s="40" t="str">
        <f>D149 &amp; "-" &amp;E149</f>
        <v>Prj000469-Support - Prod Support for Ops Apps</v>
      </c>
      <c r="L149" s="39" t="s">
        <v>106</v>
      </c>
      <c r="M149" s="39" t="s">
        <v>7</v>
      </c>
      <c r="N149" s="39" t="s">
        <v>7</v>
      </c>
      <c r="O149" s="39" t="s">
        <v>224</v>
      </c>
      <c r="P149" s="39" t="s">
        <v>107</v>
      </c>
      <c r="Q149" s="33" t="s">
        <v>108</v>
      </c>
      <c r="R149" s="39" t="s">
        <v>108</v>
      </c>
      <c r="S149" s="39" t="s">
        <v>132</v>
      </c>
      <c r="T149" s="36">
        <v>0</v>
      </c>
      <c r="U149" s="37">
        <v>0</v>
      </c>
      <c r="V149" s="37">
        <v>0</v>
      </c>
      <c r="W149" s="15">
        <f t="shared" si="48"/>
        <v>102000</v>
      </c>
      <c r="X149" s="15">
        <f t="shared" si="51"/>
        <v>0</v>
      </c>
      <c r="Y149" s="38">
        <f>IF(W149 &gt; V149, W149 - V149, 0)</f>
        <v>102000</v>
      </c>
      <c r="Z149" s="38">
        <f>SUM(Financials20263[[#This Row],[2026 Opportunity]:[2026 Risk]])</f>
        <v>102000</v>
      </c>
      <c r="AA149" s="14" t="s">
        <v>418</v>
      </c>
      <c r="AB149" s="54"/>
      <c r="AC149" s="54"/>
      <c r="AD149" s="54"/>
      <c r="AE149" s="54">
        <v>92000</v>
      </c>
      <c r="AF149" s="54"/>
      <c r="AG149" s="54"/>
      <c r="AH149" s="54"/>
      <c r="AI149" s="54"/>
      <c r="AJ149" s="54"/>
      <c r="AK149" s="54"/>
      <c r="AL149" s="54"/>
      <c r="AM149" s="54">
        <v>10000</v>
      </c>
      <c r="AN149" s="54">
        <f>SUM(Financials20263[[#This Row],[Jan FC]:[Dec FC]])</f>
        <v>102000</v>
      </c>
      <c r="AO149" s="15">
        <f t="shared" si="50"/>
        <v>10000</v>
      </c>
      <c r="AP149" s="63"/>
      <c r="AQ149" s="63"/>
      <c r="AR149" s="63"/>
      <c r="AS149" s="63">
        <v>92000</v>
      </c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92000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0</v>
      </c>
      <c r="BN149" s="71">
        <f>Financials20263[[#This Row],[Dec AC]]-Financials20263[[#This Row],[Dec FC]]</f>
        <v>-10000</v>
      </c>
      <c r="BO149" s="84">
        <f>SUM(Financials20263[[#This Row],[Jan Opp/Risk]:[Dec Opp./Risk]])</f>
        <v>-10000</v>
      </c>
      <c r="BP149" s="98" t="s">
        <v>928</v>
      </c>
      <c r="BQ149" s="47">
        <f>SUM(Financials20263[[#This Row],[Jan AC]:[May AC]])</f>
        <v>92000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10000</v>
      </c>
      <c r="BT149" s="6">
        <f>SUM(Financials20263[[#This Row],[Jan FC]:[May FC]])</f>
        <v>92000</v>
      </c>
      <c r="BU149" s="6">
        <f>Financials20263[[#This Row],[Jan-May Actuals]]+Financials20263[[#This Row],[Forecast Jun-Dec]]</f>
        <v>102000</v>
      </c>
    </row>
    <row r="150" spans="1:76" x14ac:dyDescent="0.35">
      <c r="A150" s="161"/>
      <c r="B150" s="161"/>
      <c r="C150" s="162"/>
      <c r="D150"/>
      <c r="G150"/>
      <c r="J150" s="163"/>
      <c r="K150" s="163"/>
      <c r="L150" s="162"/>
      <c r="M150" s="162"/>
      <c r="N150" s="162"/>
      <c r="O150" s="162"/>
      <c r="P150" s="162"/>
      <c r="Q150" s="161"/>
      <c r="R150" s="162"/>
      <c r="S150" s="162"/>
      <c r="T150" s="6"/>
      <c r="U150" s="164"/>
      <c r="V150" s="164"/>
      <c r="W150" s="164"/>
      <c r="X150" s="164"/>
      <c r="Y150" s="165"/>
      <c r="Z150" s="165"/>
      <c r="AA150"/>
      <c r="AB150"/>
      <c r="AC150"/>
      <c r="AD150"/>
      <c r="AE150"/>
      <c r="AF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</row>
    <row r="151" spans="1:76" x14ac:dyDescent="0.35">
      <c r="A151" s="127"/>
      <c r="B151" s="127" t="s">
        <v>826</v>
      </c>
      <c r="C151" s="127"/>
      <c r="D151" s="128"/>
      <c r="E151" s="127"/>
      <c r="F151" s="127"/>
      <c r="G151" s="128"/>
      <c r="H151" s="129"/>
      <c r="I151" s="129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30">
        <f t="shared" ref="T151:BQ151" si="55">SUBTOTAL(9,T2:T150)</f>
        <v>46382982.072500005</v>
      </c>
      <c r="U151" s="130">
        <f t="shared" si="55"/>
        <v>40168697.557166502</v>
      </c>
      <c r="V151" s="130">
        <f t="shared" si="55"/>
        <v>40788397.956149995</v>
      </c>
      <c r="W151" s="130">
        <f t="shared" si="55"/>
        <v>42176017.133566655</v>
      </c>
      <c r="X151" s="130">
        <f t="shared" si="55"/>
        <v>-3633521.8601499996</v>
      </c>
      <c r="Y151" s="130">
        <f t="shared" si="55"/>
        <v>5021141.0375666656</v>
      </c>
      <c r="Z151" s="130">
        <f t="shared" si="55"/>
        <v>1387619.1774166662</v>
      </c>
      <c r="AA151" s="130">
        <f t="shared" si="55"/>
        <v>0</v>
      </c>
      <c r="AB151" s="130">
        <f t="shared" si="55"/>
        <v>3093290.4024999994</v>
      </c>
      <c r="AC151" s="130">
        <f t="shared" si="55"/>
        <v>3064082.0425</v>
      </c>
      <c r="AD151" s="130">
        <f t="shared" si="55"/>
        <v>3222703.8920833333</v>
      </c>
      <c r="AE151" s="130">
        <f t="shared" si="55"/>
        <v>3745765.6802499997</v>
      </c>
      <c r="AF151" s="130">
        <f t="shared" si="55"/>
        <v>3245155.7902500001</v>
      </c>
      <c r="AG151" s="130">
        <f t="shared" si="55"/>
        <v>3130185.2035833332</v>
      </c>
      <c r="AH151" s="130">
        <f t="shared" si="55"/>
        <v>3409325.1052500005</v>
      </c>
      <c r="AI151" s="130">
        <f t="shared" si="55"/>
        <v>3883836.918583333</v>
      </c>
      <c r="AJ151" s="130">
        <f t="shared" si="55"/>
        <v>2935373.1559166671</v>
      </c>
      <c r="AK151" s="130">
        <f t="shared" si="55"/>
        <v>3451138.0869166669</v>
      </c>
      <c r="AL151" s="130">
        <f t="shared" si="55"/>
        <v>2902562.6594166672</v>
      </c>
      <c r="AM151" s="130">
        <f t="shared" si="55"/>
        <v>6062913.0735833338</v>
      </c>
      <c r="AN151" s="130">
        <f t="shared" si="55"/>
        <v>42146332.010833316</v>
      </c>
      <c r="AO151" s="130">
        <f t="shared" si="55"/>
        <v>25775334.203250002</v>
      </c>
      <c r="AP151" s="130">
        <f t="shared" si="55"/>
        <v>3152345.7691666665</v>
      </c>
      <c r="AQ151" s="130">
        <f t="shared" si="55"/>
        <v>2996640.1791666681</v>
      </c>
      <c r="AR151" s="130">
        <f t="shared" si="55"/>
        <v>3232989.6266666674</v>
      </c>
      <c r="AS151" s="130">
        <f t="shared" si="55"/>
        <v>3445196.122533333</v>
      </c>
      <c r="AT151" s="130">
        <f t="shared" si="55"/>
        <v>2950998.2725333329</v>
      </c>
      <c r="AU151" s="130">
        <f t="shared" si="55"/>
        <v>1112200.7066666668</v>
      </c>
      <c r="AV151" s="130">
        <f t="shared" si="55"/>
        <v>668576.58000000007</v>
      </c>
      <c r="AW151" s="130">
        <f t="shared" si="55"/>
        <v>649080.58000000007</v>
      </c>
      <c r="AX151" s="130">
        <f t="shared" si="55"/>
        <v>637440.2466666667</v>
      </c>
      <c r="AY151" s="130">
        <f t="shared" si="55"/>
        <v>610371.4966666667</v>
      </c>
      <c r="AZ151" s="130">
        <f t="shared" si="55"/>
        <v>529008.00666666671</v>
      </c>
      <c r="BA151" s="130">
        <f t="shared" si="55"/>
        <v>487037.0108333333</v>
      </c>
      <c r="BB151" s="130">
        <f t="shared" si="55"/>
        <v>20471884.597566668</v>
      </c>
      <c r="BC151" s="130">
        <f t="shared" si="55"/>
        <v>59055.366666666683</v>
      </c>
      <c r="BD151" s="130">
        <f t="shared" si="55"/>
        <v>-67441.863333333269</v>
      </c>
      <c r="BE151" s="130">
        <f t="shared" si="55"/>
        <v>10285.734583333346</v>
      </c>
      <c r="BF151" s="130">
        <f t="shared" si="55"/>
        <v>-300569.55771666672</v>
      </c>
      <c r="BG151" s="130">
        <f t="shared" si="55"/>
        <v>-294157.51771666668</v>
      </c>
      <c r="BH151" s="130">
        <f t="shared" si="55"/>
        <v>-2017984.4969166664</v>
      </c>
      <c r="BI151" s="130">
        <f t="shared" si="55"/>
        <v>-2740748.5252500004</v>
      </c>
      <c r="BJ151" s="130">
        <f t="shared" si="55"/>
        <v>-3234756.3385833334</v>
      </c>
      <c r="BK151" s="130">
        <f t="shared" si="55"/>
        <v>-2297932.90925</v>
      </c>
      <c r="BL151" s="130">
        <f t="shared" si="55"/>
        <v>-2840766.5902500004</v>
      </c>
      <c r="BM151" s="130">
        <f t="shared" si="55"/>
        <v>-2373554.6527500004</v>
      </c>
      <c r="BN151" s="130">
        <f t="shared" si="55"/>
        <v>-5575876.0627500005</v>
      </c>
      <c r="BO151" s="130">
        <f t="shared" si="55"/>
        <v>-21674447.413266674</v>
      </c>
      <c r="BP151" s="130">
        <f t="shared" si="55"/>
        <v>0</v>
      </c>
      <c r="BQ151" s="130">
        <f t="shared" si="55"/>
        <v>15778169.970066672</v>
      </c>
    </row>
    <row r="153" spans="1:76" x14ac:dyDescent="0.35">
      <c r="T153" s="6"/>
      <c r="U153" s="155"/>
      <c r="V153" s="159">
        <v>-1322424.2100000002</v>
      </c>
      <c r="AG153" s="6"/>
      <c r="AI153" s="6">
        <f>17920*5</f>
        <v>89600</v>
      </c>
    </row>
    <row r="154" spans="1:76" x14ac:dyDescent="0.35">
      <c r="U154" s="43"/>
      <c r="AE154"/>
      <c r="AF154"/>
      <c r="AG154" s="6"/>
      <c r="AH154" s="167"/>
      <c r="AI154" s="6">
        <f>21000*7</f>
        <v>147000</v>
      </c>
    </row>
    <row r="155" spans="1:76" x14ac:dyDescent="0.35">
      <c r="U155" s="6"/>
    </row>
    <row r="160" spans="1:76" x14ac:dyDescent="0.35">
      <c r="AN160"/>
    </row>
    <row r="161" spans="40:41" x14ac:dyDescent="0.35">
      <c r="AN161"/>
    </row>
    <row r="162" spans="40:41" x14ac:dyDescent="0.35">
      <c r="AN162"/>
    </row>
    <row r="163" spans="40:41" x14ac:dyDescent="0.35">
      <c r="AN163"/>
    </row>
    <row r="164" spans="40:41" x14ac:dyDescent="0.35">
      <c r="AN164"/>
      <c r="AO164" s="157"/>
    </row>
    <row r="165" spans="40:41" x14ac:dyDescent="0.35">
      <c r="AN165"/>
    </row>
    <row r="166" spans="40:41" x14ac:dyDescent="0.35">
      <c r="AN166"/>
    </row>
    <row r="167" spans="40:41" x14ac:dyDescent="0.35">
      <c r="AN167"/>
    </row>
    <row r="168" spans="40:41" x14ac:dyDescent="0.35">
      <c r="AN168"/>
    </row>
  </sheetData>
  <conditionalFormatting sqref="Y1:Z150">
    <cfRule type="cellIs" dxfId="1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5" x14ac:dyDescent="0.35"/>
  <cols>
    <col min="1" max="1" width="15" bestFit="1" customWidth="1"/>
    <col min="2" max="2" width="21.453125" bestFit="1" customWidth="1"/>
    <col min="3" max="3" width="20.81640625" bestFit="1" customWidth="1"/>
    <col min="4" max="4" width="9.1796875" bestFit="1" customWidth="1"/>
    <col min="5" max="5" width="29.1796875" bestFit="1" customWidth="1"/>
    <col min="6" max="6" width="28.81640625" bestFit="1" customWidth="1"/>
    <col min="7" max="7" width="15.453125" bestFit="1" customWidth="1"/>
    <col min="8" max="8" width="12.6328125" bestFit="1" customWidth="1"/>
    <col min="9" max="9" width="11.6328125" bestFit="1" customWidth="1"/>
    <col min="10" max="10" width="10.6328125" bestFit="1" customWidth="1"/>
    <col min="11" max="11" width="13.36328125" bestFit="1" customWidth="1"/>
    <col min="12" max="12" width="9.81640625" bestFit="1" customWidth="1"/>
    <col min="13" max="14" width="13.36328125" bestFit="1" customWidth="1"/>
    <col min="15" max="15" width="13.81640625" bestFit="1" customWidth="1"/>
    <col min="16" max="16" width="29.81640625" bestFit="1" customWidth="1"/>
    <col min="17" max="17" width="17.54296875" bestFit="1" customWidth="1"/>
    <col min="18" max="18" width="16.90625" hidden="1" customWidth="1"/>
    <col min="19" max="19" width="19.36328125" hidden="1" customWidth="1"/>
    <col min="20" max="20" width="11.54296875" hidden="1" customWidth="1"/>
    <col min="21" max="21" width="16.453125" hidden="1" customWidth="1"/>
    <col min="22" max="22" width="15.6328125" bestFit="1" customWidth="1"/>
    <col min="23" max="23" width="22.08984375" bestFit="1" customWidth="1"/>
    <col min="24" max="24" width="15.453125" bestFit="1" customWidth="1"/>
    <col min="26" max="26" width="15.54296875" bestFit="1" customWidth="1"/>
    <col min="27" max="27" width="108" bestFit="1" customWidth="1"/>
    <col min="28" max="39" width="9.1796875" bestFit="1" customWidth="1"/>
    <col min="40" max="41" width="10.81640625" bestFit="1" customWidth="1"/>
    <col min="42" max="42" width="6.36328125" bestFit="1" customWidth="1"/>
    <col min="43" max="44" width="6.81640625" bestFit="1" customWidth="1"/>
    <col min="45" max="45" width="6.54296875" bestFit="1" customWidth="1"/>
    <col min="46" max="46" width="7" bestFit="1" customWidth="1"/>
    <col min="47" max="47" width="6.54296875" bestFit="1" customWidth="1"/>
    <col min="48" max="48" width="5.90625" bestFit="1" customWidth="1"/>
    <col min="49" max="49" width="6.6328125" bestFit="1" customWidth="1"/>
    <col min="50" max="50" width="8.54296875" bestFit="1" customWidth="1"/>
    <col min="51" max="51" width="6.6328125" bestFit="1" customWidth="1"/>
    <col min="52" max="53" width="6.90625" bestFit="1" customWidth="1"/>
    <col min="54" max="54" width="11.6328125" bestFit="1" customWidth="1"/>
    <col min="55" max="55" width="14" bestFit="1" customWidth="1"/>
  </cols>
  <sheetData>
    <row r="1" spans="1:55" x14ac:dyDescent="0.35">
      <c r="A1" s="133" t="s">
        <v>42</v>
      </c>
      <c r="B1" s="133" t="s">
        <v>55</v>
      </c>
      <c r="C1" s="133" t="s">
        <v>80</v>
      </c>
      <c r="D1" s="133" t="s">
        <v>81</v>
      </c>
      <c r="E1" s="133" t="s">
        <v>82</v>
      </c>
      <c r="F1" s="133" t="s">
        <v>83</v>
      </c>
      <c r="G1" s="133" t="s">
        <v>54</v>
      </c>
      <c r="H1" s="134" t="s">
        <v>84</v>
      </c>
      <c r="I1" s="134" t="s">
        <v>85</v>
      </c>
      <c r="J1" s="134" t="s">
        <v>86</v>
      </c>
      <c r="K1" s="133" t="s">
        <v>87</v>
      </c>
      <c r="L1" s="133" t="s">
        <v>88</v>
      </c>
      <c r="M1" s="133" t="s">
        <v>47</v>
      </c>
      <c r="N1" s="133" t="s">
        <v>89</v>
      </c>
      <c r="O1" s="135" t="s">
        <v>90</v>
      </c>
      <c r="P1" s="133" t="s">
        <v>91</v>
      </c>
      <c r="Q1" s="133" t="s">
        <v>92</v>
      </c>
      <c r="R1" s="133" t="s">
        <v>93</v>
      </c>
      <c r="S1" s="133" t="s">
        <v>94</v>
      </c>
      <c r="T1" s="135" t="s">
        <v>95</v>
      </c>
      <c r="U1" s="136" t="s">
        <v>96</v>
      </c>
      <c r="V1" s="136" t="s">
        <v>97</v>
      </c>
      <c r="W1" s="136" t="s">
        <v>98</v>
      </c>
      <c r="X1" s="137" t="s">
        <v>99</v>
      </c>
      <c r="Y1" s="138" t="s">
        <v>100</v>
      </c>
      <c r="Z1" s="138" t="s">
        <v>476</v>
      </c>
      <c r="AA1" s="139" t="s">
        <v>448</v>
      </c>
      <c r="AB1" s="136" t="s">
        <v>449</v>
      </c>
      <c r="AC1" s="136" t="s">
        <v>450</v>
      </c>
      <c r="AD1" s="136" t="s">
        <v>451</v>
      </c>
      <c r="AE1" s="136" t="s">
        <v>464</v>
      </c>
      <c r="AF1" s="135" t="s">
        <v>465</v>
      </c>
      <c r="AG1" s="135" t="s">
        <v>466</v>
      </c>
      <c r="AH1" s="135" t="s">
        <v>467</v>
      </c>
      <c r="AI1" s="135" t="s">
        <v>468</v>
      </c>
      <c r="AJ1" s="135" t="s">
        <v>469</v>
      </c>
      <c r="AK1" s="135" t="s">
        <v>470</v>
      </c>
      <c r="AL1" s="135" t="s">
        <v>471</v>
      </c>
      <c r="AM1" s="135" t="s">
        <v>472</v>
      </c>
      <c r="AN1" s="135" t="s">
        <v>474</v>
      </c>
      <c r="AO1" s="140" t="s">
        <v>824</v>
      </c>
      <c r="AP1" s="141" t="s">
        <v>452</v>
      </c>
      <c r="AQ1" s="141" t="s">
        <v>453</v>
      </c>
      <c r="AR1" s="141" t="s">
        <v>454</v>
      </c>
      <c r="AS1" s="141" t="s">
        <v>455</v>
      </c>
      <c r="AT1" s="142" t="s">
        <v>456</v>
      </c>
      <c r="AU1" s="142" t="s">
        <v>457</v>
      </c>
      <c r="AV1" s="142" t="s">
        <v>458</v>
      </c>
      <c r="AW1" s="142" t="s">
        <v>459</v>
      </c>
      <c r="AX1" s="142" t="s">
        <v>460</v>
      </c>
      <c r="AY1" s="142" t="s">
        <v>461</v>
      </c>
      <c r="AZ1" s="142" t="s">
        <v>462</v>
      </c>
      <c r="BA1" s="142" t="s">
        <v>463</v>
      </c>
      <c r="BB1" s="143" t="s">
        <v>475</v>
      </c>
      <c r="BC1" s="144" t="s">
        <v>473</v>
      </c>
    </row>
    <row r="2" spans="1:55" x14ac:dyDescent="0.35">
      <c r="A2" s="145" t="s">
        <v>843</v>
      </c>
      <c r="B2" s="145" t="s">
        <v>844</v>
      </c>
      <c r="C2" s="145"/>
      <c r="D2" s="10" t="s">
        <v>856</v>
      </c>
      <c r="E2" s="7" t="s">
        <v>857</v>
      </c>
      <c r="F2" s="146" t="s">
        <v>114</v>
      </c>
      <c r="G2" s="146" t="s">
        <v>53</v>
      </c>
      <c r="H2" s="147"/>
      <c r="I2" s="147"/>
      <c r="J2" s="145"/>
      <c r="K2" s="146"/>
      <c r="L2" s="145" t="s">
        <v>106</v>
      </c>
      <c r="M2" s="145" t="s">
        <v>7</v>
      </c>
      <c r="N2" s="145" t="s">
        <v>7</v>
      </c>
      <c r="O2" s="145" t="s">
        <v>421</v>
      </c>
      <c r="P2" s="145" t="s">
        <v>107</v>
      </c>
      <c r="Q2" s="145" t="s">
        <v>108</v>
      </c>
      <c r="R2" s="145" t="s">
        <v>108</v>
      </c>
      <c r="S2" s="145"/>
      <c r="T2" s="148"/>
      <c r="U2" s="149"/>
      <c r="V2" s="149">
        <v>-2002970</v>
      </c>
      <c r="W2" s="149">
        <f t="shared" ref="W2" si="0">AO2+IF(ISBLANK(AP2),AB2,AP2)+IF(ISBLANK(AQ2),AC2,AQ2)+IF(ISBLANK(AR2),AD2,AR2)+IF(ISBLANK(AS2),AE2,AS2)</f>
        <v>-2002970.0000000002</v>
      </c>
      <c r="X2" s="149">
        <f>IF(V2 &gt;= W2, V2 - W2, 0)*-1</f>
        <v>-2.3283064365386963E-10</v>
      </c>
      <c r="Y2" s="149">
        <f t="shared" ref="Y2" si="1">IF(W2 &gt; V2, W2 - V2, 0)</f>
        <v>0</v>
      </c>
      <c r="Z2" s="149">
        <f>SUM(X2:Y2)</f>
        <v>-2.3283064365386963E-10</v>
      </c>
      <c r="AA2" s="14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4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50">
        <f>SUM(AP2:BA2)</f>
        <v>0</v>
      </c>
      <c r="BC2" s="151"/>
    </row>
    <row r="3" spans="1:55" x14ac:dyDescent="0.35">
      <c r="A3" s="145" t="s">
        <v>101</v>
      </c>
      <c r="B3" s="145" t="s">
        <v>855</v>
      </c>
      <c r="C3" s="145"/>
      <c r="D3" s="10" t="s">
        <v>856</v>
      </c>
      <c r="E3" s="7" t="s">
        <v>857</v>
      </c>
      <c r="F3" s="146" t="s">
        <v>114</v>
      </c>
      <c r="G3" s="146" t="s">
        <v>53</v>
      </c>
      <c r="H3" s="147">
        <v>46111</v>
      </c>
      <c r="I3" s="147">
        <v>46252</v>
      </c>
      <c r="J3" s="145"/>
      <c r="K3" s="146"/>
      <c r="L3" s="145" t="s">
        <v>106</v>
      </c>
      <c r="M3" s="145" t="s">
        <v>7</v>
      </c>
      <c r="N3" s="145" t="s">
        <v>186</v>
      </c>
      <c r="O3" s="145" t="s">
        <v>862</v>
      </c>
      <c r="P3" s="145" t="s">
        <v>107</v>
      </c>
      <c r="Q3" s="145" t="s">
        <v>108</v>
      </c>
      <c r="R3" s="145" t="s">
        <v>108</v>
      </c>
      <c r="S3" s="145" t="s">
        <v>862</v>
      </c>
      <c r="T3" s="152">
        <v>0</v>
      </c>
      <c r="U3" s="152">
        <v>0</v>
      </c>
      <c r="V3" s="149">
        <v>1096541</v>
      </c>
      <c r="W3" s="149">
        <f t="shared" ref="W3:W6" si="3">AO3+IF(ISBLANK(AP3),AB3,AP3)+IF(ISBLANK(AQ3),AC3,AQ3)+IF(ISBLANK(AR3),AD3,AR3)+IF(ISBLANK(AS3),AE3,AS3)</f>
        <v>1096541</v>
      </c>
      <c r="X3" s="149">
        <f t="shared" ref="X3:X6" si="4">IF(V3 &gt;= W3, V3 - W3, 0)*-1</f>
        <v>0</v>
      </c>
      <c r="Y3" s="149">
        <f t="shared" ref="Y3:Y6" si="5">IF(W3 &gt; V3, W3 - V3, 0)</f>
        <v>0</v>
      </c>
      <c r="Z3" s="149">
        <f t="shared" ref="Z3:Z6" si="6">SUM(X3:Y3)</f>
        <v>0</v>
      </c>
      <c r="AA3" s="14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4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50">
        <f t="shared" ref="BB3:BB8" si="9">SUM(AP3:BA3)</f>
        <v>0</v>
      </c>
      <c r="BC3" s="151"/>
    </row>
    <row r="4" spans="1:55" x14ac:dyDescent="0.35">
      <c r="A4" s="145" t="s">
        <v>101</v>
      </c>
      <c r="B4" s="145" t="s">
        <v>846</v>
      </c>
      <c r="C4" s="145"/>
      <c r="D4" s="10" t="s">
        <v>856</v>
      </c>
      <c r="E4" s="7" t="s">
        <v>857</v>
      </c>
      <c r="F4" s="146" t="s">
        <v>114</v>
      </c>
      <c r="G4" s="146" t="s">
        <v>53</v>
      </c>
      <c r="H4" s="147">
        <v>46083</v>
      </c>
      <c r="I4" s="147">
        <v>46129</v>
      </c>
      <c r="J4" s="145"/>
      <c r="K4" s="146"/>
      <c r="L4" s="145" t="s">
        <v>106</v>
      </c>
      <c r="M4" s="145" t="s">
        <v>7</v>
      </c>
      <c r="N4" s="145" t="s">
        <v>865</v>
      </c>
      <c r="O4" s="145" t="s">
        <v>866</v>
      </c>
      <c r="P4" s="145" t="s">
        <v>107</v>
      </c>
      <c r="Q4" s="145" t="s">
        <v>108</v>
      </c>
      <c r="R4" s="145" t="s">
        <v>108</v>
      </c>
      <c r="S4" s="145" t="s">
        <v>2</v>
      </c>
      <c r="T4" s="152">
        <v>0</v>
      </c>
      <c r="U4" s="152">
        <v>0</v>
      </c>
      <c r="V4" s="149">
        <v>84400</v>
      </c>
      <c r="W4" s="149">
        <f t="shared" si="3"/>
        <v>0</v>
      </c>
      <c r="X4" s="149">
        <f t="shared" si="4"/>
        <v>-84400</v>
      </c>
      <c r="Y4" s="149">
        <f t="shared" si="5"/>
        <v>0</v>
      </c>
      <c r="Z4" s="149">
        <f t="shared" si="6"/>
        <v>-84400</v>
      </c>
      <c r="AA4" s="146" t="s">
        <v>867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4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50">
        <f t="shared" si="9"/>
        <v>0</v>
      </c>
      <c r="BC4" s="151"/>
    </row>
    <row r="5" spans="1:55" x14ac:dyDescent="0.35">
      <c r="A5" s="145" t="s">
        <v>101</v>
      </c>
      <c r="B5" s="145" t="s">
        <v>847</v>
      </c>
      <c r="C5" s="145" t="s">
        <v>858</v>
      </c>
      <c r="D5" s="10" t="s">
        <v>856</v>
      </c>
      <c r="E5" s="7" t="s">
        <v>857</v>
      </c>
      <c r="F5" s="146" t="s">
        <v>114</v>
      </c>
      <c r="G5" s="146" t="s">
        <v>53</v>
      </c>
      <c r="H5" s="147">
        <v>46155</v>
      </c>
      <c r="I5" s="147">
        <v>47374</v>
      </c>
      <c r="J5" s="145"/>
      <c r="K5" s="146"/>
      <c r="L5" s="145" t="s">
        <v>106</v>
      </c>
      <c r="M5" s="145" t="s">
        <v>7</v>
      </c>
      <c r="N5" s="145" t="s">
        <v>165</v>
      </c>
      <c r="O5" s="145" t="s">
        <v>200</v>
      </c>
      <c r="P5" s="145" t="s">
        <v>107</v>
      </c>
      <c r="Q5" s="145" t="s">
        <v>108</v>
      </c>
      <c r="R5" s="145" t="s">
        <v>108</v>
      </c>
      <c r="S5" s="145" t="s">
        <v>864</v>
      </c>
      <c r="T5" s="152">
        <v>0</v>
      </c>
      <c r="U5" s="152">
        <v>0</v>
      </c>
      <c r="V5" s="149">
        <f>183812</f>
        <v>183812</v>
      </c>
      <c r="W5" s="149">
        <f t="shared" si="3"/>
        <v>183812</v>
      </c>
      <c r="X5" s="149">
        <f t="shared" si="4"/>
        <v>0</v>
      </c>
      <c r="Y5" s="149">
        <f t="shared" si="5"/>
        <v>0</v>
      </c>
      <c r="Z5" s="149">
        <f t="shared" si="6"/>
        <v>0</v>
      </c>
      <c r="AA5" s="146" t="s">
        <v>863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4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50">
        <f t="shared" si="9"/>
        <v>183812</v>
      </c>
      <c r="BC5" s="151" t="s">
        <v>873</v>
      </c>
    </row>
    <row r="6" spans="1:55" x14ac:dyDescent="0.35">
      <c r="A6" s="145" t="s">
        <v>101</v>
      </c>
      <c r="B6" s="145" t="s">
        <v>848</v>
      </c>
      <c r="C6" s="145"/>
      <c r="D6" s="10" t="s">
        <v>856</v>
      </c>
      <c r="E6" s="7" t="s">
        <v>857</v>
      </c>
      <c r="F6" s="146" t="s">
        <v>114</v>
      </c>
      <c r="G6" s="146" t="s">
        <v>53</v>
      </c>
      <c r="H6" s="147">
        <v>46174</v>
      </c>
      <c r="I6" s="147">
        <v>47269</v>
      </c>
      <c r="J6" s="145"/>
      <c r="K6" s="146"/>
      <c r="L6" s="145" t="s">
        <v>106</v>
      </c>
      <c r="M6" s="145" t="s">
        <v>7</v>
      </c>
      <c r="N6" s="145" t="s">
        <v>165</v>
      </c>
      <c r="O6" s="145" t="s">
        <v>870</v>
      </c>
      <c r="P6" s="145" t="s">
        <v>107</v>
      </c>
      <c r="Q6" s="145" t="s">
        <v>108</v>
      </c>
      <c r="R6" s="145" t="s">
        <v>108</v>
      </c>
      <c r="S6" s="145"/>
      <c r="T6" s="152">
        <v>0</v>
      </c>
      <c r="U6" s="152">
        <v>0</v>
      </c>
      <c r="V6" s="149">
        <v>240000</v>
      </c>
      <c r="W6" s="149">
        <f t="shared" si="3"/>
        <v>240000</v>
      </c>
      <c r="X6" s="149">
        <f t="shared" si="4"/>
        <v>0</v>
      </c>
      <c r="Y6" s="149">
        <f t="shared" si="5"/>
        <v>0</v>
      </c>
      <c r="Z6" s="149">
        <f t="shared" si="6"/>
        <v>0</v>
      </c>
      <c r="AA6" s="146" t="s">
        <v>871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4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50">
        <f t="shared" si="9"/>
        <v>0</v>
      </c>
      <c r="BC6" s="151" t="s">
        <v>872</v>
      </c>
    </row>
    <row r="7" spans="1:55" x14ac:dyDescent="0.35">
      <c r="A7" s="145" t="s">
        <v>101</v>
      </c>
      <c r="B7" s="145" t="s">
        <v>845</v>
      </c>
      <c r="C7" s="145"/>
      <c r="D7" s="10" t="s">
        <v>856</v>
      </c>
      <c r="E7" s="7" t="s">
        <v>857</v>
      </c>
      <c r="F7" s="146" t="s">
        <v>114</v>
      </c>
      <c r="G7" s="146" t="s">
        <v>53</v>
      </c>
      <c r="H7" s="147">
        <v>46143</v>
      </c>
      <c r="I7" s="147">
        <v>46234</v>
      </c>
      <c r="J7" s="145"/>
      <c r="K7" s="146"/>
      <c r="L7" s="145" t="s">
        <v>106</v>
      </c>
      <c r="M7" s="145" t="s">
        <v>7</v>
      </c>
      <c r="N7" s="145" t="s">
        <v>165</v>
      </c>
      <c r="O7" s="145" t="s">
        <v>165</v>
      </c>
      <c r="P7" s="145" t="s">
        <v>107</v>
      </c>
      <c r="Q7" s="145" t="s">
        <v>108</v>
      </c>
      <c r="R7" s="145" t="s">
        <v>108</v>
      </c>
      <c r="S7" s="145" t="s">
        <v>860</v>
      </c>
      <c r="T7" s="152">
        <v>0</v>
      </c>
      <c r="U7" s="152">
        <v>0</v>
      </c>
      <c r="V7" s="149">
        <v>2828.06</v>
      </c>
      <c r="W7" s="149">
        <f t="shared" ref="W7" si="10">AO7+IF(ISBLANK(AP7),AB7,AP7)+IF(ISBLANK(AQ7),AC7,AQ7)+IF(ISBLANK(AR7),AD7,AR7)+IF(ISBLANK(AS7),AE7,AS7)</f>
        <v>2828.06</v>
      </c>
      <c r="X7" s="149">
        <f t="shared" ref="X7" si="11">IF(V7 &gt;= W7, V7 - W7, 0)*-1</f>
        <v>0</v>
      </c>
      <c r="Y7" s="149">
        <f t="shared" ref="Y7" si="12">IF(W7 &gt; V7, W7 - V7, 0)</f>
        <v>0</v>
      </c>
      <c r="Z7" s="149">
        <f t="shared" ref="Z7" si="13">SUM(X7:Y7)</f>
        <v>0</v>
      </c>
      <c r="AA7" s="146" t="s">
        <v>859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4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50">
        <f t="shared" si="9"/>
        <v>2913.55</v>
      </c>
      <c r="BC7" s="151"/>
    </row>
    <row r="8" spans="1:55" x14ac:dyDescent="0.35">
      <c r="A8" s="145" t="s">
        <v>101</v>
      </c>
      <c r="B8" s="145" t="s">
        <v>868</v>
      </c>
      <c r="C8" s="145" t="s">
        <v>869</v>
      </c>
      <c r="D8" s="10" t="s">
        <v>856</v>
      </c>
      <c r="E8" s="7" t="s">
        <v>857</v>
      </c>
      <c r="F8" s="146" t="s">
        <v>114</v>
      </c>
      <c r="G8" s="146" t="s">
        <v>53</v>
      </c>
      <c r="H8" s="147"/>
      <c r="I8" s="147"/>
      <c r="J8" s="145"/>
      <c r="K8" s="146"/>
      <c r="L8" s="145" t="s">
        <v>106</v>
      </c>
      <c r="M8" s="145" t="s">
        <v>7</v>
      </c>
      <c r="N8" s="145"/>
      <c r="O8" s="145"/>
      <c r="P8" s="145" t="s">
        <v>107</v>
      </c>
      <c r="Q8" s="145" t="s">
        <v>108</v>
      </c>
      <c r="R8" s="145" t="s">
        <v>108</v>
      </c>
      <c r="S8" s="145"/>
      <c r="T8" s="152">
        <v>0</v>
      </c>
      <c r="U8" s="152">
        <v>0</v>
      </c>
      <c r="V8" s="149"/>
      <c r="W8" s="149"/>
      <c r="X8" s="149"/>
      <c r="Y8" s="149"/>
      <c r="Z8" s="149"/>
      <c r="AA8" s="146" t="s">
        <v>895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4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50">
        <f t="shared" si="9"/>
        <v>9945</v>
      </c>
      <c r="BC8" s="151"/>
    </row>
    <row r="10" spans="1:55" s="153" customFormat="1" x14ac:dyDescent="0.35">
      <c r="U10" s="153" t="s">
        <v>861</v>
      </c>
      <c r="V10" s="154">
        <f>SUM(V2:V8)</f>
        <v>-395388.94</v>
      </c>
      <c r="W10" s="154">
        <f t="shared" ref="W10:BB10" si="16">SUM(W2:W8)</f>
        <v>-479788.94000000024</v>
      </c>
      <c r="X10" s="154">
        <f t="shared" si="16"/>
        <v>-84400.000000000233</v>
      </c>
      <c r="Y10" s="154">
        <f t="shared" si="16"/>
        <v>0</v>
      </c>
      <c r="Z10" s="154">
        <f t="shared" si="16"/>
        <v>-84400.000000000233</v>
      </c>
      <c r="AA10" s="154"/>
      <c r="AB10" s="154">
        <f t="shared" si="16"/>
        <v>-166914.16666666666</v>
      </c>
      <c r="AC10" s="154">
        <f t="shared" si="16"/>
        <v>-166914.16666666666</v>
      </c>
      <c r="AD10" s="154">
        <f t="shared" si="16"/>
        <v>-166914.16666666666</v>
      </c>
      <c r="AE10" s="154">
        <f t="shared" si="16"/>
        <v>31565.833333333343</v>
      </c>
      <c r="AF10" s="154">
        <f t="shared" si="16"/>
        <v>-164086.10666666666</v>
      </c>
      <c r="AG10" s="154">
        <f t="shared" si="16"/>
        <v>-126914.16666666666</v>
      </c>
      <c r="AH10" s="154">
        <f t="shared" si="16"/>
        <v>-166914.16666666666</v>
      </c>
      <c r="AI10" s="154">
        <f t="shared" si="16"/>
        <v>731146.83333333337</v>
      </c>
      <c r="AJ10" s="154">
        <f t="shared" si="16"/>
        <v>16897.833333333343</v>
      </c>
      <c r="AK10" s="154">
        <f t="shared" si="16"/>
        <v>33085.833333333343</v>
      </c>
      <c r="AL10" s="154">
        <f t="shared" si="16"/>
        <v>-166914.16666666666</v>
      </c>
      <c r="AM10" s="154">
        <f t="shared" si="16"/>
        <v>-166914.16666666666</v>
      </c>
      <c r="AN10" s="154">
        <f t="shared" si="16"/>
        <v>-479788.94000000024</v>
      </c>
      <c r="AO10" s="154">
        <f t="shared" si="16"/>
        <v>-10612.273333333256</v>
      </c>
      <c r="AP10" s="154">
        <f t="shared" si="16"/>
        <v>0</v>
      </c>
      <c r="AQ10" s="154">
        <f t="shared" si="16"/>
        <v>0</v>
      </c>
      <c r="AR10" s="154">
        <f t="shared" si="16"/>
        <v>6495</v>
      </c>
      <c r="AS10" s="154">
        <f t="shared" si="16"/>
        <v>0</v>
      </c>
      <c r="AT10" s="154">
        <f t="shared" si="16"/>
        <v>5213.55</v>
      </c>
      <c r="AU10" s="154">
        <f t="shared" si="16"/>
        <v>1150</v>
      </c>
      <c r="AV10" s="154">
        <f t="shared" si="16"/>
        <v>0</v>
      </c>
      <c r="AW10" s="154">
        <f t="shared" si="16"/>
        <v>0</v>
      </c>
      <c r="AX10" s="154">
        <f t="shared" si="16"/>
        <v>183812</v>
      </c>
      <c r="AY10" s="154">
        <f t="shared" si="16"/>
        <v>0</v>
      </c>
      <c r="AZ10" s="154">
        <f t="shared" si="16"/>
        <v>0</v>
      </c>
      <c r="BA10" s="154">
        <f t="shared" si="16"/>
        <v>0</v>
      </c>
      <c r="BB10" s="154">
        <f t="shared" si="16"/>
        <v>196670.55</v>
      </c>
    </row>
  </sheetData>
  <conditionalFormatting sqref="Y1:Z8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1:U84"/>
  <sheetViews>
    <sheetView workbookViewId="0">
      <pane xSplit="1" ySplit="2" topLeftCell="M3" activePane="bottomRight" state="frozen"/>
      <selection pane="topRight" activeCell="B1" sqref="B1"/>
      <selection pane="bottomLeft" activeCell="A3" sqref="A3"/>
      <selection pane="bottomRight" activeCell="P8" sqref="P8"/>
    </sheetView>
  </sheetViews>
  <sheetFormatPr defaultRowHeight="14.5" x14ac:dyDescent="0.35"/>
  <cols>
    <col min="1" max="1" width="17.81640625" bestFit="1" customWidth="1"/>
    <col min="2" max="2" width="11.36328125" bestFit="1" customWidth="1"/>
    <col min="3" max="3" width="21.90625" bestFit="1" customWidth="1"/>
    <col min="4" max="4" width="21.81640625" bestFit="1" customWidth="1"/>
    <col min="5" max="5" width="14.81640625" bestFit="1" customWidth="1"/>
    <col min="6" max="6" width="12.1796875" bestFit="1" customWidth="1"/>
    <col min="7" max="8" width="12.6328125" bestFit="1" customWidth="1"/>
    <col min="9" max="9" width="17.90625" bestFit="1" customWidth="1"/>
    <col min="10" max="10" width="12.36328125" bestFit="1" customWidth="1"/>
    <col min="11" max="13" width="12.81640625" bestFit="1" customWidth="1"/>
    <col min="14" max="14" width="12.81640625" customWidth="1"/>
    <col min="15" max="15" width="42.81640625" bestFit="1" customWidth="1"/>
    <col min="16" max="16" width="24.08984375" style="112" bestFit="1" customWidth="1"/>
    <col min="17" max="17" width="14.453125" bestFit="1" customWidth="1"/>
    <col min="18" max="18" width="14.90625" bestFit="1" customWidth="1"/>
    <col min="19" max="19" width="14.54296875" bestFit="1" customWidth="1"/>
    <col min="20" max="20" width="15" bestFit="1" customWidth="1"/>
    <col min="21" max="21" width="20.08984375" bestFit="1" customWidth="1"/>
    <col min="22" max="23" width="19" bestFit="1" customWidth="1"/>
    <col min="24" max="24" width="20" bestFit="1" customWidth="1"/>
  </cols>
  <sheetData>
    <row r="1" spans="1:21" x14ac:dyDescent="0.35">
      <c r="A1" s="8" t="s">
        <v>47</v>
      </c>
      <c r="B1" t="s">
        <v>489</v>
      </c>
      <c r="O1" s="8" t="s">
        <v>54</v>
      </c>
      <c r="P1" t="s">
        <v>43</v>
      </c>
    </row>
    <row r="2" spans="1:21" x14ac:dyDescent="0.35">
      <c r="O2" s="8" t="s">
        <v>47</v>
      </c>
      <c r="P2" t="s">
        <v>43</v>
      </c>
    </row>
    <row r="3" spans="1:21" x14ac:dyDescent="0.35">
      <c r="C3" s="8" t="s">
        <v>501</v>
      </c>
      <c r="E3" s="103"/>
      <c r="H3" s="103"/>
      <c r="J3" s="111"/>
      <c r="K3" s="111"/>
      <c r="L3" s="111"/>
    </row>
    <row r="4" spans="1:21" x14ac:dyDescent="0.35">
      <c r="A4" s="8" t="s">
        <v>54</v>
      </c>
      <c r="B4" s="8" t="s">
        <v>81</v>
      </c>
      <c r="C4" t="s">
        <v>0</v>
      </c>
      <c r="D4" t="s">
        <v>494</v>
      </c>
      <c r="E4" t="s">
        <v>525</v>
      </c>
      <c r="F4" t="s">
        <v>502</v>
      </c>
      <c r="G4" t="s">
        <v>504</v>
      </c>
      <c r="H4" t="s">
        <v>506</v>
      </c>
      <c r="I4" s="111" t="s">
        <v>526</v>
      </c>
      <c r="J4" s="111" t="s">
        <v>503</v>
      </c>
      <c r="K4" s="111" t="s">
        <v>505</v>
      </c>
      <c r="L4" s="111" t="s">
        <v>507</v>
      </c>
      <c r="P4" s="8" t="s">
        <v>501</v>
      </c>
    </row>
    <row r="5" spans="1:21" x14ac:dyDescent="0.35">
      <c r="A5" t="s">
        <v>48</v>
      </c>
      <c r="B5" t="s">
        <v>18</v>
      </c>
      <c r="C5" s="102">
        <v>415000</v>
      </c>
      <c r="D5" s="102">
        <v>-97500</v>
      </c>
      <c r="E5" s="102">
        <v>317500</v>
      </c>
      <c r="F5" s="102"/>
      <c r="G5" s="102"/>
      <c r="H5" s="102"/>
      <c r="I5" s="102">
        <v>0</v>
      </c>
      <c r="J5" s="102"/>
      <c r="K5" s="102"/>
      <c r="L5" s="102"/>
      <c r="N5" s="102"/>
      <c r="O5" s="8" t="s">
        <v>55</v>
      </c>
      <c r="P5" t="s">
        <v>0</v>
      </c>
      <c r="Q5" t="s">
        <v>502</v>
      </c>
      <c r="R5" t="s">
        <v>504</v>
      </c>
      <c r="S5" t="s">
        <v>503</v>
      </c>
      <c r="T5" t="s">
        <v>505</v>
      </c>
      <c r="U5" t="s">
        <v>526</v>
      </c>
    </row>
    <row r="6" spans="1:21" x14ac:dyDescent="0.35">
      <c r="B6" t="s">
        <v>22</v>
      </c>
      <c r="C6" s="102">
        <v>1869054.4455000001</v>
      </c>
      <c r="D6" s="102">
        <v>66958.434500000003</v>
      </c>
      <c r="E6" s="102">
        <v>1951834.24</v>
      </c>
      <c r="F6" s="102">
        <v>144479.74</v>
      </c>
      <c r="G6" s="102">
        <v>238610.75</v>
      </c>
      <c r="H6" s="102">
        <v>136495</v>
      </c>
      <c r="I6" s="102">
        <v>793161.13</v>
      </c>
      <c r="J6" s="102">
        <v>144479.74</v>
      </c>
      <c r="K6" s="102">
        <v>233808.29</v>
      </c>
      <c r="L6" s="102">
        <v>136240.20000000001</v>
      </c>
      <c r="N6" s="102"/>
      <c r="O6" t="s">
        <v>400</v>
      </c>
      <c r="P6" s="102">
        <v>262896</v>
      </c>
      <c r="Q6" s="102">
        <v>0</v>
      </c>
      <c r="R6" s="102">
        <v>0</v>
      </c>
      <c r="S6" s="102">
        <v>0</v>
      </c>
      <c r="T6" s="102">
        <v>0</v>
      </c>
      <c r="U6" s="102">
        <v>0</v>
      </c>
    </row>
    <row r="7" spans="1:21" x14ac:dyDescent="0.35">
      <c r="B7" t="s">
        <v>29</v>
      </c>
      <c r="C7" s="102">
        <v>1655008.7341499999</v>
      </c>
      <c r="D7" s="102">
        <v>-276903.76415</v>
      </c>
      <c r="E7" s="102">
        <v>1375852.12</v>
      </c>
      <c r="F7" s="102">
        <v>123112.15666666666</v>
      </c>
      <c r="G7" s="102">
        <v>101337.15666666666</v>
      </c>
      <c r="H7" s="102">
        <v>145797.30666666667</v>
      </c>
      <c r="I7" s="102">
        <v>1203510.5741666667</v>
      </c>
      <c r="J7" s="102">
        <v>123112.15666666666</v>
      </c>
      <c r="K7" s="102">
        <v>101337.15666666666</v>
      </c>
      <c r="L7" s="102">
        <v>148050.15666666668</v>
      </c>
      <c r="N7" s="102"/>
      <c r="O7" t="s">
        <v>322</v>
      </c>
      <c r="P7" s="102">
        <v>191646</v>
      </c>
      <c r="Q7" s="102"/>
      <c r="R7" s="102"/>
      <c r="S7" s="102"/>
      <c r="T7" s="102"/>
      <c r="U7" s="102">
        <v>128265.00749999999</v>
      </c>
    </row>
    <row r="8" spans="1:21" x14ac:dyDescent="0.35">
      <c r="B8" t="s">
        <v>30</v>
      </c>
      <c r="C8" s="102">
        <v>370532.91749999998</v>
      </c>
      <c r="D8" s="102">
        <v>-88632.477499999994</v>
      </c>
      <c r="E8" s="102">
        <v>297183</v>
      </c>
      <c r="F8" s="102">
        <v>15957</v>
      </c>
      <c r="G8" s="102">
        <v>15000</v>
      </c>
      <c r="H8" s="102">
        <v>35397.5</v>
      </c>
      <c r="I8" s="102">
        <v>87021.94</v>
      </c>
      <c r="J8" s="102">
        <v>15957.23</v>
      </c>
      <c r="K8" s="102">
        <v>15000</v>
      </c>
      <c r="L8" s="102">
        <v>20114.71</v>
      </c>
      <c r="N8" s="102"/>
      <c r="O8" t="s">
        <v>407</v>
      </c>
      <c r="P8" s="102">
        <v>1778445.9000000001</v>
      </c>
      <c r="Q8" s="102">
        <v>155389.33499999999</v>
      </c>
      <c r="R8" s="102">
        <v>155389.33499999999</v>
      </c>
      <c r="S8" s="102">
        <v>155389.33499999999</v>
      </c>
      <c r="T8" s="102">
        <v>155389.33499999999</v>
      </c>
      <c r="U8" s="102">
        <v>1864672.0199999998</v>
      </c>
    </row>
    <row r="9" spans="1:21" x14ac:dyDescent="0.35">
      <c r="B9" t="s">
        <v>32</v>
      </c>
      <c r="C9" s="102">
        <v>1344000</v>
      </c>
      <c r="D9" s="102">
        <v>-384000</v>
      </c>
      <c r="E9" s="102">
        <v>960000</v>
      </c>
      <c r="F9" s="102">
        <v>160000</v>
      </c>
      <c r="G9" s="102">
        <v>160000</v>
      </c>
      <c r="H9" s="102">
        <v>160000</v>
      </c>
      <c r="I9" s="102">
        <v>800000</v>
      </c>
      <c r="J9" s="102">
        <v>160000</v>
      </c>
      <c r="K9" s="102">
        <v>160000</v>
      </c>
      <c r="L9" s="102">
        <v>160000</v>
      </c>
      <c r="N9" s="102"/>
      <c r="O9" t="s">
        <v>358</v>
      </c>
      <c r="P9" s="102">
        <v>292</v>
      </c>
      <c r="Q9" s="102"/>
      <c r="R9" s="102"/>
      <c r="S9" s="102"/>
      <c r="T9" s="102"/>
      <c r="U9" s="102">
        <v>0</v>
      </c>
    </row>
    <row r="10" spans="1:21" x14ac:dyDescent="0.35">
      <c r="B10" t="s">
        <v>33</v>
      </c>
      <c r="C10" s="102">
        <v>7470</v>
      </c>
      <c r="D10" s="102">
        <v>0</v>
      </c>
      <c r="E10" s="102">
        <v>7470</v>
      </c>
      <c r="F10" s="102"/>
      <c r="G10" s="102"/>
      <c r="H10" s="102"/>
      <c r="I10" s="102">
        <v>0</v>
      </c>
      <c r="J10" s="102"/>
      <c r="K10" s="102"/>
      <c r="L10" s="102"/>
      <c r="N10" s="102"/>
      <c r="O10" t="s">
        <v>73</v>
      </c>
      <c r="P10" s="102">
        <v>3649280</v>
      </c>
      <c r="Q10" s="102">
        <v>308160</v>
      </c>
      <c r="R10" s="102">
        <v>308160</v>
      </c>
      <c r="S10" s="102">
        <v>278680</v>
      </c>
      <c r="T10" s="102">
        <v>263381</v>
      </c>
      <c r="U10" s="102">
        <v>869353</v>
      </c>
    </row>
    <row r="11" spans="1:21" x14ac:dyDescent="0.35">
      <c r="B11" t="s">
        <v>34</v>
      </c>
      <c r="C11" s="102">
        <v>600000</v>
      </c>
      <c r="D11" s="102">
        <v>0</v>
      </c>
      <c r="E11" s="102">
        <v>600000</v>
      </c>
      <c r="F11" s="102"/>
      <c r="G11" s="102"/>
      <c r="H11" s="102"/>
      <c r="I11" s="102">
        <v>0</v>
      </c>
      <c r="J11" s="102"/>
      <c r="K11" s="102"/>
      <c r="L11" s="102"/>
      <c r="N11" s="102"/>
      <c r="O11" t="s">
        <v>121</v>
      </c>
      <c r="P11" s="102">
        <v>100000</v>
      </c>
      <c r="Q11" s="102">
        <v>7600</v>
      </c>
      <c r="R11" s="102">
        <v>7600</v>
      </c>
      <c r="S11" s="102">
        <v>7600</v>
      </c>
      <c r="T11" s="102">
        <v>7600</v>
      </c>
      <c r="U11" s="102">
        <v>54415</v>
      </c>
    </row>
    <row r="12" spans="1:21" x14ac:dyDescent="0.35">
      <c r="B12" t="s">
        <v>37</v>
      </c>
      <c r="C12" s="102">
        <v>748667.5</v>
      </c>
      <c r="D12" s="102">
        <v>-500000</v>
      </c>
      <c r="E12" s="102">
        <v>248667.49999999997</v>
      </c>
      <c r="F12" s="102">
        <v>16666.666666666668</v>
      </c>
      <c r="G12" s="102">
        <v>16666.666666666668</v>
      </c>
      <c r="H12" s="102">
        <v>16666.666666666668</v>
      </c>
      <c r="I12" s="102">
        <v>100000.00000000001</v>
      </c>
      <c r="J12" s="102">
        <v>16666.666666666668</v>
      </c>
      <c r="K12" s="102">
        <v>16666.666666666668</v>
      </c>
      <c r="L12" s="102">
        <v>16666.666666666668</v>
      </c>
      <c r="N12" s="102"/>
      <c r="O12" t="s">
        <v>368</v>
      </c>
      <c r="P12" s="102">
        <v>4409</v>
      </c>
      <c r="Q12" s="102">
        <v>4409</v>
      </c>
      <c r="R12" s="102"/>
      <c r="S12" s="102">
        <v>4982.8</v>
      </c>
      <c r="T12" s="102"/>
      <c r="U12" s="102">
        <v>4982.8</v>
      </c>
    </row>
    <row r="13" spans="1:21" ht="14.4" customHeight="1" x14ac:dyDescent="0.35">
      <c r="B13" t="s">
        <v>186</v>
      </c>
      <c r="C13" s="102">
        <v>2998080</v>
      </c>
      <c r="D13" s="102">
        <v>2515374.92</v>
      </c>
      <c r="E13" s="102">
        <v>5474400</v>
      </c>
      <c r="F13" s="102">
        <v>398240</v>
      </c>
      <c r="G13" s="102">
        <v>398240</v>
      </c>
      <c r="H13" s="102">
        <v>398240</v>
      </c>
      <c r="I13" s="102">
        <v>1702574.92</v>
      </c>
      <c r="J13" s="102">
        <v>398128.56</v>
      </c>
      <c r="K13" s="102">
        <v>406181.8</v>
      </c>
      <c r="L13" s="102">
        <v>473188.56</v>
      </c>
      <c r="N13" s="102"/>
      <c r="O13" t="s">
        <v>58</v>
      </c>
      <c r="P13" s="102">
        <v>36345</v>
      </c>
      <c r="Q13" s="102">
        <v>3028.75</v>
      </c>
      <c r="R13" s="102">
        <v>3028.75</v>
      </c>
      <c r="S13" s="102">
        <v>3283.4</v>
      </c>
      <c r="T13" s="102">
        <v>2291.8200000000002</v>
      </c>
      <c r="U13" s="102">
        <v>9883.380000000001</v>
      </c>
    </row>
    <row r="14" spans="1:21" x14ac:dyDescent="0.35">
      <c r="A14" t="s">
        <v>495</v>
      </c>
      <c r="C14" s="102">
        <v>10007813.59715</v>
      </c>
      <c r="D14" s="102">
        <v>1235297.1128499999</v>
      </c>
      <c r="E14" s="102">
        <v>11232906.859999999</v>
      </c>
      <c r="F14" s="102">
        <v>858455.56333333335</v>
      </c>
      <c r="G14" s="102">
        <v>929854.57333333336</v>
      </c>
      <c r="H14" s="102">
        <v>892596.47333333339</v>
      </c>
      <c r="I14" s="102">
        <v>4686268.5641666669</v>
      </c>
      <c r="J14" s="102">
        <v>858344.35333333327</v>
      </c>
      <c r="K14" s="102">
        <v>932993.91333333333</v>
      </c>
      <c r="L14" s="102">
        <v>954260.29333333345</v>
      </c>
      <c r="N14" s="102"/>
      <c r="O14" t="s">
        <v>59</v>
      </c>
      <c r="P14" s="102">
        <v>4230</v>
      </c>
      <c r="Q14" s="102">
        <v>353</v>
      </c>
      <c r="R14" s="102">
        <v>353</v>
      </c>
      <c r="S14" s="102">
        <v>370.83</v>
      </c>
      <c r="T14" s="102">
        <v>375.95</v>
      </c>
      <c r="U14" s="102">
        <v>2518.1799999999998</v>
      </c>
    </row>
    <row r="15" spans="1:21" x14ac:dyDescent="0.35">
      <c r="A15" t="s">
        <v>49</v>
      </c>
      <c r="B15" t="s">
        <v>15</v>
      </c>
      <c r="C15" s="102">
        <v>7538504.3190000001</v>
      </c>
      <c r="D15" s="102">
        <v>-647031.43999999948</v>
      </c>
      <c r="E15" s="102">
        <v>7521728.3190000001</v>
      </c>
      <c r="F15" s="102">
        <v>625000</v>
      </c>
      <c r="G15" s="102">
        <v>625000</v>
      </c>
      <c r="H15" s="102">
        <v>625000</v>
      </c>
      <c r="I15" s="102">
        <v>3128142.41</v>
      </c>
      <c r="J15" s="102">
        <v>660370.4</v>
      </c>
      <c r="K15" s="102">
        <v>603859.57000000007</v>
      </c>
      <c r="L15" s="102">
        <v>627545.69000000006</v>
      </c>
      <c r="N15" s="102"/>
      <c r="O15" t="s">
        <v>60</v>
      </c>
      <c r="P15" s="102">
        <v>2863</v>
      </c>
      <c r="Q15" s="102"/>
      <c r="R15" s="102"/>
      <c r="S15" s="102"/>
      <c r="T15" s="102"/>
      <c r="U15" s="102">
        <v>0</v>
      </c>
    </row>
    <row r="16" spans="1:21" x14ac:dyDescent="0.35">
      <c r="B16" t="s">
        <v>17</v>
      </c>
      <c r="C16" s="102">
        <v>5688039.6425000001</v>
      </c>
      <c r="D16" s="102">
        <v>449325.91623333353</v>
      </c>
      <c r="E16" s="102">
        <v>6179672.4366666665</v>
      </c>
      <c r="F16" s="102">
        <v>357224.22249999997</v>
      </c>
      <c r="G16" s="102">
        <v>367026.5625</v>
      </c>
      <c r="H16" s="102">
        <v>409446.80608333327</v>
      </c>
      <c r="I16" s="102">
        <v>2411912.3967333329</v>
      </c>
      <c r="J16" s="102">
        <v>350017.71583333344</v>
      </c>
      <c r="K16" s="102">
        <v>357861.39583333331</v>
      </c>
      <c r="L16" s="102">
        <v>356080.93333333335</v>
      </c>
      <c r="N16" s="102"/>
      <c r="O16" t="s">
        <v>159</v>
      </c>
      <c r="P16" s="102">
        <v>14886</v>
      </c>
      <c r="Q16" s="102">
        <v>1088.76</v>
      </c>
      <c r="R16" s="102">
        <v>1088.76</v>
      </c>
      <c r="S16" s="102">
        <v>1088.76</v>
      </c>
      <c r="T16" s="102">
        <v>1088.74</v>
      </c>
      <c r="U16" s="102">
        <v>5443.74</v>
      </c>
    </row>
    <row r="17" spans="1:21" x14ac:dyDescent="0.35">
      <c r="B17" t="s">
        <v>19</v>
      </c>
      <c r="C17" s="102">
        <v>63325.5</v>
      </c>
      <c r="D17" s="102">
        <v>0</v>
      </c>
      <c r="E17" s="102">
        <v>63325.5</v>
      </c>
      <c r="F17" s="102"/>
      <c r="G17" s="102"/>
      <c r="H17" s="102">
        <v>1100.47</v>
      </c>
      <c r="I17" s="102">
        <v>1100.47</v>
      </c>
      <c r="J17" s="102"/>
      <c r="K17" s="102"/>
      <c r="L17" s="102">
        <v>1100.47</v>
      </c>
      <c r="N17" s="102"/>
      <c r="O17" t="s">
        <v>198</v>
      </c>
      <c r="P17" s="102">
        <v>1211114.9924999999</v>
      </c>
      <c r="Q17" s="102">
        <v>127450.98833333334</v>
      </c>
      <c r="R17" s="102">
        <v>102758.00833333335</v>
      </c>
      <c r="S17" s="102">
        <v>123674.73333333334</v>
      </c>
      <c r="T17" s="102">
        <v>96093.753333333341</v>
      </c>
      <c r="U17" s="102">
        <v>734338.64000000013</v>
      </c>
    </row>
    <row r="18" spans="1:21" x14ac:dyDescent="0.35">
      <c r="B18" t="s">
        <v>24</v>
      </c>
      <c r="C18" s="102">
        <v>335404.32850000006</v>
      </c>
      <c r="D18" s="102">
        <v>-1946.6618333333627</v>
      </c>
      <c r="E18" s="102">
        <v>333457.66666666663</v>
      </c>
      <c r="F18" s="102">
        <v>24908.333333333332</v>
      </c>
      <c r="G18" s="102">
        <v>24908.333333333332</v>
      </c>
      <c r="H18" s="102">
        <v>24908.333333333332</v>
      </c>
      <c r="I18" s="102">
        <v>305666.66666666663</v>
      </c>
      <c r="J18" s="102">
        <v>24908.333333333332</v>
      </c>
      <c r="K18" s="102">
        <v>24908.333333333332</v>
      </c>
      <c r="L18" s="102">
        <v>24908.333333333332</v>
      </c>
      <c r="N18" s="102"/>
      <c r="O18" t="s">
        <v>324</v>
      </c>
      <c r="P18" s="102">
        <v>50400</v>
      </c>
      <c r="Q18" s="102"/>
      <c r="R18" s="102"/>
      <c r="S18" s="102"/>
      <c r="T18" s="102"/>
      <c r="U18" s="102">
        <v>0</v>
      </c>
    </row>
    <row r="19" spans="1:21" x14ac:dyDescent="0.35">
      <c r="B19" t="s">
        <v>28</v>
      </c>
      <c r="C19" s="102">
        <v>178500</v>
      </c>
      <c r="D19" s="102">
        <v>-4330.4400000000023</v>
      </c>
      <c r="E19" s="102">
        <v>174169.56</v>
      </c>
      <c r="F19" s="102">
        <v>29028.26</v>
      </c>
      <c r="G19" s="102">
        <v>29028.26</v>
      </c>
      <c r="H19" s="102">
        <v>29028.26</v>
      </c>
      <c r="I19" s="102">
        <v>174169.56</v>
      </c>
      <c r="J19" s="102">
        <v>29028.26</v>
      </c>
      <c r="K19" s="102">
        <v>29028.26</v>
      </c>
      <c r="L19" s="102">
        <v>29028.26</v>
      </c>
      <c r="N19" s="102"/>
      <c r="O19" t="s">
        <v>222</v>
      </c>
      <c r="P19" s="102">
        <v>131625</v>
      </c>
      <c r="Q19" s="102">
        <v>40500</v>
      </c>
      <c r="R19" s="102">
        <v>8100</v>
      </c>
      <c r="S19" s="102">
        <v>40109.25</v>
      </c>
      <c r="T19" s="102">
        <v>8100</v>
      </c>
      <c r="U19" s="102">
        <v>88709.25</v>
      </c>
    </row>
    <row r="20" spans="1:21" x14ac:dyDescent="0.35">
      <c r="B20" t="s">
        <v>186</v>
      </c>
      <c r="C20" s="102">
        <v>414080</v>
      </c>
      <c r="D20" s="102">
        <v>-44158</v>
      </c>
      <c r="E20" s="102">
        <v>389440</v>
      </c>
      <c r="F20" s="102">
        <v>38560</v>
      </c>
      <c r="G20" s="102">
        <v>38560</v>
      </c>
      <c r="H20" s="102">
        <v>46080</v>
      </c>
      <c r="I20" s="102">
        <v>103682</v>
      </c>
      <c r="J20" s="102">
        <v>30336</v>
      </c>
      <c r="K20" s="102">
        <v>27266</v>
      </c>
      <c r="L20" s="102">
        <v>46080</v>
      </c>
      <c r="N20" s="102"/>
      <c r="O20" t="s">
        <v>57</v>
      </c>
      <c r="P20" s="102">
        <v>1555160.9220000003</v>
      </c>
      <c r="Q20" s="102">
        <v>18728.046666666665</v>
      </c>
      <c r="R20" s="102">
        <v>19568.92666666667</v>
      </c>
      <c r="S20" s="102">
        <v>12817.539999999999</v>
      </c>
      <c r="T20" s="102">
        <v>12829.27</v>
      </c>
      <c r="U20" s="102">
        <v>77334.12</v>
      </c>
    </row>
    <row r="21" spans="1:21" x14ac:dyDescent="0.35">
      <c r="A21" t="s">
        <v>496</v>
      </c>
      <c r="C21" s="102">
        <v>14217853.790000001</v>
      </c>
      <c r="D21" s="102">
        <v>-248140.62559999933</v>
      </c>
      <c r="E21" s="102">
        <v>14661793.482333332</v>
      </c>
      <c r="F21" s="102">
        <v>1074720.8158333334</v>
      </c>
      <c r="G21" s="102">
        <v>1084523.1558333333</v>
      </c>
      <c r="H21" s="102">
        <v>1135563.8694166664</v>
      </c>
      <c r="I21" s="102">
        <v>6124673.5033999989</v>
      </c>
      <c r="J21" s="102">
        <v>1094660.7091666667</v>
      </c>
      <c r="K21" s="102">
        <v>1042923.5591666667</v>
      </c>
      <c r="L21" s="102">
        <v>1084743.6866666668</v>
      </c>
      <c r="N21" s="102"/>
      <c r="O21" t="s">
        <v>61</v>
      </c>
      <c r="P21" s="102">
        <v>1674</v>
      </c>
      <c r="Q21" s="102"/>
      <c r="R21" s="102"/>
      <c r="S21" s="102"/>
      <c r="T21" s="102"/>
      <c r="U21" s="102">
        <v>0</v>
      </c>
    </row>
    <row r="22" spans="1:21" x14ac:dyDescent="0.35">
      <c r="A22" t="s">
        <v>50</v>
      </c>
      <c r="B22" t="s">
        <v>9</v>
      </c>
      <c r="C22" s="102">
        <v>500000</v>
      </c>
      <c r="D22" s="102">
        <v>-500000</v>
      </c>
      <c r="E22" s="102">
        <v>0</v>
      </c>
      <c r="F22" s="102"/>
      <c r="G22" s="102"/>
      <c r="H22" s="102"/>
      <c r="I22" s="102">
        <v>0</v>
      </c>
      <c r="J22" s="102"/>
      <c r="K22" s="102"/>
      <c r="L22" s="102"/>
      <c r="N22" s="102"/>
      <c r="O22" t="s">
        <v>170</v>
      </c>
      <c r="P22" s="102">
        <v>236250</v>
      </c>
      <c r="Q22" s="102"/>
      <c r="R22" s="102"/>
      <c r="S22" s="102"/>
      <c r="T22" s="102"/>
      <c r="U22" s="102">
        <v>0</v>
      </c>
    </row>
    <row r="23" spans="1:21" x14ac:dyDescent="0.35">
      <c r="B23" t="s">
        <v>12</v>
      </c>
      <c r="C23" s="102">
        <v>250000</v>
      </c>
      <c r="D23" s="102">
        <v>-100000</v>
      </c>
      <c r="E23" s="102">
        <v>150000</v>
      </c>
      <c r="F23" s="102"/>
      <c r="G23" s="102"/>
      <c r="H23" s="102"/>
      <c r="I23" s="102">
        <v>0</v>
      </c>
      <c r="J23" s="102"/>
      <c r="K23" s="102"/>
      <c r="L23" s="102"/>
      <c r="N23" s="102"/>
      <c r="O23" t="s">
        <v>308</v>
      </c>
      <c r="P23" s="102">
        <v>32760</v>
      </c>
      <c r="Q23" s="102"/>
      <c r="R23" s="102"/>
      <c r="S23" s="102"/>
      <c r="T23" s="102"/>
      <c r="U23" s="102">
        <v>0</v>
      </c>
    </row>
    <row r="24" spans="1:21" x14ac:dyDescent="0.35">
      <c r="B24" t="s">
        <v>16</v>
      </c>
      <c r="C24" s="102">
        <v>539598.4</v>
      </c>
      <c r="D24" s="102">
        <v>-9611.2800000000861</v>
      </c>
      <c r="E24" s="102">
        <v>516582.36999999994</v>
      </c>
      <c r="F24" s="102">
        <v>31294.030833333334</v>
      </c>
      <c r="G24" s="102">
        <v>45283.030833333338</v>
      </c>
      <c r="H24" s="102">
        <v>31294.030833333334</v>
      </c>
      <c r="I24" s="102">
        <v>455227.11999999994</v>
      </c>
      <c r="J24" s="102">
        <v>31294.030833333334</v>
      </c>
      <c r="K24" s="102">
        <v>44766.880833333329</v>
      </c>
      <c r="L24" s="102">
        <v>32369.030833333334</v>
      </c>
      <c r="N24" s="102"/>
      <c r="O24" t="s">
        <v>234</v>
      </c>
      <c r="P24" s="102">
        <v>10080</v>
      </c>
      <c r="Q24" s="102"/>
      <c r="R24" s="102"/>
      <c r="S24" s="102"/>
      <c r="T24" s="102"/>
      <c r="U24" s="102">
        <v>4800</v>
      </c>
    </row>
    <row r="25" spans="1:21" x14ac:dyDescent="0.35">
      <c r="B25" t="s">
        <v>20</v>
      </c>
      <c r="C25" s="102">
        <v>2204879.4000000004</v>
      </c>
      <c r="D25" s="102">
        <v>217232.67999999953</v>
      </c>
      <c r="E25" s="102">
        <v>2422112.1399999997</v>
      </c>
      <c r="F25" s="102">
        <v>201842.67833333334</v>
      </c>
      <c r="G25" s="102">
        <v>201842.67833333334</v>
      </c>
      <c r="H25" s="102">
        <v>201842.67833333334</v>
      </c>
      <c r="I25" s="102">
        <v>2414490.7599999998</v>
      </c>
      <c r="J25" s="102">
        <v>201842.67833333334</v>
      </c>
      <c r="K25" s="102">
        <v>201842.65833333333</v>
      </c>
      <c r="L25" s="102">
        <v>201842.67833333334</v>
      </c>
      <c r="N25" s="102"/>
      <c r="O25" t="s">
        <v>313</v>
      </c>
      <c r="P25" s="102">
        <v>139684</v>
      </c>
      <c r="Q25" s="102">
        <v>11640.333333333334</v>
      </c>
      <c r="R25" s="102">
        <v>11640.333333333334</v>
      </c>
      <c r="S25" s="102">
        <v>11640.333333333334</v>
      </c>
      <c r="T25" s="102">
        <v>11640.333333333334</v>
      </c>
      <c r="U25" s="102">
        <v>93122.666666666657</v>
      </c>
    </row>
    <row r="26" spans="1:21" x14ac:dyDescent="0.35">
      <c r="B26" t="s">
        <v>31</v>
      </c>
      <c r="C26" s="102">
        <v>7231110.7000000002</v>
      </c>
      <c r="D26" s="102">
        <v>821647.049999999</v>
      </c>
      <c r="E26" s="102">
        <v>7983930.8899999997</v>
      </c>
      <c r="F26" s="102">
        <v>624638.7466666667</v>
      </c>
      <c r="G26" s="102">
        <v>594951.59666666668</v>
      </c>
      <c r="H26" s="102">
        <v>594951.59666666668</v>
      </c>
      <c r="I26" s="102">
        <v>6003767.7499999991</v>
      </c>
      <c r="J26" s="102">
        <v>692968.3566666668</v>
      </c>
      <c r="K26" s="102">
        <v>594951.59666666668</v>
      </c>
      <c r="L26" s="102">
        <v>594951.59666666668</v>
      </c>
      <c r="N26" s="102"/>
      <c r="O26" t="s">
        <v>318</v>
      </c>
      <c r="P26" s="102">
        <v>3150</v>
      </c>
      <c r="Q26" s="102"/>
      <c r="R26" s="102"/>
      <c r="S26" s="102"/>
      <c r="T26" s="102"/>
      <c r="U26" s="102">
        <v>0</v>
      </c>
    </row>
    <row r="27" spans="1:21" x14ac:dyDescent="0.35">
      <c r="B27" t="s">
        <v>35</v>
      </c>
      <c r="C27" s="102">
        <v>619600</v>
      </c>
      <c r="D27" s="102">
        <v>-336000</v>
      </c>
      <c r="E27" s="102">
        <v>273600</v>
      </c>
      <c r="F27" s="102"/>
      <c r="G27" s="102"/>
      <c r="H27" s="102"/>
      <c r="I27" s="102">
        <v>10000</v>
      </c>
      <c r="J27" s="102"/>
      <c r="K27" s="102"/>
      <c r="L27" s="102">
        <v>10000</v>
      </c>
      <c r="N27" s="102"/>
      <c r="O27" t="s">
        <v>417</v>
      </c>
      <c r="P27" s="102">
        <v>0</v>
      </c>
      <c r="Q27" s="102"/>
      <c r="R27" s="102"/>
      <c r="S27" s="102"/>
      <c r="T27" s="102"/>
      <c r="U27" s="102">
        <v>92000</v>
      </c>
    </row>
    <row r="28" spans="1:21" x14ac:dyDescent="0.35">
      <c r="B28" t="s">
        <v>36</v>
      </c>
      <c r="C28" s="102">
        <v>50000</v>
      </c>
      <c r="D28" s="102">
        <v>-50000</v>
      </c>
      <c r="E28" s="102">
        <v>0</v>
      </c>
      <c r="F28" s="102"/>
      <c r="G28" s="102"/>
      <c r="H28" s="102"/>
      <c r="I28" s="102">
        <v>0</v>
      </c>
      <c r="J28" s="102"/>
      <c r="K28" s="102"/>
      <c r="L28" s="102"/>
      <c r="N28" s="102"/>
      <c r="O28" t="s">
        <v>181</v>
      </c>
      <c r="P28" s="102">
        <v>4217276.0999999996</v>
      </c>
      <c r="Q28" s="102">
        <v>260086</v>
      </c>
      <c r="R28" s="102">
        <v>334930.09999999998</v>
      </c>
      <c r="S28" s="102">
        <v>275958.56</v>
      </c>
      <c r="T28" s="102">
        <v>381656.44</v>
      </c>
      <c r="U28" s="102">
        <v>1410471.5599999998</v>
      </c>
    </row>
    <row r="29" spans="1:21" x14ac:dyDescent="0.35">
      <c r="B29" t="s">
        <v>186</v>
      </c>
      <c r="C29" s="102">
        <v>1757280</v>
      </c>
      <c r="D29" s="102">
        <v>-277734</v>
      </c>
      <c r="E29" s="102">
        <v>1520680</v>
      </c>
      <c r="F29" s="102">
        <v>146440</v>
      </c>
      <c r="G29" s="102">
        <v>146440</v>
      </c>
      <c r="H29" s="102">
        <v>146440</v>
      </c>
      <c r="I29" s="102">
        <v>440186</v>
      </c>
      <c r="J29" s="102">
        <v>129864</v>
      </c>
      <c r="K29" s="102">
        <v>124134</v>
      </c>
      <c r="L29" s="102">
        <v>152588</v>
      </c>
      <c r="N29" s="102"/>
      <c r="O29" t="s">
        <v>62</v>
      </c>
      <c r="P29" s="102">
        <v>7043</v>
      </c>
      <c r="Q29" s="102">
        <v>587</v>
      </c>
      <c r="R29" s="102">
        <v>587</v>
      </c>
      <c r="S29" s="102">
        <v>620.09</v>
      </c>
      <c r="T29" s="102">
        <v>628.66</v>
      </c>
      <c r="U29" s="102">
        <v>3993.4158999999995</v>
      </c>
    </row>
    <row r="30" spans="1:21" x14ac:dyDescent="0.35">
      <c r="B30" t="s">
        <v>532</v>
      </c>
      <c r="C30" s="102"/>
      <c r="D30" s="102">
        <v>41250</v>
      </c>
      <c r="E30" s="102">
        <v>41250</v>
      </c>
      <c r="F30" s="102"/>
      <c r="G30" s="102"/>
      <c r="H30" s="102"/>
      <c r="I30" s="102">
        <v>9900</v>
      </c>
      <c r="J30" s="102"/>
      <c r="K30" s="102"/>
      <c r="L30" s="102"/>
      <c r="N30" s="102"/>
      <c r="O30" t="s">
        <v>63</v>
      </c>
      <c r="P30" s="102">
        <v>35314</v>
      </c>
      <c r="Q30" s="102">
        <v>2943</v>
      </c>
      <c r="R30" s="102">
        <v>2943</v>
      </c>
      <c r="S30" s="102">
        <v>2802.71</v>
      </c>
      <c r="T30" s="102">
        <v>2802.71</v>
      </c>
      <c r="U30" s="102">
        <v>18056.259999999998</v>
      </c>
    </row>
    <row r="31" spans="1:21" x14ac:dyDescent="0.35">
      <c r="A31" t="s">
        <v>497</v>
      </c>
      <c r="C31" s="102">
        <v>13152468.5</v>
      </c>
      <c r="D31" s="102">
        <v>-193215.5500000015</v>
      </c>
      <c r="E31" s="102">
        <v>12908155.399999999</v>
      </c>
      <c r="F31" s="102">
        <v>1004215.4558333333</v>
      </c>
      <c r="G31" s="102">
        <v>988517.3058333334</v>
      </c>
      <c r="H31" s="102">
        <v>974528.3058333334</v>
      </c>
      <c r="I31" s="102">
        <v>9333571.629999999</v>
      </c>
      <c r="J31" s="102">
        <v>1055969.0658333334</v>
      </c>
      <c r="K31" s="102">
        <v>965695.13583333336</v>
      </c>
      <c r="L31" s="102">
        <v>991751.3058333334</v>
      </c>
      <c r="N31" s="102"/>
      <c r="O31" t="s">
        <v>185</v>
      </c>
      <c r="P31" s="102">
        <v>218880</v>
      </c>
      <c r="Q31" s="102">
        <v>18240</v>
      </c>
      <c r="R31" s="102">
        <v>18240</v>
      </c>
      <c r="S31" s="102">
        <v>16128</v>
      </c>
      <c r="T31" s="102">
        <v>16464</v>
      </c>
      <c r="U31" s="102">
        <v>85892</v>
      </c>
    </row>
    <row r="32" spans="1:21" x14ac:dyDescent="0.35">
      <c r="A32" t="s">
        <v>51</v>
      </c>
      <c r="B32" t="s">
        <v>21</v>
      </c>
      <c r="C32" s="102">
        <v>100000</v>
      </c>
      <c r="D32" s="102">
        <v>0</v>
      </c>
      <c r="E32" s="102">
        <v>100000</v>
      </c>
      <c r="F32" s="102"/>
      <c r="G32" s="102"/>
      <c r="H32" s="102"/>
      <c r="I32" s="102">
        <v>0</v>
      </c>
      <c r="J32" s="102"/>
      <c r="K32" s="102"/>
      <c r="L32" s="102"/>
      <c r="N32" s="102"/>
      <c r="O32" t="s">
        <v>304</v>
      </c>
      <c r="P32" s="102">
        <v>117539.0055</v>
      </c>
      <c r="Q32" s="102">
        <v>8984.74</v>
      </c>
      <c r="R32" s="102">
        <v>2271.65</v>
      </c>
      <c r="S32" s="102">
        <v>8984.74</v>
      </c>
      <c r="T32" s="102">
        <v>2271.65</v>
      </c>
      <c r="U32" s="102">
        <v>14025.49</v>
      </c>
    </row>
    <row r="33" spans="1:21" x14ac:dyDescent="0.35">
      <c r="B33" t="s">
        <v>23</v>
      </c>
      <c r="C33" s="102">
        <v>345000</v>
      </c>
      <c r="D33" s="102">
        <v>247000</v>
      </c>
      <c r="E33" s="102">
        <v>592000</v>
      </c>
      <c r="F33" s="102">
        <v>28750</v>
      </c>
      <c r="G33" s="102">
        <v>28750</v>
      </c>
      <c r="H33" s="102">
        <v>41750</v>
      </c>
      <c r="I33" s="102">
        <v>154000</v>
      </c>
      <c r="J33" s="102">
        <v>28750</v>
      </c>
      <c r="K33" s="102">
        <v>28750</v>
      </c>
      <c r="L33" s="102">
        <v>41750</v>
      </c>
      <c r="N33" s="102"/>
      <c r="O33" t="s">
        <v>75</v>
      </c>
      <c r="P33" s="102">
        <v>5250</v>
      </c>
      <c r="Q33" s="102"/>
      <c r="R33" s="102"/>
      <c r="S33" s="102"/>
      <c r="T33" s="102"/>
      <c r="U33" s="102">
        <v>0</v>
      </c>
    </row>
    <row r="34" spans="1:21" x14ac:dyDescent="0.35">
      <c r="B34" t="s">
        <v>25</v>
      </c>
      <c r="C34" s="102">
        <v>226330.7</v>
      </c>
      <c r="D34" s="102">
        <v>0.29999999999563443</v>
      </c>
      <c r="E34" s="102">
        <v>226331</v>
      </c>
      <c r="F34" s="102">
        <v>14568.75</v>
      </c>
      <c r="G34" s="102">
        <v>14568.75</v>
      </c>
      <c r="H34" s="102">
        <v>16596.75</v>
      </c>
      <c r="I34" s="102">
        <v>133926.75</v>
      </c>
      <c r="J34" s="102">
        <v>14568.75</v>
      </c>
      <c r="K34" s="102">
        <v>14568.75</v>
      </c>
      <c r="L34" s="102">
        <v>16596.75</v>
      </c>
      <c r="N34" s="102"/>
      <c r="O34" t="s">
        <v>333</v>
      </c>
      <c r="P34" s="102">
        <v>48934</v>
      </c>
      <c r="Q34" s="102">
        <v>4702</v>
      </c>
      <c r="R34" s="102">
        <v>1000</v>
      </c>
      <c r="S34" s="102">
        <v>4704</v>
      </c>
      <c r="T34" s="102">
        <v>999</v>
      </c>
      <c r="U34" s="102">
        <v>9894</v>
      </c>
    </row>
    <row r="35" spans="1:21" x14ac:dyDescent="0.35">
      <c r="B35" t="s">
        <v>26</v>
      </c>
      <c r="C35" s="102">
        <v>1260</v>
      </c>
      <c r="D35" s="102">
        <v>0</v>
      </c>
      <c r="E35" s="102">
        <v>1260</v>
      </c>
      <c r="F35" s="102">
        <v>1260</v>
      </c>
      <c r="G35" s="102">
        <v>0</v>
      </c>
      <c r="H35" s="102">
        <v>0</v>
      </c>
      <c r="I35" s="102">
        <v>1260</v>
      </c>
      <c r="J35" s="102">
        <v>1260</v>
      </c>
      <c r="K35" s="102">
        <v>0</v>
      </c>
      <c r="L35" s="102">
        <v>0</v>
      </c>
      <c r="N35" s="102"/>
      <c r="O35" t="s">
        <v>56</v>
      </c>
      <c r="P35" s="102">
        <v>3667396</v>
      </c>
      <c r="Q35" s="102">
        <v>333776.63</v>
      </c>
      <c r="R35" s="102">
        <v>333776.63</v>
      </c>
      <c r="S35" s="102">
        <v>401932.44</v>
      </c>
      <c r="T35" s="102">
        <v>333776.63</v>
      </c>
      <c r="U35" s="102">
        <v>4073475.3699999992</v>
      </c>
    </row>
    <row r="36" spans="1:21" x14ac:dyDescent="0.35">
      <c r="B36" t="s">
        <v>38</v>
      </c>
      <c r="C36" s="102">
        <v>250000</v>
      </c>
      <c r="D36" s="102">
        <v>-100000</v>
      </c>
      <c r="E36" s="102">
        <v>150000</v>
      </c>
      <c r="F36" s="102"/>
      <c r="G36" s="102"/>
      <c r="H36" s="102"/>
      <c r="I36" s="102">
        <v>0</v>
      </c>
      <c r="J36" s="102"/>
      <c r="K36" s="102"/>
      <c r="L36" s="102"/>
      <c r="N36" s="102"/>
      <c r="O36" t="s">
        <v>236</v>
      </c>
      <c r="P36" s="102">
        <v>238897.86250000002</v>
      </c>
      <c r="Q36" s="102"/>
      <c r="R36" s="102"/>
      <c r="S36" s="102"/>
      <c r="T36" s="102"/>
      <c r="U36" s="102">
        <v>0</v>
      </c>
    </row>
    <row r="37" spans="1:21" x14ac:dyDescent="0.35">
      <c r="B37" t="s">
        <v>186</v>
      </c>
      <c r="C37" s="102">
        <v>830400</v>
      </c>
      <c r="D37" s="102">
        <v>-305360</v>
      </c>
      <c r="E37" s="102">
        <v>544400</v>
      </c>
      <c r="F37" s="102">
        <v>50000</v>
      </c>
      <c r="G37" s="102">
        <v>24000</v>
      </c>
      <c r="H37" s="102">
        <v>24000</v>
      </c>
      <c r="I37" s="102">
        <v>126640</v>
      </c>
      <c r="J37" s="102">
        <v>44800</v>
      </c>
      <c r="K37" s="102">
        <v>22800</v>
      </c>
      <c r="L37" s="102">
        <v>0</v>
      </c>
      <c r="N37" s="102"/>
      <c r="O37" t="s">
        <v>370</v>
      </c>
      <c r="P37" s="102">
        <v>359</v>
      </c>
      <c r="Q37" s="102"/>
      <c r="R37" s="102"/>
      <c r="S37" s="102"/>
      <c r="T37" s="102"/>
      <c r="U37" s="102">
        <v>0</v>
      </c>
    </row>
    <row r="38" spans="1:21" x14ac:dyDescent="0.35">
      <c r="A38" t="s">
        <v>498</v>
      </c>
      <c r="C38" s="102">
        <v>1752990.7</v>
      </c>
      <c r="D38" s="102">
        <v>-158359.70000000001</v>
      </c>
      <c r="E38" s="102">
        <v>1613991</v>
      </c>
      <c r="F38" s="102">
        <v>94578.75</v>
      </c>
      <c r="G38" s="102">
        <v>67318.75</v>
      </c>
      <c r="H38" s="102">
        <v>82346.75</v>
      </c>
      <c r="I38" s="102">
        <v>415826.75</v>
      </c>
      <c r="J38" s="102">
        <v>89378.75</v>
      </c>
      <c r="K38" s="102">
        <v>66118.75</v>
      </c>
      <c r="L38" s="102">
        <v>58346.75</v>
      </c>
      <c r="N38" s="102"/>
      <c r="O38" t="s">
        <v>133</v>
      </c>
      <c r="P38" s="102">
        <v>14700</v>
      </c>
      <c r="Q38" s="102"/>
      <c r="R38" s="102"/>
      <c r="S38" s="102"/>
      <c r="T38" s="102"/>
      <c r="U38" s="102">
        <v>9900</v>
      </c>
    </row>
    <row r="39" spans="1:21" x14ac:dyDescent="0.35">
      <c r="A39" t="s">
        <v>52</v>
      </c>
      <c r="B39" t="s">
        <v>10</v>
      </c>
      <c r="C39" s="102">
        <v>160000</v>
      </c>
      <c r="D39" s="102">
        <v>0</v>
      </c>
      <c r="E39" s="102">
        <v>160000</v>
      </c>
      <c r="F39" s="102">
        <v>12500</v>
      </c>
      <c r="G39" s="102">
        <v>12500</v>
      </c>
      <c r="H39" s="102">
        <v>12500</v>
      </c>
      <c r="I39" s="102">
        <v>112500</v>
      </c>
      <c r="J39" s="102">
        <v>12500</v>
      </c>
      <c r="K39" s="102">
        <v>12500</v>
      </c>
      <c r="L39" s="102">
        <v>12500</v>
      </c>
      <c r="N39" s="102"/>
      <c r="O39" t="s">
        <v>360</v>
      </c>
      <c r="P39" s="102">
        <v>2900</v>
      </c>
      <c r="Q39" s="102"/>
      <c r="R39" s="102">
        <v>17</v>
      </c>
      <c r="S39" s="102"/>
      <c r="T39" s="102">
        <v>16.739999999999998</v>
      </c>
      <c r="U39" s="102">
        <v>8407.75</v>
      </c>
    </row>
    <row r="40" spans="1:21" x14ac:dyDescent="0.35">
      <c r="B40" t="s">
        <v>13</v>
      </c>
      <c r="C40" s="102">
        <v>1625617.7549999999</v>
      </c>
      <c r="D40" s="102">
        <v>27342.401666666628</v>
      </c>
      <c r="E40" s="102">
        <v>1616588.25</v>
      </c>
      <c r="F40" s="102">
        <v>141783.63833333334</v>
      </c>
      <c r="G40" s="102">
        <v>117090.65833333335</v>
      </c>
      <c r="H40" s="102">
        <v>142595.65833333335</v>
      </c>
      <c r="I40" s="102">
        <v>802838.64000000013</v>
      </c>
      <c r="J40" s="102">
        <v>135508.06666666665</v>
      </c>
      <c r="K40" s="102">
        <v>109427.08666666667</v>
      </c>
      <c r="L40" s="102">
        <v>128773.08666666667</v>
      </c>
      <c r="N40" s="102"/>
      <c r="O40" t="s">
        <v>240</v>
      </c>
      <c r="P40" s="102">
        <v>12600</v>
      </c>
      <c r="Q40" s="102"/>
      <c r="R40" s="102">
        <v>12600</v>
      </c>
      <c r="S40" s="102"/>
      <c r="T40" s="102">
        <v>12000</v>
      </c>
      <c r="U40" s="102">
        <v>12000</v>
      </c>
    </row>
    <row r="41" spans="1:21" x14ac:dyDescent="0.35">
      <c r="A41" t="s">
        <v>499</v>
      </c>
      <c r="C41" s="102">
        <v>1785617.7549999999</v>
      </c>
      <c r="D41" s="102">
        <v>27342.401666666628</v>
      </c>
      <c r="E41" s="102">
        <v>1776588.25</v>
      </c>
      <c r="F41" s="102">
        <v>154283.63833333334</v>
      </c>
      <c r="G41" s="102">
        <v>129590.65833333335</v>
      </c>
      <c r="H41" s="102">
        <v>155095.65833333335</v>
      </c>
      <c r="I41" s="102">
        <v>915338.64000000013</v>
      </c>
      <c r="J41" s="102">
        <v>148008.06666666665</v>
      </c>
      <c r="K41" s="102">
        <v>121927.08666666667</v>
      </c>
      <c r="L41" s="102">
        <v>141273.08666666667</v>
      </c>
      <c r="N41" s="102"/>
      <c r="O41" t="s">
        <v>362</v>
      </c>
      <c r="P41" s="102">
        <v>8400</v>
      </c>
      <c r="Q41" s="102">
        <v>8400</v>
      </c>
      <c r="R41" s="102"/>
      <c r="S41" s="102">
        <v>8000</v>
      </c>
      <c r="T41" s="102"/>
      <c r="U41" s="102">
        <v>8000</v>
      </c>
    </row>
    <row r="42" spans="1:21" x14ac:dyDescent="0.35">
      <c r="A42" t="s">
        <v>53</v>
      </c>
      <c r="B42" t="s">
        <v>11</v>
      </c>
      <c r="C42" s="102">
        <v>693012</v>
      </c>
      <c r="D42" s="102">
        <v>-88867.429999999964</v>
      </c>
      <c r="E42" s="102">
        <v>593011.85</v>
      </c>
      <c r="F42" s="102">
        <v>11185.549999999997</v>
      </c>
      <c r="G42" s="102">
        <v>7416.97</v>
      </c>
      <c r="H42" s="102">
        <v>16129.190000000002</v>
      </c>
      <c r="I42" s="102">
        <v>100202.57</v>
      </c>
      <c r="J42" s="102">
        <v>11185.549999999997</v>
      </c>
      <c r="K42" s="102">
        <v>7416.71</v>
      </c>
      <c r="L42" s="102">
        <v>16129.190000000002</v>
      </c>
      <c r="N42" s="102"/>
      <c r="O42" t="s">
        <v>242</v>
      </c>
      <c r="P42" s="102">
        <v>90000</v>
      </c>
      <c r="Q42" s="102"/>
      <c r="R42" s="102"/>
      <c r="S42" s="102"/>
      <c r="T42" s="102"/>
      <c r="U42" s="102">
        <v>0</v>
      </c>
    </row>
    <row r="43" spans="1:21" x14ac:dyDescent="0.35">
      <c r="B43" t="s">
        <v>14</v>
      </c>
      <c r="C43" s="102">
        <v>212896</v>
      </c>
      <c r="D43" s="102">
        <v>-90110</v>
      </c>
      <c r="E43" s="102">
        <v>122786</v>
      </c>
      <c r="F43" s="102">
        <v>0</v>
      </c>
      <c r="G43" s="102">
        <v>0</v>
      </c>
      <c r="H43" s="102">
        <v>0</v>
      </c>
      <c r="I43" s="102">
        <v>0</v>
      </c>
      <c r="J43" s="102">
        <v>0</v>
      </c>
      <c r="K43" s="102">
        <v>0</v>
      </c>
      <c r="L43" s="102">
        <v>0</v>
      </c>
      <c r="N43" s="102"/>
      <c r="O43" t="s">
        <v>208</v>
      </c>
      <c r="P43" s="102">
        <v>4683010.9241500003</v>
      </c>
      <c r="Q43" s="102">
        <v>398337.49</v>
      </c>
      <c r="R43" s="102">
        <v>376562.49</v>
      </c>
      <c r="S43" s="102">
        <v>383337.49</v>
      </c>
      <c r="T43" s="102">
        <v>358762.49</v>
      </c>
      <c r="U43" s="102">
        <v>2360914.9</v>
      </c>
    </row>
    <row r="44" spans="1:21" x14ac:dyDescent="0.35">
      <c r="B44" t="s">
        <v>27</v>
      </c>
      <c r="C44" s="102">
        <v>1049727.6140000001</v>
      </c>
      <c r="D44" s="102">
        <v>-5314.8693333333185</v>
      </c>
      <c r="E44" s="102">
        <v>1048398.1806666667</v>
      </c>
      <c r="F44" s="102">
        <v>56798</v>
      </c>
      <c r="G44" s="102">
        <v>20696</v>
      </c>
      <c r="H44" s="102">
        <v>129819.016</v>
      </c>
      <c r="I44" s="102">
        <v>611013.38000000012</v>
      </c>
      <c r="J44" s="102">
        <v>56370.39</v>
      </c>
      <c r="K44" s="102">
        <v>20656.14</v>
      </c>
      <c r="L44" s="102">
        <v>126332.43</v>
      </c>
      <c r="N44" s="102"/>
      <c r="O44" t="s">
        <v>248</v>
      </c>
      <c r="P44" s="102">
        <v>1260</v>
      </c>
      <c r="Q44" s="102">
        <v>1260</v>
      </c>
      <c r="R44" s="102">
        <v>0</v>
      </c>
      <c r="S44" s="102">
        <v>1260</v>
      </c>
      <c r="T44" s="102">
        <v>0</v>
      </c>
      <c r="U44" s="102">
        <v>1260</v>
      </c>
    </row>
    <row r="45" spans="1:21" x14ac:dyDescent="0.35">
      <c r="B45" t="s">
        <v>186</v>
      </c>
      <c r="C45" s="102">
        <v>672000</v>
      </c>
      <c r="D45" s="102">
        <v>-8540</v>
      </c>
      <c r="E45" s="102">
        <v>671440</v>
      </c>
      <c r="F45" s="102">
        <v>56000</v>
      </c>
      <c r="G45" s="102">
        <v>56000</v>
      </c>
      <c r="H45" s="102">
        <v>59760</v>
      </c>
      <c r="I45" s="102">
        <v>207380</v>
      </c>
      <c r="J45" s="102">
        <v>51600</v>
      </c>
      <c r="K45" s="102">
        <v>52080</v>
      </c>
      <c r="L45" s="102">
        <v>56924</v>
      </c>
      <c r="N45" s="102"/>
      <c r="O45" t="s">
        <v>342</v>
      </c>
      <c r="P45" s="102">
        <v>940800</v>
      </c>
      <c r="Q45" s="102">
        <v>156800</v>
      </c>
      <c r="R45" s="102">
        <v>156800</v>
      </c>
      <c r="S45" s="102">
        <v>153008</v>
      </c>
      <c r="T45" s="102">
        <v>138848</v>
      </c>
      <c r="U45" s="102">
        <v>718868</v>
      </c>
    </row>
    <row r="46" spans="1:21" x14ac:dyDescent="0.35">
      <c r="A46" t="s">
        <v>500</v>
      </c>
      <c r="C46" s="102">
        <v>2627635.6140000001</v>
      </c>
      <c r="D46" s="102">
        <v>-192832.29933333327</v>
      </c>
      <c r="E46" s="102">
        <v>2435636.0306666666</v>
      </c>
      <c r="F46" s="102">
        <v>123983.55</v>
      </c>
      <c r="G46" s="102">
        <v>84112.97</v>
      </c>
      <c r="H46" s="102">
        <v>205708.20600000001</v>
      </c>
      <c r="I46" s="102">
        <v>918595.95000000019</v>
      </c>
      <c r="J46" s="102">
        <v>119155.94</v>
      </c>
      <c r="K46" s="102">
        <v>80152.850000000006</v>
      </c>
      <c r="L46" s="102">
        <v>199385.62</v>
      </c>
      <c r="N46" s="102"/>
      <c r="O46" t="s">
        <v>64</v>
      </c>
      <c r="P46" s="102">
        <v>18865</v>
      </c>
      <c r="Q46" s="102">
        <v>1450.9</v>
      </c>
      <c r="R46" s="102">
        <v>1585</v>
      </c>
      <c r="S46" s="102">
        <v>1450.9</v>
      </c>
      <c r="T46" s="102">
        <v>1585</v>
      </c>
      <c r="U46" s="102">
        <v>6681.98</v>
      </c>
    </row>
    <row r="47" spans="1:21" x14ac:dyDescent="0.35">
      <c r="A47" t="s">
        <v>8</v>
      </c>
      <c r="C47" s="102">
        <v>43544379.95615001</v>
      </c>
      <c r="D47" s="102">
        <v>470091.33958333242</v>
      </c>
      <c r="E47" s="102">
        <v>44629071.023000002</v>
      </c>
      <c r="F47" s="102">
        <v>3310237.773333333</v>
      </c>
      <c r="G47" s="102">
        <v>3283917.4133333331</v>
      </c>
      <c r="H47" s="102">
        <v>3445839.262916666</v>
      </c>
      <c r="I47" s="102">
        <v>22394275.037566666</v>
      </c>
      <c r="J47" s="102">
        <v>3365516.8850000002</v>
      </c>
      <c r="K47" s="102">
        <v>3209811.2950000004</v>
      </c>
      <c r="L47" s="102">
        <v>3429760.7424999997</v>
      </c>
      <c r="N47" s="102"/>
      <c r="O47" t="s">
        <v>65</v>
      </c>
      <c r="P47" s="102">
        <v>25439</v>
      </c>
      <c r="Q47" s="102">
        <v>2119.9166666666665</v>
      </c>
      <c r="R47" s="102">
        <v>2119.9166666666665</v>
      </c>
      <c r="S47" s="102">
        <v>2019.14</v>
      </c>
      <c r="T47" s="102">
        <v>2019.24</v>
      </c>
      <c r="U47" s="102">
        <v>12115.970000000001</v>
      </c>
    </row>
    <row r="48" spans="1:21" x14ac:dyDescent="0.35">
      <c r="N48" s="102"/>
      <c r="O48" t="s">
        <v>320</v>
      </c>
      <c r="P48" s="102">
        <v>2594.5500000000002</v>
      </c>
      <c r="Q48" s="102"/>
      <c r="R48" s="102"/>
      <c r="S48" s="102"/>
      <c r="T48" s="102"/>
      <c r="U48" s="102">
        <v>0</v>
      </c>
    </row>
    <row r="49" spans="15:21" x14ac:dyDescent="0.35">
      <c r="O49" t="s">
        <v>66</v>
      </c>
      <c r="P49" s="102">
        <v>34537</v>
      </c>
      <c r="Q49" s="102">
        <v>2878.0833333333335</v>
      </c>
      <c r="R49" s="102">
        <v>2878.0833333333335</v>
      </c>
      <c r="S49" s="102">
        <v>2741.45</v>
      </c>
      <c r="T49" s="102">
        <v>2741.45</v>
      </c>
      <c r="U49" s="102">
        <v>13707.25</v>
      </c>
    </row>
    <row r="50" spans="15:21" x14ac:dyDescent="0.35">
      <c r="O50" t="s">
        <v>76</v>
      </c>
      <c r="P50" s="102">
        <v>27790.5285</v>
      </c>
      <c r="Q50" s="102"/>
      <c r="R50" s="102"/>
      <c r="S50" s="102"/>
      <c r="T50" s="102"/>
      <c r="U50" s="102">
        <v>0</v>
      </c>
    </row>
    <row r="51" spans="15:21" x14ac:dyDescent="0.35">
      <c r="O51" t="s">
        <v>256</v>
      </c>
      <c r="P51" s="102">
        <v>2751</v>
      </c>
      <c r="Q51" s="102"/>
      <c r="R51" s="102">
        <v>1389</v>
      </c>
      <c r="S51" s="102"/>
      <c r="T51" s="102">
        <v>1472.85</v>
      </c>
      <c r="U51" s="102">
        <v>3192.75</v>
      </c>
    </row>
    <row r="52" spans="15:21" x14ac:dyDescent="0.35">
      <c r="O52" t="s">
        <v>334</v>
      </c>
      <c r="P52" s="102">
        <v>4499600</v>
      </c>
      <c r="Q52" s="102">
        <v>261174.96666666667</v>
      </c>
      <c r="R52" s="102">
        <v>261174.96666666667</v>
      </c>
      <c r="S52" s="102">
        <v>261174.96666666667</v>
      </c>
      <c r="T52" s="102">
        <v>261174.96666666667</v>
      </c>
      <c r="U52" s="102">
        <v>1785858.68</v>
      </c>
    </row>
    <row r="53" spans="15:21" x14ac:dyDescent="0.35">
      <c r="O53" t="s">
        <v>67</v>
      </c>
      <c r="P53" s="102">
        <v>10552298</v>
      </c>
      <c r="Q53" s="102">
        <v>877948.75</v>
      </c>
      <c r="R53" s="102">
        <v>877948.75</v>
      </c>
      <c r="S53" s="102">
        <v>912069.15</v>
      </c>
      <c r="T53" s="102">
        <v>855558.32000000007</v>
      </c>
      <c r="U53" s="102">
        <v>4794256.1466666674</v>
      </c>
    </row>
    <row r="54" spans="15:21" x14ac:dyDescent="0.35">
      <c r="O54" t="s">
        <v>77</v>
      </c>
      <c r="P54" s="102">
        <v>307613.80000000005</v>
      </c>
      <c r="Q54" s="102">
        <v>24908.333333333332</v>
      </c>
      <c r="R54" s="102">
        <v>24908.333333333332</v>
      </c>
      <c r="S54" s="102">
        <v>24908.333333333332</v>
      </c>
      <c r="T54" s="102">
        <v>24908.333333333332</v>
      </c>
      <c r="U54" s="102">
        <v>305666.66666666663</v>
      </c>
    </row>
    <row r="55" spans="15:21" x14ac:dyDescent="0.35">
      <c r="O55" t="s">
        <v>176</v>
      </c>
      <c r="P55" s="102">
        <v>141750</v>
      </c>
      <c r="Q55" s="102"/>
      <c r="R55" s="102"/>
      <c r="S55" s="102"/>
      <c r="T55" s="102"/>
      <c r="U55" s="102">
        <v>0</v>
      </c>
    </row>
    <row r="56" spans="15:21" x14ac:dyDescent="0.35">
      <c r="O56" t="s">
        <v>74</v>
      </c>
      <c r="P56" s="102">
        <v>631511.9645</v>
      </c>
      <c r="Q56" s="102">
        <v>70999.255833333329</v>
      </c>
      <c r="R56" s="102">
        <v>70999.255833333329</v>
      </c>
      <c r="S56" s="102">
        <v>70999.255833333329</v>
      </c>
      <c r="T56" s="102">
        <v>70999.255833333329</v>
      </c>
      <c r="U56" s="102">
        <v>635850.51416666666</v>
      </c>
    </row>
    <row r="57" spans="15:21" x14ac:dyDescent="0.35">
      <c r="O57" t="s">
        <v>486</v>
      </c>
      <c r="P57" s="102">
        <v>0</v>
      </c>
      <c r="Q57" s="102"/>
      <c r="R57" s="102"/>
      <c r="S57" s="102"/>
      <c r="T57" s="102"/>
      <c r="U57" s="102">
        <v>15208</v>
      </c>
    </row>
    <row r="58" spans="15:21" x14ac:dyDescent="0.35">
      <c r="O58" t="s">
        <v>177</v>
      </c>
      <c r="P58" s="102">
        <v>17099</v>
      </c>
      <c r="Q58" s="102"/>
      <c r="R58" s="102"/>
      <c r="S58" s="102"/>
      <c r="T58" s="102"/>
      <c r="U58" s="102">
        <v>0</v>
      </c>
    </row>
    <row r="59" spans="15:21" x14ac:dyDescent="0.35">
      <c r="O59" t="s">
        <v>410</v>
      </c>
      <c r="P59" s="102">
        <v>298544.40000000002</v>
      </c>
      <c r="Q59" s="102">
        <v>23694.030833333334</v>
      </c>
      <c r="R59" s="102">
        <v>23694.030833333334</v>
      </c>
      <c r="S59" s="102">
        <v>23694.030833333334</v>
      </c>
      <c r="T59" s="102">
        <v>23694.030833333334</v>
      </c>
      <c r="U59" s="102">
        <v>284328.36999999994</v>
      </c>
    </row>
    <row r="60" spans="15:21" x14ac:dyDescent="0.35">
      <c r="O60" t="s">
        <v>402</v>
      </c>
      <c r="P60" s="102">
        <v>100000</v>
      </c>
      <c r="Q60" s="102"/>
      <c r="R60" s="102"/>
      <c r="S60" s="102"/>
      <c r="T60" s="102"/>
      <c r="U60" s="102">
        <v>0</v>
      </c>
    </row>
    <row r="61" spans="15:21" x14ac:dyDescent="0.35">
      <c r="O61" t="s">
        <v>272</v>
      </c>
      <c r="P61" s="102">
        <v>8435.7000000000007</v>
      </c>
      <c r="Q61" s="102"/>
      <c r="R61" s="102"/>
      <c r="S61" s="102"/>
      <c r="T61" s="102"/>
      <c r="U61" s="102">
        <v>0</v>
      </c>
    </row>
    <row r="62" spans="15:21" x14ac:dyDescent="0.35">
      <c r="O62" t="s">
        <v>68</v>
      </c>
      <c r="P62" s="102">
        <v>52500</v>
      </c>
      <c r="Q62" s="102"/>
      <c r="R62" s="102"/>
      <c r="S62" s="102"/>
      <c r="T62" s="102"/>
      <c r="U62" s="102">
        <v>0</v>
      </c>
    </row>
    <row r="63" spans="15:21" x14ac:dyDescent="0.35">
      <c r="O63" t="s">
        <v>353</v>
      </c>
      <c r="P63" s="102">
        <v>411547.5</v>
      </c>
      <c r="Q63" s="102">
        <v>45364.583333333336</v>
      </c>
      <c r="R63" s="102">
        <v>45364.583333333336</v>
      </c>
      <c r="S63" s="102">
        <v>45364.583333333336</v>
      </c>
      <c r="T63" s="102">
        <v>45364.583333333336</v>
      </c>
      <c r="U63" s="102">
        <v>544374.99999999988</v>
      </c>
    </row>
    <row r="64" spans="15:21" x14ac:dyDescent="0.35">
      <c r="O64" t="s">
        <v>166</v>
      </c>
      <c r="P64" s="102">
        <v>12200</v>
      </c>
      <c r="Q64" s="102"/>
      <c r="R64" s="102"/>
      <c r="S64" s="102"/>
      <c r="T64" s="102"/>
      <c r="U64" s="102">
        <v>0</v>
      </c>
    </row>
    <row r="65" spans="15:21" x14ac:dyDescent="0.35">
      <c r="O65" t="s">
        <v>276</v>
      </c>
      <c r="P65" s="102">
        <v>72888.816000000006</v>
      </c>
      <c r="Q65" s="102"/>
      <c r="R65" s="102"/>
      <c r="S65" s="102"/>
      <c r="T65" s="102"/>
      <c r="U65" s="102">
        <v>69417.919999999998</v>
      </c>
    </row>
    <row r="66" spans="15:21" x14ac:dyDescent="0.35">
      <c r="O66" t="s">
        <v>69</v>
      </c>
      <c r="P66" s="102">
        <v>3150</v>
      </c>
      <c r="Q66" s="102"/>
      <c r="R66" s="102">
        <v>3150</v>
      </c>
      <c r="S66" s="102"/>
      <c r="T66" s="102">
        <v>3000</v>
      </c>
      <c r="U66" s="102">
        <v>3000</v>
      </c>
    </row>
    <row r="67" spans="15:21" x14ac:dyDescent="0.35">
      <c r="O67" t="s">
        <v>278</v>
      </c>
      <c r="P67" s="102">
        <v>51930.15</v>
      </c>
      <c r="Q67" s="102"/>
      <c r="R67" s="102"/>
      <c r="S67" s="102"/>
      <c r="T67" s="102"/>
      <c r="U67" s="102">
        <v>46713</v>
      </c>
    </row>
    <row r="68" spans="15:21" x14ac:dyDescent="0.35">
      <c r="O68" t="s">
        <v>347</v>
      </c>
      <c r="P68" s="102">
        <v>139031.20000000001</v>
      </c>
      <c r="Q68" s="102">
        <v>11396</v>
      </c>
      <c r="R68" s="102">
        <v>11396</v>
      </c>
      <c r="S68" s="102">
        <v>11396</v>
      </c>
      <c r="T68" s="102">
        <v>11396</v>
      </c>
      <c r="U68" s="102">
        <v>79772</v>
      </c>
    </row>
    <row r="69" spans="15:21" x14ac:dyDescent="0.35">
      <c r="O69" t="s">
        <v>70</v>
      </c>
      <c r="P69" s="102">
        <v>297450.41749999998</v>
      </c>
      <c r="Q69" s="102">
        <v>957</v>
      </c>
      <c r="R69" s="102"/>
      <c r="S69" s="102">
        <v>983.36</v>
      </c>
      <c r="T69" s="102">
        <v>24.41</v>
      </c>
      <c r="U69" s="102">
        <v>29560.499999999996</v>
      </c>
    </row>
    <row r="70" spans="15:21" x14ac:dyDescent="0.35">
      <c r="O70" t="s">
        <v>282</v>
      </c>
      <c r="P70" s="102">
        <v>39305.700000000004</v>
      </c>
      <c r="Q70" s="102"/>
      <c r="R70" s="102"/>
      <c r="S70" s="102"/>
      <c r="T70" s="102"/>
      <c r="U70" s="102">
        <v>2808</v>
      </c>
    </row>
    <row r="71" spans="15:21" x14ac:dyDescent="0.35">
      <c r="O71" t="s">
        <v>381</v>
      </c>
      <c r="P71" s="102">
        <v>160000</v>
      </c>
      <c r="Q71" s="102">
        <v>12500</v>
      </c>
      <c r="R71" s="102">
        <v>12500</v>
      </c>
      <c r="S71" s="102">
        <v>12500</v>
      </c>
      <c r="T71" s="102">
        <v>12500</v>
      </c>
      <c r="U71" s="102">
        <v>112500</v>
      </c>
    </row>
    <row r="72" spans="15:21" x14ac:dyDescent="0.35">
      <c r="O72" t="s">
        <v>298</v>
      </c>
      <c r="P72" s="102">
        <v>70432.698000000004</v>
      </c>
      <c r="Q72" s="102">
        <v>200</v>
      </c>
      <c r="R72" s="102">
        <v>200</v>
      </c>
      <c r="S72" s="102">
        <v>161.13999999999999</v>
      </c>
      <c r="T72" s="102">
        <v>161.13999999999999</v>
      </c>
      <c r="U72" s="102">
        <v>878.21</v>
      </c>
    </row>
    <row r="73" spans="15:21" x14ac:dyDescent="0.35">
      <c r="O73" t="s">
        <v>78</v>
      </c>
      <c r="P73" s="102">
        <v>5407.5</v>
      </c>
      <c r="Q73" s="102"/>
      <c r="R73" s="102"/>
      <c r="S73" s="102"/>
      <c r="T73" s="102"/>
      <c r="U73" s="102">
        <v>0</v>
      </c>
    </row>
    <row r="74" spans="15:21" x14ac:dyDescent="0.35">
      <c r="O74" t="s">
        <v>284</v>
      </c>
      <c r="P74" s="102">
        <v>174825</v>
      </c>
      <c r="Q74" s="102">
        <v>14568.75</v>
      </c>
      <c r="R74" s="102">
        <v>14568.75</v>
      </c>
      <c r="S74" s="102">
        <v>14568.75</v>
      </c>
      <c r="T74" s="102">
        <v>14568.75</v>
      </c>
      <c r="U74" s="102">
        <v>131118.75</v>
      </c>
    </row>
    <row r="75" spans="15:21" x14ac:dyDescent="0.35">
      <c r="O75" t="s">
        <v>138</v>
      </c>
      <c r="P75" s="102">
        <v>175245.90000000002</v>
      </c>
      <c r="Q75" s="102">
        <v>14332.650000000003</v>
      </c>
      <c r="R75" s="102">
        <v>14332.650000000003</v>
      </c>
      <c r="S75" s="102">
        <v>11833.333333333334</v>
      </c>
      <c r="T75" s="102">
        <v>13333.333333333334</v>
      </c>
      <c r="U75" s="102">
        <v>68500</v>
      </c>
    </row>
    <row r="76" spans="15:21" x14ac:dyDescent="0.35">
      <c r="O76" t="s">
        <v>112</v>
      </c>
      <c r="P76" s="102">
        <v>259449</v>
      </c>
      <c r="Q76" s="102">
        <v>11185.549999999997</v>
      </c>
      <c r="R76" s="102">
        <v>7399.97</v>
      </c>
      <c r="S76" s="102">
        <v>11185.549999999997</v>
      </c>
      <c r="T76" s="102">
        <v>7399.97</v>
      </c>
      <c r="U76" s="102">
        <v>83657.850000000006</v>
      </c>
    </row>
    <row r="77" spans="15:21" x14ac:dyDescent="0.35">
      <c r="O77" t="s">
        <v>371</v>
      </c>
      <c r="P77" s="102">
        <v>67470</v>
      </c>
      <c r="Q77" s="102">
        <v>16878.150000000001</v>
      </c>
      <c r="R77" s="102"/>
      <c r="S77" s="102">
        <v>16878.150000000001</v>
      </c>
      <c r="T77" s="102"/>
      <c r="U77" s="102">
        <v>34242.9</v>
      </c>
    </row>
    <row r="78" spans="15:21" x14ac:dyDescent="0.35">
      <c r="O78" t="s">
        <v>374</v>
      </c>
      <c r="P78" s="102">
        <v>25000</v>
      </c>
      <c r="Q78" s="102"/>
      <c r="R78" s="102"/>
      <c r="S78" s="102"/>
      <c r="T78" s="102"/>
      <c r="U78" s="102">
        <v>0</v>
      </c>
    </row>
    <row r="79" spans="15:21" x14ac:dyDescent="0.35">
      <c r="O79" t="s">
        <v>71</v>
      </c>
      <c r="P79" s="102">
        <v>421713.07500000007</v>
      </c>
      <c r="Q79" s="102">
        <v>30215.78</v>
      </c>
      <c r="R79" s="102">
        <v>35893.14</v>
      </c>
      <c r="S79" s="102">
        <v>30215.78</v>
      </c>
      <c r="T79" s="102">
        <v>35893.14</v>
      </c>
      <c r="U79" s="102">
        <v>122576.03</v>
      </c>
    </row>
    <row r="80" spans="15:21" x14ac:dyDescent="0.35">
      <c r="O80" t="s">
        <v>191</v>
      </c>
      <c r="P80" s="102">
        <v>190000</v>
      </c>
      <c r="Q80" s="102">
        <v>15000</v>
      </c>
      <c r="R80" s="102">
        <v>15000</v>
      </c>
      <c r="S80" s="102">
        <v>15000</v>
      </c>
      <c r="T80" s="102">
        <v>15000</v>
      </c>
      <c r="U80" s="102">
        <v>80950</v>
      </c>
    </row>
    <row r="81" spans="15:21" x14ac:dyDescent="0.35">
      <c r="O81" t="s">
        <v>79</v>
      </c>
      <c r="P81" s="102">
        <v>61830</v>
      </c>
      <c r="Q81" s="102"/>
      <c r="R81" s="102"/>
      <c r="S81" s="102"/>
      <c r="T81" s="102"/>
      <c r="U81" s="102">
        <v>0</v>
      </c>
    </row>
    <row r="82" spans="15:21" x14ac:dyDescent="0.35">
      <c r="O82" t="s">
        <v>215</v>
      </c>
      <c r="P82" s="102">
        <v>440671.35000000003</v>
      </c>
      <c r="Q82" s="102"/>
      <c r="R82" s="102"/>
      <c r="S82" s="102"/>
      <c r="T82" s="102"/>
      <c r="U82" s="102">
        <v>362342.00000000006</v>
      </c>
    </row>
    <row r="83" spans="15:21" x14ac:dyDescent="0.35">
      <c r="O83" t="s">
        <v>72</v>
      </c>
      <c r="P83" s="102">
        <v>15750</v>
      </c>
      <c r="Q83" s="102"/>
      <c r="R83" s="102"/>
      <c r="S83" s="102"/>
      <c r="T83" s="102"/>
      <c r="U83" s="102">
        <v>0</v>
      </c>
    </row>
    <row r="84" spans="15:21" x14ac:dyDescent="0.35">
      <c r="O84" t="s">
        <v>8</v>
      </c>
      <c r="P84" s="102">
        <v>43544379.95615001</v>
      </c>
      <c r="Q84" s="102">
        <v>3310237.773333333</v>
      </c>
      <c r="R84" s="102">
        <v>3283917.4133333336</v>
      </c>
      <c r="S84" s="102">
        <v>3365516.8849999998</v>
      </c>
      <c r="T84" s="102">
        <v>3209811.2950000013</v>
      </c>
      <c r="U84" s="102">
        <v>22394275.037566677</v>
      </c>
    </row>
  </sheetData>
  <autoFilter ref="O5:U84" xr:uid="{5D84049F-C690-42A7-B570-0B987868027C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ANTARESITDMO-1057074058-8530</_dlc_DocId>
    <_dlc_DocIdUrl xmlns="26d0a970-2ab3-49ef-b4d7-820ab6496716">
      <Url>https://antarescap.sharepoint.com/sites/AntaresITDemo/IT Internal/TechPMO/_layouts/15/DocIdRedir.aspx?ID=ANTARESITDMO-1057074058-8530</Url>
      <Description>ANTARESITDMO-1057074058-8530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32E2E58D-7571-4D1E-B0F3-701D55D92D79}">
  <ds:schemaRefs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c391786d-2ce2-4ee1-838b-63fe54a71a4e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26d0a970-2ab3-49ef-b4d7-820ab6496716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YTD Financials Run Rate</vt:lpstr>
      <vt:lpstr>Notes - R&amp;O</vt:lpstr>
      <vt:lpstr>Monthly Run Rate (Jan-Mar)</vt:lpstr>
      <vt:lpstr>Opp Check</vt:lpstr>
      <vt:lpstr>Risk Check</vt:lpstr>
      <vt:lpstr>Master Data OLD</vt:lpstr>
      <vt:lpstr>Master Data (DO NOT EDIT)</vt:lpstr>
      <vt:lpstr>AI Budget Tracking</vt:lpstr>
      <vt:lpstr>Rough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Ari Gurovich</cp:lastModifiedBy>
  <cp:revision/>
  <dcterms:created xsi:type="dcterms:W3CDTF">2025-09-17T12:25:50Z</dcterms:created>
  <dcterms:modified xsi:type="dcterms:W3CDTF">2026-06-24T21:03:56Z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0b641f3c-225c-4d31-afa9-8b99f403fc8f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