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wati.yadav\Downloads\"/>
    </mc:Choice>
  </mc:AlternateContent>
  <xr:revisionPtr revIDLastSave="0" documentId="13_ncr:1_{AE8DA7C2-45F6-4E23-A723-311982A942DB}" xr6:coauthVersionLast="47" xr6:coauthVersionMax="47" xr10:uidLastSave="{00000000-0000-0000-0000-000000000000}"/>
  <bookViews>
    <workbookView xWindow="-108" yWindow="-108" windowWidth="23256" windowHeight="13896" tabRatio="843" activeTab="4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Vendor View" sheetId="96" r:id="rId4"/>
    <sheet name="Master Data (DO NOT EDIT)" sheetId="88" r:id="rId5"/>
    <sheet name="AI Budget Tracking" sheetId="87" r:id="rId6"/>
    <sheet name="Budget Slide" sheetId="84" state="hidden" r:id="rId7"/>
    <sheet name="Program Slide" sheetId="94" state="hidden" r:id="rId8"/>
    <sheet name="Vendor - SW" sheetId="90" state="hidden" r:id="rId9"/>
    <sheet name="Vendor - Labor" sheetId="91" state="hidden" r:id="rId10"/>
    <sheet name="Vendor - Infra" sheetId="92" state="hidden" r:id="rId11"/>
    <sheet name="Rough" sheetId="93" r:id="rId12"/>
    <sheet name="Vendor Details" sheetId="95" r:id="rId13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4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4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4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4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4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4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4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4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4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4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4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4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4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4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4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4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4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4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4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4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4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4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4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4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4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4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4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4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4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4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4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4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4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4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4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4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4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4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4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4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4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4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4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4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4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4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4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4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4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4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4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4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4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4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4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4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4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4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4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4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4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4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4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4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4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4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4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4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4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4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4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4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4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4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4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4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4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4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4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4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4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4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4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4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4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4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4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4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4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4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4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4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4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4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4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4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4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4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4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4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4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4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4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4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4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4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4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4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4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4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4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4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4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4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4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4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4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4" hidden="1">'Master Data (DO NOT EDIT)'!$A$1:$BP$150</definedName>
    <definedName name="_xlnm._FilterDatabase" localSheetId="1" hidden="1">'Notes - R&amp;O'!$A$1:$O$152</definedName>
    <definedName name="_xlnm._FilterDatabase" localSheetId="11" hidden="1">Rough!$A$4:$B$85</definedName>
    <definedName name="_xlnm._FilterDatabase" localSheetId="10" hidden="1">'Vendor - Infra'!$A$4:$B$50</definedName>
    <definedName name="_xlnm._FilterDatabase" localSheetId="9" hidden="1">'Vendor - Labor'!$A$4:$B$50</definedName>
    <definedName name="_xlnm._FilterDatabase" localSheetId="8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4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4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4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4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4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4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4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4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4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4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4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4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4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4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4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4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4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4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4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4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4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4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4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4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4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4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4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4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4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4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4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4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4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4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4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4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4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4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4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4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4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4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4" hidden="1">{"'PXR_6500'!$A$1:$I$124"}</definedName>
    <definedName name="abcdef" localSheetId="1" hidden="1">{"'PXR_6500'!$A$1:$I$124"}</definedName>
    <definedName name="abcdef" hidden="1">{"'PXR_6500'!$A$1:$I$124"}</definedName>
    <definedName name="ABN" localSheetId="4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4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4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4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4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4" hidden="1">{"'PXR_6500'!$A$1:$I$124"}</definedName>
    <definedName name="aqqq" localSheetId="1" hidden="1">{"'PXR_6500'!$A$1:$I$124"}</definedName>
    <definedName name="aqqq" hidden="1">{"'PXR_6500'!$A$1:$I$124"}</definedName>
    <definedName name="AS" localSheetId="4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4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4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4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4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4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4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4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4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4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4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4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4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4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4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4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4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4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4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4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4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4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4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4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4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4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4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4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4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4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4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4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4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4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4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4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4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4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4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4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4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4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4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4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4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4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4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4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4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4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4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4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4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4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4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4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4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4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4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4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4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4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4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4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4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4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4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4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4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4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4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4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4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4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4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4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4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4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4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4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4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4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4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4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4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4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4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4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4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4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4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4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4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4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4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4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4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4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4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4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4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4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4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4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4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4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4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4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4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4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4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4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4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4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4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4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4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4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4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4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4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4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4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4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4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4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4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4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4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4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4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4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4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4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4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4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4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4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4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4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4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4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4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4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4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4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4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4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4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4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4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4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4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4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4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4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4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4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4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4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4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4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4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4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4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4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4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4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4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4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4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4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4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6">#REF!</definedName>
    <definedName name="Macro2" localSheetId="1">#REF!</definedName>
    <definedName name="Macro2" localSheetId="7">#REF!</definedName>
    <definedName name="Macro2" localSheetId="11">#REF!</definedName>
    <definedName name="Macro2" localSheetId="10">#REF!</definedName>
    <definedName name="Macro2" localSheetId="9">#REF!</definedName>
    <definedName name="Macro2" localSheetId="8">#REF!</definedName>
    <definedName name="Macro2">#REF!</definedName>
    <definedName name="Macro3" localSheetId="6">#REF!</definedName>
    <definedName name="Macro3" localSheetId="1">#REF!</definedName>
    <definedName name="Macro3" localSheetId="7">#REF!</definedName>
    <definedName name="Macro3" localSheetId="11">#REF!</definedName>
    <definedName name="Macro3" localSheetId="10">#REF!</definedName>
    <definedName name="Macro3" localSheetId="9">#REF!</definedName>
    <definedName name="Macro3" localSheetId="8">#REF!</definedName>
    <definedName name="Macro3">#REF!</definedName>
    <definedName name="maincbo" localSheetId="4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4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4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4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4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4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4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4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4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4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4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4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4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4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4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4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4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4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4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4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4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4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4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4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4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4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4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4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4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4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4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4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4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4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4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4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4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4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4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4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4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4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4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4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4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4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4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4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4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4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4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4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4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4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4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4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4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4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4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4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4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4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4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4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4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4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4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4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4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4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4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4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4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4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4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4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4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4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4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4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4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4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4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4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4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4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4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4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4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4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4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4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4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4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4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4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4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4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4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4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4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4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4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4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4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4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4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4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4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4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4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4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4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4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4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4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4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4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4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4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4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4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4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4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4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4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4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4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4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4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4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4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4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4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4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4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4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4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4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4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4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4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4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4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4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4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4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4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4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4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4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4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4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4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4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4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4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4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4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4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4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4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4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4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4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4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4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4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4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4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4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4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4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4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4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4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4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4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4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4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4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4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4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4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4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4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4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4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4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4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4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4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4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4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4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4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4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4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4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4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4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4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4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4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4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4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4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4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4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4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4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4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4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4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4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4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4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4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4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4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4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4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4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4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4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4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4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4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4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4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4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4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4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4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4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4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4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4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4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4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4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4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4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4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4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4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4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4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4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4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4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4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4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4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4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4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4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4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4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4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4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4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4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4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4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4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4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4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4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4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4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4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4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4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4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4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4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4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4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4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4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4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4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4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4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4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4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4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4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4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4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4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4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4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4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4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4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4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4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4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4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4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4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4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4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4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4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4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4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4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4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4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4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4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4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4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4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4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4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4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4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4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4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4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4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4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4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4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4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4" hidden="1">{"'PXR_6500'!$A$1:$I$124"}</definedName>
    <definedName name="wq" localSheetId="1" hidden="1">{"'PXR_6500'!$A$1:$I$124"}</definedName>
    <definedName name="wq" hidden="1">{"'PXR_6500'!$A$1:$I$124"}</definedName>
    <definedName name="wrn" localSheetId="4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4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4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4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4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4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4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4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4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4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4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4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4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4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4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4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4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4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4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4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4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4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4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4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4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4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4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4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4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4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4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4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4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4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4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4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4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4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4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4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4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4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4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4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4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4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4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4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4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4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4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4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4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4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4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4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4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4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4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4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4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4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4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4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4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4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4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4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4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4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4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4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4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4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4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4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4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4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4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4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4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4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4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4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4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4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4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4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4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4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4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4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4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4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4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4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4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4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4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4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4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4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4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4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4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4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4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4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4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4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4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4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4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4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4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4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4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4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4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4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4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4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4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4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4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4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4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4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4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4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4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4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4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4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4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4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4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4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4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4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4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4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4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4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4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4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4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4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4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4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4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4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4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4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4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4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4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4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4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4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4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4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4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4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4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4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4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4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4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4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4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4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4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4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4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4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4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4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4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4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4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4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4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4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4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4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4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4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4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4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4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4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4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4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4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4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4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4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4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4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4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4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4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4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4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4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4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4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4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4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4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4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4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4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4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4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4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4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4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4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4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4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4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4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4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4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4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4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4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4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4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4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4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4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4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4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4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4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4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4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4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4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4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4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4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4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4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4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4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4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4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4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4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4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4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4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4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4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4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4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4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4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4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4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4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4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4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4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4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4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4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4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4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4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4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4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4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4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4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4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4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4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4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4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4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4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4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4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4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4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4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4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4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4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4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4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4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4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4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4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4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4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4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4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4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4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4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4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4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4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4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4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4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4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4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4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4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4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4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4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4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4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4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4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4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4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4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4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4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4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4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4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4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4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4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4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4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4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4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4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4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4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4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4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4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4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4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4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4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4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4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4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4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4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4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4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4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4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4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4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4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4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4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4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4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4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4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4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4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4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4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4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4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4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4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4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4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4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4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4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4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4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4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4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4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4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4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4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4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4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4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4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4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4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4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4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4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4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4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4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4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4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4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4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4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4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4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4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4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4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4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4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4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4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4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4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4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4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4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4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4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4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4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4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4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4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4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4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4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4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4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4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4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4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4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4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4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4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4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4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4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4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4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4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4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4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4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4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4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4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4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4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4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4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4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4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4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4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4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4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4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4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4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4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4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4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4"/>
    <pivotCache cacheId="1" r:id="rId15"/>
    <pivotCache cacheId="2" r:id="rId16"/>
    <pivotCache cacheId="3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53" i="88" l="1"/>
  <c r="AA153" i="88"/>
  <c r="U153" i="88"/>
  <c r="T153" i="88"/>
  <c r="BT151" i="88"/>
  <c r="BQ151" i="88"/>
  <c r="BN151" i="88"/>
  <c r="BM151" i="88"/>
  <c r="BL151" i="88"/>
  <c r="BK151" i="88"/>
  <c r="BJ151" i="88"/>
  <c r="BI151" i="88"/>
  <c r="BH151" i="88"/>
  <c r="BG151" i="88"/>
  <c r="BF151" i="88"/>
  <c r="BE151" i="88"/>
  <c r="BD151" i="88"/>
  <c r="BC151" i="88"/>
  <c r="BB151" i="88"/>
  <c r="AO151" i="88"/>
  <c r="W151" i="88" s="1"/>
  <c r="AN151" i="88"/>
  <c r="K151" i="88"/>
  <c r="BT150" i="88"/>
  <c r="BQ150" i="88"/>
  <c r="BR150" i="88" s="1"/>
  <c r="BS150" i="88" s="1"/>
  <c r="BU150" i="88" s="1"/>
  <c r="BN150" i="88"/>
  <c r="BM150" i="88"/>
  <c r="BL150" i="88"/>
  <c r="BK150" i="88"/>
  <c r="BJ150" i="88"/>
  <c r="BI150" i="88"/>
  <c r="BH150" i="88"/>
  <c r="BT149" i="88"/>
  <c r="BQ149" i="88"/>
  <c r="BN149" i="88"/>
  <c r="BM149" i="88"/>
  <c r="BL149" i="88"/>
  <c r="BK149" i="88"/>
  <c r="BJ149" i="88"/>
  <c r="BI149" i="88"/>
  <c r="BH149" i="88"/>
  <c r="BG149" i="88"/>
  <c r="BF149" i="88"/>
  <c r="BE149" i="88"/>
  <c r="BD149" i="88"/>
  <c r="BC149" i="88"/>
  <c r="BB149" i="88"/>
  <c r="AO149" i="88"/>
  <c r="W149" i="88" s="1"/>
  <c r="X149" i="88" s="1"/>
  <c r="AN149" i="88"/>
  <c r="K149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AN148" i="88"/>
  <c r="W148" i="88"/>
  <c r="BR148" i="88" s="1"/>
  <c r="BS148" i="88" s="1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X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O142" i="88" s="1"/>
  <c r="BF142" i="88"/>
  <c r="BE142" i="88"/>
  <c r="BD142" i="88"/>
  <c r="BC142" i="88"/>
  <c r="BB142" i="88"/>
  <c r="AO142" i="88"/>
  <c r="W142" i="88" s="1"/>
  <c r="AN142" i="88"/>
  <c r="K142" i="88"/>
  <c r="BT141" i="88"/>
  <c r="BK141" i="88"/>
  <c r="BJ141" i="88"/>
  <c r="BI141" i="88"/>
  <c r="BH141" i="88"/>
  <c r="BC141" i="88"/>
  <c r="BA141" i="88"/>
  <c r="BN141" i="88" s="1"/>
  <c r="AZ141" i="88"/>
  <c r="BM141" i="88" s="1"/>
  <c r="AY141" i="88"/>
  <c r="BL141" i="88" s="1"/>
  <c r="AX141" i="88"/>
  <c r="AW141" i="88"/>
  <c r="AV141" i="88"/>
  <c r="AU141" i="88"/>
  <c r="AT141" i="88"/>
  <c r="BG141" i="88" s="1"/>
  <c r="AS141" i="88"/>
  <c r="AR141" i="88"/>
  <c r="BE141" i="88" s="1"/>
  <c r="AQ141" i="88"/>
  <c r="BQ141" i="88" s="1"/>
  <c r="AP141" i="88"/>
  <c r="AO141" i="88"/>
  <c r="AN141" i="88"/>
  <c r="K141" i="88"/>
  <c r="BT140" i="88"/>
  <c r="BN140" i="88"/>
  <c r="BI140" i="88"/>
  <c r="BH140" i="88"/>
  <c r="BG140" i="88"/>
  <c r="BF140" i="88"/>
  <c r="BA140" i="88"/>
  <c r="AZ140" i="88"/>
  <c r="BM140" i="88" s="1"/>
  <c r="AY140" i="88"/>
  <c r="BL140" i="88" s="1"/>
  <c r="AX140" i="88"/>
  <c r="BK140" i="88" s="1"/>
  <c r="AW140" i="88"/>
  <c r="BJ140" i="88" s="1"/>
  <c r="AV140" i="88"/>
  <c r="AU140" i="88"/>
  <c r="AT140" i="88"/>
  <c r="AS140" i="88"/>
  <c r="AR140" i="88"/>
  <c r="BE140" i="88" s="1"/>
  <c r="AQ140" i="88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AN139" i="88"/>
  <c r="W139" i="88"/>
  <c r="BR139" i="88" s="1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V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V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W136" i="88" s="1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W135" i="88" s="1"/>
  <c r="AN135" i="88"/>
  <c r="V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V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W132" i="88" s="1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V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V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V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W128" i="88" s="1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W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AN125" i="88"/>
  <c r="V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V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W123" i="88" s="1"/>
  <c r="AN123" i="88"/>
  <c r="V123" i="88"/>
  <c r="K123" i="88"/>
  <c r="BN122" i="88"/>
  <c r="BM122" i="88"/>
  <c r="BL122" i="88"/>
  <c r="BJ122" i="88"/>
  <c r="BI122" i="88"/>
  <c r="BH122" i="88"/>
  <c r="AX122" i="88"/>
  <c r="BK122" i="88" s="1"/>
  <c r="AW122" i="88"/>
  <c r="AV122" i="88"/>
  <c r="AU122" i="88"/>
  <c r="AT122" i="88"/>
  <c r="AS122" i="88"/>
  <c r="AR122" i="88"/>
  <c r="BE122" i="88" s="1"/>
  <c r="AQ122" i="88"/>
  <c r="BD122" i="88" s="1"/>
  <c r="AP122" i="88"/>
  <c r="AO122" i="88"/>
  <c r="AJ122" i="88"/>
  <c r="AI122" i="88"/>
  <c r="AH122" i="88"/>
  <c r="AG122" i="88"/>
  <c r="AF122" i="88"/>
  <c r="BG122" i="88" s="1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W121" i="88" s="1"/>
  <c r="AN121" i="88"/>
  <c r="V121" i="88"/>
  <c r="K121" i="88"/>
  <c r="BT120" i="88"/>
  <c r="BQ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BE119" i="88" s="1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F118" i="88"/>
  <c r="BE118" i="88"/>
  <c r="BD118" i="88"/>
  <c r="AS118" i="88"/>
  <c r="AP118" i="88"/>
  <c r="BQ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W113" i="88" s="1"/>
  <c r="AN113" i="88"/>
  <c r="K113" i="88"/>
  <c r="BQ112" i="88"/>
  <c r="BH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AN110" i="88"/>
  <c r="W110" i="88"/>
  <c r="X110" i="88" s="1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W109" i="88"/>
  <c r="Y109" i="88" s="1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T107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BB107" i="88"/>
  <c r="AS107" i="88"/>
  <c r="BF107" i="88" s="1"/>
  <c r="AO107" i="88"/>
  <c r="W107" i="88" s="1"/>
  <c r="X107" i="88" s="1"/>
  <c r="AE107" i="88"/>
  <c r="AN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W106" i="88" s="1"/>
  <c r="Y106" i="88" s="1"/>
  <c r="AN106" i="88"/>
  <c r="K106" i="88"/>
  <c r="BT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B105" i="88" s="1"/>
  <c r="AM105" i="88"/>
  <c r="AO105" i="88" s="1"/>
  <c r="K105" i="88"/>
  <c r="BT104" i="88"/>
  <c r="BQ104" i="88"/>
  <c r="BN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O104" i="88"/>
  <c r="AN104" i="88"/>
  <c r="AM104" i="88"/>
  <c r="K104" i="88"/>
  <c r="BT103" i="88"/>
  <c r="BQ103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BD103" i="88" s="1"/>
  <c r="AP103" i="88"/>
  <c r="AO103" i="88"/>
  <c r="AN103" i="88"/>
  <c r="K103" i="88"/>
  <c r="BT102" i="88"/>
  <c r="BN102" i="88"/>
  <c r="BM102" i="88"/>
  <c r="BL102" i="88"/>
  <c r="BK102" i="88"/>
  <c r="BJ102" i="88"/>
  <c r="BF102" i="88"/>
  <c r="BE102" i="88"/>
  <c r="BD102" i="88"/>
  <c r="BC102" i="88"/>
  <c r="BA102" i="88"/>
  <c r="AZ102" i="88"/>
  <c r="AY102" i="88"/>
  <c r="AX102" i="88"/>
  <c r="AW102" i="88"/>
  <c r="AV102" i="88"/>
  <c r="BI102" i="88" s="1"/>
  <c r="AU102" i="88"/>
  <c r="BH102" i="88" s="1"/>
  <c r="AT102" i="88"/>
  <c r="BG102" i="88" s="1"/>
  <c r="AS102" i="88"/>
  <c r="AR102" i="88"/>
  <c r="AQ102" i="88"/>
  <c r="AP102" i="88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Y101" i="88" s="1"/>
  <c r="AN101" i="88"/>
  <c r="V101" i="88"/>
  <c r="K101" i="88"/>
  <c r="BM100" i="88"/>
  <c r="BL100" i="88"/>
  <c r="BE100" i="88"/>
  <c r="BD100" i="88"/>
  <c r="BC100" i="88"/>
  <c r="BA100" i="88"/>
  <c r="AZ100" i="88"/>
  <c r="AY100" i="88"/>
  <c r="AX100" i="88"/>
  <c r="BK100" i="88" s="1"/>
  <c r="AW100" i="88"/>
  <c r="BJ100" i="88" s="1"/>
  <c r="AV100" i="88"/>
  <c r="AU100" i="88"/>
  <c r="BH100" i="88" s="1"/>
  <c r="AT100" i="88"/>
  <c r="AS100" i="88"/>
  <c r="AR100" i="88"/>
  <c r="AQ100" i="88"/>
  <c r="AP100" i="88"/>
  <c r="AM100" i="88"/>
  <c r="BN100" i="88" s="1"/>
  <c r="AL100" i="88"/>
  <c r="AK100" i="88"/>
  <c r="AJ100" i="88"/>
  <c r="AI100" i="88"/>
  <c r="AH100" i="88"/>
  <c r="AG100" i="88"/>
  <c r="AO100" i="88" s="1"/>
  <c r="AF100" i="88"/>
  <c r="BG100" i="88" s="1"/>
  <c r="AE100" i="88"/>
  <c r="BF100" i="88" s="1"/>
  <c r="AD100" i="88"/>
  <c r="AC100" i="88"/>
  <c r="AB100" i="88"/>
  <c r="K100" i="88"/>
  <c r="BT99" i="88"/>
  <c r="BH99" i="88"/>
  <c r="BE99" i="88"/>
  <c r="AV99" i="88"/>
  <c r="BI99" i="88" s="1"/>
  <c r="AU99" i="88"/>
  <c r="AT99" i="88"/>
  <c r="BG99" i="88" s="1"/>
  <c r="AS99" i="88"/>
  <c r="BF99" i="88" s="1"/>
  <c r="AR99" i="88"/>
  <c r="AQ99" i="88"/>
  <c r="BD99" i="88" s="1"/>
  <c r="AP99" i="88"/>
  <c r="BC99" i="88" s="1"/>
  <c r="AJ99" i="88"/>
  <c r="AI99" i="88"/>
  <c r="BJ99" i="88" s="1"/>
  <c r="K99" i="88"/>
  <c r="BQ98" i="88"/>
  <c r="BN98" i="88"/>
  <c r="BM98" i="88"/>
  <c r="BL98" i="88"/>
  <c r="BK98" i="88"/>
  <c r="BJ98" i="88"/>
  <c r="BI98" i="88"/>
  <c r="BF98" i="88"/>
  <c r="BC98" i="88"/>
  <c r="BB98" i="88"/>
  <c r="AG98" i="88"/>
  <c r="AF98" i="88"/>
  <c r="BG98" i="88" s="1"/>
  <c r="AE98" i="88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AN96" i="88"/>
  <c r="V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BR95" i="88" s="1"/>
  <c r="AN95" i="88"/>
  <c r="V95" i="88"/>
  <c r="K95" i="88"/>
  <c r="BM94" i="88"/>
  <c r="BL94" i="88"/>
  <c r="BE94" i="88"/>
  <c r="BD94" i="88"/>
  <c r="BA94" i="88"/>
  <c r="AZ94" i="88"/>
  <c r="AY94" i="88"/>
  <c r="AX94" i="88"/>
  <c r="AW94" i="88"/>
  <c r="BJ94" i="88" s="1"/>
  <c r="AV94" i="88"/>
  <c r="BI94" i="88" s="1"/>
  <c r="AU94" i="88"/>
  <c r="BH94" i="88" s="1"/>
  <c r="AT94" i="88"/>
  <c r="AS94" i="88"/>
  <c r="AR94" i="88"/>
  <c r="AQ94" i="88"/>
  <c r="AP94" i="88"/>
  <c r="AM94" i="88"/>
  <c r="BN94" i="88" s="1"/>
  <c r="AL94" i="88"/>
  <c r="AK94" i="88"/>
  <c r="AJ94" i="88"/>
  <c r="BK94" i="88" s="1"/>
  <c r="AI94" i="88"/>
  <c r="AH94" i="88"/>
  <c r="AG94" i="88"/>
  <c r="AO94" i="88" s="1"/>
  <c r="AF94" i="88"/>
  <c r="BG94" i="88" s="1"/>
  <c r="AE94" i="88"/>
  <c r="BF94" i="88" s="1"/>
  <c r="AD94" i="88"/>
  <c r="AC94" i="88"/>
  <c r="AB94" i="88"/>
  <c r="BT94" i="88" s="1"/>
  <c r="K94" i="88"/>
  <c r="BT93" i="88"/>
  <c r="BN93" i="88"/>
  <c r="BM93" i="88"/>
  <c r="BL93" i="88"/>
  <c r="BK93" i="88"/>
  <c r="BJ93" i="88"/>
  <c r="BI93" i="88"/>
  <c r="BG93" i="88"/>
  <c r="AU93" i="88"/>
  <c r="BH93" i="88" s="1"/>
  <c r="AT93" i="88"/>
  <c r="AS93" i="88"/>
  <c r="BF93" i="88" s="1"/>
  <c r="AR93" i="88"/>
  <c r="BE93" i="88" s="1"/>
  <c r="AQ93" i="88"/>
  <c r="BD93" i="88" s="1"/>
  <c r="AP93" i="88"/>
  <c r="BC93" i="88" s="1"/>
  <c r="AO93" i="88"/>
  <c r="AN93" i="88"/>
  <c r="K93" i="88"/>
  <c r="BN92" i="88"/>
  <c r="BM92" i="88"/>
  <c r="BL92" i="88"/>
  <c r="BK92" i="88"/>
  <c r="BJ92" i="88"/>
  <c r="BI92" i="88"/>
  <c r="BH92" i="88"/>
  <c r="BG92" i="88"/>
  <c r="BF92" i="88"/>
  <c r="BD92" i="88"/>
  <c r="AS92" i="88"/>
  <c r="AR92" i="88"/>
  <c r="AP92" i="88"/>
  <c r="BC92" i="88" s="1"/>
  <c r="AO92" i="88"/>
  <c r="AN92" i="88"/>
  <c r="AM92" i="88"/>
  <c r="AE92" i="88"/>
  <c r="AD92" i="88"/>
  <c r="BT92" i="88" s="1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W91" i="88" s="1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V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AO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O87" i="88"/>
  <c r="W87" i="88" s="1"/>
  <c r="AN87" i="88"/>
  <c r="AM87" i="88"/>
  <c r="BN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N85" i="88"/>
  <c r="BM85" i="88"/>
  <c r="BL85" i="88"/>
  <c r="BH85" i="88"/>
  <c r="BF85" i="88"/>
  <c r="BE85" i="88"/>
  <c r="BD85" i="88"/>
  <c r="BC85" i="88"/>
  <c r="BA85" i="88"/>
  <c r="AZ85" i="88"/>
  <c r="AY85" i="88"/>
  <c r="AX85" i="88"/>
  <c r="BK85" i="88" s="1"/>
  <c r="AW85" i="88"/>
  <c r="BJ85" i="88" s="1"/>
  <c r="AV85" i="88"/>
  <c r="BI85" i="88" s="1"/>
  <c r="AU85" i="88"/>
  <c r="AT85" i="88"/>
  <c r="BG85" i="88" s="1"/>
  <c r="AS85" i="88"/>
  <c r="BB85" i="88" s="1"/>
  <c r="AO85" i="88"/>
  <c r="W85" i="88" s="1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M82" i="88"/>
  <c r="BG82" i="88"/>
  <c r="BE82" i="88"/>
  <c r="AW82" i="88"/>
  <c r="BJ82" i="88" s="1"/>
  <c r="AV82" i="88"/>
  <c r="BI82" i="88" s="1"/>
  <c r="AU82" i="88"/>
  <c r="BH82" i="88" s="1"/>
  <c r="AT82" i="88"/>
  <c r="AS82" i="88"/>
  <c r="BF82" i="88" s="1"/>
  <c r="AR82" i="88"/>
  <c r="AQ82" i="88"/>
  <c r="BQ82" i="88" s="1"/>
  <c r="AP82" i="88"/>
  <c r="BB82" i="88" s="1"/>
  <c r="AM82" i="88"/>
  <c r="BN82" i="88" s="1"/>
  <c r="AL82" i="88"/>
  <c r="AK82" i="88"/>
  <c r="BL82" i="88" s="1"/>
  <c r="AJ82" i="88"/>
  <c r="BK82" i="88" s="1"/>
  <c r="AI82" i="88"/>
  <c r="AH82" i="88"/>
  <c r="AG82" i="88"/>
  <c r="AO82" i="88" s="1"/>
  <c r="AF82" i="88"/>
  <c r="AE82" i="88"/>
  <c r="AD82" i="88"/>
  <c r="AC82" i="88"/>
  <c r="BD82" i="88" s="1"/>
  <c r="AB82" i="88"/>
  <c r="AN82" i="88" s="1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V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BR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N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O78" i="88"/>
  <c r="W78" i="88" s="1"/>
  <c r="AN78" i="88"/>
  <c r="AM78" i="88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AN77" i="88"/>
  <c r="K77" i="88"/>
  <c r="BT76" i="88"/>
  <c r="BN76" i="88"/>
  <c r="BM76" i="88"/>
  <c r="BL76" i="88"/>
  <c r="BK76" i="88"/>
  <c r="BJ76" i="88"/>
  <c r="BI76" i="88"/>
  <c r="BG76" i="88"/>
  <c r="BC76" i="88"/>
  <c r="AU76" i="88"/>
  <c r="BH76" i="88" s="1"/>
  <c r="AT76" i="88"/>
  <c r="AS76" i="88"/>
  <c r="BF76" i="88" s="1"/>
  <c r="AR76" i="88"/>
  <c r="BE76" i="88" s="1"/>
  <c r="AQ76" i="88"/>
  <c r="BD76" i="88" s="1"/>
  <c r="AP76" i="88"/>
  <c r="AO76" i="88"/>
  <c r="AN76" i="88"/>
  <c r="V76" i="88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X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N71" i="88"/>
  <c r="AK71" i="88"/>
  <c r="BL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AN69" i="88"/>
  <c r="K69" i="88"/>
  <c r="BG68" i="88"/>
  <c r="AX68" i="88"/>
  <c r="BK68" i="88" s="1"/>
  <c r="AW68" i="88"/>
  <c r="AV68" i="88"/>
  <c r="BI68" i="88" s="1"/>
  <c r="AU68" i="88"/>
  <c r="BH68" i="88" s="1"/>
  <c r="AT68" i="88"/>
  <c r="AS68" i="88"/>
  <c r="AR68" i="88"/>
  <c r="AQ68" i="88"/>
  <c r="BD68" i="88" s="1"/>
  <c r="AP68" i="88"/>
  <c r="BC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O68" i="88" s="1"/>
  <c r="AF68" i="88"/>
  <c r="AN68" i="88" s="1"/>
  <c r="AE68" i="88"/>
  <c r="BF68" i="88" s="1"/>
  <c r="AD68" i="88"/>
  <c r="BE68" i="88" s="1"/>
  <c r="AC68" i="88"/>
  <c r="AB68" i="88"/>
  <c r="K68" i="88"/>
  <c r="BT67" i="88"/>
  <c r="BQ67" i="88"/>
  <c r="BN67" i="88"/>
  <c r="BM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W67" i="88" s="1"/>
  <c r="AN67" i="88"/>
  <c r="AL67" i="88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X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X63" i="88" s="1"/>
  <c r="AN63" i="88"/>
  <c r="Y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K61" i="88"/>
  <c r="BJ61" i="88"/>
  <c r="BC61" i="88"/>
  <c r="AZ61" i="88"/>
  <c r="BM61" i="88" s="1"/>
  <c r="AY61" i="88"/>
  <c r="BL61" i="88" s="1"/>
  <c r="AX61" i="88"/>
  <c r="AW61" i="88"/>
  <c r="AV61" i="88"/>
  <c r="BI61" i="88" s="1"/>
  <c r="AU61" i="88"/>
  <c r="BH61" i="88" s="1"/>
  <c r="AT61" i="88"/>
  <c r="BG61" i="88" s="1"/>
  <c r="AS61" i="88"/>
  <c r="BF61" i="88" s="1"/>
  <c r="AR61" i="88"/>
  <c r="BE61" i="88" s="1"/>
  <c r="AQ61" i="88"/>
  <c r="BD61" i="88" s="1"/>
  <c r="AP61" i="88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C60" i="88"/>
  <c r="AT60" i="88"/>
  <c r="AS60" i="88"/>
  <c r="BF60" i="88" s="1"/>
  <c r="AR60" i="88"/>
  <c r="BE60" i="88" s="1"/>
  <c r="AQ60" i="88"/>
  <c r="BD60" i="88" s="1"/>
  <c r="AP60" i="88"/>
  <c r="AO60" i="88"/>
  <c r="AN60" i="88"/>
  <c r="W60" i="88"/>
  <c r="K60" i="88"/>
  <c r="BN59" i="88"/>
  <c r="BM59" i="88"/>
  <c r="BJ59" i="88"/>
  <c r="BI59" i="88"/>
  <c r="BG59" i="88"/>
  <c r="AT59" i="88"/>
  <c r="AS59" i="88"/>
  <c r="AR59" i="88"/>
  <c r="BE59" i="88" s="1"/>
  <c r="AQ59" i="88"/>
  <c r="BD59" i="88" s="1"/>
  <c r="AP59" i="88"/>
  <c r="AM59" i="88"/>
  <c r="AL59" i="88"/>
  <c r="AK59" i="88"/>
  <c r="BL59" i="88" s="1"/>
  <c r="AJ59" i="88"/>
  <c r="BK59" i="88" s="1"/>
  <c r="AI59" i="88"/>
  <c r="AH59" i="88"/>
  <c r="AG59" i="88"/>
  <c r="AO59" i="88" s="1"/>
  <c r="W59" i="88" s="1"/>
  <c r="X59" i="88" s="1"/>
  <c r="AF59" i="88"/>
  <c r="AE59" i="88"/>
  <c r="BF59" i="88" s="1"/>
  <c r="AD59" i="88"/>
  <c r="AC59" i="88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BR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W57" i="88" s="1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AN56" i="88"/>
  <c r="W56" i="88"/>
  <c r="BR56" i="88" s="1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BR55" i="88" s="1"/>
  <c r="BS55" i="88" s="1"/>
  <c r="BU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BR52" i="88" s="1"/>
  <c r="BS52" i="88" s="1"/>
  <c r="BU52" i="88" s="1"/>
  <c r="AN52" i="88"/>
  <c r="K52" i="88"/>
  <c r="BQ51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V51" i="88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AN50" i="88"/>
  <c r="W50" i="88"/>
  <c r="BR50" i="88" s="1"/>
  <c r="BS50" i="88" s="1"/>
  <c r="BU50" i="88" s="1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H47" i="88"/>
  <c r="BG47" i="88"/>
  <c r="BF47" i="88"/>
  <c r="BE47" i="88"/>
  <c r="BD47" i="88"/>
  <c r="BC47" i="88"/>
  <c r="BB47" i="88"/>
  <c r="AO47" i="88"/>
  <c r="W47" i="88" s="1"/>
  <c r="AN47" i="88"/>
  <c r="AG47" i="88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BR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O44" i="88"/>
  <c r="W44" i="88" s="1"/>
  <c r="AN44" i="88"/>
  <c r="AM44" i="88"/>
  <c r="BN44" i="88" s="1"/>
  <c r="K44" i="88"/>
  <c r="BT43" i="88"/>
  <c r="BQ43" i="88"/>
  <c r="BN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M43" i="88"/>
  <c r="AO43" i="88" s="1"/>
  <c r="K43" i="88"/>
  <c r="BN42" i="88"/>
  <c r="BJ42" i="88"/>
  <c r="AV42" i="88"/>
  <c r="BI42" i="88" s="1"/>
  <c r="AU42" i="88"/>
  <c r="BH42" i="88" s="1"/>
  <c r="AT42" i="88"/>
  <c r="BG42" i="88" s="1"/>
  <c r="AS42" i="88"/>
  <c r="BF42" i="88" s="1"/>
  <c r="AR42" i="88"/>
  <c r="BB42" i="88" s="1"/>
  <c r="AQ42" i="88"/>
  <c r="BD42" i="88" s="1"/>
  <c r="AP42" i="88"/>
  <c r="BC42" i="88" s="1"/>
  <c r="AM42" i="88"/>
  <c r="AL42" i="88"/>
  <c r="BM42" i="88" s="1"/>
  <c r="AK42" i="88"/>
  <c r="BL42" i="88" s="1"/>
  <c r="AJ42" i="88"/>
  <c r="BK42" i="88" s="1"/>
  <c r="AI42" i="88"/>
  <c r="AH42" i="88"/>
  <c r="AG42" i="88"/>
  <c r="AO42" i="88" s="1"/>
  <c r="AF42" i="88"/>
  <c r="AE42" i="88"/>
  <c r="AD42" i="88"/>
  <c r="AC42" i="88"/>
  <c r="AB42" i="88"/>
  <c r="BT42" i="88" s="1"/>
  <c r="K42" i="88"/>
  <c r="BT41" i="88"/>
  <c r="BN41" i="88"/>
  <c r="BM41" i="88"/>
  <c r="BL41" i="88"/>
  <c r="BK41" i="88"/>
  <c r="BJ41" i="88"/>
  <c r="BI41" i="88"/>
  <c r="BG41" i="88"/>
  <c r="BF41" i="88"/>
  <c r="BE41" i="88"/>
  <c r="BD41" i="88"/>
  <c r="BC41" i="88"/>
  <c r="AU41" i="88"/>
  <c r="BH41" i="88" s="1"/>
  <c r="AT41" i="88"/>
  <c r="AS41" i="88"/>
  <c r="AR41" i="88"/>
  <c r="AQ41" i="88"/>
  <c r="AP41" i="88"/>
  <c r="BQ41" i="88" s="1"/>
  <c r="AO41" i="88"/>
  <c r="W41" i="88" s="1"/>
  <c r="AN41" i="88"/>
  <c r="AM41" i="88"/>
  <c r="K41" i="88"/>
  <c r="BQ40" i="88"/>
  <c r="BN40" i="88"/>
  <c r="BM40" i="88"/>
  <c r="BL40" i="88"/>
  <c r="BK40" i="88"/>
  <c r="BJ40" i="88"/>
  <c r="BI40" i="88"/>
  <c r="BH40" i="88"/>
  <c r="BE40" i="88"/>
  <c r="BD40" i="88"/>
  <c r="BC40" i="88"/>
  <c r="BB40" i="88"/>
  <c r="AM40" i="88"/>
  <c r="AO40" i="88" s="1"/>
  <c r="AF40" i="88"/>
  <c r="BG40" i="88" s="1"/>
  <c r="AE40" i="88"/>
  <c r="AN40" i="88" s="1"/>
  <c r="K40" i="88"/>
  <c r="BI39" i="88"/>
  <c r="BH39" i="88"/>
  <c r="BD39" i="88"/>
  <c r="BC39" i="88"/>
  <c r="BA39" i="88"/>
  <c r="BN39" i="88" s="1"/>
  <c r="AZ39" i="88"/>
  <c r="BM39" i="88" s="1"/>
  <c r="AY39" i="88"/>
  <c r="AX39" i="88"/>
  <c r="AW39" i="88"/>
  <c r="AV39" i="88"/>
  <c r="AU39" i="88"/>
  <c r="AT39" i="88"/>
  <c r="BG39" i="88" s="1"/>
  <c r="AS39" i="88"/>
  <c r="BF39" i="88" s="1"/>
  <c r="AR39" i="88"/>
  <c r="BE39" i="88" s="1"/>
  <c r="AM39" i="88"/>
  <c r="AL39" i="88"/>
  <c r="AK39" i="88"/>
  <c r="BL39" i="88" s="1"/>
  <c r="AJ39" i="88"/>
  <c r="BK39" i="88" s="1"/>
  <c r="AI39" i="88"/>
  <c r="BJ39" i="88" s="1"/>
  <c r="AH39" i="88"/>
  <c r="AG39" i="88"/>
  <c r="AO39" i="88" s="1"/>
  <c r="AF39" i="88"/>
  <c r="AE39" i="88"/>
  <c r="AD39" i="88"/>
  <c r="AN39" i="88" s="1"/>
  <c r="K39" i="88"/>
  <c r="BG38" i="88"/>
  <c r="BF38" i="88"/>
  <c r="AT38" i="88"/>
  <c r="AU38" i="88" s="1"/>
  <c r="AS38" i="88"/>
  <c r="AR38" i="88"/>
  <c r="BE38" i="88" s="1"/>
  <c r="AQ38" i="88"/>
  <c r="BD38" i="88" s="1"/>
  <c r="AP38" i="88"/>
  <c r="BC38" i="88" s="1"/>
  <c r="AF38" i="88"/>
  <c r="AG38" i="88" s="1"/>
  <c r="AE38" i="88"/>
  <c r="AD38" i="88"/>
  <c r="AC38" i="88"/>
  <c r="AB38" i="88"/>
  <c r="K38" i="88"/>
  <c r="BL37" i="88"/>
  <c r="BK37" i="88"/>
  <c r="BJ37" i="88"/>
  <c r="BI37" i="88"/>
  <c r="BD37" i="88"/>
  <c r="BC37" i="88"/>
  <c r="AU37" i="88"/>
  <c r="BB37" i="88" s="1"/>
  <c r="AT37" i="88"/>
  <c r="BG37" i="88" s="1"/>
  <c r="AS37" i="88"/>
  <c r="BF37" i="88" s="1"/>
  <c r="AR37" i="88"/>
  <c r="AQ37" i="88"/>
  <c r="AP37" i="88"/>
  <c r="AM37" i="88"/>
  <c r="BN37" i="88" s="1"/>
  <c r="AL37" i="88"/>
  <c r="BM37" i="88" s="1"/>
  <c r="AK37" i="88"/>
  <c r="AJ37" i="88"/>
  <c r="AI37" i="88"/>
  <c r="AH37" i="88"/>
  <c r="AG37" i="88"/>
  <c r="AO37" i="88" s="1"/>
  <c r="AF37" i="88"/>
  <c r="AE37" i="88"/>
  <c r="AN37" i="88" s="1"/>
  <c r="AD37" i="88"/>
  <c r="BE37" i="88" s="1"/>
  <c r="AC37" i="88"/>
  <c r="AB37" i="88"/>
  <c r="K37" i="88"/>
  <c r="BT36" i="88"/>
  <c r="BQ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W36" i="88" s="1"/>
  <c r="AN36" i="88"/>
  <c r="K36" i="88"/>
  <c r="BT35" i="88"/>
  <c r="BK35" i="88"/>
  <c r="BJ35" i="88"/>
  <c r="BI35" i="88"/>
  <c r="BH35" i="88"/>
  <c r="BG35" i="88"/>
  <c r="BC35" i="88"/>
  <c r="BA35" i="88"/>
  <c r="AZ35" i="88"/>
  <c r="AY35" i="88"/>
  <c r="AX35" i="88"/>
  <c r="AW35" i="88"/>
  <c r="AV35" i="88"/>
  <c r="AU35" i="88"/>
  <c r="AT35" i="88"/>
  <c r="AS35" i="88"/>
  <c r="BF35" i="88" s="1"/>
  <c r="AR35" i="88"/>
  <c r="BE35" i="88" s="1"/>
  <c r="AQ35" i="88"/>
  <c r="BD35" i="88" s="1"/>
  <c r="AP35" i="88"/>
  <c r="AO35" i="88"/>
  <c r="W35" i="88" s="1"/>
  <c r="Y35" i="88" s="1"/>
  <c r="AN35" i="88"/>
  <c r="K35" i="88"/>
  <c r="BT34" i="88"/>
  <c r="BN34" i="88"/>
  <c r="BM34" i="88"/>
  <c r="BK34" i="88"/>
  <c r="BJ34" i="88"/>
  <c r="BI34" i="88"/>
  <c r="BH34" i="88"/>
  <c r="BG34" i="88"/>
  <c r="BF34" i="88"/>
  <c r="AU34" i="88"/>
  <c r="AT34" i="88"/>
  <c r="AS34" i="88"/>
  <c r="AR34" i="88"/>
  <c r="BE34" i="88" s="1"/>
  <c r="AQ34" i="88"/>
  <c r="BD34" i="88" s="1"/>
  <c r="AP34" i="88"/>
  <c r="BC34" i="88" s="1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M32" i="88"/>
  <c r="BL32" i="88"/>
  <c r="BJ32" i="88"/>
  <c r="BI32" i="88"/>
  <c r="BE32" i="88"/>
  <c r="BD32" i="88"/>
  <c r="BB32" i="88"/>
  <c r="AO32" i="88"/>
  <c r="AM32" i="88"/>
  <c r="BN32" i="88" s="1"/>
  <c r="AL32" i="88"/>
  <c r="AK32" i="88"/>
  <c r="AJ32" i="88"/>
  <c r="BK32" i="88" s="1"/>
  <c r="AI32" i="88"/>
  <c r="AH32" i="88"/>
  <c r="AG32" i="88"/>
  <c r="BH32" i="88" s="1"/>
  <c r="AF32" i="88"/>
  <c r="BG32" i="88" s="1"/>
  <c r="AE32" i="88"/>
  <c r="BF32" i="88" s="1"/>
  <c r="V32" i="88"/>
  <c r="K32" i="88"/>
  <c r="BQ31" i="88"/>
  <c r="BN31" i="88"/>
  <c r="BJ31" i="88"/>
  <c r="BI31" i="88"/>
  <c r="BG31" i="88"/>
  <c r="BF31" i="88"/>
  <c r="BB31" i="88"/>
  <c r="AM31" i="88"/>
  <c r="AL31" i="88"/>
  <c r="BM31" i="88" s="1"/>
  <c r="AK31" i="88"/>
  <c r="BL31" i="88" s="1"/>
  <c r="AJ31" i="88"/>
  <c r="BK31" i="88" s="1"/>
  <c r="AI31" i="88"/>
  <c r="AH31" i="88"/>
  <c r="AG31" i="88"/>
  <c r="AO31" i="88" s="1"/>
  <c r="AF31" i="88"/>
  <c r="AE31" i="88"/>
  <c r="AD31" i="88"/>
  <c r="BE31" i="88" s="1"/>
  <c r="AC31" i="88"/>
  <c r="BD31" i="88" s="1"/>
  <c r="V31" i="88"/>
  <c r="AB31" i="88" s="1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BB29" i="88"/>
  <c r="AQ29" i="88"/>
  <c r="AP29" i="88"/>
  <c r="BQ29" i="88" s="1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BH29" i="88" s="1"/>
  <c r="AF29" i="88"/>
  <c r="BG29" i="88" s="1"/>
  <c r="AE29" i="88"/>
  <c r="BF29" i="88" s="1"/>
  <c r="AD29" i="88"/>
  <c r="BE29" i="88" s="1"/>
  <c r="AC29" i="88"/>
  <c r="BD29" i="88" s="1"/>
  <c r="AB29" i="88"/>
  <c r="BC29" i="88" s="1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W28" i="88" s="1"/>
  <c r="BR28" i="88" s="1"/>
  <c r="BS28" i="88" s="1"/>
  <c r="BU28" i="88" s="1"/>
  <c r="AC28" i="88"/>
  <c r="BD28" i="88" s="1"/>
  <c r="AB28" i="88"/>
  <c r="AN28" i="88" s="1"/>
  <c r="V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AN27" i="88"/>
  <c r="K27" i="88"/>
  <c r="BE26" i="88"/>
  <c r="AT26" i="88"/>
  <c r="AS26" i="88"/>
  <c r="BQ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AE26" i="88"/>
  <c r="BF26" i="88" s="1"/>
  <c r="AD26" i="88"/>
  <c r="AC26" i="88"/>
  <c r="BD26" i="88" s="1"/>
  <c r="AB26" i="88"/>
  <c r="BC26" i="88" s="1"/>
  <c r="K26" i="88"/>
  <c r="BQ25" i="88"/>
  <c r="BN25" i="88"/>
  <c r="BF25" i="88"/>
  <c r="BB25" i="88"/>
  <c r="AM25" i="88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AD25" i="88"/>
  <c r="BE25" i="88" s="1"/>
  <c r="AC25" i="88"/>
  <c r="BD25" i="88" s="1"/>
  <c r="AB25" i="88"/>
  <c r="BC25" i="88" s="1"/>
  <c r="K25" i="88"/>
  <c r="BT24" i="88"/>
  <c r="BH24" i="88"/>
  <c r="BD24" i="88"/>
  <c r="BC24" i="88"/>
  <c r="BB24" i="88"/>
  <c r="AT24" i="88"/>
  <c r="BG24" i="88" s="1"/>
  <c r="AS24" i="88"/>
  <c r="BF24" i="88" s="1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BJ24" i="88" s="1"/>
  <c r="AH24" i="88"/>
  <c r="AG24" i="88"/>
  <c r="V24" i="88"/>
  <c r="K24" i="88"/>
  <c r="BQ23" i="88"/>
  <c r="BJ23" i="88"/>
  <c r="BB23" i="88"/>
  <c r="AM23" i="88"/>
  <c r="BN23" i="88" s="1"/>
  <c r="AL23" i="88"/>
  <c r="BM23" i="88" s="1"/>
  <c r="AK23" i="88"/>
  <c r="BL23" i="88" s="1"/>
  <c r="AJ23" i="88"/>
  <c r="BK23" i="88" s="1"/>
  <c r="AI23" i="88"/>
  <c r="AH23" i="88"/>
  <c r="BI23" i="88" s="1"/>
  <c r="AG23" i="88"/>
  <c r="BH23" i="88" s="1"/>
  <c r="AF23" i="88"/>
  <c r="BG23" i="88" s="1"/>
  <c r="AE23" i="88"/>
  <c r="BF23" i="88" s="1"/>
  <c r="AD23" i="88"/>
  <c r="BE23" i="88" s="1"/>
  <c r="AC23" i="88"/>
  <c r="BD23" i="88" s="1"/>
  <c r="AB23" i="88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W22" i="88" s="1"/>
  <c r="BR22" i="88" s="1"/>
  <c r="BS22" i="88" s="1"/>
  <c r="BU22" i="88" s="1"/>
  <c r="AB22" i="88"/>
  <c r="AN22" i="88" s="1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V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AN20" i="88"/>
  <c r="W20" i="88"/>
  <c r="BR20" i="88" s="1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AN18" i="88"/>
  <c r="W18" i="88"/>
  <c r="Y18" i="88" s="1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BR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BH12" i="88" s="1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F11" i="88"/>
  <c r="BE11" i="88"/>
  <c r="BD11" i="88"/>
  <c r="AU11" i="88"/>
  <c r="AU153" i="88" s="1"/>
  <c r="AT11" i="88"/>
  <c r="AS11" i="88"/>
  <c r="AP11" i="88"/>
  <c r="BQ11" i="88" s="1"/>
  <c r="AO11" i="88"/>
  <c r="W11" i="88" s="1"/>
  <c r="AM11" i="88"/>
  <c r="AN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V10" i="88"/>
  <c r="V153" i="88" s="1"/>
  <c r="K10" i="88"/>
  <c r="BT9" i="88"/>
  <c r="BQ9" i="88"/>
  <c r="BN9" i="88"/>
  <c r="BL9" i="88"/>
  <c r="BK9" i="88"/>
  <c r="BH9" i="88"/>
  <c r="BG9" i="88"/>
  <c r="BD9" i="88"/>
  <c r="BC9" i="88"/>
  <c r="BB9" i="88"/>
  <c r="AL9" i="88"/>
  <c r="BM9" i="88" s="1"/>
  <c r="AK9" i="88"/>
  <c r="AJ9" i="88"/>
  <c r="AI9" i="88"/>
  <c r="BJ9" i="88" s="1"/>
  <c r="AH9" i="88"/>
  <c r="BI9" i="88" s="1"/>
  <c r="AG9" i="88"/>
  <c r="AF9" i="88"/>
  <c r="AE9" i="88"/>
  <c r="AN9" i="88" s="1"/>
  <c r="AD9" i="88"/>
  <c r="BE9" i="88" s="1"/>
  <c r="AC9" i="88"/>
  <c r="AB9" i="88"/>
  <c r="K9" i="88"/>
  <c r="BT8" i="88"/>
  <c r="BQ8" i="88"/>
  <c r="BN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O8" i="88"/>
  <c r="W8" i="88" s="1"/>
  <c r="AN8" i="88"/>
  <c r="AM8" i="88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BR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T4" i="88"/>
  <c r="BQ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M4" i="88"/>
  <c r="AO4" i="88" s="1"/>
  <c r="K4" i="88"/>
  <c r="BN3" i="88"/>
  <c r="BM3" i="88"/>
  <c r="BH3" i="88"/>
  <c r="BF3" i="88"/>
  <c r="BE3" i="88"/>
  <c r="AT3" i="88"/>
  <c r="BG3" i="88" s="1"/>
  <c r="AS3" i="88"/>
  <c r="AR3" i="88"/>
  <c r="AQ3" i="88"/>
  <c r="BD3" i="88" s="1"/>
  <c r="AP3" i="88"/>
  <c r="BB3" i="88" s="1"/>
  <c r="AM3" i="88"/>
  <c r="AL3" i="88"/>
  <c r="AK3" i="88"/>
  <c r="BL3" i="88" s="1"/>
  <c r="AJ3" i="88"/>
  <c r="BK3" i="88" s="1"/>
  <c r="AI3" i="88"/>
  <c r="BJ3" i="88" s="1"/>
  <c r="AH3" i="88"/>
  <c r="BI3" i="88" s="1"/>
  <c r="AG3" i="88"/>
  <c r="AO3" i="88" s="1"/>
  <c r="AF3" i="88"/>
  <c r="AE3" i="88"/>
  <c r="AD3" i="88"/>
  <c r="AC3" i="88"/>
  <c r="AB3" i="88"/>
  <c r="BT3" i="88" s="1"/>
  <c r="K3" i="88"/>
  <c r="BK2" i="88"/>
  <c r="BJ2" i="88"/>
  <c r="BI2" i="88"/>
  <c r="BH2" i="88"/>
  <c r="AT2" i="88"/>
  <c r="AT153" i="88" s="1"/>
  <c r="AS2" i="88"/>
  <c r="AS153" i="88" s="1"/>
  <c r="AR2" i="88"/>
  <c r="AQ2" i="88"/>
  <c r="AP2" i="88"/>
  <c r="BC2" i="88" s="1"/>
  <c r="AM2" i="88"/>
  <c r="AL2" i="88"/>
  <c r="BM2" i="88" s="1"/>
  <c r="AK2" i="88"/>
  <c r="AJ2" i="88"/>
  <c r="AI2" i="88"/>
  <c r="AH2" i="88"/>
  <c r="AG2" i="88"/>
  <c r="AG153" i="88" s="1"/>
  <c r="AF2" i="88"/>
  <c r="AF153" i="88" s="1"/>
  <c r="AE2" i="88"/>
  <c r="AD2" i="88"/>
  <c r="AC2" i="88"/>
  <c r="AB2" i="88"/>
  <c r="K2" i="88"/>
  <c r="F48" i="89"/>
  <c r="G3" i="93"/>
  <c r="G3" i="95"/>
  <c r="H3" i="95"/>
  <c r="I3" i="95"/>
  <c r="J3" i="95"/>
  <c r="K3" i="95"/>
  <c r="G4" i="95"/>
  <c r="H4" i="95"/>
  <c r="I4" i="95"/>
  <c r="J4" i="95"/>
  <c r="K4" i="95"/>
  <c r="G5" i="95"/>
  <c r="H5" i="95"/>
  <c r="I5" i="95"/>
  <c r="J5" i="95"/>
  <c r="K5" i="95"/>
  <c r="G6" i="95"/>
  <c r="H6" i="95"/>
  <c r="I6" i="95"/>
  <c r="J6" i="95"/>
  <c r="K6" i="95"/>
  <c r="G7" i="95"/>
  <c r="H7" i="95"/>
  <c r="I7" i="95"/>
  <c r="J7" i="95"/>
  <c r="K7" i="95"/>
  <c r="G8" i="95"/>
  <c r="H8" i="95"/>
  <c r="I8" i="95"/>
  <c r="J8" i="95"/>
  <c r="K8" i="95"/>
  <c r="G9" i="95"/>
  <c r="H9" i="95"/>
  <c r="I9" i="95"/>
  <c r="J9" i="95"/>
  <c r="K9" i="95"/>
  <c r="G10" i="95"/>
  <c r="H10" i="95"/>
  <c r="I10" i="95"/>
  <c r="J10" i="95"/>
  <c r="K10" i="95"/>
  <c r="G11" i="95"/>
  <c r="H11" i="95"/>
  <c r="I11" i="95"/>
  <c r="J11" i="95"/>
  <c r="K11" i="95"/>
  <c r="G12" i="95"/>
  <c r="H12" i="95"/>
  <c r="I12" i="95"/>
  <c r="J12" i="95"/>
  <c r="K12" i="95"/>
  <c r="G13" i="95"/>
  <c r="H13" i="95"/>
  <c r="I13" i="95"/>
  <c r="J13" i="95"/>
  <c r="K13" i="95"/>
  <c r="G14" i="95"/>
  <c r="H14" i="95"/>
  <c r="I14" i="95"/>
  <c r="J14" i="95"/>
  <c r="K14" i="95"/>
  <c r="G15" i="95"/>
  <c r="H15" i="95"/>
  <c r="I15" i="95"/>
  <c r="J15" i="95"/>
  <c r="K15" i="95"/>
  <c r="G16" i="95"/>
  <c r="H16" i="95"/>
  <c r="I16" i="95"/>
  <c r="J16" i="95"/>
  <c r="K16" i="95"/>
  <c r="G17" i="95"/>
  <c r="H17" i="95"/>
  <c r="I17" i="95"/>
  <c r="J17" i="95"/>
  <c r="K17" i="95"/>
  <c r="G18" i="95"/>
  <c r="H18" i="95"/>
  <c r="I18" i="95"/>
  <c r="J18" i="95"/>
  <c r="K18" i="95"/>
  <c r="G19" i="95"/>
  <c r="H19" i="95"/>
  <c r="I19" i="95"/>
  <c r="J19" i="95"/>
  <c r="K19" i="95"/>
  <c r="G20" i="95"/>
  <c r="H20" i="95"/>
  <c r="I20" i="95"/>
  <c r="J20" i="95"/>
  <c r="K20" i="95"/>
  <c r="G21" i="95"/>
  <c r="H21" i="95"/>
  <c r="I21" i="95"/>
  <c r="J21" i="95"/>
  <c r="K21" i="95"/>
  <c r="G22" i="95"/>
  <c r="H22" i="95"/>
  <c r="I22" i="95"/>
  <c r="J22" i="95"/>
  <c r="K22" i="95"/>
  <c r="G23" i="95"/>
  <c r="H23" i="95"/>
  <c r="I23" i="95"/>
  <c r="J23" i="95"/>
  <c r="K23" i="95"/>
  <c r="G24" i="95"/>
  <c r="H24" i="95"/>
  <c r="I24" i="95"/>
  <c r="J24" i="95"/>
  <c r="K24" i="95"/>
  <c r="G25" i="95"/>
  <c r="H25" i="95"/>
  <c r="I25" i="95"/>
  <c r="J25" i="95"/>
  <c r="K25" i="95"/>
  <c r="G26" i="95"/>
  <c r="H26" i="95"/>
  <c r="I26" i="95"/>
  <c r="J26" i="95"/>
  <c r="K26" i="95"/>
  <c r="G27" i="95"/>
  <c r="H27" i="95"/>
  <c r="I27" i="95"/>
  <c r="J27" i="95"/>
  <c r="K27" i="95"/>
  <c r="G28" i="95"/>
  <c r="H28" i="95"/>
  <c r="I28" i="95"/>
  <c r="J28" i="95"/>
  <c r="K28" i="95"/>
  <c r="G29" i="95"/>
  <c r="H29" i="95"/>
  <c r="I29" i="95"/>
  <c r="J29" i="95"/>
  <c r="K29" i="95"/>
  <c r="G30" i="95"/>
  <c r="H30" i="95"/>
  <c r="I30" i="95"/>
  <c r="J30" i="95"/>
  <c r="K30" i="95"/>
  <c r="G31" i="95"/>
  <c r="H31" i="95"/>
  <c r="I31" i="95"/>
  <c r="J31" i="95"/>
  <c r="K31" i="95"/>
  <c r="G32" i="95"/>
  <c r="H32" i="95"/>
  <c r="I32" i="95"/>
  <c r="J32" i="95"/>
  <c r="K32" i="95"/>
  <c r="G33" i="95"/>
  <c r="H33" i="95"/>
  <c r="I33" i="95"/>
  <c r="J33" i="95"/>
  <c r="K33" i="95"/>
  <c r="G34" i="95"/>
  <c r="H34" i="95"/>
  <c r="I34" i="95"/>
  <c r="J34" i="95"/>
  <c r="K34" i="95"/>
  <c r="G35" i="95"/>
  <c r="H35" i="95"/>
  <c r="I35" i="95"/>
  <c r="J35" i="95"/>
  <c r="K35" i="95"/>
  <c r="G36" i="95"/>
  <c r="H36" i="95"/>
  <c r="I36" i="95"/>
  <c r="J36" i="95"/>
  <c r="K36" i="95"/>
  <c r="G37" i="95"/>
  <c r="H37" i="95"/>
  <c r="I37" i="95"/>
  <c r="J37" i="95"/>
  <c r="K37" i="95"/>
  <c r="G38" i="95"/>
  <c r="H38" i="95"/>
  <c r="I38" i="95"/>
  <c r="J38" i="95"/>
  <c r="K38" i="95"/>
  <c r="G39" i="95"/>
  <c r="H39" i="95"/>
  <c r="I39" i="95"/>
  <c r="J39" i="95"/>
  <c r="K39" i="95"/>
  <c r="G40" i="95"/>
  <c r="H40" i="95"/>
  <c r="I40" i="95"/>
  <c r="J40" i="95"/>
  <c r="K40" i="95"/>
  <c r="G41" i="95"/>
  <c r="H41" i="95"/>
  <c r="I41" i="95"/>
  <c r="J41" i="95"/>
  <c r="K41" i="95"/>
  <c r="G42" i="95"/>
  <c r="H42" i="95"/>
  <c r="I42" i="95"/>
  <c r="J42" i="95"/>
  <c r="K42" i="95"/>
  <c r="G43" i="95"/>
  <c r="H43" i="95"/>
  <c r="I43" i="95"/>
  <c r="J43" i="95"/>
  <c r="K43" i="95"/>
  <c r="G44" i="95"/>
  <c r="H44" i="95"/>
  <c r="I44" i="95"/>
  <c r="J44" i="95"/>
  <c r="K44" i="95"/>
  <c r="G45" i="95"/>
  <c r="H45" i="95"/>
  <c r="I45" i="95"/>
  <c r="J45" i="95"/>
  <c r="K45" i="95"/>
  <c r="G46" i="95"/>
  <c r="H46" i="95"/>
  <c r="I46" i="95"/>
  <c r="J46" i="95"/>
  <c r="K46" i="95"/>
  <c r="G47" i="95"/>
  <c r="H47" i="95"/>
  <c r="I47" i="95"/>
  <c r="J47" i="95"/>
  <c r="K47" i="95"/>
  <c r="G48" i="95"/>
  <c r="H48" i="95"/>
  <c r="I48" i="95"/>
  <c r="J48" i="95"/>
  <c r="K48" i="95"/>
  <c r="G49" i="95"/>
  <c r="H49" i="95"/>
  <c r="I49" i="95"/>
  <c r="J49" i="95"/>
  <c r="K49" i="95"/>
  <c r="G50" i="95"/>
  <c r="H50" i="95"/>
  <c r="I50" i="95"/>
  <c r="J50" i="95"/>
  <c r="K50" i="95"/>
  <c r="G51" i="95"/>
  <c r="H51" i="95"/>
  <c r="I51" i="95"/>
  <c r="J51" i="95"/>
  <c r="K51" i="95"/>
  <c r="G52" i="95"/>
  <c r="H52" i="95"/>
  <c r="I52" i="95"/>
  <c r="J52" i="95"/>
  <c r="K52" i="95"/>
  <c r="G53" i="95"/>
  <c r="H53" i="95"/>
  <c r="I53" i="95"/>
  <c r="J53" i="95"/>
  <c r="K53" i="95"/>
  <c r="G54" i="95"/>
  <c r="H54" i="95"/>
  <c r="I54" i="95"/>
  <c r="J54" i="95"/>
  <c r="K54" i="95"/>
  <c r="G55" i="95"/>
  <c r="H55" i="95"/>
  <c r="I55" i="95"/>
  <c r="J55" i="95"/>
  <c r="K55" i="95"/>
  <c r="G56" i="95"/>
  <c r="H56" i="95"/>
  <c r="I56" i="95"/>
  <c r="J56" i="95"/>
  <c r="K56" i="95"/>
  <c r="G57" i="95"/>
  <c r="H57" i="95"/>
  <c r="I57" i="95"/>
  <c r="J57" i="95"/>
  <c r="K57" i="95"/>
  <c r="G58" i="95"/>
  <c r="H58" i="95"/>
  <c r="I58" i="95"/>
  <c r="J58" i="95"/>
  <c r="K58" i="95"/>
  <c r="G59" i="95"/>
  <c r="H59" i="95"/>
  <c r="I59" i="95"/>
  <c r="J59" i="95"/>
  <c r="K59" i="95"/>
  <c r="G60" i="95"/>
  <c r="H60" i="95"/>
  <c r="I60" i="95"/>
  <c r="J60" i="95"/>
  <c r="K60" i="95"/>
  <c r="G61" i="95"/>
  <c r="H61" i="95"/>
  <c r="I61" i="95"/>
  <c r="J61" i="95"/>
  <c r="K61" i="95"/>
  <c r="G62" i="95"/>
  <c r="H62" i="95"/>
  <c r="I62" i="95"/>
  <c r="J62" i="95"/>
  <c r="K62" i="95"/>
  <c r="G63" i="95"/>
  <c r="H63" i="95"/>
  <c r="I63" i="95"/>
  <c r="J63" i="95"/>
  <c r="K63" i="95"/>
  <c r="G64" i="95"/>
  <c r="H64" i="95"/>
  <c r="I64" i="95"/>
  <c r="J64" i="95"/>
  <c r="K64" i="95"/>
  <c r="G65" i="95"/>
  <c r="H65" i="95"/>
  <c r="I65" i="95"/>
  <c r="J65" i="95"/>
  <c r="K65" i="95"/>
  <c r="G66" i="95"/>
  <c r="H66" i="95"/>
  <c r="I66" i="95"/>
  <c r="J66" i="95"/>
  <c r="K66" i="95"/>
  <c r="G67" i="95"/>
  <c r="H67" i="95"/>
  <c r="I67" i="95"/>
  <c r="J67" i="95"/>
  <c r="K67" i="95"/>
  <c r="G68" i="95"/>
  <c r="H68" i="95"/>
  <c r="I68" i="95"/>
  <c r="J68" i="95"/>
  <c r="K68" i="95"/>
  <c r="G69" i="95"/>
  <c r="H69" i="95"/>
  <c r="I69" i="95"/>
  <c r="J69" i="95"/>
  <c r="K69" i="95"/>
  <c r="G70" i="95"/>
  <c r="H70" i="95"/>
  <c r="I70" i="95"/>
  <c r="J70" i="95"/>
  <c r="K70" i="95"/>
  <c r="G71" i="95"/>
  <c r="H71" i="95"/>
  <c r="I71" i="95"/>
  <c r="J71" i="95"/>
  <c r="K71" i="95"/>
  <c r="G72" i="95"/>
  <c r="H72" i="95"/>
  <c r="I72" i="95"/>
  <c r="J72" i="95"/>
  <c r="K72" i="95"/>
  <c r="G73" i="95"/>
  <c r="H73" i="95"/>
  <c r="I73" i="95"/>
  <c r="J73" i="95"/>
  <c r="K73" i="95"/>
  <c r="G74" i="95"/>
  <c r="H74" i="95"/>
  <c r="I74" i="95"/>
  <c r="J74" i="95"/>
  <c r="K74" i="95"/>
  <c r="G75" i="95"/>
  <c r="H75" i="95"/>
  <c r="I75" i="95"/>
  <c r="J75" i="95"/>
  <c r="K75" i="95"/>
  <c r="G76" i="95"/>
  <c r="H76" i="95"/>
  <c r="I76" i="95"/>
  <c r="J76" i="95"/>
  <c r="K76" i="95"/>
  <c r="H2" i="95"/>
  <c r="I2" i="95"/>
  <c r="J2" i="95"/>
  <c r="K2" i="95"/>
  <c r="G2" i="95"/>
  <c r="C78" i="95"/>
  <c r="D78" i="95"/>
  <c r="E78" i="95"/>
  <c r="F78" i="95"/>
  <c r="B78" i="95"/>
  <c r="C77" i="95"/>
  <c r="D77" i="95"/>
  <c r="E77" i="95"/>
  <c r="F77" i="95"/>
  <c r="B77" i="95"/>
  <c r="C85" i="93"/>
  <c r="D85" i="93"/>
  <c r="E85" i="93"/>
  <c r="F85" i="93"/>
  <c r="B85" i="93"/>
  <c r="C18" i="94"/>
  <c r="C16" i="94"/>
  <c r="C15" i="94"/>
  <c r="C19" i="94"/>
  <c r="C21" i="94"/>
  <c r="C20" i="94"/>
  <c r="BR136" i="88" l="1"/>
  <c r="X136" i="88"/>
  <c r="AC153" i="88"/>
  <c r="AD153" i="88"/>
  <c r="AE153" i="88"/>
  <c r="BO14" i="88"/>
  <c r="BO15" i="88"/>
  <c r="BR73" i="88"/>
  <c r="BS73" i="88" s="1"/>
  <c r="BU73" i="88" s="1"/>
  <c r="BR86" i="88"/>
  <c r="BS86" i="88" s="1"/>
  <c r="BU86" i="88" s="1"/>
  <c r="X81" i="88"/>
  <c r="BO96" i="88"/>
  <c r="BO109" i="88"/>
  <c r="BO129" i="88"/>
  <c r="X137" i="88"/>
  <c r="BO10" i="88"/>
  <c r="BG26" i="88"/>
  <c r="BO26" i="88" s="1"/>
  <c r="BR49" i="88"/>
  <c r="Y49" i="88"/>
  <c r="X49" i="88"/>
  <c r="Z49" i="88" s="1"/>
  <c r="X123" i="88"/>
  <c r="Y123" i="88"/>
  <c r="Z123" i="88" s="1"/>
  <c r="X126" i="88"/>
  <c r="Y126" i="88"/>
  <c r="X79" i="88"/>
  <c r="Z79" i="88" s="1"/>
  <c r="Y79" i="88"/>
  <c r="X115" i="88"/>
  <c r="Y115" i="88"/>
  <c r="BR121" i="88"/>
  <c r="BS121" i="88" s="1"/>
  <c r="BU121" i="88" s="1"/>
  <c r="Y121" i="88"/>
  <c r="X121" i="88"/>
  <c r="BR133" i="88"/>
  <c r="BS133" i="88" s="1"/>
  <c r="BU133" i="88" s="1"/>
  <c r="Y133" i="88"/>
  <c r="X133" i="88"/>
  <c r="Z133" i="88" s="1"/>
  <c r="X147" i="88"/>
  <c r="Y147" i="88"/>
  <c r="BR144" i="88"/>
  <c r="BS144" i="88" s="1"/>
  <c r="BU144" i="88" s="1"/>
  <c r="Y144" i="88"/>
  <c r="X144" i="88"/>
  <c r="BR97" i="88"/>
  <c r="BS97" i="88" s="1"/>
  <c r="BU97" i="88" s="1"/>
  <c r="X97" i="88"/>
  <c r="BS7" i="88"/>
  <c r="BU7" i="88" s="1"/>
  <c r="BT26" i="88"/>
  <c r="BO48" i="88"/>
  <c r="BO143" i="88"/>
  <c r="BO6" i="88"/>
  <c r="BO17" i="88"/>
  <c r="BO20" i="88"/>
  <c r="AN25" i="88"/>
  <c r="BO27" i="88"/>
  <c r="AN29" i="88"/>
  <c r="BO52" i="88"/>
  <c r="BO54" i="88"/>
  <c r="BO55" i="88"/>
  <c r="X80" i="88"/>
  <c r="BO81" i="88"/>
  <c r="BS95" i="88"/>
  <c r="BO110" i="88"/>
  <c r="BO114" i="88"/>
  <c r="BO125" i="88"/>
  <c r="BS136" i="88"/>
  <c r="BU136" i="88" s="1"/>
  <c r="X139" i="88"/>
  <c r="Y143" i="88"/>
  <c r="Z143" i="88" s="1"/>
  <c r="BO144" i="88"/>
  <c r="BO146" i="88"/>
  <c r="X148" i="88"/>
  <c r="BO149" i="88"/>
  <c r="BO43" i="88"/>
  <c r="BO53" i="88"/>
  <c r="BO87" i="88"/>
  <c r="BO5" i="88"/>
  <c r="BO7" i="88"/>
  <c r="BC28" i="88"/>
  <c r="BO28" i="88" s="1"/>
  <c r="BO47" i="88"/>
  <c r="BO49" i="88"/>
  <c r="Z63" i="88"/>
  <c r="BO68" i="88"/>
  <c r="BO69" i="88"/>
  <c r="BO71" i="88"/>
  <c r="BO72" i="88"/>
  <c r="BO77" i="88"/>
  <c r="Y80" i="88"/>
  <c r="BO91" i="88"/>
  <c r="BO93" i="88"/>
  <c r="BO123" i="88"/>
  <c r="BO135" i="88"/>
  <c r="Y139" i="88"/>
  <c r="Y148" i="88"/>
  <c r="BS58" i="88"/>
  <c r="BU58" i="88" s="1"/>
  <c r="BR65" i="88"/>
  <c r="BS65" i="88" s="1"/>
  <c r="BU65" i="88" s="1"/>
  <c r="BO83" i="88"/>
  <c r="BO97" i="88"/>
  <c r="W104" i="88"/>
  <c r="BR104" i="88" s="1"/>
  <c r="BS104" i="88" s="1"/>
  <c r="BU104" i="88" s="1"/>
  <c r="BO111" i="88"/>
  <c r="BO115" i="88"/>
  <c r="BO124" i="88"/>
  <c r="BO134" i="88"/>
  <c r="BO136" i="88"/>
  <c r="BO19" i="88"/>
  <c r="BO60" i="88"/>
  <c r="BO63" i="88"/>
  <c r="BO133" i="88"/>
  <c r="AO12" i="88"/>
  <c r="BO21" i="88"/>
  <c r="BO36" i="88"/>
  <c r="BO50" i="88"/>
  <c r="BO64" i="88"/>
  <c r="BO70" i="88"/>
  <c r="W72" i="88"/>
  <c r="BO90" i="88"/>
  <c r="BO106" i="88"/>
  <c r="BO108" i="88"/>
  <c r="BO113" i="88"/>
  <c r="BO18" i="88"/>
  <c r="BO104" i="88"/>
  <c r="BO8" i="88"/>
  <c r="BS46" i="88"/>
  <c r="BU46" i="88" s="1"/>
  <c r="BO62" i="88"/>
  <c r="W69" i="88"/>
  <c r="BO73" i="88"/>
  <c r="W77" i="88"/>
  <c r="BO78" i="88"/>
  <c r="BO79" i="88"/>
  <c r="BO84" i="88"/>
  <c r="BO86" i="88"/>
  <c r="BO88" i="88"/>
  <c r="BO126" i="88"/>
  <c r="BO138" i="88"/>
  <c r="BO147" i="88"/>
  <c r="BO150" i="88"/>
  <c r="AN12" i="88"/>
  <c r="BO13" i="88"/>
  <c r="BO16" i="88"/>
  <c r="BT28" i="88"/>
  <c r="BO33" i="88"/>
  <c r="BO45" i="88"/>
  <c r="BO46" i="88"/>
  <c r="BO57" i="88"/>
  <c r="BO67" i="88"/>
  <c r="BO74" i="88"/>
  <c r="Y75" i="88"/>
  <c r="Z75" i="88" s="1"/>
  <c r="BO75" i="88"/>
  <c r="BO80" i="88"/>
  <c r="BO117" i="88"/>
  <c r="W124" i="88"/>
  <c r="BR124" i="88" s="1"/>
  <c r="BS124" i="88" s="1"/>
  <c r="BU124" i="88" s="1"/>
  <c r="BO128" i="88"/>
  <c r="BO132" i="88"/>
  <c r="Y136" i="88"/>
  <c r="Z136" i="88" s="1"/>
  <c r="BR15" i="88"/>
  <c r="BS15" i="88" s="1"/>
  <c r="BU15" i="88" s="1"/>
  <c r="Y15" i="88"/>
  <c r="X15" i="88"/>
  <c r="Y21" i="88"/>
  <c r="X21" i="88"/>
  <c r="Z21" i="88" s="1"/>
  <c r="BR21" i="88"/>
  <c r="BS21" i="88" s="1"/>
  <c r="BU21" i="88" s="1"/>
  <c r="W3" i="88"/>
  <c r="BU6" i="88"/>
  <c r="Y8" i="88"/>
  <c r="X8" i="88"/>
  <c r="Z8" i="88" s="1"/>
  <c r="BR8" i="88"/>
  <c r="BS8" i="88" s="1"/>
  <c r="BU8" i="88" s="1"/>
  <c r="Y10" i="88"/>
  <c r="X10" i="88"/>
  <c r="BR10" i="88"/>
  <c r="BS10" i="88" s="1"/>
  <c r="BU10" i="88" s="1"/>
  <c r="W12" i="88"/>
  <c r="BR19" i="88"/>
  <c r="BS19" i="88" s="1"/>
  <c r="BU19" i="88" s="1"/>
  <c r="Y19" i="88"/>
  <c r="X19" i="88"/>
  <c r="Z19" i="88" s="1"/>
  <c r="BR6" i="88"/>
  <c r="BS6" i="88" s="1"/>
  <c r="Y6" i="88"/>
  <c r="X6" i="88"/>
  <c r="Z6" i="88" s="1"/>
  <c r="Y13" i="88"/>
  <c r="X13" i="88"/>
  <c r="Z13" i="88" s="1"/>
  <c r="BR13" i="88"/>
  <c r="BS16" i="88"/>
  <c r="BU16" i="88" s="1"/>
  <c r="X11" i="88"/>
  <c r="BR11" i="88"/>
  <c r="BS11" i="88" s="1"/>
  <c r="BU11" i="88" s="1"/>
  <c r="Y11" i="88"/>
  <c r="W4" i="88"/>
  <c r="Y17" i="88"/>
  <c r="X17" i="88"/>
  <c r="Z17" i="88" s="1"/>
  <c r="BR17" i="88"/>
  <c r="BS20" i="88"/>
  <c r="BU20" i="88" s="1"/>
  <c r="BQ2" i="88"/>
  <c r="BC12" i="88"/>
  <c r="BO12" i="88" s="1"/>
  <c r="BT12" i="88"/>
  <c r="BT23" i="88"/>
  <c r="BC23" i="88"/>
  <c r="BO23" i="88" s="1"/>
  <c r="AN24" i="88"/>
  <c r="AB32" i="88"/>
  <c r="W37" i="88"/>
  <c r="AH38" i="88"/>
  <c r="AI38" i="88" s="1"/>
  <c r="AJ38" i="88" s="1"/>
  <c r="AK38" i="88" s="1"/>
  <c r="AL38" i="88" s="1"/>
  <c r="AM38" i="88" s="1"/>
  <c r="Y47" i="88"/>
  <c r="X47" i="88"/>
  <c r="BR47" i="88"/>
  <c r="AN5" i="88"/>
  <c r="BB11" i="88"/>
  <c r="BS13" i="88"/>
  <c r="BU13" i="88" s="1"/>
  <c r="BS17" i="88"/>
  <c r="BU17" i="88" s="1"/>
  <c r="BQ24" i="88"/>
  <c r="BT25" i="88"/>
  <c r="BO29" i="88"/>
  <c r="W31" i="88"/>
  <c r="Y44" i="88"/>
  <c r="X44" i="88"/>
  <c r="BR44" i="88"/>
  <c r="BS44" i="88" s="1"/>
  <c r="BU44" i="88" s="1"/>
  <c r="BB2" i="88"/>
  <c r="AO5" i="88"/>
  <c r="X7" i="88"/>
  <c r="BC11" i="88"/>
  <c r="BR14" i="88"/>
  <c r="BS14" i="88" s="1"/>
  <c r="BU14" i="88" s="1"/>
  <c r="X16" i="88"/>
  <c r="BR18" i="88"/>
  <c r="BS18" i="88" s="1"/>
  <c r="BU18" i="88" s="1"/>
  <c r="X20" i="88"/>
  <c r="BB26" i="88"/>
  <c r="W32" i="88"/>
  <c r="BR45" i="88"/>
  <c r="Y45" i="88"/>
  <c r="X45" i="88"/>
  <c r="X48" i="88"/>
  <c r="Z48" i="88" s="1"/>
  <c r="BR48" i="88"/>
  <c r="Y48" i="88"/>
  <c r="Y53" i="88"/>
  <c r="X53" i="88"/>
  <c r="BR53" i="88"/>
  <c r="BS53" i="88" s="1"/>
  <c r="BU53" i="88" s="1"/>
  <c r="BS56" i="88"/>
  <c r="BU56" i="88" s="1"/>
  <c r="AN2" i="88"/>
  <c r="BT2" i="88"/>
  <c r="BQ3" i="88"/>
  <c r="Y7" i="88"/>
  <c r="BF9" i="88"/>
  <c r="BO9" i="88" s="1"/>
  <c r="Y16" i="88"/>
  <c r="Y20" i="88"/>
  <c r="BT22" i="88"/>
  <c r="X28" i="88"/>
  <c r="BO34" i="88"/>
  <c r="BR36" i="88"/>
  <c r="Y36" i="88"/>
  <c r="X36" i="88"/>
  <c r="Z36" i="88" s="1"/>
  <c r="BO41" i="88"/>
  <c r="AO2" i="88"/>
  <c r="BD2" i="88"/>
  <c r="BL2" i="88"/>
  <c r="BN4" i="88"/>
  <c r="BO4" i="88" s="1"/>
  <c r="BC22" i="88"/>
  <c r="BO22" i="88" s="1"/>
  <c r="AN23" i="88"/>
  <c r="AO25" i="88"/>
  <c r="AN26" i="88"/>
  <c r="Y28" i="88"/>
  <c r="AO30" i="88"/>
  <c r="BT31" i="88"/>
  <c r="BC31" i="88"/>
  <c r="AN31" i="88"/>
  <c r="AN38" i="88"/>
  <c r="W39" i="88"/>
  <c r="W40" i="88"/>
  <c r="BR41" i="88"/>
  <c r="BS41" i="88" s="1"/>
  <c r="BU41" i="88" s="1"/>
  <c r="Y41" i="88"/>
  <c r="X41" i="88"/>
  <c r="BR54" i="88"/>
  <c r="BS54" i="88" s="1"/>
  <c r="BU54" i="88" s="1"/>
  <c r="Y54" i="88"/>
  <c r="X54" i="88"/>
  <c r="AH153" i="88"/>
  <c r="BE2" i="88"/>
  <c r="AO23" i="88"/>
  <c r="BT29" i="88"/>
  <c r="AV38" i="88"/>
  <c r="BH38" i="88"/>
  <c r="BO39" i="88"/>
  <c r="W42" i="88"/>
  <c r="AI153" i="88"/>
  <c r="AQ153" i="88"/>
  <c r="BF2" i="88"/>
  <c r="BN2" i="88"/>
  <c r="AN3" i="88"/>
  <c r="BC3" i="88"/>
  <c r="BO3" i="88" s="1"/>
  <c r="AN4" i="88"/>
  <c r="AO9" i="88"/>
  <c r="X14" i="88"/>
  <c r="Z14" i="88" s="1"/>
  <c r="X18" i="88"/>
  <c r="Z18" i="88" s="1"/>
  <c r="X22" i="88"/>
  <c r="BI24" i="88"/>
  <c r="BO25" i="88"/>
  <c r="W27" i="88"/>
  <c r="W43" i="88"/>
  <c r="AP153" i="88"/>
  <c r="AB153" i="88"/>
  <c r="AR153" i="88"/>
  <c r="BG2" i="88"/>
  <c r="BH11" i="88"/>
  <c r="Y22" i="88"/>
  <c r="AO24" i="88"/>
  <c r="BT30" i="88"/>
  <c r="BC30" i="88"/>
  <c r="BO30" i="88" s="1"/>
  <c r="AN30" i="88"/>
  <c r="X33" i="88"/>
  <c r="BR33" i="88"/>
  <c r="Y33" i="88"/>
  <c r="BO44" i="88"/>
  <c r="BS49" i="88"/>
  <c r="BU49" i="88" s="1"/>
  <c r="Y62" i="88"/>
  <c r="X62" i="88"/>
  <c r="Z62" i="88" s="1"/>
  <c r="BR62" i="88"/>
  <c r="BH37" i="88"/>
  <c r="BO37" i="88" s="1"/>
  <c r="BQ37" i="88"/>
  <c r="BQ39" i="88"/>
  <c r="BT40" i="88"/>
  <c r="BB41" i="88"/>
  <c r="BE42" i="88"/>
  <c r="BO42" i="88" s="1"/>
  <c r="BO56" i="88"/>
  <c r="BO58" i="88"/>
  <c r="BC59" i="88"/>
  <c r="BQ59" i="88"/>
  <c r="BQ61" i="88"/>
  <c r="BO85" i="88"/>
  <c r="W89" i="88"/>
  <c r="X90" i="88"/>
  <c r="W105" i="88"/>
  <c r="BQ35" i="88"/>
  <c r="Y60" i="88"/>
  <c r="Y83" i="88"/>
  <c r="X83" i="88"/>
  <c r="Z83" i="88" s="1"/>
  <c r="BR83" i="88"/>
  <c r="BS83" i="88" s="1"/>
  <c r="BU83" i="88" s="1"/>
  <c r="X35" i="88"/>
  <c r="Z35" i="88" s="1"/>
  <c r="BQ38" i="88"/>
  <c r="BB39" i="88"/>
  <c r="X46" i="88"/>
  <c r="BS47" i="88"/>
  <c r="BU47" i="88" s="1"/>
  <c r="X55" i="88"/>
  <c r="BR57" i="88"/>
  <c r="BS57" i="88" s="1"/>
  <c r="BU57" i="88" s="1"/>
  <c r="X57" i="88"/>
  <c r="Y59" i="88"/>
  <c r="Z59" i="88" s="1"/>
  <c r="X60" i="88"/>
  <c r="BR67" i="88"/>
  <c r="BS67" i="88" s="1"/>
  <c r="BU67" i="88" s="1"/>
  <c r="X67" i="88"/>
  <c r="Y70" i="88"/>
  <c r="X70" i="88"/>
  <c r="BR70" i="88"/>
  <c r="BS70" i="88" s="1"/>
  <c r="BU70" i="88" s="1"/>
  <c r="BU80" i="88"/>
  <c r="Y90" i="88"/>
  <c r="BR90" i="88"/>
  <c r="BS90" i="88" s="1"/>
  <c r="BU90" i="88" s="1"/>
  <c r="BH31" i="88"/>
  <c r="BQ34" i="88"/>
  <c r="BB35" i="88"/>
  <c r="BT37" i="88"/>
  <c r="BT39" i="88"/>
  <c r="BF40" i="88"/>
  <c r="BO40" i="88" s="1"/>
  <c r="BQ42" i="88"/>
  <c r="Y46" i="88"/>
  <c r="X50" i="88"/>
  <c r="Z50" i="88" s="1"/>
  <c r="AN51" i="88"/>
  <c r="BG51" i="88"/>
  <c r="BO51" i="88" s="1"/>
  <c r="X52" i="88"/>
  <c r="Y55" i="88"/>
  <c r="X56" i="88"/>
  <c r="Y57" i="88"/>
  <c r="X58" i="88"/>
  <c r="BB60" i="88"/>
  <c r="W61" i="88"/>
  <c r="BB61" i="88"/>
  <c r="BS62" i="88"/>
  <c r="BU62" i="88" s="1"/>
  <c r="BR63" i="88"/>
  <c r="BS63" i="88" s="1"/>
  <c r="BU63" i="88" s="1"/>
  <c r="BO65" i="88"/>
  <c r="W68" i="88"/>
  <c r="Y78" i="88"/>
  <c r="X78" i="88"/>
  <c r="Z78" i="88" s="1"/>
  <c r="BR78" i="88"/>
  <c r="BS78" i="88" s="1"/>
  <c r="BU78" i="88" s="1"/>
  <c r="Y84" i="88"/>
  <c r="X84" i="88"/>
  <c r="BR84" i="88"/>
  <c r="BS84" i="88" s="1"/>
  <c r="BU84" i="88" s="1"/>
  <c r="X31" i="88"/>
  <c r="BS33" i="88"/>
  <c r="BU33" i="88" s="1"/>
  <c r="AN42" i="88"/>
  <c r="BS48" i="88"/>
  <c r="BU48" i="88" s="1"/>
  <c r="Y50" i="88"/>
  <c r="Y52" i="88"/>
  <c r="Y56" i="88"/>
  <c r="Y58" i="88"/>
  <c r="BT59" i="88"/>
  <c r="AN59" i="88"/>
  <c r="BO61" i="88"/>
  <c r="W66" i="88"/>
  <c r="BT68" i="88"/>
  <c r="BS80" i="88"/>
  <c r="BR91" i="88"/>
  <c r="Y91" i="88"/>
  <c r="X91" i="88"/>
  <c r="Z91" i="88" s="1"/>
  <c r="W100" i="88"/>
  <c r="AO29" i="88"/>
  <c r="AN34" i="88"/>
  <c r="BB34" i="88"/>
  <c r="AV153" i="88"/>
  <c r="BL35" i="88"/>
  <c r="BT38" i="88"/>
  <c r="BS45" i="88"/>
  <c r="BU45" i="88" s="1"/>
  <c r="BB59" i="88"/>
  <c r="Y74" i="88"/>
  <c r="X74" i="88"/>
  <c r="BR74" i="88"/>
  <c r="BS74" i="88" s="1"/>
  <c r="BU74" i="88" s="1"/>
  <c r="W82" i="88"/>
  <c r="Y85" i="88"/>
  <c r="X85" i="88"/>
  <c r="Z85" i="88" s="1"/>
  <c r="AO26" i="88"/>
  <c r="AO34" i="88"/>
  <c r="BM35" i="88"/>
  <c r="BB36" i="88"/>
  <c r="BS36" i="88"/>
  <c r="BU36" i="88" s="1"/>
  <c r="AN43" i="88"/>
  <c r="W51" i="88"/>
  <c r="BR59" i="88"/>
  <c r="BS59" i="88" s="1"/>
  <c r="X65" i="88"/>
  <c r="BO66" i="88"/>
  <c r="Y67" i="88"/>
  <c r="BO76" i="88"/>
  <c r="Y87" i="88"/>
  <c r="X87" i="88"/>
  <c r="BR87" i="88"/>
  <c r="BS87" i="88" s="1"/>
  <c r="BU87" i="88" s="1"/>
  <c r="W94" i="88"/>
  <c r="BN35" i="88"/>
  <c r="BQ60" i="88"/>
  <c r="BR64" i="88"/>
  <c r="BS64" i="88" s="1"/>
  <c r="BU64" i="88" s="1"/>
  <c r="Y64" i="88"/>
  <c r="Z64" i="88" s="1"/>
  <c r="Y65" i="88"/>
  <c r="Y81" i="88"/>
  <c r="Z81" i="88" s="1"/>
  <c r="BR81" i="88"/>
  <c r="BS81" i="88" s="1"/>
  <c r="BU81" i="88" s="1"/>
  <c r="BR88" i="88"/>
  <c r="BS88" i="88" s="1"/>
  <c r="BU88" i="88" s="1"/>
  <c r="Y88" i="88"/>
  <c r="X88" i="88"/>
  <c r="BU95" i="88"/>
  <c r="BC82" i="88"/>
  <c r="BO82" i="88" s="1"/>
  <c r="BT82" i="88"/>
  <c r="BJ89" i="88"/>
  <c r="BO89" i="88" s="1"/>
  <c r="BE92" i="88"/>
  <c r="BO92" i="88" s="1"/>
  <c r="BC94" i="88"/>
  <c r="BO94" i="88" s="1"/>
  <c r="AO98" i="88"/>
  <c r="BH98" i="88"/>
  <c r="BO98" i="88" s="1"/>
  <c r="BB100" i="88"/>
  <c r="BQ100" i="88"/>
  <c r="BR101" i="88"/>
  <c r="BS101" i="88" s="1"/>
  <c r="BU101" i="88" s="1"/>
  <c r="BQ102" i="88"/>
  <c r="Y107" i="88"/>
  <c r="Z107" i="88" s="1"/>
  <c r="BR107" i="88"/>
  <c r="BS107" i="88" s="1"/>
  <c r="BU107" i="88" s="1"/>
  <c r="Y110" i="88"/>
  <c r="BR110" i="88"/>
  <c r="BS110" i="88" s="1"/>
  <c r="BU110" i="88" s="1"/>
  <c r="W131" i="88"/>
  <c r="X131" i="88" s="1"/>
  <c r="BR138" i="88"/>
  <c r="BS138" i="88" s="1"/>
  <c r="BU138" i="88" s="1"/>
  <c r="Y138" i="88"/>
  <c r="X138" i="88"/>
  <c r="BO139" i="88"/>
  <c r="W76" i="88"/>
  <c r="W92" i="88"/>
  <c r="W93" i="88"/>
  <c r="AN94" i="88"/>
  <c r="X95" i="88"/>
  <c r="X106" i="88"/>
  <c r="Z106" i="88" s="1"/>
  <c r="BR106" i="88"/>
  <c r="BS106" i="88" s="1"/>
  <c r="BU106" i="88" s="1"/>
  <c r="X109" i="88"/>
  <c r="Z109" i="88" s="1"/>
  <c r="BR109" i="88"/>
  <c r="BS109" i="88" s="1"/>
  <c r="BU109" i="88" s="1"/>
  <c r="Z110" i="88"/>
  <c r="BT112" i="88"/>
  <c r="BC112" i="88"/>
  <c r="BO112" i="88" s="1"/>
  <c r="AN112" i="88"/>
  <c r="BO127" i="88"/>
  <c r="BR145" i="88"/>
  <c r="BS145" i="88" s="1"/>
  <c r="Y145" i="88"/>
  <c r="BK99" i="88"/>
  <c r="BR113" i="88"/>
  <c r="BS113" i="88" s="1"/>
  <c r="BU113" i="88" s="1"/>
  <c r="Y113" i="88"/>
  <c r="X113" i="88"/>
  <c r="Y116" i="88"/>
  <c r="X116" i="88"/>
  <c r="BR116" i="88"/>
  <c r="BS116" i="88" s="1"/>
  <c r="BU116" i="88" s="1"/>
  <c r="Y119" i="88"/>
  <c r="X119" i="88"/>
  <c r="BR128" i="88"/>
  <c r="BS128" i="88" s="1"/>
  <c r="BU128" i="88" s="1"/>
  <c r="Y128" i="88"/>
  <c r="X128" i="88"/>
  <c r="Y130" i="88"/>
  <c r="X130" i="88"/>
  <c r="Z130" i="88" s="1"/>
  <c r="BR130" i="88"/>
  <c r="BS130" i="88" s="1"/>
  <c r="BU130" i="88" s="1"/>
  <c r="BR135" i="88"/>
  <c r="BS135" i="88" s="1"/>
  <c r="BU135" i="88" s="1"/>
  <c r="Y135" i="88"/>
  <c r="X135" i="88"/>
  <c r="Z135" i="88" s="1"/>
  <c r="BQ140" i="88"/>
  <c r="W140" i="88"/>
  <c r="BD140" i="88"/>
  <c r="BO140" i="88" s="1"/>
  <c r="BU148" i="88"/>
  <c r="Y151" i="88"/>
  <c r="X151" i="88"/>
  <c r="Z151" i="88" s="1"/>
  <c r="BR151" i="88"/>
  <c r="BS151" i="88" s="1"/>
  <c r="BU151" i="88" s="1"/>
  <c r="BH59" i="88"/>
  <c r="BQ68" i="88"/>
  <c r="Y69" i="88"/>
  <c r="AO71" i="88"/>
  <c r="X73" i="88"/>
  <c r="BR75" i="88"/>
  <c r="BS75" i="88" s="1"/>
  <c r="BU75" i="88" s="1"/>
  <c r="BQ76" i="88"/>
  <c r="Y77" i="88"/>
  <c r="BR79" i="88"/>
  <c r="BS79" i="88" s="1"/>
  <c r="BU79" i="88" s="1"/>
  <c r="X86" i="88"/>
  <c r="BQ92" i="88"/>
  <c r="BQ93" i="88"/>
  <c r="BQ94" i="88"/>
  <c r="Y95" i="88"/>
  <c r="Y97" i="88"/>
  <c r="Z97" i="88" s="1"/>
  <c r="AK99" i="88"/>
  <c r="AK153" i="88" s="1"/>
  <c r="BO101" i="88"/>
  <c r="W103" i="88"/>
  <c r="BO121" i="88"/>
  <c r="BT122" i="88"/>
  <c r="X134" i="88"/>
  <c r="BR137" i="88"/>
  <c r="BS137" i="88" s="1"/>
  <c r="BU137" i="88" s="1"/>
  <c r="Y137" i="88"/>
  <c r="Z137" i="88" s="1"/>
  <c r="BB141" i="88"/>
  <c r="BF141" i="88"/>
  <c r="BO145" i="88"/>
  <c r="Y73" i="88"/>
  <c r="BQ85" i="88"/>
  <c r="Y86" i="88"/>
  <c r="AN98" i="88"/>
  <c r="BQ99" i="88"/>
  <c r="BT100" i="88"/>
  <c r="BB102" i="88"/>
  <c r="BC103" i="88"/>
  <c r="BO103" i="88" s="1"/>
  <c r="BB103" i="88"/>
  <c r="BF105" i="88"/>
  <c r="BN105" i="88"/>
  <c r="W120" i="88"/>
  <c r="BC122" i="88"/>
  <c r="BB122" i="88"/>
  <c r="W122" i="88"/>
  <c r="BQ122" i="88"/>
  <c r="BS126" i="88"/>
  <c r="BU126" i="88" s="1"/>
  <c r="BR132" i="88"/>
  <c r="BS132" i="88" s="1"/>
  <c r="BU132" i="88" s="1"/>
  <c r="Y132" i="88"/>
  <c r="X132" i="88"/>
  <c r="BB68" i="88"/>
  <c r="BB76" i="88"/>
  <c r="BS91" i="88"/>
  <c r="BU91" i="88" s="1"/>
  <c r="BB92" i="88"/>
  <c r="BB93" i="88"/>
  <c r="BT98" i="88"/>
  <c r="BO102" i="88"/>
  <c r="BQ105" i="88"/>
  <c r="Y127" i="88"/>
  <c r="X127" i="88"/>
  <c r="Z127" i="88" s="1"/>
  <c r="BR127" i="88"/>
  <c r="BS127" i="88" s="1"/>
  <c r="BU127" i="88" s="1"/>
  <c r="BR134" i="88"/>
  <c r="BS134" i="88" s="1"/>
  <c r="BU134" i="88" s="1"/>
  <c r="Y134" i="88"/>
  <c r="BO137" i="88"/>
  <c r="AN89" i="88"/>
  <c r="W96" i="88"/>
  <c r="AN100" i="88"/>
  <c r="BI100" i="88"/>
  <c r="BO100" i="88" s="1"/>
  <c r="X104" i="88"/>
  <c r="AN105" i="88"/>
  <c r="BO107" i="88"/>
  <c r="AO112" i="88"/>
  <c r="Z115" i="88"/>
  <c r="BO116" i="88"/>
  <c r="BO119" i="88"/>
  <c r="BO130" i="88"/>
  <c r="BO131" i="88"/>
  <c r="BS139" i="88"/>
  <c r="BU139" i="88" s="1"/>
  <c r="BR142" i="88"/>
  <c r="BS142" i="88" s="1"/>
  <c r="BU142" i="88" s="1"/>
  <c r="Y142" i="88"/>
  <c r="X142" i="88"/>
  <c r="BO148" i="88"/>
  <c r="BO151" i="88"/>
  <c r="BB94" i="88"/>
  <c r="BO95" i="88"/>
  <c r="X101" i="88"/>
  <c r="Z101" i="88" s="1"/>
  <c r="W102" i="88"/>
  <c r="Y104" i="88"/>
  <c r="W108" i="88"/>
  <c r="BR111" i="88"/>
  <c r="BS111" i="88" s="1"/>
  <c r="BU111" i="88" s="1"/>
  <c r="Y111" i="88"/>
  <c r="X111" i="88"/>
  <c r="BR117" i="88"/>
  <c r="BS117" i="88" s="1"/>
  <c r="BU117" i="88" s="1"/>
  <c r="Y117" i="88"/>
  <c r="X117" i="88"/>
  <c r="BF122" i="88"/>
  <c r="BR129" i="88"/>
  <c r="BS129" i="88" s="1"/>
  <c r="BU129" i="88" s="1"/>
  <c r="Y129" i="88"/>
  <c r="X129" i="88"/>
  <c r="X145" i="88"/>
  <c r="Z145" i="88" s="1"/>
  <c r="BU145" i="88"/>
  <c r="BB99" i="88"/>
  <c r="BR115" i="88"/>
  <c r="BS115" i="88" s="1"/>
  <c r="BU115" i="88" s="1"/>
  <c r="BR123" i="88"/>
  <c r="BS123" i="88" s="1"/>
  <c r="BU123" i="88" s="1"/>
  <c r="Y124" i="88"/>
  <c r="BR126" i="88"/>
  <c r="BB140" i="88"/>
  <c r="BD141" i="88"/>
  <c r="BO141" i="88" s="1"/>
  <c r="BR143" i="88"/>
  <c r="BS143" i="88" s="1"/>
  <c r="BU143" i="88" s="1"/>
  <c r="BR147" i="88"/>
  <c r="BS147" i="88" s="1"/>
  <c r="BU147" i="88" s="1"/>
  <c r="Y149" i="88"/>
  <c r="Z149" i="88" s="1"/>
  <c r="W114" i="88"/>
  <c r="W118" i="88"/>
  <c r="BB118" i="88"/>
  <c r="W125" i="88"/>
  <c r="X125" i="88" s="1"/>
  <c r="W146" i="88"/>
  <c r="BC118" i="88"/>
  <c r="BO118" i="88" s="1"/>
  <c r="BQ119" i="88"/>
  <c r="BR119" i="88" s="1"/>
  <c r="BS119" i="88" s="1"/>
  <c r="BF120" i="88"/>
  <c r="BO120" i="88" s="1"/>
  <c r="AN122" i="88"/>
  <c r="BR149" i="88"/>
  <c r="BS149" i="88" s="1"/>
  <c r="BU149" i="88" s="1"/>
  <c r="BB119" i="88"/>
  <c r="W14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Z139" i="88" l="1"/>
  <c r="Z126" i="88"/>
  <c r="BH153" i="88"/>
  <c r="Z138" i="88"/>
  <c r="AJ153" i="88"/>
  <c r="Z53" i="88"/>
  <c r="Z7" i="88"/>
  <c r="Z67" i="88"/>
  <c r="Z46" i="88"/>
  <c r="Z41" i="88"/>
  <c r="Z45" i="88"/>
  <c r="Z80" i="88"/>
  <c r="Z144" i="88"/>
  <c r="Z121" i="88"/>
  <c r="Z73" i="88"/>
  <c r="Z87" i="88"/>
  <c r="BR69" i="88"/>
  <c r="BS69" i="88" s="1"/>
  <c r="BU69" i="88" s="1"/>
  <c r="X69" i="88"/>
  <c r="BO35" i="88"/>
  <c r="Z148" i="88"/>
  <c r="Z147" i="88"/>
  <c r="BO2" i="88"/>
  <c r="Z69" i="88"/>
  <c r="Z52" i="88"/>
  <c r="X124" i="88"/>
  <c r="Z124" i="88" s="1"/>
  <c r="BR72" i="88"/>
  <c r="BS72" i="88" s="1"/>
  <c r="BU72" i="88" s="1"/>
  <c r="X72" i="88"/>
  <c r="Y72" i="88"/>
  <c r="Z134" i="88"/>
  <c r="BR77" i="88"/>
  <c r="BS77" i="88" s="1"/>
  <c r="BU77" i="88" s="1"/>
  <c r="X77" i="88"/>
  <c r="Z77" i="88" s="1"/>
  <c r="Z60" i="88"/>
  <c r="BR92" i="88"/>
  <c r="BS92" i="88" s="1"/>
  <c r="BU92" i="88" s="1"/>
  <c r="Y92" i="88"/>
  <c r="X92" i="88"/>
  <c r="Y131" i="88"/>
  <c r="Z131" i="88" s="1"/>
  <c r="BR131" i="88"/>
  <c r="BS131" i="88" s="1"/>
  <c r="BU131" i="88" s="1"/>
  <c r="W26" i="88"/>
  <c r="Z55" i="88"/>
  <c r="Z90" i="88"/>
  <c r="BO59" i="88"/>
  <c r="W9" i="88"/>
  <c r="W2" i="88"/>
  <c r="Z47" i="88"/>
  <c r="BT32" i="88"/>
  <c r="BC32" i="88"/>
  <c r="BO32" i="88" s="1"/>
  <c r="AN32" i="88"/>
  <c r="BQ153" i="88"/>
  <c r="BR4" i="88"/>
  <c r="BS4" i="88" s="1"/>
  <c r="BU4" i="88" s="1"/>
  <c r="Y4" i="88"/>
  <c r="X4" i="88"/>
  <c r="X3" i="88"/>
  <c r="BR3" i="88"/>
  <c r="BS3" i="88" s="1"/>
  <c r="BU3" i="88" s="1"/>
  <c r="Y3" i="88"/>
  <c r="Y118" i="88"/>
  <c r="X118" i="88"/>
  <c r="BR118" i="88"/>
  <c r="BS118" i="88" s="1"/>
  <c r="BU118" i="88" s="1"/>
  <c r="X108" i="88"/>
  <c r="BR108" i="88"/>
  <c r="BS108" i="88" s="1"/>
  <c r="BU108" i="88" s="1"/>
  <c r="Y108" i="88"/>
  <c r="BO105" i="88"/>
  <c r="BR103" i="88"/>
  <c r="BS103" i="88" s="1"/>
  <c r="BU103" i="88" s="1"/>
  <c r="Y103" i="88"/>
  <c r="X103" i="88"/>
  <c r="Z103" i="88" s="1"/>
  <c r="Z113" i="88"/>
  <c r="BR76" i="88"/>
  <c r="BS76" i="88" s="1"/>
  <c r="Y76" i="88"/>
  <c r="X76" i="88"/>
  <c r="BR51" i="88"/>
  <c r="BS51" i="88" s="1"/>
  <c r="BU51" i="88" s="1"/>
  <c r="Y51" i="88"/>
  <c r="Y39" i="88"/>
  <c r="BR39" i="88"/>
  <c r="BS39" i="88" s="1"/>
  <c r="X39" i="88"/>
  <c r="Z20" i="88"/>
  <c r="W5" i="88"/>
  <c r="BO24" i="88"/>
  <c r="BR114" i="88"/>
  <c r="BS114" i="88" s="1"/>
  <c r="BU114" i="88" s="1"/>
  <c r="Y114" i="88"/>
  <c r="X114" i="88"/>
  <c r="BR96" i="88"/>
  <c r="BS96" i="88" s="1"/>
  <c r="BU96" i="88" s="1"/>
  <c r="Y96" i="88"/>
  <c r="X96" i="88"/>
  <c r="Z96" i="88" s="1"/>
  <c r="W71" i="88"/>
  <c r="BR60" i="88"/>
  <c r="BS60" i="88" s="1"/>
  <c r="BU60" i="88" s="1"/>
  <c r="BR89" i="88"/>
  <c r="BS89" i="88" s="1"/>
  <c r="BU89" i="88" s="1"/>
  <c r="Y89" i="88"/>
  <c r="X89" i="88"/>
  <c r="BG153" i="88"/>
  <c r="Y27" i="88"/>
  <c r="X27" i="88"/>
  <c r="BR27" i="88"/>
  <c r="BS27" i="88" s="1"/>
  <c r="BU27" i="88" s="1"/>
  <c r="Y42" i="88"/>
  <c r="X42" i="88"/>
  <c r="BR42" i="88"/>
  <c r="BS42" i="88" s="1"/>
  <c r="BU42" i="88" s="1"/>
  <c r="X51" i="88"/>
  <c r="W25" i="88"/>
  <c r="Y31" i="88"/>
  <c r="Z31" i="88" s="1"/>
  <c r="BR31" i="88"/>
  <c r="BS31" i="88" s="1"/>
  <c r="BU31" i="88" s="1"/>
  <c r="Z117" i="88"/>
  <c r="Z142" i="88"/>
  <c r="X122" i="88"/>
  <c r="Y122" i="88"/>
  <c r="BR122" i="88"/>
  <c r="BS122" i="88" s="1"/>
  <c r="BU122" i="88" s="1"/>
  <c r="BL99" i="88"/>
  <c r="AL99" i="88"/>
  <c r="Z86" i="88"/>
  <c r="Z119" i="88"/>
  <c r="Z74" i="88"/>
  <c r="Y61" i="88"/>
  <c r="BR61" i="88"/>
  <c r="BS61" i="88" s="1"/>
  <c r="BU61" i="88" s="1"/>
  <c r="X61" i="88"/>
  <c r="BU35" i="88"/>
  <c r="Z33" i="88"/>
  <c r="W23" i="88"/>
  <c r="Z16" i="88"/>
  <c r="BU119" i="88"/>
  <c r="BR85" i="88"/>
  <c r="BS85" i="88" s="1"/>
  <c r="BU85" i="88" s="1"/>
  <c r="BR43" i="88"/>
  <c r="BS43" i="88" s="1"/>
  <c r="BU43" i="88" s="1"/>
  <c r="Y43" i="88"/>
  <c r="X43" i="88"/>
  <c r="Z43" i="88" s="1"/>
  <c r="BE153" i="88"/>
  <c r="AO38" i="88"/>
  <c r="Y12" i="88"/>
  <c r="BR12" i="88"/>
  <c r="BS12" i="88" s="1"/>
  <c r="BU12" i="88" s="1"/>
  <c r="X12" i="88"/>
  <c r="Z104" i="88"/>
  <c r="BO122" i="88"/>
  <c r="Z95" i="88"/>
  <c r="BR94" i="88"/>
  <c r="BS94" i="88" s="1"/>
  <c r="BU94" i="88" s="1"/>
  <c r="Y94" i="88"/>
  <c r="X94" i="88"/>
  <c r="W29" i="88"/>
  <c r="BR68" i="88"/>
  <c r="BS68" i="88" s="1"/>
  <c r="BU68" i="88" s="1"/>
  <c r="Y68" i="88"/>
  <c r="X68" i="88"/>
  <c r="Z58" i="88"/>
  <c r="BR35" i="88"/>
  <c r="BS35" i="88" s="1"/>
  <c r="Y105" i="88"/>
  <c r="X105" i="88"/>
  <c r="BR105" i="88"/>
  <c r="BS105" i="88" s="1"/>
  <c r="BU105" i="88" s="1"/>
  <c r="Z22" i="88"/>
  <c r="BF153" i="88"/>
  <c r="BO31" i="88"/>
  <c r="Y32" i="88"/>
  <c r="BR32" i="88"/>
  <c r="BS32" i="88" s="1"/>
  <c r="BU32" i="88" s="1"/>
  <c r="BO11" i="88"/>
  <c r="Y37" i="88"/>
  <c r="X37" i="88"/>
  <c r="Z37" i="88" s="1"/>
  <c r="BR37" i="88"/>
  <c r="BS37" i="88" s="1"/>
  <c r="BU37" i="88" s="1"/>
  <c r="BR102" i="88"/>
  <c r="BS102" i="88" s="1"/>
  <c r="BU102" i="88" s="1"/>
  <c r="X102" i="88"/>
  <c r="Y102" i="88"/>
  <c r="BR146" i="88"/>
  <c r="BS146" i="88" s="1"/>
  <c r="BU146" i="88" s="1"/>
  <c r="Y146" i="88"/>
  <c r="X146" i="88"/>
  <c r="Z146" i="88" s="1"/>
  <c r="Z111" i="88"/>
  <c r="Z132" i="88"/>
  <c r="BR120" i="88"/>
  <c r="BS120" i="88" s="1"/>
  <c r="BU120" i="88" s="1"/>
  <c r="Y120" i="88"/>
  <c r="X120" i="88"/>
  <c r="BR140" i="88"/>
  <c r="BS140" i="88" s="1"/>
  <c r="X140" i="88"/>
  <c r="Y140" i="88"/>
  <c r="Z128" i="88"/>
  <c r="W98" i="88"/>
  <c r="Z88" i="88"/>
  <c r="Y82" i="88"/>
  <c r="BR82" i="88"/>
  <c r="BS82" i="88" s="1"/>
  <c r="BU82" i="88" s="1"/>
  <c r="X82" i="88"/>
  <c r="BR100" i="88"/>
  <c r="BS100" i="88" s="1"/>
  <c r="BU100" i="88" s="1"/>
  <c r="Y100" i="88"/>
  <c r="X100" i="88"/>
  <c r="Y66" i="88"/>
  <c r="X66" i="88"/>
  <c r="BR66" i="88"/>
  <c r="BS66" i="88" s="1"/>
  <c r="BU66" i="88" s="1"/>
  <c r="Z70" i="88"/>
  <c r="Z57" i="88"/>
  <c r="Z11" i="88"/>
  <c r="BC153" i="88"/>
  <c r="W112" i="88"/>
  <c r="Y141" i="88"/>
  <c r="X141" i="88"/>
  <c r="Z141" i="88" s="1"/>
  <c r="BR141" i="88"/>
  <c r="BS141" i="88" s="1"/>
  <c r="BU141" i="88" s="1"/>
  <c r="BR125" i="88"/>
  <c r="BS125" i="88" s="1"/>
  <c r="BU125" i="88" s="1"/>
  <c r="Y125" i="88"/>
  <c r="Z125" i="88" s="1"/>
  <c r="Z129" i="88"/>
  <c r="BU76" i="88"/>
  <c r="BU140" i="88"/>
  <c r="Z116" i="88"/>
  <c r="BR93" i="88"/>
  <c r="BS93" i="88" s="1"/>
  <c r="BU93" i="88" s="1"/>
  <c r="Y93" i="88"/>
  <c r="X93" i="88"/>
  <c r="Z65" i="88"/>
  <c r="W34" i="88"/>
  <c r="Z84" i="88"/>
  <c r="Z56" i="88"/>
  <c r="BU59" i="88"/>
  <c r="BU39" i="88"/>
  <c r="W24" i="88"/>
  <c r="AW38" i="88"/>
  <c r="BI38" i="88"/>
  <c r="Z54" i="88"/>
  <c r="X40" i="88"/>
  <c r="BR40" i="88"/>
  <c r="BS40" i="88" s="1"/>
  <c r="BU40" i="88" s="1"/>
  <c r="Y40" i="88"/>
  <c r="W30" i="88"/>
  <c r="BD153" i="88"/>
  <c r="Z28" i="88"/>
  <c r="Z44" i="88"/>
  <c r="X32" i="88"/>
  <c r="Z10" i="88"/>
  <c r="Z15" i="88"/>
  <c r="F15" i="89"/>
  <c r="D21" i="89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Z102" i="88" l="1"/>
  <c r="Z76" i="88"/>
  <c r="Z32" i="88"/>
  <c r="Z82" i="88"/>
  <c r="Z108" i="88"/>
  <c r="Z72" i="88"/>
  <c r="Z89" i="88"/>
  <c r="Z114" i="88"/>
  <c r="BR98" i="88"/>
  <c r="BS98" i="88" s="1"/>
  <c r="BU98" i="88" s="1"/>
  <c r="Y98" i="88"/>
  <c r="X98" i="88"/>
  <c r="Z98" i="88" s="1"/>
  <c r="Z92" i="88"/>
  <c r="Z100" i="88"/>
  <c r="Z68" i="88"/>
  <c r="W38" i="88"/>
  <c r="Z61" i="88"/>
  <c r="AM99" i="88"/>
  <c r="BM99" i="88"/>
  <c r="AL153" i="88"/>
  <c r="Z27" i="88"/>
  <c r="Y71" i="88"/>
  <c r="X71" i="88"/>
  <c r="BR71" i="88"/>
  <c r="BS71" i="88" s="1"/>
  <c r="BU71" i="88" s="1"/>
  <c r="Z118" i="88"/>
  <c r="Y2" i="88"/>
  <c r="X2" i="88"/>
  <c r="BR2" i="88"/>
  <c r="BS2" i="88" s="1"/>
  <c r="BU2" i="88" s="1"/>
  <c r="Z140" i="88"/>
  <c r="X9" i="88"/>
  <c r="BR9" i="88"/>
  <c r="BS9" i="88" s="1"/>
  <c r="BU9" i="88" s="1"/>
  <c r="Y9" i="88"/>
  <c r="Y26" i="88"/>
  <c r="X26" i="88"/>
  <c r="BR26" i="88"/>
  <c r="BS26" i="88" s="1"/>
  <c r="BU26" i="88" s="1"/>
  <c r="Z40" i="88"/>
  <c r="BJ38" i="88"/>
  <c r="BJ153" i="88" s="1"/>
  <c r="AX38" i="88"/>
  <c r="AW153" i="88"/>
  <c r="Z105" i="88"/>
  <c r="Z51" i="88"/>
  <c r="Y5" i="88"/>
  <c r="X5" i="88"/>
  <c r="Z5" i="88" s="1"/>
  <c r="BR5" i="88"/>
  <c r="BS5" i="88" s="1"/>
  <c r="BU5" i="88" s="1"/>
  <c r="BR34" i="88"/>
  <c r="BS34" i="88" s="1"/>
  <c r="BU34" i="88" s="1"/>
  <c r="Y34" i="88"/>
  <c r="X34" i="88"/>
  <c r="BR25" i="88"/>
  <c r="BS25" i="88" s="1"/>
  <c r="BU25" i="88" s="1"/>
  <c r="Y25" i="88"/>
  <c r="X25" i="88"/>
  <c r="Y30" i="88"/>
  <c r="BR30" i="88"/>
  <c r="BS30" i="88" s="1"/>
  <c r="BU30" i="88" s="1"/>
  <c r="X30" i="88"/>
  <c r="Y24" i="88"/>
  <c r="BR24" i="88"/>
  <c r="BS24" i="88" s="1"/>
  <c r="BU24" i="88" s="1"/>
  <c r="X24" i="88"/>
  <c r="Z24" i="88" s="1"/>
  <c r="Y112" i="88"/>
  <c r="BR112" i="88"/>
  <c r="BS112" i="88" s="1"/>
  <c r="BU112" i="88" s="1"/>
  <c r="X112" i="88"/>
  <c r="BR29" i="88"/>
  <c r="BS29" i="88" s="1"/>
  <c r="BU29" i="88" s="1"/>
  <c r="Y29" i="88"/>
  <c r="X29" i="88"/>
  <c r="Y23" i="88"/>
  <c r="BR23" i="88"/>
  <c r="BS23" i="88" s="1"/>
  <c r="BU23" i="88" s="1"/>
  <c r="X23" i="88"/>
  <c r="Z23" i="88" s="1"/>
  <c r="Z122" i="88"/>
  <c r="Z3" i="88"/>
  <c r="Z93" i="88"/>
  <c r="Z66" i="88"/>
  <c r="Z120" i="88"/>
  <c r="Z94" i="88"/>
  <c r="Z12" i="88"/>
  <c r="Z42" i="88"/>
  <c r="Z39" i="88"/>
  <c r="Z4" i="88"/>
  <c r="BI15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Z112" i="88" l="1"/>
  <c r="Z25" i="88"/>
  <c r="Z26" i="88"/>
  <c r="Z29" i="88"/>
  <c r="Z71" i="88"/>
  <c r="X38" i="88"/>
  <c r="BR38" i="88"/>
  <c r="BS38" i="88" s="1"/>
  <c r="BU38" i="88" s="1"/>
  <c r="Y38" i="88"/>
  <c r="Z2" i="88"/>
  <c r="Z34" i="88"/>
  <c r="BN99" i="88"/>
  <c r="BO99" i="88" s="1"/>
  <c r="AM153" i="88"/>
  <c r="AO99" i="88"/>
  <c r="AN99" i="88"/>
  <c r="AN153" i="88" s="1"/>
  <c r="Z30" i="88"/>
  <c r="BK38" i="88"/>
  <c r="AY38" i="88"/>
  <c r="AX153" i="88"/>
  <c r="Z9" i="88"/>
  <c r="H42" i="89"/>
  <c r="G147" i="89"/>
  <c r="G59" i="89"/>
  <c r="G15" i="89"/>
  <c r="H147" i="89"/>
  <c r="H73" i="89"/>
  <c r="G149" i="89"/>
  <c r="H15" i="89"/>
  <c r="H59" i="89"/>
  <c r="BL38" i="88" l="1"/>
  <c r="BL153" i="88" s="1"/>
  <c r="AZ38" i="88"/>
  <c r="AY153" i="88"/>
  <c r="BK153" i="88"/>
  <c r="W99" i="88"/>
  <c r="AO153" i="88"/>
  <c r="Z38" i="88"/>
  <c r="H149" i="89"/>
  <c r="AN8" i="87"/>
  <c r="AO8" i="87"/>
  <c r="BB8" i="87"/>
  <c r="AR8" i="87"/>
  <c r="BM38" i="88" l="1"/>
  <c r="BM153" i="88" s="1"/>
  <c r="BA38" i="88"/>
  <c r="AZ153" i="88"/>
  <c r="BR99" i="88"/>
  <c r="BS99" i="88" s="1"/>
  <c r="BU99" i="88" s="1"/>
  <c r="X99" i="88"/>
  <c r="Y99" i="88"/>
  <c r="Y153" i="88" s="1"/>
  <c r="W153" i="88"/>
  <c r="J3" i="65"/>
  <c r="Z99" i="88" l="1"/>
  <c r="Z153" i="88" s="1"/>
  <c r="X153" i="88"/>
  <c r="BN38" i="88"/>
  <c r="BA153" i="88"/>
  <c r="BB38" i="88"/>
  <c r="BB153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153" i="88" l="1"/>
  <c r="BO38" i="88"/>
  <c r="BO153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<sst xmlns="http://schemas.openxmlformats.org/spreadsheetml/2006/main" count="4083" uniqueCount="765">
  <si>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</si>
  <si>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</si>
  <si>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</si>
  <si>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</si>
  <si>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</si>
  <si>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</si>
  <si>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</si>
  <si>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</si>
  <si>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</si>
  <si>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</si>
  <si>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</si>
  <si>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</si>
  <si>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</si>
  <si>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</si>
  <si>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</si>
  <si>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</si>
  <si>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</si>
  <si>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</si>
  <si>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</si>
  <si>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</si>
  <si>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</si>
  <si>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</si>
  <si>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</si>
  <si>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</si>
  <si>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</si>
  <si>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</si>
  <si>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</si>
  <si>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</si>
  <si>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</si>
  <si>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</si>
  <si>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</si>
  <si>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</si>
  <si>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</si>
  <si>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</si>
  <si>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</si>
  <si>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</si>
  <si>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</si>
  <si>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</si>
  <si>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</si>
  <si>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</si>
  <si>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</si>
  <si>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</si>
  <si>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</si>
  <si>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</si>
  <si>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</si>
  <si>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</si>
  <si>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</si>
  <si>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</si>
  <si>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</si>
  <si>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</si>
  <si>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</si>
  <si>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</si>
  <si>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</si>
  <si>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</si>
  <si>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</si>
  <si>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</si>
  <si>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</si>
  <si>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</si>
  <si>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</si>
  <si>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</si>
  <si>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</si>
  <si>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</si>
  <si>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</si>
  <si>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</si>
  <si>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</si>
  <si>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</si>
  <si>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</si>
  <si>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</si>
  <si>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</si>
  <si>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</si>
  <si>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</si>
  <si>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</si>
  <si>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</si>
  <si>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</si>
  <si>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</si>
  <si>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</si>
  <si>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</si>
  <si>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</si>
  <si>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</si>
  <si>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</si>
  <si>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</si>
  <si>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</si>
  <si>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</si>
  <si>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</si>
  <si>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</si>
  <si>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</si>
  <si>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</si>
  <si>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</si>
  <si>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</si>
  <si>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</si>
  <si>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</si>
  <si>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</si>
  <si>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</si>
  <si>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</si>
  <si>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</si>
  <si>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</si>
  <si>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</si>
  <si>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</si>
  <si>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</si>
  <si>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</si>
  <si>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</si>
  <si>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</si>
  <si>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</si>
  <si>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</si>
  <si>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</si>
  <si>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</si>
  <si>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</si>
  <si>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</si>
  <si>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</si>
  <si>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</si>
  <si>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</si>
  <si>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</si>
  <si>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</si>
  <si>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</si>
  <si>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</si>
  <si>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</si>
  <si>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</si>
  <si>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</si>
  <si>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</si>
  <si>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</si>
  <si>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</si>
  <si>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</si>
  <si>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</si>
  <si>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</si>
  <si>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</si>
  <si>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</si>
  <si>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</si>
  <si>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</si>
  <si>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</si>
  <si>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</si>
  <si>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</si>
  <si>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</si>
  <si>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</si>
  <si>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</si>
  <si>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</si>
  <si>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</si>
  <si>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</si>
  <si>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</si>
  <si>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</si>
  <si>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</si>
  <si>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</si>
  <si>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</si>
  <si>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</si>
  <si>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</si>
  <si>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</si>
  <si>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</si>
  <si>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Amortization/Multiple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</si>
  <si>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</si>
  <si>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</si>
  <si>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</si>
  <si>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</si>
  <si>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</si>
  <si>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</si>
  <si>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</si>
  <si>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</si>
  <si>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</si>
  <si>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</si>
  <si>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</si>
  <si>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</si>
  <si>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</si>
  <si>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</si>
  <si>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</si>
  <si>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</si>
  <si>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</si>
  <si>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</si>
  <si>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</si>
  <si>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</si>
  <si>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</si>
  <si>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</si>
  <si>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</si>
  <si>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</si>
  <si>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</si>
  <si>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</si>
  <si>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</si>
  <si>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</si>
  <si>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</si>
  <si>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</si>
  <si>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</si>
  <si>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</si>
  <si>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</si>
  <si>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</si>
  <si>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</si>
  <si>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</si>
  <si>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</si>
  <si>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</si>
  <si>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</si>
  <si>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</si>
  <si>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</si>
  <si>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</si>
  <si>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</si>
  <si>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</si>
  <si>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</si>
  <si>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</si>
  <si>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</si>
  <si>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</si>
  <si>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</si>
  <si>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</si>
  <si>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</si>
  <si>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</si>
  <si>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</si>
  <si>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</si>
  <si>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</si>
  <si>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</si>
  <si>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</si>
  <si>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</si>
  <si>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</si>
  <si>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</si>
  <si>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</si>
  <si>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</si>
  <si>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</si>
  <si>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</si>
  <si>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</si>
  <si>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</si>
  <si>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</si>
  <si>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</si>
  <si>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</si>
  <si>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</si>
  <si>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</si>
  <si>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</si>
  <si>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</si>
  <si>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</si>
  <si>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</si>
  <si>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</si>
  <si>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</si>
  <si>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</si>
  <si>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</si>
  <si>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</si>
  <si>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</si>
  <si>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</si>
  <si>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</si>
  <si>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</si>
  <si>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</si>
  <si>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</si>
  <si>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</si>
  <si>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</si>
  <si>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</si>
  <si>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</si>
  <si>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</si>
  <si>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</si>
  <si>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</si>
  <si>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</si>
  <si>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</si>
  <si>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</si>
  <si>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</si>
  <si>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</si>
  <si>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</si>
  <si>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</si>
  <si>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</si>
  <si>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</si>
  <si>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</si>
  <si>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</si>
  <si>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</si>
  <si>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</si>
  <si>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</si>
  <si>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</si>
  <si>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</si>
  <si>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</si>
  <si>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</si>
  <si>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</si>
  <si>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</si>
  <si>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</si>
  <si>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</si>
  <si>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</si>
  <si>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</si>
  <si>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</si>
  <si>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</si>
  <si>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</si>
  <si>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</si>
  <si>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</si>
  <si>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</si>
  <si>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</si>
  <si>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</si>
  <si>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</si>
  <si>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</si>
  <si>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</si>
  <si>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</si>
  <si>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</si>
  <si>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</si>
  <si>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</si>
  <si>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</si>
  <si>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</si>
  <si>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</si>
  <si>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</si>
  <si>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</si>
  <si>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</si>
  <si>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</si>
  <si>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</si>
  <si>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</si>
  <si>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</si>
  <si>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</si>
  <si>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</si>
  <si>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</si>
  <si>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</si>
  <si>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</si>
  <si>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</si>
  <si>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</si>
  <si>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</si>
  <si>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</si>
  <si>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</si>
  <si>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</si>
  <si>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</si>
  <si>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</si>
  <si>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</si>
  <si>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</si>
  <si>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</si>
  <si>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</si>
  <si>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</si>
  <si>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</si>
  <si>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</si>
  <si>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</si>
  <si>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</si>
  <si>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</si>
  <si>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</si>
  <si>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</si>
  <si>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</si>
  <si>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</si>
  <si>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</si>
  <si>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</si>
  <si>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</si>
  <si>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</si>
  <si>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</si>
  <si>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</si>
  <si>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</si>
  <si>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</si>
  <si>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</si>
  <si>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</si>
  <si>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</si>
  <si>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</si>
  <si>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</si>
  <si>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</si>
  <si>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</si>
  <si>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</si>
  <si>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</si>
  <si>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</si>
  <si>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</si>
  <si>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</si>
  <si>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</si>
  <si>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</si>
  <si>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</si>
  <si>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</si>
  <si>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</si>
  <si>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</si>
  <si>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</si>
  <si>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</si>
  <si>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</si>
  <si>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</si>
  <si>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</si>
  <si>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</si>
  <si>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</si>
  <si>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</si>
  <si>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</si>
  <si>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</si>
  <si>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</si>
  <si>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</si>
  <si>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</si>
  <si>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</si>
  <si>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</si>
  <si>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</si>
  <si>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</si>
  <si>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</si>
  <si>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</si>
  <si>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</si>
  <si>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</si>
  <si>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</si>
  <si>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</si>
  <si>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</si>
  <si>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</si>
  <si>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</si>
  <si>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</si>
  <si>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</si>
  <si>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</si>
  <si>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</si>
  <si>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</si>
  <si>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</si>
  <si>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</si>
  <si>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</si>
  <si>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</si>
  <si>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</si>
  <si>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</si>
  <si>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</si>
  <si>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</si>
  <si>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</si>
  <si>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</si>
  <si>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</si>
  <si>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</si>
  <si>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</si>
  <si>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</si>
  <si>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</si>
  <si>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</si>
  <si>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</si>
  <si>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</si>
  <si>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</si>
  <si>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</si>
  <si>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</si>
  <si>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</si>
  <si>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</si>
  <si>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</si>
  <si>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</si>
  <si>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</si>
  <si>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</si>
  <si>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</si>
  <si>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</si>
  <si>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</si>
  <si>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</si>
  <si>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</si>
  <si>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</si>
  <si>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</si>
  <si>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</si>
  <si>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</si>
  <si>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</si>
  <si>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</si>
  <si>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</si>
  <si>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</si>
  <si>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</si>
  <si>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</si>
  <si>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</si>
  <si>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</si>
  <si>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</si>
  <si>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</si>
  <si>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</si>
  <si>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</si>
  <si>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</si>
  <si>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</si>
  <si>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</si>
  <si>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</si>
  <si>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</si>
  <si>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</si>
  <si>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</si>
  <si>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</si>
  <si>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</si>
  <si>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</si>
  <si>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</si>
  <si>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</si>
  <si>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</si>
  <si>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</si>
  <si>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</si>
  <si>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</si>
  <si>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</si>
  <si>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</si>
  <si>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</si>
  <si>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</si>
  <si>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</si>
  <si>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</si>
  <si>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</si>
  <si>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</si>
  <si>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</si>
  <si>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</si>
  <si>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</si>
  <si>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</si>
  <si>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</si>
  <si>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</si>
  <si>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</si>
  <si>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</si>
  <si>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</si>
  <si>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</si>
  <si>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</si>
  <si>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</si>
  <si>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</si>
  <si>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</si>
  <si>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</si>
  <si>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</si>
  <si>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</si>
  <si>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</si>
  <si>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</si>
  <si>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</si>
  <si>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</si>
  <si>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</si>
  <si>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</si>
  <si>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</si>
  <si>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</si>
  <si>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</si>
  <si>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</si>
  <si>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</si>
  <si>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</si>
  <si>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</si>
  <si>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</si>
  <si>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</si>
  <si>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</si>
  <si>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</si>
  <si>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</si>
  <si>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</si>
  <si>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</si>
  <si>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</si>
  <si>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</si>
  <si>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</si>
  <si>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</si>
  <si>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</si>
  <si>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</si>
  <si>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</si>
  <si>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</si>
  <si>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</si>
  <si>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</si>
  <si>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</si>
  <si>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</si>
  <si>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</si>
  <si>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</si>
  <si>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</si>
  <si>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</si>
  <si>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</si>
  <si>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</si>
  <si>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</si>
  <si>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</si>
  <si>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</si>
  <si>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</si>
  <si>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</si>
  <si>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</si>
  <si>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</si>
  <si>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</si>
  <si>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</si>
  <si>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</si>
  <si>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</si>
  <si>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</si>
  <si>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</si>
  <si>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</si>
  <si>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</si>
  <si>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</si>
  <si>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</si>
  <si>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</si>
  <si>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</si>
  <si>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</si>
  <si>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</si>
  <si>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</si>
  <si>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</si>
  <si>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</si>
  <si>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</si>
  <si>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</si>
  <si>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</si>
  <si>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</si>
  <si>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</si>
  <si>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</si>
  <si>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</si>
  <si>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</si>
  <si>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</si>
  <si>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</si>
  <si>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</si>
  <si>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</si>
  <si>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</si>
  <si>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</si>
  <si>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</si>
  <si>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</si>
  <si>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</si>
  <si>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</si>
  <si>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</si>
  <si>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</si>
  <si>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</si>
  <si>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</si>
  <si>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</si>
  <si>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</si>
  <si>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</si>
  <si>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</si>
  <si>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</si>
  <si>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</si>
  <si>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</si>
  <si>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</si>
  <si>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</si>
  <si>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</si>
  <si>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</si>
  <si>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</si>
  <si>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</si>
  <si>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</si>
  <si>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</si>
  <si>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</si>
  <si>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</si>
  <si>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</si>
  <si>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</si>
  <si>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</si>
  <si>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</si>
  <si>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</si>
  <si>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</si>
  <si>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</si>
  <si>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</si>
  <si>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</si>
  <si>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</si>
  <si>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</si>
  <si>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</si>
  <si>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</si>
  <si>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</si>
  <si>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</si>
  <si>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</si>
  <si>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</si>
  <si>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</si>
  <si>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</si>
  <si>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</si>
  <si>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</si>
  <si>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</si>
  <si>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</si>
  <si>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</si>
  <si>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</si>
  <si>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</si>
  <si>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</si>
  <si>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</si>
  <si>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</si>
  <si>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</si>
  <si>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</si>
  <si>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</si>
  <si>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</si>
  <si>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</si>
  <si>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</si>
  <si>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</si>
  <si>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</si>
  <si>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</si>
  <si>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</si>
  <si>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</si>
  <si>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</si>
  <si>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</si>
  <si>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</si>
  <si>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</si>
  <si>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</si>
  <si>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</si>
  <si>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</si>
  <si>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</si>
  <si>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</si>
  <si>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</si>
  <si>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</si>
  <si>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</si>
  <si>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</si>
  <si>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</si>
  <si>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</si>
  <si>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</si>
  <si>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</si>
  <si>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</si>
  <si>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</si>
  <si>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</si>
  <si>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</si>
  <si>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</si>
  <si>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</si>
  <si>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</si>
  <si>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</si>
  <si>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</si>
  <si>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</si>
  <si>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</si>
  <si>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</si>
  <si>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</si>
  <si>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</si>
  <si>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</si>
  <si>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</si>
  <si>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</si>
  <si>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</si>
  <si>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</si>
  <si>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</si>
  <si>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</si>
  <si>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</si>
  <si>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</si>
  <si>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</si>
  <si>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</si>
  <si>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</si>
  <si>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</si>
  <si>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</si>
  <si>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</si>
  <si>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</si>
  <si>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</si>
  <si>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</si>
  <si>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</si>
  <si>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</si>
  <si>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</si>
  <si>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</si>
  <si>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</si>
  <si>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</si>
  <si>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</si>
  <si>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</si>
  <si>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</si>
  <si>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</si>
  <si>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</si>
  <si>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</si>
  <si>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</si>
  <si>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</si>
  <si>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</si>
  <si>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</si>
  <si>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</si>
  <si>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</si>
  <si>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</si>
  <si>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</si>
  <si>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</si>
  <si>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</si>
  <si>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</si>
  <si>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</si>
  <si>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</si>
  <si>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</si>
  <si>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</si>
  <si>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</si>
  <si>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</si>
  <si>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</si>
  <si>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</si>
  <si>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</si>
  <si>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</si>
  <si>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</si>
  <si>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</si>
  <si>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</si>
  <si>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</si>
  <si>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</si>
  <si>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</si>
  <si>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</si>
  <si>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</si>
  <si>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</si>
  <si>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</si>
  <si>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</si>
  <si>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</si>
  <si>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</si>
  <si>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</si>
  <si>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</si>
  <si>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</si>
  <si>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</si>
  <si>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</si>
  <si>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</si>
  <si>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</si>
  <si>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</si>
  <si>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</si>
  <si>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</si>
  <si>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</si>
  <si>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</si>
  <si>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</si>
  <si>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</si>
  <si>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</si>
  <si>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</si>
  <si>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</si>
  <si>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</si>
  <si>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</si>
  <si>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</si>
  <si>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</si>
  <si>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</si>
  <si>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</si>
  <si>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</si>
  <si>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</si>
  <si>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</si>
  <si>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</si>
  <si>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</si>
  <si>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</si>
  <si>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</si>
  <si>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</si>
  <si>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</si>
  <si>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</si>
  <si>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</si>
  <si>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</si>
  <si>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</si>
  <si>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</si>
  <si>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</si>
  <si>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</si>
  <si>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</si>
  <si>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</si>
  <si>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</si>
  <si>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</si>
  <si>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</si>
  <si>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</si>
  <si>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</si>
  <si>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</si>
  <si>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</si>
  <si>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</si>
  <si>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</si>
  <si>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</si>
  <si>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</si>
  <si>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</si>
  <si>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</si>
  <si>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</si>
  <si>
    <t>Sum of Forecast Jun-Dec</t>
  </si>
  <si>
    <t>Subtotal</t>
  </si>
  <si>
    <t>In Millions</t>
  </si>
  <si>
    <t>$52K Opportunity: L1/L2 COE BoW 2026 - unutilized funds for new initiatives planned in 2026.
Driver: Unutilized funds for planned initiatives.As per Leon's instruction.</t>
  </si>
  <si>
    <t>On Track</t>
  </si>
  <si>
    <t>$22K Opportunity: Saving $96K on Piyush's exit offset by unbudgeted risk for Arif $38K
Driver: Favorable variance from resource allocation.Offset by $80K additonal resource hire</t>
  </si>
  <si>
    <t>$100K unutilised placeholder as per Leon's instruction</t>
  </si>
  <si>
    <t>$80K Opportunity:  Budget $1,525K vs Net Position $1,611K.
Driver: Unbudgeted resource.</t>
  </si>
  <si>
    <t>$29K Opportunity: T&amp;E saving expected based on projected travel plan. YTD tracking under plan.
Driver: Budget buffer.</t>
  </si>
  <si>
    <t>Committed to Ben</t>
  </si>
  <si>
    <t>N/A-N/A</t>
  </si>
  <si>
    <t>Leon's commited $500K to 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</si>
</sst>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_(* #,##0.0_);_(* \(#,##0.0\);_(* &quot;-&quot;??_);_(@_)"/>
    <numFmt numFmtId="169" formatCode="&quot;$&quot;#,##0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3" fillId="3" borderId="20" xfId="0" applyFont="1" applyFill="1" applyBorder="1"/>
    <xf numFmtId="168" fontId="0" fillId="0" borderId="0" xfId="0" applyNumberFormat="1"/>
    <xf numFmtId="0" fontId="0" fillId="0" borderId="21" xfId="0" applyBorder="1"/>
    <xf numFmtId="164" fontId="0" fillId="0" borderId="21" xfId="0" applyNumberFormat="1" applyBorder="1"/>
    <xf numFmtId="164" fontId="0" fillId="0" borderId="0" xfId="1" applyNumberFormat="1" applyFont="1"/>
    <xf numFmtId="169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64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6" formatCode="&quot;$&quot;#,##0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9" formatCode="&quot;$&quot;#,##0.00"/>
    </dxf>
    <dxf>
      <numFmt numFmtId="166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tarescap.sharepoint.com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3.707659259257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 count="130">
        <n v="361000"/>
        <n v="179000"/>
        <n v="259449"/>
        <n v="100000"/>
        <n v="39512"/>
        <n v="14700"/>
        <m/>
        <n v="42000"/>
        <n v="180000"/>
        <n v="35314"/>
        <n v="25439"/>
        <n v="2863"/>
        <n v="15750"/>
        <n v="52500"/>
        <n v="14886"/>
        <n v="12200"/>
        <n v="236250"/>
        <n v="141750"/>
        <n v="17099"/>
        <n v="1454747"/>
        <n v="218880"/>
        <n v="1438080"/>
        <n v="414080"/>
        <n v="1505280"/>
        <n v="291840"/>
        <n v="190000"/>
        <n v="345000"/>
        <n v="403200"/>
        <n v="252000"/>
        <n v="600000"/>
        <n v="161280"/>
        <n v="230400"/>
        <n v="1091543.9324999999"/>
        <n v="3617396"/>
        <n v="1051185.52165"/>
        <n v="200000"/>
        <n v="440671.35000000003"/>
        <n v="15000"/>
        <n v="7500000"/>
        <n v="99225"/>
        <n v="86949.723000000013"/>
        <n v="63000"/>
        <n v="33096.819000000003"/>
        <n v="63325.5"/>
        <n v="10080"/>
        <n v="238897.86250000002"/>
        <n v="12600"/>
        <n v="90000"/>
        <n v="96543"/>
        <n v="14460"/>
        <n v="59783.0625"/>
        <n v="1260"/>
        <n v="1725.759"/>
        <n v="26064.769500000002"/>
        <n v="1361.8500000000001"/>
        <n v="1389.15"/>
        <n v="1900385"/>
        <n v="307613.80000000005"/>
        <n v="361049"/>
        <n v="34875"/>
        <n v="57087.964500000002"/>
        <n v="8435.7000000000007"/>
        <n v="72888.816000000006"/>
        <n v="44460.15"/>
        <n v="39305.700000000004"/>
        <n v="174825"/>
        <n v="5407.5"/>
        <n v="98942.917499999996"/>
        <n v="48667.5"/>
        <n v="68250"/>
        <n v="100844.1"/>
        <n v="70432.698000000004"/>
        <n v="133245.90000000002"/>
        <n v="5250"/>
        <n v="26288.755499999999"/>
        <n v="91250.25"/>
        <n v="32760"/>
        <n v="2512"/>
        <n v="139684"/>
        <n v="3150"/>
        <n v="2594.5500000000002"/>
        <n v="191646"/>
        <n v="50400"/>
        <n v="119571.06"/>
        <n v="32400"/>
        <n v="1091630.8800000001"/>
        <n v="195584.34"/>
        <n v="85455"/>
        <n v="48934"/>
        <n v="3500000"/>
        <n v="596913"/>
        <n v="216000"/>
        <n v="1344000"/>
        <n v="22318"/>
        <n v="940800"/>
        <n v="139031.20000000001"/>
        <n v="-4000000"/>
        <n v="1441947"/>
        <n v="411547.5"/>
        <n v="36345"/>
        <n v="4230"/>
        <n v="7043"/>
        <n v="292"/>
        <n v="2900"/>
        <n v="8400"/>
        <n v="1674"/>
        <n v="18865"/>
        <n v="34537"/>
        <n v="421713.07500000007"/>
        <n v="4409"/>
        <n v="359"/>
        <n v="67470"/>
        <n v="25000"/>
        <n v="34646"/>
        <n v="81590"/>
        <n v="0"/>
        <n v="160000"/>
        <n v="250000"/>
        <n v="69805"/>
        <n v="50000"/>
        <n v="336000"/>
        <n v="163600"/>
        <n v="120000"/>
        <n v="500000"/>
        <n v="178500"/>
        <n v="7470"/>
        <n v="52071"/>
        <n v="1778445.9000000001"/>
        <n v="298544.40000000002"/>
        <n v="12896"/>
      </sharedItems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8.84687523148" createdVersion="8" refreshedVersion="8" minRefreshableVersion="3" recordCount="150" xr:uid="{FE22FADB-2820-4DA2-A3A8-D81F3D96BB9B}">
  <cacheSource type="worksheet">
    <worksheetSource name="Financials202632"/>
  </cacheSource>
  <cacheFields count="76">
    <cacheField name="Transaction Type" numFmtId="0">
      <sharedItems count="6">
        <s v="Contract"/>
        <s v="event driven"/>
        <s v="Invoice Driven"/>
        <s v="Capitalization"/>
        <s v="Amortization"/>
        <s v="Committed to Ben"/>
      </sharedItems>
    </cacheField>
    <cacheField name="D365 Legal Vendor name" numFmtId="0">
      <sharedItems count="82">
        <s v="Microsoft Corporation"/>
        <s v="T&amp;E - Refer to 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General Office Expense - Refer to Concur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ommitted to Ben"/>
        <s v="CME Group"/>
      </sharedItems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 containsBlank="1"/>
    </cacheField>
    <cacheField name="Domain Owner" numFmtId="0">
      <sharedItems/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5">
        <s v="Non-Labor"/>
        <s v="Labor"/>
        <s v="Capitalization"/>
        <s v="Amortization"/>
        <s v="Committed to Ben"/>
      </sharedItems>
    </cacheField>
    <cacheField name="Sub-Category1" numFmtId="0">
      <sharedItems count="9">
        <s v="Software"/>
        <s v="OOE"/>
        <s v="MS"/>
        <s v="Infrastructure"/>
        <s v="Labor/ T&amp;M"/>
        <s v="FPC"/>
        <s v="Capitalization"/>
        <s v="Hardware"/>
        <s v="Committed to Ben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336504" maxValue="0"/>
    </cacheField>
    <cacheField name="2026 Risk" numFmtId="166">
      <sharedItems containsSemiMixedTypes="0" containsString="0" containsNumber="1" minValue="0" maxValue="456079.36999999918"/>
    </cacheField>
    <cacheField name="2026 Net Position" numFmtId="166">
      <sharedItems containsSemiMixedTypes="0" containsString="0" containsNumber="1" minValue="-336504" maxValue="456079.36999999918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500000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0">
      <sharedItems containsMixedTypes="1" containsNumber="1" minValue="-32500" maxValue="68155.81"/>
    </cacheField>
    <cacheField name="Feb Opp./Risk" numFmtId="166">
      <sharedItems containsSemiMixedTypes="0" containsString="0" containsNumber="1" minValue="-32500" maxValue="55922.8"/>
    </cacheField>
    <cacheField name="Mar Opp./Risk" numFmtId="166">
      <sharedItems containsSemiMixedTypes="0" containsString="0" containsNumber="1" minValue="-7111.1433333333371" maxValue="72920.559999999983"/>
    </cacheField>
    <cacheField name="Apr Opp./Risk" numFmtId="166">
      <sharedItems containsSemiMixedTypes="0" containsString="0" containsNumber="1" minValue="-500000" maxValue="31824"/>
    </cacheField>
    <cacheField name="May Opp./Risk" numFmtId="166">
      <sharedItems containsString="0" containsBlank="1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500000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ntainsBlank="1"/>
    </cacheField>
    <cacheField name="Program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x v="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x v="1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x v="2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x v="3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x v="4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x v="5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x v="6"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x v="7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x v="8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x v="9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x v="10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x v="11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x v="12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x v="13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x v="14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x v="15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x v="16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x v="17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x v="18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x v="19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x v="2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x v="21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x v="22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x v="23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x v="24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x v="25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x v="26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x v="27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x v="28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x v="29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x v="3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x v="31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x v="32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x v="33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x v="34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x v="35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x v="3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x v="36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x v="37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x v="38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x v="39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x v="40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x v="41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x v="42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x v="43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x v="44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x v="45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x v="46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x v="47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x v="48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x v="49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x v="50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x v="51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x v="52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x v="53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x v="54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x v="5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x v="56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x v="57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x v="58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x v="59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x v="60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x v="61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x v="62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x v="63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x v="6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x v="6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x v="66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x v="6"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x v="67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x v="68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x v="69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x v="70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x v="71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x v="7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x v="73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x v="74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x v="7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x v="76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x v="77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x v="78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x v="79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x v="80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x v="81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x v="82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x v="83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x v="84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x v="85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x v="86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x v="87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x v="88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x v="89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x v="90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x v="91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x v="92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x v="93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x v="94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x v="95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x v="96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x v="9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x v="98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x v="99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x v="10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x v="101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x v="10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x v="103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x v="104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x v="79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x v="105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x v="106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x v="10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x v="108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x v="1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x v="110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x v="111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x v="112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x v="113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x v="114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x v="115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x v="115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x v="116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x v="117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x v="118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x v="119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x v="12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x v="121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x v="122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x v="123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x v="115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x v="123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x v="124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x v="125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x v="3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x v="117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x v="3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x v="126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x v="3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x v="115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x v="127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x v="128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x v="115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x v="29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x v="115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x v="129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x v="115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x v="115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x v="115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x v="6"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x v="115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x v="0"/>
    <s v="Microsoft D365 F&amp;O and CRM"/>
    <s v="Prj000350"/>
    <s v="Support - Infrastructure for Tech"/>
    <s v="Infrastructure Services, Controls &amp; User Enablement"/>
    <s v="Danny Borkowski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s v="Software"/>
    <s v="Production Support &amp; Minor Enhancements"/>
  </r>
  <r>
    <x v="0"/>
    <x v="0"/>
    <s v="Microsoft D365 F&amp;O and CRM"/>
    <s v="Prj000350"/>
    <s v="Support - Infrastructure for Tech"/>
    <s v="Infrastructure Services, Controls &amp; User Enablement"/>
    <s v="Danny Borkowski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s v="Software"/>
    <s v="Production Support &amp; Minor Enhancements"/>
  </r>
  <r>
    <x v="1"/>
    <x v="1"/>
    <m/>
    <s v="Prj000266"/>
    <s v="Support - Internal Tech Workforce Activities"/>
    <s v="Cos, PMO &amp; Enterprise Technology"/>
    <s v="Melissa Tumminia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s v="Other Operating Expenses"/>
    <s v="Production Support &amp; Minor Enhancements"/>
  </r>
  <r>
    <x v="0"/>
    <x v="2"/>
    <m/>
    <s v="Prj000344"/>
    <s v="Support - Prod support for Finance Applications"/>
    <s v="Finance &amp; Treasury Technology"/>
    <s v="Devang Shah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s v="Labor Spend"/>
    <s v="Production Support &amp; Minor Enhancements"/>
  </r>
  <r>
    <x v="0"/>
    <x v="3"/>
    <s v="Control M"/>
    <s v="Prj000350"/>
    <s v="Support - Infrastructure for Tech"/>
    <s v="Infrastructure Services, Controls &amp; User Enablement"/>
    <s v="Danny Borkowski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s v="Software"/>
    <s v="Production Support &amp; Minor Enhancements"/>
  </r>
  <r>
    <x v="0"/>
    <x v="4"/>
    <m/>
    <s v="Prj000344"/>
    <s v="Support - Prod support for Finance Applications"/>
    <s v="Finance &amp; Treasury Technology"/>
    <s v="Devang Shah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s v="Software"/>
    <s v="Production Support &amp; Minor Enhancements"/>
  </r>
  <r>
    <x v="0"/>
    <x v="4"/>
    <m/>
    <s v="Prj000603"/>
    <s v="Implement - Cash Matching Recon Solution"/>
    <s v="Finance &amp; Treasury Technology"/>
    <s v="Devang Shah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s v="Software"/>
    <s v="Cash Matching &amp; Reconciliation"/>
  </r>
  <r>
    <x v="0"/>
    <x v="5"/>
    <s v="LevPro"/>
    <s v="Prj000290"/>
    <s v="Support - Asset Management Applications"/>
    <s v="Asset Management Tech"/>
    <s v="John Spencer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s v="Software"/>
    <s v="Production Support &amp; Minor Enhancements"/>
  </r>
  <r>
    <x v="0"/>
    <x v="6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74375"/>
    <n v="165100.70000000001"/>
    <n v="-9274.2999999999884"/>
    <n v="0"/>
    <n v="-9274.299999999988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s v="Infrastructure"/>
    <s v="Production Support &amp; Minor Enhancements"/>
  </r>
  <r>
    <x v="0"/>
    <x v="7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s v="Infrastructure"/>
    <s v="Production Support &amp; Minor Enhancements"/>
  </r>
  <r>
    <x v="0"/>
    <x v="8"/>
    <s v="Lumen"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s v="Infrastructure"/>
    <s v="Production Support &amp; Minor Enhancements"/>
  </r>
  <r>
    <x v="0"/>
    <x v="9"/>
    <m/>
    <s v="Prj000350"/>
    <s v="Support - Infrastructure for Tech"/>
    <s v="Infrastructure Services, Controls &amp; User Enablement"/>
    <s v="Danny Borkowski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s v="Infrastructure"/>
    <s v="Production Support &amp; Minor Enhancements"/>
  </r>
  <r>
    <x v="0"/>
    <x v="10"/>
    <m/>
    <s v="Prj000350"/>
    <s v="Support - Infrastructure for Tech"/>
    <s v="Infrastructure Services, Controls &amp; User Enablement"/>
    <s v="Danny Borkowski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s v="Infrastructure"/>
    <s v="Production Support &amp; Minor Enhancements"/>
  </r>
  <r>
    <x v="2"/>
    <x v="11"/>
    <m/>
    <s v="Prj000350"/>
    <s v="Support - Infrastructure for Tech"/>
    <s v="Infrastructure Services, Controls &amp; User Enablement"/>
    <s v="Danny Borkowski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s v="Infrastructure"/>
    <s v="Production Support &amp; Minor Enhancements"/>
  </r>
  <r>
    <x v="0"/>
    <x v="12"/>
    <m/>
    <s v="Prj000381"/>
    <s v="Support - Prod Support for Credit Apps"/>
    <s v="Credit Technology"/>
    <s v="Devang Shah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s v="Other Operating Expenses"/>
    <s v="Production Support &amp; Minor Enhancements"/>
  </r>
  <r>
    <x v="0"/>
    <x v="13"/>
    <m/>
    <s v="Prj000426"/>
    <s v="Implement - Minor Enhancements for Sales"/>
    <s v="Asset Management Technology &amp; Data Services"/>
    <s v="Erik Wynkoop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s v="Other Operating Expenses"/>
    <s v="Production Support &amp; Minor Enhancements"/>
  </r>
  <r>
    <x v="1"/>
    <x v="14"/>
    <s v="Sales VAT Tax"/>
    <s v="Prj000266"/>
    <s v="Support - Internal Tech Workforce Activities"/>
    <s v="Cos, PMO &amp; Enterprise Technology"/>
    <s v="Melissa Tumminia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s v="Other Operating Expenses"/>
    <s v="Production Support &amp; Minor Enhancements"/>
  </r>
  <r>
    <x v="1"/>
    <x v="15"/>
    <s v="Sales VAT Tax"/>
    <s v="Prj000266"/>
    <s v="Support - Internal Tech Workforce Activities"/>
    <s v="Cos, PMO &amp; Enterprise Technology"/>
    <s v="Melissa Tumminia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s v="Other Operating Expenses"/>
    <s v="Production Support &amp; Minor Enhancements"/>
  </r>
  <r>
    <x v="1"/>
    <x v="16"/>
    <s v="Nterone"/>
    <s v="Prj000266"/>
    <s v="Support - Internal Tech Workforce Activities"/>
    <s v="Cos, PMO &amp; Enterprise Technology"/>
    <s v="Melissa Tumminia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s v="Other Operating Expenses"/>
    <s v="Production Support &amp; Minor Enhancements"/>
  </r>
  <r>
    <x v="0"/>
    <x v="17"/>
    <m/>
    <s v="Prj000403"/>
    <s v="Support - L2 CoE Management for Tech Horizontals"/>
    <s v="Tech Shared Services"/>
    <s v="Dan Royer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s v="Labor Spend"/>
    <s v="Production Support &amp; Minor Enhancements"/>
  </r>
  <r>
    <x v="0"/>
    <x v="18"/>
    <m/>
    <s v="T&amp;M"/>
    <s v="T&amp;M"/>
    <s v=""/>
    <s v="Melissa Tumminia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s v="Labor Spend"/>
    <e v="#N/A"/>
  </r>
  <r>
    <x v="0"/>
    <x v="19"/>
    <s v="1Rivet"/>
    <s v="T&amp;M"/>
    <s v="T&amp;M"/>
    <s v=""/>
    <s v="Dan Royer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s v="Labor Spend"/>
    <e v="#N/A"/>
  </r>
  <r>
    <x v="0"/>
    <x v="19"/>
    <s v="1Rivet"/>
    <s v="T&amp;M"/>
    <s v="T&amp;M"/>
    <s v=""/>
    <s v="Danny Borkowski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s v="Labor Spend"/>
    <e v="#N/A"/>
  </r>
  <r>
    <x v="0"/>
    <x v="19"/>
    <s v="1Rivet"/>
    <s v="T&amp;M"/>
    <s v="T&amp;M"/>
    <s v=""/>
    <s v="Devang Shah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s v="Labor Spend"/>
    <e v="#N/A"/>
  </r>
  <r>
    <x v="0"/>
    <x v="19"/>
    <s v="1Rivet"/>
    <s v="T&amp;M"/>
    <s v="T&amp;M"/>
    <s v=""/>
    <s v="Melissa Tumminia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s v="Labor Spend"/>
    <e v="#N/A"/>
  </r>
  <r>
    <x v="0"/>
    <x v="20"/>
    <s v="Crossfuze"/>
    <s v="Prj000467"/>
    <s v="Support - Enterprise Tech Helpdesk"/>
    <s v="Tech Shared Services"/>
    <s v="Dan Royer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s v="Labor Spend"/>
    <s v="Production Support &amp; Minor Enhancements"/>
  </r>
  <r>
    <x v="0"/>
    <x v="17"/>
    <m/>
    <s v="Prj000404"/>
    <s v="Support - QA CoE Management for Tech Horizontals"/>
    <s v="Tech Shared Services"/>
    <s v="Erik Wynkoop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735000"/>
    <n v="735000"/>
    <n v="0"/>
    <n v="0"/>
    <n v="0"/>
    <s v="QA SOW FPC - [KA - Feb23] - Updated forecast from Mar to Dec based on the new contract that superseeded the original one"/>
    <n v="61250"/>
    <n v="61250"/>
    <n v="41750"/>
    <n v="54750"/>
    <n v="54750"/>
    <n v="54750"/>
    <n v="67750"/>
    <n v="80750"/>
    <n v="80750"/>
    <n v="80750"/>
    <n v="80750"/>
    <n v="80750"/>
    <n v="800000"/>
    <n v="526250"/>
    <n v="28750"/>
    <n v="28750"/>
    <n v="41750"/>
    <n v="54750"/>
    <m/>
    <m/>
    <m/>
    <m/>
    <m/>
    <m/>
    <m/>
    <m/>
    <n v="154000"/>
    <n v="-32500"/>
    <n v="-32500"/>
    <n v="0"/>
    <n v="0"/>
    <n v="-54750"/>
    <n v="-54750"/>
    <n v="-67750"/>
    <n v="-80750"/>
    <n v="-80750"/>
    <n v="-80750"/>
    <n v="-80750"/>
    <n v="-80750"/>
    <n v="-646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581000"/>
    <n v="273750"/>
    <n v="735000"/>
    <m/>
    <s v="Labor Spend"/>
    <s v="Production Support &amp; Minor Enhancements"/>
  </r>
  <r>
    <x v="0"/>
    <x v="17"/>
    <m/>
    <s v="T&amp;M"/>
    <s v="T&amp;M"/>
    <s v=""/>
    <s v="Dan Royer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s v="Labor Spend"/>
    <e v="#N/A"/>
  </r>
  <r>
    <x v="0"/>
    <x v="17"/>
    <m/>
    <s v="T&amp;M"/>
    <s v="T&amp;M"/>
    <s v=""/>
    <s v="Devang Shah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s v="Labor Spend"/>
    <e v="#N/A"/>
  </r>
  <r>
    <x v="0"/>
    <x v="17"/>
    <m/>
    <s v="T&amp;M"/>
    <s v="T&amp;M"/>
    <s v=""/>
    <s v="Erik Wynkoop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353000"/>
    <n v="321040"/>
    <n v="-31960"/>
    <n v="0"/>
    <n v="-31960"/>
    <s v="T&amp;M - [KA - Feb 23] - Forcast updated from Feb to Dec, based on Raymond's exit. This T&amp;M forecast is adjusted in the new QA contract. Adjusted monthly rate starting Apr based on Shanky's exit"/>
    <n v="29416.666666666668"/>
    <n v="24000"/>
    <n v="24000"/>
    <n v="24000"/>
    <n v="24000"/>
    <n v="24000"/>
    <n v="24000"/>
    <n v="24000"/>
    <n v="24000"/>
    <n v="24000"/>
    <n v="24000"/>
    <n v="24000"/>
    <n v="293416.66666666669"/>
    <n v="168000"/>
    <n v="44800"/>
    <n v="22800"/>
    <n v="26400"/>
    <n v="26400"/>
    <n v="32640"/>
    <m/>
    <m/>
    <m/>
    <m/>
    <m/>
    <m/>
    <m/>
    <n v="153040"/>
    <n v="15383.333333333332"/>
    <n v="-1200"/>
    <n v="2400"/>
    <n v="2400"/>
    <n v="8640"/>
    <n v="-24000"/>
    <n v="-24000"/>
    <n v="-24000"/>
    <n v="-24000"/>
    <n v="-24000"/>
    <n v="-24000"/>
    <n v="-24000"/>
    <n v="-140376.66666666669"/>
    <s v="Raymonds exit gave 26k T&amp;M oppurtunity since Feb but QA resources were hired at same cost, QA book work reallocation from L1/L2 support per new QA contract that superseded original."/>
    <n v="153040"/>
    <n v="0"/>
    <n v="168000"/>
    <n v="125416.66666666667"/>
    <n v="321040"/>
    <m/>
    <s v="Labor Spend"/>
    <e v="#N/A"/>
  </r>
  <r>
    <x v="0"/>
    <x v="17"/>
    <m/>
    <s v="T&amp;M"/>
    <s v="T&amp;M"/>
    <s v=""/>
    <s v="Melissa Tumminia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89280"/>
    <n v="84176"/>
    <n v="-5104"/>
    <n v="0"/>
    <n v="-5104"/>
    <s v="T&amp;M - [KA - Feb 23] - Forcast updated from Feb to Dec, based on Raymond's exit. This T&amp;M forecast is adjusted in the new QA contract. Adjusted monthly rate starting Apr based on Shanky's exit"/>
    <n v="7440"/>
    <n v="13440"/>
    <n v="13440"/>
    <n v="5440"/>
    <n v="5440"/>
    <n v="5440"/>
    <n v="5440"/>
    <n v="5440"/>
    <n v="5440"/>
    <n v="5440"/>
    <n v="5440"/>
    <n v="5440"/>
    <n v="83280"/>
    <n v="38080"/>
    <n v="11152"/>
    <n v="11296"/>
    <n v="13584"/>
    <n v="4624"/>
    <n v="5440"/>
    <m/>
    <m/>
    <m/>
    <m/>
    <m/>
    <m/>
    <m/>
    <n v="46096"/>
    <n v="3712"/>
    <n v="-2144"/>
    <n v="144"/>
    <n v="-816"/>
    <n v="0"/>
    <n v="-5440"/>
    <n v="-5440"/>
    <n v="-5440"/>
    <n v="-5440"/>
    <n v="-5440"/>
    <n v="-5440"/>
    <n v="-5440"/>
    <n v="-37184"/>
    <s v="Opp offset with 1Rivet risk (Swati replacinf Shanky) + Budget v/s Actuals"/>
    <n v="46096"/>
    <n v="0"/>
    <n v="38080"/>
    <n v="45200"/>
    <n v="84176"/>
    <m/>
    <s v="Labor Spend"/>
    <e v="#N/A"/>
  </r>
  <r>
    <x v="0"/>
    <x v="17"/>
    <m/>
    <s v="T&amp;M"/>
    <s v="T&amp;M"/>
    <s v=""/>
    <s v="Erik Wynkoop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s v="Labor Spend"/>
    <e v="#N/A"/>
  </r>
  <r>
    <x v="0"/>
    <x v="21"/>
    <m/>
    <s v="Prj000290"/>
    <s v="Support - Asset Management Applications"/>
    <s v="Asset Management Tech"/>
    <s v="John Spencer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s v="Software"/>
    <s v="Production Support &amp; Minor Enhancements"/>
  </r>
  <r>
    <x v="0"/>
    <x v="22"/>
    <s v="LIQ"/>
    <s v="Prj000469"/>
    <s v="Support - Prod Support for Ops Apps"/>
    <s v="Operations Technology"/>
    <s v="Devang Shah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s v="Software"/>
    <s v="Production Support &amp; Minor Enhancements"/>
  </r>
  <r>
    <x v="0"/>
    <x v="23"/>
    <s v="IVP"/>
    <s v="Prj000458"/>
    <s v="Support - Data Analytics Office"/>
    <s v="Enterprise Architecture, Data Analytics &amp; AI"/>
    <s v="Dan Royer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622593.4499999999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428592.45"/>
    <n v="0"/>
    <n v="622593.44999999995"/>
    <n v="428592.45"/>
    <n v="1051185.8999999999"/>
    <m/>
    <s v="Software"/>
    <s v="Production Support &amp; Minor Enhancements"/>
  </r>
  <r>
    <x v="0"/>
    <x v="23"/>
    <s v="IVP"/>
    <s v="Prj000548"/>
    <s v="Implement - Reporting for Internal Audit"/>
    <s v="Enterprise Architecture, Data Analytics &amp; AI"/>
    <s v="Dan Royer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s v="Software"/>
    <s v="Production Support &amp; Minor Enhancements"/>
  </r>
  <r>
    <x v="0"/>
    <x v="23"/>
    <s v="IVP"/>
    <s v="Prj000458"/>
    <s v="Support - Data Analytics Office"/>
    <s v="Enterprise Architecture, Data Analytics &amp; AI"/>
    <s v="Dan Royer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s v="Software"/>
    <s v="Production Support &amp; Minor Enhancements"/>
  </r>
  <r>
    <x v="0"/>
    <x v="24"/>
    <m/>
    <s v="Prj000446"/>
    <s v="Implement - Minor Enhancements for Enterprise Apps"/>
    <s v="Cos, PMO &amp; Enterprise Technology"/>
    <s v="Melissa Tumminia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s v="Software"/>
    <s v="Production Support &amp; Minor Enhancements"/>
  </r>
  <r>
    <x v="0"/>
    <x v="0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s v="Software"/>
    <s v="Production Support &amp; Minor Enhancements"/>
  </r>
  <r>
    <x v="0"/>
    <x v="0"/>
    <m/>
    <s v="Prj000342"/>
    <s v="Support - Site Reliability Engineering for Tech"/>
    <s v="Infrastructure Services, Controls &amp; User Enablement"/>
    <s v="Danny Borkowski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s v="Infrastructure"/>
    <s v="Production Support &amp; Minor Enhancements"/>
  </r>
  <r>
    <x v="0"/>
    <x v="25"/>
    <s v="SAI360"/>
    <s v="Prj000446"/>
    <s v="Implement - Minor Enhancements for Enterprise Apps"/>
    <s v="Cos, PMO &amp; Enterprise Technology"/>
    <s v="Melissa Tumminia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s v="Software"/>
    <s v="Production Support &amp; Minor Enhancements"/>
  </r>
  <r>
    <x v="0"/>
    <x v="6"/>
    <s v="CDW (b)"/>
    <s v="Prj000350"/>
    <s v="Support - Infrastructure for Tech"/>
    <s v="Infrastructure Services, Controls &amp; User Enablement"/>
    <s v="Danny Borkowski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s v="Software"/>
    <s v="Production Support &amp; Minor Enhancements"/>
  </r>
  <r>
    <x v="0"/>
    <x v="6"/>
    <s v="CDW (b)"/>
    <s v="Prj000350"/>
    <s v="Support - Infrastructure for Tech"/>
    <s v="Infrastructure Services, Controls &amp; User Enablement"/>
    <s v="Danny Borkowski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s v="Software"/>
    <s v="Production Support &amp; Minor Enhancements"/>
  </r>
  <r>
    <x v="0"/>
    <x v="6"/>
    <s v="CDW Microsoft (a)"/>
    <s v="Prj000342"/>
    <s v="Support - Site Reliability Engineering for Tech"/>
    <s v="Infrastructure Services, Controls &amp; User Enablement"/>
    <s v="Danny Borkowski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s v="Software"/>
    <s v="Production Support &amp; Minor Enhancements"/>
  </r>
  <r>
    <x v="0"/>
    <x v="6"/>
    <s v="CDW Microsoft (a)"/>
    <s v="Prj000358"/>
    <s v="Support - Security Operations for Cybersecurity"/>
    <s v="Infrastructure Services, Controls &amp; User Enablement"/>
    <s v="Danny Borkowski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s v="Software"/>
    <s v="Production Support &amp; Minor Enhancements"/>
  </r>
  <r>
    <x v="0"/>
    <x v="26"/>
    <s v="Cloud Navigator"/>
    <s v="Prj000403"/>
    <s v="Support - L2 CoE Management for Tech Horizontals"/>
    <s v="Tech Shared Services"/>
    <s v="Dan Royer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s v="Software"/>
    <s v="Production Support &amp; Minor Enhancements"/>
  </r>
  <r>
    <x v="0"/>
    <x v="27"/>
    <s v="FinDox is now Octus"/>
    <s v="Prj000290"/>
    <s v="Support - Asset Management Applications"/>
    <s v="Asset Management Tech"/>
    <s v="John Spencer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s v="Software"/>
    <s v="Production Support &amp; Minor Enhancements"/>
  </r>
  <r>
    <x v="0"/>
    <x v="28"/>
    <s v="AKA Enterprises"/>
    <s v="Prj000344"/>
    <s v="Support - Prod support for Finance Applications"/>
    <s v="Finance &amp; Treasury Technology"/>
    <s v="Devang Shah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s v="Software"/>
    <s v="Production Support &amp; Minor Enhancements"/>
  </r>
  <r>
    <x v="0"/>
    <x v="29"/>
    <s v="Ontra"/>
    <s v="Prj000446"/>
    <s v="Implement - Minor Enhancements for Enterprise Apps"/>
    <s v="Cos, PMO &amp; Enterprise Technology"/>
    <s v="Melissa Tumminia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s v="Software"/>
    <s v="Production Support &amp; Minor Enhancements"/>
  </r>
  <r>
    <x v="0"/>
    <x v="23"/>
    <s v="IVP"/>
    <s v="Prj000344"/>
    <s v="Support - Prod support for Finance Applications"/>
    <s v="Finance &amp; Treasury Technology"/>
    <s v="Devang Shah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101291"/>
    <n v="101291"/>
    <n v="0"/>
    <n v="0"/>
    <n v="0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s v="Software"/>
    <s v="Production Support &amp; Minor Enhancements"/>
  </r>
  <r>
    <x v="0"/>
    <x v="23"/>
    <s v="IVP"/>
    <s v="Prj000344"/>
    <s v="Support - Prod support for Finance Applications"/>
    <s v="Finance &amp; Treasury Technology"/>
    <s v="Devang Shah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s v="Software"/>
    <s v="Production Support &amp; Minor Enhancements"/>
  </r>
  <r>
    <x v="0"/>
    <x v="23"/>
    <s v="IVP"/>
    <s v="Prj000458"/>
    <s v="Support - Data Analytics Office"/>
    <s v="Enterprise Architecture, Data Analytics &amp; AI"/>
    <s v="Dan Royer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s v="Software"/>
    <s v="Production Support &amp; Minor Enhancements"/>
  </r>
  <r>
    <x v="0"/>
    <x v="30"/>
    <s v="Maplytics"/>
    <s v="Prj000427"/>
    <s v="Implement - Minor Enhancements for Marketing"/>
    <s v="Asset Management Technology &amp; Data Services"/>
    <s v="Erik Wynkoop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s v="Software"/>
    <s v="Production Support &amp; Minor Enhancements"/>
  </r>
  <r>
    <x v="0"/>
    <x v="31"/>
    <s v="Lucid Software"/>
    <s v="Prj000410"/>
    <s v="Support - Tech Enablement 2026"/>
    <s v="Infrastructure Services, Controls &amp; User Enablement"/>
    <s v="Danny Borkowski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s v="Software"/>
    <s v="Production Support &amp; Minor Enhancements"/>
  </r>
  <r>
    <x v="0"/>
    <x v="31"/>
    <s v="Lucid Software"/>
    <s v="Prj000410"/>
    <s v="Support - Tech Enablement 2026"/>
    <s v="Infrastructure Services, Controls &amp; User Enablement"/>
    <s v="Danny Borkowski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s v="Software"/>
    <s v="Production Support &amp; Minor Enhancements"/>
  </r>
  <r>
    <x v="0"/>
    <x v="32"/>
    <s v="Macabacus"/>
    <s v="Prj000344"/>
    <s v="Support - Prod support for Finance Applications"/>
    <s v="Finance &amp; Treasury Technology"/>
    <s v="Devang Shah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s v="Software"/>
    <s v="Production Support &amp; Minor Enhancements"/>
  </r>
  <r>
    <x v="0"/>
    <x v="32"/>
    <s v="Macabacus"/>
    <s v="Prj000344"/>
    <s v="Support - Prod support for Finance Applications"/>
    <s v="Finance &amp; Treasury Technology"/>
    <s v="Devang Shah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s v="Software"/>
    <s v="Production Support &amp; Minor Enhancements"/>
  </r>
  <r>
    <x v="0"/>
    <x v="0"/>
    <s v="TBD could be CDW Microsoft (a)"/>
    <s v="Prj000350"/>
    <s v="Support - Infrastructure for Tech"/>
    <s v="Infrastructure Services, Controls &amp; User Enablement"/>
    <s v="Danny Borkowski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s v="Software"/>
    <s v="Production Support &amp; Minor Enhancements"/>
  </r>
  <r>
    <x v="0"/>
    <x v="33"/>
    <s v="Monday.com"/>
    <s v="Prj000410"/>
    <s v="Support - Tech Enablement 2026"/>
    <s v="Infrastructure Services, Controls &amp; User Enablement"/>
    <s v="Danny Borkowski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s v="Software"/>
    <s v="Production Support &amp; Minor Enhancements"/>
  </r>
  <r>
    <x v="0"/>
    <x v="34"/>
    <s v="ServiceNow Liac"/>
    <s v="Prj000350"/>
    <s v="Support - Infrastructure for Tech"/>
    <s v="Infrastructure Services, Controls &amp; User Enablement"/>
    <s v="Danny Borkowski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s v="Software"/>
    <s v="Production Support &amp; Minor Enhancements"/>
  </r>
  <r>
    <x v="0"/>
    <x v="34"/>
    <s v="ServiceNow Liac"/>
    <s v="Prj000350"/>
    <s v="Support - Infrastructure for Tech"/>
    <s v="Infrastructure Services, Controls &amp; User Enablement"/>
    <s v="Danny Borkowski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m/>
    <m/>
    <m/>
    <m/>
    <m/>
    <m/>
    <m/>
    <m/>
    <m/>
    <n v="34875"/>
    <n v="34875"/>
    <n v="3487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4875"/>
    <n v="-34875"/>
    <m/>
    <n v="0"/>
    <n v="0"/>
    <n v="34875"/>
    <n v="0"/>
    <n v="34875"/>
    <m/>
    <s v="Software"/>
    <s v="Production Support &amp; Minor Enhancements"/>
  </r>
  <r>
    <x v="0"/>
    <x v="34"/>
    <s v="ServiceNow Liac"/>
    <s v="Prj000350"/>
    <s v="Support - Infrastructure for Tech"/>
    <s v="Infrastructure Services, Controls &amp; User Enablement"/>
    <s v="Danny Borkowski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s v="Software"/>
    <s v="Production Support &amp; Minor Enhancements"/>
  </r>
  <r>
    <x v="0"/>
    <x v="35"/>
    <s v="Oracle"/>
    <s v="Prj000469"/>
    <s v="Support - Prod Support for Ops Apps"/>
    <s v="Operations Technology"/>
    <s v="Devang Shah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s v="Software"/>
    <s v="Production Support &amp; Minor Enhancements"/>
  </r>
  <r>
    <x v="0"/>
    <x v="36"/>
    <s v="Responsive"/>
    <s v="Prj000446"/>
    <s v="Implement - Minor Enhancements for Enterprise Apps"/>
    <s v="Cos, PMO &amp; Enterprise Technology"/>
    <s v="Melissa Tumminia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s v="Software"/>
    <s v="Production Support &amp; Minor Enhancements"/>
  </r>
  <r>
    <x v="0"/>
    <x v="37"/>
    <s v="Salesforce"/>
    <s v="Prj000458"/>
    <s v="Support - Data Analytics Office"/>
    <s v="Enterprise Architecture, Data Analytics &amp; AI"/>
    <s v="Dan Royer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s v="Software"/>
    <s v="Production Support &amp; Minor Enhancements"/>
  </r>
  <r>
    <x v="0"/>
    <x v="38"/>
    <s v="Mendix"/>
    <s v="Prj000426"/>
    <s v="Implement - Minor Enhancements for Sales"/>
    <s v="Asset Management Technology &amp; Data Services"/>
    <s v="Erik Wynkoop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s v="Software"/>
    <s v="Production Support &amp; Minor Enhancements"/>
  </r>
  <r>
    <x v="0"/>
    <x v="39"/>
    <s v="Wealth Distribution Tool (Vendor TBD)"/>
    <s v="Prj000426"/>
    <s v="Implement - Minor Enhancements for Sales"/>
    <s v="Asset Management Technology &amp; Data Services"/>
    <s v="Erik Wynkoop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s v="Software"/>
    <s v="Production Support &amp; Minor Enhancements"/>
  </r>
  <r>
    <x v="0"/>
    <x v="40"/>
    <s v="Sonarsource"/>
    <s v="Prj000342"/>
    <s v="Support - Site Reliability Engineering for Tech"/>
    <s v="Infrastructure Services, Controls &amp; User Enablement"/>
    <s v="Danny Borkowski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s v="Software"/>
    <s v="Production Support &amp; Minor Enhancements"/>
  </r>
  <r>
    <x v="0"/>
    <x v="41"/>
    <s v="SHI"/>
    <s v="Prj000350"/>
    <s v="Support - Infrastructure for Tech"/>
    <s v="Infrastructure Services, Controls &amp; User Enablement"/>
    <s v="Danny Borkowski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s v="Software"/>
    <s v="Production Support &amp; Minor Enhancements"/>
  </r>
  <r>
    <x v="0"/>
    <x v="41"/>
    <s v="SHI"/>
    <s v="Prj000467"/>
    <s v="Support - Enterprise Tech Helpdesk"/>
    <s v="Tech Shared Services"/>
    <s v="Dan Royer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s v="Software"/>
    <s v="Production Support &amp; Minor Enhancements"/>
  </r>
  <r>
    <x v="0"/>
    <x v="41"/>
    <s v="SHI"/>
    <s v="Prj000548"/>
    <s v="Implement - Reporting for Internal Audit"/>
    <s v="Enterprise Architecture, Data Analytics &amp; AI"/>
    <s v="Dan Royer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s v="Software"/>
    <s v="Production Support &amp; Minor Enhancements"/>
  </r>
  <r>
    <x v="0"/>
    <x v="41"/>
    <s v="SHI"/>
    <s v="Prj000458"/>
    <s v="Support - Data Analytics Office"/>
    <s v="Enterprise Architecture, Data Analytics &amp; AI"/>
    <s v="Dan Royer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s v="Software"/>
    <s v="Production Support &amp; Minor Enhancements"/>
  </r>
  <r>
    <x v="0"/>
    <x v="17"/>
    <s v="Coforge UI Path"/>
    <s v="Prj000403"/>
    <s v="Support - L2 CoE Management for Tech Horizontals"/>
    <s v="Tech Shared Services"/>
    <s v="Dan Royer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s v="Software"/>
    <s v="Production Support &amp; Minor Enhancements"/>
  </r>
  <r>
    <x v="0"/>
    <x v="42"/>
    <s v="Smarsh"/>
    <s v="Prj000446"/>
    <s v="Implement - Minor Enhancements for Enterprise Apps"/>
    <s v="Cos, PMO &amp; Enterprise Technology"/>
    <s v="Melissa Tumminia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s v="Software"/>
    <s v="Production Support &amp; Minor Enhancements"/>
  </r>
  <r>
    <x v="0"/>
    <x v="5"/>
    <s v="LevPro"/>
    <s v="Prj000290"/>
    <s v="Support - Asset Management Applications"/>
    <s v="Asset Management Tech"/>
    <s v="John Spencer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45499.9"/>
    <n v="145499.31666666668"/>
    <n v="-0.58333333331393078"/>
    <n v="0"/>
    <n v="-0.58333333331393078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91332.650000000009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3416.666666666666"/>
    <n v="-13416.666666666666"/>
    <n v="-13416.666666666666"/>
    <n v="-13416.666666666666"/>
    <n v="-13416.666666666666"/>
    <n v="-13416.666666666666"/>
    <n v="-80495.900000000023"/>
    <m/>
    <n v="54166.666666666672"/>
    <n v="0"/>
    <n v="91332.650000000009"/>
    <n v="54163.250000000015"/>
    <n v="145499.31666666668"/>
    <m/>
    <s v="Software"/>
    <s v="Production Support &amp; Minor Enhancements"/>
  </r>
  <r>
    <x v="0"/>
    <x v="43"/>
    <s v="Digicert"/>
    <s v="Prj000350"/>
    <s v="Support - Infrastructure for Tech"/>
    <s v="Infrastructure Services, Controls &amp; User Enablement"/>
    <s v="Danny Borkowski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s v="Software"/>
    <s v="Production Support &amp; Minor Enhancements"/>
  </r>
  <r>
    <x v="0"/>
    <x v="44"/>
    <s v="DataDog"/>
    <s v="Prj000403"/>
    <s v="Support - L2 CoE Management for Tech Horizontals"/>
    <s v="Tech Shared Services"/>
    <s v="Dan Royer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s v="Software"/>
    <s v="Production Support &amp; Minor Enhancements"/>
  </r>
  <r>
    <x v="0"/>
    <x v="44"/>
    <s v="DataDog"/>
    <s v="Prj000403"/>
    <s v="Support - L2 CoE Management for Tech Horizontals"/>
    <s v="Tech Shared Services"/>
    <s v="Dan Royer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s v="Software"/>
    <s v="Production Support &amp; Minor Enhancements"/>
  </r>
  <r>
    <x v="0"/>
    <x v="45"/>
    <s v="ClickTime"/>
    <s v="Prj000266"/>
    <s v="Support - Internal Tech Workforce Activities"/>
    <s v="Cos, PMO &amp; Enterprise Technology"/>
    <s v="Melissa Tumminia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s v="Software"/>
    <s v="Production Support &amp; Minor Enhancements"/>
  </r>
  <r>
    <x v="0"/>
    <x v="6"/>
    <s v="Think-Cell"/>
    <s v="Prj000266"/>
    <s v="Support - Internal Tech Workforce Activities"/>
    <s v="Cos, PMO &amp; Enterprise Technology"/>
    <s v="Melissa Tumminia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8137"/>
    <n v="8136.97"/>
    <n v="-2.9999999999745341E-2"/>
    <n v="0"/>
    <n v="-2.9999999999745341E-2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s v="Software"/>
    <s v="Production Support &amp; Minor Enhancements"/>
  </r>
  <r>
    <x v="0"/>
    <x v="46"/>
    <s v="TIBCO Spotfire"/>
    <s v="Prj000458"/>
    <s v="Support - Data Analytics Office"/>
    <s v="Enterprise Architecture, Data Analytics &amp; AI"/>
    <s v="Dan Royer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s v="Software"/>
    <s v="Production Support &amp; Minor Enhancements"/>
  </r>
  <r>
    <x v="0"/>
    <x v="47"/>
    <s v="CloudFlare"/>
    <s v="Prj000446"/>
    <s v="Implement - Minor Enhancements for Enterprise Apps"/>
    <s v="Cos, PMO &amp; Enterprise Technology"/>
    <s v="Melissa Tumminia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s v="Software"/>
    <s v="Production Support &amp; Minor Enhancements"/>
  </r>
  <r>
    <x v="0"/>
    <x v="48"/>
    <s v="Litera"/>
    <s v="Prj000446"/>
    <s v="Implement - Minor Enhancements for Enterprise Apps"/>
    <s v="Cos, PMO &amp; Enterprise Technology"/>
    <s v="Melissa Tumminia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s v="Software"/>
    <s v="Production Support &amp; Minor Enhancements"/>
  </r>
  <r>
    <x v="0"/>
    <x v="49"/>
    <s v="Alation"/>
    <s v="Prj000458"/>
    <s v="Support - Data Analytics Office"/>
    <s v="Enterprise Architecture, Data Analytics &amp; AI"/>
    <s v="Dan Royer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s v="Software"/>
    <s v="Production Support &amp; Minor Enhancements"/>
  </r>
  <r>
    <x v="0"/>
    <x v="50"/>
    <s v="BoardVantage"/>
    <s v="Prj000446"/>
    <s v="Implement - Minor Enhancements for Enterprise Apps"/>
    <s v="Cos, PMO &amp; Enterprise Technology"/>
    <s v="Melissa Tumminia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s v="Software"/>
    <s v="Production Support &amp; Minor Enhancements"/>
  </r>
  <r>
    <x v="0"/>
    <x v="21"/>
    <m/>
    <s v="Prj000290"/>
    <s v="Support - Asset Management Applications"/>
    <s v="Asset Management Tech"/>
    <s v="John Spencer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s v="Software"/>
    <s v="Production Support &amp; Minor Enhancements"/>
  </r>
  <r>
    <x v="0"/>
    <x v="25"/>
    <s v="SAI360"/>
    <s v="Prj000446"/>
    <s v="Implement - Minor Enhancements for Enterprise Apps"/>
    <s v="Cos, PMO &amp; Enterprise Technology"/>
    <s v="Melissa Tumminia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s v="Labor Spend"/>
    <s v="Production Support &amp; Minor Enhancements"/>
  </r>
  <r>
    <x v="0"/>
    <x v="6"/>
    <m/>
    <s v="Prj000350"/>
    <s v="Support - Infrastructure for Tech"/>
    <s v="Infrastructure Services, Controls &amp; User Enablement"/>
    <s v="Danny Borkowski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s v="Software"/>
    <s v="Production Support &amp; Minor Enhancements"/>
  </r>
  <r>
    <x v="0"/>
    <x v="23"/>
    <s v="IVP"/>
    <s v="Prj000403"/>
    <s v="Support - L2 CoE Management for Tech Horizontals"/>
    <s v="Tech Shared Services"/>
    <s v="Dan Royer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1940.34"/>
    <n v="191940"/>
    <n v="-0.33999999999650754"/>
    <n v="0"/>
    <n v="-0.33999999999650754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s v="Labor Spend"/>
    <s v="Production Support &amp; Minor Enhancements"/>
  </r>
  <r>
    <x v="0"/>
    <x v="23"/>
    <s v="IVP"/>
    <s v="Prj000403"/>
    <s v="Support - L2 CoE Management for Tech Horizontals"/>
    <s v="Tech Shared Services"/>
    <s v="Dan Royer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s v="Labor Spend"/>
    <s v="Production Support &amp; Minor Enhancements"/>
  </r>
  <r>
    <x v="0"/>
    <x v="51"/>
    <m/>
    <s v="Prj000446"/>
    <s v="Implement - Minor Enhancements for Enterprise Apps"/>
    <s v="Cos, PMO &amp; Enterprise Technology"/>
    <s v="Melissa Tumminia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s v="Software"/>
    <s v="Production Support &amp; Minor Enhancements"/>
  </r>
  <r>
    <x v="0"/>
    <x v="52"/>
    <s v="S&amp;P Global"/>
    <s v="Prj000469"/>
    <s v="Support - Prod Support for Ops Apps"/>
    <s v="Operations Technology"/>
    <s v="Devang Shah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s v="Software"/>
    <s v="Production Support &amp; Minor Enhancements"/>
  </r>
  <r>
    <x v="0"/>
    <x v="0"/>
    <m/>
    <s v="Prj000350"/>
    <s v="Support - Infrastructure for Tech"/>
    <s v="Infrastructure Services, Controls &amp; User Enablement"/>
    <s v="Danny Borkowski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s v="Software"/>
    <s v="Production Support &amp; Minor Enhancements"/>
  </r>
  <r>
    <x v="0"/>
    <x v="23"/>
    <s v="IVP"/>
    <s v="T&amp;M"/>
    <s v="T&amp;M"/>
    <s v="Infra Svcs &amp; User Enblt Tech"/>
    <s v="Dan Royer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488400"/>
    <n v="488400"/>
    <n v="0"/>
    <n v="0"/>
    <n v="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s v="Labor Spend"/>
    <e v="#N/A"/>
  </r>
  <r>
    <x v="0"/>
    <x v="23"/>
    <s v="IVP"/>
    <s v="Prj000472"/>
    <s v="Implement - Build Pipes from CORE Systems to IVP"/>
    <s v="Enterprise Architecture, Data Analytics &amp; AI"/>
    <s v="Dan Royer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070496"/>
    <n v="960000"/>
    <n v="-110496"/>
    <n v="0"/>
    <n v="-110496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s v="Labor Spend"/>
    <s v="Enterprise Data Governance &amp; Quality"/>
  </r>
  <r>
    <x v="0"/>
    <x v="3"/>
    <s v="Control M"/>
    <s v="Prj000350"/>
    <s v="Support - Infrastructure for Tech"/>
    <s v="Infrastructure Services, Controls &amp; User Enablement"/>
    <s v="Danny Borkowski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s v="Software"/>
    <s v="Production Support &amp; Minor Enhancements"/>
  </r>
  <r>
    <x v="0"/>
    <x v="53"/>
    <s v="Intellibus"/>
    <s v="T&amp;M"/>
    <s v="T&amp;M"/>
    <s v="Infra Svcs &amp; User Enblt Tech"/>
    <s v="Dan Royer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s v="Labor Spend"/>
    <e v="#N/A"/>
  </r>
  <r>
    <x v="0"/>
    <x v="54"/>
    <m/>
    <s v="Prj000446"/>
    <s v="Implement - Minor Enhancements for Enterprise Apps"/>
    <s v="Cos, PMO &amp; Enterprise Technology"/>
    <s v="Melissa Tumminia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s v="Software"/>
    <s v="Production Support &amp; Minor Enhancements"/>
  </r>
  <r>
    <x v="3"/>
    <x v="55"/>
    <m/>
    <s v="N/A"/>
    <s v="N/A"/>
    <s v="N/A"/>
    <s v="N/A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s v="Capitalisation"/>
    <e v="#N/A"/>
  </r>
  <r>
    <x v="4"/>
    <x v="56"/>
    <m/>
    <s v="Amortization"/>
    <s v="N/A"/>
    <s v="N/A"/>
    <s v="N/A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s v="Other Operating Expenses"/>
    <e v="#N/A"/>
  </r>
  <r>
    <x v="0"/>
    <x v="57"/>
    <m/>
    <s v="Prj000381"/>
    <s v="Support - Prod Support for Credit Apps"/>
    <s v="Credit Technology"/>
    <s v="Devang Shah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s v="Software"/>
    <s v="Production Support &amp; Minor Enhancements"/>
  </r>
  <r>
    <x v="0"/>
    <x v="58"/>
    <s v="ACC Business"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s v="Infrastructure"/>
    <s v="Production Support &amp; Minor Enhancements"/>
  </r>
  <r>
    <x v="0"/>
    <x v="59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s v="Infrastructure"/>
    <s v="Production Support &amp; Minor Enhancements"/>
  </r>
  <r>
    <x v="0"/>
    <x v="60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s v="Infrastructure"/>
    <s v="Production Support &amp; Minor Enhancements"/>
  </r>
  <r>
    <x v="2"/>
    <x v="61"/>
    <m/>
    <s v="Prj000266"/>
    <s v="Support - Internal Tech Workforce Activities"/>
    <s v="Cos, PMO &amp; Enterprise Technology"/>
    <s v="Melissa Tumminia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s v="Infrastructure"/>
    <s v="Production Support &amp; Minor Enhancements"/>
  </r>
  <r>
    <x v="1"/>
    <x v="62"/>
    <m/>
    <s v="Prj000266"/>
    <s v="Support - Internal Tech Workforce Activities"/>
    <s v="Cos, PMO &amp; Enterprise Technology"/>
    <s v="Melissa Tumminia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s v="Infrastructure"/>
    <s v="Production Support &amp; Minor Enhancements"/>
  </r>
  <r>
    <x v="0"/>
    <x v="63"/>
    <m/>
    <s v="Prj000469"/>
    <s v="Support - Prod Support for Ops Apps"/>
    <s v="Operations Technology"/>
    <s v="Devang Shah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s v="Other Operating Expenses"/>
    <s v="Production Support &amp; Minor Enhancements"/>
  </r>
  <r>
    <x v="0"/>
    <x v="64"/>
    <m/>
    <s v="Prj000350"/>
    <s v="Support - Infrastructure for Tech"/>
    <s v="Infrastructure Services, Controls &amp; User Enablement"/>
    <s v="Danny Borkowski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s v="Infrastructure"/>
    <s v="Production Support &amp; Minor Enhancements"/>
  </r>
  <r>
    <x v="2"/>
    <x v="65"/>
    <m/>
    <s v="Prj000350"/>
    <s v="Support - Infrastructure for Tech"/>
    <s v="Infrastructure Services, Controls &amp; User Enablement"/>
    <s v="Danny Borkowski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s v="Infrastructure"/>
    <s v="Production Support &amp; Minor Enhancements"/>
  </r>
  <r>
    <x v="2"/>
    <x v="66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s v="Infrastructure"/>
    <s v="Production Support &amp; Minor Enhancements"/>
  </r>
  <r>
    <x v="2"/>
    <x v="67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s v="Infrastructure"/>
    <s v="Production Support &amp; Minor Enhancements"/>
  </r>
  <r>
    <x v="2"/>
    <x v="68"/>
    <m/>
    <s v="Prj000350"/>
    <s v="Support - Infrastructure for Tech"/>
    <s v="Infrastructure Services, Controls &amp; User Enablement"/>
    <s v="Danny Borkowski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s v="Infrastructure"/>
    <s v="Production Support &amp; Minor Enhancements"/>
  </r>
  <r>
    <x v="0"/>
    <x v="69"/>
    <m/>
    <s v="Prj000469"/>
    <s v="Support - Prod Support for Ops Apps"/>
    <s v="Operations Technology"/>
    <s v="Devang Shah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s v="Other Operating Expenses"/>
    <s v="Production Support &amp; Minor Enhancements"/>
  </r>
  <r>
    <x v="0"/>
    <x v="70"/>
    <m/>
    <s v="Prj000290"/>
    <s v="Support - Asset Management Applications"/>
    <s v="Asset Management Tech"/>
    <s v="John Spencer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s v="Other Operating Expenses"/>
    <s v="Production Support &amp; Minor Enhancements"/>
  </r>
  <r>
    <x v="0"/>
    <x v="71"/>
    <s v="LSEG / Refinitive"/>
    <s v="Prj000469"/>
    <s v="Support - Prod Support for Ops Apps"/>
    <s v="Operations Technology"/>
    <s v="Devang Shah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s v="Other Operating Expenses"/>
    <s v="Production Support &amp; Minor Enhancements"/>
  </r>
  <r>
    <x v="0"/>
    <x v="72"/>
    <m/>
    <s v="Prj000469"/>
    <s v="Support - Prod Support for Ops Apps"/>
    <s v="Operations Technology"/>
    <s v="Devang Shah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s v="Other Operating Expenses"/>
    <s v="Production Support &amp; Minor Enhancements"/>
  </r>
  <r>
    <x v="2"/>
    <x v="6"/>
    <m/>
    <s v="Prj000350"/>
    <s v="Support - Infrastructure for Tech"/>
    <s v="Infrastructure Services, Controls &amp; User Enablement"/>
    <s v="Danny Borkowski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s v="Infrastructure"/>
    <s v="Production Support &amp; Minor Enhancements"/>
  </r>
  <r>
    <x v="0"/>
    <x v="41"/>
    <s v="SHI"/>
    <s v="Prj000350"/>
    <s v="Support - Infrastructure for Tech"/>
    <s v="Infrastructure Services, Controls &amp; User Enablement"/>
    <s v="Danny Borkowski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s v="Infrastructure"/>
    <s v="Production Support &amp; Minor Enhancements"/>
  </r>
  <r>
    <x v="0"/>
    <x v="41"/>
    <s v="SHI"/>
    <s v="Prj000350"/>
    <s v="Support - Infrastructure for Tech"/>
    <s v="Infrastructure Services, Controls &amp; User Enablement"/>
    <s v="Danny Borkowski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s v="Infrastructure"/>
    <s v="Production Support &amp; Minor Enhancements"/>
  </r>
  <r>
    <x v="2"/>
    <x v="41"/>
    <s v="SHI"/>
    <s v="Prj000467"/>
    <s v="Support - Enterprise Tech Helpdesk"/>
    <s v="Tech Shared Services"/>
    <s v="Dan Royer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s v="Infrastructure"/>
    <s v="Production Support &amp; Minor Enhancements"/>
  </r>
  <r>
    <x v="0"/>
    <x v="73"/>
    <m/>
    <s v="Prj000228"/>
    <s v="Implement - Portfolio Optimization Tool for LC"/>
    <s v="Asset Management Tech"/>
    <s v="John Spencer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s v="Software"/>
    <e v="#N/A"/>
  </r>
  <r>
    <x v="0"/>
    <x v="17"/>
    <m/>
    <s v="Prj000556"/>
    <s v="Implement - QA CoE to Additional Platforms"/>
    <s v="Tech Shared Services"/>
    <s v="Erik Wynkoop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0"/>
    <n v="0"/>
    <n v="0"/>
    <n v="0"/>
    <n v="0"/>
    <s v="New 2026 BoW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s v="Labor Spend"/>
    <s v="Tech Mandatory"/>
  </r>
  <r>
    <x v="0"/>
    <x v="17"/>
    <m/>
    <s v="Prj000353"/>
    <s v="Implement - L1/L2 CoE for Additional Platforms"/>
    <s v="Tech Shared Services"/>
    <s v="Dan Royer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0"/>
    <n v="0"/>
    <n v="0"/>
    <n v="0"/>
    <n v="0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s v="Labor Spend"/>
    <s v="Tech Mandatory"/>
  </r>
  <r>
    <x v="0"/>
    <x v="22"/>
    <s v="LIQ"/>
    <s v="Prj000489"/>
    <s v="Implement - Strategic Modules for LIQ"/>
    <s v="Operations Technology"/>
    <s v="Devang Shah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0"/>
    <n v="0"/>
    <n v="0"/>
    <n v="0"/>
    <n v="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s v="Labor Spend"/>
    <s v="Cash Matching &amp; Reconciliation"/>
  </r>
  <r>
    <x v="0"/>
    <x v="52"/>
    <s v="S&amp;P Global"/>
    <s v="Prj000482"/>
    <s v="Implement - WSO Own Instance (AM)"/>
    <s v="Operations Technology"/>
    <s v="Devang Shah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s v="Labor Spend"/>
    <s v="WSO Platform Modernization"/>
  </r>
  <r>
    <x v="0"/>
    <x v="52"/>
    <s v="S&amp;P Global"/>
    <s v="Prj000482"/>
    <s v="Implement - WSO Own Instance (AM)"/>
    <s v="Operations Technology"/>
    <s v="Devang Shah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s v="Labor Spend"/>
    <s v="WSO Platform Modernization"/>
  </r>
  <r>
    <x v="0"/>
    <x v="23"/>
    <m/>
    <s v="Prj000482"/>
    <s v="Implement - WSO Own Instance (AM)"/>
    <s v="Operations Technology"/>
    <s v="Devang Shah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s v="Labor Spend"/>
    <s v="WSO Platform Modernization"/>
  </r>
  <r>
    <x v="0"/>
    <x v="52"/>
    <s v="S&amp;P Global"/>
    <s v="Prj000211"/>
    <s v="Implement - WSO Balance Sheet Mig &amp; Reporting"/>
    <s v="Operations Technology"/>
    <s v="Devang Shah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0"/>
    <n v="0"/>
    <n v="0"/>
    <n v="0"/>
    <n v="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s v="Labor Spend"/>
    <s v="WSO Platform Modernization"/>
  </r>
  <r>
    <x v="0"/>
    <x v="23"/>
    <s v="IVP"/>
    <s v="Prj000477"/>
    <s v="Implement - Odyssey Reporting &amp; Exception Mgmt"/>
    <s v="Enterprise Architecture, Data Analytics &amp; AI"/>
    <s v="Dan Royer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s v="Labor Spend"/>
    <s v="Enterprise Data Governance &amp; Quality"/>
  </r>
  <r>
    <x v="0"/>
    <x v="23"/>
    <s v="IVP"/>
    <s v="Prj000548"/>
    <s v="Implement - Reporting for Internal Audit"/>
    <s v="Enterprise Architecture, Data Analytics &amp; AI"/>
    <s v="Dan Royer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0"/>
    <n v="0"/>
    <n v="0"/>
    <n v="0"/>
    <n v="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s v="Labor Spend"/>
    <s v="Production Support &amp; Minor Enhancements"/>
  </r>
  <r>
    <x v="0"/>
    <x v="34"/>
    <s v="ServiceNow Liac"/>
    <s v="Prj000447"/>
    <s v="Implement - Minor Enhancements SNOW - Phase 2"/>
    <s v="Infrastructure Services, Controls &amp; User Enablement"/>
    <s v="Danny Borkowski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8499.56"/>
    <n v="-0.44000000000232831"/>
    <n v="0"/>
    <n v="-0.44000000000232831"/>
    <s v="Monthly SOW"/>
    <n v="29028.26"/>
    <n v="29028.26"/>
    <n v="29028.26"/>
    <n v="29028.26"/>
    <n v="29028.26"/>
    <n v="29028.26"/>
    <m/>
    <m/>
    <m/>
    <m/>
    <m/>
    <n v="4330"/>
    <n v="178499.56"/>
    <n v="33358.259999999995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-4330"/>
    <n v="-4330"/>
    <s v="Budget v/s Actuals"/>
    <n v="145141.29999999999"/>
    <n v="0"/>
    <n v="33358.259999999995"/>
    <n v="145141.29999999999"/>
    <n v="178499.56"/>
    <m/>
    <s v="Labor Spend"/>
    <s v="Production Support &amp; Minor Enhancements"/>
  </r>
  <r>
    <x v="0"/>
    <x v="37"/>
    <s v="Salesforce"/>
    <s v="Prj000476"/>
    <s v="Implement - Reporting to Support DGC"/>
    <s v="Enterprise Architecture, Data Analytics &amp; AI"/>
    <s v="Dan Royer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s v="Software"/>
    <s v="Enterprise Data Governance &amp; Quality"/>
  </r>
  <r>
    <x v="0"/>
    <x v="23"/>
    <s v="IVP"/>
    <s v="Prj000402"/>
    <s v="Implement - Minor Enhancements for Data Services"/>
    <s v="Asset Management Technology &amp; Data Services"/>
    <s v="Erik Wynkoop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s v="Labor Spend"/>
    <s v="Production Support &amp; Minor Enhancements"/>
  </r>
  <r>
    <x v="0"/>
    <x v="74"/>
    <m/>
    <s v="Prj000278"/>
    <s v="Implement - Fund Acctn Modules to Support BS Transition"/>
    <s v="Finance &amp; Treasury Technology"/>
    <s v="Devang Shah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150000"/>
    <n v="150000"/>
    <n v="0"/>
    <n v="0"/>
    <n v="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s v="Labor Spend"/>
    <s v="Investor Reporting &amp; Insights"/>
  </r>
  <r>
    <x v="0"/>
    <x v="75"/>
    <m/>
    <s v="Prj000296"/>
    <s v="Support - PMO Governance &amp; Reporting Activities"/>
    <s v="Cos, PMO &amp; Enterprise Technology"/>
    <s v="Melissa Tumminia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s v="Software"/>
    <s v="Production Support &amp; Minor Enhancements"/>
  </r>
  <r>
    <x v="0"/>
    <x v="17"/>
    <m/>
    <s v="Prj000353"/>
    <s v="Implement - L1/L2 CoE for Additional Platforms"/>
    <s v="Tech Shared Services"/>
    <s v="Dan Royer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21276"/>
    <n v="0"/>
    <n v="-21276"/>
    <n v="0"/>
    <n v="-21276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s v="Labor Spend"/>
    <s v="Tech Mandatory"/>
  </r>
  <r>
    <x v="0"/>
    <x v="17"/>
    <m/>
    <s v="Prj000296"/>
    <s v="Support - PMO Governance &amp; Reporting Activities"/>
    <s v="Cos, PMO &amp; Enterprise Technology"/>
    <s v="Melissa Tumminia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0"/>
    <n v="0"/>
    <n v="0"/>
    <n v="0"/>
    <n v="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s v="Labor Spend"/>
    <s v="Production Support &amp; Minor Enhancements"/>
  </r>
  <r>
    <x v="0"/>
    <x v="6"/>
    <m/>
    <s v="Prj000350"/>
    <s v="Support - Infrastructure for Tech"/>
    <s v="Infrastructure Services, Controls &amp; User Enablement"/>
    <s v="Danny Borkowski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s v="Infrastructure"/>
    <s v="Production Support &amp; Minor Enhancements"/>
  </r>
  <r>
    <x v="0"/>
    <x v="76"/>
    <m/>
    <s v="Prj000381"/>
    <s v="Support - Prod Support for Credit Apps"/>
    <s v="Credit Technology"/>
    <s v="Devang Shah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s v="Software"/>
    <s v="Production Support &amp; Minor Enhancements"/>
  </r>
  <r>
    <x v="0"/>
    <x v="77"/>
    <s v="OneStream"/>
    <s v="Prj000344"/>
    <s v="Support - Prod support for Finance Applications"/>
    <s v="Finance &amp; Treasury Technology"/>
    <s v="Devang Shah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s v="Software"/>
    <s v="Production Support &amp; Minor Enhancements"/>
  </r>
  <r>
    <x v="0"/>
    <x v="52"/>
    <s v="S&amp;P Global/ WSO"/>
    <s v="Prj000469"/>
    <s v="Support - Prod Support for Ops Apps"/>
    <s v="Operations Technology"/>
    <s v="Devang Shah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0"/>
    <n v="0"/>
    <n v="0"/>
    <n v="0"/>
    <n v="0"/>
    <m/>
    <s v="Software"/>
    <s v="Production Support &amp; Minor Enhancements"/>
  </r>
  <r>
    <x v="0"/>
    <x v="53"/>
    <s v="Intellibus"/>
    <s v="T&amp;M"/>
    <s v="T&amp;M"/>
    <s v="Infra Svcs &amp; User Enblt Tech"/>
    <s v="Dan Royer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s v="Labor Spend"/>
    <e v="#N/A"/>
  </r>
  <r>
    <x v="0"/>
    <x v="23"/>
    <s v="IVP"/>
    <s v="T&amp;M"/>
    <s v="T&amp;M"/>
    <s v="Infra Svcs &amp; User Enblt Tech"/>
    <s v="Dan Royer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1557600"/>
    <n v="1557600"/>
    <n v="0"/>
    <n v="0"/>
    <n v="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s v="Labor Spend"/>
    <e v="#N/A"/>
  </r>
  <r>
    <x v="0"/>
    <x v="74"/>
    <m/>
    <s v="Prj000296"/>
    <s v="Support - PMO Governance &amp; Reporting Activities"/>
    <s v="Cos, PMO &amp; Enterprise Technology"/>
    <s v="Melissa Tumminia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642"/>
    <n v="0"/>
    <n v="-642"/>
    <n v="0"/>
    <n v="-642"/>
    <s v="Hard Opportunity- Variance from OneStream Budget vs IT Budget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0"/>
    <n v="0"/>
    <n v="0"/>
    <m/>
    <s v="Labor Spend"/>
    <s v="Production Support &amp; Minor Enhancements"/>
  </r>
  <r>
    <x v="0"/>
    <x v="19"/>
    <s v="1Rivet"/>
    <s v="T&amp;M"/>
    <s v="T&amp;M"/>
    <s v=""/>
    <s v="Melissa Tumminia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72000"/>
    <n v="69325"/>
    <n v="-2675"/>
    <n v="0"/>
    <n v="-267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s v="Labor Spend"/>
    <e v="#N/A"/>
  </r>
  <r>
    <x v="0"/>
    <x v="19"/>
    <s v="1Rivet"/>
    <s v="T&amp;M"/>
    <s v="T&amp;M"/>
    <s v=""/>
    <s v="Danny Borkowski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s v="Labor Spend"/>
    <e v="#N/A"/>
  </r>
  <r>
    <x v="0"/>
    <x v="78"/>
    <s v="Nore"/>
    <s v="Prj000469"/>
    <s v="Support - Prod Support for Ops Apps"/>
    <s v="Operations Technology"/>
    <s v="Devang Shah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s v="Other Operating Expenses"/>
    <s v="Production Support &amp; Minor Enhancements"/>
  </r>
  <r>
    <x v="0"/>
    <x v="79"/>
    <m/>
    <s v="T&amp;M"/>
    <s v="T&amp;M"/>
    <m/>
    <s v="Danny Borkowski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s v="Labor Spend"/>
    <e v="#N/A"/>
  </r>
  <r>
    <x v="5"/>
    <x v="80"/>
    <m/>
    <s v="N/A"/>
    <s v="N/A"/>
    <s v="N/A"/>
    <s v="N/A"/>
    <m/>
    <m/>
    <m/>
    <s v="N/A-N/A"/>
    <x v="4"/>
    <x v="8"/>
    <s v="N/A"/>
    <s v="N/A"/>
    <s v="N/A"/>
    <s v="N/A"/>
    <s v="N/A"/>
    <s v="N/A"/>
    <n v="0"/>
    <n v="0"/>
    <n v="-500000"/>
    <n v="-500000"/>
    <n v="0"/>
    <n v="0"/>
    <n v="0"/>
    <s v="Management cap on Capitalized Software"/>
    <m/>
    <m/>
    <m/>
    <m/>
    <m/>
    <m/>
    <m/>
    <m/>
    <m/>
    <m/>
    <m/>
    <n v="-500000"/>
    <n v="-500000"/>
    <n v="-500000"/>
    <m/>
    <m/>
    <m/>
    <m/>
    <m/>
    <m/>
    <m/>
    <m/>
    <m/>
    <m/>
    <m/>
    <m/>
    <n v="0"/>
    <s v="Leon's commited $500K to Ben"/>
    <n v="0"/>
    <n v="0"/>
    <n v="-500000"/>
    <m/>
    <n v="0"/>
    <n v="0"/>
    <n v="0"/>
    <n v="0"/>
    <n v="0"/>
    <n v="0"/>
    <n v="500000"/>
    <n v="0"/>
    <m/>
    <n v="0"/>
    <n v="0"/>
    <n v="-500000"/>
    <n v="0"/>
    <n v="-500000"/>
    <m/>
    <m/>
    <m/>
  </r>
  <r>
    <x v="0"/>
    <x v="81"/>
    <m/>
    <s v="Prj000469"/>
    <s v="Support - Prod Support for Ops Apps"/>
    <s v="Operations Technology"/>
    <s v="Devang Shah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s v="Software"/>
    <s v="Production Support &amp; Minor Enhancement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C37F6C-944A-4C7B-99B5-E0DB69C4D11C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7">
        <item x="4"/>
        <item h="1" x="3"/>
        <item x="0"/>
        <item x="1"/>
        <item x="2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h="1" x="6"/>
        <item x="5"/>
        <item x="7"/>
        <item x="3"/>
        <item x="4"/>
        <item x="2"/>
        <item x="1"/>
        <item x="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08">
      <pivotArea outline="0" collapsedLevelsAreSubtotals="1" fieldPosition="0"/>
    </format>
    <format dxfId="107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0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6">
      <pivotArea field="6" type="button" dataOnly="0" labelOnly="1" outline="0" axis="axisRow" fieldPosition="0"/>
    </format>
    <format dxfId="115">
      <pivotArea field="12" type="button" dataOnly="0" labelOnly="1" outline="0" axis="axisRow" fieldPosition="1"/>
    </format>
    <format dxfId="1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3">
      <pivotArea field="6" type="button" dataOnly="0" labelOnly="1" outline="0" axis="axisRow" fieldPosition="0"/>
    </format>
    <format dxfId="112">
      <pivotArea field="12" type="button" dataOnly="0" labelOnly="1" outline="0" axis="axisRow" fieldPosition="1"/>
    </format>
    <format dxfId="1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0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778159-F9D0-4419-A640-84BD40E52B14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12" firstHeaderRow="0" firstDataRow="1" firstDataCol="1" rowPageCount="1" colPageCount="1"/>
  <pivotFields count="76">
    <pivotField axis="axisPage" multipleItemSelectionAllowed="1" showAll="0">
      <items count="7">
        <item h="1" x="4"/>
        <item h="1" x="3"/>
        <item x="0"/>
        <item x="1"/>
        <item x="2"/>
        <item h="1" x="5"/>
        <item t="default"/>
      </items>
    </pivotField>
    <pivotField axis="axisRow" showAll="0">
      <items count="83">
        <item h="1" x="74"/>
        <item h="1" x="49"/>
        <item h="1" x="76"/>
        <item h="1" x="61"/>
        <item h="1" x="56"/>
        <item h="1" x="19"/>
        <item h="1" x="2"/>
        <item h="1" x="69"/>
        <item h="1" x="58"/>
        <item h="1" x="59"/>
        <item h="1" x="9"/>
        <item h="1" x="12"/>
        <item h="1" x="21"/>
        <item h="1" x="50"/>
        <item h="1" x="25"/>
        <item h="1" x="6"/>
        <item h="1" x="65"/>
        <item h="1" x="14"/>
        <item h="1" x="45"/>
        <item h="1" x="26"/>
        <item h="1" x="46"/>
        <item h="1" x="47"/>
        <item h="1" x="81"/>
        <item h="1" x="17"/>
        <item h="1" x="60"/>
        <item h="1" x="7"/>
        <item h="1" x="18"/>
        <item h="1" x="44"/>
        <item h="1" x="43"/>
        <item h="1" x="51"/>
        <item h="1" x="22"/>
        <item h="1" x="27"/>
        <item h="1" x="70"/>
        <item h="1" x="4"/>
        <item h="1" x="62"/>
        <item h="1" x="28"/>
        <item h="1" x="63"/>
        <item h="1" x="29"/>
        <item x="23"/>
        <item h="1" x="30"/>
        <item h="1" x="53"/>
        <item h="1" x="66"/>
        <item h="1" x="8"/>
        <item h="1" x="48"/>
        <item h="1" x="67"/>
        <item h="1" x="31"/>
        <item h="1" x="32"/>
        <item h="1" x="52"/>
        <item h="1" x="0"/>
        <item h="1" x="33"/>
        <item h="1" x="15"/>
        <item h="1" x="34"/>
        <item h="1" x="78"/>
        <item h="1" x="16"/>
        <item h="1" x="77"/>
        <item h="1" x="75"/>
        <item h="1" x="35"/>
        <item h="1" x="11"/>
        <item h="1" x="57"/>
        <item h="1" x="79"/>
        <item h="1" x="13"/>
        <item h="1" x="36"/>
        <item h="1" x="64"/>
        <item h="1" x="37"/>
        <item h="1" x="54"/>
        <item h="1" x="41"/>
        <item h="1" x="38"/>
        <item h="1" x="73"/>
        <item h="1" x="42"/>
        <item h="1" x="55"/>
        <item h="1" x="40"/>
        <item h="1" x="39"/>
        <item h="1" x="5"/>
        <item h="1" x="1"/>
        <item h="1" x="71"/>
        <item h="1" x="72"/>
        <item h="1" x="68"/>
        <item h="1" x="20"/>
        <item h="1" x="3"/>
        <item h="1" x="24"/>
        <item h="1" x="10"/>
        <item h="1"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2"/>
        <item x="1"/>
        <item x="0"/>
        <item x="4"/>
        <item t="default"/>
      </items>
    </pivotField>
    <pivotField axis="axisRow" showAll="0">
      <items count="10">
        <item x="6"/>
        <item x="5"/>
        <item x="7"/>
        <item x="3"/>
        <item x="4"/>
        <item x="2"/>
        <item x="1"/>
        <item x="0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numFmtId="166" showAll="0"/>
    <pivotField numFmtId="166" showAll="0"/>
    <pivotField showAll="0"/>
    <pivotField showAll="0"/>
    <pivotField showAll="0"/>
  </pivotFields>
  <rowFields count="3">
    <field x="1"/>
    <field x="11"/>
    <field x="12"/>
  </rowFields>
  <rowItems count="8">
    <i>
      <x v="38"/>
    </i>
    <i r="1">
      <x v="2"/>
    </i>
    <i r="2">
      <x v="1"/>
    </i>
    <i r="2">
      <x v="4"/>
    </i>
    <i r="2">
      <x v="5"/>
    </i>
    <i r="1">
      <x v="3"/>
    </i>
    <i r="2"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May Actuals" fld="68" baseField="0" baseItem="0" numFmtId="166"/>
    <dataField name="Sum of Forecast Jun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46">
    <format dxfId="363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62">
      <pivotArea collapsedLevelsAreSubtotals="1" fieldPosition="0">
        <references count="2">
          <reference field="4294967294" count="1" selected="0">
            <x v="0"/>
          </reference>
          <reference field="1" count="5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8"/>
          </reference>
        </references>
      </pivotArea>
    </format>
    <format dxfId="361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3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3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358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3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3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55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3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3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52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3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3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49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3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3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346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3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3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343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3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3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340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3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3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37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3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3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34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3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3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31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3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3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28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3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3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25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3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3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22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3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3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19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3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3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316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3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3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313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3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3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310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3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30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307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3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30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04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3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30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01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3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2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8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2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2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5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2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2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92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2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2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28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28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87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28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28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84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2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28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81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2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27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78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2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27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5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2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27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72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2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27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9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2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2"/>
          </reference>
        </references>
      </pivotArea>
    </format>
    <format dxfId="26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2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4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2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2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61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2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2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58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2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2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5">
      <pivotArea collapsedLevelsAreSubtotals="1" fieldPosition="0">
        <references count="2">
          <reference field="4294967294" count="1" selected="0">
            <x v="0"/>
          </reference>
          <reference field="1" count="1">
            <x v="35"/>
          </reference>
        </references>
      </pivotArea>
    </format>
    <format dxfId="2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5"/>
          </reference>
          <reference field="11" count="1">
            <x v="3"/>
          </reference>
        </references>
      </pivotArea>
    </format>
    <format dxfId="2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2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2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2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49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2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2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6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2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2"/>
          </reference>
        </references>
      </pivotArea>
    </format>
    <format dxfId="2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2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2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41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2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2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38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2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2"/>
          </reference>
        </references>
      </pivotArea>
    </format>
    <format dxfId="2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35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2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3"/>
          </reference>
        </references>
      </pivotArea>
    </format>
    <format dxfId="2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2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2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2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9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2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2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6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2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2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3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2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2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0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2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2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7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2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2"/>
          </reference>
        </references>
      </pivotArea>
    </format>
    <format dxfId="21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2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2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2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2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2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2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6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2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2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03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2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2"/>
          </reference>
        </references>
      </pivotArea>
    </format>
    <format dxfId="20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9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8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1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19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95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19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19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92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19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19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9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1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1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6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1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1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3">
      <pivotArea collapsedLevelsAreSubtotals="1" fieldPosition="0">
        <references count="2">
          <reference field="4294967294" count="1" selected="0">
            <x v="0"/>
          </reference>
          <reference field="1" count="1">
            <x v="58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8"/>
          </reference>
          <reference field="11" count="1">
            <x v="3"/>
          </reference>
        </references>
      </pivotArea>
    </format>
    <format dxfId="1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0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2"/>
          </reference>
        </references>
      </pivotArea>
    </format>
    <format dxfId="1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77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1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74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3"/>
          </reference>
        </references>
      </pivotArea>
    </format>
    <format dxfId="1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1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68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2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16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159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15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6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15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3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15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0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1"/>
          </reference>
        </references>
      </pivotArea>
    </format>
    <format dxfId="14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147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14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4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1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3"/>
          </reference>
        </references>
      </pivotArea>
    </format>
    <format dxfId="14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1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1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13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8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13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35">
      <pivotArea collapsedLevelsAreSubtotals="1" fieldPosition="0">
        <references count="2">
          <reference field="4294967294" count="1" selected="0">
            <x v="0"/>
          </reference>
          <reference field="1" count="1">
            <x v="75"/>
          </reference>
        </references>
      </pivotArea>
    </format>
    <format dxfId="1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5"/>
          </reference>
          <reference field="11" count="1">
            <x v="3"/>
          </reference>
        </references>
      </pivotArea>
    </format>
    <format dxfId="13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5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32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13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9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2"/>
          </reference>
        </references>
      </pivotArea>
    </format>
    <format dxfId="12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26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12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3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3"/>
          </reference>
        </references>
      </pivotArea>
    </format>
    <format dxfId="1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0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11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26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2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24">
      <pivotArea dataOnly="0" labelOnly="1" fieldPosition="0">
        <references count="1">
          <reference field="2" count="1">
            <x v="9"/>
          </reference>
        </references>
      </pivotArea>
    </format>
    <format dxfId="23">
      <pivotArea dataOnly="0" labelOnly="1" fieldPosition="0">
        <references count="1">
          <reference field="2" count="1">
            <x v="11"/>
          </reference>
        </references>
      </pivotArea>
    </format>
    <format dxfId="22">
      <pivotArea dataOnly="0" labelOnly="1" fieldPosition="0">
        <references count="1">
          <reference field="2" count="1">
            <x v="1"/>
          </reference>
        </references>
      </pivotArea>
    </format>
    <format dxfId="21">
      <pivotArea dataOnly="0" labelOnly="1" fieldPosition="0">
        <references count="1">
          <reference field="2" count="1">
            <x v="7"/>
          </reference>
        </references>
      </pivotArea>
    </format>
    <format dxfId="20">
      <pivotArea dataOnly="0" labelOnly="1" fieldPosition="0">
        <references count="1">
          <reference field="2" count="1">
            <x v="2"/>
          </reference>
        </references>
      </pivotArea>
    </format>
    <format dxfId="1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18">
      <pivotArea outline="0" collapsedLevelsAreSubtotals="1" fieldPosition="0"/>
    </format>
    <format dxfId="17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16">
      <pivotArea outline="0" collapsedLevelsAreSubtotals="1" fieldPosition="0"/>
    </format>
    <format dxfId="15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14">
      <pivotArea outline="0" collapsedLevelsAreSubtotals="1" fieldPosition="0"/>
    </format>
    <format dxfId="13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88CEDD-27EF-4F19-9526-DE960EB537AC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H1:N21" firstHeaderRow="1" firstDataRow="2" firstDataCol="3"/>
  <pivotFields count="76">
    <pivotField compact="0" outline="0" showAll="0"/>
    <pivotField axis="axisRow" compact="0" outline="0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7"/>
        <item x="5"/>
        <item sd="0" x="0"/>
        <item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h="1" sd="0" x="6"/>
        <item sd="0" x="5"/>
        <item sd="0" x="7"/>
        <item sd="0" x="3"/>
        <item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dataField="1" compact="0" numFmtId="166" outline="0" showAll="0"/>
    <pivotField compact="0" numFmtId="166" outline="0" showAll="0"/>
    <pivotField dataField="1"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3">
    <field x="12"/>
    <field x="6"/>
    <field x="1"/>
  </rowFields>
  <rowItems count="19">
    <i>
      <x v="1"/>
    </i>
    <i>
      <x v="2"/>
    </i>
    <i>
      <x v="3"/>
    </i>
    <i>
      <x v="4"/>
      <x v="1"/>
      <x v="5"/>
    </i>
    <i r="2">
      <x v="23"/>
    </i>
    <i r="2">
      <x v="39"/>
    </i>
    <i r="2">
      <x v="41"/>
    </i>
    <i t="default" r="1">
      <x v="1"/>
    </i>
    <i r="1">
      <x v="2"/>
    </i>
    <i r="1">
      <x v="3"/>
      <x v="5"/>
    </i>
    <i r="2">
      <x v="23"/>
    </i>
    <i t="default" r="1">
      <x v="3"/>
    </i>
    <i r="1">
      <x v="4"/>
    </i>
    <i r="1">
      <x v="6"/>
    </i>
    <i t="default">
      <x v="4"/>
    </i>
    <i>
      <x v="5"/>
    </i>
    <i>
      <x v="6"/>
    </i>
    <i>
      <x v="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2026 Final Budget" fld="21" baseField="0" baseItem="0"/>
    <dataField name="Sum of Jan-May Actuals" fld="68" baseField="0" baseItem="0" numFmtId="166"/>
    <dataField name="Sum of Forecast Jun-Dec" fld="70" baseField="0" baseItem="0" numFmtId="166"/>
    <dataField name="Sum of 2026 Net Position" fld="25" baseField="0" baseItem="0" numFmtId="166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F84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axis="axisRow" compact="0" outline="0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Jan-May Actuals" fld="68" baseField="0" baseItem="0"/>
    <dataField name="Sum of Forecast Jun-Dec" fld="70" baseField="0" baseItem="0"/>
    <dataField name="Sum of Actual+Forecast" fld="72" baseField="0" baseItem="0"/>
    <dataField name="Sum of 2026 Net Position" fld="25" baseField="0" baseItem="0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7C8BC8-9328-4BBB-925E-90B95780C405}" name="Financials202632" displayName="Financials202632" ref="A1:BX151" totalsRowShown="0" headerRowBorderDxfId="105" tableBorderDxfId="104">
  <autoFilter ref="A1:BX151" xr:uid="{977C8BC8-9328-4BBB-925E-90B95780C405}"/>
  <tableColumns count="76">
    <tableColumn id="1" xr3:uid="{F4C2922B-8C51-417F-AD4F-6D401BC3D485}" name="Transaction Type" dataDxfId="103"/>
    <tableColumn id="2" xr3:uid="{DEBB98D5-48F8-4848-9ADC-DB9C53BA14FA}" name="D365 Legal Vendor name" dataDxfId="102"/>
    <tableColumn id="3" xr3:uid="{371CE7B4-0AA7-492E-95F2-3B25DE303F0E}" name="DBA / AKA / Passthrough" dataDxfId="101"/>
    <tableColumn id="4" xr3:uid="{5C41B320-B556-4ECD-8F4A-C27A1C2D6F0F}" name="Project ID" dataDxfId="100"/>
    <tableColumn id="5" xr3:uid="{967D4B1D-9CE5-42CD-9603-647A49EB6A0E}" name="Project Name" dataDxfId="99"/>
    <tableColumn id="6" xr3:uid="{994ED8D1-7FEA-4395-B146-A6251D7FF5EB}" name="Domain" dataDxfId="98"/>
    <tableColumn id="7" xr3:uid="{57D3772F-B9F1-4D4C-876B-76DEF56DE849}" name="Domain Owner" dataDxfId="97"/>
    <tableColumn id="9" xr3:uid="{36357982-43B7-4E3B-900A-CC6EFB3DD423}" name="Contract Start" dataDxfId="96"/>
    <tableColumn id="10" xr3:uid="{DE910546-979E-4FC0-AFF5-B1180C59257E}" name="Contract End" dataDxfId="95"/>
    <tableColumn id="11" xr3:uid="{1E51B115-BDF9-4B5B-AB0D-223EDCC1A38B}" name="Application" dataDxfId="94"/>
    <tableColumn id="12" xr3:uid="{55BA9120-9481-4D4A-9A5A-4BC4415DB595}" name="Project Details" dataDxfId="93">
      <calculatedColumnFormula>D2 &amp; "-" &amp;E2</calculatedColumnFormula>
    </tableColumn>
    <tableColumn id="13" xr3:uid="{7A210349-8FF4-4331-BEE2-DB043D6C5E9A}" name="Category" dataDxfId="92"/>
    <tableColumn id="14" xr3:uid="{DB461BCD-3B0C-4C14-A4F5-3B8B9D67E237}" name="Sub-Category1" dataDxfId="91"/>
    <tableColumn id="17" xr3:uid="{2DFD6DBC-6964-4F95-8F51-65D21EF5E5DF}" name="Sub-Category2" dataDxfId="90"/>
    <tableColumn id="21" xr3:uid="{71B65F7B-7B15-4CBE-BD0D-B0BFA71DFCE5}" name="Contract Type" dataDxfId="89"/>
    <tableColumn id="15" xr3:uid="{0F63A411-01C3-4AC4-9399-B199BC76E603}" name="MGMT View Category (OneStream)" dataDxfId="88"/>
    <tableColumn id="18" xr3:uid="{78BE3979-69F2-4425-9905-9EF987FD2C32}" name="Onestream Account" dataDxfId="87"/>
    <tableColumn id="19" xr3:uid="{5F7A27FF-F881-4EC1-B472-26C8BC44B645}" name="A/P Account Name" dataDxfId="86"/>
    <tableColumn id="20" xr3:uid="{A07E6D91-3CBC-4E60-ABD0-CE08FE9F7DC0}" name="Accounting Treatment" dataDxfId="85"/>
    <tableColumn id="22" xr3:uid="{1D129C70-419F-4B2E-84D8-10ADE050A64A}" name="2025 Actuals" dataDxfId="84"/>
    <tableColumn id="23" xr3:uid="{DA690411-DF81-4075-9812-5310BF285AAC}" name="2026 Initial Budget" dataDxfId="83" dataCellStyle="Comma"/>
    <tableColumn id="25" xr3:uid="{929291C6-1205-4D20-8BFA-5898BDDC4D47}" name="2026 Final Budget" dataDxfId="82" dataCellStyle="Comma"/>
    <tableColumn id="26" xr3:uid="{23A0F2FE-58D1-4D4D-A1DE-3C4D256354D2}" name="2026 (Actuals + Forecast)" dataDxfId="81" dataCellStyle="Comma">
      <calculatedColumnFormula>AO2+IF(ISBLANK(AP2),AB2,AP2)+IF(ISBLANK(AQ2),AC2,AQ2)+IF(ISBLANK(AR2),AD2,AR2)+IF(ISBLANK(AS2),AE2,AS2)+IF(ISBLANK(AT2),AF2,AT2)</calculatedColumnFormula>
    </tableColumn>
    <tableColumn id="27" xr3:uid="{310D4E07-441A-4467-889B-B31866D5E653}" name="2026 Opportunity" dataDxfId="80" dataCellStyle="Comma">
      <calculatedColumnFormula>IF(V2 &gt;= W2, V2 - W2, 0)*-1</calculatedColumnFormula>
    </tableColumn>
    <tableColumn id="28" xr3:uid="{E7CF5904-BC61-4BF3-89DF-3F8FDAD94133}" name="2026 Risk" dataDxfId="79" dataCellStyle="Comma">
      <calculatedColumnFormula>IF(W2 &gt; V2, W2 - V2, 0)</calculatedColumnFormula>
    </tableColumn>
    <tableColumn id="16" xr3:uid="{82AF0204-63EA-4E87-A723-C5D154913759}" name="2026 Net Position" dataDxfId="78" dataCellStyle="Comma">
      <calculatedColumnFormula>SUM(Financials202632[[#This Row],[2026 Opportunity]:[2026 Risk]])</calculatedColumnFormula>
    </tableColumn>
    <tableColumn id="29" xr3:uid="{6C90B027-BB51-4E89-8ED2-4332C6C16269}" name="Notes" dataDxfId="77"/>
    <tableColumn id="31" xr3:uid="{8F64878F-3FBD-407F-92EF-0C7A7DB130A7}" name="Jan FC" dataDxfId="76" dataCellStyle="Comma"/>
    <tableColumn id="32" xr3:uid="{A4B69FB2-001C-4423-A56C-FF28FB71AF57}" name="Feb FC" dataDxfId="75" dataCellStyle="Comma"/>
    <tableColumn id="33" xr3:uid="{0C4D8F0F-CDB7-4F3F-A923-D4B17F2EB0E6}" name="Mar FC" dataDxfId="74" dataCellStyle="Comma"/>
    <tableColumn id="34" xr3:uid="{F1975F3E-B401-4613-9300-51417C237028}" name="Apr FC" dataDxfId="73" dataCellStyle="Comma"/>
    <tableColumn id="35" xr3:uid="{0BEF7857-D23A-47A2-81E7-4AD1CC914519}" name="May FC" dataDxfId="72" dataCellStyle="Comma"/>
    <tableColumn id="36" xr3:uid="{532B963C-1256-49DE-9861-A45D0B0D4BCD}" name="Jun FC" dataDxfId="71" dataCellStyle="Comma"/>
    <tableColumn id="37" xr3:uid="{2C75D58D-42FD-4EF3-BFDA-C546C73FCA27}" name="Jul FC" dataDxfId="70" dataCellStyle="Comma"/>
    <tableColumn id="38" xr3:uid="{42F460DA-0BCD-4609-B129-741923237745}" name="Aug FC" dataDxfId="69" dataCellStyle="Comma"/>
    <tableColumn id="39" xr3:uid="{899DBC10-7505-4506-8AAE-29AFDCC6372C}" name="Sep FC" dataDxfId="68" dataCellStyle="Comma"/>
    <tableColumn id="40" xr3:uid="{CD2FA39D-21E4-481F-B186-81A3D16C9FC6}" name="Oct FC" dataDxfId="67" dataCellStyle="Comma"/>
    <tableColumn id="41" xr3:uid="{129CC4C6-FAE8-483D-A60C-8BBC39A154BD}" name="Nov FC" dataDxfId="66" dataCellStyle="Comma"/>
    <tableColumn id="42" xr3:uid="{4D452A24-8CC8-44C9-82EB-E27C6B8C61E7}" name="Dec FC" dataDxfId="65" dataCellStyle="Comma"/>
    <tableColumn id="74" xr3:uid="{61375806-D274-48B1-B3FC-8EB90E172ED6}" name="Total - FC" dataDxfId="64" dataCellStyle="Comma">
      <calculatedColumnFormula>SUM(Financials202632[[#This Row],[Jan FC]:[Dec FC]])</calculatedColumnFormula>
    </tableColumn>
    <tableColumn id="43" xr3:uid="{CCA581A8-93A5-43CF-A667-F8EC5AF28E92}" name="Jun-Dec FC" dataDxfId="63" dataCellStyle="Comma">
      <calculatedColumnFormula>SUM(AG2:AM2)</calculatedColumnFormula>
    </tableColumn>
    <tableColumn id="56" xr3:uid="{96B226A8-2EB0-4C72-9F10-143CD8C38044}" name="Jan AC" dataDxfId="62" dataCellStyle="Comma"/>
    <tableColumn id="55" xr3:uid="{CEFC40DA-1E08-4196-9342-1531CFA459EF}" name="Feb AC" dataDxfId="61" dataCellStyle="Comma"/>
    <tableColumn id="54" xr3:uid="{6BBE8FB1-9EAD-4C23-A342-FCC3FFC8FE79}" name="Mar AC" dataDxfId="60" dataCellStyle="Comma"/>
    <tableColumn id="53" xr3:uid="{160B07AB-B361-4BFD-9426-E77A95BC6466}" name="Apr AC" dataDxfId="59" dataCellStyle="Comma"/>
    <tableColumn id="52" xr3:uid="{BC2F28B7-33CA-4EC6-B39E-0C233BC4B83A}" name="May AC" dataDxfId="58" dataCellStyle="Comma"/>
    <tableColumn id="51" xr3:uid="{11B0E349-C6B8-453E-BF2B-F15CA7DFBB35}" name="Jun AC" dataDxfId="57" dataCellStyle="Comma"/>
    <tableColumn id="50" xr3:uid="{E5722B44-FFF9-4744-AE05-EC7C7FF3ED5B}" name="Jul AC" dataDxfId="56" dataCellStyle="Comma"/>
    <tableColumn id="49" xr3:uid="{445D1234-ED9E-404B-81A4-CD6CEB49BB6B}" name="Aug AC" dataDxfId="55" dataCellStyle="Comma"/>
    <tableColumn id="48" xr3:uid="{170BB16D-2F56-41A2-B39B-457CCA7AA6D4}" name="Sep AC" dataDxfId="54" dataCellStyle="Comma"/>
    <tableColumn id="47" xr3:uid="{B5DC264B-5A32-4828-9763-FDBFF35CFFB2}" name="Oct AC" dataDxfId="53" dataCellStyle="Comma"/>
    <tableColumn id="46" xr3:uid="{5282A83F-CD87-4A8A-B573-4B0420E5D46B}" name="Nov AC" dataDxfId="52" dataCellStyle="Comma"/>
    <tableColumn id="30" xr3:uid="{C05F3FAF-7E6D-40AC-A99D-284E96A5A27C}" name="Dec AC" dataDxfId="51" dataCellStyle="Comma"/>
    <tableColumn id="75" xr3:uid="{7A33AA6F-EE41-48B4-A290-37B09792E98C}" name="Total Actuals" dataDxfId="50" dataCellStyle="Comma">
      <calculatedColumnFormula>SUM(Financials202632[[#This Row],[Jan AC]:[Dec AC]])</calculatedColumnFormula>
    </tableColumn>
    <tableColumn id="58" xr3:uid="{C783978E-FCBE-4DF4-A9E4-750D38AB519B}" name="Jan Opp/Risk" dataDxfId="49" dataCellStyle="Comma">
      <calculatedColumnFormula>Financials202632[[#This Row],[Jan AC]]-Financials202632[[#This Row],[Jan FC]]</calculatedColumnFormula>
    </tableColumn>
    <tableColumn id="59" xr3:uid="{2C958866-9D9F-4C2A-9D60-A39FC6868029}" name="Feb Opp./Risk" dataDxfId="48" dataCellStyle="Comma">
      <calculatedColumnFormula>Financials202632[[#This Row],[Feb AC]]-Financials202632[[#This Row],[Feb FC]]</calculatedColumnFormula>
    </tableColumn>
    <tableColumn id="60" xr3:uid="{5A9152E5-C7F1-4505-9F26-53137E14D558}" name="Mar Opp./Risk" dataDxfId="47" dataCellStyle="Comma">
      <calculatedColumnFormula>Financials202632[[#This Row],[Mar AC]]-Financials202632[[#This Row],[Mar FC]]</calculatedColumnFormula>
    </tableColumn>
    <tableColumn id="61" xr3:uid="{8EE03508-8D53-41E2-AC57-E0640E2EDD37}" name="Apr Opp./Risk" dataDxfId="46" dataCellStyle="Comma">
      <calculatedColumnFormula>Financials202632[[#This Row],[Apr AC]]-Financials202632[[#This Row],[Apr FC]]</calculatedColumnFormula>
    </tableColumn>
    <tableColumn id="62" xr3:uid="{C9D700B2-202C-458F-BDC7-0B1F521DC595}" name="May Opp./Risk" dataDxfId="45" dataCellStyle="Comma">
      <calculatedColumnFormula>Financials202632[[#This Row],[May AC]]-Financials202632[[#This Row],[May FC]]</calculatedColumnFormula>
    </tableColumn>
    <tableColumn id="63" xr3:uid="{417B3904-6E23-4060-841E-E7E566EC9A68}" name="Jun Opp./Risk" dataDxfId="44" dataCellStyle="Comma">
      <calculatedColumnFormula>Financials202632[[#This Row],[Jun AC]]-Financials202632[[#This Row],[Jun FC]]</calculatedColumnFormula>
    </tableColumn>
    <tableColumn id="64" xr3:uid="{0EB8746E-94BE-4E9D-B227-4DCB8F0CA4D8}" name="Jul Opp./Risk" dataDxfId="43" dataCellStyle="Comma">
      <calculatedColumnFormula>Financials202632[[#This Row],[Jul AC]]-Financials202632[[#This Row],[Jul FC]]</calculatedColumnFormula>
    </tableColumn>
    <tableColumn id="65" xr3:uid="{4FEFE379-D87C-49EA-B112-07964EF76441}" name="Aug Opp./Risk" dataDxfId="42" dataCellStyle="Comma">
      <calculatedColumnFormula>Financials202632[[#This Row],[Aug AC]]-Financials202632[[#This Row],[Aug FC]]</calculatedColumnFormula>
    </tableColumn>
    <tableColumn id="66" xr3:uid="{1CDFD2D7-C92D-4A52-90DA-ED7998425B91}" name="Sep Opp./Risk" dataDxfId="41" dataCellStyle="Comma">
      <calculatedColumnFormula>Financials202632[[#This Row],[Sep AC]]-Financials202632[[#This Row],[Sep FC]]</calculatedColumnFormula>
    </tableColumn>
    <tableColumn id="67" xr3:uid="{62E9C26B-D61E-4DBE-A292-B1EC289AA822}" name="Oct Opp./Risk" dataDxfId="40" dataCellStyle="Comma">
      <calculatedColumnFormula>Financials202632[[#This Row],[Oct AC]]-Financials202632[[#This Row],[Oct FC]]</calculatedColumnFormula>
    </tableColumn>
    <tableColumn id="68" xr3:uid="{0F803C17-B837-4B06-99B1-185AF223F5BD}" name="Nov Opp./Risk" dataDxfId="39" dataCellStyle="Comma">
      <calculatedColumnFormula>Financials202632[[#This Row],[Nov AC]]-Financials202632[[#This Row],[Nov FC]]</calculatedColumnFormula>
    </tableColumn>
    <tableColumn id="69" xr3:uid="{D45E86B2-FCE1-4E6D-BBDF-F1F78BC1DC07}" name="Dec Opp./Risk" dataDxfId="38" dataCellStyle="Comma">
      <calculatedColumnFormula>Financials202632[[#This Row],[Dec AC]]-Financials202632[[#This Row],[Dec FC]]</calculatedColumnFormula>
    </tableColumn>
    <tableColumn id="76" xr3:uid="{2189B079-482B-4E0A-9221-F70DAA8F5716}" name="Total Opp./Risk" dataDxfId="37" dataCellStyle="Comma">
      <calculatedColumnFormula>SUM(Financials202632[[#This Row],[Jan Opp/Risk]:[Dec Opp./Risk]])</calculatedColumnFormula>
    </tableColumn>
    <tableColumn id="45" xr3:uid="{4739459F-6BA7-4289-ACDD-1196063EE280}" name="Notes - Swati" dataDxfId="36" dataCellStyle="Comma"/>
    <tableColumn id="57" xr3:uid="{3D7C1DF1-12F3-4120-A8A6-0F41EC0174B6}" name="Jan-May Actuals" dataDxfId="35" dataCellStyle="Comma">
      <calculatedColumnFormula>SUM(Financials202632[[#This Row],[Jan AC]:[May AC]])</calculatedColumnFormula>
    </tableColumn>
    <tableColumn id="8" xr3:uid="{C2C1C430-E88D-4C4E-AFEC-53EE6F368A5E}" name="Jan-May Forecast " dataDxfId="34">
      <calculatedColumnFormula>Financials202632[[#This Row],[2026 (Actuals + Forecast)]]-Financials202632[[#This Row],[Jan-May Actuals]]-Financials202632[[#This Row],[Jun-Dec FC]]</calculatedColumnFormula>
    </tableColumn>
    <tableColumn id="24" xr3:uid="{9C96E785-4570-4DEF-8CF5-65293F36CCD2}" name="Forecast Jun-Dec" dataDxfId="33">
      <calculatedColumnFormula>Financials202632[[#This Row],[Jun-Dec FC]]+Financials202632[[#This Row],[Jan-May Forecast ]]</calculatedColumnFormula>
    </tableColumn>
    <tableColumn id="44" xr3:uid="{B8DD9188-F98A-4036-A9E3-B1B239A646BB}" name="Forecast Jan-May" dataDxfId="32">
      <calculatedColumnFormula>SUM(Financials202632[[#This Row],[Jan FC]:[May FC]])</calculatedColumnFormula>
    </tableColumn>
    <tableColumn id="70" xr3:uid="{BD2D614B-F82F-4A3C-9E47-C7760177E033}" name="Actual+Forecast" dataDxfId="31">
      <calculatedColumnFormula>Financials202632[[#This Row],[Jan-May Actuals]]+Financials202632[[#This Row],[Forecast Jun-Dec]]</calculatedColumnFormula>
    </tableColumn>
    <tableColumn id="71" xr3:uid="{9B3A50B4-4767-47CA-8EED-327D2586A1FF}" name="Non-Comitted" dataDxfId="30"/>
    <tableColumn id="72" xr3:uid="{6C991685-7EE7-46A7-BDE4-620D616D4DA2}" name="New Spend Category" dataDxfId="29"/>
    <tableColumn id="73" xr3:uid="{EBFFD219-D795-4BDE-A5EF-EE5BC1C841E2}" name="Program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34" sqref="E34"/>
    </sheetView>
  </sheetViews>
  <sheetFormatPr defaultRowHeight="14.4" x14ac:dyDescent="0.3"/>
  <cols>
    <col min="1" max="1" width="14.5546875" bestFit="1" customWidth="1"/>
    <col min="2" max="2" width="21.88671875" bestFit="1" customWidth="1"/>
    <col min="3" max="3" width="28.21875" bestFit="1" customWidth="1"/>
    <col min="4" max="4" width="15" bestFit="1" customWidth="1"/>
    <col min="5" max="5" width="21.66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93" t="s">
        <v>2</v>
      </c>
      <c r="D1" s="193"/>
      <c r="E1" s="193"/>
      <c r="F1" s="193"/>
      <c r="J1" s="19" t="s">
        <v>3</v>
      </c>
    </row>
    <row r="2" spans="1:10" x14ac:dyDescent="0.3">
      <c r="C2" s="193"/>
      <c r="D2" s="193"/>
      <c r="E2" s="193"/>
      <c r="F2" s="193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1862014</v>
      </c>
      <c r="C4" s="6">
        <v>1523500</v>
      </c>
      <c r="D4" s="6">
        <v>129900</v>
      </c>
      <c r="E4" s="6">
        <v>-468414</v>
      </c>
      <c r="F4" s="6">
        <v>-338514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8336990.0750000002</v>
      </c>
      <c r="C6" s="6">
        <v>8313151.6225666674</v>
      </c>
      <c r="D6" s="6">
        <v>2267.1459</v>
      </c>
      <c r="E6" s="6">
        <v>-26105.598333332935</v>
      </c>
      <c r="F6" s="6">
        <v>-23838.452433332935</v>
      </c>
    </row>
    <row r="7" spans="1:10" x14ac:dyDescent="0.3">
      <c r="A7" s="9" t="s">
        <v>13</v>
      </c>
      <c r="B7" s="6">
        <v>8854840</v>
      </c>
      <c r="C7" s="6">
        <v>8627695.9199999999</v>
      </c>
      <c r="D7" s="6">
        <v>323066.91999999993</v>
      </c>
      <c r="E7" s="6">
        <v>-550211</v>
      </c>
      <c r="F7" s="6">
        <v>-227144.08000000007</v>
      </c>
    </row>
    <row r="8" spans="1:10" x14ac:dyDescent="0.3">
      <c r="A8" s="9" t="s">
        <v>14</v>
      </c>
      <c r="B8" s="6">
        <v>2968042.34</v>
      </c>
      <c r="C8" s="6">
        <v>2883193.81</v>
      </c>
      <c r="D8" s="6">
        <v>0</v>
      </c>
      <c r="E8" s="6">
        <v>-84848.53</v>
      </c>
      <c r="F8" s="6">
        <v>-84848.53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20421056.54115</v>
      </c>
      <c r="C10" s="6">
        <v>21472534.407666672</v>
      </c>
      <c r="D10" s="6">
        <v>1260217.3533499991</v>
      </c>
      <c r="E10" s="6">
        <v>-208739.48683333292</v>
      </c>
      <c r="F10" s="6">
        <v>1051477.8665166658</v>
      </c>
    </row>
    <row r="11" spans="1:10" x14ac:dyDescent="0.3">
      <c r="A11" s="9" t="s">
        <v>17</v>
      </c>
      <c r="B11" s="6">
        <v>44788397.956149995</v>
      </c>
      <c r="C11" s="6">
        <v>45215516.38356667</v>
      </c>
      <c r="D11" s="6">
        <v>1806741.1192499991</v>
      </c>
      <c r="E11" s="6">
        <v>-1379622.6918333322</v>
      </c>
      <c r="F11" s="6">
        <v>427118.42741666641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45.215516383566673</v>
      </c>
      <c r="D25" s="100">
        <f t="shared" si="0"/>
        <v>1.8067411192499991</v>
      </c>
      <c r="E25" s="100">
        <f t="shared" si="0"/>
        <v>-1.3796226918333321</v>
      </c>
      <c r="F25" s="100">
        <f t="shared" si="0"/>
        <v>0.42711842741666639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94" t="s">
        <v>28</v>
      </c>
      <c r="D27" s="194"/>
      <c r="E27" s="194"/>
    </row>
    <row r="28" spans="1:6" x14ac:dyDescent="0.3">
      <c r="C28" s="194"/>
      <c r="D28" s="194"/>
      <c r="E28" s="194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>
      <selection activeCell="D151" sqref="D15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hidden="1" outlineLevel="2" x14ac:dyDescent="0.3">
      <c r="A2" s="151" t="s">
        <v>10</v>
      </c>
      <c r="B2" s="152" t="s">
        <v>20</v>
      </c>
      <c r="C2" s="152" t="s">
        <v>41</v>
      </c>
      <c r="D2" s="153">
        <v>52071</v>
      </c>
      <c r="E2" s="153">
        <v>0</v>
      </c>
      <c r="F2" s="153">
        <v>0</v>
      </c>
      <c r="G2" s="153">
        <f>E2+F2</f>
        <v>0</v>
      </c>
      <c r="H2" s="153">
        <f>G2-D2</f>
        <v>-52071</v>
      </c>
      <c r="I2" s="154" t="s">
        <v>756</v>
      </c>
      <c r="J2" s="155" t="s">
        <v>42</v>
      </c>
      <c r="M2" s="150" t="s">
        <v>40</v>
      </c>
      <c r="N2" s="149" t="s">
        <v>39</v>
      </c>
      <c r="O2" s="150" t="s">
        <v>40</v>
      </c>
    </row>
    <row r="3" spans="1:15" ht="57.6" hidden="1" outlineLevel="2" x14ac:dyDescent="0.3">
      <c r="A3" s="151" t="s">
        <v>10</v>
      </c>
      <c r="B3" s="152" t="s">
        <v>20</v>
      </c>
      <c r="C3" s="152" t="s">
        <v>43</v>
      </c>
      <c r="D3" s="153">
        <v>1844000</v>
      </c>
      <c r="E3" s="153">
        <v>800000</v>
      </c>
      <c r="F3" s="153">
        <v>160000</v>
      </c>
      <c r="G3" s="153">
        <f>E3+F3</f>
        <v>960000</v>
      </c>
      <c r="H3" s="153">
        <f>G3-D3</f>
        <v>-884000</v>
      </c>
      <c r="I3" s="156" t="s">
        <v>44</v>
      </c>
      <c r="J3" s="155" t="s">
        <v>42</v>
      </c>
      <c r="M3" t="s">
        <v>45</v>
      </c>
      <c r="N3" t="s">
        <v>46</v>
      </c>
      <c r="O3" t="s">
        <v>47</v>
      </c>
    </row>
    <row r="4" spans="1:15" hidden="1" outlineLevel="1" collapsed="1" x14ac:dyDescent="0.3">
      <c r="A4" s="157" t="s">
        <v>10</v>
      </c>
      <c r="B4" s="158" t="s">
        <v>48</v>
      </c>
      <c r="C4" s="158"/>
      <c r="D4" s="159">
        <f>SUM(D2:D3)</f>
        <v>1896071</v>
      </c>
      <c r="E4" s="159">
        <f>SUM(E2:E3)</f>
        <v>800000</v>
      </c>
      <c r="F4" s="159">
        <f>SUM(F2:F3)</f>
        <v>160000</v>
      </c>
      <c r="G4" s="159">
        <f>SUM(G2:G3)</f>
        <v>960000</v>
      </c>
      <c r="H4" s="159">
        <f>SUM(H2:H3)</f>
        <v>-936071</v>
      </c>
      <c r="I4" s="160"/>
      <c r="J4" s="161"/>
      <c r="M4" t="s">
        <v>49</v>
      </c>
      <c r="N4" t="s">
        <v>50</v>
      </c>
      <c r="O4" t="s">
        <v>51</v>
      </c>
    </row>
    <row r="5" spans="1:15" ht="43.2" hidden="1" outlineLevel="2" x14ac:dyDescent="0.3">
      <c r="A5" s="151" t="s">
        <v>10</v>
      </c>
      <c r="B5" s="152" t="s">
        <v>22</v>
      </c>
      <c r="C5" s="152" t="s">
        <v>52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53</v>
      </c>
      <c r="J5" s="155" t="s">
        <v>42</v>
      </c>
      <c r="M5" t="s">
        <v>42</v>
      </c>
      <c r="N5" t="s">
        <v>54</v>
      </c>
      <c r="O5" t="s">
        <v>55</v>
      </c>
    </row>
    <row r="6" spans="1:15" ht="28.8" hidden="1" outlineLevel="2" x14ac:dyDescent="0.3">
      <c r="A6" s="151" t="s">
        <v>10</v>
      </c>
      <c r="B6" s="152" t="s">
        <v>22</v>
      </c>
      <c r="C6" s="152" t="s">
        <v>56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57</v>
      </c>
      <c r="J6" s="155" t="s">
        <v>42</v>
      </c>
      <c r="M6" t="s">
        <v>58</v>
      </c>
      <c r="N6" t="s">
        <v>59</v>
      </c>
      <c r="O6" t="s">
        <v>60</v>
      </c>
    </row>
    <row r="7" spans="1:15" ht="28.8" hidden="1" outlineLevel="2" x14ac:dyDescent="0.3">
      <c r="A7" s="151" t="s">
        <v>10</v>
      </c>
      <c r="B7" s="152" t="s">
        <v>22</v>
      </c>
      <c r="C7" s="152" t="s">
        <v>43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61</v>
      </c>
      <c r="J7" s="163" t="s">
        <v>62</v>
      </c>
    </row>
    <row r="8" spans="1:15" ht="43.2" hidden="1" outlineLevel="2" x14ac:dyDescent="0.3">
      <c r="A8" s="151" t="s">
        <v>10</v>
      </c>
      <c r="B8" s="152" t="s">
        <v>22</v>
      </c>
      <c r="C8" s="152" t="s">
        <v>63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64</v>
      </c>
      <c r="J8" s="155" t="s">
        <v>42</v>
      </c>
    </row>
    <row r="9" spans="1:15" hidden="1" outlineLevel="1" collapsed="1" x14ac:dyDescent="0.3">
      <c r="A9" s="157" t="s">
        <v>10</v>
      </c>
      <c r="B9" s="158" t="s">
        <v>65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hidden="1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66</v>
      </c>
      <c r="J10" s="155" t="s">
        <v>42</v>
      </c>
    </row>
    <row r="11" spans="1:15" hidden="1" outlineLevel="1" collapsed="1" x14ac:dyDescent="0.3">
      <c r="A11" s="157" t="s">
        <v>10</v>
      </c>
      <c r="B11" s="158" t="s">
        <v>67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hidden="1" outlineLevel="2" x14ac:dyDescent="0.3">
      <c r="A12" s="151" t="s">
        <v>10</v>
      </c>
      <c r="B12" s="152" t="s">
        <v>25</v>
      </c>
      <c r="C12" s="152" t="s">
        <v>52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68</v>
      </c>
      <c r="J12" s="163" t="s">
        <v>62</v>
      </c>
    </row>
    <row r="13" spans="1:15" ht="43.2" hidden="1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69</v>
      </c>
      <c r="J13" s="155" t="s">
        <v>42</v>
      </c>
    </row>
    <row r="14" spans="1:15" hidden="1" outlineLevel="1" collapsed="1" x14ac:dyDescent="0.3">
      <c r="A14" s="157" t="s">
        <v>10</v>
      </c>
      <c r="B14" s="158" t="s">
        <v>70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collapsed="1" x14ac:dyDescent="0.3">
      <c r="A15" s="164" t="s">
        <v>71</v>
      </c>
      <c r="B15" s="165"/>
      <c r="C15" s="165"/>
      <c r="D15" s="166">
        <f>SUM(D4,D9,D11,D14)</f>
        <v>3678567</v>
      </c>
      <c r="E15" s="166">
        <f>SUM(E4,E9,E11,E14)</f>
        <v>810000</v>
      </c>
      <c r="F15" s="166">
        <f>SUM(F4,F9,F11,F14)</f>
        <v>876396</v>
      </c>
      <c r="G15" s="166">
        <f>SUM(G4,G9,G11,G14)</f>
        <v>1686396</v>
      </c>
      <c r="H15" s="166">
        <f>SUM(H4,H9,H11,H14)</f>
        <v>-1992171</v>
      </c>
      <c r="I15" s="160"/>
      <c r="J15" s="161"/>
    </row>
    <row r="16" spans="1:15" ht="28.8" hidden="1" outlineLevel="2" x14ac:dyDescent="0.3">
      <c r="A16" s="151" t="s">
        <v>11</v>
      </c>
      <c r="B16" s="152" t="s">
        <v>20</v>
      </c>
      <c r="C16" s="152" t="s">
        <v>72</v>
      </c>
      <c r="D16" s="153">
        <v>0</v>
      </c>
      <c r="E16" s="153">
        <v>0</v>
      </c>
      <c r="F16" s="153">
        <v>0</v>
      </c>
      <c r="G16" s="153">
        <f>E16+F16</f>
        <v>0</v>
      </c>
      <c r="H16" s="153">
        <f>G16-D16</f>
        <v>0</v>
      </c>
      <c r="I16" s="162" t="s">
        <v>68</v>
      </c>
      <c r="J16" s="163" t="s">
        <v>62</v>
      </c>
    </row>
    <row r="17" spans="1:10" hidden="1" outlineLevel="1" collapsed="1" x14ac:dyDescent="0.3">
      <c r="A17" s="157" t="s">
        <v>11</v>
      </c>
      <c r="B17" s="158" t="s">
        <v>48</v>
      </c>
      <c r="C17" s="158"/>
      <c r="D17" s="159">
        <f>SUM(D16:D16)</f>
        <v>0</v>
      </c>
      <c r="E17" s="159">
        <f>SUM(E16:E16)</f>
        <v>0</v>
      </c>
      <c r="F17" s="159">
        <f>SUM(F16:F16)</f>
        <v>0</v>
      </c>
      <c r="G17" s="159">
        <f>SUM(G16:G16)</f>
        <v>0</v>
      </c>
      <c r="H17" s="159">
        <f>SUM(H16:H16)</f>
        <v>0</v>
      </c>
      <c r="I17" s="160"/>
      <c r="J17" s="161"/>
    </row>
    <row r="18" spans="1:10" ht="43.2" hidden="1" outlineLevel="2" x14ac:dyDescent="0.3">
      <c r="A18" s="151" t="s">
        <v>11</v>
      </c>
      <c r="B18" s="152" t="s">
        <v>21</v>
      </c>
      <c r="C18" s="152" t="s">
        <v>73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74</v>
      </c>
      <c r="J18" s="168" t="s">
        <v>49</v>
      </c>
    </row>
    <row r="19" spans="1:10" hidden="1" outlineLevel="2" x14ac:dyDescent="0.3">
      <c r="A19" s="151" t="s">
        <v>11</v>
      </c>
      <c r="B19" s="152" t="s">
        <v>21</v>
      </c>
      <c r="C19" s="152" t="s">
        <v>72</v>
      </c>
      <c r="D19" s="153">
        <v>81590</v>
      </c>
      <c r="E19" s="153">
        <v>20698.550000000003</v>
      </c>
      <c r="F19" s="153">
        <v>60891</v>
      </c>
      <c r="G19" s="153">
        <f>E19+F19</f>
        <v>81589.55</v>
      </c>
      <c r="H19" s="153">
        <f>G19-D19</f>
        <v>-0.44999999999708962</v>
      </c>
      <c r="I19" s="167" t="s">
        <v>757</v>
      </c>
      <c r="J19" s="168" t="s">
        <v>62</v>
      </c>
    </row>
    <row r="20" spans="1:10" hidden="1" outlineLevel="1" collapsed="1" x14ac:dyDescent="0.3">
      <c r="A20" s="157" t="s">
        <v>11</v>
      </c>
      <c r="B20" s="158" t="s">
        <v>75</v>
      </c>
      <c r="C20" s="158"/>
      <c r="D20" s="159">
        <f>SUM(D18:D19)</f>
        <v>116236</v>
      </c>
      <c r="E20" s="159">
        <f>SUM(E18:E19)</f>
        <v>22943.070000000003</v>
      </c>
      <c r="F20" s="159">
        <f>SUM(F18:F19)</f>
        <v>158988.33333333334</v>
      </c>
      <c r="G20" s="159">
        <f>SUM(G18:G19)</f>
        <v>181931.40333333335</v>
      </c>
      <c r="H20" s="159">
        <f>SUM(H18:H19)</f>
        <v>65695.40333333335</v>
      </c>
      <c r="I20" s="160"/>
      <c r="J20" s="161"/>
    </row>
    <row r="21" spans="1:10" collapsed="1" x14ac:dyDescent="0.3">
      <c r="A21" s="164" t="s">
        <v>76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158988.33333333334</v>
      </c>
      <c r="G21" s="166">
        <f>SUM(G17,G20)</f>
        <v>181931.40333333335</v>
      </c>
      <c r="H21" s="166">
        <f>SUM(H17,H20)</f>
        <v>65695.40333333335</v>
      </c>
      <c r="I21" s="160"/>
      <c r="J21" s="161"/>
    </row>
    <row r="22" spans="1:10" ht="28.8" hidden="1" outlineLevel="2" x14ac:dyDescent="0.3">
      <c r="A22" s="151" t="s">
        <v>12</v>
      </c>
      <c r="B22" s="152" t="s">
        <v>21</v>
      </c>
      <c r="C22" s="152" t="s">
        <v>77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78</v>
      </c>
      <c r="J22" s="163" t="s">
        <v>62</v>
      </c>
    </row>
    <row r="23" spans="1:10" ht="28.8" hidden="1" outlineLevel="2" x14ac:dyDescent="0.3">
      <c r="A23" s="151" t="s">
        <v>12</v>
      </c>
      <c r="B23" s="152" t="s">
        <v>21</v>
      </c>
      <c r="C23" s="152" t="s">
        <v>79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78</v>
      </c>
      <c r="J23" s="163" t="s">
        <v>62</v>
      </c>
    </row>
    <row r="24" spans="1:10" ht="28.8" hidden="1" outlineLevel="2" x14ac:dyDescent="0.3">
      <c r="A24" s="151" t="s">
        <v>12</v>
      </c>
      <c r="B24" s="152" t="s">
        <v>21</v>
      </c>
      <c r="C24" s="152" t="s">
        <v>80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78</v>
      </c>
      <c r="J24" s="163" t="s">
        <v>62</v>
      </c>
    </row>
    <row r="25" spans="1:10" ht="28.8" hidden="1" outlineLevel="2" x14ac:dyDescent="0.3">
      <c r="A25" s="151" t="s">
        <v>12</v>
      </c>
      <c r="B25" s="152" t="s">
        <v>21</v>
      </c>
      <c r="C25" s="152" t="s">
        <v>73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81</v>
      </c>
      <c r="J25" s="155" t="s">
        <v>42</v>
      </c>
    </row>
    <row r="26" spans="1:10" ht="43.2" hidden="1" outlineLevel="2" x14ac:dyDescent="0.3">
      <c r="A26" s="151" t="s">
        <v>12</v>
      </c>
      <c r="B26" s="152" t="s">
        <v>21</v>
      </c>
      <c r="C26" s="152" t="s">
        <v>82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83</v>
      </c>
      <c r="J26" s="155" t="s">
        <v>45</v>
      </c>
    </row>
    <row r="27" spans="1:10" ht="28.8" hidden="1" outlineLevel="2" x14ac:dyDescent="0.3">
      <c r="A27" s="151" t="s">
        <v>12</v>
      </c>
      <c r="B27" s="152" t="s">
        <v>21</v>
      </c>
      <c r="C27" s="152" t="s">
        <v>84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78</v>
      </c>
      <c r="J27" s="163" t="s">
        <v>62</v>
      </c>
    </row>
    <row r="28" spans="1:10" ht="28.8" hidden="1" outlineLevel="2" x14ac:dyDescent="0.3">
      <c r="A28" s="151" t="s">
        <v>12</v>
      </c>
      <c r="B28" s="152" t="s">
        <v>21</v>
      </c>
      <c r="C28" s="152" t="s">
        <v>85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78</v>
      </c>
      <c r="J28" s="163" t="s">
        <v>62</v>
      </c>
    </row>
    <row r="29" spans="1:10" ht="28.8" hidden="1" outlineLevel="2" x14ac:dyDescent="0.3">
      <c r="A29" s="151" t="s">
        <v>12</v>
      </c>
      <c r="B29" s="152" t="s">
        <v>21</v>
      </c>
      <c r="C29" s="152" t="s">
        <v>86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78</v>
      </c>
      <c r="J29" s="163" t="s">
        <v>62</v>
      </c>
    </row>
    <row r="30" spans="1:10" ht="28.8" hidden="1" outlineLevel="2" x14ac:dyDescent="0.3">
      <c r="A30" s="151" t="s">
        <v>12</v>
      </c>
      <c r="B30" s="152" t="s">
        <v>21</v>
      </c>
      <c r="C30" s="152" t="s">
        <v>87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78</v>
      </c>
      <c r="J30" s="163" t="s">
        <v>62</v>
      </c>
    </row>
    <row r="31" spans="1:10" ht="28.8" hidden="1" outlineLevel="2" x14ac:dyDescent="0.3">
      <c r="A31" s="151" t="s">
        <v>12</v>
      </c>
      <c r="B31" s="152" t="s">
        <v>21</v>
      </c>
      <c r="C31" s="152" t="s">
        <v>88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78</v>
      </c>
      <c r="J31" s="163" t="s">
        <v>62</v>
      </c>
    </row>
    <row r="32" spans="1:10" ht="28.8" hidden="1" outlineLevel="2" x14ac:dyDescent="0.3">
      <c r="A32" s="151" t="s">
        <v>12</v>
      </c>
      <c r="B32" s="152" t="s">
        <v>21</v>
      </c>
      <c r="C32" s="152" t="s">
        <v>89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78</v>
      </c>
      <c r="J32" s="163" t="s">
        <v>62</v>
      </c>
    </row>
    <row r="33" spans="1:10" ht="28.8" hidden="1" outlineLevel="2" x14ac:dyDescent="0.3">
      <c r="A33" s="151" t="s">
        <v>12</v>
      </c>
      <c r="B33" s="152" t="s">
        <v>21</v>
      </c>
      <c r="C33" s="152" t="s">
        <v>90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78</v>
      </c>
      <c r="J33" s="163" t="s">
        <v>62</v>
      </c>
    </row>
    <row r="34" spans="1:10" ht="28.8" hidden="1" outlineLevel="2" x14ac:dyDescent="0.3">
      <c r="A34" s="151" t="s">
        <v>12</v>
      </c>
      <c r="B34" s="152" t="s">
        <v>21</v>
      </c>
      <c r="C34" s="152" t="s">
        <v>91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78</v>
      </c>
      <c r="J34" s="163" t="s">
        <v>62</v>
      </c>
    </row>
    <row r="35" spans="1:10" ht="28.8" hidden="1" outlineLevel="2" x14ac:dyDescent="0.3">
      <c r="A35" s="151" t="s">
        <v>12</v>
      </c>
      <c r="B35" s="152" t="s">
        <v>21</v>
      </c>
      <c r="C35" s="152" t="s">
        <v>72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78</v>
      </c>
      <c r="J35" s="163" t="s">
        <v>62</v>
      </c>
    </row>
    <row r="36" spans="1:10" ht="43.2" hidden="1" outlineLevel="2" x14ac:dyDescent="0.3">
      <c r="A36" s="151" t="s">
        <v>12</v>
      </c>
      <c r="B36" s="152" t="s">
        <v>21</v>
      </c>
      <c r="C36" s="152" t="s">
        <v>92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93</v>
      </c>
      <c r="J36" s="155" t="s">
        <v>42</v>
      </c>
    </row>
    <row r="37" spans="1:10" ht="28.8" hidden="1" outlineLevel="2" x14ac:dyDescent="0.3">
      <c r="A37" s="151" t="s">
        <v>12</v>
      </c>
      <c r="B37" s="152" t="s">
        <v>21</v>
      </c>
      <c r="C37" s="152" t="s">
        <v>94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78</v>
      </c>
      <c r="J37" s="163" t="s">
        <v>62</v>
      </c>
    </row>
    <row r="38" spans="1:10" hidden="1" outlineLevel="1" x14ac:dyDescent="0.3">
      <c r="A38" s="157" t="s">
        <v>12</v>
      </c>
      <c r="B38" s="158" t="s">
        <v>75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hidden="1" outlineLevel="2" x14ac:dyDescent="0.3">
      <c r="A39" s="151" t="s">
        <v>12</v>
      </c>
      <c r="B39" s="152" t="s">
        <v>25</v>
      </c>
      <c r="C39" s="152" t="s">
        <v>95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78</v>
      </c>
      <c r="J39" s="163" t="s">
        <v>62</v>
      </c>
    </row>
    <row r="40" spans="1:10" ht="28.8" hidden="1" outlineLevel="2" x14ac:dyDescent="0.3">
      <c r="A40" s="151" t="s">
        <v>12</v>
      </c>
      <c r="B40" s="152" t="s">
        <v>25</v>
      </c>
      <c r="C40" s="152" t="s">
        <v>96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78</v>
      </c>
      <c r="J40" s="163" t="s">
        <v>62</v>
      </c>
    </row>
    <row r="41" spans="1:10" hidden="1" outlineLevel="1" x14ac:dyDescent="0.3">
      <c r="A41" s="157" t="s">
        <v>12</v>
      </c>
      <c r="B41" s="158" t="s">
        <v>70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collapsed="1" x14ac:dyDescent="0.3">
      <c r="A42" s="164" t="s">
        <v>97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hidden="1" outlineLevel="2" x14ac:dyDescent="0.3">
      <c r="A43" s="151" t="s">
        <v>13</v>
      </c>
      <c r="B43" s="152" t="s">
        <v>20</v>
      </c>
      <c r="C43" s="152" t="s">
        <v>98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99</v>
      </c>
      <c r="J43" s="155" t="s">
        <v>58</v>
      </c>
    </row>
    <row r="44" spans="1:10" ht="72" hidden="1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100</v>
      </c>
      <c r="J44" s="169" t="s">
        <v>58</v>
      </c>
    </row>
    <row r="45" spans="1:10" ht="72" hidden="1" outlineLevel="2" x14ac:dyDescent="0.3">
      <c r="A45" s="151" t="s">
        <v>13</v>
      </c>
      <c r="B45" s="152" t="s">
        <v>20</v>
      </c>
      <c r="C45" s="152" t="s">
        <v>43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101</v>
      </c>
      <c r="J45" s="168" t="s">
        <v>49</v>
      </c>
    </row>
    <row r="46" spans="1:10" ht="72" hidden="1" outlineLevel="2" x14ac:dyDescent="0.3">
      <c r="A46" s="151" t="s">
        <v>13</v>
      </c>
      <c r="B46" s="152" t="s">
        <v>20</v>
      </c>
      <c r="C46" s="152" t="s">
        <v>102</v>
      </c>
      <c r="D46" s="153">
        <v>1540800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-58412</v>
      </c>
      <c r="I46" s="167" t="s">
        <v>103</v>
      </c>
      <c r="J46" s="168" t="s">
        <v>49</v>
      </c>
    </row>
    <row r="47" spans="1:10" hidden="1" outlineLevel="1" collapsed="1" x14ac:dyDescent="0.3">
      <c r="A47" s="157" t="s">
        <v>13</v>
      </c>
      <c r="B47" s="158" t="s">
        <v>48</v>
      </c>
      <c r="C47" s="158"/>
      <c r="D47" s="159">
        <f>SUM(D43:D46)</f>
        <v>3598080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1966680.92</v>
      </c>
      <c r="I47" s="160"/>
      <c r="J47" s="161"/>
    </row>
    <row r="48" spans="1:10" ht="28.8" hidden="1" outlineLevel="2" x14ac:dyDescent="0.3">
      <c r="A48" s="151" t="s">
        <v>13</v>
      </c>
      <c r="B48" s="152" t="s">
        <v>21</v>
      </c>
      <c r="C48" s="152" t="s">
        <v>98</v>
      </c>
      <c r="D48" s="153">
        <v>414080</v>
      </c>
      <c r="E48" s="153">
        <v>182644</v>
      </c>
      <c r="F48" s="153">
        <f>174080+80000</f>
        <v>254080</v>
      </c>
      <c r="G48" s="153">
        <f>E48+F48</f>
        <v>436724</v>
      </c>
      <c r="H48" s="153">
        <f>G48-D48</f>
        <v>22644</v>
      </c>
      <c r="I48" s="156" t="s">
        <v>758</v>
      </c>
      <c r="J48" s="155" t="s">
        <v>58</v>
      </c>
    </row>
    <row r="49" spans="1:10" hidden="1" outlineLevel="1" collapsed="1" x14ac:dyDescent="0.3">
      <c r="A49" s="157" t="s">
        <v>13</v>
      </c>
      <c r="B49" s="158" t="s">
        <v>75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254080</v>
      </c>
      <c r="G49" s="159">
        <f>SUM(G48:G48)</f>
        <v>436724</v>
      </c>
      <c r="H49" s="159">
        <f>SUM(H48:H48)</f>
        <v>22644</v>
      </c>
      <c r="I49" s="160"/>
      <c r="J49" s="161"/>
    </row>
    <row r="50" spans="1:10" ht="72" hidden="1" outlineLevel="2" x14ac:dyDescent="0.3">
      <c r="A50" s="151" t="s">
        <v>13</v>
      </c>
      <c r="B50" s="152" t="s">
        <v>22</v>
      </c>
      <c r="C50" s="152" t="s">
        <v>98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104</v>
      </c>
      <c r="J50" s="155" t="s">
        <v>42</v>
      </c>
    </row>
    <row r="51" spans="1:10" ht="43.2" hidden="1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105</v>
      </c>
      <c r="J51" s="155" t="s">
        <v>42</v>
      </c>
    </row>
    <row r="52" spans="1:10" hidden="1" outlineLevel="1" collapsed="1" x14ac:dyDescent="0.3">
      <c r="A52" s="157" t="s">
        <v>13</v>
      </c>
      <c r="B52" s="158" t="s">
        <v>65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hidden="1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106</v>
      </c>
      <c r="J53" s="155" t="s">
        <v>42</v>
      </c>
    </row>
    <row r="54" spans="1:10" hidden="1" outlineLevel="1" collapsed="1" x14ac:dyDescent="0.3">
      <c r="A54" s="157" t="s">
        <v>13</v>
      </c>
      <c r="B54" s="158" t="s">
        <v>67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hidden="1" outlineLevel="2" x14ac:dyDescent="0.3">
      <c r="A55" s="151" t="s">
        <v>13</v>
      </c>
      <c r="B55" s="152" t="s">
        <v>25</v>
      </c>
      <c r="C55" s="152" t="s">
        <v>98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107</v>
      </c>
      <c r="J55" s="168" t="s">
        <v>49</v>
      </c>
    </row>
    <row r="56" spans="1:10" ht="57.6" hidden="1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108</v>
      </c>
      <c r="J56" s="155" t="s">
        <v>45</v>
      </c>
    </row>
    <row r="57" spans="1:10" ht="43.2" hidden="1" outlineLevel="2" x14ac:dyDescent="0.3">
      <c r="A57" s="151" t="s">
        <v>13</v>
      </c>
      <c r="B57" s="152" t="s">
        <v>25</v>
      </c>
      <c r="C57" s="152" t="s">
        <v>109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110</v>
      </c>
      <c r="J57" s="155" t="s">
        <v>42</v>
      </c>
    </row>
    <row r="58" spans="1:10" hidden="1" outlineLevel="1" collapsed="1" x14ac:dyDescent="0.3">
      <c r="A58" s="157" t="s">
        <v>13</v>
      </c>
      <c r="B58" s="158" t="s">
        <v>70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collapsed="1" x14ac:dyDescent="0.3">
      <c r="A59" s="164" t="s">
        <v>111</v>
      </c>
      <c r="B59" s="165"/>
      <c r="C59" s="165"/>
      <c r="D59" s="166">
        <f>SUM(D47,D49,D52,D54,D58)</f>
        <v>7271840</v>
      </c>
      <c r="E59" s="166">
        <f>SUM(E47,E49,E52,E54,E58)</f>
        <v>3223135.92</v>
      </c>
      <c r="F59" s="166">
        <f>SUM(F47,F49,F52,F54,F58)</f>
        <v>5404560</v>
      </c>
      <c r="G59" s="166">
        <f>SUM(G47,G49,G52,G54,G58)</f>
        <v>8627695.9199999999</v>
      </c>
      <c r="H59" s="166">
        <f>SUM(H47,H49,H52,H54,H58)</f>
        <v>1355855.92</v>
      </c>
      <c r="I59" s="160"/>
      <c r="J59" s="161"/>
    </row>
    <row r="60" spans="1:10" ht="28.8" hidden="1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877160</v>
      </c>
      <c r="G60" s="153">
        <f>E60+F60</f>
        <v>1443640</v>
      </c>
      <c r="H60" s="153">
        <f>G60-D60</f>
        <v>-80912</v>
      </c>
      <c r="I60" s="170" t="s">
        <v>760</v>
      </c>
      <c r="J60" s="155" t="s">
        <v>42</v>
      </c>
    </row>
    <row r="61" spans="1:10" ht="28.8" hidden="1" outlineLevel="2" x14ac:dyDescent="0.3">
      <c r="A61" s="151" t="s">
        <v>14</v>
      </c>
      <c r="B61" s="152" t="s">
        <v>20</v>
      </c>
      <c r="C61" s="152" t="s">
        <v>43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112</v>
      </c>
      <c r="J61" s="155" t="s">
        <v>42</v>
      </c>
    </row>
    <row r="62" spans="1:10" ht="43.2" hidden="1" outlineLevel="2" x14ac:dyDescent="0.3">
      <c r="A62" s="151" t="s">
        <v>14</v>
      </c>
      <c r="B62" s="152" t="s">
        <v>20</v>
      </c>
      <c r="C62" s="152" t="s">
        <v>113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114</v>
      </c>
      <c r="J62" s="155" t="s">
        <v>45</v>
      </c>
    </row>
    <row r="63" spans="1:10" hidden="1" outlineLevel="1" collapsed="1" x14ac:dyDescent="0.3">
      <c r="A63" s="157" t="s">
        <v>14</v>
      </c>
      <c r="B63" s="158" t="s">
        <v>48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1084391</v>
      </c>
      <c r="G63" s="159">
        <f>SUM(G60:G62)</f>
        <v>1837685</v>
      </c>
      <c r="H63" s="159">
        <f>SUM(H60:H62)</f>
        <v>-157906.33999999997</v>
      </c>
      <c r="I63" s="160"/>
      <c r="J63" s="161"/>
    </row>
    <row r="64" spans="1:10" ht="43.2" hidden="1" outlineLevel="2" x14ac:dyDescent="0.3">
      <c r="A64" s="151" t="s">
        <v>14</v>
      </c>
      <c r="B64" s="152" t="s">
        <v>21</v>
      </c>
      <c r="C64" s="152" t="s">
        <v>115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116</v>
      </c>
      <c r="J64" s="155" t="s">
        <v>42</v>
      </c>
    </row>
    <row r="65" spans="1:10" hidden="1" outlineLevel="1" collapsed="1" x14ac:dyDescent="0.3">
      <c r="A65" s="157" t="s">
        <v>14</v>
      </c>
      <c r="B65" s="158" t="s">
        <v>75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hidden="1" outlineLevel="2" x14ac:dyDescent="0.3">
      <c r="A66" s="151" t="s">
        <v>14</v>
      </c>
      <c r="B66" s="152" t="s">
        <v>22</v>
      </c>
      <c r="C66" s="152" t="s">
        <v>117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118</v>
      </c>
      <c r="J66" s="163" t="s">
        <v>62</v>
      </c>
    </row>
    <row r="67" spans="1:10" hidden="1" outlineLevel="1" collapsed="1" x14ac:dyDescent="0.3">
      <c r="A67" s="157" t="s">
        <v>14</v>
      </c>
      <c r="B67" s="158" t="s">
        <v>65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hidden="1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119</v>
      </c>
      <c r="J68" s="169" t="s">
        <v>58</v>
      </c>
    </row>
    <row r="69" spans="1:10" hidden="1" outlineLevel="2" x14ac:dyDescent="0.3">
      <c r="A69" s="151" t="s">
        <v>14</v>
      </c>
      <c r="B69" s="152" t="s">
        <v>23</v>
      </c>
      <c r="C69" s="152" t="s">
        <v>43</v>
      </c>
      <c r="D69" s="153">
        <v>100000</v>
      </c>
      <c r="E69" s="153">
        <v>0</v>
      </c>
      <c r="F69" s="153">
        <v>0</v>
      </c>
      <c r="G69" s="153">
        <f>E69+F69</f>
        <v>0</v>
      </c>
      <c r="H69" s="153">
        <f>G69-D69</f>
        <v>-100000</v>
      </c>
      <c r="I69" s="162" t="s">
        <v>759</v>
      </c>
      <c r="J69" s="163" t="s">
        <v>42</v>
      </c>
    </row>
    <row r="70" spans="1:10" hidden="1" outlineLevel="1" collapsed="1" x14ac:dyDescent="0.3">
      <c r="A70" s="157" t="s">
        <v>14</v>
      </c>
      <c r="B70" s="158" t="s">
        <v>67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438000</v>
      </c>
      <c r="G70" s="159">
        <f>SUM(G68:G69)</f>
        <v>592000</v>
      </c>
      <c r="H70" s="159">
        <f>SUM(H68:H69)</f>
        <v>147000</v>
      </c>
      <c r="I70" s="160"/>
      <c r="J70" s="161"/>
    </row>
    <row r="71" spans="1:10" ht="28.8" hidden="1" outlineLevel="2" x14ac:dyDescent="0.3">
      <c r="A71" s="151" t="s">
        <v>14</v>
      </c>
      <c r="B71" s="152" t="s">
        <v>25</v>
      </c>
      <c r="C71" s="152" t="s">
        <v>120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121</v>
      </c>
      <c r="J71" s="163" t="s">
        <v>45</v>
      </c>
    </row>
    <row r="72" spans="1:10" hidden="1" outlineLevel="1" collapsed="1" x14ac:dyDescent="0.3">
      <c r="A72" s="157" t="s">
        <v>14</v>
      </c>
      <c r="B72" s="158" t="s">
        <v>70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collapsed="1" x14ac:dyDescent="0.3">
      <c r="A73" s="164" t="s">
        <v>122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1604604.26</v>
      </c>
      <c r="G73" s="166">
        <f>SUM(G63,G65,G67,G70,G72)</f>
        <v>2735863.81</v>
      </c>
      <c r="H73" s="166">
        <f>SUM(H63,H65,H67,H70,H72)</f>
        <v>-15627.52999999997</v>
      </c>
      <c r="I73" s="160"/>
      <c r="J73" s="161"/>
    </row>
    <row r="74" spans="1:10" ht="28.8" hidden="1" outlineLevel="2" x14ac:dyDescent="0.3">
      <c r="A74" s="151" t="s">
        <v>15</v>
      </c>
      <c r="B74" s="152" t="s">
        <v>22</v>
      </c>
      <c r="C74" s="152" t="s">
        <v>123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124</v>
      </c>
      <c r="J74" s="163" t="s">
        <v>58</v>
      </c>
    </row>
    <row r="75" spans="1:10" ht="28.8" hidden="1" outlineLevel="2" x14ac:dyDescent="0.3">
      <c r="A75" s="151" t="s">
        <v>15</v>
      </c>
      <c r="B75" s="152" t="s">
        <v>22</v>
      </c>
      <c r="C75" s="152" t="s">
        <v>125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126</v>
      </c>
      <c r="J75" s="155" t="s">
        <v>42</v>
      </c>
    </row>
    <row r="76" spans="1:10" ht="28.8" hidden="1" outlineLevel="2" x14ac:dyDescent="0.3">
      <c r="A76" s="151" t="s">
        <v>15</v>
      </c>
      <c r="B76" s="152" t="s">
        <v>22</v>
      </c>
      <c r="C76" s="152" t="s">
        <v>127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128</v>
      </c>
      <c r="J76" s="155" t="s">
        <v>42</v>
      </c>
    </row>
    <row r="77" spans="1:10" ht="28.8" hidden="1" outlineLevel="2" x14ac:dyDescent="0.3">
      <c r="A77" s="151" t="s">
        <v>15</v>
      </c>
      <c r="B77" s="152" t="s">
        <v>22</v>
      </c>
      <c r="C77" s="152" t="s">
        <v>129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130</v>
      </c>
      <c r="J77" s="168" t="s">
        <v>49</v>
      </c>
    </row>
    <row r="78" spans="1:10" ht="28.8" hidden="1" outlineLevel="2" x14ac:dyDescent="0.3">
      <c r="A78" s="151" t="s">
        <v>15</v>
      </c>
      <c r="B78" s="152" t="s">
        <v>22</v>
      </c>
      <c r="C78" s="152" t="s">
        <v>131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132</v>
      </c>
      <c r="J78" s="163" t="s">
        <v>58</v>
      </c>
    </row>
    <row r="79" spans="1:10" ht="28.8" hidden="1" outlineLevel="2" x14ac:dyDescent="0.3">
      <c r="A79" s="151" t="s">
        <v>15</v>
      </c>
      <c r="B79" s="152" t="s">
        <v>22</v>
      </c>
      <c r="C79" s="152" t="s">
        <v>133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134</v>
      </c>
      <c r="J79" s="163" t="s">
        <v>62</v>
      </c>
    </row>
    <row r="80" spans="1:10" hidden="1" outlineLevel="1" collapsed="1" x14ac:dyDescent="0.3">
      <c r="A80" s="157" t="s">
        <v>15</v>
      </c>
      <c r="B80" s="158" t="s">
        <v>65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hidden="1" outlineLevel="2" x14ac:dyDescent="0.3">
      <c r="A81" s="151" t="s">
        <v>15</v>
      </c>
      <c r="B81" s="152" t="s">
        <v>23</v>
      </c>
      <c r="C81" s="152" t="s">
        <v>135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136</v>
      </c>
      <c r="J81" s="163" t="s">
        <v>62</v>
      </c>
    </row>
    <row r="82" spans="1:10" hidden="1" outlineLevel="1" collapsed="1" x14ac:dyDescent="0.3">
      <c r="A82" s="157" t="s">
        <v>15</v>
      </c>
      <c r="B82" s="158" t="s">
        <v>67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hidden="1" outlineLevel="2" x14ac:dyDescent="0.3">
      <c r="A83" s="151" t="s">
        <v>15</v>
      </c>
      <c r="B83" s="152" t="s">
        <v>24</v>
      </c>
      <c r="C83" s="152" t="s">
        <v>137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138</v>
      </c>
      <c r="J83" s="163" t="s">
        <v>62</v>
      </c>
    </row>
    <row r="84" spans="1:10" hidden="1" outlineLevel="1" collapsed="1" x14ac:dyDescent="0.3">
      <c r="A84" s="157" t="s">
        <v>15</v>
      </c>
      <c r="B84" s="158" t="s">
        <v>139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hidden="1" outlineLevel="2" x14ac:dyDescent="0.3">
      <c r="A85" s="151" t="s">
        <v>15</v>
      </c>
      <c r="B85" s="152" t="s">
        <v>25</v>
      </c>
      <c r="C85" s="152" t="s">
        <v>140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141</v>
      </c>
      <c r="J85" s="163" t="s">
        <v>62</v>
      </c>
    </row>
    <row r="86" spans="1:10" ht="28.8" hidden="1" outlineLevel="2" x14ac:dyDescent="0.3">
      <c r="A86" s="151" t="s">
        <v>15</v>
      </c>
      <c r="B86" s="152" t="s">
        <v>25</v>
      </c>
      <c r="C86" s="152" t="s">
        <v>142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141</v>
      </c>
      <c r="J86" s="163" t="s">
        <v>62</v>
      </c>
    </row>
    <row r="87" spans="1:10" ht="28.8" hidden="1" outlineLevel="2" x14ac:dyDescent="0.3">
      <c r="A87" s="151" t="s">
        <v>15</v>
      </c>
      <c r="B87" s="152" t="s">
        <v>25</v>
      </c>
      <c r="C87" s="152" t="s">
        <v>143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144</v>
      </c>
      <c r="J87" s="163" t="s">
        <v>62</v>
      </c>
    </row>
    <row r="88" spans="1:10" ht="43.2" hidden="1" outlineLevel="2" x14ac:dyDescent="0.3">
      <c r="A88" s="151" t="s">
        <v>15</v>
      </c>
      <c r="B88" s="152" t="s">
        <v>25</v>
      </c>
      <c r="C88" s="152" t="s">
        <v>145</v>
      </c>
      <c r="D88" s="153">
        <v>259449</v>
      </c>
      <c r="E88" s="153">
        <v>83657.850000000006</v>
      </c>
      <c r="F88" s="153">
        <v>146013</v>
      </c>
      <c r="G88" s="153">
        <f>E88+F88</f>
        <v>229670.85</v>
      </c>
      <c r="H88" s="153">
        <f>G88-D88</f>
        <v>-29778.149999999994</v>
      </c>
      <c r="I88" s="156" t="s">
        <v>761</v>
      </c>
      <c r="J88" s="155" t="s">
        <v>42</v>
      </c>
    </row>
    <row r="89" spans="1:10" hidden="1" outlineLevel="1" collapsed="1" x14ac:dyDescent="0.3">
      <c r="A89" s="157" t="s">
        <v>15</v>
      </c>
      <c r="B89" s="158" t="s">
        <v>70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541112</v>
      </c>
      <c r="G89" s="159">
        <f>SUM(G85:G88)</f>
        <v>624769.85</v>
      </c>
      <c r="H89" s="159">
        <f>SUM(H85:H88)</f>
        <v>-29778.149999999994</v>
      </c>
      <c r="I89" s="160"/>
      <c r="J89" s="161"/>
    </row>
    <row r="90" spans="1:10" hidden="1" outlineLevel="2" x14ac:dyDescent="0.3">
      <c r="A90" s="151" t="s">
        <v>15</v>
      </c>
      <c r="B90" s="152" t="s">
        <v>26</v>
      </c>
      <c r="C90" s="152" t="s">
        <v>146</v>
      </c>
      <c r="D90" s="153">
        <v>1441947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-0.38999999966472387</v>
      </c>
      <c r="I90" s="170"/>
      <c r="J90" s="163" t="s">
        <v>62</v>
      </c>
    </row>
    <row r="91" spans="1:10" hidden="1" outlineLevel="1" collapsed="1" x14ac:dyDescent="0.3">
      <c r="A91" s="157" t="s">
        <v>15</v>
      </c>
      <c r="B91" s="158" t="s">
        <v>147</v>
      </c>
      <c r="C91" s="158"/>
      <c r="D91" s="159">
        <f>SUM(D90:D90)</f>
        <v>1441947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-0.38999999966472387</v>
      </c>
      <c r="I91" s="160"/>
      <c r="J91" s="161"/>
    </row>
    <row r="92" spans="1:10" collapsed="1" x14ac:dyDescent="0.3">
      <c r="A92" s="164" t="s">
        <v>148</v>
      </c>
      <c r="B92" s="165"/>
      <c r="C92" s="165"/>
      <c r="D92" s="166">
        <f>SUM(D80,D82,D84,D89,D91)</f>
        <v>2229219</v>
      </c>
      <c r="E92" s="166">
        <f>SUM(E80,E82,E84,E89,E91)</f>
        <v>752346.37750000018</v>
      </c>
      <c r="F92" s="166">
        <f>SUM(F80,F82,F84,F89,F91)</f>
        <v>1461162.8425000003</v>
      </c>
      <c r="G92" s="166">
        <f>SUM(G80,G82,G84,G89,G91)</f>
        <v>2213509.2200000002</v>
      </c>
      <c r="H92" s="166">
        <f>SUM(H80,H82,H84,H89,H91)</f>
        <v>-15709.779999999664</v>
      </c>
      <c r="I92" s="160"/>
      <c r="J92" s="161"/>
    </row>
    <row r="93" spans="1:10" ht="43.2" hidden="1" outlineLevel="2" x14ac:dyDescent="0.3">
      <c r="A93" s="151" t="s">
        <v>16</v>
      </c>
      <c r="B93" s="152" t="s">
        <v>20</v>
      </c>
      <c r="C93" s="152" t="s">
        <v>149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150</v>
      </c>
      <c r="J93" s="155" t="s">
        <v>42</v>
      </c>
    </row>
    <row r="94" spans="1:10" ht="28.8" hidden="1" outlineLevel="2" x14ac:dyDescent="0.3">
      <c r="A94" s="151" t="s">
        <v>16</v>
      </c>
      <c r="B94" s="152" t="s">
        <v>20</v>
      </c>
      <c r="C94" s="152" t="s">
        <v>151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61</v>
      </c>
      <c r="J94" s="163" t="s">
        <v>62</v>
      </c>
    </row>
    <row r="95" spans="1:10" ht="28.8" hidden="1" outlineLevel="2" x14ac:dyDescent="0.3">
      <c r="A95" s="151" t="s">
        <v>16</v>
      </c>
      <c r="B95" s="152" t="s">
        <v>20</v>
      </c>
      <c r="C95" s="152" t="s">
        <v>152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153</v>
      </c>
      <c r="J95" s="163" t="s">
        <v>62</v>
      </c>
    </row>
    <row r="96" spans="1:10" ht="28.8" hidden="1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154</v>
      </c>
      <c r="J96" s="155" t="s">
        <v>45</v>
      </c>
    </row>
    <row r="97" spans="1:10" ht="28.8" hidden="1" outlineLevel="2" x14ac:dyDescent="0.3">
      <c r="A97" s="151" t="s">
        <v>16</v>
      </c>
      <c r="B97" s="152" t="s">
        <v>20</v>
      </c>
      <c r="C97" s="152" t="s">
        <v>155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156</v>
      </c>
      <c r="J97" s="163" t="s">
        <v>62</v>
      </c>
    </row>
    <row r="98" spans="1:10" ht="43.2" hidden="1" outlineLevel="2" x14ac:dyDescent="0.3">
      <c r="A98" s="151" t="s">
        <v>16</v>
      </c>
      <c r="B98" s="152" t="s">
        <v>20</v>
      </c>
      <c r="C98" s="152" t="s">
        <v>43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157</v>
      </c>
      <c r="J98" s="155" t="s">
        <v>42</v>
      </c>
    </row>
    <row r="99" spans="1:10" ht="28.8" hidden="1" outlineLevel="2" x14ac:dyDescent="0.3">
      <c r="A99" s="151" t="s">
        <v>16</v>
      </c>
      <c r="B99" s="152" t="s">
        <v>20</v>
      </c>
      <c r="C99" s="152" t="s">
        <v>158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159</v>
      </c>
      <c r="J99" s="169" t="s">
        <v>49</v>
      </c>
    </row>
    <row r="100" spans="1:10" ht="28.8" hidden="1" outlineLevel="2" x14ac:dyDescent="0.3">
      <c r="A100" s="151" t="s">
        <v>16</v>
      </c>
      <c r="B100" s="152" t="s">
        <v>20</v>
      </c>
      <c r="C100" s="152" t="s">
        <v>72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160</v>
      </c>
      <c r="J100" s="163" t="s">
        <v>62</v>
      </c>
    </row>
    <row r="101" spans="1:10" hidden="1" outlineLevel="1" x14ac:dyDescent="0.3">
      <c r="A101" s="157" t="s">
        <v>16</v>
      </c>
      <c r="B101" s="158" t="s">
        <v>48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hidden="1" outlineLevel="2" x14ac:dyDescent="0.3">
      <c r="A102" s="151" t="s">
        <v>16</v>
      </c>
      <c r="B102" s="152" t="s">
        <v>21</v>
      </c>
      <c r="C102" s="152" t="s">
        <v>73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161</v>
      </c>
      <c r="J102" s="163" t="s">
        <v>62</v>
      </c>
    </row>
    <row r="103" spans="1:10" ht="28.8" hidden="1" outlineLevel="2" x14ac:dyDescent="0.3">
      <c r="A103" s="151" t="s">
        <v>16</v>
      </c>
      <c r="B103" s="152" t="s">
        <v>21</v>
      </c>
      <c r="C103" s="152" t="s">
        <v>162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163</v>
      </c>
      <c r="J103" s="163" t="s">
        <v>62</v>
      </c>
    </row>
    <row r="104" spans="1:10" ht="28.8" hidden="1" outlineLevel="2" x14ac:dyDescent="0.3">
      <c r="A104" s="151" t="s">
        <v>16</v>
      </c>
      <c r="B104" s="152" t="s">
        <v>21</v>
      </c>
      <c r="C104" s="152" t="s">
        <v>164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165</v>
      </c>
      <c r="J104" s="163" t="s">
        <v>62</v>
      </c>
    </row>
    <row r="105" spans="1:10" ht="43.2" hidden="1" outlineLevel="2" x14ac:dyDescent="0.3">
      <c r="A105" s="151" t="s">
        <v>16</v>
      </c>
      <c r="B105" s="152" t="s">
        <v>21</v>
      </c>
      <c r="C105" s="152" t="s">
        <v>89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166</v>
      </c>
      <c r="J105" s="168" t="s">
        <v>49</v>
      </c>
    </row>
    <row r="106" spans="1:10" ht="28.8" hidden="1" outlineLevel="2" x14ac:dyDescent="0.3">
      <c r="A106" s="151" t="s">
        <v>16</v>
      </c>
      <c r="B106" s="152" t="s">
        <v>21</v>
      </c>
      <c r="C106" s="152" t="s">
        <v>167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168</v>
      </c>
      <c r="J106" s="155" t="s">
        <v>45</v>
      </c>
    </row>
    <row r="107" spans="1:10" ht="43.2" hidden="1" outlineLevel="2" x14ac:dyDescent="0.3">
      <c r="A107" s="151" t="s">
        <v>16</v>
      </c>
      <c r="B107" s="152" t="s">
        <v>21</v>
      </c>
      <c r="C107" s="152" t="s">
        <v>115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169</v>
      </c>
      <c r="J107" s="168" t="s">
        <v>49</v>
      </c>
    </row>
    <row r="108" spans="1:10" ht="28.8" hidden="1" outlineLevel="2" x14ac:dyDescent="0.3">
      <c r="A108" s="151" t="s">
        <v>16</v>
      </c>
      <c r="B108" s="152" t="s">
        <v>21</v>
      </c>
      <c r="C108" s="152" t="s">
        <v>72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170</v>
      </c>
      <c r="J108" s="163" t="s">
        <v>62</v>
      </c>
    </row>
    <row r="109" spans="1:10" ht="28.8" hidden="1" outlineLevel="2" x14ac:dyDescent="0.3">
      <c r="A109" s="151" t="s">
        <v>16</v>
      </c>
      <c r="B109" s="152" t="s">
        <v>21</v>
      </c>
      <c r="C109" s="152" t="s">
        <v>171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61</v>
      </c>
      <c r="J109" s="163" t="s">
        <v>62</v>
      </c>
    </row>
    <row r="110" spans="1:10" ht="28.8" hidden="1" outlineLevel="2" x14ac:dyDescent="0.3">
      <c r="A110" s="151" t="s">
        <v>16</v>
      </c>
      <c r="B110" s="152" t="s">
        <v>21</v>
      </c>
      <c r="C110" s="152" t="s">
        <v>172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173</v>
      </c>
      <c r="J110" s="163" t="s">
        <v>62</v>
      </c>
    </row>
    <row r="111" spans="1:10" hidden="1" outlineLevel="1" x14ac:dyDescent="0.3">
      <c r="A111" s="157" t="s">
        <v>16</v>
      </c>
      <c r="B111" s="158" t="s">
        <v>75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hidden="1" outlineLevel="2" x14ac:dyDescent="0.3">
      <c r="A112" s="151" t="s">
        <v>16</v>
      </c>
      <c r="B112" s="152" t="s">
        <v>22</v>
      </c>
      <c r="C112" s="152" t="s">
        <v>174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175</v>
      </c>
      <c r="J112" s="168" t="s">
        <v>49</v>
      </c>
    </row>
    <row r="113" spans="1:10" ht="28.8" hidden="1" outlineLevel="2" x14ac:dyDescent="0.3">
      <c r="A113" s="151" t="s">
        <v>16</v>
      </c>
      <c r="B113" s="152" t="s">
        <v>22</v>
      </c>
      <c r="C113" s="152" t="s">
        <v>176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177</v>
      </c>
      <c r="J113" s="168" t="s">
        <v>49</v>
      </c>
    </row>
    <row r="114" spans="1:10" ht="43.2" hidden="1" outlineLevel="2" x14ac:dyDescent="0.3">
      <c r="A114" s="151" t="s">
        <v>16</v>
      </c>
      <c r="B114" s="152" t="s">
        <v>22</v>
      </c>
      <c r="C114" s="152" t="s">
        <v>56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178</v>
      </c>
      <c r="J114" s="168" t="s">
        <v>49</v>
      </c>
    </row>
    <row r="115" spans="1:10" ht="28.8" hidden="1" outlineLevel="2" x14ac:dyDescent="0.3">
      <c r="A115" s="151" t="s">
        <v>16</v>
      </c>
      <c r="B115" s="152" t="s">
        <v>22</v>
      </c>
      <c r="C115" s="152" t="s">
        <v>179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180</v>
      </c>
      <c r="J115" s="169" t="s">
        <v>49</v>
      </c>
    </row>
    <row r="116" spans="1:10" ht="28.8" hidden="1" outlineLevel="2" x14ac:dyDescent="0.3">
      <c r="A116" s="151" t="s">
        <v>16</v>
      </c>
      <c r="B116" s="152" t="s">
        <v>22</v>
      </c>
      <c r="C116" s="152" t="s">
        <v>181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182</v>
      </c>
      <c r="J116" s="163" t="s">
        <v>45</v>
      </c>
    </row>
    <row r="117" spans="1:10" ht="43.2" hidden="1" outlineLevel="2" x14ac:dyDescent="0.3">
      <c r="A117" s="151" t="s">
        <v>16</v>
      </c>
      <c r="B117" s="152" t="s">
        <v>22</v>
      </c>
      <c r="C117" s="152" t="s">
        <v>43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183</v>
      </c>
      <c r="J117" s="169" t="s">
        <v>49</v>
      </c>
    </row>
    <row r="118" spans="1:10" ht="28.8" hidden="1" outlineLevel="2" x14ac:dyDescent="0.3">
      <c r="A118" s="151" t="s">
        <v>16</v>
      </c>
      <c r="B118" s="152" t="s">
        <v>22</v>
      </c>
      <c r="C118" s="152" t="s">
        <v>184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185</v>
      </c>
      <c r="J118" s="163" t="s">
        <v>62</v>
      </c>
    </row>
    <row r="119" spans="1:10" ht="43.2" hidden="1" outlineLevel="2" x14ac:dyDescent="0.3">
      <c r="A119" s="151" t="s">
        <v>16</v>
      </c>
      <c r="B119" s="152" t="s">
        <v>22</v>
      </c>
      <c r="C119" s="152" t="s">
        <v>63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186</v>
      </c>
      <c r="J119" s="169" t="s">
        <v>58</v>
      </c>
    </row>
    <row r="120" spans="1:10" ht="28.8" hidden="1" outlineLevel="2" x14ac:dyDescent="0.3">
      <c r="A120" s="151" t="s">
        <v>16</v>
      </c>
      <c r="B120" s="152" t="s">
        <v>22</v>
      </c>
      <c r="C120" s="152" t="s">
        <v>187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188</v>
      </c>
      <c r="J120" s="155" t="s">
        <v>45</v>
      </c>
    </row>
    <row r="121" spans="1:10" ht="28.8" hidden="1" outlineLevel="2" x14ac:dyDescent="0.3">
      <c r="A121" s="151" t="s">
        <v>16</v>
      </c>
      <c r="B121" s="152" t="s">
        <v>22</v>
      </c>
      <c r="C121" s="152" t="s">
        <v>189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165</v>
      </c>
      <c r="J121" s="163" t="s">
        <v>62</v>
      </c>
    </row>
    <row r="122" spans="1:10" ht="28.8" hidden="1" outlineLevel="2" x14ac:dyDescent="0.3">
      <c r="A122" s="151" t="s">
        <v>16</v>
      </c>
      <c r="B122" s="152" t="s">
        <v>22</v>
      </c>
      <c r="C122" s="152" t="s">
        <v>190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191</v>
      </c>
      <c r="J122" s="168" t="s">
        <v>49</v>
      </c>
    </row>
    <row r="123" spans="1:10" hidden="1" outlineLevel="1" x14ac:dyDescent="0.3">
      <c r="A123" s="157" t="s">
        <v>16</v>
      </c>
      <c r="B123" s="158" t="s">
        <v>65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hidden="1" outlineLevel="2" x14ac:dyDescent="0.3">
      <c r="A124" s="151" t="s">
        <v>16</v>
      </c>
      <c r="B124" s="152" t="s">
        <v>23</v>
      </c>
      <c r="C124" s="152" t="s">
        <v>192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193</v>
      </c>
      <c r="J124" s="163" t="s">
        <v>62</v>
      </c>
    </row>
    <row r="125" spans="1:10" ht="28.8" hidden="1" outlineLevel="2" x14ac:dyDescent="0.3">
      <c r="A125" s="151" t="s">
        <v>16</v>
      </c>
      <c r="B125" s="152" t="s">
        <v>23</v>
      </c>
      <c r="C125" s="152" t="s">
        <v>194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165</v>
      </c>
      <c r="J125" s="163" t="s">
        <v>62</v>
      </c>
    </row>
    <row r="126" spans="1:10" ht="28.8" hidden="1" outlineLevel="2" x14ac:dyDescent="0.3">
      <c r="A126" s="151" t="s">
        <v>16</v>
      </c>
      <c r="B126" s="152" t="s">
        <v>23</v>
      </c>
      <c r="C126" s="152" t="s">
        <v>195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61</v>
      </c>
      <c r="J126" s="163" t="s">
        <v>62</v>
      </c>
    </row>
    <row r="127" spans="1:10" hidden="1" outlineLevel="1" x14ac:dyDescent="0.3">
      <c r="A127" s="157" t="s">
        <v>16</v>
      </c>
      <c r="B127" s="158" t="s">
        <v>67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hidden="1" outlineLevel="2" x14ac:dyDescent="0.3">
      <c r="A128" s="151" t="s">
        <v>16</v>
      </c>
      <c r="B128" s="152" t="s">
        <v>24</v>
      </c>
      <c r="C128" s="152" t="s">
        <v>196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61</v>
      </c>
      <c r="J128" s="163" t="s">
        <v>62</v>
      </c>
    </row>
    <row r="129" spans="1:10" ht="28.8" hidden="1" outlineLevel="2" x14ac:dyDescent="0.3">
      <c r="A129" s="151" t="s">
        <v>16</v>
      </c>
      <c r="B129" s="152" t="s">
        <v>24</v>
      </c>
      <c r="C129" s="152" t="s">
        <v>197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198</v>
      </c>
      <c r="J129" s="155" t="s">
        <v>42</v>
      </c>
    </row>
    <row r="130" spans="1:10" ht="28.8" hidden="1" outlineLevel="2" x14ac:dyDescent="0.3">
      <c r="A130" s="151" t="s">
        <v>16</v>
      </c>
      <c r="B130" s="152" t="s">
        <v>24</v>
      </c>
      <c r="C130" s="152" t="s">
        <v>199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200</v>
      </c>
      <c r="J130" s="163" t="s">
        <v>62</v>
      </c>
    </row>
    <row r="131" spans="1:10" ht="28.8" hidden="1" outlineLevel="2" x14ac:dyDescent="0.3">
      <c r="A131" s="151" t="s">
        <v>16</v>
      </c>
      <c r="B131" s="152" t="s">
        <v>24</v>
      </c>
      <c r="C131" s="152" t="s">
        <v>201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202</v>
      </c>
      <c r="J131" s="155" t="s">
        <v>42</v>
      </c>
    </row>
    <row r="132" spans="1:10" hidden="1" outlineLevel="1" x14ac:dyDescent="0.3">
      <c r="A132" s="157" t="s">
        <v>16</v>
      </c>
      <c r="B132" s="158" t="s">
        <v>139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hidden="1" outlineLevel="2" x14ac:dyDescent="0.3">
      <c r="A133" s="151" t="s">
        <v>16</v>
      </c>
      <c r="B133" s="152" t="s">
        <v>25</v>
      </c>
      <c r="C133" s="152" t="s">
        <v>203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61</v>
      </c>
      <c r="J133" s="163" t="s">
        <v>62</v>
      </c>
    </row>
    <row r="134" spans="1:10" ht="28.8" hidden="1" outlineLevel="2" x14ac:dyDescent="0.3">
      <c r="A134" s="151" t="s">
        <v>16</v>
      </c>
      <c r="B134" s="152" t="s">
        <v>25</v>
      </c>
      <c r="C134" s="152" t="s">
        <v>120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61</v>
      </c>
      <c r="J134" s="163" t="s">
        <v>62</v>
      </c>
    </row>
    <row r="135" spans="1:10" ht="28.8" hidden="1" outlineLevel="2" x14ac:dyDescent="0.3">
      <c r="A135" s="151" t="s">
        <v>16</v>
      </c>
      <c r="B135" s="152" t="s">
        <v>25</v>
      </c>
      <c r="C135" s="152" t="s">
        <v>73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204</v>
      </c>
      <c r="J135" s="169" t="s">
        <v>49</v>
      </c>
    </row>
    <row r="136" spans="1:10" ht="28.8" hidden="1" outlineLevel="2" x14ac:dyDescent="0.3">
      <c r="A136" s="151" t="s">
        <v>16</v>
      </c>
      <c r="B136" s="152" t="s">
        <v>25</v>
      </c>
      <c r="C136" s="152" t="s">
        <v>205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61</v>
      </c>
      <c r="J136" s="163" t="s">
        <v>62</v>
      </c>
    </row>
    <row r="137" spans="1:10" ht="28.8" hidden="1" outlineLevel="2" x14ac:dyDescent="0.3">
      <c r="A137" s="151" t="s">
        <v>16</v>
      </c>
      <c r="B137" s="152" t="s">
        <v>25</v>
      </c>
      <c r="C137" s="152" t="s">
        <v>206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61</v>
      </c>
      <c r="J137" s="163" t="s">
        <v>62</v>
      </c>
    </row>
    <row r="138" spans="1:10" ht="28.8" hidden="1" outlineLevel="2" x14ac:dyDescent="0.3">
      <c r="A138" s="151" t="s">
        <v>16</v>
      </c>
      <c r="B138" s="152" t="s">
        <v>25</v>
      </c>
      <c r="C138" s="152" t="s">
        <v>207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61</v>
      </c>
      <c r="J138" s="163" t="s">
        <v>62</v>
      </c>
    </row>
    <row r="139" spans="1:10" ht="28.8" hidden="1" outlineLevel="2" x14ac:dyDescent="0.3">
      <c r="A139" s="151" t="s">
        <v>16</v>
      </c>
      <c r="B139" s="152" t="s">
        <v>25</v>
      </c>
      <c r="C139" s="152" t="s">
        <v>208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61</v>
      </c>
      <c r="J139" s="163" t="s">
        <v>62</v>
      </c>
    </row>
    <row r="140" spans="1:10" ht="28.8" hidden="1" outlineLevel="2" x14ac:dyDescent="0.3">
      <c r="A140" s="151" t="s">
        <v>16</v>
      </c>
      <c r="B140" s="152" t="s">
        <v>25</v>
      </c>
      <c r="C140" s="152" t="s">
        <v>209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165</v>
      </c>
      <c r="J140" s="163" t="s">
        <v>62</v>
      </c>
    </row>
    <row r="141" spans="1:10" ht="28.8" hidden="1" outlineLevel="2" x14ac:dyDescent="0.3">
      <c r="A141" s="151" t="s">
        <v>16</v>
      </c>
      <c r="B141" s="152" t="s">
        <v>25</v>
      </c>
      <c r="C141" s="152" t="s">
        <v>210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211</v>
      </c>
      <c r="J141" s="169" t="s">
        <v>49</v>
      </c>
    </row>
    <row r="142" spans="1:10" ht="28.8" hidden="1" outlineLevel="2" x14ac:dyDescent="0.3">
      <c r="A142" s="151" t="s">
        <v>16</v>
      </c>
      <c r="B142" s="152" t="s">
        <v>25</v>
      </c>
      <c r="C142" s="152" t="s">
        <v>212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213</v>
      </c>
      <c r="J142" s="155" t="s">
        <v>45</v>
      </c>
    </row>
    <row r="143" spans="1:10" ht="28.8" hidden="1" outlineLevel="2" x14ac:dyDescent="0.3">
      <c r="A143" s="151" t="s">
        <v>16</v>
      </c>
      <c r="B143" s="152" t="s">
        <v>25</v>
      </c>
      <c r="C143" s="152" t="s">
        <v>214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165</v>
      </c>
      <c r="J143" s="163" t="s">
        <v>62</v>
      </c>
    </row>
    <row r="144" spans="1:10" hidden="1" outlineLevel="2" x14ac:dyDescent="0.3">
      <c r="A144" s="151" t="s">
        <v>16</v>
      </c>
      <c r="B144" s="152" t="s">
        <v>25</v>
      </c>
      <c r="C144" s="152" t="s">
        <v>215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216</v>
      </c>
      <c r="J144" s="163" t="s">
        <v>42</v>
      </c>
    </row>
    <row r="145" spans="1:10" ht="28.8" hidden="1" outlineLevel="2" x14ac:dyDescent="0.3">
      <c r="A145" s="151" t="s">
        <v>16</v>
      </c>
      <c r="B145" s="152" t="s">
        <v>25</v>
      </c>
      <c r="C145" s="152" t="s">
        <v>217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165</v>
      </c>
      <c r="J145" s="163" t="s">
        <v>62</v>
      </c>
    </row>
    <row r="146" spans="1:10" hidden="1" outlineLevel="1" x14ac:dyDescent="0.3">
      <c r="A146" s="157" t="s">
        <v>16</v>
      </c>
      <c r="B146" s="158" t="s">
        <v>70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collapsed="1" x14ac:dyDescent="0.3">
      <c r="A147" s="171" t="s">
        <v>218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27790704.496833332</v>
      </c>
      <c r="G149" s="176">
        <f t="shared" si="12"/>
        <v>45235541.13356667</v>
      </c>
      <c r="H149" s="176">
        <f t="shared" si="12"/>
        <v>447143.17741666734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10" priority="1">
      <formula>$J2="Hard Opportunity"</formula>
    </cfRule>
    <cfRule type="expression" dxfId="9" priority="2">
      <formula>$J2="Hard Risk"</formula>
    </cfRule>
    <cfRule type="expression" dxfId="8" priority="3">
      <formula>$J2="Soft Opportunity"</formula>
    </cfRule>
    <cfRule type="expression" dxfId="7" priority="4">
      <formula>$J2="Soft Risk"</formula>
    </cfRule>
  </conditionalFormatting>
  <conditionalFormatting sqref="J2:J149">
    <cfRule type="expression" dxfId="6" priority="5">
      <formula>$J2="Hard Opportunity"</formula>
    </cfRule>
    <cfRule type="expression" dxfId="5" priority="6">
      <formula>$J2="Hard Risk"</formula>
    </cfRule>
    <cfRule type="expression" dxfId="4" priority="7">
      <formula>$J2="Soft Opportunity"</formula>
    </cfRule>
    <cfRule type="expression" dxfId="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219</v>
      </c>
      <c r="B4" t="s">
        <v>220</v>
      </c>
    </row>
    <row r="5" spans="1:2" x14ac:dyDescent="0.3">
      <c r="A5" t="s">
        <v>221</v>
      </c>
      <c r="B5" s="142">
        <v>-0.38999999966472387</v>
      </c>
    </row>
    <row r="6" spans="1:2" x14ac:dyDescent="0.3">
      <c r="A6" t="s">
        <v>222</v>
      </c>
      <c r="B6" s="142">
        <v>-29778.150000000023</v>
      </c>
    </row>
    <row r="7" spans="1:2" x14ac:dyDescent="0.3">
      <c r="A7" t="s">
        <v>223</v>
      </c>
      <c r="B7" s="142">
        <v>0</v>
      </c>
    </row>
    <row r="8" spans="1:2" x14ac:dyDescent="0.3">
      <c r="A8" t="s">
        <v>224</v>
      </c>
      <c r="B8" s="142">
        <v>-1820.9400000000005</v>
      </c>
    </row>
    <row r="9" spans="1:2" x14ac:dyDescent="0.3">
      <c r="A9" t="s">
        <v>225</v>
      </c>
      <c r="B9" s="142">
        <v>0</v>
      </c>
    </row>
    <row r="10" spans="1:2" x14ac:dyDescent="0.3">
      <c r="A10" t="s">
        <v>226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6035C-D353-4412-97DD-AD926F43E16E}">
  <dimension ref="A2:H12"/>
  <sheetViews>
    <sheetView showGridLines="0" workbookViewId="0">
      <selection activeCell="C8" sqref="C8"/>
    </sheetView>
  </sheetViews>
  <sheetFormatPr defaultRowHeight="14.4" x14ac:dyDescent="0.3"/>
  <cols>
    <col min="1" max="1" width="30.6640625" bestFit="1" customWidth="1"/>
    <col min="2" max="2" width="21.88671875" bestFit="1" customWidth="1"/>
    <col min="3" max="3" width="20.44140625" bestFit="1" customWidth="1"/>
    <col min="4" max="4" width="21.44140625" bestFit="1" customWidth="1"/>
    <col min="5" max="5" width="28.21875" bestFit="1" customWidth="1"/>
    <col min="6" max="6" width="15" bestFit="1" customWidth="1"/>
    <col min="7" max="7" width="21.6640625" bestFit="1" customWidth="1"/>
    <col min="8" max="8" width="21.7773437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0</v>
      </c>
      <c r="B2" t="s">
        <v>1</v>
      </c>
    </row>
    <row r="4" spans="1:8" x14ac:dyDescent="0.3">
      <c r="A4" s="8" t="s">
        <v>19</v>
      </c>
      <c r="B4" t="s">
        <v>5</v>
      </c>
      <c r="C4" t="s">
        <v>750</v>
      </c>
      <c r="D4" t="s">
        <v>753</v>
      </c>
      <c r="E4" t="s">
        <v>6</v>
      </c>
      <c r="F4" t="s">
        <v>7</v>
      </c>
      <c r="G4" t="s">
        <v>8</v>
      </c>
      <c r="H4" t="s">
        <v>9</v>
      </c>
    </row>
    <row r="5" spans="1:8" x14ac:dyDescent="0.3">
      <c r="A5" s="9" t="s">
        <v>43</v>
      </c>
      <c r="B5" s="190">
        <v>5040610.9241499994</v>
      </c>
      <c r="C5" s="6">
        <v>1879097.4500000002</v>
      </c>
      <c r="D5" s="6">
        <v>3051017.5125000002</v>
      </c>
      <c r="E5" s="6">
        <v>4930114.9625000004</v>
      </c>
      <c r="F5" s="6">
        <v>0.37834999989718199</v>
      </c>
      <c r="G5" s="6">
        <v>-110496.34000000004</v>
      </c>
      <c r="H5" s="6">
        <v>-110495.96165000014</v>
      </c>
    </row>
    <row r="6" spans="1:8" x14ac:dyDescent="0.3">
      <c r="A6" s="191" t="s">
        <v>323</v>
      </c>
      <c r="B6" s="190">
        <v>3513891.34</v>
      </c>
      <c r="C6" s="6">
        <v>1224214</v>
      </c>
      <c r="D6" s="6">
        <v>2179181</v>
      </c>
      <c r="E6" s="6">
        <v>3403395</v>
      </c>
      <c r="F6" s="6">
        <v>0</v>
      </c>
      <c r="G6" s="6">
        <v>-110496.34</v>
      </c>
      <c r="H6" s="6">
        <v>-110496.34</v>
      </c>
    </row>
    <row r="7" spans="1:8" x14ac:dyDescent="0.3">
      <c r="A7" s="192" t="s">
        <v>10</v>
      </c>
      <c r="B7" s="190">
        <v>1190496</v>
      </c>
      <c r="C7" s="6">
        <v>800000</v>
      </c>
      <c r="D7" s="6">
        <v>280000</v>
      </c>
      <c r="E7" s="6">
        <v>1080000</v>
      </c>
      <c r="F7" s="6">
        <v>0</v>
      </c>
      <c r="G7" s="6">
        <v>-110496</v>
      </c>
      <c r="H7" s="6">
        <v>-110496</v>
      </c>
    </row>
    <row r="8" spans="1:8" x14ac:dyDescent="0.3">
      <c r="A8" s="192" t="s">
        <v>13</v>
      </c>
      <c r="B8" s="190">
        <v>2046000</v>
      </c>
      <c r="C8" s="6">
        <v>312400</v>
      </c>
      <c r="D8" s="6">
        <v>1733600</v>
      </c>
      <c r="E8" s="6">
        <v>2046000</v>
      </c>
      <c r="F8" s="6">
        <v>0</v>
      </c>
      <c r="G8" s="6">
        <v>0</v>
      </c>
      <c r="H8" s="6">
        <v>0</v>
      </c>
    </row>
    <row r="9" spans="1:8" x14ac:dyDescent="0.3">
      <c r="A9" s="192" t="s">
        <v>14</v>
      </c>
      <c r="B9" s="190">
        <v>277395.33999999997</v>
      </c>
      <c r="C9" s="6">
        <v>111814</v>
      </c>
      <c r="D9" s="6">
        <v>165581</v>
      </c>
      <c r="E9" s="6">
        <v>277395</v>
      </c>
      <c r="F9" s="6">
        <v>0</v>
      </c>
      <c r="G9" s="6">
        <v>-0.33999999999650754</v>
      </c>
      <c r="H9" s="6">
        <v>-0.33999999999650754</v>
      </c>
    </row>
    <row r="10" spans="1:8" x14ac:dyDescent="0.3">
      <c r="A10" s="191" t="s">
        <v>301</v>
      </c>
      <c r="B10" s="190">
        <v>1526719.58415</v>
      </c>
      <c r="C10" s="6">
        <v>654883.45000000007</v>
      </c>
      <c r="D10" s="6">
        <v>871836.51249999995</v>
      </c>
      <c r="E10" s="6">
        <v>1526719.9624999999</v>
      </c>
      <c r="F10" s="6">
        <v>0.37834999989718199</v>
      </c>
      <c r="G10" s="6">
        <v>-4.3655745685100555E-11</v>
      </c>
      <c r="H10" s="6">
        <v>0.37834999985352624</v>
      </c>
    </row>
    <row r="11" spans="1:8" x14ac:dyDescent="0.3">
      <c r="A11" s="192" t="s">
        <v>16</v>
      </c>
      <c r="B11" s="190">
        <v>1526719.58415</v>
      </c>
      <c r="C11" s="6">
        <v>654883.45000000007</v>
      </c>
      <c r="D11" s="6">
        <v>871836.51249999995</v>
      </c>
      <c r="E11" s="6">
        <v>1526719.9624999999</v>
      </c>
      <c r="F11" s="6">
        <v>0.37834999989718199</v>
      </c>
      <c r="G11" s="6">
        <v>-4.3655745685100555E-11</v>
      </c>
      <c r="H11" s="6">
        <v>0.37834999985352624</v>
      </c>
    </row>
    <row r="12" spans="1:8" x14ac:dyDescent="0.3">
      <c r="A12" s="9" t="s">
        <v>17</v>
      </c>
      <c r="B12" s="6">
        <v>5040610.9241499994</v>
      </c>
      <c r="C12" s="6">
        <v>1879097.4500000002</v>
      </c>
      <c r="D12" s="6">
        <v>3051017.5125000002</v>
      </c>
      <c r="E12" s="6">
        <v>4930114.9625000004</v>
      </c>
      <c r="F12" s="6">
        <v>0.37834999989718199</v>
      </c>
      <c r="G12" s="6">
        <v>-110496.34000000004</v>
      </c>
      <c r="H12" s="6">
        <v>-110495.96165000014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7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227</v>
      </c>
      <c r="D1" s="23" t="s">
        <v>219</v>
      </c>
      <c r="E1" s="23" t="s">
        <v>228</v>
      </c>
      <c r="F1" s="23" t="s">
        <v>229</v>
      </c>
      <c r="G1" s="23" t="s">
        <v>30</v>
      </c>
      <c r="H1" s="24" t="s">
        <v>230</v>
      </c>
      <c r="I1" s="24" t="s">
        <v>231</v>
      </c>
      <c r="J1" s="24" t="s">
        <v>232</v>
      </c>
      <c r="K1" s="23" t="s">
        <v>233</v>
      </c>
      <c r="L1" s="23" t="s">
        <v>4</v>
      </c>
      <c r="M1" s="23" t="s">
        <v>18</v>
      </c>
      <c r="N1" s="23" t="s">
        <v>234</v>
      </c>
      <c r="O1" s="25" t="s">
        <v>235</v>
      </c>
      <c r="P1" s="23" t="s">
        <v>236</v>
      </c>
      <c r="Q1" s="23" t="s">
        <v>237</v>
      </c>
      <c r="R1" s="23" t="s">
        <v>238</v>
      </c>
      <c r="S1" s="23" t="s">
        <v>239</v>
      </c>
      <c r="T1" s="25" t="s">
        <v>240</v>
      </c>
      <c r="U1" s="26" t="s">
        <v>241</v>
      </c>
      <c r="V1" s="26" t="s">
        <v>34</v>
      </c>
      <c r="W1" s="26" t="s">
        <v>242</v>
      </c>
      <c r="X1" s="28" t="s">
        <v>243</v>
      </c>
      <c r="Y1" s="27" t="s">
        <v>244</v>
      </c>
      <c r="Z1" s="27" t="s">
        <v>37</v>
      </c>
      <c r="AA1" s="29" t="s">
        <v>245</v>
      </c>
      <c r="AB1" s="26" t="s">
        <v>246</v>
      </c>
      <c r="AC1" s="26" t="s">
        <v>247</v>
      </c>
      <c r="AD1" s="26" t="s">
        <v>248</v>
      </c>
      <c r="AE1" s="26" t="s">
        <v>249</v>
      </c>
      <c r="AF1" s="25" t="s">
        <v>250</v>
      </c>
      <c r="AG1" s="25" t="s">
        <v>251</v>
      </c>
      <c r="AH1" s="25" t="s">
        <v>252</v>
      </c>
      <c r="AI1" s="25" t="s">
        <v>253</v>
      </c>
      <c r="AJ1" s="25" t="s">
        <v>254</v>
      </c>
      <c r="AK1" s="25" t="s">
        <v>255</v>
      </c>
      <c r="AL1" s="25" t="s">
        <v>256</v>
      </c>
      <c r="AM1" s="25" t="s">
        <v>257</v>
      </c>
      <c r="AN1" s="25" t="s">
        <v>258</v>
      </c>
      <c r="AO1" s="30" t="s">
        <v>259</v>
      </c>
      <c r="AP1" s="69" t="s">
        <v>260</v>
      </c>
      <c r="AQ1" s="69" t="s">
        <v>261</v>
      </c>
      <c r="AR1" s="69" t="s">
        <v>262</v>
      </c>
      <c r="AS1" s="69" t="s">
        <v>263</v>
      </c>
      <c r="AT1" s="70" t="s">
        <v>264</v>
      </c>
      <c r="AU1" s="70" t="s">
        <v>265</v>
      </c>
      <c r="AV1" s="70" t="s">
        <v>266</v>
      </c>
      <c r="AW1" s="70" t="s">
        <v>267</v>
      </c>
      <c r="AX1" s="70" t="s">
        <v>268</v>
      </c>
      <c r="AY1" s="70" t="s">
        <v>269</v>
      </c>
      <c r="AZ1" s="70" t="s">
        <v>270</v>
      </c>
      <c r="BA1" s="70" t="s">
        <v>271</v>
      </c>
      <c r="BB1" s="78" t="s">
        <v>272</v>
      </c>
      <c r="BC1" s="72" t="s">
        <v>273</v>
      </c>
      <c r="BD1" s="72" t="s">
        <v>274</v>
      </c>
      <c r="BE1" s="72" t="s">
        <v>275</v>
      </c>
      <c r="BF1" s="72" t="s">
        <v>276</v>
      </c>
      <c r="BG1" s="73" t="s">
        <v>277</v>
      </c>
      <c r="BH1" s="73" t="s">
        <v>278</v>
      </c>
      <c r="BI1" s="73" t="s">
        <v>279</v>
      </c>
      <c r="BJ1" s="73" t="s">
        <v>280</v>
      </c>
      <c r="BK1" s="73" t="s">
        <v>281</v>
      </c>
      <c r="BL1" s="73" t="s">
        <v>282</v>
      </c>
      <c r="BM1" s="73" t="s">
        <v>283</v>
      </c>
      <c r="BN1" s="74" t="s">
        <v>284</v>
      </c>
      <c r="BO1" s="74" t="s">
        <v>285</v>
      </c>
      <c r="BP1" s="31" t="s">
        <v>286</v>
      </c>
      <c r="BQ1" s="50" t="s">
        <v>287</v>
      </c>
      <c r="BR1" s="50" t="s">
        <v>288</v>
      </c>
      <c r="BS1" s="50" t="s">
        <v>289</v>
      </c>
      <c r="BT1" s="50" t="s">
        <v>290</v>
      </c>
      <c r="BU1" s="50" t="s">
        <v>291</v>
      </c>
      <c r="BV1" s="50" t="s">
        <v>292</v>
      </c>
      <c r="BW1" s="50" t="s">
        <v>293</v>
      </c>
      <c r="BX1" s="50" t="s">
        <v>294</v>
      </c>
    </row>
    <row r="2" spans="1:76" x14ac:dyDescent="0.3">
      <c r="A2" s="22" t="s">
        <v>295</v>
      </c>
      <c r="B2" s="21" t="s">
        <v>89</v>
      </c>
      <c r="C2" s="21" t="s">
        <v>296</v>
      </c>
      <c r="D2" s="10" t="s">
        <v>297</v>
      </c>
      <c r="E2" s="7" t="s">
        <v>298</v>
      </c>
      <c r="F2" s="3" t="s">
        <v>299</v>
      </c>
      <c r="G2" s="3" t="s">
        <v>21</v>
      </c>
      <c r="H2" s="4">
        <v>45809</v>
      </c>
      <c r="I2" s="4">
        <v>46904</v>
      </c>
      <c r="J2" s="21" t="s">
        <v>300</v>
      </c>
      <c r="K2" s="3" t="str">
        <f t="shared" ref="K2:K65" si="0">D2 &amp; "-" &amp;E2</f>
        <v>Prj000350-Support - Infrastructure for Tech</v>
      </c>
      <c r="L2" s="21" t="s">
        <v>301</v>
      </c>
      <c r="M2" s="21" t="s">
        <v>16</v>
      </c>
      <c r="N2" s="21" t="s">
        <v>16</v>
      </c>
      <c r="O2" s="21" t="s">
        <v>300</v>
      </c>
      <c r="P2" s="21" t="s">
        <v>302</v>
      </c>
      <c r="Q2" s="21" t="s">
        <v>303</v>
      </c>
      <c r="R2" s="21" t="s">
        <v>303</v>
      </c>
      <c r="S2" s="21" t="s">
        <v>304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SUM(Financials202632[[#This Row],[2026 Opportunity]:[2026 Risk]])</f>
        <v>10392.666666666628</v>
      </c>
      <c r="AA2" s="3" t="s">
        <v>305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SUM(Financials202632[[#This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SUM(Financials202632[[#This Row],[Jan AC]:[Dec AC]])</f>
        <v>150416.66666666666</v>
      </c>
      <c r="BC2" s="71">
        <f>Financials202632[[#This Row],[Jan AC]]-Financials202632[[#This Row],[Jan FC]]</f>
        <v>0</v>
      </c>
      <c r="BD2" s="71">
        <f>Financials202632[[#This Row],[Feb AC]]-Financials202632[[#This Row],[Feb FC]]</f>
        <v>0</v>
      </c>
      <c r="BE2" s="71">
        <f>Financials202632[[#This Row],[Mar AC]]-Financials202632[[#This Row],[Mar FC]]</f>
        <v>0</v>
      </c>
      <c r="BF2" s="71">
        <f>Financials202632[[#This Row],[Apr AC]]-Financials202632[[#This Row],[Apr FC]]</f>
        <v>0</v>
      </c>
      <c r="BG2" s="71">
        <f>Financials202632[[#This Row],[May AC]]-Financials202632[[#This Row],[May FC]]</f>
        <v>0</v>
      </c>
      <c r="BH2" s="71">
        <f>Financials202632[[#This Row],[Jun AC]]-Financials202632[[#This Row],[Jun FC]]</f>
        <v>-31568</v>
      </c>
      <c r="BI2" s="71">
        <f>Financials202632[[#This Row],[Jul AC]]-Financials202632[[#This Row],[Jul FC]]</f>
        <v>-31568</v>
      </c>
      <c r="BJ2" s="71">
        <f>Financials202632[[#This Row],[Aug AC]]-Financials202632[[#This Row],[Aug FC]]</f>
        <v>-31568</v>
      </c>
      <c r="BK2" s="71">
        <f>Financials202632[[#This Row],[Sep AC]]-Financials202632[[#This Row],[Sep FC]]</f>
        <v>-31568</v>
      </c>
      <c r="BL2" s="71">
        <f>Financials202632[[#This Row],[Oct AC]]-Financials202632[[#This Row],[Oct FC]]</f>
        <v>-31568</v>
      </c>
      <c r="BM2" s="71">
        <f>Financials202632[[#This Row],[Nov AC]]-Financials202632[[#This Row],[Nov FC]]</f>
        <v>-31568</v>
      </c>
      <c r="BN2" s="71">
        <f>Financials202632[[#This Row],[Dec AC]]-Financials202632[[#This Row],[Dec FC]]</f>
        <v>-31568</v>
      </c>
      <c r="BO2" s="71">
        <f>SUM(Financials202632[[#This Row],[Jan Opp/Risk]:[Dec Opp./Risk]])</f>
        <v>-220976</v>
      </c>
      <c r="BP2" s="86"/>
      <c r="BQ2" s="47">
        <f>SUM(Financials202632[[#This Row],[Jan AC]:[May AC]])</f>
        <v>150416.66666666666</v>
      </c>
      <c r="BR2" s="6">
        <f>Financials202632[[#This Row],[2026 (Actuals + Forecast)]]-Financials202632[[#This Row],[Jan-May Actuals]]-Financials202632[[#This Row],[Jun-Dec FC]]</f>
        <v>0</v>
      </c>
      <c r="BS2" s="6">
        <f>Financials202632[[#This Row],[Jun-Dec FC]]+Financials202632[[#This Row],[Jan-May Forecast ]]</f>
        <v>220976</v>
      </c>
      <c r="BT2" s="6">
        <f>SUM(Financials202632[[#This Row],[Jan FC]:[May FC]])</f>
        <v>150416.66666666666</v>
      </c>
      <c r="BU2" s="6">
        <f>Financials202632[[#This Row],[Jan-May Actuals]]+Financials202632[[#This Row],[Forecast Jun-Dec]]</f>
        <v>371392.66666666663</v>
      </c>
      <c r="BV2" s="6"/>
      <c r="BW2" s="6" t="s">
        <v>16</v>
      </c>
      <c r="BX2" s="6" t="s">
        <v>306</v>
      </c>
    </row>
    <row r="3" spans="1:76" x14ac:dyDescent="0.3">
      <c r="A3" s="22" t="s">
        <v>295</v>
      </c>
      <c r="B3" s="21" t="s">
        <v>89</v>
      </c>
      <c r="C3" s="21" t="s">
        <v>296</v>
      </c>
      <c r="D3" s="10" t="s">
        <v>297</v>
      </c>
      <c r="E3" s="7" t="s">
        <v>298</v>
      </c>
      <c r="F3" s="3" t="s">
        <v>299</v>
      </c>
      <c r="G3" s="3" t="s">
        <v>21</v>
      </c>
      <c r="H3" s="4">
        <v>45809</v>
      </c>
      <c r="I3" s="4">
        <v>46904</v>
      </c>
      <c r="J3" s="21" t="s">
        <v>307</v>
      </c>
      <c r="K3" s="3" t="str">
        <f t="shared" si="0"/>
        <v>Prj000350-Support - Infrastructure for Tech</v>
      </c>
      <c r="L3" s="21" t="s">
        <v>301</v>
      </c>
      <c r="M3" s="21" t="s">
        <v>16</v>
      </c>
      <c r="N3" s="21" t="s">
        <v>16</v>
      </c>
      <c r="O3" s="21" t="s">
        <v>307</v>
      </c>
      <c r="P3" s="21" t="s">
        <v>302</v>
      </c>
      <c r="Q3" s="21" t="s">
        <v>303</v>
      </c>
      <c r="R3" s="21" t="s">
        <v>303</v>
      </c>
      <c r="S3" s="21" t="s">
        <v>304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SUM(Financials202632[[#This Row],[2026 Opportunity]:[2026 Risk]])</f>
        <v>94923.733333333337</v>
      </c>
      <c r="AA3" s="3" t="s">
        <v>308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SUM(Financials202632[[#This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SUM(Financials202632[[#This Row],[Jan AC]:[Dec AC]])</f>
        <v>74583.333333333328</v>
      </c>
      <c r="BC3" s="71">
        <f>Financials202632[[#This Row],[Jan AC]]-Financials202632[[#This Row],[Jan FC]]</f>
        <v>0</v>
      </c>
      <c r="BD3" s="71">
        <f>Financials202632[[#This Row],[Feb AC]]-Financials202632[[#This Row],[Feb FC]]</f>
        <v>0</v>
      </c>
      <c r="BE3" s="71">
        <f>Financials202632[[#This Row],[Mar AC]]-Financials202632[[#This Row],[Mar FC]]</f>
        <v>0</v>
      </c>
      <c r="BF3" s="71">
        <f>Financials202632[[#This Row],[Apr AC]]-Financials202632[[#This Row],[Apr FC]]</f>
        <v>0</v>
      </c>
      <c r="BG3" s="71">
        <f>Financials202632[[#This Row],[May AC]]-Financials202632[[#This Row],[May FC]]</f>
        <v>0</v>
      </c>
      <c r="BH3" s="71">
        <f>Financials202632[[#This Row],[Jun AC]]-Financials202632[[#This Row],[Jun FC]]</f>
        <v>-28477.200000000001</v>
      </c>
      <c r="BI3" s="71">
        <f>Financials202632[[#This Row],[Jul AC]]-Financials202632[[#This Row],[Jul FC]]</f>
        <v>-28477.200000000001</v>
      </c>
      <c r="BJ3" s="71">
        <f>Financials202632[[#This Row],[Aug AC]]-Financials202632[[#This Row],[Aug FC]]</f>
        <v>-28477.200000000001</v>
      </c>
      <c r="BK3" s="71">
        <f>Financials202632[[#This Row],[Sep AC]]-Financials202632[[#This Row],[Sep FC]]</f>
        <v>-28477.200000000001</v>
      </c>
      <c r="BL3" s="71">
        <f>Financials202632[[#This Row],[Oct AC]]-Financials202632[[#This Row],[Oct FC]]</f>
        <v>-28477.200000000001</v>
      </c>
      <c r="BM3" s="71">
        <f>Financials202632[[#This Row],[Nov AC]]-Financials202632[[#This Row],[Nov FC]]</f>
        <v>-28477.200000000001</v>
      </c>
      <c r="BN3" s="71">
        <f>Financials202632[[#This Row],[Dec AC]]-Financials202632[[#This Row],[Dec FC]]</f>
        <v>-28477.200000000001</v>
      </c>
      <c r="BO3" s="71">
        <f>SUM(Financials202632[[#This Row],[Jan Opp/Risk]:[Dec Opp./Risk]])</f>
        <v>-199340.40000000002</v>
      </c>
      <c r="BP3" s="86"/>
      <c r="BQ3" s="47">
        <f>SUM(Financials202632[[#This Row],[Jan AC]:[May AC]])</f>
        <v>74583.333333333328</v>
      </c>
      <c r="BR3" s="6">
        <f>Financials202632[[#This Row],[2026 (Actuals + Forecast)]]-Financials202632[[#This Row],[Jan-May Actuals]]-Financials202632[[#This Row],[Jun-Dec FC]]</f>
        <v>0</v>
      </c>
      <c r="BS3" s="6">
        <f>Financials202632[[#This Row],[Jun-Dec FC]]+Financials202632[[#This Row],[Jan-May Forecast ]]</f>
        <v>199340.40000000002</v>
      </c>
      <c r="BT3" s="6">
        <f>SUM(Financials202632[[#This Row],[Jan FC]:[May FC]])</f>
        <v>74583.333333333328</v>
      </c>
      <c r="BU3" s="6">
        <f>Financials202632[[#This Row],[Jan-May Actuals]]+Financials202632[[#This Row],[Forecast Jun-Dec]]</f>
        <v>273923.73333333334</v>
      </c>
      <c r="BV3" s="6"/>
      <c r="BW3" s="6" t="s">
        <v>16</v>
      </c>
      <c r="BX3" s="6" t="s">
        <v>306</v>
      </c>
    </row>
    <row r="4" spans="1:76" x14ac:dyDescent="0.3">
      <c r="A4" s="22" t="s">
        <v>309</v>
      </c>
      <c r="B4" s="21" t="s">
        <v>145</v>
      </c>
      <c r="C4" s="21"/>
      <c r="D4" s="10" t="s">
        <v>222</v>
      </c>
      <c r="E4" s="7" t="s">
        <v>310</v>
      </c>
      <c r="F4" s="3" t="s">
        <v>311</v>
      </c>
      <c r="G4" s="3" t="s">
        <v>25</v>
      </c>
      <c r="H4" s="4" t="s">
        <v>312</v>
      </c>
      <c r="I4" s="4" t="s">
        <v>312</v>
      </c>
      <c r="J4" s="3"/>
      <c r="K4" s="3" t="str">
        <f t="shared" si="0"/>
        <v>Prj000266-Support - Internal Tech Workforce Activities</v>
      </c>
      <c r="L4" s="21" t="s">
        <v>301</v>
      </c>
      <c r="M4" s="21" t="s">
        <v>15</v>
      </c>
      <c r="N4" s="21" t="s">
        <v>15</v>
      </c>
      <c r="O4" s="21"/>
      <c r="P4" s="21" t="s">
        <v>313</v>
      </c>
      <c r="Q4" s="21" t="s">
        <v>314</v>
      </c>
      <c r="R4" s="21" t="s">
        <v>315</v>
      </c>
      <c r="S4" s="21" t="s">
        <v>316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SUM(Financials202632[[#This Row],[2026 Opportunity]:[2026 Risk]])</f>
        <v>-29778.150000000023</v>
      </c>
      <c r="AA4" s="14" t="s">
        <v>317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SUM(Financials202632[[#This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SUM(Financials202632[[#This Row],[Jan AC]:[Dec AC]])</f>
        <v>83657.850000000006</v>
      </c>
      <c r="BC4" s="71">
        <f>Financials202632[[#This Row],[Jan AC]]-Financials202632[[#This Row],[Jan FC]]</f>
        <v>0</v>
      </c>
      <c r="BD4" s="71">
        <f>Financials202632[[#This Row],[Feb AC]]-Financials202632[[#This Row],[Feb FC]]</f>
        <v>0</v>
      </c>
      <c r="BE4" s="71">
        <f>Financials202632[[#This Row],[Mar AC]]-Financials202632[[#This Row],[Mar FC]]</f>
        <v>0</v>
      </c>
      <c r="BF4" s="71">
        <f>Financials202632[[#This Row],[Apr AC]]-Financials202632[[#This Row],[Apr FC]]</f>
        <v>0</v>
      </c>
      <c r="BG4" s="71">
        <f>Financials202632[[#This Row],[May AC]]-Financials202632[[#This Row],[May FC]]</f>
        <v>0</v>
      </c>
      <c r="BH4" s="71">
        <f>Financials202632[[#This Row],[Jun AC]]-Financials202632[[#This Row],[Jun FC]]</f>
        <v>0</v>
      </c>
      <c r="BI4" s="71">
        <f>Financials202632[[#This Row],[Jul AC]]-Financials202632[[#This Row],[Jul FC]]</f>
        <v>0</v>
      </c>
      <c r="BJ4" s="71">
        <f>Financials202632[[#This Row],[Aug AC]]-Financials202632[[#This Row],[Aug FC]]</f>
        <v>0</v>
      </c>
      <c r="BK4" s="71">
        <f>Financials202632[[#This Row],[Sep AC]]-Financials202632[[#This Row],[Sep FC]]</f>
        <v>0</v>
      </c>
      <c r="BL4" s="71">
        <f>Financials202632[[#This Row],[Oct AC]]-Financials202632[[#This Row],[Oct FC]]</f>
        <v>0</v>
      </c>
      <c r="BM4" s="71">
        <f>Financials202632[[#This Row],[Nov AC]]-Financials202632[[#This Row],[Nov FC]]</f>
        <v>0</v>
      </c>
      <c r="BN4" s="71">
        <f>Financials202632[[#This Row],[Dec AC]]-Financials202632[[#This Row],[Dec FC]]</f>
        <v>-146013</v>
      </c>
      <c r="BO4" s="71">
        <f>SUM(Financials202632[[#This Row],[Jan Opp/Risk]:[Dec Opp./Risk]])</f>
        <v>-146013</v>
      </c>
      <c r="BP4" s="87" t="s">
        <v>318</v>
      </c>
      <c r="BQ4" s="47">
        <f>SUM(Financials202632[[#This Row],[Jan AC]:[May AC]])</f>
        <v>83657.850000000006</v>
      </c>
      <c r="BR4" s="6">
        <f>Financials202632[[#This Row],[2026 (Actuals + Forecast)]]-Financials202632[[#This Row],[Jan-May Actuals]]-Financials202632[[#This Row],[Jun-Dec FC]]</f>
        <v>0</v>
      </c>
      <c r="BS4" s="6">
        <f>Financials202632[[#This Row],[Jun-Dec FC]]+Financials202632[[#This Row],[Jan-May Forecast ]]</f>
        <v>146013</v>
      </c>
      <c r="BT4" s="6">
        <f>SUM(Financials202632[[#This Row],[Jan FC]:[May FC]])</f>
        <v>83657.850000000006</v>
      </c>
      <c r="BU4" s="6">
        <f>Financials202632[[#This Row],[Jan-May Actuals]]+Financials202632[[#This Row],[Forecast Jun-Dec]]</f>
        <v>229670.85</v>
      </c>
      <c r="BV4" s="6"/>
      <c r="BW4" s="6" t="s">
        <v>319</v>
      </c>
      <c r="BX4" s="6" t="s">
        <v>306</v>
      </c>
    </row>
    <row r="5" spans="1:76" x14ac:dyDescent="0.3">
      <c r="A5" s="22" t="s">
        <v>295</v>
      </c>
      <c r="B5" s="21" t="s">
        <v>117</v>
      </c>
      <c r="C5" s="21"/>
      <c r="D5" s="10" t="s">
        <v>320</v>
      </c>
      <c r="E5" s="7" t="s">
        <v>321</v>
      </c>
      <c r="F5" s="3" t="s">
        <v>322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323</v>
      </c>
      <c r="M5" s="21" t="s">
        <v>14</v>
      </c>
      <c r="N5" s="21" t="s">
        <v>324</v>
      </c>
      <c r="O5" s="21" t="s">
        <v>10</v>
      </c>
      <c r="P5" s="21" t="s">
        <v>325</v>
      </c>
      <c r="Q5" s="21" t="s">
        <v>326</v>
      </c>
      <c r="R5" s="21" t="s">
        <v>327</v>
      </c>
      <c r="S5" s="21" t="s">
        <v>328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SUM(Financials202632[[#This Row],[2026 Opportunity]:[2026 Risk]])</f>
        <v>0</v>
      </c>
      <c r="AA5" s="14" t="s">
        <v>329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SUM(Financials202632[[#This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SUM(Financials202632[[#This Row],[Jan AC]:[Dec AC]])</f>
        <v>54415</v>
      </c>
      <c r="BC5" s="71">
        <f>Financials202632[[#This Row],[Jan AC]]-Financials202632[[#This Row],[Jan FC]]</f>
        <v>0</v>
      </c>
      <c r="BD5" s="71">
        <f>Financials202632[[#This Row],[Feb AC]]-Financials202632[[#This Row],[Feb FC]]</f>
        <v>0</v>
      </c>
      <c r="BE5" s="71">
        <f>Financials202632[[#This Row],[Mar AC]]-Financials202632[[#This Row],[Mar FC]]</f>
        <v>1075</v>
      </c>
      <c r="BF5" s="71">
        <f>Financials202632[[#This Row],[Apr AC]]-Financials202632[[#This Row],[Apr FC]]</f>
        <v>0</v>
      </c>
      <c r="BG5" s="71">
        <f>Financials202632[[#This Row],[May AC]]-Financials202632[[#This Row],[May FC]]</f>
        <v>7740</v>
      </c>
      <c r="BH5" s="71">
        <f>Financials202632[[#This Row],[Jun AC]]-Financials202632[[#This Row],[Jun FC]]</f>
        <v>0</v>
      </c>
      <c r="BI5" s="71">
        <f>Financials202632[[#This Row],[Jul AC]]-Financials202632[[#This Row],[Jul FC]]</f>
        <v>-7600</v>
      </c>
      <c r="BJ5" s="71">
        <f>Financials202632[[#This Row],[Aug AC]]-Financials202632[[#This Row],[Aug FC]]</f>
        <v>-7600</v>
      </c>
      <c r="BK5" s="71">
        <f>Financials202632[[#This Row],[Sep AC]]-Financials202632[[#This Row],[Sep FC]]</f>
        <v>-7600</v>
      </c>
      <c r="BL5" s="71">
        <f>Financials202632[[#This Row],[Oct AC]]-Financials202632[[#This Row],[Oct FC]]</f>
        <v>-7600</v>
      </c>
      <c r="BM5" s="71">
        <f>Financials202632[[#This Row],[Nov AC]]-Financials202632[[#This Row],[Nov FC]]</f>
        <v>-7600</v>
      </c>
      <c r="BN5" s="71">
        <f>Financials202632[[#This Row],[Dec AC]]-Financials202632[[#This Row],[Dec FC]]</f>
        <v>-7585</v>
      </c>
      <c r="BO5" s="71">
        <f>SUM(Financials202632[[#This Row],[Jan Opp/Risk]:[Dec Opp./Risk]])</f>
        <v>-36770</v>
      </c>
      <c r="BP5" s="88" t="s">
        <v>330</v>
      </c>
      <c r="BQ5" s="47">
        <f>SUM(Financials202632[[#This Row],[Jan AC]:[May AC]])</f>
        <v>46815</v>
      </c>
      <c r="BR5" s="6">
        <f>Financials202632[[#This Row],[2026 (Actuals + Forecast)]]-Financials202632[[#This Row],[Jan-May Actuals]]-Financials202632[[#This Row],[Jun-Dec FC]]</f>
        <v>0</v>
      </c>
      <c r="BS5" s="6">
        <f>Financials202632[[#This Row],[Jun-Dec FC]]+Financials202632[[#This Row],[Jan-May Forecast ]]</f>
        <v>53185</v>
      </c>
      <c r="BT5" s="6">
        <f>SUM(Financials202632[[#This Row],[Jan FC]:[May FC]])</f>
        <v>38000</v>
      </c>
      <c r="BU5" s="6">
        <f>Financials202632[[#This Row],[Jan-May Actuals]]+Financials202632[[#This Row],[Forecast Jun-Dec]]</f>
        <v>100000</v>
      </c>
      <c r="BV5" s="6"/>
      <c r="BW5" s="6" t="s">
        <v>331</v>
      </c>
      <c r="BX5" s="6" t="s">
        <v>306</v>
      </c>
    </row>
    <row r="6" spans="1:76" x14ac:dyDescent="0.3">
      <c r="A6" s="22" t="s">
        <v>295</v>
      </c>
      <c r="B6" s="21" t="s">
        <v>172</v>
      </c>
      <c r="C6" s="21" t="s">
        <v>332</v>
      </c>
      <c r="D6" s="10" t="s">
        <v>297</v>
      </c>
      <c r="E6" s="7" t="s">
        <v>298</v>
      </c>
      <c r="F6" s="3" t="s">
        <v>299</v>
      </c>
      <c r="G6" s="3" t="s">
        <v>21</v>
      </c>
      <c r="H6" s="4">
        <v>45853</v>
      </c>
      <c r="I6" s="4">
        <v>46217</v>
      </c>
      <c r="J6" s="3" t="s">
        <v>332</v>
      </c>
      <c r="K6" s="3" t="str">
        <f t="shared" si="0"/>
        <v>Prj000350-Support - Infrastructure for Tech</v>
      </c>
      <c r="L6" s="21" t="s">
        <v>301</v>
      </c>
      <c r="M6" s="21" t="s">
        <v>16</v>
      </c>
      <c r="N6" s="21" t="s">
        <v>16</v>
      </c>
      <c r="O6" s="21"/>
      <c r="P6" s="21" t="s">
        <v>302</v>
      </c>
      <c r="Q6" s="21" t="s">
        <v>303</v>
      </c>
      <c r="R6" s="21" t="s">
        <v>303</v>
      </c>
      <c r="S6" s="21" t="s">
        <v>333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SUM(Financials202632[[#This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SUM(Financials202632[[#This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SUM(Financials202632[[#This Row],[Jan AC]:[Dec AC]])</f>
        <v>0</v>
      </c>
      <c r="BC6" s="71">
        <f>Financials202632[[#This Row],[Jan AC]]-Financials202632[[#This Row],[Jan FC]]</f>
        <v>0</v>
      </c>
      <c r="BD6" s="71">
        <f>Financials202632[[#This Row],[Feb AC]]-Financials202632[[#This Row],[Feb FC]]</f>
        <v>0</v>
      </c>
      <c r="BE6" s="71">
        <f>Financials202632[[#This Row],[Mar AC]]-Financials202632[[#This Row],[Mar FC]]</f>
        <v>0</v>
      </c>
      <c r="BF6" s="71">
        <f>Financials202632[[#This Row],[Apr AC]]-Financials202632[[#This Row],[Apr FC]]</f>
        <v>0</v>
      </c>
      <c r="BG6" s="71">
        <f>Financials202632[[#This Row],[May AC]]-Financials202632[[#This Row],[May FC]]</f>
        <v>0</v>
      </c>
      <c r="BH6" s="71">
        <f>Financials202632[[#This Row],[Jun AC]]-Financials202632[[#This Row],[Jun FC]]</f>
        <v>0</v>
      </c>
      <c r="BI6" s="71">
        <f>Financials202632[[#This Row],[Jul AC]]-Financials202632[[#This Row],[Jul FC]]</f>
        <v>-39512</v>
      </c>
      <c r="BJ6" s="71">
        <f>Financials202632[[#This Row],[Aug AC]]-Financials202632[[#This Row],[Aug FC]]</f>
        <v>0</v>
      </c>
      <c r="BK6" s="71">
        <f>Financials202632[[#This Row],[Sep AC]]-Financials202632[[#This Row],[Sep FC]]</f>
        <v>0</v>
      </c>
      <c r="BL6" s="71">
        <f>Financials202632[[#This Row],[Oct AC]]-Financials202632[[#This Row],[Oct FC]]</f>
        <v>0</v>
      </c>
      <c r="BM6" s="71">
        <f>Financials202632[[#This Row],[Nov AC]]-Financials202632[[#This Row],[Nov FC]]</f>
        <v>0</v>
      </c>
      <c r="BN6" s="71">
        <f>Financials202632[[#This Row],[Dec AC]]-Financials202632[[#This Row],[Dec FC]]</f>
        <v>0</v>
      </c>
      <c r="BO6" s="71">
        <f>SUM(Financials202632[[#This Row],[Jan Opp/Risk]:[Dec Opp./Risk]])</f>
        <v>-39512</v>
      </c>
      <c r="BP6" s="87"/>
      <c r="BQ6" s="47">
        <f>SUM(Financials202632[[#This Row],[Jan AC]:[May AC]])</f>
        <v>0</v>
      </c>
      <c r="BR6" s="6">
        <f>Financials202632[[#This Row],[2026 (Actuals + Forecast)]]-Financials202632[[#This Row],[Jan-May Actuals]]-Financials202632[[#This Row],[Jun-Dec FC]]</f>
        <v>0</v>
      </c>
      <c r="BS6" s="6">
        <f>Financials202632[[#This Row],[Jun-Dec FC]]+Financials202632[[#This Row],[Jan-May Forecast ]]</f>
        <v>39512</v>
      </c>
      <c r="BT6" s="6">
        <f>SUM(Financials202632[[#This Row],[Jan FC]:[May FC]])</f>
        <v>0</v>
      </c>
      <c r="BU6" s="6">
        <f>Financials202632[[#This Row],[Jan-May Actuals]]+Financials202632[[#This Row],[Forecast Jun-Dec]]</f>
        <v>39512</v>
      </c>
      <c r="BV6" s="6"/>
      <c r="BW6" s="6" t="s">
        <v>16</v>
      </c>
      <c r="BX6" s="6" t="s">
        <v>306</v>
      </c>
    </row>
    <row r="7" spans="1:76" s="18" customFormat="1" x14ac:dyDescent="0.3">
      <c r="A7" s="22" t="s">
        <v>295</v>
      </c>
      <c r="B7" s="21" t="s">
        <v>179</v>
      </c>
      <c r="C7" s="21"/>
      <c r="D7" s="10" t="s">
        <v>320</v>
      </c>
      <c r="E7" s="7" t="s">
        <v>321</v>
      </c>
      <c r="F7" s="3" t="s">
        <v>322</v>
      </c>
      <c r="G7" s="3" t="s">
        <v>22</v>
      </c>
      <c r="H7" s="4" t="s">
        <v>312</v>
      </c>
      <c r="I7" s="4" t="s">
        <v>312</v>
      </c>
      <c r="J7" s="3"/>
      <c r="K7" s="3" t="str">
        <f t="shared" si="0"/>
        <v>Prj000344-Support - Prod support for Finance Applications</v>
      </c>
      <c r="L7" s="21" t="s">
        <v>301</v>
      </c>
      <c r="M7" s="21" t="s">
        <v>16</v>
      </c>
      <c r="N7" s="21" t="s">
        <v>16</v>
      </c>
      <c r="O7" s="21"/>
      <c r="P7" s="21" t="s">
        <v>302</v>
      </c>
      <c r="Q7" s="21" t="s">
        <v>334</v>
      </c>
      <c r="R7" s="21" t="s">
        <v>335</v>
      </c>
      <c r="S7" s="21" t="s">
        <v>336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SUM(Financials202632[[#This Row],[2026 Opportunity]:[2026 Risk]])</f>
        <v>0</v>
      </c>
      <c r="AA7" s="14" t="s">
        <v>337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SUM(Financials202632[[#This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SUM(Financials202632[[#This Row],[Jan AC]:[Dec AC]])</f>
        <v>0</v>
      </c>
      <c r="BC7" s="71">
        <f>Financials202632[[#This Row],[Jan AC]]-Financials202632[[#This Row],[Jan FC]]</f>
        <v>0</v>
      </c>
      <c r="BD7" s="71">
        <f>Financials202632[[#This Row],[Feb AC]]-Financials202632[[#This Row],[Feb FC]]</f>
        <v>0</v>
      </c>
      <c r="BE7" s="71">
        <f>Financials202632[[#This Row],[Mar AC]]-Financials202632[[#This Row],[Mar FC]]</f>
        <v>0</v>
      </c>
      <c r="BF7" s="71">
        <f>Financials202632[[#This Row],[Apr AC]]-Financials202632[[#This Row],[Apr FC]]</f>
        <v>0</v>
      </c>
      <c r="BG7" s="71">
        <f>Financials202632[[#This Row],[May AC]]-Financials202632[[#This Row],[May FC]]</f>
        <v>0</v>
      </c>
      <c r="BH7" s="71">
        <f>Financials202632[[#This Row],[Jun AC]]-Financials202632[[#This Row],[Jun FC]]</f>
        <v>0</v>
      </c>
      <c r="BI7" s="71">
        <f>Financials202632[[#This Row],[Jul AC]]-Financials202632[[#This Row],[Jul FC]]</f>
        <v>0</v>
      </c>
      <c r="BJ7" s="71">
        <f>Financials202632[[#This Row],[Aug AC]]-Financials202632[[#This Row],[Aug FC]]</f>
        <v>0</v>
      </c>
      <c r="BK7" s="71">
        <f>Financials202632[[#This Row],[Sep AC]]-Financials202632[[#This Row],[Sep FC]]</f>
        <v>0</v>
      </c>
      <c r="BL7" s="71">
        <f>Financials202632[[#This Row],[Oct AC]]-Financials202632[[#This Row],[Oct FC]]</f>
        <v>0</v>
      </c>
      <c r="BM7" s="71">
        <f>Financials202632[[#This Row],[Nov AC]]-Financials202632[[#This Row],[Nov FC]]</f>
        <v>0</v>
      </c>
      <c r="BN7" s="71">
        <f>Financials202632[[#This Row],[Dec AC]]-Financials202632[[#This Row],[Dec FC]]</f>
        <v>-14700</v>
      </c>
      <c r="BO7" s="71">
        <f>SUM(Financials202632[[#This Row],[Jan Opp/Risk]:[Dec Opp./Risk]])</f>
        <v>-14700</v>
      </c>
      <c r="BP7" s="87"/>
      <c r="BQ7" s="48">
        <f>SUM(Financials202632[[#This Row],[Jan AC]:[May AC]])</f>
        <v>0</v>
      </c>
      <c r="BR7" s="145">
        <f>Financials202632[[#This Row],[2026 (Actuals + Forecast)]]-Financials202632[[#This Row],[Jan-May Actuals]]-Financials202632[[#This Row],[Jun-Dec FC]]</f>
        <v>0</v>
      </c>
      <c r="BS7" s="6">
        <f>Financials202632[[#This Row],[Jun-Dec FC]]+Financials202632[[#This Row],[Jan-May Forecast ]]</f>
        <v>14700</v>
      </c>
      <c r="BT7" s="6">
        <f>SUM(Financials202632[[#This Row],[Jan FC]:[May FC]])</f>
        <v>0</v>
      </c>
      <c r="BU7" s="6">
        <f>Financials202632[[#This Row],[Jan-May Actuals]]+Financials202632[[#This Row],[Forecast Jun-Dec]]</f>
        <v>14700</v>
      </c>
      <c r="BV7" s="6"/>
      <c r="BW7" s="6" t="s">
        <v>16</v>
      </c>
      <c r="BX7" s="6" t="s">
        <v>306</v>
      </c>
    </row>
    <row r="8" spans="1:76" x14ac:dyDescent="0.3">
      <c r="A8" s="22" t="s">
        <v>295</v>
      </c>
      <c r="B8" s="21" t="s">
        <v>179</v>
      </c>
      <c r="C8" s="21"/>
      <c r="D8" s="10" t="s">
        <v>338</v>
      </c>
      <c r="E8" s="7" t="s">
        <v>339</v>
      </c>
      <c r="F8" s="3" t="s">
        <v>322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301</v>
      </c>
      <c r="M8" s="21" t="s">
        <v>16</v>
      </c>
      <c r="N8" s="21" t="s">
        <v>16</v>
      </c>
      <c r="O8" s="21"/>
      <c r="P8" s="21" t="s">
        <v>302</v>
      </c>
      <c r="Q8" s="21" t="s">
        <v>334</v>
      </c>
      <c r="R8" s="21" t="s">
        <v>335</v>
      </c>
      <c r="S8" s="21" t="s">
        <v>333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SUM(Financials202632[[#This Row],[2026 Opportunity]:[2026 Risk]])</f>
        <v>41250</v>
      </c>
      <c r="AA8" s="14" t="s">
        <v>340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SUM(Financials202632[[#This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SUM(Financials202632[[#This Row],[Jan AC]:[Dec AC]])</f>
        <v>9900</v>
      </c>
      <c r="BC8" s="71">
        <f>Financials202632[[#This Row],[Jan AC]]-Financials202632[[#This Row],[Jan FC]]</f>
        <v>0</v>
      </c>
      <c r="BD8" s="71">
        <f>Financials202632[[#This Row],[Feb AC]]-Financials202632[[#This Row],[Feb FC]]</f>
        <v>0</v>
      </c>
      <c r="BE8" s="71">
        <f>Financials202632[[#This Row],[Mar AC]]-Financials202632[[#This Row],[Mar FC]]</f>
        <v>0</v>
      </c>
      <c r="BF8" s="71">
        <f>Financials202632[[#This Row],[Apr AC]]-Financials202632[[#This Row],[Apr FC]]</f>
        <v>0</v>
      </c>
      <c r="BG8" s="71">
        <f>Financials202632[[#This Row],[May AC]]-Financials202632[[#This Row],[May FC]]</f>
        <v>0</v>
      </c>
      <c r="BH8" s="71">
        <f>Financials202632[[#This Row],[Jun AC]]-Financials202632[[#This Row],[Jun FC]]</f>
        <v>0</v>
      </c>
      <c r="BI8" s="71">
        <f>Financials202632[[#This Row],[Jul AC]]-Financials202632[[#This Row],[Jul FC]]</f>
        <v>0</v>
      </c>
      <c r="BJ8" s="71">
        <f>Financials202632[[#This Row],[Aug AC]]-Financials202632[[#This Row],[Aug FC]]</f>
        <v>0</v>
      </c>
      <c r="BK8" s="71">
        <f>Financials202632[[#This Row],[Sep AC]]-Financials202632[[#This Row],[Sep FC]]</f>
        <v>0</v>
      </c>
      <c r="BL8" s="71">
        <f>Financials202632[[#This Row],[Oct AC]]-Financials202632[[#This Row],[Oct FC]]</f>
        <v>0</v>
      </c>
      <c r="BM8" s="71">
        <f>Financials202632[[#This Row],[Nov AC]]-Financials202632[[#This Row],[Nov FC]]</f>
        <v>0</v>
      </c>
      <c r="BN8" s="71">
        <f>Financials202632[[#This Row],[Dec AC]]-Financials202632[[#This Row],[Dec FC]]</f>
        <v>-31350</v>
      </c>
      <c r="BO8" s="71">
        <f>SUM(Financials202632[[#This Row],[Jan Opp/Risk]:[Dec Opp./Risk]])</f>
        <v>-31350</v>
      </c>
      <c r="BP8" s="87" t="s">
        <v>341</v>
      </c>
      <c r="BQ8" s="48">
        <f>SUM(Financials202632[[#This Row],[Jan AC]:[May AC]])</f>
        <v>9900</v>
      </c>
      <c r="BR8" s="6">
        <f>Financials202632[[#This Row],[2026 (Actuals + Forecast)]]-Financials202632[[#This Row],[Jan-May Actuals]]-Financials202632[[#This Row],[Jun-Dec FC]]</f>
        <v>0</v>
      </c>
      <c r="BS8" s="6">
        <f>Financials202632[[#This Row],[Jun-Dec FC]]+Financials202632[[#This Row],[Jan-May Forecast ]]</f>
        <v>31350</v>
      </c>
      <c r="BT8" s="6">
        <f>SUM(Financials202632[[#This Row],[Jan FC]:[May FC]])</f>
        <v>9900</v>
      </c>
      <c r="BU8" s="6">
        <f>Financials202632[[#This Row],[Jan-May Actuals]]+Financials202632[[#This Row],[Forecast Jun-Dec]]</f>
        <v>41250</v>
      </c>
      <c r="BV8" s="6"/>
      <c r="BW8" s="6" t="s">
        <v>16</v>
      </c>
      <c r="BX8" s="6" t="s">
        <v>342</v>
      </c>
    </row>
    <row r="9" spans="1:76" x14ac:dyDescent="0.3">
      <c r="A9" s="22" t="s">
        <v>295</v>
      </c>
      <c r="B9" s="21" t="s">
        <v>201</v>
      </c>
      <c r="C9" s="21" t="s">
        <v>343</v>
      </c>
      <c r="D9" s="10" t="s">
        <v>223</v>
      </c>
      <c r="E9" s="7" t="s">
        <v>344</v>
      </c>
      <c r="F9" s="3" t="s">
        <v>345</v>
      </c>
      <c r="G9" s="3" t="s">
        <v>24</v>
      </c>
      <c r="H9" s="4" t="s">
        <v>346</v>
      </c>
      <c r="I9" s="4" t="s">
        <v>346</v>
      </c>
      <c r="J9" s="3"/>
      <c r="K9" s="3" t="str">
        <f t="shared" si="0"/>
        <v>Prj000290-Support - Asset Management Applications</v>
      </c>
      <c r="L9" s="21" t="s">
        <v>301</v>
      </c>
      <c r="M9" s="21" t="s">
        <v>16</v>
      </c>
      <c r="N9" s="21" t="s">
        <v>16</v>
      </c>
      <c r="O9" s="21" t="s">
        <v>10</v>
      </c>
      <c r="P9" s="21" t="s">
        <v>302</v>
      </c>
      <c r="Q9" s="21" t="s">
        <v>303</v>
      </c>
      <c r="R9" s="21" t="s">
        <v>347</v>
      </c>
      <c r="S9" s="21" t="s">
        <v>348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SUM(Financials202632[[#This Row],[2026 Opportunity]:[2026 Risk]])</f>
        <v>0</v>
      </c>
      <c r="AA9" s="14" t="s">
        <v>349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SUM(Financials202632[[#This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SUM(Financials202632[[#This Row],[Jan AC]:[Dec AC]])</f>
        <v>3500</v>
      </c>
      <c r="BC9" s="71">
        <f>Financials202632[[#This Row],[Jan AC]]-Financials202632[[#This Row],[Jan FC]]</f>
        <v>-2500</v>
      </c>
      <c r="BD9" s="71">
        <f>Financials202632[[#This Row],[Feb AC]]-Financials202632[[#This Row],[Feb FC]]</f>
        <v>-1000</v>
      </c>
      <c r="BE9" s="71">
        <f>Financials202632[[#This Row],[Mar AC]]-Financials202632[[#This Row],[Mar FC]]</f>
        <v>-3500</v>
      </c>
      <c r="BF9" s="71">
        <f>Financials202632[[#This Row],[Apr AC]]-Financials202632[[#This Row],[Apr FC]]</f>
        <v>-3500</v>
      </c>
      <c r="BG9" s="71">
        <f>Financials202632[[#This Row],[May AC]]-Financials202632[[#This Row],[May FC]]</f>
        <v>-3500</v>
      </c>
      <c r="BH9" s="71">
        <f>Financials202632[[#This Row],[Jun AC]]-Financials202632[[#This Row],[Jun FC]]</f>
        <v>-3500</v>
      </c>
      <c r="BI9" s="71">
        <f>Financials202632[[#This Row],[Jul AC]]-Financials202632[[#This Row],[Jul FC]]</f>
        <v>-3500</v>
      </c>
      <c r="BJ9" s="71">
        <f>Financials202632[[#This Row],[Aug AC]]-Financials202632[[#This Row],[Aug FC]]</f>
        <v>-3500</v>
      </c>
      <c r="BK9" s="71">
        <f>Financials202632[[#This Row],[Sep AC]]-Financials202632[[#This Row],[Sep FC]]</f>
        <v>-3500</v>
      </c>
      <c r="BL9" s="71">
        <f>Financials202632[[#This Row],[Oct AC]]-Financials202632[[#This Row],[Oct FC]]</f>
        <v>-3500</v>
      </c>
      <c r="BM9" s="71">
        <f>Financials202632[[#This Row],[Nov AC]]-Financials202632[[#This Row],[Nov FC]]</f>
        <v>-3500</v>
      </c>
      <c r="BN9" s="71">
        <f>Financials202632[[#This Row],[Dec AC]]-Financials202632[[#This Row],[Dec FC]]</f>
        <v>-7000</v>
      </c>
      <c r="BO9" s="71">
        <f>SUM(Financials202632[[#This Row],[Jan Opp/Risk]:[Dec Opp./Risk]])</f>
        <v>-42000</v>
      </c>
      <c r="BP9" s="87" t="s">
        <v>350</v>
      </c>
      <c r="BQ9" s="47">
        <f>SUM(Financials202632[[#This Row],[Jan AC]:[May AC]])</f>
        <v>3500</v>
      </c>
      <c r="BR9" s="6">
        <f>Financials202632[[#This Row],[2026 (Actuals + Forecast)]]-Financials202632[[#This Row],[Jan-May Actuals]]-Financials202632[[#This Row],[Jun-Dec FC]]</f>
        <v>10500</v>
      </c>
      <c r="BS9" s="6">
        <f>Financials202632[[#This Row],[Jun-Dec FC]]+Financials202632[[#This Row],[Jan-May Forecast ]]</f>
        <v>38500</v>
      </c>
      <c r="BT9" s="6">
        <f>SUM(Financials202632[[#This Row],[Jan FC]:[May FC]])</f>
        <v>17500</v>
      </c>
      <c r="BU9" s="6">
        <f>Financials202632[[#This Row],[Jan-May Actuals]]+Financials202632[[#This Row],[Forecast Jun-Dec]]</f>
        <v>42000</v>
      </c>
      <c r="BV9" s="6"/>
      <c r="BW9" s="6" t="s">
        <v>16</v>
      </c>
      <c r="BX9" s="6" t="s">
        <v>306</v>
      </c>
    </row>
    <row r="10" spans="1:76" x14ac:dyDescent="0.3">
      <c r="A10" s="22" t="s">
        <v>295</v>
      </c>
      <c r="B10" s="21" t="s">
        <v>73</v>
      </c>
      <c r="C10" s="21"/>
      <c r="D10" s="10" t="s">
        <v>297</v>
      </c>
      <c r="E10" s="7" t="s">
        <v>298</v>
      </c>
      <c r="F10" s="3" t="s">
        <v>299</v>
      </c>
      <c r="G10" s="3" t="s">
        <v>21</v>
      </c>
      <c r="H10" s="4" t="s">
        <v>346</v>
      </c>
      <c r="I10" s="4" t="s">
        <v>346</v>
      </c>
      <c r="J10" s="3"/>
      <c r="K10" s="3" t="str">
        <f t="shared" si="0"/>
        <v>Prj000350-Support - Infrastructure for Tech</v>
      </c>
      <c r="L10" s="21" t="s">
        <v>301</v>
      </c>
      <c r="M10" s="21" t="s">
        <v>12</v>
      </c>
      <c r="N10" s="21" t="s">
        <v>12</v>
      </c>
      <c r="O10" s="21"/>
      <c r="P10" s="21" t="s">
        <v>302</v>
      </c>
      <c r="Q10" s="21" t="s">
        <v>351</v>
      </c>
      <c r="R10" s="21" t="s">
        <v>351</v>
      </c>
      <c r="S10" s="21" t="s">
        <v>328</v>
      </c>
      <c r="T10" s="5">
        <v>237545.39</v>
      </c>
      <c r="U10" s="15">
        <v>180000</v>
      </c>
      <c r="V10" s="15">
        <f>180000-5625</f>
        <v>174375</v>
      </c>
      <c r="W10" s="15">
        <f t="shared" si="1"/>
        <v>165100.70000000001</v>
      </c>
      <c r="X10" s="15">
        <f t="shared" si="7"/>
        <v>-9274.2999999999884</v>
      </c>
      <c r="Y10" s="15">
        <f t="shared" si="2"/>
        <v>0</v>
      </c>
      <c r="Z10" s="15">
        <f>SUM(Financials202632[[#This Row],[2026 Opportunity]:[2026 Risk]])</f>
        <v>-9274.2999999999884</v>
      </c>
      <c r="AA10" s="3" t="s">
        <v>352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SUM(Financials202632[[#This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SUM(Financials202632[[#This Row],[Jan AC]:[Dec AC]])</f>
        <v>55025.7</v>
      </c>
      <c r="BC10" s="71">
        <f>Financials202632[[#This Row],[Jan AC]]-Financials202632[[#This Row],[Jan FC]]</f>
        <v>-3994.8600000000006</v>
      </c>
      <c r="BD10" s="71">
        <f>Financials202632[[#This Row],[Feb AC]]-Financials202632[[#This Row],[Feb FC]]</f>
        <v>-3994.8600000000006</v>
      </c>
      <c r="BE10" s="71">
        <f>Financials202632[[#This Row],[Mar AC]]-Financials202632[[#This Row],[Mar FC]]</f>
        <v>-3994.8600000000006</v>
      </c>
      <c r="BF10" s="71">
        <f>Financials202632[[#This Row],[Apr AC]]-Financials202632[[#This Row],[Apr FC]]</f>
        <v>-3994.8600000000006</v>
      </c>
      <c r="BG10" s="71">
        <f>Financials202632[[#This Row],[May AC]]-Financials202632[[#This Row],[May FC]]</f>
        <v>-3994.8600000000006</v>
      </c>
      <c r="BH10" s="71">
        <f>Financials202632[[#This Row],[Jun AC]]-Financials202632[[#This Row],[Jun FC]]</f>
        <v>-15725</v>
      </c>
      <c r="BI10" s="71">
        <f>Financials202632[[#This Row],[Jul AC]]-Financials202632[[#This Row],[Jul FC]]</f>
        <v>-15725</v>
      </c>
      <c r="BJ10" s="71">
        <f>Financials202632[[#This Row],[Aug AC]]-Financials202632[[#This Row],[Aug FC]]</f>
        <v>-15725</v>
      </c>
      <c r="BK10" s="71">
        <f>Financials202632[[#This Row],[Sep AC]]-Financials202632[[#This Row],[Sep FC]]</f>
        <v>-15725</v>
      </c>
      <c r="BL10" s="71">
        <f>Financials202632[[#This Row],[Oct AC]]-Financials202632[[#This Row],[Oct FC]]</f>
        <v>-15725</v>
      </c>
      <c r="BM10" s="71">
        <f>Financials202632[[#This Row],[Nov AC]]-Financials202632[[#This Row],[Nov FC]]</f>
        <v>-15725</v>
      </c>
      <c r="BN10" s="71">
        <f>Financials202632[[#This Row],[Dec AC]]-Financials202632[[#This Row],[Dec FC]]</f>
        <v>-15725</v>
      </c>
      <c r="BO10" s="71">
        <f>SUM(Financials202632[[#This Row],[Jan Opp/Risk]:[Dec Opp./Risk]])</f>
        <v>-130049.3</v>
      </c>
      <c r="BP10" s="88" t="s">
        <v>353</v>
      </c>
      <c r="BQ10" s="47">
        <f>SUM(Financials202632[[#This Row],[Jan AC]:[May AC]])</f>
        <v>55025.7</v>
      </c>
      <c r="BR10" s="6">
        <f>Financials202632[[#This Row],[2026 (Actuals + Forecast)]]-Financials202632[[#This Row],[Jan-May Actuals]]-Financials202632[[#This Row],[Jun-Dec FC]]</f>
        <v>0</v>
      </c>
      <c r="BS10" s="6">
        <f>Financials202632[[#This Row],[Jun-Dec FC]]+Financials202632[[#This Row],[Jan-May Forecast ]]</f>
        <v>110075</v>
      </c>
      <c r="BT10" s="6">
        <f>SUM(Financials202632[[#This Row],[Jan FC]:[May FC]])</f>
        <v>75000</v>
      </c>
      <c r="BU10" s="6">
        <f>Financials202632[[#This Row],[Jan-May Actuals]]+Financials202632[[#This Row],[Forecast Jun-Dec]]</f>
        <v>165100.70000000001</v>
      </c>
      <c r="BV10" s="6"/>
      <c r="BW10" s="21" t="s">
        <v>12</v>
      </c>
      <c r="BX10" s="6" t="s">
        <v>306</v>
      </c>
    </row>
    <row r="11" spans="1:76" x14ac:dyDescent="0.3">
      <c r="A11" s="22" t="s">
        <v>295</v>
      </c>
      <c r="B11" s="21" t="s">
        <v>85</v>
      </c>
      <c r="C11" s="21"/>
      <c r="D11" s="10" t="s">
        <v>297</v>
      </c>
      <c r="E11" s="7" t="s">
        <v>298</v>
      </c>
      <c r="F11" s="3" t="s">
        <v>299</v>
      </c>
      <c r="G11" s="3" t="s">
        <v>21</v>
      </c>
      <c r="H11" s="4" t="s">
        <v>346</v>
      </c>
      <c r="I11" s="4" t="s">
        <v>346</v>
      </c>
      <c r="J11" s="3"/>
      <c r="K11" s="3" t="str">
        <f t="shared" si="0"/>
        <v>Prj000350-Support - Infrastructure for Tech</v>
      </c>
      <c r="L11" s="21" t="s">
        <v>301</v>
      </c>
      <c r="M11" s="21" t="s">
        <v>12</v>
      </c>
      <c r="N11" s="21" t="s">
        <v>12</v>
      </c>
      <c r="O11" s="21" t="s">
        <v>354</v>
      </c>
      <c r="P11" s="21" t="s">
        <v>302</v>
      </c>
      <c r="Q11" s="21" t="s">
        <v>351</v>
      </c>
      <c r="R11" s="21" t="s">
        <v>351</v>
      </c>
      <c r="S11" s="21" t="s">
        <v>328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SUM(Financials202632[[#This Row],[2026 Opportunity]:[2026 Risk]])</f>
        <v>388.54999999999563</v>
      </c>
      <c r="AA11" s="3" t="s">
        <v>355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SUM(Financials202632[[#This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SUM(Financials202632[[#This Row],[Jan AC]:[Dec AC]])</f>
        <v>18056.259999999998</v>
      </c>
      <c r="BC11" s="71">
        <f>Financials202632[[#This Row],[Jan AC]]-Financials202632[[#This Row],[Jan FC]]</f>
        <v>-140.28999999999996</v>
      </c>
      <c r="BD11" s="71">
        <f>Financials202632[[#This Row],[Feb AC]]-Financials202632[[#This Row],[Feb FC]]</f>
        <v>-140.28999999999996</v>
      </c>
      <c r="BE11" s="71">
        <f>Financials202632[[#This Row],[Mar AC]]-Financials202632[[#This Row],[Mar FC]]</f>
        <v>-140.28999999999996</v>
      </c>
      <c r="BF11" s="71">
        <f>Financials202632[[#This Row],[Apr AC]]-Financials202632[[#This Row],[Apr FC]]</f>
        <v>799.71</v>
      </c>
      <c r="BG11" s="71">
        <f>Financials202632[[#This Row],[May AC]]-Financials202632[[#This Row],[May FC]]</f>
        <v>9.7100000000000364</v>
      </c>
      <c r="BH11" s="71">
        <f>Financials202632[[#This Row],[Jun AC]]-Financials202632[[#This Row],[Jun FC]]</f>
        <v>9.7100000000000364</v>
      </c>
      <c r="BI11" s="71">
        <f>Financials202632[[#This Row],[Jul AC]]-Financials202632[[#This Row],[Jul FC]]</f>
        <v>-2943</v>
      </c>
      <c r="BJ11" s="71">
        <f>Financials202632[[#This Row],[Aug AC]]-Financials202632[[#This Row],[Aug FC]]</f>
        <v>-2943</v>
      </c>
      <c r="BK11" s="71">
        <f>Financials202632[[#This Row],[Sep AC]]-Financials202632[[#This Row],[Sep FC]]</f>
        <v>-2943</v>
      </c>
      <c r="BL11" s="71">
        <f>Financials202632[[#This Row],[Oct AC]]-Financials202632[[#This Row],[Oct FC]]</f>
        <v>-2943</v>
      </c>
      <c r="BM11" s="71">
        <f>Financials202632[[#This Row],[Nov AC]]-Financials202632[[#This Row],[Nov FC]]</f>
        <v>-2943</v>
      </c>
      <c r="BN11" s="71">
        <f>Financials202632[[#This Row],[Dec AC]]-Financials202632[[#This Row],[Dec FC]]</f>
        <v>-2941</v>
      </c>
      <c r="BO11" s="71">
        <f>SUM(Financials202632[[#This Row],[Jan Opp/Risk]:[Dec Opp./Risk]])</f>
        <v>-17257.739999999998</v>
      </c>
      <c r="BP11" s="87" t="s">
        <v>356</v>
      </c>
      <c r="BQ11" s="47">
        <f>SUM(Financials202632[[#This Row],[Jan AC]:[May AC]])</f>
        <v>15103.55</v>
      </c>
      <c r="BR11" s="6">
        <f>Financials202632[[#This Row],[2026 (Actuals + Forecast)]]-Financials202632[[#This Row],[Jan-May Actuals]]-Financials202632[[#This Row],[Jun-Dec FC]]</f>
        <v>0</v>
      </c>
      <c r="BS11" s="6">
        <f>Financials202632[[#This Row],[Jun-Dec FC]]+Financials202632[[#This Row],[Jan-May Forecast ]]</f>
        <v>20599</v>
      </c>
      <c r="BT11" s="6">
        <f>SUM(Financials202632[[#This Row],[Jan FC]:[May FC]])</f>
        <v>14715</v>
      </c>
      <c r="BU11" s="6">
        <f>Financials202632[[#This Row],[Jan-May Actuals]]+Financials202632[[#This Row],[Forecast Jun-Dec]]</f>
        <v>35702.550000000003</v>
      </c>
      <c r="BV11" s="6"/>
      <c r="BW11" s="21" t="s">
        <v>12</v>
      </c>
      <c r="BX11" s="6" t="s">
        <v>306</v>
      </c>
    </row>
    <row r="12" spans="1:76" x14ac:dyDescent="0.3">
      <c r="A12" s="22" t="s">
        <v>295</v>
      </c>
      <c r="B12" s="21" t="s">
        <v>87</v>
      </c>
      <c r="C12" s="21" t="s">
        <v>357</v>
      </c>
      <c r="D12" s="10" t="s">
        <v>297</v>
      </c>
      <c r="E12" s="7" t="s">
        <v>298</v>
      </c>
      <c r="F12" s="3" t="s">
        <v>299</v>
      </c>
      <c r="G12" s="3" t="s">
        <v>21</v>
      </c>
      <c r="H12" s="4" t="s">
        <v>346</v>
      </c>
      <c r="I12" s="4" t="s">
        <v>346</v>
      </c>
      <c r="J12" s="3"/>
      <c r="K12" s="3" t="str">
        <f t="shared" si="0"/>
        <v>Prj000350-Support - Infrastructure for Tech</v>
      </c>
      <c r="L12" s="21" t="s">
        <v>301</v>
      </c>
      <c r="M12" s="21" t="s">
        <v>12</v>
      </c>
      <c r="N12" s="21" t="s">
        <v>12</v>
      </c>
      <c r="O12" s="21" t="s">
        <v>354</v>
      </c>
      <c r="P12" s="21" t="s">
        <v>302</v>
      </c>
      <c r="Q12" s="21" t="s">
        <v>351</v>
      </c>
      <c r="R12" s="21" t="s">
        <v>351</v>
      </c>
      <c r="S12" s="21" t="s">
        <v>328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SUM(Financials202632[[#This Row],[2026 Opportunity]:[2026 Risk]])</f>
        <v>-503.06333333333168</v>
      </c>
      <c r="AA12" s="3" t="s">
        <v>355</v>
      </c>
      <c r="AB12" s="52">
        <f>Financials202632[[#This Row],[2026 Final Budget]]/12</f>
        <v>2119.9166666666665</v>
      </c>
      <c r="AC12" s="52">
        <f>Financials202632[[#This Row],[2026 Final Budget]]/12</f>
        <v>2119.9166666666665</v>
      </c>
      <c r="AD12" s="52">
        <f>Financials202632[[#This Row],[2026 Final Budget]]/12</f>
        <v>2119.9166666666665</v>
      </c>
      <c r="AE12" s="52">
        <f>Financials202632[[#This Row],[2026 Final Budget]]/12</f>
        <v>2119.9166666666665</v>
      </c>
      <c r="AF12" s="52">
        <f>Financials202632[[#This Row],[2026 Final Budget]]/12</f>
        <v>2119.9166666666665</v>
      </c>
      <c r="AG12" s="52">
        <f>Financials202632[[#This Row],[2026 Final Budget]]/12</f>
        <v>2119.9166666666665</v>
      </c>
      <c r="AH12" s="52">
        <f>Financials202632[[#This Row],[2026 Final Budget]]/12</f>
        <v>2119.9166666666665</v>
      </c>
      <c r="AI12" s="52">
        <f>Financials202632[[#This Row],[2026 Final Budget]]/12</f>
        <v>2119.9166666666665</v>
      </c>
      <c r="AJ12" s="52">
        <f>Financials202632[[#This Row],[2026 Final Budget]]/12</f>
        <v>2119.9166666666665</v>
      </c>
      <c r="AK12" s="52">
        <f>Financials202632[[#This Row],[2026 Final Budget]]/12</f>
        <v>2119.9166666666665</v>
      </c>
      <c r="AL12" s="52">
        <f>Financials202632[[#This Row],[2026 Final Budget]]/12</f>
        <v>2119.9166666666665</v>
      </c>
      <c r="AM12" s="52">
        <f>Financials202632[[#This Row],[2026 Final Budget]]/12</f>
        <v>2119.9166666666665</v>
      </c>
      <c r="AN12" s="52">
        <f>SUM(Financials202632[[#This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SUM(Financials202632[[#This Row],[Jan AC]:[Dec AC]])</f>
        <v>12115.970000000001</v>
      </c>
      <c r="BC12" s="71">
        <f>Financials202632[[#This Row],[Jan AC]]-Financials202632[[#This Row],[Jan FC]]</f>
        <v>-100.77666666666642</v>
      </c>
      <c r="BD12" s="71">
        <f>Financials202632[[#This Row],[Feb AC]]-Financials202632[[#This Row],[Feb FC]]</f>
        <v>-100.67666666666651</v>
      </c>
      <c r="BE12" s="71">
        <f>Financials202632[[#This Row],[Mar AC]]-Financials202632[[#This Row],[Mar FC]]</f>
        <v>-100.67666666666651</v>
      </c>
      <c r="BF12" s="71">
        <f>Financials202632[[#This Row],[Apr AC]]-Financials202632[[#This Row],[Apr FC]]</f>
        <v>-100.46666666666647</v>
      </c>
      <c r="BG12" s="71">
        <f>Financials202632[[#This Row],[May AC]]-Financials202632[[#This Row],[May FC]]</f>
        <v>-100.46666666666647</v>
      </c>
      <c r="BH12" s="71">
        <f>Financials202632[[#This Row],[Jun AC]]-Financials202632[[#This Row],[Jun FC]]</f>
        <v>-100.46666666666647</v>
      </c>
      <c r="BI12" s="71">
        <f>Financials202632[[#This Row],[Jul AC]]-Financials202632[[#This Row],[Jul FC]]</f>
        <v>-2119.9166666666665</v>
      </c>
      <c r="BJ12" s="71">
        <f>Financials202632[[#This Row],[Aug AC]]-Financials202632[[#This Row],[Aug FC]]</f>
        <v>-2119.9166666666665</v>
      </c>
      <c r="BK12" s="71">
        <f>Financials202632[[#This Row],[Sep AC]]-Financials202632[[#This Row],[Sep FC]]</f>
        <v>-2119.9166666666665</v>
      </c>
      <c r="BL12" s="71">
        <f>Financials202632[[#This Row],[Oct AC]]-Financials202632[[#This Row],[Oct FC]]</f>
        <v>-2119.9166666666665</v>
      </c>
      <c r="BM12" s="71">
        <f>Financials202632[[#This Row],[Nov AC]]-Financials202632[[#This Row],[Nov FC]]</f>
        <v>-2119.9166666666665</v>
      </c>
      <c r="BN12" s="71">
        <f>Financials202632[[#This Row],[Dec AC]]-Financials202632[[#This Row],[Dec FC]]</f>
        <v>-2119.9166666666665</v>
      </c>
      <c r="BO12" s="71">
        <f>SUM(Financials202632[[#This Row],[Jan Opp/Risk]:[Dec Opp./Risk]])</f>
        <v>-13323.029999999997</v>
      </c>
      <c r="BP12" s="87" t="s">
        <v>356</v>
      </c>
      <c r="BQ12" s="47">
        <f>SUM(Financials202632[[#This Row],[Jan AC]:[May AC]])</f>
        <v>10096.52</v>
      </c>
      <c r="BR12" s="6">
        <f>Financials202632[[#This Row],[2026 (Actuals + Forecast)]]-Financials202632[[#This Row],[Jan-May Actuals]]-Financials202632[[#This Row],[Jun-Dec FC]]</f>
        <v>0</v>
      </c>
      <c r="BS12" s="6">
        <f>Financials202632[[#This Row],[Jun-Dec FC]]+Financials202632[[#This Row],[Jan-May Forecast ]]</f>
        <v>14839.416666666664</v>
      </c>
      <c r="BT12" s="6">
        <f>SUM(Financials202632[[#This Row],[Jan FC]:[May FC]])</f>
        <v>10599.583333333332</v>
      </c>
      <c r="BU12" s="6">
        <f>Financials202632[[#This Row],[Jan-May Actuals]]+Financials202632[[#This Row],[Forecast Jun-Dec]]</f>
        <v>24935.936666666665</v>
      </c>
      <c r="BV12" s="6"/>
      <c r="BW12" s="21" t="s">
        <v>12</v>
      </c>
      <c r="BX12" s="6" t="s">
        <v>306</v>
      </c>
    </row>
    <row r="13" spans="1:76" x14ac:dyDescent="0.3">
      <c r="A13" s="22" t="s">
        <v>295</v>
      </c>
      <c r="B13" s="21" t="s">
        <v>80</v>
      </c>
      <c r="C13" s="21"/>
      <c r="D13" s="10" t="s">
        <v>297</v>
      </c>
      <c r="E13" s="7" t="s">
        <v>298</v>
      </c>
      <c r="F13" s="3" t="s">
        <v>299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301</v>
      </c>
      <c r="M13" s="21" t="s">
        <v>12</v>
      </c>
      <c r="N13" s="21" t="s">
        <v>12</v>
      </c>
      <c r="O13" s="21" t="s">
        <v>358</v>
      </c>
      <c r="P13" s="21" t="s">
        <v>359</v>
      </c>
      <c r="Q13" s="21" t="s">
        <v>360</v>
      </c>
      <c r="R13" s="21" t="s">
        <v>361</v>
      </c>
      <c r="S13" s="21" t="s">
        <v>362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SUM(Financials202632[[#This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SUM(Financials202632[[#This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SUM(Financials202632[[#This Row],[Jan AC]:[Dec AC]])</f>
        <v>0</v>
      </c>
      <c r="BC13" s="71">
        <f>Financials202632[[#This Row],[Jan AC]]-Financials202632[[#This Row],[Jan FC]]</f>
        <v>0</v>
      </c>
      <c r="BD13" s="71">
        <f>Financials202632[[#This Row],[Feb AC]]-Financials202632[[#This Row],[Feb FC]]</f>
        <v>0</v>
      </c>
      <c r="BE13" s="71">
        <f>Financials202632[[#This Row],[Mar AC]]-Financials202632[[#This Row],[Mar FC]]</f>
        <v>-715.75</v>
      </c>
      <c r="BF13" s="71">
        <f>Financials202632[[#This Row],[Apr AC]]-Financials202632[[#This Row],[Apr FC]]</f>
        <v>0</v>
      </c>
      <c r="BG13" s="71">
        <f>Financials202632[[#This Row],[May AC]]-Financials202632[[#This Row],[May FC]]</f>
        <v>0</v>
      </c>
      <c r="BH13" s="71">
        <f>Financials202632[[#This Row],[Jun AC]]-Financials202632[[#This Row],[Jun FC]]</f>
        <v>-715.75</v>
      </c>
      <c r="BI13" s="71">
        <f>Financials202632[[#This Row],[Jul AC]]-Financials202632[[#This Row],[Jul FC]]</f>
        <v>0</v>
      </c>
      <c r="BJ13" s="71">
        <f>Financials202632[[#This Row],[Aug AC]]-Financials202632[[#This Row],[Aug FC]]</f>
        <v>0</v>
      </c>
      <c r="BK13" s="71">
        <f>Financials202632[[#This Row],[Sep AC]]-Financials202632[[#This Row],[Sep FC]]</f>
        <v>-715.75</v>
      </c>
      <c r="BL13" s="71">
        <f>Financials202632[[#This Row],[Oct AC]]-Financials202632[[#This Row],[Oct FC]]</f>
        <v>0</v>
      </c>
      <c r="BM13" s="71">
        <f>Financials202632[[#This Row],[Nov AC]]-Financials202632[[#This Row],[Nov FC]]</f>
        <v>0</v>
      </c>
      <c r="BN13" s="71">
        <f>Financials202632[[#This Row],[Dec AC]]-Financials202632[[#This Row],[Dec FC]]</f>
        <v>-715.75</v>
      </c>
      <c r="BO13" s="71">
        <f>SUM(Financials202632[[#This Row],[Jan Opp/Risk]:[Dec Opp./Risk]])</f>
        <v>-2863</v>
      </c>
      <c r="BP13" s="88"/>
      <c r="BQ13" s="47">
        <f>SUM(Financials202632[[#This Row],[Jan AC]:[May AC]])</f>
        <v>0</v>
      </c>
      <c r="BR13" s="6">
        <f>Financials202632[[#This Row],[2026 (Actuals + Forecast)]]-Financials202632[[#This Row],[Jan-May Actuals]]-Financials202632[[#This Row],[Jun-Dec FC]]</f>
        <v>715.75</v>
      </c>
      <c r="BS13" s="6">
        <f>Financials202632[[#This Row],[Jun-Dec FC]]+Financials202632[[#This Row],[Jan-May Forecast ]]</f>
        <v>2863</v>
      </c>
      <c r="BT13" s="6">
        <f>SUM(Financials202632[[#This Row],[Jan FC]:[May FC]])</f>
        <v>715.75</v>
      </c>
      <c r="BU13" s="6">
        <f>Financials202632[[#This Row],[Jan-May Actuals]]+Financials202632[[#This Row],[Forecast Jun-Dec]]</f>
        <v>2863</v>
      </c>
      <c r="BV13" s="6"/>
      <c r="BW13" s="21" t="s">
        <v>12</v>
      </c>
      <c r="BX13" s="6" t="s">
        <v>306</v>
      </c>
    </row>
    <row r="14" spans="1:76" x14ac:dyDescent="0.3">
      <c r="A14" s="22" t="s">
        <v>295</v>
      </c>
      <c r="B14" s="21" t="s">
        <v>94</v>
      </c>
      <c r="C14" s="21"/>
      <c r="D14" s="10" t="s">
        <v>297</v>
      </c>
      <c r="E14" s="7" t="s">
        <v>298</v>
      </c>
      <c r="F14" s="3" t="s">
        <v>299</v>
      </c>
      <c r="G14" s="3" t="s">
        <v>21</v>
      </c>
      <c r="H14" s="4">
        <v>45947</v>
      </c>
      <c r="I14" s="4">
        <v>46311</v>
      </c>
      <c r="J14" s="3" t="s">
        <v>363</v>
      </c>
      <c r="K14" s="3" t="str">
        <f t="shared" si="0"/>
        <v>Prj000350-Support - Infrastructure for Tech</v>
      </c>
      <c r="L14" s="21" t="s">
        <v>301</v>
      </c>
      <c r="M14" s="21" t="s">
        <v>12</v>
      </c>
      <c r="N14" s="21" t="s">
        <v>12</v>
      </c>
      <c r="O14" s="21"/>
      <c r="P14" s="21" t="s">
        <v>359</v>
      </c>
      <c r="Q14" s="21" t="s">
        <v>360</v>
      </c>
      <c r="R14" s="21" t="s">
        <v>361</v>
      </c>
      <c r="S14" s="21" t="s">
        <v>333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SUM(Financials202632[[#This Row],[2026 Opportunity]:[2026 Risk]])</f>
        <v>0</v>
      </c>
      <c r="AA14" s="3" t="s">
        <v>364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SUM(Financials202632[[#This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SUM(Financials202632[[#This Row],[Jan AC]:[Dec AC]])</f>
        <v>0</v>
      </c>
      <c r="BC14" s="71">
        <f>Financials202632[[#This Row],[Jan AC]]-Financials202632[[#This Row],[Jan FC]]</f>
        <v>0</v>
      </c>
      <c r="BD14" s="71">
        <f>Financials202632[[#This Row],[Feb AC]]-Financials202632[[#This Row],[Feb FC]]</f>
        <v>0</v>
      </c>
      <c r="BE14" s="71">
        <f>Financials202632[[#This Row],[Mar AC]]-Financials202632[[#This Row],[Mar FC]]</f>
        <v>0</v>
      </c>
      <c r="BF14" s="71">
        <f>Financials202632[[#This Row],[Apr AC]]-Financials202632[[#This Row],[Apr FC]]</f>
        <v>0</v>
      </c>
      <c r="BG14" s="71">
        <f>Financials202632[[#This Row],[May AC]]-Financials202632[[#This Row],[May FC]]</f>
        <v>0</v>
      </c>
      <c r="BH14" s="71">
        <f>Financials202632[[#This Row],[Jun AC]]-Financials202632[[#This Row],[Jun FC]]</f>
        <v>0</v>
      </c>
      <c r="BI14" s="71">
        <f>Financials202632[[#This Row],[Jul AC]]-Financials202632[[#This Row],[Jul FC]]</f>
        <v>0</v>
      </c>
      <c r="BJ14" s="71">
        <f>Financials202632[[#This Row],[Aug AC]]-Financials202632[[#This Row],[Aug FC]]</f>
        <v>0</v>
      </c>
      <c r="BK14" s="71">
        <f>Financials202632[[#This Row],[Sep AC]]-Financials202632[[#This Row],[Sep FC]]</f>
        <v>0</v>
      </c>
      <c r="BL14" s="71">
        <f>Financials202632[[#This Row],[Oct AC]]-Financials202632[[#This Row],[Oct FC]]</f>
        <v>-15750</v>
      </c>
      <c r="BM14" s="71">
        <f>Financials202632[[#This Row],[Nov AC]]-Financials202632[[#This Row],[Nov FC]]</f>
        <v>0</v>
      </c>
      <c r="BN14" s="71">
        <f>Financials202632[[#This Row],[Dec AC]]-Financials202632[[#This Row],[Dec FC]]</f>
        <v>0</v>
      </c>
      <c r="BO14" s="71">
        <f>SUM(Financials202632[[#This Row],[Jan Opp/Risk]:[Dec Opp./Risk]])</f>
        <v>-15750</v>
      </c>
      <c r="BP14" s="88"/>
      <c r="BQ14" s="47">
        <f>SUM(Financials202632[[#This Row],[Jan AC]:[May AC]])</f>
        <v>0</v>
      </c>
      <c r="BR14" s="6">
        <f>Financials202632[[#This Row],[2026 (Actuals + Forecast)]]-Financials202632[[#This Row],[Jan-May Actuals]]-Financials202632[[#This Row],[Jun-Dec FC]]</f>
        <v>0</v>
      </c>
      <c r="BS14" s="6">
        <f>Financials202632[[#This Row],[Jun-Dec FC]]+Financials202632[[#This Row],[Jan-May Forecast ]]</f>
        <v>15750</v>
      </c>
      <c r="BT14" s="6">
        <f>SUM(Financials202632[[#This Row],[Jan FC]:[May FC]])</f>
        <v>0</v>
      </c>
      <c r="BU14" s="6">
        <f>Financials202632[[#This Row],[Jan-May Actuals]]+Financials202632[[#This Row],[Forecast Jun-Dec]]</f>
        <v>15750</v>
      </c>
      <c r="BV14" s="6"/>
      <c r="BW14" s="21" t="s">
        <v>12</v>
      </c>
      <c r="BX14" s="6" t="s">
        <v>306</v>
      </c>
    </row>
    <row r="15" spans="1:76" x14ac:dyDescent="0.3">
      <c r="A15" s="22" t="s">
        <v>365</v>
      </c>
      <c r="B15" s="21" t="s">
        <v>90</v>
      </c>
      <c r="C15" s="21"/>
      <c r="D15" s="10" t="s">
        <v>297</v>
      </c>
      <c r="E15" s="7" t="s">
        <v>298</v>
      </c>
      <c r="F15" s="3" t="s">
        <v>299</v>
      </c>
      <c r="G15" s="3" t="s">
        <v>21</v>
      </c>
      <c r="H15" s="4" t="s">
        <v>312</v>
      </c>
      <c r="I15" s="4" t="s">
        <v>312</v>
      </c>
      <c r="J15" s="3"/>
      <c r="K15" s="3" t="str">
        <f t="shared" si="0"/>
        <v>Prj000350-Support - Infrastructure for Tech</v>
      </c>
      <c r="L15" s="21" t="s">
        <v>301</v>
      </c>
      <c r="M15" s="21" t="s">
        <v>12</v>
      </c>
      <c r="N15" s="21" t="s">
        <v>12</v>
      </c>
      <c r="O15" s="21"/>
      <c r="P15" s="21" t="s">
        <v>359</v>
      </c>
      <c r="Q15" s="21" t="s">
        <v>360</v>
      </c>
      <c r="R15" s="21" t="s">
        <v>361</v>
      </c>
      <c r="S15" s="21" t="s">
        <v>336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SUM(Financials202632[[#This Row],[2026 Opportunity]:[2026 Risk]])</f>
        <v>0</v>
      </c>
      <c r="AA15" s="3" t="s">
        <v>45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SUM(Financials202632[[#This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SUM(Financials202632[[#This Row],[Jan AC]:[Dec AC]])</f>
        <v>0</v>
      </c>
      <c r="BC15" s="71">
        <f>Financials202632[[#This Row],[Jan AC]]-Financials202632[[#This Row],[Jan FC]]</f>
        <v>0</v>
      </c>
      <c r="BD15" s="71">
        <f>Financials202632[[#This Row],[Feb AC]]-Financials202632[[#This Row],[Feb FC]]</f>
        <v>0</v>
      </c>
      <c r="BE15" s="71">
        <f>Financials202632[[#This Row],[Mar AC]]-Financials202632[[#This Row],[Mar FC]]</f>
        <v>0</v>
      </c>
      <c r="BF15" s="71">
        <f>Financials202632[[#This Row],[Apr AC]]-Financials202632[[#This Row],[Apr FC]]</f>
        <v>0</v>
      </c>
      <c r="BG15" s="71">
        <f>Financials202632[[#This Row],[May AC]]-Financials202632[[#This Row],[May FC]]</f>
        <v>0</v>
      </c>
      <c r="BH15" s="71">
        <f>Financials202632[[#This Row],[Jun AC]]-Financials202632[[#This Row],[Jun FC]]</f>
        <v>0</v>
      </c>
      <c r="BI15" s="71">
        <f>Financials202632[[#This Row],[Jul AC]]-Financials202632[[#This Row],[Jul FC]]</f>
        <v>0</v>
      </c>
      <c r="BJ15" s="71">
        <f>Financials202632[[#This Row],[Aug AC]]-Financials202632[[#This Row],[Aug FC]]</f>
        <v>0</v>
      </c>
      <c r="BK15" s="71">
        <f>Financials202632[[#This Row],[Sep AC]]-Financials202632[[#This Row],[Sep FC]]</f>
        <v>0</v>
      </c>
      <c r="BL15" s="71">
        <f>Financials202632[[#This Row],[Oct AC]]-Financials202632[[#This Row],[Oct FC]]</f>
        <v>0</v>
      </c>
      <c r="BM15" s="71">
        <f>Financials202632[[#This Row],[Nov AC]]-Financials202632[[#This Row],[Nov FC]]</f>
        <v>0</v>
      </c>
      <c r="BN15" s="71">
        <f>Financials202632[[#This Row],[Dec AC]]-Financials202632[[#This Row],[Dec FC]]</f>
        <v>-52500</v>
      </c>
      <c r="BO15" s="71">
        <f>SUM(Financials202632[[#This Row],[Jan Opp/Risk]:[Dec Opp./Risk]])</f>
        <v>-52500</v>
      </c>
      <c r="BP15" s="88"/>
      <c r="BQ15" s="47">
        <f>SUM(Financials202632[[#This Row],[Jan AC]:[May AC]])</f>
        <v>0</v>
      </c>
      <c r="BR15" s="6">
        <f>Financials202632[[#This Row],[2026 (Actuals + Forecast)]]-Financials202632[[#This Row],[Jan-May Actuals]]-Financials202632[[#This Row],[Jun-Dec FC]]</f>
        <v>0</v>
      </c>
      <c r="BS15" s="6">
        <f>Financials202632[[#This Row],[Jun-Dec FC]]+Financials202632[[#This Row],[Jan-May Forecast ]]</f>
        <v>52500</v>
      </c>
      <c r="BT15" s="6">
        <f>SUM(Financials202632[[#This Row],[Jan FC]:[May FC]])</f>
        <v>0</v>
      </c>
      <c r="BU15" s="6">
        <f>Financials202632[[#This Row],[Jan-May Actuals]]+Financials202632[[#This Row],[Forecast Jun-Dec]]</f>
        <v>52500</v>
      </c>
      <c r="BV15" s="6"/>
      <c r="BW15" s="21" t="s">
        <v>12</v>
      </c>
      <c r="BX15" s="6" t="s">
        <v>306</v>
      </c>
    </row>
    <row r="16" spans="1:76" x14ac:dyDescent="0.3">
      <c r="A16" s="22" t="s">
        <v>295</v>
      </c>
      <c r="B16" s="21" t="s">
        <v>125</v>
      </c>
      <c r="C16" s="21"/>
      <c r="D16" s="10" t="s">
        <v>224</v>
      </c>
      <c r="E16" s="7" t="s">
        <v>366</v>
      </c>
      <c r="F16" s="3" t="s">
        <v>367</v>
      </c>
      <c r="G16" s="3" t="s">
        <v>22</v>
      </c>
      <c r="H16" s="4" t="s">
        <v>346</v>
      </c>
      <c r="I16" s="4" t="s">
        <v>346</v>
      </c>
      <c r="J16" s="3"/>
      <c r="K16" s="3" t="str">
        <f t="shared" si="0"/>
        <v>Prj000381-Support - Prod Support for Credit Apps</v>
      </c>
      <c r="L16" s="21" t="s">
        <v>301</v>
      </c>
      <c r="M16" s="21" t="s">
        <v>15</v>
      </c>
      <c r="N16" s="21" t="s">
        <v>15</v>
      </c>
      <c r="O16" s="21" t="s">
        <v>368</v>
      </c>
      <c r="P16" s="21" t="s">
        <v>369</v>
      </c>
      <c r="Q16" s="21" t="s">
        <v>369</v>
      </c>
      <c r="R16" s="21" t="s">
        <v>370</v>
      </c>
      <c r="S16" s="21" t="s">
        <v>328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SUM(Financials202632[[#This Row],[2026 Opportunity]:[2026 Risk]])</f>
        <v>-1820.9400000000005</v>
      </c>
      <c r="AA16" s="3" t="s">
        <v>371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SUM(Financials202632[[#This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SUM(Financials202632[[#This Row],[Jan AC]:[Dec AC]])</f>
        <v>5443.74</v>
      </c>
      <c r="BC16" s="71">
        <f>Financials202632[[#This Row],[Jan AC]]-Financials202632[[#This Row],[Jan FC]]</f>
        <v>0</v>
      </c>
      <c r="BD16" s="71">
        <f>Financials202632[[#This Row],[Feb AC]]-Financials202632[[#This Row],[Feb FC]]</f>
        <v>-1.999999999998181E-2</v>
      </c>
      <c r="BE16" s="71">
        <f>Financials202632[[#This Row],[Mar AC]]-Financials202632[[#This Row],[Mar FC]]</f>
        <v>0</v>
      </c>
      <c r="BF16" s="71">
        <f>Financials202632[[#This Row],[Apr AC]]-Financials202632[[#This Row],[Apr FC]]</f>
        <v>-1.999999999998181E-2</v>
      </c>
      <c r="BG16" s="71">
        <f>Financials202632[[#This Row],[May AC]]-Financials202632[[#This Row],[May FC]]</f>
        <v>-1.999999999998181E-2</v>
      </c>
      <c r="BH16" s="71">
        <f>Financials202632[[#This Row],[Jun AC]]-Financials202632[[#This Row],[Jun FC]]</f>
        <v>-1088.76</v>
      </c>
      <c r="BI16" s="71">
        <f>Financials202632[[#This Row],[Jul AC]]-Financials202632[[#This Row],[Jul FC]]</f>
        <v>-1088.76</v>
      </c>
      <c r="BJ16" s="71">
        <f>Financials202632[[#This Row],[Aug AC]]-Financials202632[[#This Row],[Aug FC]]</f>
        <v>-1088.76</v>
      </c>
      <c r="BK16" s="71">
        <f>Financials202632[[#This Row],[Sep AC]]-Financials202632[[#This Row],[Sep FC]]</f>
        <v>-1088.76</v>
      </c>
      <c r="BL16" s="71">
        <f>Financials202632[[#This Row],[Oct AC]]-Financials202632[[#This Row],[Oct FC]]</f>
        <v>-1088.76</v>
      </c>
      <c r="BM16" s="71">
        <f>Financials202632[[#This Row],[Nov AC]]-Financials202632[[#This Row],[Nov FC]]</f>
        <v>-1088.76</v>
      </c>
      <c r="BN16" s="71">
        <f>Financials202632[[#This Row],[Dec AC]]-Financials202632[[#This Row],[Dec FC]]</f>
        <v>-1088.76</v>
      </c>
      <c r="BO16" s="71">
        <f>SUM(Financials202632[[#This Row],[Jan Opp/Risk]:[Dec Opp./Risk]])</f>
        <v>-7621.380000000001</v>
      </c>
      <c r="BP16" s="87" t="s">
        <v>356</v>
      </c>
      <c r="BQ16" s="47">
        <f>SUM(Financials202632[[#This Row],[Jan AC]:[May AC]])</f>
        <v>5443.74</v>
      </c>
      <c r="BR16" s="6">
        <f>Financials202632[[#This Row],[2026 (Actuals + Forecast)]]-Financials202632[[#This Row],[Jan-May Actuals]]-Financials202632[[#This Row],[Jun-Dec FC]]</f>
        <v>0</v>
      </c>
      <c r="BS16" s="6">
        <f>Financials202632[[#This Row],[Jun-Dec FC]]+Financials202632[[#This Row],[Jan-May Forecast ]]</f>
        <v>7621.3200000000006</v>
      </c>
      <c r="BT16" s="6">
        <f>SUM(Financials202632[[#This Row],[Jan FC]:[May FC]])</f>
        <v>5443.8</v>
      </c>
      <c r="BU16" s="6">
        <f>Financials202632[[#This Row],[Jan-May Actuals]]+Financials202632[[#This Row],[Forecast Jun-Dec]]</f>
        <v>13065.060000000001</v>
      </c>
      <c r="BV16" s="6"/>
      <c r="BW16" s="6" t="s">
        <v>319</v>
      </c>
      <c r="BX16" s="6" t="s">
        <v>306</v>
      </c>
    </row>
    <row r="17" spans="1:76" x14ac:dyDescent="0.3">
      <c r="A17" s="22" t="s">
        <v>295</v>
      </c>
      <c r="B17" s="21" t="s">
        <v>135</v>
      </c>
      <c r="C17" s="21"/>
      <c r="D17" s="10" t="s">
        <v>225</v>
      </c>
      <c r="E17" s="7" t="s">
        <v>372</v>
      </c>
      <c r="F17" s="3" t="s">
        <v>373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301</v>
      </c>
      <c r="M17" s="21" t="s">
        <v>15</v>
      </c>
      <c r="N17" s="21" t="s">
        <v>15</v>
      </c>
      <c r="O17" s="21"/>
      <c r="P17" s="21" t="s">
        <v>369</v>
      </c>
      <c r="Q17" s="21" t="s">
        <v>369</v>
      </c>
      <c r="R17" s="21" t="s">
        <v>370</v>
      </c>
      <c r="S17" s="21" t="s">
        <v>333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SUM(Financials202632[[#This Row],[2026 Opportunity]:[2026 Risk]])</f>
        <v>0</v>
      </c>
      <c r="AA17" s="3" t="s">
        <v>374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SUM(Financials202632[[#This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SUM(Financials202632[[#This Row],[Jan AC]:[Dec AC]])</f>
        <v>0</v>
      </c>
      <c r="BC17" s="71">
        <f>Financials202632[[#This Row],[Jan AC]]-Financials202632[[#This Row],[Jan FC]]</f>
        <v>0</v>
      </c>
      <c r="BD17" s="71">
        <f>Financials202632[[#This Row],[Feb AC]]-Financials202632[[#This Row],[Feb FC]]</f>
        <v>0</v>
      </c>
      <c r="BE17" s="71">
        <f>Financials202632[[#This Row],[Mar AC]]-Financials202632[[#This Row],[Mar FC]]</f>
        <v>0</v>
      </c>
      <c r="BF17" s="71">
        <f>Financials202632[[#This Row],[Apr AC]]-Financials202632[[#This Row],[Apr FC]]</f>
        <v>0</v>
      </c>
      <c r="BG17" s="71">
        <f>Financials202632[[#This Row],[May AC]]-Financials202632[[#This Row],[May FC]]</f>
        <v>0</v>
      </c>
      <c r="BH17" s="71">
        <f>Financials202632[[#This Row],[Jun AC]]-Financials202632[[#This Row],[Jun FC]]</f>
        <v>0</v>
      </c>
      <c r="BI17" s="71">
        <f>Financials202632[[#This Row],[Jul AC]]-Financials202632[[#This Row],[Jul FC]]</f>
        <v>0</v>
      </c>
      <c r="BJ17" s="71">
        <f>Financials202632[[#This Row],[Aug AC]]-Financials202632[[#This Row],[Aug FC]]</f>
        <v>0</v>
      </c>
      <c r="BK17" s="71">
        <f>Financials202632[[#This Row],[Sep AC]]-Financials202632[[#This Row],[Sep FC]]</f>
        <v>0</v>
      </c>
      <c r="BL17" s="71">
        <f>Financials202632[[#This Row],[Oct AC]]-Financials202632[[#This Row],[Oct FC]]</f>
        <v>0</v>
      </c>
      <c r="BM17" s="71">
        <f>Financials202632[[#This Row],[Nov AC]]-Financials202632[[#This Row],[Nov FC]]</f>
        <v>0</v>
      </c>
      <c r="BN17" s="71">
        <f>Financials202632[[#This Row],[Dec AC]]-Financials202632[[#This Row],[Dec FC]]</f>
        <v>-12200</v>
      </c>
      <c r="BO17" s="71">
        <f>SUM(Financials202632[[#This Row],[Jan Opp/Risk]:[Dec Opp./Risk]])</f>
        <v>-12200</v>
      </c>
      <c r="BP17" s="87"/>
      <c r="BQ17" s="47">
        <f>SUM(Financials202632[[#This Row],[Jan AC]:[May AC]])</f>
        <v>0</v>
      </c>
      <c r="BR17" s="6">
        <f>Financials202632[[#This Row],[2026 (Actuals + Forecast)]]-Financials202632[[#This Row],[Jan-May Actuals]]-Financials202632[[#This Row],[Jun-Dec FC]]</f>
        <v>0</v>
      </c>
      <c r="BS17" s="6">
        <f>Financials202632[[#This Row],[Jun-Dec FC]]+Financials202632[[#This Row],[Jan-May Forecast ]]</f>
        <v>12200</v>
      </c>
      <c r="BT17" s="6">
        <f>SUM(Financials202632[[#This Row],[Jan FC]:[May FC]])</f>
        <v>0</v>
      </c>
      <c r="BU17" s="6">
        <f>Financials202632[[#This Row],[Jan-May Actuals]]+Financials202632[[#This Row],[Forecast Jun-Dec]]</f>
        <v>12200</v>
      </c>
      <c r="BV17" s="6"/>
      <c r="BW17" s="6" t="s">
        <v>319</v>
      </c>
      <c r="BX17" s="6" t="s">
        <v>306</v>
      </c>
    </row>
    <row r="18" spans="1:76" x14ac:dyDescent="0.3">
      <c r="A18" s="22" t="s">
        <v>309</v>
      </c>
      <c r="B18" s="21" t="s">
        <v>140</v>
      </c>
      <c r="C18" s="21" t="s">
        <v>375</v>
      </c>
      <c r="D18" s="10" t="s">
        <v>222</v>
      </c>
      <c r="E18" s="7" t="s">
        <v>310</v>
      </c>
      <c r="F18" s="3" t="s">
        <v>311</v>
      </c>
      <c r="G18" s="3" t="s">
        <v>25</v>
      </c>
      <c r="H18" s="4" t="s">
        <v>312</v>
      </c>
      <c r="I18" s="4" t="s">
        <v>312</v>
      </c>
      <c r="J18" s="3"/>
      <c r="K18" s="3" t="str">
        <f t="shared" si="0"/>
        <v>Prj000266-Support - Internal Tech Workforce Activities</v>
      </c>
      <c r="L18" s="21" t="s">
        <v>301</v>
      </c>
      <c r="M18" s="21" t="s">
        <v>15</v>
      </c>
      <c r="N18" s="21" t="s">
        <v>15</v>
      </c>
      <c r="O18" s="21"/>
      <c r="P18" s="21" t="s">
        <v>376</v>
      </c>
      <c r="Q18" s="21" t="s">
        <v>377</v>
      </c>
      <c r="R18" s="21" t="s">
        <v>378</v>
      </c>
      <c r="S18" s="21" t="s">
        <v>333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SUM(Financials202632[[#This Row],[2026 Opportunity]:[2026 Risk]])</f>
        <v>0</v>
      </c>
      <c r="AA18" s="3" t="s">
        <v>379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SUM(Financials202632[[#This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SUM(Financials202632[[#This Row],[Jan AC]:[Dec AC]])</f>
        <v>0</v>
      </c>
      <c r="BC18" s="71">
        <f>Financials202632[[#This Row],[Jan AC]]-Financials202632[[#This Row],[Jan FC]]</f>
        <v>0</v>
      </c>
      <c r="BD18" s="71">
        <f>Financials202632[[#This Row],[Feb AC]]-Financials202632[[#This Row],[Feb FC]]</f>
        <v>0</v>
      </c>
      <c r="BE18" s="71">
        <f>Financials202632[[#This Row],[Mar AC]]-Financials202632[[#This Row],[Mar FC]]</f>
        <v>0</v>
      </c>
      <c r="BF18" s="71">
        <f>Financials202632[[#This Row],[Apr AC]]-Financials202632[[#This Row],[Apr FC]]</f>
        <v>0</v>
      </c>
      <c r="BG18" s="71">
        <f>Financials202632[[#This Row],[May AC]]-Financials202632[[#This Row],[May FC]]</f>
        <v>0</v>
      </c>
      <c r="BH18" s="71">
        <f>Financials202632[[#This Row],[Jun AC]]-Financials202632[[#This Row],[Jun FC]]</f>
        <v>0</v>
      </c>
      <c r="BI18" s="71">
        <f>Financials202632[[#This Row],[Jul AC]]-Financials202632[[#This Row],[Jul FC]]</f>
        <v>0</v>
      </c>
      <c r="BJ18" s="71">
        <f>Financials202632[[#This Row],[Aug AC]]-Financials202632[[#This Row],[Aug FC]]</f>
        <v>0</v>
      </c>
      <c r="BK18" s="71">
        <f>Financials202632[[#This Row],[Sep AC]]-Financials202632[[#This Row],[Sep FC]]</f>
        <v>0</v>
      </c>
      <c r="BL18" s="71">
        <f>Financials202632[[#This Row],[Oct AC]]-Financials202632[[#This Row],[Oct FC]]</f>
        <v>0</v>
      </c>
      <c r="BM18" s="71">
        <f>Financials202632[[#This Row],[Nov AC]]-Financials202632[[#This Row],[Nov FC]]</f>
        <v>0</v>
      </c>
      <c r="BN18" s="71">
        <f>Financials202632[[#This Row],[Dec AC]]-Financials202632[[#This Row],[Dec FC]]</f>
        <v>-236250</v>
      </c>
      <c r="BO18" s="71">
        <f>SUM(Financials202632[[#This Row],[Jan Opp/Risk]:[Dec Opp./Risk]])</f>
        <v>-236250</v>
      </c>
      <c r="BP18" s="88"/>
      <c r="BQ18" s="47">
        <f>SUM(Financials202632[[#This Row],[Jan AC]:[May AC]])</f>
        <v>0</v>
      </c>
      <c r="BR18" s="6">
        <f>Financials202632[[#This Row],[2026 (Actuals + Forecast)]]-Financials202632[[#This Row],[Jan-May Actuals]]-Financials202632[[#This Row],[Jun-Dec FC]]</f>
        <v>0</v>
      </c>
      <c r="BS18" s="6">
        <f>Financials202632[[#This Row],[Jun-Dec FC]]+Financials202632[[#This Row],[Jan-May Forecast ]]</f>
        <v>236250</v>
      </c>
      <c r="BT18" s="6">
        <f>SUM(Financials202632[[#This Row],[Jan FC]:[May FC]])</f>
        <v>0</v>
      </c>
      <c r="BU18" s="6">
        <f>Financials202632[[#This Row],[Jan-May Actuals]]+Financials202632[[#This Row],[Forecast Jun-Dec]]</f>
        <v>236250</v>
      </c>
      <c r="BV18" s="6"/>
      <c r="BW18" s="6" t="s">
        <v>319</v>
      </c>
      <c r="BX18" s="6" t="s">
        <v>306</v>
      </c>
    </row>
    <row r="19" spans="1:76" x14ac:dyDescent="0.3">
      <c r="A19" s="22" t="s">
        <v>309</v>
      </c>
      <c r="B19" t="s">
        <v>142</v>
      </c>
      <c r="C19" s="21" t="s">
        <v>375</v>
      </c>
      <c r="D19" s="10" t="s">
        <v>222</v>
      </c>
      <c r="E19" s="7" t="s">
        <v>310</v>
      </c>
      <c r="F19" s="3" t="s">
        <v>311</v>
      </c>
      <c r="G19" s="3" t="s">
        <v>25</v>
      </c>
      <c r="H19" s="4" t="s">
        <v>312</v>
      </c>
      <c r="I19" s="4" t="s">
        <v>312</v>
      </c>
      <c r="J19" s="3"/>
      <c r="K19" s="3" t="str">
        <f t="shared" si="0"/>
        <v>Prj000266-Support - Internal Tech Workforce Activities</v>
      </c>
      <c r="L19" s="21" t="s">
        <v>301</v>
      </c>
      <c r="M19" s="21" t="s">
        <v>15</v>
      </c>
      <c r="N19" s="21" t="s">
        <v>15</v>
      </c>
      <c r="O19" s="21"/>
      <c r="P19" s="21" t="s">
        <v>376</v>
      </c>
      <c r="Q19" s="21" t="s">
        <v>377</v>
      </c>
      <c r="R19" s="21" t="s">
        <v>378</v>
      </c>
      <c r="S19" s="21" t="s">
        <v>333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SUM(Financials202632[[#This Row],[2026 Opportunity]:[2026 Risk]])</f>
        <v>0</v>
      </c>
      <c r="AA19" s="3" t="s">
        <v>379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SUM(Financials202632[[#This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SUM(Financials202632[[#This Row],[Jan AC]:[Dec AC]])</f>
        <v>0</v>
      </c>
      <c r="BC19" s="71">
        <f>Financials202632[[#This Row],[Jan AC]]-Financials202632[[#This Row],[Jan FC]]</f>
        <v>0</v>
      </c>
      <c r="BD19" s="71">
        <f>Financials202632[[#This Row],[Feb AC]]-Financials202632[[#This Row],[Feb FC]]</f>
        <v>0</v>
      </c>
      <c r="BE19" s="71">
        <f>Financials202632[[#This Row],[Mar AC]]-Financials202632[[#This Row],[Mar FC]]</f>
        <v>0</v>
      </c>
      <c r="BF19" s="71">
        <f>Financials202632[[#This Row],[Apr AC]]-Financials202632[[#This Row],[Apr FC]]</f>
        <v>0</v>
      </c>
      <c r="BG19" s="71">
        <f>Financials202632[[#This Row],[May AC]]-Financials202632[[#This Row],[May FC]]</f>
        <v>0</v>
      </c>
      <c r="BH19" s="71">
        <f>Financials202632[[#This Row],[Jun AC]]-Financials202632[[#This Row],[Jun FC]]</f>
        <v>0</v>
      </c>
      <c r="BI19" s="71">
        <f>Financials202632[[#This Row],[Jul AC]]-Financials202632[[#This Row],[Jul FC]]</f>
        <v>0</v>
      </c>
      <c r="BJ19" s="71">
        <f>Financials202632[[#This Row],[Aug AC]]-Financials202632[[#This Row],[Aug FC]]</f>
        <v>0</v>
      </c>
      <c r="BK19" s="71">
        <f>Financials202632[[#This Row],[Sep AC]]-Financials202632[[#This Row],[Sep FC]]</f>
        <v>0</v>
      </c>
      <c r="BL19" s="71">
        <f>Financials202632[[#This Row],[Oct AC]]-Financials202632[[#This Row],[Oct FC]]</f>
        <v>0</v>
      </c>
      <c r="BM19" s="71">
        <f>Financials202632[[#This Row],[Nov AC]]-Financials202632[[#This Row],[Nov FC]]</f>
        <v>0</v>
      </c>
      <c r="BN19" s="71">
        <f>Financials202632[[#This Row],[Dec AC]]-Financials202632[[#This Row],[Dec FC]]</f>
        <v>-141750</v>
      </c>
      <c r="BO19" s="71">
        <f>SUM(Financials202632[[#This Row],[Jan Opp/Risk]:[Dec Opp./Risk]])</f>
        <v>-141750</v>
      </c>
      <c r="BP19" s="88"/>
      <c r="BQ19" s="47">
        <f>SUM(Financials202632[[#This Row],[Jan AC]:[May AC]])</f>
        <v>0</v>
      </c>
      <c r="BR19" s="6">
        <f>Financials202632[[#This Row],[2026 (Actuals + Forecast)]]-Financials202632[[#This Row],[Jan-May Actuals]]-Financials202632[[#This Row],[Jun-Dec FC]]</f>
        <v>0</v>
      </c>
      <c r="BS19" s="6">
        <f>Financials202632[[#This Row],[Jun-Dec FC]]+Financials202632[[#This Row],[Jan-May Forecast ]]</f>
        <v>141750</v>
      </c>
      <c r="BT19" s="6">
        <f>SUM(Financials202632[[#This Row],[Jan FC]:[May FC]])</f>
        <v>0</v>
      </c>
      <c r="BU19" s="6">
        <f>Financials202632[[#This Row],[Jan-May Actuals]]+Financials202632[[#This Row],[Forecast Jun-Dec]]</f>
        <v>141750</v>
      </c>
      <c r="BV19" s="6"/>
      <c r="BW19" s="6" t="s">
        <v>319</v>
      </c>
      <c r="BX19" s="6" t="s">
        <v>306</v>
      </c>
    </row>
    <row r="20" spans="1:76" x14ac:dyDescent="0.3">
      <c r="A20" s="22" t="s">
        <v>309</v>
      </c>
      <c r="B20" s="21" t="s">
        <v>143</v>
      </c>
      <c r="C20" s="21" t="s">
        <v>380</v>
      </c>
      <c r="D20" s="10" t="s">
        <v>222</v>
      </c>
      <c r="E20" s="7" t="s">
        <v>310</v>
      </c>
      <c r="F20" s="3" t="s">
        <v>311</v>
      </c>
      <c r="G20" s="3" t="s">
        <v>25</v>
      </c>
      <c r="H20" s="4" t="s">
        <v>312</v>
      </c>
      <c r="I20" s="4" t="s">
        <v>312</v>
      </c>
      <c r="J20" s="3"/>
      <c r="K20" s="3" t="str">
        <f t="shared" si="0"/>
        <v>Prj000266-Support - Internal Tech Workforce Activities</v>
      </c>
      <c r="L20" s="21" t="s">
        <v>301</v>
      </c>
      <c r="M20" s="21" t="s">
        <v>15</v>
      </c>
      <c r="N20" s="21" t="s">
        <v>15</v>
      </c>
      <c r="O20" s="21"/>
      <c r="P20" s="21" t="s">
        <v>313</v>
      </c>
      <c r="Q20" s="21" t="s">
        <v>381</v>
      </c>
      <c r="R20" s="21" t="s">
        <v>382</v>
      </c>
      <c r="S20" s="21" t="s">
        <v>336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SUM(Financials202632[[#This Row],[2026 Opportunity]:[2026 Risk]])</f>
        <v>0</v>
      </c>
      <c r="AA20" s="3" t="s">
        <v>355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SUM(Financials202632[[#This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SUM(Financials202632[[#This Row],[Jan AC]:[Dec AC]])</f>
        <v>0</v>
      </c>
      <c r="BC20" s="71">
        <f>Financials202632[[#This Row],[Jan AC]]-Financials202632[[#This Row],[Jan FC]]</f>
        <v>0</v>
      </c>
      <c r="BD20" s="71">
        <f>Financials202632[[#This Row],[Feb AC]]-Financials202632[[#This Row],[Feb FC]]</f>
        <v>0</v>
      </c>
      <c r="BE20" s="71">
        <f>Financials202632[[#This Row],[Mar AC]]-Financials202632[[#This Row],[Mar FC]]</f>
        <v>0</v>
      </c>
      <c r="BF20" s="71">
        <f>Financials202632[[#This Row],[Apr AC]]-Financials202632[[#This Row],[Apr FC]]</f>
        <v>0</v>
      </c>
      <c r="BG20" s="71">
        <f>Financials202632[[#This Row],[May AC]]-Financials202632[[#This Row],[May FC]]</f>
        <v>0</v>
      </c>
      <c r="BH20" s="71">
        <f>Financials202632[[#This Row],[Jun AC]]-Financials202632[[#This Row],[Jun FC]]</f>
        <v>0</v>
      </c>
      <c r="BI20" s="71">
        <f>Financials202632[[#This Row],[Jul AC]]-Financials202632[[#This Row],[Jul FC]]</f>
        <v>0</v>
      </c>
      <c r="BJ20" s="71">
        <f>Financials202632[[#This Row],[Aug AC]]-Financials202632[[#This Row],[Aug FC]]</f>
        <v>0</v>
      </c>
      <c r="BK20" s="71">
        <f>Financials202632[[#This Row],[Sep AC]]-Financials202632[[#This Row],[Sep FC]]</f>
        <v>0</v>
      </c>
      <c r="BL20" s="71">
        <f>Financials202632[[#This Row],[Oct AC]]-Financials202632[[#This Row],[Oct FC]]</f>
        <v>0</v>
      </c>
      <c r="BM20" s="71">
        <f>Financials202632[[#This Row],[Nov AC]]-Financials202632[[#This Row],[Nov FC]]</f>
        <v>0</v>
      </c>
      <c r="BN20" s="71">
        <f>Financials202632[[#This Row],[Dec AC]]-Financials202632[[#This Row],[Dec FC]]</f>
        <v>-17099</v>
      </c>
      <c r="BO20" s="71">
        <f>SUM(Financials202632[[#This Row],[Jan Opp/Risk]:[Dec Opp./Risk]])</f>
        <v>-17099</v>
      </c>
      <c r="BP20" s="88"/>
      <c r="BQ20" s="47">
        <f>SUM(Financials202632[[#This Row],[Jan AC]:[May AC]])</f>
        <v>0</v>
      </c>
      <c r="BR20" s="6">
        <f>Financials202632[[#This Row],[2026 (Actuals + Forecast)]]-Financials202632[[#This Row],[Jan-May Actuals]]-Financials202632[[#This Row],[Jun-Dec FC]]</f>
        <v>0</v>
      </c>
      <c r="BS20" s="6">
        <f>Financials202632[[#This Row],[Jun-Dec FC]]+Financials202632[[#This Row],[Jan-May Forecast ]]</f>
        <v>17099</v>
      </c>
      <c r="BT20" s="6">
        <f>SUM(Financials202632[[#This Row],[Jan FC]:[May FC]])</f>
        <v>0</v>
      </c>
      <c r="BU20" s="6">
        <f>Financials202632[[#This Row],[Jan-May Actuals]]+Financials202632[[#This Row],[Forecast Jun-Dec]]</f>
        <v>17099</v>
      </c>
      <c r="BV20" s="6"/>
      <c r="BW20" s="6" t="s">
        <v>319</v>
      </c>
      <c r="BX20" s="6" t="s">
        <v>306</v>
      </c>
    </row>
    <row r="21" spans="1:76" x14ac:dyDescent="0.3">
      <c r="A21" s="22" t="s">
        <v>295</v>
      </c>
      <c r="B21" s="21" t="s">
        <v>41</v>
      </c>
      <c r="C21" s="21"/>
      <c r="D21" s="10" t="s">
        <v>383</v>
      </c>
      <c r="E21" s="7" t="s">
        <v>384</v>
      </c>
      <c r="F21" s="3" t="s">
        <v>385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323</v>
      </c>
      <c r="M21" s="21" t="s">
        <v>14</v>
      </c>
      <c r="N21" s="21" t="s">
        <v>324</v>
      </c>
      <c r="O21" s="21" t="s">
        <v>386</v>
      </c>
      <c r="P21" s="21" t="s">
        <v>302</v>
      </c>
      <c r="Q21" s="21" t="s">
        <v>334</v>
      </c>
      <c r="R21" s="21" t="s">
        <v>334</v>
      </c>
      <c r="S21" s="21" t="s">
        <v>328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SUM(Financials202632[[#This Row],[2026 Opportunity]:[2026 Risk]])</f>
        <v>-11107</v>
      </c>
      <c r="AA21" s="3" t="s">
        <v>387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SUM(Financials202632[[#This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SUM(Financials202632[[#This Row],[Jan AC]:[Dec AC]])</f>
        <v>566480</v>
      </c>
      <c r="BC21" s="71">
        <f>Financials202632[[#This Row],[Jan AC]]-Financials202632[[#This Row],[Jan FC]]</f>
        <v>0</v>
      </c>
      <c r="BD21" s="71">
        <f>Financials202632[[#This Row],[Feb AC]]-Financials202632[[#This Row],[Feb FC]]</f>
        <v>0</v>
      </c>
      <c r="BE21" s="71">
        <f>Financials202632[[#This Row],[Mar AC]]-Financials202632[[#This Row],[Mar FC]]</f>
        <v>0</v>
      </c>
      <c r="BF21" s="71">
        <f>Financials202632[[#This Row],[Apr AC]]-Financials202632[[#This Row],[Apr FC]]</f>
        <v>-3447</v>
      </c>
      <c r="BG21" s="71">
        <f>Financials202632[[#This Row],[May AC]]-Financials202632[[#This Row],[May FC]]</f>
        <v>-7660</v>
      </c>
      <c r="BH21" s="71">
        <f>Financials202632[[#This Row],[Jun AC]]-Financials202632[[#This Row],[Jun FC]]</f>
        <v>-120190</v>
      </c>
      <c r="BI21" s="71">
        <f>Financials202632[[#This Row],[Jul AC]]-Financials202632[[#This Row],[Jul FC]]</f>
        <v>-120190</v>
      </c>
      <c r="BJ21" s="71">
        <f>Financials202632[[#This Row],[Aug AC]]-Financials202632[[#This Row],[Aug FC]]</f>
        <v>-127356</v>
      </c>
      <c r="BK21" s="71">
        <f>Financials202632[[#This Row],[Sep AC]]-Financials202632[[#This Row],[Sep FC]]</f>
        <v>-127356</v>
      </c>
      <c r="BL21" s="71">
        <f>Financials202632[[#This Row],[Oct AC]]-Financials202632[[#This Row],[Oct FC]]</f>
        <v>-127356</v>
      </c>
      <c r="BM21" s="71">
        <f>Financials202632[[#This Row],[Nov AC]]-Financials202632[[#This Row],[Nov FC]]</f>
        <v>-127356</v>
      </c>
      <c r="BN21" s="71">
        <f>Financials202632[[#This Row],[Dec AC]]-Financials202632[[#This Row],[Dec FC]]</f>
        <v>-127356</v>
      </c>
      <c r="BO21" s="71">
        <f>SUM(Financials202632[[#This Row],[Jan Opp/Risk]:[Dec Opp./Risk]])</f>
        <v>-888267</v>
      </c>
      <c r="BP21" s="89" t="s">
        <v>388</v>
      </c>
      <c r="BQ21" s="47">
        <f>SUM(Financials202632[[#This Row],[Jan AC]:[May AC]])</f>
        <v>566480</v>
      </c>
      <c r="BR21" s="6">
        <f>Financials202632[[#This Row],[2026 (Actuals + Forecast)]]-Financials202632[[#This Row],[Jan-May Actuals]]-Financials202632[[#This Row],[Jun-Dec FC]]</f>
        <v>0</v>
      </c>
      <c r="BS21" s="6">
        <f>Financials202632[[#This Row],[Jun-Dec FC]]+Financials202632[[#This Row],[Jan-May Forecast ]]</f>
        <v>877160</v>
      </c>
      <c r="BT21" s="6">
        <f>SUM(Financials202632[[#This Row],[Jan FC]:[May FC]])</f>
        <v>577587</v>
      </c>
      <c r="BU21" s="6">
        <f>Financials202632[[#This Row],[Jan-May Actuals]]+Financials202632[[#This Row],[Forecast Jun-Dec]]</f>
        <v>1443640</v>
      </c>
      <c r="BV21" s="6"/>
      <c r="BW21" s="6" t="s">
        <v>331</v>
      </c>
      <c r="BX21" s="6" t="s">
        <v>306</v>
      </c>
    </row>
    <row r="22" spans="1:76" x14ac:dyDescent="0.3">
      <c r="A22" s="22" t="s">
        <v>295</v>
      </c>
      <c r="B22" s="21" t="s">
        <v>109</v>
      </c>
      <c r="C22" s="21"/>
      <c r="D22" s="10" t="s">
        <v>389</v>
      </c>
      <c r="E22" s="7" t="s">
        <v>389</v>
      </c>
      <c r="F22" s="3" t="s">
        <v>390</v>
      </c>
      <c r="G22" s="3" t="s">
        <v>25</v>
      </c>
      <c r="H22" s="4">
        <v>46023</v>
      </c>
      <c r="I22" s="4">
        <v>46387</v>
      </c>
      <c r="J22" s="3" t="s">
        <v>391</v>
      </c>
      <c r="K22" s="3" t="str">
        <f t="shared" si="0"/>
        <v>T&amp;M-T&amp;M</v>
      </c>
      <c r="L22" s="21" t="s">
        <v>323</v>
      </c>
      <c r="M22" s="21" t="s">
        <v>13</v>
      </c>
      <c r="N22" s="21" t="s">
        <v>392</v>
      </c>
      <c r="O22" s="21" t="s">
        <v>389</v>
      </c>
      <c r="P22" s="21" t="s">
        <v>325</v>
      </c>
      <c r="Q22" s="21" t="s">
        <v>326</v>
      </c>
      <c r="R22" s="21" t="s">
        <v>327</v>
      </c>
      <c r="S22" s="21" t="s">
        <v>328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SUM(Financials202632[[#This Row],[2026 Opportunity]:[2026 Risk]])</f>
        <v>-5308</v>
      </c>
      <c r="AA22" s="3" t="s">
        <v>389</v>
      </c>
      <c r="AB22" s="52">
        <f>Financials202632[[#This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SUM(Financials202632[[#This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SUM(Financials202632[[#This Row],[Jan AC]:[Dec AC]])</f>
        <v>85892</v>
      </c>
      <c r="BC22" s="71">
        <f>Financials202632[[#This Row],[Jan AC]]-Financials202632[[#This Row],[Jan FC]]</f>
        <v>-2112</v>
      </c>
      <c r="BD22" s="71">
        <f>Financials202632[[#This Row],[Feb AC]]-Financials202632[[#This Row],[Feb FC]]</f>
        <v>-1776</v>
      </c>
      <c r="BE22" s="71">
        <f>Financials202632[[#This Row],[Mar AC]]-Financials202632[[#This Row],[Mar FC]]</f>
        <v>-1652</v>
      </c>
      <c r="BF22" s="71">
        <f>Financials202632[[#This Row],[Apr AC]]-Financials202632[[#This Row],[Apr FC]]</f>
        <v>864</v>
      </c>
      <c r="BG22" s="71">
        <f>Financials202632[[#This Row],[May AC]]-Financials202632[[#This Row],[May FC]]</f>
        <v>-632</v>
      </c>
      <c r="BH22" s="71">
        <f>Financials202632[[#This Row],[Jun AC]]-Financials202632[[#This Row],[Jun FC]]</f>
        <v>-18240</v>
      </c>
      <c r="BI22" s="71">
        <f>Financials202632[[#This Row],[Jul AC]]-Financials202632[[#This Row],[Jul FC]]</f>
        <v>-18240</v>
      </c>
      <c r="BJ22" s="71">
        <f>Financials202632[[#This Row],[Aug AC]]-Financials202632[[#This Row],[Aug FC]]</f>
        <v>-18240</v>
      </c>
      <c r="BK22" s="71">
        <f>Financials202632[[#This Row],[Sep AC]]-Financials202632[[#This Row],[Sep FC]]</f>
        <v>-18240</v>
      </c>
      <c r="BL22" s="71">
        <f>Financials202632[[#This Row],[Oct AC]]-Financials202632[[#This Row],[Oct FC]]</f>
        <v>-18240</v>
      </c>
      <c r="BM22" s="71">
        <f>Financials202632[[#This Row],[Nov AC]]-Financials202632[[#This Row],[Nov FC]]</f>
        <v>-18240</v>
      </c>
      <c r="BN22" s="71">
        <f>Financials202632[[#This Row],[Dec AC]]-Financials202632[[#This Row],[Dec FC]]</f>
        <v>-18240</v>
      </c>
      <c r="BO22" s="71">
        <f>SUM(Financials202632[[#This Row],[Jan Opp/Risk]:[Dec Opp./Risk]])</f>
        <v>-132988</v>
      </c>
      <c r="BP22" s="89" t="s">
        <v>393</v>
      </c>
      <c r="BQ22" s="47">
        <f>SUM(Financials202632[[#This Row],[Jan AC]:[May AC]])</f>
        <v>85892</v>
      </c>
      <c r="BR22" s="6">
        <f>Financials202632[[#This Row],[2026 (Actuals + Forecast)]]-Financials202632[[#This Row],[Jan-May Actuals]]-Financials202632[[#This Row],[Jun-Dec FC]]</f>
        <v>0</v>
      </c>
      <c r="BS22" s="6">
        <f>Financials202632[[#This Row],[Jun-Dec FC]]+Financials202632[[#This Row],[Jan-May Forecast ]]</f>
        <v>127680</v>
      </c>
      <c r="BT22" s="6">
        <f>SUM(Financials202632[[#This Row],[Jan FC]:[May FC]])</f>
        <v>91200</v>
      </c>
      <c r="BU22" s="6">
        <f>Financials202632[[#This Row],[Jan-May Actuals]]+Financials202632[[#This Row],[Forecast Jun-Dec]]</f>
        <v>213572</v>
      </c>
      <c r="BV22" s="6"/>
      <c r="BW22" s="6" t="s">
        <v>331</v>
      </c>
      <c r="BX22" s="6" t="e">
        <v>#N/A</v>
      </c>
    </row>
    <row r="23" spans="1:76" x14ac:dyDescent="0.3">
      <c r="A23" s="22" t="s">
        <v>295</v>
      </c>
      <c r="B23" s="21" t="s">
        <v>98</v>
      </c>
      <c r="C23" s="21" t="s">
        <v>394</v>
      </c>
      <c r="D23" s="10" t="s">
        <v>389</v>
      </c>
      <c r="E23" s="7" t="s">
        <v>389</v>
      </c>
      <c r="F23" s="3" t="s">
        <v>390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323</v>
      </c>
      <c r="M23" s="21" t="s">
        <v>13</v>
      </c>
      <c r="N23" s="21" t="s">
        <v>392</v>
      </c>
      <c r="O23" s="21" t="s">
        <v>389</v>
      </c>
      <c r="P23" s="21" t="s">
        <v>325</v>
      </c>
      <c r="Q23" s="21" t="s">
        <v>326</v>
      </c>
      <c r="R23" s="21" t="s">
        <v>327</v>
      </c>
      <c r="S23" s="21" t="s">
        <v>328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SUM(Financials202632[[#This Row],[2026 Opportunity]:[2026 Risk]])</f>
        <v>39529</v>
      </c>
      <c r="AA23" s="3" t="s">
        <v>395</v>
      </c>
      <c r="AB23" s="52">
        <f>Financials202632[[#This Row],[2026 Final Budget]]/12</f>
        <v>119840</v>
      </c>
      <c r="AC23" s="52">
        <f>Financials202632[[#This Row],[2026 Final Budget]]/12</f>
        <v>119840</v>
      </c>
      <c r="AD23" s="52">
        <f>Financials202632[[#This Row],[2026 Final Budget]]/12</f>
        <v>119840</v>
      </c>
      <c r="AE23" s="52">
        <f>Financials202632[[#This Row],[2026 Final Budget]]/12</f>
        <v>119840</v>
      </c>
      <c r="AF23" s="52">
        <f>Financials202632[[#This Row],[2026 Final Budget]]/12</f>
        <v>119840</v>
      </c>
      <c r="AG23" s="52">
        <f>Financials202632[[#This Row],[2026 Final Budget]]/12</f>
        <v>119840</v>
      </c>
      <c r="AH23" s="52">
        <f>Financials202632[[#This Row],[2026 Final Budget]]/12</f>
        <v>119840</v>
      </c>
      <c r="AI23" s="52">
        <f>Financials202632[[#This Row],[2026 Final Budget]]/12</f>
        <v>119840</v>
      </c>
      <c r="AJ23" s="52">
        <f>Financials202632[[#This Row],[2026 Final Budget]]/12</f>
        <v>119840</v>
      </c>
      <c r="AK23" s="52">
        <f>Financials202632[[#This Row],[2026 Final Budget]]/12</f>
        <v>119840</v>
      </c>
      <c r="AL23" s="52">
        <f>Financials202632[[#This Row],[2026 Final Budget]]/12</f>
        <v>119840</v>
      </c>
      <c r="AM23" s="52">
        <f>Financials202632[[#This Row],[2026 Final Budget]]/12</f>
        <v>119840</v>
      </c>
      <c r="AN23" s="52">
        <f>SUM(Financials202632[[#This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SUM(Financials202632[[#This Row],[Jan AC]:[Dec AC]])</f>
        <v>638729</v>
      </c>
      <c r="BC23" s="71">
        <f>Financials202632[[#This Row],[Jan AC]]-Financials202632[[#This Row],[Jan FC]]</f>
        <v>-4680</v>
      </c>
      <c r="BD23" s="71">
        <f>Financials202632[[#This Row],[Feb AC]]-Financials202632[[#This Row],[Feb FC]]</f>
        <v>-12229</v>
      </c>
      <c r="BE23" s="71">
        <f>Financials202632[[#This Row],[Mar AC]]-Financials202632[[#This Row],[Mar FC]]</f>
        <v>5132</v>
      </c>
      <c r="BF23" s="71">
        <f>Financials202632[[#This Row],[Apr AC]]-Financials202632[[#This Row],[Apr FC]]</f>
        <v>31824</v>
      </c>
      <c r="BG23" s="71">
        <f>Financials202632[[#This Row],[May AC]]-Financials202632[[#This Row],[May FC]]</f>
        <v>19482</v>
      </c>
      <c r="BH23" s="71">
        <f>Financials202632[[#This Row],[Jun AC]]-Financials202632[[#This Row],[Jun FC]]</f>
        <v>-119840</v>
      </c>
      <c r="BI23" s="71">
        <f>Financials202632[[#This Row],[Jul AC]]-Financials202632[[#This Row],[Jul FC]]</f>
        <v>-119840</v>
      </c>
      <c r="BJ23" s="71">
        <f>Financials202632[[#This Row],[Aug AC]]-Financials202632[[#This Row],[Aug FC]]</f>
        <v>-119840</v>
      </c>
      <c r="BK23" s="71">
        <f>Financials202632[[#This Row],[Sep AC]]-Financials202632[[#This Row],[Sep FC]]</f>
        <v>-119840</v>
      </c>
      <c r="BL23" s="71">
        <f>Financials202632[[#This Row],[Oct AC]]-Financials202632[[#This Row],[Oct FC]]</f>
        <v>-119840</v>
      </c>
      <c r="BM23" s="71">
        <f>Financials202632[[#This Row],[Nov AC]]-Financials202632[[#This Row],[Nov FC]]</f>
        <v>-119840</v>
      </c>
      <c r="BN23" s="71">
        <f>Financials202632[[#This Row],[Dec AC]]-Financials202632[[#This Row],[Dec FC]]</f>
        <v>-119840</v>
      </c>
      <c r="BO23" s="71">
        <f>SUM(Financials202632[[#This Row],[Jan Opp/Risk]:[Dec Opp./Risk]])</f>
        <v>-799351</v>
      </c>
      <c r="BP23" s="89" t="s">
        <v>393</v>
      </c>
      <c r="BQ23" s="47">
        <f>SUM(Financials202632[[#This Row],[Jan AC]:[May AC]])</f>
        <v>638729</v>
      </c>
      <c r="BR23" s="6">
        <f>Financials202632[[#This Row],[2026 (Actuals + Forecast)]]-Financials202632[[#This Row],[Jan-May Actuals]]-Financials202632[[#This Row],[Jun-Dec FC]]</f>
        <v>0</v>
      </c>
      <c r="BS23" s="6">
        <f>Financials202632[[#This Row],[Jun-Dec FC]]+Financials202632[[#This Row],[Jan-May Forecast ]]</f>
        <v>838880</v>
      </c>
      <c r="BT23" s="6">
        <f>SUM(Financials202632[[#This Row],[Jan FC]:[May FC]])</f>
        <v>599200</v>
      </c>
      <c r="BU23" s="6">
        <f>Financials202632[[#This Row],[Jan-May Actuals]]+Financials202632[[#This Row],[Forecast Jun-Dec]]</f>
        <v>1477609</v>
      </c>
      <c r="BV23" s="6"/>
      <c r="BW23" s="6" t="s">
        <v>331</v>
      </c>
      <c r="BX23" s="6" t="e">
        <v>#N/A</v>
      </c>
    </row>
    <row r="24" spans="1:76" x14ac:dyDescent="0.3">
      <c r="A24" s="22" t="s">
        <v>295</v>
      </c>
      <c r="B24" s="21" t="s">
        <v>98</v>
      </c>
      <c r="C24" s="21" t="s">
        <v>394</v>
      </c>
      <c r="D24" s="10" t="s">
        <v>389</v>
      </c>
      <c r="E24" s="7" t="s">
        <v>389</v>
      </c>
      <c r="F24" s="3" t="s">
        <v>390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323</v>
      </c>
      <c r="M24" s="21" t="s">
        <v>13</v>
      </c>
      <c r="N24" s="21" t="s">
        <v>392</v>
      </c>
      <c r="O24" s="21" t="s">
        <v>389</v>
      </c>
      <c r="P24" s="21" t="s">
        <v>325</v>
      </c>
      <c r="Q24" s="21" t="s">
        <v>326</v>
      </c>
      <c r="R24" s="21" t="s">
        <v>327</v>
      </c>
      <c r="S24" s="21" t="s">
        <v>328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SUM(Financials202632[[#This Row],[2026 Opportunity]:[2026 Risk]])</f>
        <v>-96178</v>
      </c>
      <c r="AA24" s="3" t="s">
        <v>395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SUM(Financials202632[[#This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SUM(Financials202632[[#This Row],[Jan AC]:[Dec AC]])</f>
        <v>158862</v>
      </c>
      <c r="BC24" s="71">
        <f>Financials202632[[#This Row],[Jan AC]]-Financials202632[[#This Row],[Jan FC]]</f>
        <v>-8224</v>
      </c>
      <c r="BD24" s="71">
        <f>Financials202632[[#This Row],[Feb AC]]-Financials202632[[#This Row],[Feb FC]]</f>
        <v>-11294</v>
      </c>
      <c r="BE24" s="71">
        <f>Financials202632[[#This Row],[Mar AC]]-Financials202632[[#This Row],[Mar FC]]</f>
        <v>376</v>
      </c>
      <c r="BF24" s="71">
        <f>Financials202632[[#This Row],[Apr AC]]-Financials202632[[#This Row],[Apr FC]]</f>
        <v>-1436</v>
      </c>
      <c r="BG24" s="71">
        <f>Financials202632[[#This Row],[May AC]]-Financials202632[[#This Row],[May FC]]</f>
        <v>-13360</v>
      </c>
      <c r="BH24" s="71">
        <f>Financials202632[[#This Row],[Jun AC]]-Financials202632[[#This Row],[Jun FC]]</f>
        <v>-22720</v>
      </c>
      <c r="BI24" s="71">
        <f>Financials202632[[#This Row],[Jul AC]]-Financials202632[[#This Row],[Jul FC]]</f>
        <v>-22720</v>
      </c>
      <c r="BJ24" s="71">
        <f>Financials202632[[#This Row],[Aug AC]]-Financials202632[[#This Row],[Aug FC]]</f>
        <v>-22720</v>
      </c>
      <c r="BK24" s="71">
        <f>Financials202632[[#This Row],[Sep AC]]-Financials202632[[#This Row],[Sep FC]]</f>
        <v>-22720</v>
      </c>
      <c r="BL24" s="71">
        <f>Financials202632[[#This Row],[Oct AC]]-Financials202632[[#This Row],[Oct FC]]</f>
        <v>-22720</v>
      </c>
      <c r="BM24" s="71">
        <f>Financials202632[[#This Row],[Nov AC]]-Financials202632[[#This Row],[Nov FC]]</f>
        <v>-22720</v>
      </c>
      <c r="BN24" s="71">
        <f>Financials202632[[#This Row],[Dec AC]]-Financials202632[[#This Row],[Dec FC]]</f>
        <v>-22720</v>
      </c>
      <c r="BO24" s="71">
        <f>SUM(Financials202632[[#This Row],[Jan Opp/Risk]:[Dec Opp./Risk]])</f>
        <v>-192978</v>
      </c>
      <c r="BP24" s="89" t="s">
        <v>396</v>
      </c>
      <c r="BQ24" s="47">
        <f>SUM(Financials202632[[#This Row],[Jan AC]:[May AC]])</f>
        <v>158862</v>
      </c>
      <c r="BR24" s="6">
        <f>Financials202632[[#This Row],[2026 (Actuals + Forecast)]]-Financials202632[[#This Row],[Jan-May Actuals]]-Financials202632[[#This Row],[Jun-Dec FC]]</f>
        <v>0</v>
      </c>
      <c r="BS24" s="6">
        <f>Financials202632[[#This Row],[Jun-Dec FC]]+Financials202632[[#This Row],[Jan-May Forecast ]]</f>
        <v>159040</v>
      </c>
      <c r="BT24" s="6">
        <f>SUM(Financials202632[[#This Row],[Jan FC]:[May FC]])</f>
        <v>192800</v>
      </c>
      <c r="BU24" s="6">
        <f>Financials202632[[#This Row],[Jan-May Actuals]]+Financials202632[[#This Row],[Forecast Jun-Dec]]</f>
        <v>317902</v>
      </c>
      <c r="BV24" s="6"/>
      <c r="BW24" s="6" t="s">
        <v>331</v>
      </c>
      <c r="BX24" s="6" t="e">
        <v>#N/A</v>
      </c>
    </row>
    <row r="25" spans="1:76" x14ac:dyDescent="0.3">
      <c r="A25" s="22" t="s">
        <v>295</v>
      </c>
      <c r="B25" s="21" t="s">
        <v>98</v>
      </c>
      <c r="C25" s="21" t="s">
        <v>394</v>
      </c>
      <c r="D25" s="10" t="s">
        <v>389</v>
      </c>
      <c r="E25" s="7" t="s">
        <v>389</v>
      </c>
      <c r="F25" s="3" t="s">
        <v>390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323</v>
      </c>
      <c r="M25" s="21" t="s">
        <v>13</v>
      </c>
      <c r="N25" s="21" t="s">
        <v>392</v>
      </c>
      <c r="O25" s="21" t="s">
        <v>389</v>
      </c>
      <c r="P25" s="21" t="s">
        <v>325</v>
      </c>
      <c r="Q25" s="21" t="s">
        <v>326</v>
      </c>
      <c r="R25" s="21" t="s">
        <v>327</v>
      </c>
      <c r="S25" s="21" t="s">
        <v>328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SUM(Financials202632[[#This Row],[2026 Opportunity]:[2026 Risk]])</f>
        <v>-336504</v>
      </c>
      <c r="AA25" s="3" t="s">
        <v>395</v>
      </c>
      <c r="AB25" s="53">
        <f>Financials202632[[#This Row],[2026 Final Budget]]/12</f>
        <v>125440</v>
      </c>
      <c r="AC25" s="53">
        <f>Financials202632[[#This Row],[2026 Final Budget]]/12</f>
        <v>125440</v>
      </c>
      <c r="AD25" s="53">
        <f>Financials202632[[#This Row],[2026 Final Budget]]/12</f>
        <v>125440</v>
      </c>
      <c r="AE25" s="53">
        <f>Financials202632[[#This Row],[2026 Final Budget]]/12</f>
        <v>125440</v>
      </c>
      <c r="AF25" s="53">
        <f>Financials202632[[#This Row],[2026 Final Budget]]/12</f>
        <v>125440</v>
      </c>
      <c r="AG25" s="53">
        <f>(Financials202632[[#This Row],[2026 Final Budget]]/12)-21000</f>
        <v>104440</v>
      </c>
      <c r="AH25" s="53">
        <f>(Financials202632[[#This Row],[2026 Final Budget]]/12)-21000</f>
        <v>104440</v>
      </c>
      <c r="AI25" s="53">
        <f>(Financials202632[[#This Row],[2026 Final Budget]]/12)-21000-17920</f>
        <v>86520</v>
      </c>
      <c r="AJ25" s="53">
        <f>(Financials202632[[#This Row],[2026 Final Budget]]/12)-21000-17920</f>
        <v>86520</v>
      </c>
      <c r="AK25" s="53">
        <f>(Financials202632[[#This Row],[2026 Final Budget]]/12)-21000-17920</f>
        <v>86520</v>
      </c>
      <c r="AL25" s="53">
        <f>(Financials202632[[#This Row],[2026 Final Budget]]/12)-21000-17920</f>
        <v>86520</v>
      </c>
      <c r="AM25" s="53">
        <f>(Financials202632[[#This Row],[2026 Final Budget]]/12)-21000-17920</f>
        <v>86520</v>
      </c>
      <c r="AN25" s="52">
        <f>SUM(Financials202632[[#This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SUM(Financials202632[[#This Row],[Jan AC]:[Dec AC]])</f>
        <v>527296</v>
      </c>
      <c r="BC25" s="71">
        <f>Financials202632[[#This Row],[Jan AC]]-Financials202632[[#This Row],[Jan FC]]</f>
        <v>-16576</v>
      </c>
      <c r="BD25" s="71">
        <f>Financials202632[[#This Row],[Feb AC]]-Financials202632[[#This Row],[Feb FC]]</f>
        <v>-21256</v>
      </c>
      <c r="BE25" s="71">
        <f>Financials202632[[#This Row],[Mar AC]]-Financials202632[[#This Row],[Mar FC]]</f>
        <v>4048</v>
      </c>
      <c r="BF25" s="71">
        <f>Financials202632[[#This Row],[Apr AC]]-Financials202632[[#This Row],[Apr FC]]</f>
        <v>-32320</v>
      </c>
      <c r="BG25" s="71">
        <f>Financials202632[[#This Row],[May AC]]-Financials202632[[#This Row],[May FC]]</f>
        <v>-33800</v>
      </c>
      <c r="BH25" s="71">
        <f>Financials202632[[#This Row],[Jun AC]]-Financials202632[[#This Row],[Jun FC]]</f>
        <v>-104440</v>
      </c>
      <c r="BI25" s="71">
        <f>Financials202632[[#This Row],[Jul AC]]-Financials202632[[#This Row],[Jul FC]]</f>
        <v>-104440</v>
      </c>
      <c r="BJ25" s="71">
        <f>Financials202632[[#This Row],[Aug AC]]-Financials202632[[#This Row],[Aug FC]]</f>
        <v>-86520</v>
      </c>
      <c r="BK25" s="71">
        <f>Financials202632[[#This Row],[Sep AC]]-Financials202632[[#This Row],[Sep FC]]</f>
        <v>-86520</v>
      </c>
      <c r="BL25" s="71">
        <f>Financials202632[[#This Row],[Oct AC]]-Financials202632[[#This Row],[Oct FC]]</f>
        <v>-86520</v>
      </c>
      <c r="BM25" s="71">
        <f>Financials202632[[#This Row],[Nov AC]]-Financials202632[[#This Row],[Nov FC]]</f>
        <v>-86520</v>
      </c>
      <c r="BN25" s="71">
        <f>Financials202632[[#This Row],[Dec AC]]-Financials202632[[#This Row],[Dec FC]]</f>
        <v>-86520</v>
      </c>
      <c r="BO25" s="71">
        <f>SUM(Financials202632[[#This Row],[Jan Opp/Risk]:[Dec Opp./Risk]])</f>
        <v>-741384</v>
      </c>
      <c r="BP25" s="89" t="s">
        <v>397</v>
      </c>
      <c r="BQ25" s="47">
        <f>SUM(Financials202632[[#This Row],[Jan AC]:[May AC]])</f>
        <v>527296</v>
      </c>
      <c r="BR25" s="6">
        <f>Financials202632[[#This Row],[2026 (Actuals + Forecast)]]-Financials202632[[#This Row],[Jan-May Actuals]]-Financials202632[[#This Row],[Jun-Dec FC]]</f>
        <v>0</v>
      </c>
      <c r="BS25" s="6">
        <f>Financials202632[[#This Row],[Jun-Dec FC]]+Financials202632[[#This Row],[Jan-May Forecast ]]</f>
        <v>641480</v>
      </c>
      <c r="BT25" s="6">
        <f>SUM(Financials202632[[#This Row],[Jan FC]:[May FC]])</f>
        <v>627200</v>
      </c>
      <c r="BU25" s="6">
        <f>Financials202632[[#This Row],[Jan-May Actuals]]+Financials202632[[#This Row],[Forecast Jun-Dec]]</f>
        <v>1168776</v>
      </c>
      <c r="BV25" s="6"/>
      <c r="BW25" s="6" t="s">
        <v>331</v>
      </c>
      <c r="BX25" s="6" t="e">
        <v>#N/A</v>
      </c>
    </row>
    <row r="26" spans="1:76" x14ac:dyDescent="0.3">
      <c r="A26" s="22" t="s">
        <v>295</v>
      </c>
      <c r="B26" s="21" t="s">
        <v>98</v>
      </c>
      <c r="C26" s="21" t="s">
        <v>394</v>
      </c>
      <c r="D26" s="10" t="s">
        <v>389</v>
      </c>
      <c r="E26" s="7" t="s">
        <v>389</v>
      </c>
      <c r="F26" s="3" t="s">
        <v>390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323</v>
      </c>
      <c r="M26" s="21" t="s">
        <v>13</v>
      </c>
      <c r="N26" s="21" t="s">
        <v>392</v>
      </c>
      <c r="O26" s="21" t="s">
        <v>389</v>
      </c>
      <c r="P26" s="21" t="s">
        <v>325</v>
      </c>
      <c r="Q26" s="21" t="s">
        <v>326</v>
      </c>
      <c r="R26" s="21" t="s">
        <v>327</v>
      </c>
      <c r="S26" s="21" t="s">
        <v>328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SUM(Financials202632[[#This Row],[2026 Opportunity]:[2026 Risk]])</f>
        <v>2432</v>
      </c>
      <c r="AA26" s="3" t="s">
        <v>395</v>
      </c>
      <c r="AB26" s="53">
        <f>Financials202632[[#This Row],[2026 Final Budget]]/12</f>
        <v>24320</v>
      </c>
      <c r="AC26" s="53">
        <f>Financials202632[[#This Row],[2026 Final Budget]]/12</f>
        <v>24320</v>
      </c>
      <c r="AD26" s="53">
        <f>Financials202632[[#This Row],[2026 Final Budget]]/12</f>
        <v>24320</v>
      </c>
      <c r="AE26" s="53">
        <f>Financials202632[[#This Row],[2026 Final Budget]]/12</f>
        <v>24320</v>
      </c>
      <c r="AF26" s="53">
        <f>Financials202632[[#This Row],[2026 Final Budget]]/12</f>
        <v>24320</v>
      </c>
      <c r="AG26" s="53">
        <f>Financials202632[[#This Row],[2026 Final Budget]]/12</f>
        <v>24320</v>
      </c>
      <c r="AH26" s="53">
        <f>Financials202632[[#This Row],[2026 Final Budget]]/12</f>
        <v>24320</v>
      </c>
      <c r="AI26" s="53">
        <f>Financials202632[[#This Row],[2026 Final Budget]]/12</f>
        <v>24320</v>
      </c>
      <c r="AJ26" s="53">
        <f>Financials202632[[#This Row],[2026 Final Budget]]/12</f>
        <v>24320</v>
      </c>
      <c r="AK26" s="53">
        <f>Financials202632[[#This Row],[2026 Final Budget]]/12</f>
        <v>24320</v>
      </c>
      <c r="AL26" s="53">
        <f>Financials202632[[#This Row],[2026 Final Budget]]/12</f>
        <v>24320</v>
      </c>
      <c r="AM26" s="53">
        <f>Financials202632[[#This Row],[2026 Final Budget]]/12</f>
        <v>24320</v>
      </c>
      <c r="AN26" s="52">
        <f>SUM(Financials202632[[#This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SUM(Financials202632[[#This Row],[Jan AC]:[Dec AC]])</f>
        <v>124032</v>
      </c>
      <c r="BC26" s="71">
        <f>Financials202632[[#This Row],[Jan AC]]-Financials202632[[#This Row],[Jan FC]]</f>
        <v>0</v>
      </c>
      <c r="BD26" s="71">
        <f>Financials202632[[#This Row],[Feb AC]]-Financials202632[[#This Row],[Feb FC]]</f>
        <v>0</v>
      </c>
      <c r="BE26" s="71">
        <f>Financials202632[[#This Row],[Mar AC]]-Financials202632[[#This Row],[Mar FC]]</f>
        <v>2432</v>
      </c>
      <c r="BF26" s="71">
        <f>Financials202632[[#This Row],[Apr AC]]-Financials202632[[#This Row],[Apr FC]]</f>
        <v>2432</v>
      </c>
      <c r="BG26" s="71">
        <f>Financials202632[[#This Row],[May AC]]-Financials202632[[#This Row],[May FC]]</f>
        <v>-2432</v>
      </c>
      <c r="BH26" s="71">
        <f>Financials202632[[#This Row],[Jun AC]]-Financials202632[[#This Row],[Jun FC]]</f>
        <v>-24320</v>
      </c>
      <c r="BI26" s="71">
        <f>Financials202632[[#This Row],[Jul AC]]-Financials202632[[#This Row],[Jul FC]]</f>
        <v>-24320</v>
      </c>
      <c r="BJ26" s="71">
        <f>Financials202632[[#This Row],[Aug AC]]-Financials202632[[#This Row],[Aug FC]]</f>
        <v>-24320</v>
      </c>
      <c r="BK26" s="71">
        <f>Financials202632[[#This Row],[Sep AC]]-Financials202632[[#This Row],[Sep FC]]</f>
        <v>-24320</v>
      </c>
      <c r="BL26" s="71">
        <f>Financials202632[[#This Row],[Oct AC]]-Financials202632[[#This Row],[Oct FC]]</f>
        <v>-24320</v>
      </c>
      <c r="BM26" s="71">
        <f>Financials202632[[#This Row],[Nov AC]]-Financials202632[[#This Row],[Nov FC]]</f>
        <v>-24320</v>
      </c>
      <c r="BN26" s="71">
        <f>Financials202632[[#This Row],[Dec AC]]-Financials202632[[#This Row],[Dec FC]]</f>
        <v>-24320</v>
      </c>
      <c r="BO26" s="71">
        <f>SUM(Financials202632[[#This Row],[Jan Opp/Risk]:[Dec Opp./Risk]])</f>
        <v>-167808</v>
      </c>
      <c r="BP26" s="89" t="s">
        <v>393</v>
      </c>
      <c r="BQ26" s="47">
        <f>SUM(Financials202632[[#This Row],[Jan AC]:[May AC]])</f>
        <v>124032</v>
      </c>
      <c r="BR26" s="6">
        <f>Financials202632[[#This Row],[2026 (Actuals + Forecast)]]-Financials202632[[#This Row],[Jan-May Actuals]]-Financials202632[[#This Row],[Jun-Dec FC]]</f>
        <v>0</v>
      </c>
      <c r="BS26" s="6">
        <f>Financials202632[[#This Row],[Jun-Dec FC]]+Financials202632[[#This Row],[Jan-May Forecast ]]</f>
        <v>170240</v>
      </c>
      <c r="BT26" s="6">
        <f>SUM(Financials202632[[#This Row],[Jan FC]:[May FC]])</f>
        <v>121600</v>
      </c>
      <c r="BU26" s="6">
        <f>Financials202632[[#This Row],[Jan-May Actuals]]+Financials202632[[#This Row],[Forecast Jun-Dec]]</f>
        <v>294272</v>
      </c>
      <c r="BV26" s="6"/>
      <c r="BW26" s="6" t="s">
        <v>331</v>
      </c>
      <c r="BX26" s="6" t="e">
        <v>#N/A</v>
      </c>
    </row>
    <row r="27" spans="1:76" x14ac:dyDescent="0.3">
      <c r="A27" s="22" t="s">
        <v>295</v>
      </c>
      <c r="B27" s="21" t="s">
        <v>113</v>
      </c>
      <c r="C27" s="21" t="s">
        <v>398</v>
      </c>
      <c r="D27" s="10" t="s">
        <v>399</v>
      </c>
      <c r="E27" s="7" t="s">
        <v>400</v>
      </c>
      <c r="F27" s="3" t="s">
        <v>385</v>
      </c>
      <c r="G27" s="3" t="s">
        <v>20</v>
      </c>
      <c r="H27" s="4" t="s">
        <v>346</v>
      </c>
      <c r="I27" s="4" t="s">
        <v>346</v>
      </c>
      <c r="J27" s="3"/>
      <c r="K27" s="3" t="str">
        <f t="shared" si="0"/>
        <v>Prj000467-Support - Enterprise Tech Helpdesk</v>
      </c>
      <c r="L27" s="21" t="s">
        <v>323</v>
      </c>
      <c r="M27" s="21" t="s">
        <v>14</v>
      </c>
      <c r="N27" s="21" t="s">
        <v>324</v>
      </c>
      <c r="O27" s="21" t="s">
        <v>10</v>
      </c>
      <c r="P27" s="21" t="s">
        <v>325</v>
      </c>
      <c r="Q27" s="21" t="s">
        <v>326</v>
      </c>
      <c r="R27" s="21" t="s">
        <v>327</v>
      </c>
      <c r="S27" s="21" t="s">
        <v>328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SUM(Financials202632[[#This Row],[2026 Opportunity]:[2026 Risk]])</f>
        <v>-73350</v>
      </c>
      <c r="AA27" s="3" t="s">
        <v>401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SUM(Financials202632[[#This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SUM(Financials202632[[#This Row],[Jan AC]:[Dec AC]])</f>
        <v>80950</v>
      </c>
      <c r="BC27" s="71">
        <f>Financials202632[[#This Row],[Jan AC]]-Financials202632[[#This Row],[Jan FC]]</f>
        <v>0</v>
      </c>
      <c r="BD27" s="71">
        <f>Financials202632[[#This Row],[Feb AC]]-Financials202632[[#This Row],[Feb FC]]</f>
        <v>0</v>
      </c>
      <c r="BE27" s="71">
        <f>Financials202632[[#This Row],[Mar AC]]-Financials202632[[#This Row],[Mar FC]]</f>
        <v>0</v>
      </c>
      <c r="BF27" s="71">
        <f>Financials202632[[#This Row],[Apr AC]]-Financials202632[[#This Row],[Apr FC]]</f>
        <v>0</v>
      </c>
      <c r="BG27" s="71">
        <f>Financials202632[[#This Row],[May AC]]-Financials202632[[#This Row],[May FC]]</f>
        <v>0</v>
      </c>
      <c r="BH27" s="71">
        <f>Financials202632[[#This Row],[Jun AC]]-Financials202632[[#This Row],[Jun FC]]</f>
        <v>0</v>
      </c>
      <c r="BI27" s="71">
        <f>Financials202632[[#This Row],[Jul AC]]-Financials202632[[#This Row],[Jul FC]]</f>
        <v>-5950</v>
      </c>
      <c r="BJ27" s="71">
        <f>Financials202632[[#This Row],[Aug AC]]-Financials202632[[#This Row],[Aug FC]]</f>
        <v>-5950</v>
      </c>
      <c r="BK27" s="71">
        <f>Financials202632[[#This Row],[Sep AC]]-Financials202632[[#This Row],[Sep FC]]</f>
        <v>-5950</v>
      </c>
      <c r="BL27" s="71">
        <f>Financials202632[[#This Row],[Oct AC]]-Financials202632[[#This Row],[Oct FC]]</f>
        <v>-5950</v>
      </c>
      <c r="BM27" s="71">
        <f>Financials202632[[#This Row],[Nov AC]]-Financials202632[[#This Row],[Nov FC]]</f>
        <v>-5950</v>
      </c>
      <c r="BN27" s="71">
        <f>Financials202632[[#This Row],[Dec AC]]-Financials202632[[#This Row],[Dec FC]]</f>
        <v>-5950</v>
      </c>
      <c r="BO27" s="71">
        <f>SUM(Financials202632[[#This Row],[Jan Opp/Risk]:[Dec Opp./Risk]])</f>
        <v>-35700</v>
      </c>
      <c r="BP27" s="87" t="s">
        <v>356</v>
      </c>
      <c r="BQ27" s="47">
        <f>SUM(Financials202632[[#This Row],[Jan AC]:[May AC]])</f>
        <v>75000</v>
      </c>
      <c r="BR27" s="6">
        <f>Financials202632[[#This Row],[2026 (Actuals + Forecast)]]-Financials202632[[#This Row],[Jan-May Actuals]]-Financials202632[[#This Row],[Jun-Dec FC]]</f>
        <v>0</v>
      </c>
      <c r="BS27" s="6">
        <f>Financials202632[[#This Row],[Jun-Dec FC]]+Financials202632[[#This Row],[Jan-May Forecast ]]</f>
        <v>41650</v>
      </c>
      <c r="BT27" s="6">
        <f>SUM(Financials202632[[#This Row],[Jan FC]:[May FC]])</f>
        <v>75000</v>
      </c>
      <c r="BU27" s="6">
        <f>Financials202632[[#This Row],[Jan-May Actuals]]+Financials202632[[#This Row],[Forecast Jun-Dec]]</f>
        <v>116650</v>
      </c>
      <c r="BV27" s="6"/>
      <c r="BW27" s="6" t="s">
        <v>331</v>
      </c>
      <c r="BX27" s="6" t="s">
        <v>306</v>
      </c>
    </row>
    <row r="28" spans="1:76" ht="72" x14ac:dyDescent="0.3">
      <c r="A28" s="22" t="s">
        <v>295</v>
      </c>
      <c r="B28" s="21" t="s">
        <v>41</v>
      </c>
      <c r="C28" s="21"/>
      <c r="D28" s="10" t="s">
        <v>402</v>
      </c>
      <c r="E28" s="7" t="s">
        <v>403</v>
      </c>
      <c r="F28" s="3" t="s">
        <v>385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323</v>
      </c>
      <c r="M28" s="21" t="s">
        <v>14</v>
      </c>
      <c r="N28" s="21" t="s">
        <v>324</v>
      </c>
      <c r="O28" s="21" t="s">
        <v>404</v>
      </c>
      <c r="P28" s="21" t="s">
        <v>325</v>
      </c>
      <c r="Q28" s="21" t="s">
        <v>326</v>
      </c>
      <c r="R28" s="21" t="s">
        <v>327</v>
      </c>
      <c r="S28" s="21" t="s">
        <v>328</v>
      </c>
      <c r="T28" s="5">
        <v>780191</v>
      </c>
      <c r="U28" s="15">
        <v>345000</v>
      </c>
      <c r="V28" s="15">
        <f>345000+143000+247000</f>
        <v>735000</v>
      </c>
      <c r="W28" s="15">
        <f t="shared" si="1"/>
        <v>735000</v>
      </c>
      <c r="X28" s="15">
        <f t="shared" si="7"/>
        <v>0</v>
      </c>
      <c r="Y28" s="15">
        <f t="shared" si="2"/>
        <v>0</v>
      </c>
      <c r="Z28" s="15">
        <f>SUM(Financials202632[[#This Row],[2026 Opportunity]:[2026 Risk]])</f>
        <v>0</v>
      </c>
      <c r="AA28" s="11" t="s">
        <v>405</v>
      </c>
      <c r="AB28" s="52">
        <f>Financials202632[[#This Row],[2026 Final Budget]]/12</f>
        <v>61250</v>
      </c>
      <c r="AC28" s="52">
        <f>Financials202632[[#This Row],[2026 Final Budget]]/12</f>
        <v>61250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67750</v>
      </c>
      <c r="AI28" s="52">
        <v>80750</v>
      </c>
      <c r="AJ28" s="52">
        <v>80750</v>
      </c>
      <c r="AK28" s="52">
        <v>80750</v>
      </c>
      <c r="AL28" s="52">
        <v>80750</v>
      </c>
      <c r="AM28" s="52">
        <v>80750</v>
      </c>
      <c r="AN28" s="52">
        <f>SUM(Financials202632[[#This Row],[Jan FC]:[Dec FC]])</f>
        <v>800000</v>
      </c>
      <c r="AO28" s="15">
        <f t="shared" si="5"/>
        <v>526250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SUM(Financials202632[[#This Row],[Jan AC]:[Dec AC]])</f>
        <v>154000</v>
      </c>
      <c r="BC28" s="71">
        <f>Financials202632[[#This Row],[Jan AC]]-Financials202632[[#This Row],[Jan FC]]</f>
        <v>-32500</v>
      </c>
      <c r="BD28" s="71">
        <f>Financials202632[[#This Row],[Feb AC]]-Financials202632[[#This Row],[Feb FC]]</f>
        <v>-32500</v>
      </c>
      <c r="BE28" s="71">
        <f>Financials202632[[#This Row],[Mar AC]]-Financials202632[[#This Row],[Mar FC]]</f>
        <v>0</v>
      </c>
      <c r="BF28" s="71">
        <f>Financials202632[[#This Row],[Apr AC]]-Financials202632[[#This Row],[Apr FC]]</f>
        <v>0</v>
      </c>
      <c r="BG28" s="71">
        <f>Financials202632[[#This Row],[May AC]]-Financials202632[[#This Row],[May FC]]</f>
        <v>-54750</v>
      </c>
      <c r="BH28" s="71">
        <f>Financials202632[[#This Row],[Jun AC]]-Financials202632[[#This Row],[Jun FC]]</f>
        <v>-54750</v>
      </c>
      <c r="BI28" s="71">
        <f>Financials202632[[#This Row],[Jul AC]]-Financials202632[[#This Row],[Jul FC]]</f>
        <v>-67750</v>
      </c>
      <c r="BJ28" s="71">
        <f>Financials202632[[#This Row],[Aug AC]]-Financials202632[[#This Row],[Aug FC]]</f>
        <v>-80750</v>
      </c>
      <c r="BK28" s="71">
        <f>Financials202632[[#This Row],[Sep AC]]-Financials202632[[#This Row],[Sep FC]]</f>
        <v>-80750</v>
      </c>
      <c r="BL28" s="71">
        <f>Financials202632[[#This Row],[Oct AC]]-Financials202632[[#This Row],[Oct FC]]</f>
        <v>-80750</v>
      </c>
      <c r="BM28" s="71">
        <f>Financials202632[[#This Row],[Nov AC]]-Financials202632[[#This Row],[Nov FC]]</f>
        <v>-80750</v>
      </c>
      <c r="BN28" s="71">
        <f>Financials202632[[#This Row],[Dec AC]]-Financials202632[[#This Row],[Dec FC]]</f>
        <v>-80750</v>
      </c>
      <c r="BO28" s="71">
        <f>SUM(Financials202632[[#This Row],[Jan Opp/Risk]:[Dec Opp./Risk]])</f>
        <v>-646000</v>
      </c>
      <c r="BP28" s="87" t="s">
        <v>406</v>
      </c>
      <c r="BQ28" s="47">
        <f>SUM(Financials202632[[#This Row],[Jan AC]:[May AC]])</f>
        <v>154000</v>
      </c>
      <c r="BR28" s="6">
        <f>Financials202632[[#This Row],[2026 (Actuals + Forecast)]]-Financials202632[[#This Row],[Jan-May Actuals]]-Financials202632[[#This Row],[Jun-Dec FC]]</f>
        <v>54750</v>
      </c>
      <c r="BS28" s="6">
        <f>Financials202632[[#This Row],[Jun-Dec FC]]+Financials202632[[#This Row],[Jan-May Forecast ]]</f>
        <v>581000</v>
      </c>
      <c r="BT28" s="6">
        <f>SUM(Financials202632[[#This Row],[Jan FC]:[May FC]])</f>
        <v>273750</v>
      </c>
      <c r="BU28" s="6">
        <f>Financials202632[[#This Row],[Jan-May Actuals]]+Financials202632[[#This Row],[Forecast Jun-Dec]]</f>
        <v>735000</v>
      </c>
      <c r="BV28" s="6"/>
      <c r="BW28" s="6" t="s">
        <v>331</v>
      </c>
      <c r="BX28" s="6" t="s">
        <v>306</v>
      </c>
    </row>
    <row r="29" spans="1:76" x14ac:dyDescent="0.3">
      <c r="A29" s="22" t="s">
        <v>295</v>
      </c>
      <c r="B29" s="21" t="s">
        <v>41</v>
      </c>
      <c r="C29" s="21"/>
      <c r="D29" s="10" t="s">
        <v>389</v>
      </c>
      <c r="E29" s="7" t="s">
        <v>389</v>
      </c>
      <c r="F29" s="3" t="s">
        <v>390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323</v>
      </c>
      <c r="M29" s="21" t="s">
        <v>13</v>
      </c>
      <c r="N29" s="21" t="s">
        <v>392</v>
      </c>
      <c r="O29" s="21" t="s">
        <v>389</v>
      </c>
      <c r="P29" s="21" t="s">
        <v>325</v>
      </c>
      <c r="Q29" s="21" t="s">
        <v>326</v>
      </c>
      <c r="R29" s="21" t="s">
        <v>327</v>
      </c>
      <c r="S29" s="21" t="s">
        <v>328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SUM(Financials202632[[#This Row],[2026 Opportunity]:[2026 Risk]])</f>
        <v>155563.91999999993</v>
      </c>
      <c r="AA29" s="3" t="s">
        <v>407</v>
      </c>
      <c r="AB29" s="52">
        <f>Financials202632[[#This Row],[2026 Final Budget]]/12</f>
        <v>33600</v>
      </c>
      <c r="AC29" s="52">
        <f>Financials202632[[#This Row],[2026 Final Budget]]/12</f>
        <v>33600</v>
      </c>
      <c r="AD29" s="52">
        <f>Financials202632[[#This Row],[2026 Final Budget]]/12</f>
        <v>33600</v>
      </c>
      <c r="AE29" s="52">
        <f>Financials202632[[#This Row],[2026 Final Budget]]/12</f>
        <v>33600</v>
      </c>
      <c r="AF29" s="52">
        <f>Financials202632[[#This Row],[2026 Final Budget]]/12</f>
        <v>33600</v>
      </c>
      <c r="AG29" s="52">
        <f>Financials202632[[#This Row],[2026 Final Budget]]/12</f>
        <v>33600</v>
      </c>
      <c r="AH29" s="52">
        <f>Financials202632[[#This Row],[2026 Final Budget]]/12</f>
        <v>33600</v>
      </c>
      <c r="AI29" s="52">
        <f>Financials202632[[#This Row],[2026 Final Budget]]/12</f>
        <v>33600</v>
      </c>
      <c r="AJ29" s="52">
        <f>Financials202632[[#This Row],[2026 Final Budget]]/12</f>
        <v>33600</v>
      </c>
      <c r="AK29" s="52">
        <f>Financials202632[[#This Row],[2026 Final Budget]]/12</f>
        <v>33600</v>
      </c>
      <c r="AL29" s="52">
        <f>Financials202632[[#This Row],[2026 Final Budget]]/12</f>
        <v>33600</v>
      </c>
      <c r="AM29" s="52">
        <f>Financials202632[[#This Row],[2026 Final Budget]]/12</f>
        <v>33600</v>
      </c>
      <c r="AN29" s="52">
        <f>SUM(Financials202632[[#This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SUM(Financials202632[[#This Row],[Jan AC]:[Dec AC]])</f>
        <v>323563.92</v>
      </c>
      <c r="BC29" s="71">
        <f>Financials202632[[#This Row],[Jan AC]]-Financials202632[[#This Row],[Jan FC]]</f>
        <v>23360.559999999998</v>
      </c>
      <c r="BD29" s="71">
        <f>Financials202632[[#This Row],[Feb AC]]-Financials202632[[#This Row],[Feb FC]]</f>
        <v>55922.8</v>
      </c>
      <c r="BE29" s="71">
        <f>Financials202632[[#This Row],[Mar AC]]-Financials202632[[#This Row],[Mar FC]]</f>
        <v>72920.559999999983</v>
      </c>
      <c r="BF29" s="71">
        <f>Financials202632[[#This Row],[Apr AC]]-Financials202632[[#This Row],[Apr FC]]</f>
        <v>3360</v>
      </c>
      <c r="BG29" s="71">
        <f>Financials202632[[#This Row],[May AC]]-Financials202632[[#This Row],[May FC]]</f>
        <v>0</v>
      </c>
      <c r="BH29" s="71">
        <f>Financials202632[[#This Row],[Jun AC]]-Financials202632[[#This Row],[Jun FC]]</f>
        <v>-33600</v>
      </c>
      <c r="BI29" s="71">
        <f>Financials202632[[#This Row],[Jul AC]]-Financials202632[[#This Row],[Jul FC]]</f>
        <v>-33600</v>
      </c>
      <c r="BJ29" s="71">
        <f>Financials202632[[#This Row],[Aug AC]]-Financials202632[[#This Row],[Aug FC]]</f>
        <v>-33600</v>
      </c>
      <c r="BK29" s="71">
        <f>Financials202632[[#This Row],[Sep AC]]-Financials202632[[#This Row],[Sep FC]]</f>
        <v>-33600</v>
      </c>
      <c r="BL29" s="71">
        <f>Financials202632[[#This Row],[Oct AC]]-Financials202632[[#This Row],[Oct FC]]</f>
        <v>-33600</v>
      </c>
      <c r="BM29" s="71">
        <f>Financials202632[[#This Row],[Nov AC]]-Financials202632[[#This Row],[Nov FC]]</f>
        <v>-33600</v>
      </c>
      <c r="BN29" s="71">
        <f>Financials202632[[#This Row],[Dec AC]]-Financials202632[[#This Row],[Dec FC]]</f>
        <v>-33600</v>
      </c>
      <c r="BO29" s="71">
        <f>SUM(Financials202632[[#This Row],[Jan Opp/Risk]:[Dec Opp./Risk]])</f>
        <v>-79636.080000000016</v>
      </c>
      <c r="BP29" s="89" t="s">
        <v>393</v>
      </c>
      <c r="BQ29" s="47">
        <f>SUM(Financials202632[[#This Row],[Jan AC]:[May AC]])</f>
        <v>323563.92</v>
      </c>
      <c r="BR29" s="6">
        <f>Financials202632[[#This Row],[2026 (Actuals + Forecast)]]-Financials202632[[#This Row],[Jan-May Actuals]]-Financials202632[[#This Row],[Jun-Dec FC]]</f>
        <v>0</v>
      </c>
      <c r="BS29" s="6">
        <f>Financials202632[[#This Row],[Jun-Dec FC]]+Financials202632[[#This Row],[Jan-May Forecast ]]</f>
        <v>235200</v>
      </c>
      <c r="BT29" s="6">
        <f>SUM(Financials202632[[#This Row],[Jan FC]:[May FC]])</f>
        <v>168000</v>
      </c>
      <c r="BU29" s="6">
        <f>Financials202632[[#This Row],[Jan-May Actuals]]+Financials202632[[#This Row],[Forecast Jun-Dec]]</f>
        <v>558763.91999999993</v>
      </c>
      <c r="BV29" s="6"/>
      <c r="BW29" s="6" t="s">
        <v>331</v>
      </c>
      <c r="BX29" s="6" t="e">
        <v>#N/A</v>
      </c>
    </row>
    <row r="30" spans="1:76" x14ac:dyDescent="0.3">
      <c r="A30" s="22" t="s">
        <v>295</v>
      </c>
      <c r="B30" s="21" t="s">
        <v>41</v>
      </c>
      <c r="C30" s="21"/>
      <c r="D30" s="10" t="s">
        <v>389</v>
      </c>
      <c r="E30" s="7" t="s">
        <v>389</v>
      </c>
      <c r="F30" s="3" t="s">
        <v>390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323</v>
      </c>
      <c r="M30" s="21" t="s">
        <v>13</v>
      </c>
      <c r="N30" s="21" t="s">
        <v>392</v>
      </c>
      <c r="O30" s="21" t="s">
        <v>389</v>
      </c>
      <c r="P30" s="21" t="s">
        <v>325</v>
      </c>
      <c r="Q30" s="21" t="s">
        <v>326</v>
      </c>
      <c r="R30" s="21" t="s">
        <v>327</v>
      </c>
      <c r="S30" s="21" t="s">
        <v>328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SUM(Financials202632[[#This Row],[2026 Opportunity]:[2026 Risk]])</f>
        <v>-7350</v>
      </c>
      <c r="AA30" s="3" t="s">
        <v>407</v>
      </c>
      <c r="AB30" s="52">
        <f>Financials202632[[#This Row],[2026 Final Budget]]/12</f>
        <v>21000</v>
      </c>
      <c r="AC30" s="52">
        <f>Financials202632[[#This Row],[2026 Final Budget]]/12</f>
        <v>21000</v>
      </c>
      <c r="AD30" s="52">
        <f>Financials202632[[#This Row],[2026 Final Budget]]/12</f>
        <v>21000</v>
      </c>
      <c r="AE30" s="52">
        <f>Financials202632[[#This Row],[2026 Final Budget]]/12</f>
        <v>21000</v>
      </c>
      <c r="AF30" s="52">
        <f>Financials202632[[#This Row],[2026 Final Budget]]/12</f>
        <v>21000</v>
      </c>
      <c r="AG30" s="52">
        <f>Financials202632[[#This Row],[2026 Final Budget]]/12</f>
        <v>21000</v>
      </c>
      <c r="AH30" s="52">
        <f>Financials202632[[#This Row],[2026 Final Budget]]/12</f>
        <v>21000</v>
      </c>
      <c r="AI30" s="52">
        <f>Financials202632[[#This Row],[2026 Final Budget]]/12</f>
        <v>21000</v>
      </c>
      <c r="AJ30" s="52">
        <f>Financials202632[[#This Row],[2026 Final Budget]]/12</f>
        <v>21000</v>
      </c>
      <c r="AK30" s="52">
        <f>Financials202632[[#This Row],[2026 Final Budget]]/12</f>
        <v>21000</v>
      </c>
      <c r="AL30" s="52">
        <f>Financials202632[[#This Row],[2026 Final Budget]]/12</f>
        <v>21000</v>
      </c>
      <c r="AM30" s="52">
        <f>Financials202632[[#This Row],[2026 Final Budget]]/12</f>
        <v>21000</v>
      </c>
      <c r="AN30" s="52">
        <f>SUM(Financials202632[[#This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SUM(Financials202632[[#This Row],[Jan AC]:[Dec AC]])</f>
        <v>97650</v>
      </c>
      <c r="BC30" s="71">
        <f>Financials202632[[#This Row],[Jan AC]]-Financials202632[[#This Row],[Jan FC]]</f>
        <v>0</v>
      </c>
      <c r="BD30" s="71">
        <f>Financials202632[[#This Row],[Feb AC]]-Financials202632[[#This Row],[Feb FC]]</f>
        <v>-1050</v>
      </c>
      <c r="BE30" s="71">
        <f>Financials202632[[#This Row],[Mar AC]]-Financials202632[[#This Row],[Mar FC]]</f>
        <v>2100</v>
      </c>
      <c r="BF30" s="71">
        <f>Financials202632[[#This Row],[Apr AC]]-Financials202632[[#This Row],[Apr FC]]</f>
        <v>-3150</v>
      </c>
      <c r="BG30" s="71">
        <f>Financials202632[[#This Row],[May AC]]-Financials202632[[#This Row],[May FC]]</f>
        <v>-5250</v>
      </c>
      <c r="BH30" s="71">
        <f>Financials202632[[#This Row],[Jun AC]]-Financials202632[[#This Row],[Jun FC]]</f>
        <v>-21000</v>
      </c>
      <c r="BI30" s="71">
        <f>Financials202632[[#This Row],[Jul AC]]-Financials202632[[#This Row],[Jul FC]]</f>
        <v>-21000</v>
      </c>
      <c r="BJ30" s="71">
        <f>Financials202632[[#This Row],[Aug AC]]-Financials202632[[#This Row],[Aug FC]]</f>
        <v>-21000</v>
      </c>
      <c r="BK30" s="71">
        <f>Financials202632[[#This Row],[Sep AC]]-Financials202632[[#This Row],[Sep FC]]</f>
        <v>-21000</v>
      </c>
      <c r="BL30" s="71">
        <f>Financials202632[[#This Row],[Oct AC]]-Financials202632[[#This Row],[Oct FC]]</f>
        <v>-21000</v>
      </c>
      <c r="BM30" s="71">
        <f>Financials202632[[#This Row],[Nov AC]]-Financials202632[[#This Row],[Nov FC]]</f>
        <v>-21000</v>
      </c>
      <c r="BN30" s="71">
        <f>Financials202632[[#This Row],[Dec AC]]-Financials202632[[#This Row],[Dec FC]]</f>
        <v>-21000</v>
      </c>
      <c r="BO30" s="71">
        <f>SUM(Financials202632[[#This Row],[Jan Opp/Risk]:[Dec Opp./Risk]])</f>
        <v>-154350</v>
      </c>
      <c r="BP30" s="89" t="s">
        <v>393</v>
      </c>
      <c r="BQ30" s="47">
        <f>SUM(Financials202632[[#This Row],[Jan AC]:[May AC]])</f>
        <v>97650</v>
      </c>
      <c r="BR30" s="6">
        <f>Financials202632[[#This Row],[2026 (Actuals + Forecast)]]-Financials202632[[#This Row],[Jan-May Actuals]]-Financials202632[[#This Row],[Jun-Dec FC]]</f>
        <v>0</v>
      </c>
      <c r="BS30" s="6">
        <f>Financials202632[[#This Row],[Jun-Dec FC]]+Financials202632[[#This Row],[Jan-May Forecast ]]</f>
        <v>147000</v>
      </c>
      <c r="BT30" s="6">
        <f>SUM(Financials202632[[#This Row],[Jan FC]:[May FC]])</f>
        <v>105000</v>
      </c>
      <c r="BU30" s="6">
        <f>Financials202632[[#This Row],[Jan-May Actuals]]+Financials202632[[#This Row],[Forecast Jun-Dec]]</f>
        <v>244650</v>
      </c>
      <c r="BV30" s="6"/>
      <c r="BW30" s="6" t="s">
        <v>331</v>
      </c>
      <c r="BX30" s="6" t="e">
        <v>#N/A</v>
      </c>
    </row>
    <row r="31" spans="1:76" x14ac:dyDescent="0.3">
      <c r="A31" s="22" t="s">
        <v>295</v>
      </c>
      <c r="B31" s="21" t="s">
        <v>41</v>
      </c>
      <c r="C31" s="21"/>
      <c r="D31" s="10" t="s">
        <v>389</v>
      </c>
      <c r="E31" s="7" t="s">
        <v>389</v>
      </c>
      <c r="F31" s="3" t="s">
        <v>390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323</v>
      </c>
      <c r="M31" s="21" t="s">
        <v>13</v>
      </c>
      <c r="N31" s="21" t="s">
        <v>392</v>
      </c>
      <c r="O31" s="21" t="s">
        <v>389</v>
      </c>
      <c r="P31" s="21" t="s">
        <v>325</v>
      </c>
      <c r="Q31" s="21" t="s">
        <v>326</v>
      </c>
      <c r="R31" s="21" t="s">
        <v>327</v>
      </c>
      <c r="S31" s="21" t="s">
        <v>328</v>
      </c>
      <c r="T31" s="5">
        <v>1019762.75</v>
      </c>
      <c r="U31" s="15">
        <v>539054.33290978405</v>
      </c>
      <c r="V31" s="15">
        <f>600000-247000</f>
        <v>353000</v>
      </c>
      <c r="W31" s="15">
        <f t="shared" si="1"/>
        <v>321040</v>
      </c>
      <c r="X31" s="15">
        <f t="shared" si="7"/>
        <v>-31960</v>
      </c>
      <c r="Y31" s="15">
        <f t="shared" si="2"/>
        <v>0</v>
      </c>
      <c r="Z31" s="15">
        <f>SUM(Financials202632[[#This Row],[2026 Opportunity]:[2026 Risk]])</f>
        <v>-31960</v>
      </c>
      <c r="AA31" s="3" t="s">
        <v>407</v>
      </c>
      <c r="AB31" s="52">
        <f>Financials202632[[#This Row],[2026 Final Budget]]/12</f>
        <v>29416.666666666668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SUM(Financials202632[[#This Row],[Jan FC]:[Dec FC]])</f>
        <v>293416.66666666669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SUM(Financials202632[[#This Row],[Jan AC]:[Dec AC]])</f>
        <v>153040</v>
      </c>
      <c r="BC31" s="71">
        <f>Financials202632[[#This Row],[Jan AC]]-Financials202632[[#This Row],[Jan FC]]</f>
        <v>15383.333333333332</v>
      </c>
      <c r="BD31" s="71">
        <f>Financials202632[[#This Row],[Feb AC]]-Financials202632[[#This Row],[Feb FC]]</f>
        <v>-1200</v>
      </c>
      <c r="BE31" s="71">
        <f>Financials202632[[#This Row],[Mar AC]]-Financials202632[[#This Row],[Mar FC]]</f>
        <v>2400</v>
      </c>
      <c r="BF31" s="71">
        <f>Financials202632[[#This Row],[Apr AC]]-Financials202632[[#This Row],[Apr FC]]</f>
        <v>2400</v>
      </c>
      <c r="BG31" s="71">
        <f>Financials202632[[#This Row],[May AC]]-Financials202632[[#This Row],[May FC]]</f>
        <v>8640</v>
      </c>
      <c r="BH31" s="71">
        <f>Financials202632[[#This Row],[Jun AC]]-Financials202632[[#This Row],[Jun FC]]</f>
        <v>-24000</v>
      </c>
      <c r="BI31" s="71">
        <f>Financials202632[[#This Row],[Jul AC]]-Financials202632[[#This Row],[Jul FC]]</f>
        <v>-24000</v>
      </c>
      <c r="BJ31" s="71">
        <f>Financials202632[[#This Row],[Aug AC]]-Financials202632[[#This Row],[Aug FC]]</f>
        <v>-24000</v>
      </c>
      <c r="BK31" s="71">
        <f>Financials202632[[#This Row],[Sep AC]]-Financials202632[[#This Row],[Sep FC]]</f>
        <v>-24000</v>
      </c>
      <c r="BL31" s="71">
        <f>Financials202632[[#This Row],[Oct AC]]-Financials202632[[#This Row],[Oct FC]]</f>
        <v>-24000</v>
      </c>
      <c r="BM31" s="71">
        <f>Financials202632[[#This Row],[Nov AC]]-Financials202632[[#This Row],[Nov FC]]</f>
        <v>-24000</v>
      </c>
      <c r="BN31" s="71">
        <f>Financials202632[[#This Row],[Dec AC]]-Financials202632[[#This Row],[Dec FC]]</f>
        <v>-24000</v>
      </c>
      <c r="BO31" s="71">
        <f>SUM(Financials202632[[#This Row],[Jan Opp/Risk]:[Dec Opp./Risk]])</f>
        <v>-140376.66666666669</v>
      </c>
      <c r="BP31" s="89" t="s">
        <v>408</v>
      </c>
      <c r="BQ31" s="47">
        <f>SUM(Financials202632[[#This Row],[Jan AC]:[May AC]])</f>
        <v>153040</v>
      </c>
      <c r="BR31" s="6">
        <f>Financials202632[[#This Row],[2026 (Actuals + Forecast)]]-Financials202632[[#This Row],[Jan-May Actuals]]-Financials202632[[#This Row],[Jun-Dec FC]]</f>
        <v>0</v>
      </c>
      <c r="BS31" s="6">
        <f>Financials202632[[#This Row],[Jun-Dec FC]]+Financials202632[[#This Row],[Jan-May Forecast ]]</f>
        <v>168000</v>
      </c>
      <c r="BT31" s="6">
        <f>SUM(Financials202632[[#This Row],[Jan FC]:[May FC]])</f>
        <v>125416.66666666667</v>
      </c>
      <c r="BU31" s="6">
        <f>Financials202632[[#This Row],[Jan-May Actuals]]+Financials202632[[#This Row],[Forecast Jun-Dec]]</f>
        <v>321040</v>
      </c>
      <c r="BV31" s="6"/>
      <c r="BW31" s="6" t="s">
        <v>331</v>
      </c>
      <c r="BX31" s="6" t="e">
        <v>#N/A</v>
      </c>
    </row>
    <row r="32" spans="1:76" x14ac:dyDescent="0.3">
      <c r="A32" s="22" t="s">
        <v>295</v>
      </c>
      <c r="B32" s="21" t="s">
        <v>41</v>
      </c>
      <c r="C32" s="21"/>
      <c r="D32" s="10" t="s">
        <v>389</v>
      </c>
      <c r="E32" s="7" t="s">
        <v>389</v>
      </c>
      <c r="F32" s="3" t="s">
        <v>390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323</v>
      </c>
      <c r="M32" s="21" t="s">
        <v>13</v>
      </c>
      <c r="N32" s="21" t="s">
        <v>392</v>
      </c>
      <c r="O32" s="21" t="s">
        <v>389</v>
      </c>
      <c r="P32" s="21" t="s">
        <v>325</v>
      </c>
      <c r="Q32" s="21" t="s">
        <v>326</v>
      </c>
      <c r="R32" s="21" t="s">
        <v>327</v>
      </c>
      <c r="S32" s="21" t="s">
        <v>328</v>
      </c>
      <c r="T32" s="5">
        <v>1019762.75</v>
      </c>
      <c r="U32" s="15">
        <v>431963.4053367218</v>
      </c>
      <c r="V32" s="15">
        <f>161280-72000</f>
        <v>89280</v>
      </c>
      <c r="W32" s="15">
        <f t="shared" si="1"/>
        <v>84176</v>
      </c>
      <c r="X32" s="15">
        <f t="shared" si="7"/>
        <v>-5104</v>
      </c>
      <c r="Y32" s="15">
        <f t="shared" si="2"/>
        <v>0</v>
      </c>
      <c r="Z32" s="15">
        <f>SUM(Financials202632[[#This Row],[2026 Opportunity]:[2026 Risk]])</f>
        <v>-5104</v>
      </c>
      <c r="AA32" s="3" t="s">
        <v>407</v>
      </c>
      <c r="AB32" s="52">
        <f>Financials202632[[#This Row],[2026 Final Budget]]/12</f>
        <v>7440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SUM(Financials202632[[#This Row],[Jan FC]:[Dec FC]])</f>
        <v>83280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SUM(Financials202632[[#This Row],[Jan AC]:[Dec AC]])</f>
        <v>46096</v>
      </c>
      <c r="BC32" s="71">
        <f>Financials202632[[#This Row],[Jan AC]]-Financials202632[[#This Row],[Jan FC]]</f>
        <v>3712</v>
      </c>
      <c r="BD32" s="71">
        <f>Financials202632[[#This Row],[Feb AC]]-Financials202632[[#This Row],[Feb FC]]</f>
        <v>-2144</v>
      </c>
      <c r="BE32" s="71">
        <f>Financials202632[[#This Row],[Mar AC]]-Financials202632[[#This Row],[Mar FC]]</f>
        <v>144</v>
      </c>
      <c r="BF32" s="71">
        <f>Financials202632[[#This Row],[Apr AC]]-Financials202632[[#This Row],[Apr FC]]</f>
        <v>-816</v>
      </c>
      <c r="BG32" s="71">
        <f>Financials202632[[#This Row],[May AC]]-Financials202632[[#This Row],[May FC]]</f>
        <v>0</v>
      </c>
      <c r="BH32" s="71">
        <f>Financials202632[[#This Row],[Jun AC]]-Financials202632[[#This Row],[Jun FC]]</f>
        <v>-5440</v>
      </c>
      <c r="BI32" s="71">
        <f>Financials202632[[#This Row],[Jul AC]]-Financials202632[[#This Row],[Jul FC]]</f>
        <v>-5440</v>
      </c>
      <c r="BJ32" s="71">
        <f>Financials202632[[#This Row],[Aug AC]]-Financials202632[[#This Row],[Aug FC]]</f>
        <v>-5440</v>
      </c>
      <c r="BK32" s="71">
        <f>Financials202632[[#This Row],[Sep AC]]-Financials202632[[#This Row],[Sep FC]]</f>
        <v>-5440</v>
      </c>
      <c r="BL32" s="71">
        <f>Financials202632[[#This Row],[Oct AC]]-Financials202632[[#This Row],[Oct FC]]</f>
        <v>-5440</v>
      </c>
      <c r="BM32" s="71">
        <f>Financials202632[[#This Row],[Nov AC]]-Financials202632[[#This Row],[Nov FC]]</f>
        <v>-5440</v>
      </c>
      <c r="BN32" s="71">
        <f>Financials202632[[#This Row],[Dec AC]]-Financials202632[[#This Row],[Dec FC]]</f>
        <v>-5440</v>
      </c>
      <c r="BO32" s="71">
        <f>SUM(Financials202632[[#This Row],[Jan Opp/Risk]:[Dec Opp./Risk]])</f>
        <v>-37184</v>
      </c>
      <c r="BP32" s="89" t="s">
        <v>409</v>
      </c>
      <c r="BQ32" s="47">
        <f>SUM(Financials202632[[#This Row],[Jan AC]:[May AC]])</f>
        <v>46096</v>
      </c>
      <c r="BR32" s="6">
        <f>Financials202632[[#This Row],[2026 (Actuals + Forecast)]]-Financials202632[[#This Row],[Jan-May Actuals]]-Financials202632[[#This Row],[Jun-Dec FC]]</f>
        <v>0</v>
      </c>
      <c r="BS32" s="6">
        <f>Financials202632[[#This Row],[Jun-Dec FC]]+Financials202632[[#This Row],[Jan-May Forecast ]]</f>
        <v>38080</v>
      </c>
      <c r="BT32" s="6">
        <f>SUM(Financials202632[[#This Row],[Jan FC]:[May FC]])</f>
        <v>45200</v>
      </c>
      <c r="BU32" s="6">
        <f>Financials202632[[#This Row],[Jan-May Actuals]]+Financials202632[[#This Row],[Forecast Jun-Dec]]</f>
        <v>84176</v>
      </c>
      <c r="BV32" s="6"/>
      <c r="BW32" s="6" t="s">
        <v>331</v>
      </c>
      <c r="BX32" s="6" t="e">
        <v>#N/A</v>
      </c>
    </row>
    <row r="33" spans="1:76" x14ac:dyDescent="0.3">
      <c r="A33" s="22" t="s">
        <v>295</v>
      </c>
      <c r="B33" s="21" t="s">
        <v>41</v>
      </c>
      <c r="C33" s="21"/>
      <c r="D33" s="10" t="s">
        <v>389</v>
      </c>
      <c r="E33" s="7" t="s">
        <v>389</v>
      </c>
      <c r="F33" s="3" t="s">
        <v>390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323</v>
      </c>
      <c r="M33" s="21" t="s">
        <v>13</v>
      </c>
      <c r="N33" s="21" t="s">
        <v>392</v>
      </c>
      <c r="O33" s="21" t="s">
        <v>389</v>
      </c>
      <c r="P33" s="21" t="s">
        <v>325</v>
      </c>
      <c r="Q33" s="21" t="s">
        <v>326</v>
      </c>
      <c r="R33" s="21" t="s">
        <v>327</v>
      </c>
      <c r="S33" s="21" t="s">
        <v>328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SUM(Financials202632[[#This Row],[2026 Opportunity]:[2026 Risk]])</f>
        <v>0</v>
      </c>
      <c r="AA33" s="3" t="s">
        <v>410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SUM(Financials202632[[#This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SUM(Financials202632[[#This Row],[Jan AC]:[Dec AC]])</f>
        <v>0</v>
      </c>
      <c r="BC33" s="71">
        <f>Financials202632[[#This Row],[Jan AC]]-Financials202632[[#This Row],[Jan FC]]</f>
        <v>0</v>
      </c>
      <c r="BD33" s="71">
        <f>Financials202632[[#This Row],[Feb AC]]-Financials202632[[#This Row],[Feb FC]]</f>
        <v>0</v>
      </c>
      <c r="BE33" s="71">
        <f>Financials202632[[#This Row],[Mar AC]]-Financials202632[[#This Row],[Mar FC]]</f>
        <v>0</v>
      </c>
      <c r="BF33" s="71">
        <f>Financials202632[[#This Row],[Apr AC]]-Financials202632[[#This Row],[Apr FC]]</f>
        <v>0</v>
      </c>
      <c r="BG33" s="71">
        <f>Financials202632[[#This Row],[May AC]]-Financials202632[[#This Row],[May FC]]</f>
        <v>-15360</v>
      </c>
      <c r="BH33" s="71">
        <f>Financials202632[[#This Row],[Jun AC]]-Financials202632[[#This Row],[Jun FC]]</f>
        <v>-30720</v>
      </c>
      <c r="BI33" s="71">
        <f>Financials202632[[#This Row],[Jul AC]]-Financials202632[[#This Row],[Jul FC]]</f>
        <v>-30720</v>
      </c>
      <c r="BJ33" s="71">
        <f>Financials202632[[#This Row],[Aug AC]]-Financials202632[[#This Row],[Aug FC]]</f>
        <v>-30720</v>
      </c>
      <c r="BK33" s="71">
        <f>Financials202632[[#This Row],[Sep AC]]-Financials202632[[#This Row],[Sep FC]]</f>
        <v>-30720</v>
      </c>
      <c r="BL33" s="71">
        <f>Financials202632[[#This Row],[Oct AC]]-Financials202632[[#This Row],[Oct FC]]</f>
        <v>-30720</v>
      </c>
      <c r="BM33" s="71">
        <f>Financials202632[[#This Row],[Nov AC]]-Financials202632[[#This Row],[Nov FC]]</f>
        <v>-30720</v>
      </c>
      <c r="BN33" s="71">
        <f>Financials202632[[#This Row],[Dec AC]]-Financials202632[[#This Row],[Dec FC]]</f>
        <v>-30720</v>
      </c>
      <c r="BO33" s="71">
        <f>SUM(Financials202632[[#This Row],[Jan Opp/Risk]:[Dec Opp./Risk]])</f>
        <v>-230400</v>
      </c>
      <c r="BP33" s="89" t="s">
        <v>411</v>
      </c>
      <c r="BQ33" s="47">
        <f>SUM(Financials202632[[#This Row],[Jan AC]:[May AC]])</f>
        <v>0</v>
      </c>
      <c r="BR33" s="6">
        <f>Financials202632[[#This Row],[2026 (Actuals + Forecast)]]-Financials202632[[#This Row],[Jan-May Actuals]]-Financials202632[[#This Row],[Jun-Dec FC]]</f>
        <v>15360</v>
      </c>
      <c r="BS33" s="6">
        <f>Financials202632[[#This Row],[Jun-Dec FC]]+Financials202632[[#This Row],[Jan-May Forecast ]]</f>
        <v>230400</v>
      </c>
      <c r="BT33" s="6">
        <f>SUM(Financials202632[[#This Row],[Jan FC]:[May FC]])</f>
        <v>15360</v>
      </c>
      <c r="BU33" s="6">
        <f>Financials202632[[#This Row],[Jan-May Actuals]]+Financials202632[[#This Row],[Forecast Jun-Dec]]</f>
        <v>230400</v>
      </c>
      <c r="BV33" s="6"/>
      <c r="BW33" s="6" t="s">
        <v>331</v>
      </c>
      <c r="BX33" s="6" t="e">
        <v>#N/A</v>
      </c>
    </row>
    <row r="34" spans="1:76" x14ac:dyDescent="0.3">
      <c r="A34" s="22" t="s">
        <v>295</v>
      </c>
      <c r="B34" s="21" t="s">
        <v>196</v>
      </c>
      <c r="C34" s="21"/>
      <c r="D34" s="10" t="s">
        <v>223</v>
      </c>
      <c r="E34" s="7" t="s">
        <v>344</v>
      </c>
      <c r="F34" s="3" t="s">
        <v>345</v>
      </c>
      <c r="G34" s="3" t="s">
        <v>24</v>
      </c>
      <c r="H34" s="4">
        <v>44545</v>
      </c>
      <c r="I34" s="4">
        <v>46370</v>
      </c>
      <c r="J34" s="3" t="s">
        <v>412</v>
      </c>
      <c r="K34" s="3" t="str">
        <f t="shared" si="0"/>
        <v>Prj000290-Support - Asset Management Applications</v>
      </c>
      <c r="L34" s="21" t="s">
        <v>301</v>
      </c>
      <c r="M34" s="21" t="s">
        <v>16</v>
      </c>
      <c r="N34" s="21" t="s">
        <v>16</v>
      </c>
      <c r="O34" s="21" t="s">
        <v>413</v>
      </c>
      <c r="P34" s="21" t="s">
        <v>302</v>
      </c>
      <c r="Q34" s="21" t="s">
        <v>414</v>
      </c>
      <c r="R34" s="21" t="s">
        <v>414</v>
      </c>
      <c r="S34" s="21" t="s">
        <v>415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SUM(Financials202632[[#This Row],[2026 Opportunity]:[2026 Risk]])</f>
        <v>-0.29249999998137355</v>
      </c>
      <c r="AA34" s="3" t="s">
        <v>416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SUM(Financials202632[[#This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SUM(Financials202632[[#This Row],[Jan AC]:[Dec AC]])</f>
        <v>724850.64000000013</v>
      </c>
      <c r="BC34" s="71">
        <f>Financials202632[[#This Row],[Jan AC]]-Financials202632[[#This Row],[Jan FC]]</f>
        <v>0</v>
      </c>
      <c r="BD34" s="71">
        <f>Financials202632[[#This Row],[Feb AC]]-Financials202632[[#This Row],[Feb FC]]</f>
        <v>0</v>
      </c>
      <c r="BE34" s="71">
        <f>Financials202632[[#This Row],[Mar AC]]-Financials202632[[#This Row],[Mar FC]]</f>
        <v>0</v>
      </c>
      <c r="BF34" s="71">
        <f>Financials202632[[#This Row],[Apr AC]]-Financials202632[[#This Row],[Apr FC]]</f>
        <v>0</v>
      </c>
      <c r="BG34" s="71">
        <f>Financials202632[[#This Row],[May AC]]-Financials202632[[#This Row],[May FC]]</f>
        <v>50309.000000000015</v>
      </c>
      <c r="BH34" s="71">
        <f>Financials202632[[#This Row],[Jun AC]]-Financials202632[[#This Row],[Jun FC]]</f>
        <v>0</v>
      </c>
      <c r="BI34" s="71">
        <f>Financials202632[[#This Row],[Jul AC]]-Financials202632[[#This Row],[Jul FC]]</f>
        <v>-208501</v>
      </c>
      <c r="BJ34" s="71">
        <f>Financials202632[[#This Row],[Aug AC]]-Financials202632[[#This Row],[Aug FC]]</f>
        <v>0</v>
      </c>
      <c r="BK34" s="71">
        <f>Financials202632[[#This Row],[Sep AC]]-Financials202632[[#This Row],[Sep FC]]</f>
        <v>0</v>
      </c>
      <c r="BL34" s="71">
        <f>Financials202632[[#This Row],[Oct AC]]-Financials202632[[#This Row],[Oct FC]]</f>
        <v>-158192</v>
      </c>
      <c r="BM34" s="71">
        <f>Financials202632[[#This Row],[Nov AC]]-Financials202632[[#This Row],[Nov FC]]</f>
        <v>0</v>
      </c>
      <c r="BN34" s="71">
        <f>Financials202632[[#This Row],[Dec AC]]-Financials202632[[#This Row],[Dec FC]]</f>
        <v>0</v>
      </c>
      <c r="BO34" s="71">
        <f>SUM(Financials202632[[#This Row],[Jan Opp/Risk]:[Dec Opp./Risk]])</f>
        <v>-316384</v>
      </c>
      <c r="BP34" s="87" t="s">
        <v>417</v>
      </c>
      <c r="BQ34" s="47">
        <f>SUM(Financials202632[[#This Row],[Jan AC]:[May AC]])</f>
        <v>626211.3433333335</v>
      </c>
      <c r="BR34" s="6">
        <f>Financials202632[[#This Row],[2026 (Actuals + Forecast)]]-Financials202632[[#This Row],[Jan-May Actuals]]-Financials202632[[#This Row],[Jun-Dec FC]]</f>
        <v>0</v>
      </c>
      <c r="BS34" s="6">
        <f>Financials202632[[#This Row],[Jun-Dec FC]]+Financials202632[[#This Row],[Jan-May Forecast ]]</f>
        <v>465332.29666666669</v>
      </c>
      <c r="BT34" s="6">
        <f>SUM(Financials202632[[#This Row],[Jan FC]:[May FC]])</f>
        <v>575902.34333333338</v>
      </c>
      <c r="BU34" s="6">
        <f>Financials202632[[#This Row],[Jan-May Actuals]]+Financials202632[[#This Row],[Forecast Jun-Dec]]</f>
        <v>1091543.6400000001</v>
      </c>
      <c r="BV34" s="6"/>
      <c r="BW34" s="6" t="s">
        <v>16</v>
      </c>
      <c r="BX34" s="6" t="s">
        <v>306</v>
      </c>
    </row>
    <row r="35" spans="1:76" x14ac:dyDescent="0.3">
      <c r="A35" s="22" t="s">
        <v>295</v>
      </c>
      <c r="B35" s="21" t="s">
        <v>56</v>
      </c>
      <c r="C35" s="21" t="s">
        <v>418</v>
      </c>
      <c r="D35" s="10" t="s">
        <v>226</v>
      </c>
      <c r="E35" s="7" t="s">
        <v>419</v>
      </c>
      <c r="F35" s="3" t="s">
        <v>420</v>
      </c>
      <c r="G35" s="3" t="s">
        <v>22</v>
      </c>
      <c r="H35" s="4">
        <v>46037</v>
      </c>
      <c r="I35" s="4">
        <v>46401</v>
      </c>
      <c r="J35" s="3" t="s">
        <v>421</v>
      </c>
      <c r="K35" s="3" t="str">
        <f t="shared" si="0"/>
        <v>Prj000469-Support - Prod Support for Ops Apps</v>
      </c>
      <c r="L35" s="21" t="s">
        <v>301</v>
      </c>
      <c r="M35" s="21" t="s">
        <v>16</v>
      </c>
      <c r="N35" s="21" t="s">
        <v>16</v>
      </c>
      <c r="O35" s="21" t="s">
        <v>16</v>
      </c>
      <c r="P35" s="21" t="s">
        <v>302</v>
      </c>
      <c r="Q35" s="21" t="s">
        <v>414</v>
      </c>
      <c r="R35" s="21" t="s">
        <v>414</v>
      </c>
      <c r="S35" s="21" t="s">
        <v>304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SUM(Financials202632[[#This Row],[2026 Opportunity]:[2026 Risk]])</f>
        <v>456079.36999999918</v>
      </c>
      <c r="AA35" s="3" t="s">
        <v>422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SUM(Financials202632[[#This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SUM(Financials202632[[#This Row],[Jan AC]:[Dec AC]])</f>
        <v>4073475.3699999992</v>
      </c>
      <c r="BC35" s="71">
        <f>Financials202632[[#This Row],[Jan AC]]-Financials202632[[#This Row],[Jan FC]]</f>
        <v>68155.81</v>
      </c>
      <c r="BD35" s="71">
        <f>Financials202632[[#This Row],[Feb AC]]-Financials202632[[#This Row],[Feb FC]]</f>
        <v>0</v>
      </c>
      <c r="BE35" s="71">
        <f>Financials202632[[#This Row],[Mar AC]]-Financials202632[[#This Row],[Mar FC]]</f>
        <v>0</v>
      </c>
      <c r="BF35" s="71">
        <f>Financials202632[[#This Row],[Apr AC]]-Financials202632[[#This Row],[Apr FC]]</f>
        <v>0</v>
      </c>
      <c r="BG35" s="71">
        <f>Financials202632[[#This Row],[May AC]]-Financials202632[[#This Row],[May FC]]</f>
        <v>0</v>
      </c>
      <c r="BH35" s="71">
        <f>Financials202632[[#This Row],[Jun AC]]-Financials202632[[#This Row],[Jun FC]]</f>
        <v>0</v>
      </c>
      <c r="BI35" s="71">
        <f>Financials202632[[#This Row],[Jul AC]]-Financials202632[[#This Row],[Jul FC]]</f>
        <v>0</v>
      </c>
      <c r="BJ35" s="71">
        <f>Financials202632[[#This Row],[Aug AC]]-Financials202632[[#This Row],[Aug FC]]</f>
        <v>0</v>
      </c>
      <c r="BK35" s="71">
        <f>Financials202632[[#This Row],[Sep AC]]-Financials202632[[#This Row],[Sep FC]]</f>
        <v>0</v>
      </c>
      <c r="BL35" s="71">
        <f>Financials202632[[#This Row],[Oct AC]]-Financials202632[[#This Row],[Oct FC]]</f>
        <v>0</v>
      </c>
      <c r="BM35" s="71">
        <f>Financials202632[[#This Row],[Nov AC]]-Financials202632[[#This Row],[Nov FC]]</f>
        <v>0</v>
      </c>
      <c r="BN35" s="71">
        <f>Financials202632[[#This Row],[Dec AC]]-Financials202632[[#This Row],[Dec FC]]</f>
        <v>0</v>
      </c>
      <c r="BO35" s="71">
        <f>SUM(Financials202632[[#This Row],[Jan Opp/Risk]:[Dec Opp./Risk]])</f>
        <v>68155.81</v>
      </c>
      <c r="BP35" s="87" t="s">
        <v>423</v>
      </c>
      <c r="BQ35" s="47">
        <f>SUM(Financials202632[[#This Row],[Jan AC]:[May AC]])</f>
        <v>1737038.96</v>
      </c>
      <c r="BR35" s="6">
        <f>Financials202632[[#This Row],[2026 (Actuals + Forecast)]]-Financials202632[[#This Row],[Jan-May Actuals]]-Financials202632[[#This Row],[Jun-Dec FC]]</f>
        <v>0</v>
      </c>
      <c r="BS35" s="6">
        <f>Financials202632[[#This Row],[Jun-Dec FC]]+Financials202632[[#This Row],[Jan-May Forecast ]]</f>
        <v>2336436.4099999997</v>
      </c>
      <c r="BT35" s="6">
        <f>SUM(Financials202632[[#This Row],[Jan FC]:[May FC]])</f>
        <v>1668883.15</v>
      </c>
      <c r="BU35" s="6">
        <f>Financials202632[[#This Row],[Jan-May Actuals]]+Financials202632[[#This Row],[Forecast Jun-Dec]]</f>
        <v>4073475.3699999996</v>
      </c>
      <c r="BV35" s="6"/>
      <c r="BW35" s="6" t="s">
        <v>16</v>
      </c>
      <c r="BX35" s="6" t="s">
        <v>306</v>
      </c>
    </row>
    <row r="36" spans="1:76" x14ac:dyDescent="0.3">
      <c r="A36" s="22" t="s">
        <v>295</v>
      </c>
      <c r="B36" s="21" t="s">
        <v>43</v>
      </c>
      <c r="C36" s="21" t="s">
        <v>424</v>
      </c>
      <c r="D36" s="10" t="s">
        <v>425</v>
      </c>
      <c r="E36" s="7" t="s">
        <v>426</v>
      </c>
      <c r="F36" s="3" t="s">
        <v>427</v>
      </c>
      <c r="G36" s="3" t="s">
        <v>20</v>
      </c>
      <c r="H36" s="4">
        <v>45968</v>
      </c>
      <c r="I36" s="4">
        <v>46332</v>
      </c>
      <c r="J36" s="3" t="s">
        <v>428</v>
      </c>
      <c r="K36" s="3" t="str">
        <f t="shared" si="0"/>
        <v>Prj000458-Support - Data Analytics Office</v>
      </c>
      <c r="L36" s="21" t="s">
        <v>301</v>
      </c>
      <c r="M36" s="21" t="s">
        <v>16</v>
      </c>
      <c r="N36" s="21" t="s">
        <v>16</v>
      </c>
      <c r="O36" s="21" t="s">
        <v>16</v>
      </c>
      <c r="P36" s="21" t="s">
        <v>302</v>
      </c>
      <c r="Q36" s="21" t="s">
        <v>414</v>
      </c>
      <c r="R36" s="21" t="s">
        <v>414</v>
      </c>
      <c r="S36" s="21" t="s">
        <v>304</v>
      </c>
      <c r="T36" s="5">
        <v>889688</v>
      </c>
      <c r="U36" s="15">
        <v>1051185.52165</v>
      </c>
      <c r="V36" s="15">
        <v>1051185.52165</v>
      </c>
      <c r="W36" s="15">
        <f t="shared" si="1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SUM(Financials202632[[#This Row],[2026 Opportunity]:[2026 Risk]])</f>
        <v>0.37834999989718199</v>
      </c>
      <c r="AA36" s="3" t="s">
        <v>429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>
        <v>215776</v>
      </c>
      <c r="AN36" s="77">
        <f>SUM(Financials202632[[#This Row],[Jan FC]:[Dec FC]])</f>
        <v>1051185.8999999999</v>
      </c>
      <c r="AO36" s="15">
        <f t="shared" si="5"/>
        <v>622593.44999999995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SUM(Financials202632[[#This Row],[Jan AC]:[Dec AC]])</f>
        <v>835409.9</v>
      </c>
      <c r="BC36" s="71">
        <f>Financials202632[[#This Row],[Jan AC]]-Financials202632[[#This Row],[Jan FC]]</f>
        <v>0</v>
      </c>
      <c r="BD36" s="71">
        <f>Financials202632[[#This Row],[Feb AC]]-Financials202632[[#This Row],[Feb FC]]</f>
        <v>0</v>
      </c>
      <c r="BE36" s="71">
        <f>Financials202632[[#This Row],[Mar AC]]-Financials202632[[#This Row],[Mar FC]]</f>
        <v>0</v>
      </c>
      <c r="BF36" s="71">
        <f>Financials202632[[#This Row],[Apr AC]]-Financials202632[[#This Row],[Apr FC]]</f>
        <v>0</v>
      </c>
      <c r="BG36" s="71">
        <f>Financials202632[[#This Row],[May AC]]-Financials202632[[#This Row],[May FC]]</f>
        <v>0</v>
      </c>
      <c r="BH36" s="71">
        <f>Financials202632[[#This Row],[Jun AC]]-Financials202632[[#This Row],[Jun FC]]</f>
        <v>0</v>
      </c>
      <c r="BI36" s="71">
        <f>Financials202632[[#This Row],[Jul AC]]-Financials202632[[#This Row],[Jul FC]]</f>
        <v>0</v>
      </c>
      <c r="BJ36" s="71">
        <f>Financials202632[[#This Row],[Aug AC]]-Financials202632[[#This Row],[Aug FC]]</f>
        <v>0</v>
      </c>
      <c r="BK36" s="71">
        <f>Financials202632[[#This Row],[Sep AC]]-Financials202632[[#This Row],[Sep FC]]</f>
        <v>0</v>
      </c>
      <c r="BL36" s="71">
        <f>Financials202632[[#This Row],[Oct AC]]-Financials202632[[#This Row],[Oct FC]]</f>
        <v>0</v>
      </c>
      <c r="BM36" s="71">
        <f>Financials202632[[#This Row],[Nov AC]]-Financials202632[[#This Row],[Nov FC]]</f>
        <v>0</v>
      </c>
      <c r="BN36" s="71">
        <f>Financials202632[[#This Row],[Dec AC]]-Financials202632[[#This Row],[Dec FC]]</f>
        <v>-215776</v>
      </c>
      <c r="BO36" s="71">
        <f>SUM(Financials202632[[#This Row],[Jan Opp/Risk]:[Dec Opp./Risk]])</f>
        <v>-215776</v>
      </c>
      <c r="BP36" s="87" t="s">
        <v>356</v>
      </c>
      <c r="BQ36" s="47">
        <f>SUM(Financials202632[[#This Row],[Jan AC]:[May AC]])</f>
        <v>428592.45</v>
      </c>
      <c r="BR36" s="6">
        <f>Financials202632[[#This Row],[2026 (Actuals + Forecast)]]-Financials202632[[#This Row],[Jan-May Actuals]]-Financials202632[[#This Row],[Jun-Dec FC]]</f>
        <v>0</v>
      </c>
      <c r="BS36" s="6">
        <f>Financials202632[[#This Row],[Jun-Dec FC]]+Financials202632[[#This Row],[Jan-May Forecast ]]</f>
        <v>622593.44999999995</v>
      </c>
      <c r="BT36" s="6">
        <f>SUM(Financials202632[[#This Row],[Jan FC]:[May FC]])</f>
        <v>428592.45</v>
      </c>
      <c r="BU36" s="6">
        <f>Financials202632[[#This Row],[Jan-May Actuals]]+Financials202632[[#This Row],[Forecast Jun-Dec]]</f>
        <v>1051185.8999999999</v>
      </c>
      <c r="BV36" s="6"/>
      <c r="BW36" s="6" t="s">
        <v>16</v>
      </c>
      <c r="BX36" s="6" t="s">
        <v>306</v>
      </c>
    </row>
    <row r="37" spans="1:76" x14ac:dyDescent="0.3">
      <c r="A37" s="22" t="s">
        <v>295</v>
      </c>
      <c r="B37" s="21" t="s">
        <v>43</v>
      </c>
      <c r="C37" s="21" t="s">
        <v>424</v>
      </c>
      <c r="D37" s="10" t="s">
        <v>430</v>
      </c>
      <c r="E37" s="7" t="s">
        <v>431</v>
      </c>
      <c r="F37" s="3" t="s">
        <v>427</v>
      </c>
      <c r="G37" s="3" t="s">
        <v>20</v>
      </c>
      <c r="H37" s="4">
        <v>45839</v>
      </c>
      <c r="I37" s="4">
        <v>46203</v>
      </c>
      <c r="J37" s="3" t="s">
        <v>432</v>
      </c>
      <c r="K37" s="3" t="str">
        <f t="shared" si="0"/>
        <v>Prj000548-Implement - Reporting for Internal Audit</v>
      </c>
      <c r="L37" s="21" t="s">
        <v>301</v>
      </c>
      <c r="M37" s="21" t="s">
        <v>16</v>
      </c>
      <c r="N37" s="21" t="s">
        <v>16</v>
      </c>
      <c r="O37" s="21"/>
      <c r="P37" s="21" t="s">
        <v>302</v>
      </c>
      <c r="Q37" s="21" t="s">
        <v>414</v>
      </c>
      <c r="R37" s="21" t="s">
        <v>414</v>
      </c>
      <c r="S37" s="21" t="s">
        <v>304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SUM(Financials202632[[#This Row],[2026 Opportunity]:[2026 Risk]])</f>
        <v>-2.9103830456733704E-11</v>
      </c>
      <c r="AA37" s="3" t="s">
        <v>433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SUM(Financials202632[[#This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SUM(Financials202632[[#This Row],[Jan AC]:[Dec AC]])</f>
        <v>100000.00000000001</v>
      </c>
      <c r="BC37" s="71">
        <f>Financials202632[[#This Row],[Jan AC]]-Financials202632[[#This Row],[Jan FC]]</f>
        <v>0</v>
      </c>
      <c r="BD37" s="71">
        <f>Financials202632[[#This Row],[Feb AC]]-Financials202632[[#This Row],[Feb FC]]</f>
        <v>0</v>
      </c>
      <c r="BE37" s="71">
        <f>Financials202632[[#This Row],[Mar AC]]-Financials202632[[#This Row],[Mar FC]]</f>
        <v>0</v>
      </c>
      <c r="BF37" s="71">
        <f>Financials202632[[#This Row],[Apr AC]]-Financials202632[[#This Row],[Apr FC]]</f>
        <v>0</v>
      </c>
      <c r="BG37" s="71">
        <f>Financials202632[[#This Row],[May AC]]-Financials202632[[#This Row],[May FC]]</f>
        <v>0</v>
      </c>
      <c r="BH37" s="71">
        <f>Financials202632[[#This Row],[Jun AC]]-Financials202632[[#This Row],[Jun FC]]</f>
        <v>0</v>
      </c>
      <c r="BI37" s="71">
        <f>Financials202632[[#This Row],[Jul AC]]-Financials202632[[#This Row],[Jul FC]]</f>
        <v>-16666.666666666668</v>
      </c>
      <c r="BJ37" s="71">
        <f>Financials202632[[#This Row],[Aug AC]]-Financials202632[[#This Row],[Aug FC]]</f>
        <v>-16666.666666666668</v>
      </c>
      <c r="BK37" s="71">
        <f>Financials202632[[#This Row],[Sep AC]]-Financials202632[[#This Row],[Sep FC]]</f>
        <v>-16666.666666666668</v>
      </c>
      <c r="BL37" s="71">
        <f>Financials202632[[#This Row],[Oct AC]]-Financials202632[[#This Row],[Oct FC]]</f>
        <v>-16666.666666666668</v>
      </c>
      <c r="BM37" s="71">
        <f>Financials202632[[#This Row],[Nov AC]]-Financials202632[[#This Row],[Nov FC]]</f>
        <v>-16666.666666666668</v>
      </c>
      <c r="BN37" s="71">
        <f>Financials202632[[#This Row],[Dec AC]]-Financials202632[[#This Row],[Dec FC]]</f>
        <v>-16666.666666666668</v>
      </c>
      <c r="BO37" s="71">
        <f>SUM(Financials202632[[#This Row],[Jan Opp/Risk]:[Dec Opp./Risk]])</f>
        <v>-100000.00000000001</v>
      </c>
      <c r="BP37" s="87"/>
      <c r="BQ37" s="47">
        <f>SUM(Financials202632[[#This Row],[Jan AC]:[May AC]])</f>
        <v>83333.333333333343</v>
      </c>
      <c r="BR37" s="6">
        <f>Financials202632[[#This Row],[2026 (Actuals + Forecast)]]-Financials202632[[#This Row],[Jan-May Actuals]]-Financials202632[[#This Row],[Jun-Dec FC]]</f>
        <v>0</v>
      </c>
      <c r="BS37" s="6">
        <f>Financials202632[[#This Row],[Jun-Dec FC]]+Financials202632[[#This Row],[Jan-May Forecast ]]</f>
        <v>116666.66666666669</v>
      </c>
      <c r="BT37" s="6">
        <f>SUM(Financials202632[[#This Row],[Jan FC]:[May FC]])</f>
        <v>83333.333333333343</v>
      </c>
      <c r="BU37" s="6">
        <f>Financials202632[[#This Row],[Jan-May Actuals]]+Financials202632[[#This Row],[Forecast Jun-Dec]]</f>
        <v>200000.00000000003</v>
      </c>
      <c r="BV37" s="6"/>
      <c r="BW37" s="6" t="s">
        <v>16</v>
      </c>
      <c r="BX37" s="6" t="s">
        <v>306</v>
      </c>
    </row>
    <row r="38" spans="1:76" x14ac:dyDescent="0.3">
      <c r="A38" s="22" t="s">
        <v>295</v>
      </c>
      <c r="B38" s="21" t="s">
        <v>43</v>
      </c>
      <c r="C38" s="21" t="s">
        <v>424</v>
      </c>
      <c r="D38" s="10" t="s">
        <v>425</v>
      </c>
      <c r="E38" s="7" t="s">
        <v>426</v>
      </c>
      <c r="F38" s="3" t="s">
        <v>427</v>
      </c>
      <c r="G38" s="3" t="s">
        <v>20</v>
      </c>
      <c r="H38" s="4">
        <v>46143</v>
      </c>
      <c r="I38" s="4">
        <v>46507</v>
      </c>
      <c r="J38" s="3" t="s">
        <v>432</v>
      </c>
      <c r="K38" s="3" t="str">
        <f t="shared" si="0"/>
        <v>Prj000458-Support - Data Analytics Office</v>
      </c>
      <c r="L38" s="21" t="s">
        <v>301</v>
      </c>
      <c r="M38" s="21" t="s">
        <v>16</v>
      </c>
      <c r="N38" s="21" t="s">
        <v>16</v>
      </c>
      <c r="O38" s="21" t="s">
        <v>16</v>
      </c>
      <c r="P38" s="21" t="s">
        <v>302</v>
      </c>
      <c r="Q38" s="21" t="s">
        <v>414</v>
      </c>
      <c r="R38" s="21" t="s">
        <v>414</v>
      </c>
      <c r="S38" s="21" t="s">
        <v>304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SUM(Financials202632[[#This Row],[2026 Opportunity]:[2026 Risk]])</f>
        <v>-1.4551915228366852E-11</v>
      </c>
      <c r="AA38" s="3" t="s">
        <v>434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SUM(Financials202632[[#This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SUM(Financials202632[[#This Row],[Jan AC]:[Dec AC]])</f>
        <v>99999.999999999985</v>
      </c>
      <c r="BC38" s="71">
        <f>Financials202632[[#This Row],[Jan AC]]-Financials202632[[#This Row],[Jan FC]]</f>
        <v>0</v>
      </c>
      <c r="BD38" s="71">
        <f>Financials202632[[#This Row],[Feb AC]]-Financials202632[[#This Row],[Feb FC]]</f>
        <v>0</v>
      </c>
      <c r="BE38" s="71">
        <f>Financials202632[[#This Row],[Mar AC]]-Financials202632[[#This Row],[Mar FC]]</f>
        <v>0</v>
      </c>
      <c r="BF38" s="71">
        <f>Financials202632[[#This Row],[Apr AC]]-Financials202632[[#This Row],[Apr FC]]</f>
        <v>0</v>
      </c>
      <c r="BG38" s="71">
        <f>Financials202632[[#This Row],[May AC]]-Financials202632[[#This Row],[May FC]]</f>
        <v>0</v>
      </c>
      <c r="BH38" s="71">
        <f>Financials202632[[#This Row],[Jun AC]]-Financials202632[[#This Row],[Jun FC]]</f>
        <v>0</v>
      </c>
      <c r="BI38" s="71">
        <f>Financials202632[[#This Row],[Jul AC]]-Financials202632[[#This Row],[Jul FC]]</f>
        <v>0</v>
      </c>
      <c r="BJ38" s="71">
        <f>Financials202632[[#This Row],[Aug AC]]-Financials202632[[#This Row],[Aug FC]]</f>
        <v>0</v>
      </c>
      <c r="BK38" s="71">
        <f>Financials202632[[#This Row],[Sep AC]]-Financials202632[[#This Row],[Sep FC]]</f>
        <v>0</v>
      </c>
      <c r="BL38" s="71">
        <f>Financials202632[[#This Row],[Oct AC]]-Financials202632[[#This Row],[Oct FC]]</f>
        <v>0</v>
      </c>
      <c r="BM38" s="71">
        <f>Financials202632[[#This Row],[Nov AC]]-Financials202632[[#This Row],[Nov FC]]</f>
        <v>0</v>
      </c>
      <c r="BN38" s="71">
        <f>Financials202632[[#This Row],[Dec AC]]-Financials202632[[#This Row],[Dec FC]]</f>
        <v>0</v>
      </c>
      <c r="BO38" s="71">
        <f>SUM(Financials202632[[#This Row],[Jan Opp/Risk]:[Dec Opp./Risk]])</f>
        <v>0</v>
      </c>
      <c r="BP38" s="87"/>
      <c r="BQ38" s="47">
        <f>SUM(Financials202632[[#This Row],[Jan AC]:[May AC]])</f>
        <v>41666.666666666672</v>
      </c>
      <c r="BR38" s="6">
        <f>Financials202632[[#This Row],[2026 (Actuals + Forecast)]]-Financials202632[[#This Row],[Jan-May Actuals]]-Financials202632[[#This Row],[Jun-Dec FC]]</f>
        <v>0</v>
      </c>
      <c r="BS38" s="6">
        <f>Financials202632[[#This Row],[Jun-Dec FC]]+Financials202632[[#This Row],[Jan-May Forecast ]]</f>
        <v>58333.333333333343</v>
      </c>
      <c r="BT38" s="6">
        <f>SUM(Financials202632[[#This Row],[Jan FC]:[May FC]])</f>
        <v>41666.666666666672</v>
      </c>
      <c r="BU38" s="6">
        <f>Financials202632[[#This Row],[Jan-May Actuals]]+Financials202632[[#This Row],[Forecast Jun-Dec]]</f>
        <v>100000.00000000001</v>
      </c>
      <c r="BV38" s="6"/>
      <c r="BW38" s="6" t="s">
        <v>16</v>
      </c>
      <c r="BX38" s="6" t="s">
        <v>306</v>
      </c>
    </row>
    <row r="39" spans="1:76" x14ac:dyDescent="0.3">
      <c r="A39" s="22" t="s">
        <v>295</v>
      </c>
      <c r="B39" s="21" t="s">
        <v>217</v>
      </c>
      <c r="C39" s="21"/>
      <c r="D39" s="10" t="s">
        <v>435</v>
      </c>
      <c r="E39" s="7" t="s">
        <v>436</v>
      </c>
      <c r="F39" s="3" t="s">
        <v>311</v>
      </c>
      <c r="G39" s="3" t="s">
        <v>25</v>
      </c>
      <c r="H39" s="4">
        <v>46082</v>
      </c>
      <c r="I39" s="4">
        <v>46446</v>
      </c>
      <c r="J39" s="3" t="s">
        <v>437</v>
      </c>
      <c r="K39" s="3" t="str">
        <f t="shared" si="0"/>
        <v>Prj000446-Implement - Minor Enhancements for Enterprise Apps</v>
      </c>
      <c r="L39" s="21" t="s">
        <v>301</v>
      </c>
      <c r="M39" s="21" t="s">
        <v>16</v>
      </c>
      <c r="N39" s="21" t="s">
        <v>16</v>
      </c>
      <c r="O39" s="21" t="s">
        <v>16</v>
      </c>
      <c r="P39" s="21" t="s">
        <v>302</v>
      </c>
      <c r="Q39" s="21" t="s">
        <v>414</v>
      </c>
      <c r="R39" s="21" t="s">
        <v>414</v>
      </c>
      <c r="S39" s="21" t="s">
        <v>304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SUM(Financials202632[[#This Row],[2026 Opportunity]:[2026 Risk]])</f>
        <v>-0.34999999997671694</v>
      </c>
      <c r="AA39" s="3" t="s">
        <v>438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SUM(Financials202632[[#This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SUM(Financials202632[[#This Row],[Jan AC]:[Dec AC]])</f>
        <v>362342.00000000006</v>
      </c>
      <c r="BC39" s="71">
        <f>Financials202632[[#This Row],[Jan AC]]-Financials202632[[#This Row],[Jan FC]]</f>
        <v>0</v>
      </c>
      <c r="BD39" s="71">
        <f>Financials202632[[#This Row],[Feb AC]]-Financials202632[[#This Row],[Feb FC]]</f>
        <v>0</v>
      </c>
      <c r="BE39" s="71">
        <f>Financials202632[[#This Row],[Mar AC]]-Financials202632[[#This Row],[Mar FC]]</f>
        <v>0</v>
      </c>
      <c r="BF39" s="71">
        <f>Financials202632[[#This Row],[Apr AC]]-Financials202632[[#This Row],[Apr FC]]</f>
        <v>0</v>
      </c>
      <c r="BG39" s="71">
        <f>Financials202632[[#This Row],[May AC]]-Financials202632[[#This Row],[May FC]]</f>
        <v>0</v>
      </c>
      <c r="BH39" s="71">
        <f>Financials202632[[#This Row],[Jun AC]]-Financials202632[[#This Row],[Jun FC]]</f>
        <v>0</v>
      </c>
      <c r="BI39" s="71">
        <f>Financials202632[[#This Row],[Jul AC]]-Financials202632[[#This Row],[Jul FC]]</f>
        <v>0</v>
      </c>
      <c r="BJ39" s="71">
        <f>Financials202632[[#This Row],[Aug AC]]-Financials202632[[#This Row],[Aug FC]]</f>
        <v>0</v>
      </c>
      <c r="BK39" s="71">
        <f>Financials202632[[#This Row],[Sep AC]]-Financials202632[[#This Row],[Sep FC]]</f>
        <v>0</v>
      </c>
      <c r="BL39" s="71">
        <f>Financials202632[[#This Row],[Oct AC]]-Financials202632[[#This Row],[Oct FC]]</f>
        <v>0</v>
      </c>
      <c r="BM39" s="71">
        <f>Financials202632[[#This Row],[Nov AC]]-Financials202632[[#This Row],[Nov FC]]</f>
        <v>0</v>
      </c>
      <c r="BN39" s="71">
        <f>Financials202632[[#This Row],[Dec AC]]-Financials202632[[#This Row],[Dec FC]]</f>
        <v>-78329</v>
      </c>
      <c r="BO39" s="71">
        <f>SUM(Financials202632[[#This Row],[Jan Opp/Risk]:[Dec Opp./Risk]])</f>
        <v>-78329</v>
      </c>
      <c r="BP39" s="87" t="s">
        <v>439</v>
      </c>
      <c r="BQ39" s="47">
        <f>SUM(Financials202632[[#This Row],[Jan AC]:[May AC]])</f>
        <v>108702.6</v>
      </c>
      <c r="BR39" s="6">
        <f>Financials202632[[#This Row],[2026 (Actuals + Forecast)]]-Financials202632[[#This Row],[Jan-May Actuals]]-Financials202632[[#This Row],[Jun-Dec FC]]</f>
        <v>0</v>
      </c>
      <c r="BS39" s="6">
        <f>Financials202632[[#This Row],[Jun-Dec FC]]+Financials202632[[#This Row],[Jan-May Forecast ]]</f>
        <v>331968.40000000002</v>
      </c>
      <c r="BT39" s="6">
        <f>SUM(Financials202632[[#This Row],[Jan FC]:[May FC]])</f>
        <v>108702.6</v>
      </c>
      <c r="BU39" s="6">
        <f>Financials202632[[#This Row],[Jan-May Actuals]]+Financials202632[[#This Row],[Forecast Jun-Dec]]</f>
        <v>440671</v>
      </c>
      <c r="BV39" s="6"/>
      <c r="BW39" s="6" t="s">
        <v>16</v>
      </c>
      <c r="BX39" s="6" t="s">
        <v>306</v>
      </c>
    </row>
    <row r="40" spans="1:76" x14ac:dyDescent="0.3">
      <c r="A40" s="22" t="s">
        <v>295</v>
      </c>
      <c r="B40" s="21" t="s">
        <v>89</v>
      </c>
      <c r="C40" s="21"/>
      <c r="D40" s="10" t="s">
        <v>297</v>
      </c>
      <c r="E40" s="7" t="s">
        <v>298</v>
      </c>
      <c r="F40" s="3" t="s">
        <v>299</v>
      </c>
      <c r="G40" s="3" t="s">
        <v>21</v>
      </c>
      <c r="H40" s="4" t="s">
        <v>346</v>
      </c>
      <c r="I40" s="4" t="s">
        <v>346</v>
      </c>
      <c r="J40" s="3"/>
      <c r="K40" s="3" t="str">
        <f t="shared" si="0"/>
        <v>Prj000350-Support - Infrastructure for Tech</v>
      </c>
      <c r="L40" s="21" t="s">
        <v>301</v>
      </c>
      <c r="M40" s="21" t="s">
        <v>16</v>
      </c>
      <c r="N40" s="21" t="s">
        <v>16</v>
      </c>
      <c r="O40" s="21" t="s">
        <v>440</v>
      </c>
      <c r="P40" s="21" t="s">
        <v>302</v>
      </c>
      <c r="Q40" s="21" t="s">
        <v>303</v>
      </c>
      <c r="R40" s="21" t="s">
        <v>303</v>
      </c>
      <c r="S40" s="21" t="s">
        <v>328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SUM(Financials202632[[#This Row],[2026 Opportunity]:[2026 Risk]])</f>
        <v>-0.52000000000043656</v>
      </c>
      <c r="AA40" s="3" t="s">
        <v>441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SUM(Financials202632[[#This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SUM(Financials202632[[#This Row],[Jan AC]:[Dec AC]])</f>
        <v>6594.5599999999995</v>
      </c>
      <c r="BC40" s="71">
        <f>Financials202632[[#This Row],[Jan AC]]-Financials202632[[#This Row],[Jan FC]]</f>
        <v>-1250</v>
      </c>
      <c r="BD40" s="71">
        <f>Financials202632[[#This Row],[Feb AC]]-Financials202632[[#This Row],[Feb FC]]</f>
        <v>-1250</v>
      </c>
      <c r="BE40" s="71">
        <f>Financials202632[[#This Row],[Mar AC]]-Financials202632[[#This Row],[Mar FC]]</f>
        <v>-553.67999999999995</v>
      </c>
      <c r="BF40" s="71">
        <f>Financials202632[[#This Row],[Apr AC]]-Financials202632[[#This Row],[Apr FC]]</f>
        <v>-0.92000000000007276</v>
      </c>
      <c r="BG40" s="71">
        <f>Financials202632[[#This Row],[May AC]]-Financials202632[[#This Row],[May FC]]</f>
        <v>-0.92000000000007276</v>
      </c>
      <c r="BH40" s="71">
        <f>Financials202632[[#This Row],[Jun AC]]-Financials202632[[#This Row],[Jun FC]]</f>
        <v>716.07999999999993</v>
      </c>
      <c r="BI40" s="71">
        <f>Financials202632[[#This Row],[Jul AC]]-Financials202632[[#This Row],[Jul FC]]</f>
        <v>-1250</v>
      </c>
      <c r="BJ40" s="71">
        <f>Financials202632[[#This Row],[Aug AC]]-Financials202632[[#This Row],[Aug FC]]</f>
        <v>-1250</v>
      </c>
      <c r="BK40" s="71">
        <f>Financials202632[[#This Row],[Sep AC]]-Financials202632[[#This Row],[Sep FC]]</f>
        <v>-1250</v>
      </c>
      <c r="BL40" s="71">
        <f>Financials202632[[#This Row],[Oct AC]]-Financials202632[[#This Row],[Oct FC]]</f>
        <v>-1250</v>
      </c>
      <c r="BM40" s="71">
        <f>Financials202632[[#This Row],[Nov AC]]-Financials202632[[#This Row],[Nov FC]]</f>
        <v>-1250</v>
      </c>
      <c r="BN40" s="71">
        <f>Financials202632[[#This Row],[Dec AC]]-Financials202632[[#This Row],[Dec FC]]</f>
        <v>-2871</v>
      </c>
      <c r="BO40" s="71">
        <f>SUM(Financials202632[[#This Row],[Jan Opp/Risk]:[Dec Opp./Risk]])</f>
        <v>-11460.44</v>
      </c>
      <c r="BP40" s="87" t="s">
        <v>442</v>
      </c>
      <c r="BQ40" s="47">
        <f>SUM(Financials202632[[#This Row],[Jan AC]:[May AC]])</f>
        <v>4628.4799999999996</v>
      </c>
      <c r="BR40" s="6">
        <f>Financials202632[[#This Row],[2026 (Actuals + Forecast)]]-Financials202632[[#This Row],[Jan-May Actuals]]-Financials202632[[#This Row],[Jun-Dec FC]]</f>
        <v>0</v>
      </c>
      <c r="BS40" s="6">
        <f>Financials202632[[#This Row],[Jun-Dec FC]]+Financials202632[[#This Row],[Jan-May Forecast ]]</f>
        <v>10371</v>
      </c>
      <c r="BT40" s="6">
        <f>SUM(Financials202632[[#This Row],[Jan FC]:[May FC]])</f>
        <v>7684</v>
      </c>
      <c r="BU40" s="6">
        <f>Financials202632[[#This Row],[Jan-May Actuals]]+Financials202632[[#This Row],[Forecast Jun-Dec]]</f>
        <v>14999.48</v>
      </c>
      <c r="BV40" s="6"/>
      <c r="BW40" s="6" t="s">
        <v>16</v>
      </c>
      <c r="BX40" s="6" t="s">
        <v>306</v>
      </c>
    </row>
    <row r="41" spans="1:76" x14ac:dyDescent="0.3">
      <c r="A41" s="22" t="s">
        <v>295</v>
      </c>
      <c r="B41" s="21" t="s">
        <v>89</v>
      </c>
      <c r="C41" s="21"/>
      <c r="D41" s="10" t="s">
        <v>443</v>
      </c>
      <c r="E41" s="7" t="s">
        <v>444</v>
      </c>
      <c r="F41" s="3" t="s">
        <v>299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301</v>
      </c>
      <c r="M41" s="21" t="s">
        <v>12</v>
      </c>
      <c r="N41" s="21" t="s">
        <v>12</v>
      </c>
      <c r="O41" s="21" t="s">
        <v>445</v>
      </c>
      <c r="P41" s="21" t="s">
        <v>302</v>
      </c>
      <c r="Q41" s="21" t="s">
        <v>446</v>
      </c>
      <c r="R41" s="21" t="s">
        <v>446</v>
      </c>
      <c r="S41" s="21" t="s">
        <v>328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SUM(Financials202632[[#This Row],[2026 Opportunity]:[2026 Risk]])</f>
        <v>-0.43999999947845936</v>
      </c>
      <c r="AA41" s="3" t="s">
        <v>447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SUM(Financials202632[[#This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SUM(Financials202632[[#This Row],[Jan AC]:[Dec AC]])</f>
        <v>3128142.41</v>
      </c>
      <c r="BC41" s="71">
        <f>Financials202632[[#This Row],[Jan AC]]-Financials202632[[#This Row],[Jan FC]]</f>
        <v>35370.400000000023</v>
      </c>
      <c r="BD41" s="71">
        <f>Financials202632[[#This Row],[Feb AC]]-Financials202632[[#This Row],[Feb FC]]</f>
        <v>-21140.429999999935</v>
      </c>
      <c r="BE41" s="71">
        <f>Financials202632[[#This Row],[Mar AC]]-Financials202632[[#This Row],[Mar FC]]</f>
        <v>2545.6900000000605</v>
      </c>
      <c r="BF41" s="71">
        <f>Financials202632[[#This Row],[Apr AC]]-Financials202632[[#This Row],[Apr FC]]</f>
        <v>-22604.95000000007</v>
      </c>
      <c r="BG41" s="71">
        <f>Financials202632[[#This Row],[May AC]]-Financials202632[[#This Row],[May FC]]</f>
        <v>8397.8499999999767</v>
      </c>
      <c r="BH41" s="71">
        <f>Financials202632[[#This Row],[Jun AC]]-Financials202632[[#This Row],[Jun FC]]</f>
        <v>-624426.15</v>
      </c>
      <c r="BI41" s="71">
        <f>Financials202632[[#This Row],[Jul AC]]-Financials202632[[#This Row],[Jul FC]]</f>
        <v>-625000</v>
      </c>
      <c r="BJ41" s="71">
        <f>Financials202632[[#This Row],[Aug AC]]-Financials202632[[#This Row],[Aug FC]]</f>
        <v>-625000</v>
      </c>
      <c r="BK41" s="71">
        <f>Financials202632[[#This Row],[Sep AC]]-Financials202632[[#This Row],[Sep FC]]</f>
        <v>-625000</v>
      </c>
      <c r="BL41" s="71">
        <f>Financials202632[[#This Row],[Oct AC]]-Financials202632[[#This Row],[Oct FC]]</f>
        <v>-625000</v>
      </c>
      <c r="BM41" s="71">
        <f>Financials202632[[#This Row],[Nov AC]]-Financials202632[[#This Row],[Nov FC]]</f>
        <v>-625000</v>
      </c>
      <c r="BN41" s="71">
        <f>Financials202632[[#This Row],[Dec AC]]-Financials202632[[#This Row],[Dec FC]]</f>
        <v>-622431</v>
      </c>
      <c r="BO41" s="71">
        <f>SUM(Financials202632[[#This Row],[Jan Opp/Risk]:[Dec Opp./Risk]])</f>
        <v>-4369288.59</v>
      </c>
      <c r="BP41" s="89" t="s">
        <v>448</v>
      </c>
      <c r="BQ41" s="47">
        <f>SUM(Financials202632[[#This Row],[Jan AC]:[May AC]])</f>
        <v>3127568.56</v>
      </c>
      <c r="BR41" s="6">
        <f>Financials202632[[#This Row],[2026 (Actuals + Forecast)]]-Financials202632[[#This Row],[Jan-May Actuals]]-Financials202632[[#This Row],[Jun-Dec FC]]</f>
        <v>0</v>
      </c>
      <c r="BS41" s="6">
        <f>Financials202632[[#This Row],[Jun-Dec FC]]+Financials202632[[#This Row],[Jan-May Forecast ]]</f>
        <v>4372431</v>
      </c>
      <c r="BT41" s="6">
        <f>SUM(Financials202632[[#This Row],[Jan FC]:[May FC]])</f>
        <v>3125000</v>
      </c>
      <c r="BU41" s="6">
        <f>Financials202632[[#This Row],[Jan-May Actuals]]+Financials202632[[#This Row],[Forecast Jun-Dec]]</f>
        <v>7499999.5600000005</v>
      </c>
      <c r="BV41" s="6"/>
      <c r="BW41" s="21" t="s">
        <v>12</v>
      </c>
      <c r="BX41" s="6" t="s">
        <v>306</v>
      </c>
    </row>
    <row r="42" spans="1:76" x14ac:dyDescent="0.3">
      <c r="A42" s="22" t="s">
        <v>295</v>
      </c>
      <c r="B42" s="21" t="s">
        <v>120</v>
      </c>
      <c r="C42" s="21" t="s">
        <v>449</v>
      </c>
      <c r="D42" s="10" t="s">
        <v>435</v>
      </c>
      <c r="E42" s="7" t="s">
        <v>436</v>
      </c>
      <c r="F42" s="3" t="s">
        <v>311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301</v>
      </c>
      <c r="M42" s="21" t="s">
        <v>16</v>
      </c>
      <c r="N42" s="21" t="s">
        <v>16</v>
      </c>
      <c r="O42" s="21" t="s">
        <v>450</v>
      </c>
      <c r="P42" s="21" t="s">
        <v>302</v>
      </c>
      <c r="Q42" s="21" t="s">
        <v>303</v>
      </c>
      <c r="R42" s="21" t="s">
        <v>303</v>
      </c>
      <c r="S42" s="21" t="s">
        <v>304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SUM(Financials202632[[#This Row],[2026 Opportunity]:[2026 Risk]])</f>
        <v>0</v>
      </c>
      <c r="AA42" s="3" t="s">
        <v>451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SUM(Financials202632[[#This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SUM(Financials202632[[#This Row],[Jan AC]:[Dec AC]])</f>
        <v>56700</v>
      </c>
      <c r="BC42" s="71">
        <f>Financials202632[[#This Row],[Jan AC]]-Financials202632[[#This Row],[Jan FC]]</f>
        <v>0</v>
      </c>
      <c r="BD42" s="71">
        <f>Financials202632[[#This Row],[Feb AC]]-Financials202632[[#This Row],[Feb FC]]</f>
        <v>0</v>
      </c>
      <c r="BE42" s="71">
        <f>Financials202632[[#This Row],[Mar AC]]-Financials202632[[#This Row],[Mar FC]]</f>
        <v>0</v>
      </c>
      <c r="BF42" s="71">
        <f>Financials202632[[#This Row],[Apr AC]]-Financials202632[[#This Row],[Apr FC]]</f>
        <v>0</v>
      </c>
      <c r="BG42" s="71">
        <f>Financials202632[[#This Row],[May AC]]-Financials202632[[#This Row],[May FC]]</f>
        <v>0</v>
      </c>
      <c r="BH42" s="71">
        <f>Financials202632[[#This Row],[Jun AC]]-Financials202632[[#This Row],[Jun FC]]</f>
        <v>0</v>
      </c>
      <c r="BI42" s="71">
        <f>Financials202632[[#This Row],[Jul AC]]-Financials202632[[#This Row],[Jul FC]]</f>
        <v>0</v>
      </c>
      <c r="BJ42" s="71">
        <f>Financials202632[[#This Row],[Aug AC]]-Financials202632[[#This Row],[Aug FC]]</f>
        <v>-8505</v>
      </c>
      <c r="BK42" s="71">
        <f>Financials202632[[#This Row],[Sep AC]]-Financials202632[[#This Row],[Sep FC]]</f>
        <v>-8505</v>
      </c>
      <c r="BL42" s="71">
        <f>Financials202632[[#This Row],[Oct AC]]-Financials202632[[#This Row],[Oct FC]]</f>
        <v>-8505</v>
      </c>
      <c r="BM42" s="71">
        <f>Financials202632[[#This Row],[Nov AC]]-Financials202632[[#This Row],[Nov FC]]</f>
        <v>-8505</v>
      </c>
      <c r="BN42" s="71">
        <f>Financials202632[[#This Row],[Dec AC]]-Financials202632[[#This Row],[Dec FC]]</f>
        <v>-8505</v>
      </c>
      <c r="BO42" s="71">
        <f>SUM(Financials202632[[#This Row],[Jan Opp/Risk]:[Dec Opp./Risk]])</f>
        <v>-42525</v>
      </c>
      <c r="BP42" s="87"/>
      <c r="BQ42" s="47">
        <f>SUM(Financials202632[[#This Row],[Jan AC]:[May AC]])</f>
        <v>40500</v>
      </c>
      <c r="BR42" s="6">
        <f>Financials202632[[#This Row],[2026 (Actuals + Forecast)]]-Financials202632[[#This Row],[Jan-May Actuals]]-Financials202632[[#This Row],[Jun-Dec FC]]</f>
        <v>0</v>
      </c>
      <c r="BS42" s="6">
        <f>Financials202632[[#This Row],[Jun-Dec FC]]+Financials202632[[#This Row],[Jan-May Forecast ]]</f>
        <v>58725</v>
      </c>
      <c r="BT42" s="6">
        <f>SUM(Financials202632[[#This Row],[Jan FC]:[May FC]])</f>
        <v>40500</v>
      </c>
      <c r="BU42" s="6">
        <f>Financials202632[[#This Row],[Jan-May Actuals]]+Financials202632[[#This Row],[Forecast Jun-Dec]]</f>
        <v>99225</v>
      </c>
      <c r="BV42" s="6"/>
      <c r="BW42" s="6" t="s">
        <v>16</v>
      </c>
      <c r="BX42" s="6" t="s">
        <v>306</v>
      </c>
    </row>
    <row r="43" spans="1:76" x14ac:dyDescent="0.3">
      <c r="A43" s="22" t="s">
        <v>295</v>
      </c>
      <c r="B43" s="21" t="s">
        <v>73</v>
      </c>
      <c r="C43" s="21" t="s">
        <v>452</v>
      </c>
      <c r="D43" s="10" t="s">
        <v>297</v>
      </c>
      <c r="E43" s="7" t="s">
        <v>298</v>
      </c>
      <c r="F43" s="3" t="s">
        <v>299</v>
      </c>
      <c r="G43" s="3" t="s">
        <v>21</v>
      </c>
      <c r="H43" s="4">
        <v>46023</v>
      </c>
      <c r="I43" s="4">
        <v>46387</v>
      </c>
      <c r="J43" s="3" t="s">
        <v>453</v>
      </c>
      <c r="K43" s="3" t="str">
        <f t="shared" si="0"/>
        <v>Prj000350-Support - Infrastructure for Tech</v>
      </c>
      <c r="L43" s="21" t="s">
        <v>301</v>
      </c>
      <c r="M43" s="21" t="s">
        <v>16</v>
      </c>
      <c r="N43" s="21" t="s">
        <v>16</v>
      </c>
      <c r="O43" s="21"/>
      <c r="P43" s="21" t="s">
        <v>302</v>
      </c>
      <c r="Q43" s="21" t="s">
        <v>303</v>
      </c>
      <c r="R43" s="21" t="s">
        <v>303</v>
      </c>
      <c r="S43" s="21" t="s">
        <v>328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SUM(Financials202632[[#This Row],[2026 Opportunity]:[2026 Risk]])</f>
        <v>0.15899999999965075</v>
      </c>
      <c r="AA43" s="3" t="s">
        <v>454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SUM(Financials202632[[#This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SUM(Financials202632[[#This Row],[Jan AC]:[Dec AC]])</f>
        <v>8552.09</v>
      </c>
      <c r="BC43" s="71">
        <f>Financials202632[[#This Row],[Jan AC]]-Financials202632[[#This Row],[Jan FC]]</f>
        <v>0</v>
      </c>
      <c r="BD43" s="71">
        <f>Financials202632[[#This Row],[Feb AC]]-Financials202632[[#This Row],[Feb FC]]</f>
        <v>0</v>
      </c>
      <c r="BE43" s="71">
        <f>Financials202632[[#This Row],[Mar AC]]-Financials202632[[#This Row],[Mar FC]]</f>
        <v>-6404.9302500000013</v>
      </c>
      <c r="BF43" s="71">
        <f>Financials202632[[#This Row],[Apr AC]]-Financials202632[[#This Row],[Apr FC]]</f>
        <v>-7245.8102500000014</v>
      </c>
      <c r="BG43" s="71">
        <f>Financials202632[[#This Row],[May AC]]-Financials202632[[#This Row],[May FC]]</f>
        <v>-6404.9302500000013</v>
      </c>
      <c r="BH43" s="71">
        <f>Financials202632[[#This Row],[Jun AC]]-Financials202632[[#This Row],[Jun FC]]</f>
        <v>-2898.1202500000018</v>
      </c>
      <c r="BI43" s="71">
        <f>Financials202632[[#This Row],[Jul AC]]-Financials202632[[#This Row],[Jul FC]]</f>
        <v>-7245.8102500000014</v>
      </c>
      <c r="BJ43" s="71">
        <f>Financials202632[[#This Row],[Aug AC]]-Financials202632[[#This Row],[Aug FC]]</f>
        <v>-7245.8102500000014</v>
      </c>
      <c r="BK43" s="71">
        <f>Financials202632[[#This Row],[Sep AC]]-Financials202632[[#This Row],[Sep FC]]</f>
        <v>-7245.8102500000014</v>
      </c>
      <c r="BL43" s="71">
        <f>Financials202632[[#This Row],[Oct AC]]-Financials202632[[#This Row],[Oct FC]]</f>
        <v>-7245.8102500000014</v>
      </c>
      <c r="BM43" s="71">
        <f>Financials202632[[#This Row],[Nov AC]]-Financials202632[[#This Row],[Nov FC]]</f>
        <v>-7245.8102500000014</v>
      </c>
      <c r="BN43" s="71">
        <f>Financials202632[[#This Row],[Dec AC]]-Financials202632[[#This Row],[Dec FC]]</f>
        <v>-32024.810250000002</v>
      </c>
      <c r="BO43" s="71">
        <f>SUM(Financials202632[[#This Row],[Jan Opp/Risk]:[Dec Opp./Risk]])</f>
        <v>-91207.652500000026</v>
      </c>
      <c r="BP43" s="87" t="s">
        <v>455</v>
      </c>
      <c r="BQ43" s="47">
        <f>SUM(Financials202632[[#This Row],[Jan AC]:[May AC]])</f>
        <v>4204.4000000000005</v>
      </c>
      <c r="BR43" s="6">
        <f>Financials202632[[#This Row],[2026 (Actuals + Forecast)]]-Financials202632[[#This Row],[Jan-May Actuals]]-Financials202632[[#This Row],[Jun-Dec FC]]</f>
        <v>7245.8102500000095</v>
      </c>
      <c r="BS43" s="6">
        <f>Financials202632[[#This Row],[Jun-Dec FC]]+Financials202632[[#This Row],[Jan-May Forecast ]]</f>
        <v>82745.482000000018</v>
      </c>
      <c r="BT43" s="6">
        <f>SUM(Financials202632[[#This Row],[Jan FC]:[May FC]])</f>
        <v>24260.070750000006</v>
      </c>
      <c r="BU43" s="6">
        <f>Financials202632[[#This Row],[Jan-May Actuals]]+Financials202632[[#This Row],[Forecast Jun-Dec]]</f>
        <v>86949.882000000012</v>
      </c>
      <c r="BV43" s="6"/>
      <c r="BW43" s="6" t="s">
        <v>16</v>
      </c>
      <c r="BX43" s="6" t="s">
        <v>306</v>
      </c>
    </row>
    <row r="44" spans="1:76" x14ac:dyDescent="0.3">
      <c r="A44" s="22" t="s">
        <v>295</v>
      </c>
      <c r="B44" s="21" t="s">
        <v>73</v>
      </c>
      <c r="C44" s="21" t="s">
        <v>452</v>
      </c>
      <c r="D44" s="10" t="s">
        <v>297</v>
      </c>
      <c r="E44" s="7" t="s">
        <v>298</v>
      </c>
      <c r="F44" s="3" t="s">
        <v>299</v>
      </c>
      <c r="G44" s="3" t="s">
        <v>21</v>
      </c>
      <c r="H44" s="4">
        <v>45931</v>
      </c>
      <c r="I44" s="4">
        <v>46295</v>
      </c>
      <c r="J44" s="3" t="s">
        <v>456</v>
      </c>
      <c r="K44" s="3" t="str">
        <f t="shared" si="0"/>
        <v>Prj000350-Support - Infrastructure for Tech</v>
      </c>
      <c r="L44" s="21" t="s">
        <v>301</v>
      </c>
      <c r="M44" s="21" t="s">
        <v>16</v>
      </c>
      <c r="N44" s="21" t="s">
        <v>16</v>
      </c>
      <c r="O44" s="21"/>
      <c r="P44" s="21" t="s">
        <v>302</v>
      </c>
      <c r="Q44" s="21" t="s">
        <v>303</v>
      </c>
      <c r="R44" s="21" t="s">
        <v>303</v>
      </c>
      <c r="S44" s="21" t="s">
        <v>333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SUM(Financials202632[[#This Row],[2026 Opportunity]:[2026 Risk]])</f>
        <v>0.37000000000261934</v>
      </c>
      <c r="AA44" s="3" t="s">
        <v>457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SUM(Financials202632[[#This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SUM(Financials202632[[#This Row],[Jan AC]:[Dec AC]])</f>
        <v>2274.37</v>
      </c>
      <c r="BC44" s="71">
        <f>Financials202632[[#This Row],[Jan AC]]-Financials202632[[#This Row],[Jan FC]]</f>
        <v>0</v>
      </c>
      <c r="BD44" s="71">
        <f>Financials202632[[#This Row],[Feb AC]]-Financials202632[[#This Row],[Feb FC]]</f>
        <v>0</v>
      </c>
      <c r="BE44" s="71">
        <f>Financials202632[[#This Row],[Mar AC]]-Financials202632[[#This Row],[Mar FC]]</f>
        <v>0</v>
      </c>
      <c r="BF44" s="71">
        <f>Financials202632[[#This Row],[Apr AC]]-Financials202632[[#This Row],[Apr FC]]</f>
        <v>0</v>
      </c>
      <c r="BG44" s="71">
        <f>Financials202632[[#This Row],[May AC]]-Financials202632[[#This Row],[May FC]]</f>
        <v>0</v>
      </c>
      <c r="BH44" s="71">
        <f>Financials202632[[#This Row],[Jun AC]]-Financials202632[[#This Row],[Jun FC]]</f>
        <v>0</v>
      </c>
      <c r="BI44" s="71">
        <f>Financials202632[[#This Row],[Jul AC]]-Financials202632[[#This Row],[Jul FC]]</f>
        <v>0</v>
      </c>
      <c r="BJ44" s="71">
        <f>Financials202632[[#This Row],[Aug AC]]-Financials202632[[#This Row],[Aug FC]]</f>
        <v>0</v>
      </c>
      <c r="BK44" s="71">
        <f>Financials202632[[#This Row],[Sep AC]]-Financials202632[[#This Row],[Sep FC]]</f>
        <v>0</v>
      </c>
      <c r="BL44" s="71">
        <f>Financials202632[[#This Row],[Oct AC]]-Financials202632[[#This Row],[Oct FC]]</f>
        <v>0</v>
      </c>
      <c r="BM44" s="71">
        <f>Financials202632[[#This Row],[Nov AC]]-Financials202632[[#This Row],[Nov FC]]</f>
        <v>0</v>
      </c>
      <c r="BN44" s="71">
        <f>Financials202632[[#This Row],[Dec AC]]-Financials202632[[#This Row],[Dec FC]]</f>
        <v>-60726</v>
      </c>
      <c r="BO44" s="71">
        <f>SUM(Financials202632[[#This Row],[Jan Opp/Risk]:[Dec Opp./Risk]])</f>
        <v>-60726</v>
      </c>
      <c r="BP44" s="87" t="s">
        <v>458</v>
      </c>
      <c r="BQ44" s="47">
        <f>SUM(Financials202632[[#This Row],[Jan AC]:[May AC]])</f>
        <v>2274.37</v>
      </c>
      <c r="BR44" s="6">
        <f>Financials202632[[#This Row],[2026 (Actuals + Forecast)]]-Financials202632[[#This Row],[Jan-May Actuals]]-Financials202632[[#This Row],[Jun-Dec FC]]</f>
        <v>0</v>
      </c>
      <c r="BS44" s="6">
        <f>Financials202632[[#This Row],[Jun-Dec FC]]+Financials202632[[#This Row],[Jan-May Forecast ]]</f>
        <v>60726</v>
      </c>
      <c r="BT44" s="6">
        <f>SUM(Financials202632[[#This Row],[Jan FC]:[May FC]])</f>
        <v>2274.37</v>
      </c>
      <c r="BU44" s="6">
        <f>Financials202632[[#This Row],[Jan-May Actuals]]+Financials202632[[#This Row],[Forecast Jun-Dec]]</f>
        <v>63000.37</v>
      </c>
      <c r="BV44" s="6"/>
      <c r="BW44" s="6" t="s">
        <v>16</v>
      </c>
      <c r="BX44" s="6" t="s">
        <v>306</v>
      </c>
    </row>
    <row r="45" spans="1:76" x14ac:dyDescent="0.3">
      <c r="A45" s="22" t="s">
        <v>295</v>
      </c>
      <c r="B45" s="21" t="s">
        <v>73</v>
      </c>
      <c r="C45" s="21" t="s">
        <v>459</v>
      </c>
      <c r="D45" s="10" t="s">
        <v>443</v>
      </c>
      <c r="E45" s="7" t="s">
        <v>444</v>
      </c>
      <c r="F45" s="3" t="s">
        <v>299</v>
      </c>
      <c r="G45" s="3" t="s">
        <v>21</v>
      </c>
      <c r="H45" s="4">
        <v>45901</v>
      </c>
      <c r="I45" s="4">
        <v>46265</v>
      </c>
      <c r="J45" s="3" t="s">
        <v>460</v>
      </c>
      <c r="K45" s="3" t="str">
        <f t="shared" si="0"/>
        <v>Prj000342-Support - Site Reliability Engineering for Tech</v>
      </c>
      <c r="L45" s="21" t="s">
        <v>301</v>
      </c>
      <c r="M45" s="21" t="s">
        <v>16</v>
      </c>
      <c r="N45" s="21" t="s">
        <v>16</v>
      </c>
      <c r="O45" s="21"/>
      <c r="P45" s="21" t="s">
        <v>302</v>
      </c>
      <c r="Q45" s="21" t="s">
        <v>303</v>
      </c>
      <c r="R45" s="21" t="s">
        <v>303</v>
      </c>
      <c r="S45" s="21" t="s">
        <v>333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SUM(Financials202632[[#This Row],[2026 Opportunity]:[2026 Risk]])</f>
        <v>0</v>
      </c>
      <c r="AA45" s="3" t="s">
        <v>461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SUM(Financials202632[[#This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SUM(Financials202632[[#This Row],[Jan AC]:[Dec AC]])</f>
        <v>0</v>
      </c>
      <c r="BC45" s="71">
        <f>Financials202632[[#This Row],[Jan AC]]-Financials202632[[#This Row],[Jan FC]]</f>
        <v>0</v>
      </c>
      <c r="BD45" s="71">
        <f>Financials202632[[#This Row],[Feb AC]]-Financials202632[[#This Row],[Feb FC]]</f>
        <v>0</v>
      </c>
      <c r="BE45" s="71">
        <f>Financials202632[[#This Row],[Mar AC]]-Financials202632[[#This Row],[Mar FC]]</f>
        <v>0</v>
      </c>
      <c r="BF45" s="71">
        <f>Financials202632[[#This Row],[Apr AC]]-Financials202632[[#This Row],[Apr FC]]</f>
        <v>0</v>
      </c>
      <c r="BG45" s="71">
        <f>Financials202632[[#This Row],[May AC]]-Financials202632[[#This Row],[May FC]]</f>
        <v>0</v>
      </c>
      <c r="BH45" s="71">
        <f>Financials202632[[#This Row],[Jun AC]]-Financials202632[[#This Row],[Jun FC]]</f>
        <v>0</v>
      </c>
      <c r="BI45" s="71">
        <f>Financials202632[[#This Row],[Jul AC]]-Financials202632[[#This Row],[Jul FC]]</f>
        <v>0</v>
      </c>
      <c r="BJ45" s="71">
        <f>Financials202632[[#This Row],[Aug AC]]-Financials202632[[#This Row],[Aug FC]]</f>
        <v>0</v>
      </c>
      <c r="BK45" s="71">
        <f>Financials202632[[#This Row],[Sep AC]]-Financials202632[[#This Row],[Sep FC]]</f>
        <v>-33096.819000000003</v>
      </c>
      <c r="BL45" s="71">
        <f>Financials202632[[#This Row],[Oct AC]]-Financials202632[[#This Row],[Oct FC]]</f>
        <v>0</v>
      </c>
      <c r="BM45" s="71">
        <f>Financials202632[[#This Row],[Nov AC]]-Financials202632[[#This Row],[Nov FC]]</f>
        <v>0</v>
      </c>
      <c r="BN45" s="71">
        <f>Financials202632[[#This Row],[Dec AC]]-Financials202632[[#This Row],[Dec FC]]</f>
        <v>0</v>
      </c>
      <c r="BO45" s="71">
        <f>SUM(Financials202632[[#This Row],[Jan Opp/Risk]:[Dec Opp./Risk]])</f>
        <v>-33096.819000000003</v>
      </c>
      <c r="BP45" s="87"/>
      <c r="BQ45" s="47">
        <f>SUM(Financials202632[[#This Row],[Jan AC]:[May AC]])</f>
        <v>0</v>
      </c>
      <c r="BR45" s="6">
        <f>Financials202632[[#This Row],[2026 (Actuals + Forecast)]]-Financials202632[[#This Row],[Jan-May Actuals]]-Financials202632[[#This Row],[Jun-Dec FC]]</f>
        <v>0</v>
      </c>
      <c r="BS45" s="6">
        <f>Financials202632[[#This Row],[Jun-Dec FC]]+Financials202632[[#This Row],[Jan-May Forecast ]]</f>
        <v>33096.819000000003</v>
      </c>
      <c r="BT45" s="6">
        <f>SUM(Financials202632[[#This Row],[Jan FC]:[May FC]])</f>
        <v>0</v>
      </c>
      <c r="BU45" s="6">
        <f>Financials202632[[#This Row],[Jan-May Actuals]]+Financials202632[[#This Row],[Forecast Jun-Dec]]</f>
        <v>33096.819000000003</v>
      </c>
      <c r="BV45" s="6"/>
      <c r="BW45" s="6" t="s">
        <v>16</v>
      </c>
      <c r="BX45" s="6" t="s">
        <v>306</v>
      </c>
    </row>
    <row r="46" spans="1:76" x14ac:dyDescent="0.3">
      <c r="A46" s="22" t="s">
        <v>295</v>
      </c>
      <c r="B46" s="21" t="s">
        <v>73</v>
      </c>
      <c r="C46" s="21" t="s">
        <v>459</v>
      </c>
      <c r="D46" s="10" t="s">
        <v>462</v>
      </c>
      <c r="E46" s="7" t="s">
        <v>463</v>
      </c>
      <c r="F46" s="3" t="s">
        <v>299</v>
      </c>
      <c r="G46" s="3" t="s">
        <v>21</v>
      </c>
      <c r="H46" s="4" t="s">
        <v>312</v>
      </c>
      <c r="I46" s="4" t="s">
        <v>312</v>
      </c>
      <c r="J46" s="3"/>
      <c r="K46" s="3" t="str">
        <f t="shared" si="0"/>
        <v>Prj000358-Support - Security Operations for Cybersecurity</v>
      </c>
      <c r="L46" s="21" t="s">
        <v>301</v>
      </c>
      <c r="M46" s="21" t="s">
        <v>16</v>
      </c>
      <c r="N46" s="21" t="s">
        <v>16</v>
      </c>
      <c r="O46" s="21"/>
      <c r="P46" s="21" t="s">
        <v>302</v>
      </c>
      <c r="Q46" s="21" t="s">
        <v>303</v>
      </c>
      <c r="R46" s="21" t="s">
        <v>303</v>
      </c>
      <c r="S46" s="21" t="s">
        <v>333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SUM(Financials202632[[#This Row],[2026 Opportunity]:[2026 Risk]])</f>
        <v>0</v>
      </c>
      <c r="AA46" s="3" t="s">
        <v>464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SUM(Financials202632[[#This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SUM(Financials202632[[#This Row],[Jan AC]:[Dec AC]])</f>
        <v>1100.47</v>
      </c>
      <c r="BC46" s="71">
        <f>Financials202632[[#This Row],[Jan AC]]-Financials202632[[#This Row],[Jan FC]]</f>
        <v>0</v>
      </c>
      <c r="BD46" s="71">
        <f>Financials202632[[#This Row],[Feb AC]]-Financials202632[[#This Row],[Feb FC]]</f>
        <v>0</v>
      </c>
      <c r="BE46" s="71">
        <f>Financials202632[[#This Row],[Mar AC]]-Financials202632[[#This Row],[Mar FC]]</f>
        <v>0</v>
      </c>
      <c r="BF46" s="71">
        <f>Financials202632[[#This Row],[Apr AC]]-Financials202632[[#This Row],[Apr FC]]</f>
        <v>0</v>
      </c>
      <c r="BG46" s="71">
        <f>Financials202632[[#This Row],[May AC]]-Financials202632[[#This Row],[May FC]]</f>
        <v>0</v>
      </c>
      <c r="BH46" s="71">
        <f>Financials202632[[#This Row],[Jun AC]]-Financials202632[[#This Row],[Jun FC]]</f>
        <v>0</v>
      </c>
      <c r="BI46" s="71">
        <f>Financials202632[[#This Row],[Jul AC]]-Financials202632[[#This Row],[Jul FC]]</f>
        <v>0</v>
      </c>
      <c r="BJ46" s="71">
        <f>Financials202632[[#This Row],[Aug AC]]-Financials202632[[#This Row],[Aug FC]]</f>
        <v>-62225.03</v>
      </c>
      <c r="BK46" s="71">
        <f>Financials202632[[#This Row],[Sep AC]]-Financials202632[[#This Row],[Sep FC]]</f>
        <v>0</v>
      </c>
      <c r="BL46" s="71">
        <f>Financials202632[[#This Row],[Oct AC]]-Financials202632[[#This Row],[Oct FC]]</f>
        <v>0</v>
      </c>
      <c r="BM46" s="71">
        <f>Financials202632[[#This Row],[Nov AC]]-Financials202632[[#This Row],[Nov FC]]</f>
        <v>0</v>
      </c>
      <c r="BN46" s="71">
        <f>Financials202632[[#This Row],[Dec AC]]-Financials202632[[#This Row],[Dec FC]]</f>
        <v>0</v>
      </c>
      <c r="BO46" s="71">
        <f>SUM(Financials202632[[#This Row],[Jan Opp/Risk]:[Dec Opp./Risk]])</f>
        <v>-62225.03</v>
      </c>
      <c r="BP46" s="87"/>
      <c r="BQ46" s="47">
        <f>SUM(Financials202632[[#This Row],[Jan AC]:[May AC]])</f>
        <v>1100.47</v>
      </c>
      <c r="BR46" s="6">
        <f>Financials202632[[#This Row],[2026 (Actuals + Forecast)]]-Financials202632[[#This Row],[Jan-May Actuals]]-Financials202632[[#This Row],[Jun-Dec FC]]</f>
        <v>0</v>
      </c>
      <c r="BS46" s="6">
        <f>Financials202632[[#This Row],[Jun-Dec FC]]+Financials202632[[#This Row],[Jan-May Forecast ]]</f>
        <v>62225.03</v>
      </c>
      <c r="BT46" s="6">
        <f>SUM(Financials202632[[#This Row],[Jan FC]:[May FC]])</f>
        <v>1100.47</v>
      </c>
      <c r="BU46" s="6">
        <f>Financials202632[[#This Row],[Jan-May Actuals]]+Financials202632[[#This Row],[Forecast Jun-Dec]]</f>
        <v>63325.5</v>
      </c>
      <c r="BV46" s="6"/>
      <c r="BW46" s="6" t="s">
        <v>16</v>
      </c>
      <c r="BX46" s="6" t="s">
        <v>306</v>
      </c>
    </row>
    <row r="47" spans="1:76" x14ac:dyDescent="0.3">
      <c r="A47" s="22" t="s">
        <v>295</v>
      </c>
      <c r="B47" s="21" t="s">
        <v>151</v>
      </c>
      <c r="C47" s="21" t="s">
        <v>465</v>
      </c>
      <c r="D47" s="10" t="s">
        <v>383</v>
      </c>
      <c r="E47" s="7" t="s">
        <v>384</v>
      </c>
      <c r="F47" s="3" t="s">
        <v>385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301</v>
      </c>
      <c r="M47" s="21" t="s">
        <v>16</v>
      </c>
      <c r="N47" s="21" t="s">
        <v>16</v>
      </c>
      <c r="O47" s="21" t="s">
        <v>16</v>
      </c>
      <c r="P47" s="21" t="s">
        <v>302</v>
      </c>
      <c r="Q47" s="21" t="s">
        <v>303</v>
      </c>
      <c r="R47" s="21" t="s">
        <v>303</v>
      </c>
      <c r="S47" s="21" t="s">
        <v>333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SUM(Financials202632[[#This Row],[2026 Opportunity]:[2026 Risk]])</f>
        <v>0</v>
      </c>
      <c r="AA47" s="3" t="s">
        <v>466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SUM(Financials202632[[#This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SUM(Financials202632[[#This Row],[Jan AC]:[Dec AC]])</f>
        <v>4800</v>
      </c>
      <c r="BC47" s="71">
        <f>Financials202632[[#This Row],[Jan AC]]-Financials202632[[#This Row],[Jan FC]]</f>
        <v>0</v>
      </c>
      <c r="BD47" s="71">
        <f>Financials202632[[#This Row],[Feb AC]]-Financials202632[[#This Row],[Feb FC]]</f>
        <v>0</v>
      </c>
      <c r="BE47" s="71">
        <f>Financials202632[[#This Row],[Mar AC]]-Financials202632[[#This Row],[Mar FC]]</f>
        <v>0</v>
      </c>
      <c r="BF47" s="71">
        <f>Financials202632[[#This Row],[Apr AC]]-Financials202632[[#This Row],[Apr FC]]</f>
        <v>0</v>
      </c>
      <c r="BG47" s="71">
        <f>Financials202632[[#This Row],[May AC]]-Financials202632[[#This Row],[May FC]]</f>
        <v>0</v>
      </c>
      <c r="BH47" s="71">
        <f>Financials202632[[#This Row],[Jun AC]]-Financials202632[[#This Row],[Jun FC]]</f>
        <v>-5280</v>
      </c>
      <c r="BI47" s="71">
        <f>Financials202632[[#This Row],[Jul AC]]-Financials202632[[#This Row],[Jul FC]]</f>
        <v>0</v>
      </c>
      <c r="BJ47" s="71">
        <f>Financials202632[[#This Row],[Aug AC]]-Financials202632[[#This Row],[Aug FC]]</f>
        <v>0</v>
      </c>
      <c r="BK47" s="71">
        <f>Financials202632[[#This Row],[Sep AC]]-Financials202632[[#This Row],[Sep FC]]</f>
        <v>0</v>
      </c>
      <c r="BL47" s="71">
        <f>Financials202632[[#This Row],[Oct AC]]-Financials202632[[#This Row],[Oct FC]]</f>
        <v>0</v>
      </c>
      <c r="BM47" s="71">
        <f>Financials202632[[#This Row],[Nov AC]]-Financials202632[[#This Row],[Nov FC]]</f>
        <v>0</v>
      </c>
      <c r="BN47" s="71">
        <f>Financials202632[[#This Row],[Dec AC]]-Financials202632[[#This Row],[Dec FC]]</f>
        <v>0</v>
      </c>
      <c r="BO47" s="71">
        <f>SUM(Financials202632[[#This Row],[Jan Opp/Risk]:[Dec Opp./Risk]])</f>
        <v>-5280</v>
      </c>
      <c r="BP47" s="87" t="s">
        <v>467</v>
      </c>
      <c r="BQ47" s="47">
        <f>SUM(Financials202632[[#This Row],[Jan AC]:[May AC]])</f>
        <v>4800</v>
      </c>
      <c r="BR47" s="6">
        <f>Financials202632[[#This Row],[2026 (Actuals + Forecast)]]-Financials202632[[#This Row],[Jan-May Actuals]]-Financials202632[[#This Row],[Jun-Dec FC]]</f>
        <v>0</v>
      </c>
      <c r="BS47" s="6">
        <f>Financials202632[[#This Row],[Jun-Dec FC]]+Financials202632[[#This Row],[Jan-May Forecast ]]</f>
        <v>5280</v>
      </c>
      <c r="BT47" s="6">
        <f>SUM(Financials202632[[#This Row],[Jan FC]:[May FC]])</f>
        <v>4800</v>
      </c>
      <c r="BU47" s="6">
        <f>Financials202632[[#This Row],[Jan-May Actuals]]+Financials202632[[#This Row],[Forecast Jun-Dec]]</f>
        <v>10080</v>
      </c>
      <c r="BV47" s="6"/>
      <c r="BW47" s="6" t="s">
        <v>16</v>
      </c>
      <c r="BX47" s="6" t="s">
        <v>306</v>
      </c>
    </row>
    <row r="48" spans="1:76" x14ac:dyDescent="0.3">
      <c r="A48" s="22" t="s">
        <v>295</v>
      </c>
      <c r="B48" s="21" t="s">
        <v>197</v>
      </c>
      <c r="C48" s="21" t="s">
        <v>468</v>
      </c>
      <c r="D48" s="10" t="s">
        <v>223</v>
      </c>
      <c r="E48" s="7" t="s">
        <v>344</v>
      </c>
      <c r="F48" s="3" t="s">
        <v>345</v>
      </c>
      <c r="G48" s="3" t="s">
        <v>24</v>
      </c>
      <c r="H48" s="4">
        <v>46113</v>
      </c>
      <c r="I48" s="4">
        <v>46477</v>
      </c>
      <c r="J48" s="3" t="s">
        <v>469</v>
      </c>
      <c r="K48" s="3" t="str">
        <f t="shared" si="0"/>
        <v>Prj000290-Support - Asset Management Applications</v>
      </c>
      <c r="L48" s="21" t="s">
        <v>301</v>
      </c>
      <c r="M48" s="21" t="s">
        <v>16</v>
      </c>
      <c r="N48" s="21" t="s">
        <v>16</v>
      </c>
      <c r="O48" s="21" t="s">
        <v>470</v>
      </c>
      <c r="P48" s="21" t="s">
        <v>302</v>
      </c>
      <c r="Q48" s="21" t="s">
        <v>303</v>
      </c>
      <c r="R48" s="21" t="s">
        <v>303</v>
      </c>
      <c r="S48" s="21" t="s">
        <v>333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SUM(Financials202632[[#This Row],[2026 Opportunity]:[2026 Risk]])</f>
        <v>-6029.2125000000233</v>
      </c>
      <c r="AA48" s="3" t="s">
        <v>471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SUM(Financials202632[[#This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SUM(Financials202632[[#This Row],[Jan AC]:[Dec AC]])</f>
        <v>0</v>
      </c>
      <c r="BC48" s="71">
        <f>Financials202632[[#This Row],[Jan AC]]-Financials202632[[#This Row],[Jan FC]]</f>
        <v>0</v>
      </c>
      <c r="BD48" s="71">
        <f>Financials202632[[#This Row],[Feb AC]]-Financials202632[[#This Row],[Feb FC]]</f>
        <v>0</v>
      </c>
      <c r="BE48" s="71">
        <f>Financials202632[[#This Row],[Mar AC]]-Financials202632[[#This Row],[Mar FC]]</f>
        <v>0</v>
      </c>
      <c r="BF48" s="71">
        <f>Financials202632[[#This Row],[Apr AC]]-Financials202632[[#This Row],[Apr FC]]</f>
        <v>-232868.65</v>
      </c>
      <c r="BG48" s="71">
        <f>Financials202632[[#This Row],[May AC]]-Financials202632[[#This Row],[May FC]]</f>
        <v>0</v>
      </c>
      <c r="BH48" s="71">
        <f>Financials202632[[#This Row],[Jun AC]]-Financials202632[[#This Row],[Jun FC]]</f>
        <v>0</v>
      </c>
      <c r="BI48" s="71">
        <f>Financials202632[[#This Row],[Jul AC]]-Financials202632[[#This Row],[Jul FC]]</f>
        <v>0</v>
      </c>
      <c r="BJ48" s="71">
        <f>Financials202632[[#This Row],[Aug AC]]-Financials202632[[#This Row],[Aug FC]]</f>
        <v>0</v>
      </c>
      <c r="BK48" s="71">
        <f>Financials202632[[#This Row],[Sep AC]]-Financials202632[[#This Row],[Sep FC]]</f>
        <v>0</v>
      </c>
      <c r="BL48" s="71">
        <f>Financials202632[[#This Row],[Oct AC]]-Financials202632[[#This Row],[Oct FC]]</f>
        <v>0</v>
      </c>
      <c r="BM48" s="71">
        <f>Financials202632[[#This Row],[Nov AC]]-Financials202632[[#This Row],[Nov FC]]</f>
        <v>0</v>
      </c>
      <c r="BN48" s="71">
        <f>Financials202632[[#This Row],[Dec AC]]-Financials202632[[#This Row],[Dec FC]]</f>
        <v>0</v>
      </c>
      <c r="BO48" s="71">
        <f>SUM(Financials202632[[#This Row],[Jan Opp/Risk]:[Dec Opp./Risk]])</f>
        <v>-232868.65</v>
      </c>
      <c r="BP48" s="88" t="s">
        <v>472</v>
      </c>
      <c r="BQ48" s="47">
        <f>SUM(Financials202632[[#This Row],[Jan AC]:[May AC]])</f>
        <v>0</v>
      </c>
      <c r="BR48" s="6">
        <f>Financials202632[[#This Row],[2026 (Actuals + Forecast)]]-Financials202632[[#This Row],[Jan-May Actuals]]-Financials202632[[#This Row],[Jun-Dec FC]]</f>
        <v>232868.65</v>
      </c>
      <c r="BS48" s="6">
        <f>Financials202632[[#This Row],[Jun-Dec FC]]+Financials202632[[#This Row],[Jan-May Forecast ]]</f>
        <v>232868.65</v>
      </c>
      <c r="BT48" s="6">
        <f>SUM(Financials202632[[#This Row],[Jan FC]:[May FC]])</f>
        <v>232868.65</v>
      </c>
      <c r="BU48" s="6">
        <f>Financials202632[[#This Row],[Jan-May Actuals]]+Financials202632[[#This Row],[Forecast Jun-Dec]]</f>
        <v>232868.65</v>
      </c>
      <c r="BV48" s="6"/>
      <c r="BW48" s="6" t="s">
        <v>16</v>
      </c>
      <c r="BX48" s="6" t="s">
        <v>306</v>
      </c>
    </row>
    <row r="49" spans="1:76" x14ac:dyDescent="0.3">
      <c r="A49" s="22" t="s">
        <v>295</v>
      </c>
      <c r="B49" s="21" t="s">
        <v>181</v>
      </c>
      <c r="C49" s="21" t="s">
        <v>473</v>
      </c>
      <c r="D49" s="10" t="s">
        <v>320</v>
      </c>
      <c r="E49" s="7" t="s">
        <v>321</v>
      </c>
      <c r="F49" s="3" t="s">
        <v>322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301</v>
      </c>
      <c r="M49" s="21" t="s">
        <v>16</v>
      </c>
      <c r="N49" s="21" t="s">
        <v>16</v>
      </c>
      <c r="O49" s="21"/>
      <c r="P49" s="21" t="s">
        <v>302</v>
      </c>
      <c r="Q49" s="21" t="s">
        <v>303</v>
      </c>
      <c r="R49" s="21" t="s">
        <v>303</v>
      </c>
      <c r="S49" s="21" t="s">
        <v>333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SUM(Financials202632[[#This Row],[2026 Opportunity]:[2026 Risk]])</f>
        <v>-600</v>
      </c>
      <c r="AA49" s="3" t="s">
        <v>355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SUM(Financials202632[[#This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SUM(Financials202632[[#This Row],[Jan AC]:[Dec AC]])</f>
        <v>12000</v>
      </c>
      <c r="BC49" s="71">
        <f>Financials202632[[#This Row],[Jan AC]]-Financials202632[[#This Row],[Jan FC]]</f>
        <v>0</v>
      </c>
      <c r="BD49" s="71">
        <f>Financials202632[[#This Row],[Feb AC]]-Financials202632[[#This Row],[Feb FC]]</f>
        <v>-600</v>
      </c>
      <c r="BE49" s="71">
        <f>Financials202632[[#This Row],[Mar AC]]-Financials202632[[#This Row],[Mar FC]]</f>
        <v>0</v>
      </c>
      <c r="BF49" s="71">
        <f>Financials202632[[#This Row],[Apr AC]]-Financials202632[[#This Row],[Apr FC]]</f>
        <v>0</v>
      </c>
      <c r="BG49" s="71">
        <f>Financials202632[[#This Row],[May AC]]-Financials202632[[#This Row],[May FC]]</f>
        <v>0</v>
      </c>
      <c r="BH49" s="71">
        <f>Financials202632[[#This Row],[Jun AC]]-Financials202632[[#This Row],[Jun FC]]</f>
        <v>0</v>
      </c>
      <c r="BI49" s="71">
        <f>Financials202632[[#This Row],[Jul AC]]-Financials202632[[#This Row],[Jul FC]]</f>
        <v>0</v>
      </c>
      <c r="BJ49" s="71">
        <f>Financials202632[[#This Row],[Aug AC]]-Financials202632[[#This Row],[Aug FC]]</f>
        <v>0</v>
      </c>
      <c r="BK49" s="71">
        <f>Financials202632[[#This Row],[Sep AC]]-Financials202632[[#This Row],[Sep FC]]</f>
        <v>0</v>
      </c>
      <c r="BL49" s="71">
        <f>Financials202632[[#This Row],[Oct AC]]-Financials202632[[#This Row],[Oct FC]]</f>
        <v>0</v>
      </c>
      <c r="BM49" s="71">
        <f>Financials202632[[#This Row],[Nov AC]]-Financials202632[[#This Row],[Nov FC]]</f>
        <v>0</v>
      </c>
      <c r="BN49" s="71">
        <f>Financials202632[[#This Row],[Dec AC]]-Financials202632[[#This Row],[Dec FC]]</f>
        <v>0</v>
      </c>
      <c r="BO49" s="71">
        <f>SUM(Financials202632[[#This Row],[Jan Opp/Risk]:[Dec Opp./Risk]])</f>
        <v>-600</v>
      </c>
      <c r="BP49" s="87" t="s">
        <v>356</v>
      </c>
      <c r="BQ49" s="47">
        <f>SUM(Financials202632[[#This Row],[Jan AC]:[May AC]])</f>
        <v>12000</v>
      </c>
      <c r="BR49" s="6">
        <f>Financials202632[[#This Row],[2026 (Actuals + Forecast)]]-Financials202632[[#This Row],[Jan-May Actuals]]-Financials202632[[#This Row],[Jun-Dec FC]]</f>
        <v>0</v>
      </c>
      <c r="BS49" s="6">
        <f>Financials202632[[#This Row],[Jun-Dec FC]]+Financials202632[[#This Row],[Jan-May Forecast ]]</f>
        <v>0</v>
      </c>
      <c r="BT49" s="6">
        <f>SUM(Financials202632[[#This Row],[Jan FC]:[May FC]])</f>
        <v>12600</v>
      </c>
      <c r="BU49" s="6">
        <f>Financials202632[[#This Row],[Jan-May Actuals]]+Financials202632[[#This Row],[Forecast Jun-Dec]]</f>
        <v>12000</v>
      </c>
      <c r="BV49" s="6"/>
      <c r="BW49" s="6" t="s">
        <v>16</v>
      </c>
      <c r="BX49" s="6" t="s">
        <v>306</v>
      </c>
    </row>
    <row r="50" spans="1:76" x14ac:dyDescent="0.3">
      <c r="A50" s="22" t="s">
        <v>295</v>
      </c>
      <c r="B50" s="21" t="s">
        <v>208</v>
      </c>
      <c r="C50" s="21" t="s">
        <v>474</v>
      </c>
      <c r="D50" s="10" t="s">
        <v>435</v>
      </c>
      <c r="E50" s="7" t="s">
        <v>436</v>
      </c>
      <c r="F50" s="3" t="s">
        <v>311</v>
      </c>
      <c r="G50" s="3" t="s">
        <v>25</v>
      </c>
      <c r="H50" s="4">
        <v>45857</v>
      </c>
      <c r="I50" s="4">
        <v>46221</v>
      </c>
      <c r="J50" s="3" t="s">
        <v>475</v>
      </c>
      <c r="K50" s="3" t="str">
        <f t="shared" si="0"/>
        <v>Prj000446-Implement - Minor Enhancements for Enterprise Apps</v>
      </c>
      <c r="L50" s="21" t="s">
        <v>301</v>
      </c>
      <c r="M50" s="21" t="s">
        <v>16</v>
      </c>
      <c r="N50" s="21" t="s">
        <v>16</v>
      </c>
      <c r="O50" s="21"/>
      <c r="P50" s="21" t="s">
        <v>302</v>
      </c>
      <c r="Q50" s="21" t="s">
        <v>303</v>
      </c>
      <c r="R50" s="21" t="s">
        <v>303</v>
      </c>
      <c r="S50" s="21" t="s">
        <v>333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SUM(Financials202632[[#This Row],[2026 Opportunity]:[2026 Risk]])</f>
        <v>0</v>
      </c>
      <c r="AA50" s="3" t="s">
        <v>476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SUM(Financials202632[[#This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SUM(Financials202632[[#This Row],[Jan AC]:[Dec AC]])</f>
        <v>0</v>
      </c>
      <c r="BC50" s="71">
        <f>Financials202632[[#This Row],[Jan AC]]-Financials202632[[#This Row],[Jan FC]]</f>
        <v>0</v>
      </c>
      <c r="BD50" s="71">
        <f>Financials202632[[#This Row],[Feb AC]]-Financials202632[[#This Row],[Feb FC]]</f>
        <v>0</v>
      </c>
      <c r="BE50" s="71">
        <f>Financials202632[[#This Row],[Mar AC]]-Financials202632[[#This Row],[Mar FC]]</f>
        <v>0</v>
      </c>
      <c r="BF50" s="71">
        <f>Financials202632[[#This Row],[Apr AC]]-Financials202632[[#This Row],[Apr FC]]</f>
        <v>0</v>
      </c>
      <c r="BG50" s="71">
        <f>Financials202632[[#This Row],[May AC]]-Financials202632[[#This Row],[May FC]]</f>
        <v>0</v>
      </c>
      <c r="BH50" s="71">
        <f>Financials202632[[#This Row],[Jun AC]]-Financials202632[[#This Row],[Jun FC]]</f>
        <v>0</v>
      </c>
      <c r="BI50" s="71">
        <f>Financials202632[[#This Row],[Jul AC]]-Financials202632[[#This Row],[Jul FC]]</f>
        <v>0</v>
      </c>
      <c r="BJ50" s="71">
        <f>Financials202632[[#This Row],[Aug AC]]-Financials202632[[#This Row],[Aug FC]]</f>
        <v>-90000</v>
      </c>
      <c r="BK50" s="71">
        <f>Financials202632[[#This Row],[Sep AC]]-Financials202632[[#This Row],[Sep FC]]</f>
        <v>0</v>
      </c>
      <c r="BL50" s="71">
        <f>Financials202632[[#This Row],[Oct AC]]-Financials202632[[#This Row],[Oct FC]]</f>
        <v>0</v>
      </c>
      <c r="BM50" s="71">
        <f>Financials202632[[#This Row],[Nov AC]]-Financials202632[[#This Row],[Nov FC]]</f>
        <v>0</v>
      </c>
      <c r="BN50" s="71">
        <f>Financials202632[[#This Row],[Dec AC]]-Financials202632[[#This Row],[Dec FC]]</f>
        <v>0</v>
      </c>
      <c r="BO50" s="71">
        <f>SUM(Financials202632[[#This Row],[Jan Opp/Risk]:[Dec Opp./Risk]])</f>
        <v>-90000</v>
      </c>
      <c r="BP50" s="87"/>
      <c r="BQ50" s="47">
        <f>SUM(Financials202632[[#This Row],[Jan AC]:[May AC]])</f>
        <v>0</v>
      </c>
      <c r="BR50" s="6">
        <f>Financials202632[[#This Row],[2026 (Actuals + Forecast)]]-Financials202632[[#This Row],[Jan-May Actuals]]-Financials202632[[#This Row],[Jun-Dec FC]]</f>
        <v>0</v>
      </c>
      <c r="BS50" s="6">
        <f>Financials202632[[#This Row],[Jun-Dec FC]]+Financials202632[[#This Row],[Jan-May Forecast ]]</f>
        <v>90000</v>
      </c>
      <c r="BT50" s="6">
        <f>SUM(Financials202632[[#This Row],[Jan FC]:[May FC]])</f>
        <v>0</v>
      </c>
      <c r="BU50" s="6">
        <f>Financials202632[[#This Row],[Jan-May Actuals]]+Financials202632[[#This Row],[Forecast Jun-Dec]]</f>
        <v>90000</v>
      </c>
      <c r="BV50" s="6"/>
      <c r="BW50" s="6" t="s">
        <v>16</v>
      </c>
      <c r="BX50" s="6" t="s">
        <v>306</v>
      </c>
    </row>
    <row r="51" spans="1:76" x14ac:dyDescent="0.3">
      <c r="A51" s="22" t="s">
        <v>295</v>
      </c>
      <c r="B51" s="21" t="s">
        <v>43</v>
      </c>
      <c r="C51" s="21" t="s">
        <v>424</v>
      </c>
      <c r="D51" s="10" t="s">
        <v>320</v>
      </c>
      <c r="E51" s="7" t="s">
        <v>321</v>
      </c>
      <c r="F51" s="3" t="s">
        <v>322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301</v>
      </c>
      <c r="M51" s="21" t="s">
        <v>16</v>
      </c>
      <c r="N51" s="21" t="s">
        <v>16</v>
      </c>
      <c r="O51" s="21" t="s">
        <v>16</v>
      </c>
      <c r="P51" s="21" t="s">
        <v>302</v>
      </c>
      <c r="Q51" s="21" t="s">
        <v>303</v>
      </c>
      <c r="R51" s="21" t="s">
        <v>303</v>
      </c>
      <c r="S51" s="21" t="s">
        <v>333</v>
      </c>
      <c r="T51" s="5">
        <v>80119</v>
      </c>
      <c r="U51" s="15">
        <v>96543</v>
      </c>
      <c r="V51" s="15">
        <f>96543+3644+1104</f>
        <v>101291</v>
      </c>
      <c r="W51" s="15">
        <f t="shared" si="1"/>
        <v>101291</v>
      </c>
      <c r="X51" s="15">
        <f t="shared" si="7"/>
        <v>0</v>
      </c>
      <c r="Y51" s="15">
        <f t="shared" si="2"/>
        <v>0</v>
      </c>
      <c r="Z51" s="15">
        <f>SUM(Financials202632[[#This Row],[2026 Opportunity]:[2026 Risk]])</f>
        <v>0</v>
      </c>
      <c r="AA51" s="3" t="s">
        <v>477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SUM(Financials202632[[#This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SUM(Financials202632[[#This Row],[Jan AC]:[Dec AC]])</f>
        <v>101291</v>
      </c>
      <c r="BC51" s="71">
        <f>Financials202632[[#This Row],[Jan AC]]-Financials202632[[#This Row],[Jan FC]]</f>
        <v>0</v>
      </c>
      <c r="BD51" s="71">
        <f>Financials202632[[#This Row],[Feb AC]]-Financials202632[[#This Row],[Feb FC]]</f>
        <v>0</v>
      </c>
      <c r="BE51" s="71">
        <f>Financials202632[[#This Row],[Mar AC]]-Financials202632[[#This Row],[Mar FC]]</f>
        <v>0</v>
      </c>
      <c r="BF51" s="71">
        <f>Financials202632[[#This Row],[Apr AC]]-Financials202632[[#This Row],[Apr FC]]</f>
        <v>0</v>
      </c>
      <c r="BG51" s="71">
        <f>Financials202632[[#This Row],[May AC]]-Financials202632[[#This Row],[May FC]]</f>
        <v>4748</v>
      </c>
      <c r="BH51" s="71">
        <f>Financials202632[[#This Row],[Jun AC]]-Financials202632[[#This Row],[Jun FC]]</f>
        <v>0</v>
      </c>
      <c r="BI51" s="71">
        <f>Financials202632[[#This Row],[Jul AC]]-Financials202632[[#This Row],[Jul FC]]</f>
        <v>0</v>
      </c>
      <c r="BJ51" s="71">
        <f>Financials202632[[#This Row],[Aug AC]]-Financials202632[[#This Row],[Aug FC]]</f>
        <v>0</v>
      </c>
      <c r="BK51" s="71">
        <f>Financials202632[[#This Row],[Sep AC]]-Financials202632[[#This Row],[Sep FC]]</f>
        <v>0</v>
      </c>
      <c r="BL51" s="71">
        <f>Financials202632[[#This Row],[Oct AC]]-Financials202632[[#This Row],[Oct FC]]</f>
        <v>0</v>
      </c>
      <c r="BM51" s="71">
        <f>Financials202632[[#This Row],[Nov AC]]-Financials202632[[#This Row],[Nov FC]]</f>
        <v>0</v>
      </c>
      <c r="BN51" s="71">
        <f>Financials202632[[#This Row],[Dec AC]]-Financials202632[[#This Row],[Dec FC]]</f>
        <v>0</v>
      </c>
      <c r="BO51" s="71">
        <f>SUM(Financials202632[[#This Row],[Jan Opp/Risk]:[Dec Opp./Risk]])</f>
        <v>4748</v>
      </c>
      <c r="BP51" s="90" t="s">
        <v>478</v>
      </c>
      <c r="BQ51" s="47">
        <f>SUM(Financials202632[[#This Row],[Jan AC]:[May AC]])</f>
        <v>101291</v>
      </c>
      <c r="BR51" s="6">
        <f>Financials202632[[#This Row],[2026 (Actuals + Forecast)]]-Financials202632[[#This Row],[Jan-May Actuals]]-Financials202632[[#This Row],[Jun-Dec FC]]</f>
        <v>0</v>
      </c>
      <c r="BS51" s="6">
        <f>Financials202632[[#This Row],[Jun-Dec FC]]+Financials202632[[#This Row],[Jan-May Forecast ]]</f>
        <v>0</v>
      </c>
      <c r="BT51" s="6">
        <f>SUM(Financials202632[[#This Row],[Jan FC]:[May FC]])</f>
        <v>96543</v>
      </c>
      <c r="BU51" s="6">
        <f>Financials202632[[#This Row],[Jan-May Actuals]]+Financials202632[[#This Row],[Forecast Jun-Dec]]</f>
        <v>101291</v>
      </c>
      <c r="BV51" s="6"/>
      <c r="BW51" s="6" t="s">
        <v>16</v>
      </c>
      <c r="BX51" s="6" t="s">
        <v>306</v>
      </c>
    </row>
    <row r="52" spans="1:76" x14ac:dyDescent="0.3">
      <c r="A52" s="22" t="s">
        <v>295</v>
      </c>
      <c r="B52" s="21" t="s">
        <v>43</v>
      </c>
      <c r="C52" s="21" t="s">
        <v>424</v>
      </c>
      <c r="D52" s="10" t="s">
        <v>320</v>
      </c>
      <c r="E52" s="7" t="s">
        <v>321</v>
      </c>
      <c r="F52" s="3" t="s">
        <v>322</v>
      </c>
      <c r="G52" s="3" t="s">
        <v>22</v>
      </c>
      <c r="H52" s="4">
        <v>45640</v>
      </c>
      <c r="I52" s="4">
        <v>46004</v>
      </c>
      <c r="J52" s="3" t="s">
        <v>479</v>
      </c>
      <c r="K52" s="3" t="str">
        <f t="shared" si="0"/>
        <v>Prj000344-Support - Prod support for Finance Applications</v>
      </c>
      <c r="L52" s="21" t="s">
        <v>301</v>
      </c>
      <c r="M52" s="21" t="s">
        <v>16</v>
      </c>
      <c r="N52" s="21" t="s">
        <v>16</v>
      </c>
      <c r="O52" s="21" t="s">
        <v>16</v>
      </c>
      <c r="P52" s="21" t="s">
        <v>302</v>
      </c>
      <c r="Q52" s="21" t="s">
        <v>303</v>
      </c>
      <c r="R52" s="21" t="s">
        <v>303</v>
      </c>
      <c r="S52" s="21" t="s">
        <v>333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SUM(Financials202632[[#This Row],[2026 Opportunity]:[2026 Risk]])</f>
        <v>0</v>
      </c>
      <c r="AA52" s="3" t="s">
        <v>480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SUM(Financials202632[[#This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SUM(Financials202632[[#This Row],[Jan AC]:[Dec AC]])</f>
        <v>0</v>
      </c>
      <c r="BC52" s="71">
        <f>Financials202632[[#This Row],[Jan AC]]-Financials202632[[#This Row],[Jan FC]]</f>
        <v>0</v>
      </c>
      <c r="BD52" s="71">
        <f>Financials202632[[#This Row],[Feb AC]]-Financials202632[[#This Row],[Feb FC]]</f>
        <v>0</v>
      </c>
      <c r="BE52" s="71">
        <f>Financials202632[[#This Row],[Mar AC]]-Financials202632[[#This Row],[Mar FC]]</f>
        <v>0</v>
      </c>
      <c r="BF52" s="71">
        <f>Financials202632[[#This Row],[Apr AC]]-Financials202632[[#This Row],[Apr FC]]</f>
        <v>-14460</v>
      </c>
      <c r="BG52" s="71">
        <f>Financials202632[[#This Row],[May AC]]-Financials202632[[#This Row],[May FC]]</f>
        <v>0</v>
      </c>
      <c r="BH52" s="71">
        <f>Financials202632[[#This Row],[Jun AC]]-Financials202632[[#This Row],[Jun FC]]</f>
        <v>0</v>
      </c>
      <c r="BI52" s="71">
        <f>Financials202632[[#This Row],[Jul AC]]-Financials202632[[#This Row],[Jul FC]]</f>
        <v>0</v>
      </c>
      <c r="BJ52" s="71">
        <f>Financials202632[[#This Row],[Aug AC]]-Financials202632[[#This Row],[Aug FC]]</f>
        <v>0</v>
      </c>
      <c r="BK52" s="71">
        <f>Financials202632[[#This Row],[Sep AC]]-Financials202632[[#This Row],[Sep FC]]</f>
        <v>0</v>
      </c>
      <c r="BL52" s="71">
        <f>Financials202632[[#This Row],[Oct AC]]-Financials202632[[#This Row],[Oct FC]]</f>
        <v>0</v>
      </c>
      <c r="BM52" s="71">
        <f>Financials202632[[#This Row],[Nov AC]]-Financials202632[[#This Row],[Nov FC]]</f>
        <v>0</v>
      </c>
      <c r="BN52" s="71">
        <f>Financials202632[[#This Row],[Dec AC]]-Financials202632[[#This Row],[Dec FC]]</f>
        <v>0</v>
      </c>
      <c r="BO52" s="71">
        <f>SUM(Financials202632[[#This Row],[Jan Opp/Risk]:[Dec Opp./Risk]])</f>
        <v>-14460</v>
      </c>
      <c r="BP52" s="90"/>
      <c r="BQ52" s="47">
        <f>SUM(Financials202632[[#This Row],[Jan AC]:[May AC]])</f>
        <v>0</v>
      </c>
      <c r="BR52" s="6">
        <f>Financials202632[[#This Row],[2026 (Actuals + Forecast)]]-Financials202632[[#This Row],[Jan-May Actuals]]-Financials202632[[#This Row],[Jun-Dec FC]]</f>
        <v>14460</v>
      </c>
      <c r="BS52" s="6">
        <f>Financials202632[[#This Row],[Jun-Dec FC]]+Financials202632[[#This Row],[Jan-May Forecast ]]</f>
        <v>14460</v>
      </c>
      <c r="BT52" s="6">
        <f>SUM(Financials202632[[#This Row],[Jan FC]:[May FC]])</f>
        <v>14460</v>
      </c>
      <c r="BU52" s="6">
        <f>Financials202632[[#This Row],[Jan-May Actuals]]+Financials202632[[#This Row],[Forecast Jun-Dec]]</f>
        <v>14460</v>
      </c>
      <c r="BV52" s="6"/>
      <c r="BW52" s="6" t="s">
        <v>16</v>
      </c>
      <c r="BX52" s="6" t="s">
        <v>306</v>
      </c>
    </row>
    <row r="53" spans="1:76" x14ac:dyDescent="0.3">
      <c r="A53" s="22" t="s">
        <v>295</v>
      </c>
      <c r="B53" s="21" t="s">
        <v>43</v>
      </c>
      <c r="C53" s="21" t="s">
        <v>424</v>
      </c>
      <c r="D53" s="10" t="s">
        <v>425</v>
      </c>
      <c r="E53" s="7" t="s">
        <v>426</v>
      </c>
      <c r="F53" s="3" t="s">
        <v>427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301</v>
      </c>
      <c r="M53" s="21" t="s">
        <v>16</v>
      </c>
      <c r="N53" s="21" t="s">
        <v>16</v>
      </c>
      <c r="O53" s="21" t="s">
        <v>16</v>
      </c>
      <c r="P53" s="21" t="s">
        <v>302</v>
      </c>
      <c r="Q53" s="21" t="s">
        <v>303</v>
      </c>
      <c r="R53" s="21" t="s">
        <v>303</v>
      </c>
      <c r="S53" s="21" t="s">
        <v>333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SUM(Financials202632[[#This Row],[2026 Opportunity]:[2026 Risk]])</f>
        <v>0</v>
      </c>
      <c r="AA53" s="3" t="s">
        <v>481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SUM(Financials202632[[#This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SUM(Financials202632[[#This Row],[Jan AC]:[Dec AC]])</f>
        <v>0</v>
      </c>
      <c r="BC53" s="71">
        <f>Financials202632[[#This Row],[Jan AC]]-Financials202632[[#This Row],[Jan FC]]</f>
        <v>0</v>
      </c>
      <c r="BD53" s="71">
        <f>Financials202632[[#This Row],[Feb AC]]-Financials202632[[#This Row],[Feb FC]]</f>
        <v>0</v>
      </c>
      <c r="BE53" s="71">
        <f>Financials202632[[#This Row],[Mar AC]]-Financials202632[[#This Row],[Mar FC]]</f>
        <v>0</v>
      </c>
      <c r="BF53" s="71">
        <f>Financials202632[[#This Row],[Apr AC]]-Financials202632[[#This Row],[Apr FC]]</f>
        <v>0</v>
      </c>
      <c r="BG53" s="71">
        <f>Financials202632[[#This Row],[May AC]]-Financials202632[[#This Row],[May FC]]</f>
        <v>0</v>
      </c>
      <c r="BH53" s="71">
        <f>Financials202632[[#This Row],[Jun AC]]-Financials202632[[#This Row],[Jun FC]]</f>
        <v>0</v>
      </c>
      <c r="BI53" s="71">
        <f>Financials202632[[#This Row],[Jul AC]]-Financials202632[[#This Row],[Jul FC]]</f>
        <v>0</v>
      </c>
      <c r="BJ53" s="71">
        <f>Financials202632[[#This Row],[Aug AC]]-Financials202632[[#This Row],[Aug FC]]</f>
        <v>0</v>
      </c>
      <c r="BK53" s="71">
        <f>Financials202632[[#This Row],[Sep AC]]-Financials202632[[#This Row],[Sep FC]]</f>
        <v>0</v>
      </c>
      <c r="BL53" s="71">
        <f>Financials202632[[#This Row],[Oct AC]]-Financials202632[[#This Row],[Oct FC]]</f>
        <v>0</v>
      </c>
      <c r="BM53" s="71">
        <f>Financials202632[[#This Row],[Nov AC]]-Financials202632[[#This Row],[Nov FC]]</f>
        <v>-59783.0625</v>
      </c>
      <c r="BN53" s="71">
        <f>Financials202632[[#This Row],[Dec AC]]-Financials202632[[#This Row],[Dec FC]]</f>
        <v>0</v>
      </c>
      <c r="BO53" s="71">
        <f>SUM(Financials202632[[#This Row],[Jan Opp/Risk]:[Dec Opp./Risk]])</f>
        <v>-59783.0625</v>
      </c>
      <c r="BP53" s="90"/>
      <c r="BQ53" s="47">
        <f>SUM(Financials202632[[#This Row],[Jan AC]:[May AC]])</f>
        <v>0</v>
      </c>
      <c r="BR53" s="6">
        <f>Financials202632[[#This Row],[2026 (Actuals + Forecast)]]-Financials202632[[#This Row],[Jan-May Actuals]]-Financials202632[[#This Row],[Jun-Dec FC]]</f>
        <v>0</v>
      </c>
      <c r="BS53" s="6">
        <f>Financials202632[[#This Row],[Jun-Dec FC]]+Financials202632[[#This Row],[Jan-May Forecast ]]</f>
        <v>59783.0625</v>
      </c>
      <c r="BT53" s="6">
        <f>SUM(Financials202632[[#This Row],[Jan FC]:[May FC]])</f>
        <v>0</v>
      </c>
      <c r="BU53" s="6">
        <f>Financials202632[[#This Row],[Jan-May Actuals]]+Financials202632[[#This Row],[Forecast Jun-Dec]]</f>
        <v>59783.0625</v>
      </c>
      <c r="BV53" s="6"/>
      <c r="BW53" s="6" t="s">
        <v>16</v>
      </c>
      <c r="BX53" s="6" t="s">
        <v>306</v>
      </c>
    </row>
    <row r="54" spans="1:76" x14ac:dyDescent="0.3">
      <c r="A54" s="22" t="s">
        <v>295</v>
      </c>
      <c r="B54" s="21" t="s">
        <v>192</v>
      </c>
      <c r="C54" s="21" t="s">
        <v>482</v>
      </c>
      <c r="D54" s="10" t="s">
        <v>483</v>
      </c>
      <c r="E54" s="7" t="s">
        <v>484</v>
      </c>
      <c r="F54" s="3" t="s">
        <v>373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301</v>
      </c>
      <c r="M54" s="21" t="s">
        <v>16</v>
      </c>
      <c r="N54" s="21" t="s">
        <v>16</v>
      </c>
      <c r="O54" s="21"/>
      <c r="P54" s="21" t="s">
        <v>302</v>
      </c>
      <c r="Q54" s="21" t="s">
        <v>303</v>
      </c>
      <c r="R54" s="21" t="s">
        <v>303</v>
      </c>
      <c r="S54" s="21" t="s">
        <v>333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SUM(Financials202632[[#This Row],[2026 Opportunity]:[2026 Risk]])</f>
        <v>0</v>
      </c>
      <c r="AA54" s="3" t="s">
        <v>355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SUM(Financials202632[[#This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SUM(Financials202632[[#This Row],[Jan AC]:[Dec AC]])</f>
        <v>1260</v>
      </c>
      <c r="BC54" s="71">
        <f>Financials202632[[#This Row],[Jan AC]]-Financials202632[[#This Row],[Jan FC]]</f>
        <v>0</v>
      </c>
      <c r="BD54" s="71">
        <f>Financials202632[[#This Row],[Feb AC]]-Financials202632[[#This Row],[Feb FC]]</f>
        <v>0</v>
      </c>
      <c r="BE54" s="71">
        <f>Financials202632[[#This Row],[Mar AC]]-Financials202632[[#This Row],[Mar FC]]</f>
        <v>0</v>
      </c>
      <c r="BF54" s="71">
        <f>Financials202632[[#This Row],[Apr AC]]-Financials202632[[#This Row],[Apr FC]]</f>
        <v>0</v>
      </c>
      <c r="BG54" s="71">
        <f>Financials202632[[#This Row],[May AC]]-Financials202632[[#This Row],[May FC]]</f>
        <v>0</v>
      </c>
      <c r="BH54" s="71">
        <f>Financials202632[[#This Row],[Jun AC]]-Financials202632[[#This Row],[Jun FC]]</f>
        <v>0</v>
      </c>
      <c r="BI54" s="71">
        <f>Financials202632[[#This Row],[Jul AC]]-Financials202632[[#This Row],[Jul FC]]</f>
        <v>0</v>
      </c>
      <c r="BJ54" s="71">
        <f>Financials202632[[#This Row],[Aug AC]]-Financials202632[[#This Row],[Aug FC]]</f>
        <v>0</v>
      </c>
      <c r="BK54" s="71">
        <f>Financials202632[[#This Row],[Sep AC]]-Financials202632[[#This Row],[Sep FC]]</f>
        <v>0</v>
      </c>
      <c r="BL54" s="71">
        <f>Financials202632[[#This Row],[Oct AC]]-Financials202632[[#This Row],[Oct FC]]</f>
        <v>0</v>
      </c>
      <c r="BM54" s="71">
        <f>Financials202632[[#This Row],[Nov AC]]-Financials202632[[#This Row],[Nov FC]]</f>
        <v>0</v>
      </c>
      <c r="BN54" s="71">
        <f>Financials202632[[#This Row],[Dec AC]]-Financials202632[[#This Row],[Dec FC]]</f>
        <v>0</v>
      </c>
      <c r="BO54" s="71">
        <f>SUM(Financials202632[[#This Row],[Jan Opp/Risk]:[Dec Opp./Risk]])</f>
        <v>0</v>
      </c>
      <c r="BP54" s="87"/>
      <c r="BQ54" s="47">
        <f>SUM(Financials202632[[#This Row],[Jan AC]:[May AC]])</f>
        <v>1260</v>
      </c>
      <c r="BR54" s="6">
        <f>Financials202632[[#This Row],[2026 (Actuals + Forecast)]]-Financials202632[[#This Row],[Jan-May Actuals]]-Financials202632[[#This Row],[Jun-Dec FC]]</f>
        <v>0</v>
      </c>
      <c r="BS54" s="6">
        <f>Financials202632[[#This Row],[Jun-Dec FC]]+Financials202632[[#This Row],[Jan-May Forecast ]]</f>
        <v>0</v>
      </c>
      <c r="BT54" s="6">
        <f>SUM(Financials202632[[#This Row],[Jan FC]:[May FC]])</f>
        <v>1260</v>
      </c>
      <c r="BU54" s="6">
        <f>Financials202632[[#This Row],[Jan-May Actuals]]+Financials202632[[#This Row],[Forecast Jun-Dec]]</f>
        <v>1260</v>
      </c>
      <c r="BV54" s="6"/>
      <c r="BW54" s="6" t="s">
        <v>16</v>
      </c>
      <c r="BX54" s="6" t="s">
        <v>306</v>
      </c>
    </row>
    <row r="55" spans="1:76" x14ac:dyDescent="0.3">
      <c r="A55" s="22" t="s">
        <v>295</v>
      </c>
      <c r="B55" s="21" t="s">
        <v>164</v>
      </c>
      <c r="C55" s="21" t="s">
        <v>485</v>
      </c>
      <c r="D55" s="10" t="s">
        <v>486</v>
      </c>
      <c r="E55" s="7" t="s">
        <v>487</v>
      </c>
      <c r="F55" s="3" t="s">
        <v>299</v>
      </c>
      <c r="G55" s="3" t="s">
        <v>21</v>
      </c>
      <c r="H55" s="4">
        <v>45912</v>
      </c>
      <c r="I55" s="4">
        <v>46174</v>
      </c>
      <c r="J55" s="3" t="s">
        <v>488</v>
      </c>
      <c r="K55" s="3" t="str">
        <f t="shared" si="0"/>
        <v>Prj000410-Support - Tech Enablement 2026</v>
      </c>
      <c r="L55" s="21" t="s">
        <v>301</v>
      </c>
      <c r="M55" s="21" t="s">
        <v>16</v>
      </c>
      <c r="N55" s="21" t="s">
        <v>16</v>
      </c>
      <c r="O55" s="21"/>
      <c r="P55" s="21" t="s">
        <v>302</v>
      </c>
      <c r="Q55" s="21" t="s">
        <v>303</v>
      </c>
      <c r="R55" s="21" t="s">
        <v>303</v>
      </c>
      <c r="S55" s="21" t="s">
        <v>333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SUM(Financials202632[[#This Row],[2026 Opportunity]:[2026 Risk]])</f>
        <v>0.24099999999998545</v>
      </c>
      <c r="AA55" s="3" t="s">
        <v>489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SUM(Financials202632[[#This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SUM(Financials202632[[#This Row],[Jan AC]:[Dec AC]])</f>
        <v>0</v>
      </c>
      <c r="BC55" s="71">
        <f>Financials202632[[#This Row],[Jan AC]]-Financials202632[[#This Row],[Jan FC]]</f>
        <v>0</v>
      </c>
      <c r="BD55" s="71">
        <f>Financials202632[[#This Row],[Feb AC]]-Financials202632[[#This Row],[Feb FC]]</f>
        <v>0</v>
      </c>
      <c r="BE55" s="71">
        <f>Financials202632[[#This Row],[Mar AC]]-Financials202632[[#This Row],[Mar FC]]</f>
        <v>0</v>
      </c>
      <c r="BF55" s="71">
        <f>Financials202632[[#This Row],[Apr AC]]-Financials202632[[#This Row],[Apr FC]]</f>
        <v>0</v>
      </c>
      <c r="BG55" s="71">
        <f>Financials202632[[#This Row],[May AC]]-Financials202632[[#This Row],[May FC]]</f>
        <v>0</v>
      </c>
      <c r="BH55" s="71">
        <f>Financials202632[[#This Row],[Jun AC]]-Financials202632[[#This Row],[Jun FC]]</f>
        <v>0</v>
      </c>
      <c r="BI55" s="71">
        <f>Financials202632[[#This Row],[Jul AC]]-Financials202632[[#This Row],[Jul FC]]</f>
        <v>0</v>
      </c>
      <c r="BJ55" s="71">
        <f>Financials202632[[#This Row],[Aug AC]]-Financials202632[[#This Row],[Aug FC]]</f>
        <v>0</v>
      </c>
      <c r="BK55" s="71">
        <f>Financials202632[[#This Row],[Sep AC]]-Financials202632[[#This Row],[Sep FC]]</f>
        <v>-1726</v>
      </c>
      <c r="BL55" s="71">
        <f>Financials202632[[#This Row],[Oct AC]]-Financials202632[[#This Row],[Oct FC]]</f>
        <v>0</v>
      </c>
      <c r="BM55" s="71">
        <f>Financials202632[[#This Row],[Nov AC]]-Financials202632[[#This Row],[Nov FC]]</f>
        <v>0</v>
      </c>
      <c r="BN55" s="71">
        <f>Financials202632[[#This Row],[Dec AC]]-Financials202632[[#This Row],[Dec FC]]</f>
        <v>0</v>
      </c>
      <c r="BO55" s="71">
        <f>SUM(Financials202632[[#This Row],[Jan Opp/Risk]:[Dec Opp./Risk]])</f>
        <v>-1726</v>
      </c>
      <c r="BP55" s="87"/>
      <c r="BQ55" s="47">
        <f>SUM(Financials202632[[#This Row],[Jan AC]:[May AC]])</f>
        <v>0</v>
      </c>
      <c r="BR55" s="6">
        <f>Financials202632[[#This Row],[2026 (Actuals + Forecast)]]-Financials202632[[#This Row],[Jan-May Actuals]]-Financials202632[[#This Row],[Jun-Dec FC]]</f>
        <v>0</v>
      </c>
      <c r="BS55" s="6">
        <f>Financials202632[[#This Row],[Jun-Dec FC]]+Financials202632[[#This Row],[Jan-May Forecast ]]</f>
        <v>1726</v>
      </c>
      <c r="BT55" s="6">
        <f>SUM(Financials202632[[#This Row],[Jan FC]:[May FC]])</f>
        <v>0</v>
      </c>
      <c r="BU55" s="6">
        <f>Financials202632[[#This Row],[Jan-May Actuals]]+Financials202632[[#This Row],[Forecast Jun-Dec]]</f>
        <v>1726</v>
      </c>
      <c r="BV55" s="6"/>
      <c r="BW55" s="6" t="s">
        <v>16</v>
      </c>
      <c r="BX55" s="6" t="s">
        <v>306</v>
      </c>
    </row>
    <row r="56" spans="1:76" x14ac:dyDescent="0.3">
      <c r="A56" s="22" t="s">
        <v>295</v>
      </c>
      <c r="B56" s="21" t="s">
        <v>164</v>
      </c>
      <c r="C56" s="21" t="s">
        <v>485</v>
      </c>
      <c r="D56" s="10" t="s">
        <v>486</v>
      </c>
      <c r="E56" s="7" t="s">
        <v>487</v>
      </c>
      <c r="F56" s="3" t="s">
        <v>299</v>
      </c>
      <c r="G56" s="3" t="s">
        <v>21</v>
      </c>
      <c r="H56" s="4">
        <v>45809</v>
      </c>
      <c r="I56" s="4">
        <v>46175</v>
      </c>
      <c r="J56" s="3" t="s">
        <v>488</v>
      </c>
      <c r="K56" s="3" t="str">
        <f t="shared" si="0"/>
        <v>Prj000410-Support - Tech Enablement 2026</v>
      </c>
      <c r="L56" s="21" t="s">
        <v>301</v>
      </c>
      <c r="M56" s="21" t="s">
        <v>16</v>
      </c>
      <c r="N56" s="21" t="s">
        <v>16</v>
      </c>
      <c r="O56" s="21"/>
      <c r="P56" s="21" t="s">
        <v>302</v>
      </c>
      <c r="Q56" s="21" t="s">
        <v>303</v>
      </c>
      <c r="R56" s="21" t="s">
        <v>303</v>
      </c>
      <c r="S56" s="21" t="s">
        <v>333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SUM(Financials202632[[#This Row],[2026 Opportunity]:[2026 Risk]])</f>
        <v>0.23049999999784632</v>
      </c>
      <c r="AA56" s="3" t="s">
        <v>490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SUM(Financials202632[[#This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SUM(Financials202632[[#This Row],[Jan AC]:[Dec AC]])</f>
        <v>0</v>
      </c>
      <c r="BC56" s="71">
        <f>Financials202632[[#This Row],[Jan AC]]-Financials202632[[#This Row],[Jan FC]]</f>
        <v>0</v>
      </c>
      <c r="BD56" s="71">
        <f>Financials202632[[#This Row],[Feb AC]]-Financials202632[[#This Row],[Feb FC]]</f>
        <v>0</v>
      </c>
      <c r="BE56" s="71">
        <f>Financials202632[[#This Row],[Mar AC]]-Financials202632[[#This Row],[Mar FC]]</f>
        <v>0</v>
      </c>
      <c r="BF56" s="71">
        <f>Financials202632[[#This Row],[Apr AC]]-Financials202632[[#This Row],[Apr FC]]</f>
        <v>0</v>
      </c>
      <c r="BG56" s="71">
        <f>Financials202632[[#This Row],[May AC]]-Financials202632[[#This Row],[May FC]]</f>
        <v>-26065</v>
      </c>
      <c r="BH56" s="71">
        <f>Financials202632[[#This Row],[Jun AC]]-Financials202632[[#This Row],[Jun FC]]</f>
        <v>0</v>
      </c>
      <c r="BI56" s="71">
        <f>Financials202632[[#This Row],[Jul AC]]-Financials202632[[#This Row],[Jul FC]]</f>
        <v>0</v>
      </c>
      <c r="BJ56" s="71">
        <f>Financials202632[[#This Row],[Aug AC]]-Financials202632[[#This Row],[Aug FC]]</f>
        <v>0</v>
      </c>
      <c r="BK56" s="71">
        <f>Financials202632[[#This Row],[Sep AC]]-Financials202632[[#This Row],[Sep FC]]</f>
        <v>0</v>
      </c>
      <c r="BL56" s="71">
        <f>Financials202632[[#This Row],[Oct AC]]-Financials202632[[#This Row],[Oct FC]]</f>
        <v>0</v>
      </c>
      <c r="BM56" s="71">
        <f>Financials202632[[#This Row],[Nov AC]]-Financials202632[[#This Row],[Nov FC]]</f>
        <v>0</v>
      </c>
      <c r="BN56" s="71">
        <f>Financials202632[[#This Row],[Dec AC]]-Financials202632[[#This Row],[Dec FC]]</f>
        <v>0</v>
      </c>
      <c r="BO56" s="71">
        <f>SUM(Financials202632[[#This Row],[Jan Opp/Risk]:[Dec Opp./Risk]])</f>
        <v>-26065</v>
      </c>
      <c r="BP56" s="87"/>
      <c r="BQ56" s="47">
        <f>SUM(Financials202632[[#This Row],[Jan AC]:[May AC]])</f>
        <v>0</v>
      </c>
      <c r="BR56" s="6">
        <f>Financials202632[[#This Row],[2026 (Actuals + Forecast)]]-Financials202632[[#This Row],[Jan-May Actuals]]-Financials202632[[#This Row],[Jun-Dec FC]]</f>
        <v>26065</v>
      </c>
      <c r="BS56" s="6">
        <f>Financials202632[[#This Row],[Jun-Dec FC]]+Financials202632[[#This Row],[Jan-May Forecast ]]</f>
        <v>26065</v>
      </c>
      <c r="BT56" s="6">
        <f>SUM(Financials202632[[#This Row],[Jan FC]:[May FC]])</f>
        <v>26065</v>
      </c>
      <c r="BU56" s="6">
        <f>Financials202632[[#This Row],[Jan-May Actuals]]+Financials202632[[#This Row],[Forecast Jun-Dec]]</f>
        <v>26065</v>
      </c>
      <c r="BV56" s="6"/>
      <c r="BW56" s="6" t="s">
        <v>16</v>
      </c>
      <c r="BX56" s="6" t="s">
        <v>306</v>
      </c>
    </row>
    <row r="57" spans="1:76" x14ac:dyDescent="0.3">
      <c r="A57" s="22" t="s">
        <v>295</v>
      </c>
      <c r="B57" s="21" t="s">
        <v>184</v>
      </c>
      <c r="C57" s="21" t="s">
        <v>491</v>
      </c>
      <c r="D57" s="10" t="s">
        <v>320</v>
      </c>
      <c r="E57" s="7" t="s">
        <v>321</v>
      </c>
      <c r="F57" s="3" t="s">
        <v>322</v>
      </c>
      <c r="G57" s="3" t="s">
        <v>22</v>
      </c>
      <c r="H57" s="4">
        <v>45770</v>
      </c>
      <c r="I57" s="4">
        <v>46135</v>
      </c>
      <c r="J57" s="3" t="s">
        <v>492</v>
      </c>
      <c r="K57" s="3" t="str">
        <f t="shared" si="0"/>
        <v>Prj000344-Support - Prod support for Finance Applications</v>
      </c>
      <c r="L57" s="21" t="s">
        <v>301</v>
      </c>
      <c r="M57" s="21" t="s">
        <v>16</v>
      </c>
      <c r="N57" s="21" t="s">
        <v>16</v>
      </c>
      <c r="O57" s="21"/>
      <c r="P57" s="21" t="s">
        <v>302</v>
      </c>
      <c r="Q57" s="21" t="s">
        <v>303</v>
      </c>
      <c r="R57" s="21" t="s">
        <v>303</v>
      </c>
      <c r="S57" s="21" t="s">
        <v>333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SUM(Financials202632[[#This Row],[2026 Opportunity]:[2026 Risk]])</f>
        <v>358.04999999999995</v>
      </c>
      <c r="AA57" s="3" t="s">
        <v>355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SUM(Financials202632[[#This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SUM(Financials202632[[#This Row],[Jan AC]:[Dec AC]])</f>
        <v>1719.9</v>
      </c>
      <c r="BC57" s="71">
        <f>Financials202632[[#This Row],[Jan AC]]-Financials202632[[#This Row],[Jan FC]]</f>
        <v>0</v>
      </c>
      <c r="BD57" s="71">
        <f>Financials202632[[#This Row],[Feb AC]]-Financials202632[[#This Row],[Feb FC]]</f>
        <v>0</v>
      </c>
      <c r="BE57" s="71">
        <f>Financials202632[[#This Row],[Mar AC]]-Financials202632[[#This Row],[Mar FC]]</f>
        <v>0</v>
      </c>
      <c r="BF57" s="71">
        <f>Financials202632[[#This Row],[Apr AC]]-Financials202632[[#This Row],[Apr FC]]</f>
        <v>357.90000000000009</v>
      </c>
      <c r="BG57" s="71">
        <f>Financials202632[[#This Row],[May AC]]-Financials202632[[#This Row],[May FC]]</f>
        <v>0</v>
      </c>
      <c r="BH57" s="71">
        <f>Financials202632[[#This Row],[Jun AC]]-Financials202632[[#This Row],[Jun FC]]</f>
        <v>0</v>
      </c>
      <c r="BI57" s="71">
        <f>Financials202632[[#This Row],[Jul AC]]-Financials202632[[#This Row],[Jul FC]]</f>
        <v>0</v>
      </c>
      <c r="BJ57" s="71">
        <f>Financials202632[[#This Row],[Aug AC]]-Financials202632[[#This Row],[Aug FC]]</f>
        <v>0</v>
      </c>
      <c r="BK57" s="71">
        <f>Financials202632[[#This Row],[Sep AC]]-Financials202632[[#This Row],[Sep FC]]</f>
        <v>0</v>
      </c>
      <c r="BL57" s="71">
        <f>Financials202632[[#This Row],[Oct AC]]-Financials202632[[#This Row],[Oct FC]]</f>
        <v>0</v>
      </c>
      <c r="BM57" s="71">
        <f>Financials202632[[#This Row],[Nov AC]]-Financials202632[[#This Row],[Nov FC]]</f>
        <v>0</v>
      </c>
      <c r="BN57" s="71">
        <f>Financials202632[[#This Row],[Dec AC]]-Financials202632[[#This Row],[Dec FC]]</f>
        <v>0</v>
      </c>
      <c r="BO57" s="71">
        <f>SUM(Financials202632[[#This Row],[Jan Opp/Risk]:[Dec Opp./Risk]])</f>
        <v>357.90000000000009</v>
      </c>
      <c r="BP57" s="87" t="s">
        <v>356</v>
      </c>
      <c r="BQ57" s="47">
        <f>SUM(Financials202632[[#This Row],[Jan AC]:[May AC]])</f>
        <v>1719.9</v>
      </c>
      <c r="BR57" s="6">
        <f>Financials202632[[#This Row],[2026 (Actuals + Forecast)]]-Financials202632[[#This Row],[Jan-May Actuals]]-Financials202632[[#This Row],[Jun-Dec FC]]</f>
        <v>0</v>
      </c>
      <c r="BS57" s="6">
        <f>Financials202632[[#This Row],[Jun-Dec FC]]+Financials202632[[#This Row],[Jan-May Forecast ]]</f>
        <v>0</v>
      </c>
      <c r="BT57" s="6">
        <f>SUM(Financials202632[[#This Row],[Jan FC]:[May FC]])</f>
        <v>1362</v>
      </c>
      <c r="BU57" s="6">
        <f>Financials202632[[#This Row],[Jan-May Actuals]]+Financials202632[[#This Row],[Forecast Jun-Dec]]</f>
        <v>1719.9</v>
      </c>
      <c r="BV57" s="6"/>
      <c r="BW57" s="6" t="s">
        <v>16</v>
      </c>
      <c r="BX57" s="6" t="s">
        <v>306</v>
      </c>
    </row>
    <row r="58" spans="1:76" x14ac:dyDescent="0.3">
      <c r="A58" s="22" t="s">
        <v>295</v>
      </c>
      <c r="B58" s="21" t="s">
        <v>184</v>
      </c>
      <c r="C58" s="21" t="s">
        <v>491</v>
      </c>
      <c r="D58" s="10" t="s">
        <v>320</v>
      </c>
      <c r="E58" s="7" t="s">
        <v>321</v>
      </c>
      <c r="F58" s="3" t="s">
        <v>322</v>
      </c>
      <c r="G58" s="3" t="s">
        <v>22</v>
      </c>
      <c r="H58" s="4">
        <v>46056</v>
      </c>
      <c r="I58" s="4">
        <v>46421</v>
      </c>
      <c r="J58" s="3" t="s">
        <v>493</v>
      </c>
      <c r="K58" s="3" t="str">
        <f t="shared" si="0"/>
        <v>Prj000344-Support - Prod support for Finance Applications</v>
      </c>
      <c r="L58" s="21" t="s">
        <v>301</v>
      </c>
      <c r="M58" s="21" t="s">
        <v>16</v>
      </c>
      <c r="N58" s="21" t="s">
        <v>16</v>
      </c>
      <c r="O58" s="21"/>
      <c r="P58" s="21" t="s">
        <v>302</v>
      </c>
      <c r="Q58" s="21" t="s">
        <v>303</v>
      </c>
      <c r="R58" s="21" t="s">
        <v>303</v>
      </c>
      <c r="S58" s="21" t="s">
        <v>333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SUM(Financials202632[[#This Row],[2026 Opportunity]:[2026 Risk]])</f>
        <v>83.699999999999818</v>
      </c>
      <c r="AA58" s="3" t="s">
        <v>355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SUM(Financials202632[[#This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SUM(Financials202632[[#This Row],[Jan AC]:[Dec AC]])</f>
        <v>1472.85</v>
      </c>
      <c r="BC58" s="71">
        <f>Financials202632[[#This Row],[Jan AC]]-Financials202632[[#This Row],[Jan FC]]</f>
        <v>0</v>
      </c>
      <c r="BD58" s="71">
        <f>Financials202632[[#This Row],[Feb AC]]-Financials202632[[#This Row],[Feb FC]]</f>
        <v>83.849999999999909</v>
      </c>
      <c r="BE58" s="71">
        <f>Financials202632[[#This Row],[Mar AC]]-Financials202632[[#This Row],[Mar FC]]</f>
        <v>0</v>
      </c>
      <c r="BF58" s="71">
        <f>Financials202632[[#This Row],[Apr AC]]-Financials202632[[#This Row],[Apr FC]]</f>
        <v>0</v>
      </c>
      <c r="BG58" s="71">
        <f>Financials202632[[#This Row],[May AC]]-Financials202632[[#This Row],[May FC]]</f>
        <v>0</v>
      </c>
      <c r="BH58" s="71">
        <f>Financials202632[[#This Row],[Jun AC]]-Financials202632[[#This Row],[Jun FC]]</f>
        <v>0</v>
      </c>
      <c r="BI58" s="71">
        <f>Financials202632[[#This Row],[Jul AC]]-Financials202632[[#This Row],[Jul FC]]</f>
        <v>0</v>
      </c>
      <c r="BJ58" s="71">
        <f>Financials202632[[#This Row],[Aug AC]]-Financials202632[[#This Row],[Aug FC]]</f>
        <v>0</v>
      </c>
      <c r="BK58" s="71">
        <f>Financials202632[[#This Row],[Sep AC]]-Financials202632[[#This Row],[Sep FC]]</f>
        <v>0</v>
      </c>
      <c r="BL58" s="71">
        <f>Financials202632[[#This Row],[Oct AC]]-Financials202632[[#This Row],[Oct FC]]</f>
        <v>0</v>
      </c>
      <c r="BM58" s="71">
        <f>Financials202632[[#This Row],[Nov AC]]-Financials202632[[#This Row],[Nov FC]]</f>
        <v>0</v>
      </c>
      <c r="BN58" s="71">
        <f>Financials202632[[#This Row],[Dec AC]]-Financials202632[[#This Row],[Dec FC]]</f>
        <v>0</v>
      </c>
      <c r="BO58" s="71">
        <f>SUM(Financials202632[[#This Row],[Jan Opp/Risk]:[Dec Opp./Risk]])</f>
        <v>83.849999999999909</v>
      </c>
      <c r="BP58" s="87" t="s">
        <v>356</v>
      </c>
      <c r="BQ58" s="47">
        <f>SUM(Financials202632[[#This Row],[Jan AC]:[May AC]])</f>
        <v>1472.85</v>
      </c>
      <c r="BR58" s="6">
        <f>Financials202632[[#This Row],[2026 (Actuals + Forecast)]]-Financials202632[[#This Row],[Jan-May Actuals]]-Financials202632[[#This Row],[Jun-Dec FC]]</f>
        <v>0</v>
      </c>
      <c r="BS58" s="6">
        <f>Financials202632[[#This Row],[Jun-Dec FC]]+Financials202632[[#This Row],[Jan-May Forecast ]]</f>
        <v>0</v>
      </c>
      <c r="BT58" s="6">
        <f>SUM(Financials202632[[#This Row],[Jan FC]:[May FC]])</f>
        <v>1389</v>
      </c>
      <c r="BU58" s="6">
        <f>Financials202632[[#This Row],[Jan-May Actuals]]+Financials202632[[#This Row],[Forecast Jun-Dec]]</f>
        <v>1472.85</v>
      </c>
      <c r="BV58" s="6"/>
      <c r="BW58" s="6" t="s">
        <v>16</v>
      </c>
      <c r="BX58" s="6" t="s">
        <v>306</v>
      </c>
    </row>
    <row r="59" spans="1:76" x14ac:dyDescent="0.3">
      <c r="A59" s="22" t="s">
        <v>295</v>
      </c>
      <c r="B59" s="21" t="s">
        <v>89</v>
      </c>
      <c r="C59" s="21" t="s">
        <v>494</v>
      </c>
      <c r="D59" s="10" t="s">
        <v>297</v>
      </c>
      <c r="E59" s="7" t="s">
        <v>298</v>
      </c>
      <c r="F59" s="3" t="s">
        <v>299</v>
      </c>
      <c r="G59" s="3" t="s">
        <v>21</v>
      </c>
      <c r="H59" s="4">
        <v>45809</v>
      </c>
      <c r="I59" s="4">
        <v>46904</v>
      </c>
      <c r="J59" s="3" t="s">
        <v>495</v>
      </c>
      <c r="K59" s="3" t="str">
        <f t="shared" si="0"/>
        <v>Prj000350-Support - Infrastructure for Tech</v>
      </c>
      <c r="L59" s="21" t="s">
        <v>301</v>
      </c>
      <c r="M59" s="21" t="s">
        <v>16</v>
      </c>
      <c r="N59" s="21" t="s">
        <v>16</v>
      </c>
      <c r="O59" s="21" t="s">
        <v>496</v>
      </c>
      <c r="P59" s="21" t="s">
        <v>302</v>
      </c>
      <c r="Q59" s="21" t="s">
        <v>303</v>
      </c>
      <c r="R59" s="21" t="s">
        <v>303</v>
      </c>
      <c r="S59" s="21" t="s">
        <v>304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SUM(Financials202632[[#This Row],[2026 Opportunity]:[2026 Risk]])</f>
        <v>173535.71666666702</v>
      </c>
      <c r="AA59" s="3" t="s">
        <v>497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SUM(Financials202632[[#This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SUM(Financials202632[[#This Row],[Jan AC]:[Dec AC]])</f>
        <v>791827.08333333326</v>
      </c>
      <c r="BC59" s="71">
        <f>Financials202632[[#This Row],[Jan AC]]-Financials202632[[#This Row],[Jan FC]]</f>
        <v>0</v>
      </c>
      <c r="BD59" s="71">
        <f>Financials202632[[#This Row],[Feb AC]]-Financials202632[[#This Row],[Feb FC]]</f>
        <v>0</v>
      </c>
      <c r="BE59" s="71">
        <f>Financials202632[[#This Row],[Mar AC]]-Financials202632[[#This Row],[Mar FC]]</f>
        <v>0</v>
      </c>
      <c r="BF59" s="71">
        <f>Financials202632[[#This Row],[Apr AC]]-Financials202632[[#This Row],[Apr FC]]</f>
        <v>0</v>
      </c>
      <c r="BG59" s="71">
        <f>Financials202632[[#This Row],[May AC]]-Financials202632[[#This Row],[May FC]]</f>
        <v>0</v>
      </c>
      <c r="BH59" s="71">
        <f>Financials202632[[#This Row],[Jun AC]]-Financials202632[[#This Row],[Jun FC]]</f>
        <v>-183156.23333333331</v>
      </c>
      <c r="BI59" s="71">
        <f>Financials202632[[#This Row],[Jul AC]]-Financials202632[[#This Row],[Jul FC]]</f>
        <v>-183156.23333333331</v>
      </c>
      <c r="BJ59" s="71">
        <f>Financials202632[[#This Row],[Aug AC]]-Financials202632[[#This Row],[Aug FC]]</f>
        <v>-183156.23333333331</v>
      </c>
      <c r="BK59" s="71">
        <f>Financials202632[[#This Row],[Sep AC]]-Financials202632[[#This Row],[Sep FC]]</f>
        <v>-183156.23333333331</v>
      </c>
      <c r="BL59" s="71">
        <f>Financials202632[[#This Row],[Oct AC]]-Financials202632[[#This Row],[Oct FC]]</f>
        <v>-183156.23333333331</v>
      </c>
      <c r="BM59" s="71">
        <f>Financials202632[[#This Row],[Nov AC]]-Financials202632[[#This Row],[Nov FC]]</f>
        <v>-183156.23333333331</v>
      </c>
      <c r="BN59" s="71">
        <f>Financials202632[[#This Row],[Dec AC]]-Financials202632[[#This Row],[Dec FC]]</f>
        <v>-183156.23333333331</v>
      </c>
      <c r="BO59" s="71">
        <f>SUM(Financials202632[[#This Row],[Jan Opp/Risk]:[Dec Opp./Risk]])</f>
        <v>-1282093.6333333333</v>
      </c>
      <c r="BP59" s="86"/>
      <c r="BQ59" s="47">
        <f>SUM(Financials202632[[#This Row],[Jan AC]:[May AC]])</f>
        <v>791827.08333333326</v>
      </c>
      <c r="BR59" s="6">
        <f>Financials202632[[#This Row],[2026 (Actuals + Forecast)]]-Financials202632[[#This Row],[Jan-May Actuals]]-Financials202632[[#This Row],[Jun-Dec FC]]</f>
        <v>0</v>
      </c>
      <c r="BS59" s="6">
        <f>Financials202632[[#This Row],[Jun-Dec FC]]+Financials202632[[#This Row],[Jan-May Forecast ]]</f>
        <v>1282093.6333333333</v>
      </c>
      <c r="BT59" s="6">
        <f>SUM(Financials202632[[#This Row],[Jan FC]:[May FC]])</f>
        <v>791827.08333333326</v>
      </c>
      <c r="BU59" s="6">
        <f>Financials202632[[#This Row],[Jan-May Actuals]]+Financials202632[[#This Row],[Forecast Jun-Dec]]</f>
        <v>2073920.7166666666</v>
      </c>
      <c r="BV59" s="6"/>
      <c r="BW59" s="6" t="s">
        <v>16</v>
      </c>
      <c r="BX59" s="6" t="s">
        <v>306</v>
      </c>
    </row>
    <row r="60" spans="1:76" x14ac:dyDescent="0.3">
      <c r="A60" s="22" t="s">
        <v>295</v>
      </c>
      <c r="B60" s="21" t="s">
        <v>167</v>
      </c>
      <c r="C60" s="21" t="s">
        <v>498</v>
      </c>
      <c r="D60" s="10" t="s">
        <v>486</v>
      </c>
      <c r="E60" s="7" t="s">
        <v>487</v>
      </c>
      <c r="F60" s="3" t="s">
        <v>299</v>
      </c>
      <c r="G60" s="3" t="s">
        <v>21</v>
      </c>
      <c r="H60" s="4">
        <v>45822</v>
      </c>
      <c r="I60" s="4">
        <v>46186</v>
      </c>
      <c r="J60" s="3" t="s">
        <v>499</v>
      </c>
      <c r="K60" s="3" t="str">
        <f t="shared" si="0"/>
        <v>Prj000410-Support - Tech Enablement 2026</v>
      </c>
      <c r="L60" s="21" t="s">
        <v>301</v>
      </c>
      <c r="M60" s="21" t="s">
        <v>16</v>
      </c>
      <c r="N60" s="21" t="s">
        <v>16</v>
      </c>
      <c r="O60" s="21"/>
      <c r="P60" s="21" t="s">
        <v>302</v>
      </c>
      <c r="Q60" s="21" t="s">
        <v>303</v>
      </c>
      <c r="R60" s="21" t="s">
        <v>303</v>
      </c>
      <c r="S60" s="21" t="s">
        <v>304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SUM(Financials202632[[#This Row],[2026 Opportunity]:[2026 Risk]])</f>
        <v>-1947.1333333333605</v>
      </c>
      <c r="AA60" s="3" t="s">
        <v>500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SUM(Financials202632[[#This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SUM(Financials202632[[#This Row],[Jan AC]:[Dec AC]])</f>
        <v>305666.66666666663</v>
      </c>
      <c r="BC60" s="71">
        <f>Financials202632[[#This Row],[Jan AC]]-Financials202632[[#This Row],[Jan FC]]</f>
        <v>0</v>
      </c>
      <c r="BD60" s="71">
        <f>Financials202632[[#This Row],[Feb AC]]-Financials202632[[#This Row],[Feb FC]]</f>
        <v>0</v>
      </c>
      <c r="BE60" s="71">
        <f>Financials202632[[#This Row],[Mar AC]]-Financials202632[[#This Row],[Mar FC]]</f>
        <v>0</v>
      </c>
      <c r="BF60" s="71">
        <f>Financials202632[[#This Row],[Apr AC]]-Financials202632[[#This Row],[Apr FC]]</f>
        <v>0</v>
      </c>
      <c r="BG60" s="71">
        <f>Financials202632[[#This Row],[May AC]]-Financials202632[[#This Row],[May FC]]</f>
        <v>0</v>
      </c>
      <c r="BH60" s="71">
        <f>Financials202632[[#This Row],[Jun AC]]-Financials202632[[#This Row],[Jun FC]]</f>
        <v>0</v>
      </c>
      <c r="BI60" s="71">
        <f>Financials202632[[#This Row],[Jul AC]]-Financials202632[[#This Row],[Jul FC]]</f>
        <v>0</v>
      </c>
      <c r="BJ60" s="71">
        <f>Financials202632[[#This Row],[Aug AC]]-Financials202632[[#This Row],[Aug FC]]</f>
        <v>0</v>
      </c>
      <c r="BK60" s="71">
        <f>Financials202632[[#This Row],[Sep AC]]-Financials202632[[#This Row],[Sep FC]]</f>
        <v>0</v>
      </c>
      <c r="BL60" s="71">
        <f>Financials202632[[#This Row],[Oct AC]]-Financials202632[[#This Row],[Oct FC]]</f>
        <v>0</v>
      </c>
      <c r="BM60" s="71">
        <f>Financials202632[[#This Row],[Nov AC]]-Financials202632[[#This Row],[Nov FC]]</f>
        <v>0</v>
      </c>
      <c r="BN60" s="71">
        <f>Financials202632[[#This Row],[Dec AC]]-Financials202632[[#This Row],[Dec FC]]</f>
        <v>0</v>
      </c>
      <c r="BO60" s="71">
        <f>SUM(Financials202632[[#This Row],[Jan Opp/Risk]:[Dec Opp./Risk]])</f>
        <v>0</v>
      </c>
      <c r="BP60" s="87" t="s">
        <v>501</v>
      </c>
      <c r="BQ60" s="47">
        <f>SUM(Financials202632[[#This Row],[Jan AC]:[May AC]])</f>
        <v>124541.66666666666</v>
      </c>
      <c r="BR60" s="6">
        <f>Financials202632[[#This Row],[2026 (Actuals + Forecast)]]-Financials202632[[#This Row],[Jan-May Actuals]]-Financials202632[[#This Row],[Jun-Dec FC]]</f>
        <v>0</v>
      </c>
      <c r="BS60" s="6">
        <f>Financials202632[[#This Row],[Jun-Dec FC]]+Financials202632[[#This Row],[Jan-May Forecast ]]</f>
        <v>181125</v>
      </c>
      <c r="BT60" s="6">
        <f>SUM(Financials202632[[#This Row],[Jan FC]:[May FC]])</f>
        <v>124541.66666666666</v>
      </c>
      <c r="BU60" s="6">
        <f>Financials202632[[#This Row],[Jan-May Actuals]]+Financials202632[[#This Row],[Forecast Jun-Dec]]</f>
        <v>305666.66666666663</v>
      </c>
      <c r="BV60" s="6"/>
      <c r="BW60" s="6" t="s">
        <v>16</v>
      </c>
      <c r="BX60" s="6" t="s">
        <v>306</v>
      </c>
    </row>
    <row r="61" spans="1:76" x14ac:dyDescent="0.3">
      <c r="A61" s="22" t="s">
        <v>295</v>
      </c>
      <c r="B61" s="21" t="s">
        <v>115</v>
      </c>
      <c r="C61" s="21" t="s">
        <v>502</v>
      </c>
      <c r="D61" s="10" t="s">
        <v>297</v>
      </c>
      <c r="E61" s="7" t="s">
        <v>298</v>
      </c>
      <c r="F61" s="3" t="s">
        <v>299</v>
      </c>
      <c r="G61" s="3" t="s">
        <v>21</v>
      </c>
      <c r="H61" s="4">
        <v>46010</v>
      </c>
      <c r="I61" s="4">
        <v>46374</v>
      </c>
      <c r="J61" s="3" t="s">
        <v>503</v>
      </c>
      <c r="K61" s="3" t="str">
        <f t="shared" si="0"/>
        <v>Prj000350-Support - Infrastructure for Tech</v>
      </c>
      <c r="L61" s="21" t="s">
        <v>301</v>
      </c>
      <c r="M61" s="21" t="s">
        <v>16</v>
      </c>
      <c r="N61" s="21" t="s">
        <v>16</v>
      </c>
      <c r="O61" s="21" t="s">
        <v>504</v>
      </c>
      <c r="P61" s="21" t="s">
        <v>302</v>
      </c>
      <c r="Q61" s="21" t="s">
        <v>303</v>
      </c>
      <c r="R61" s="21" t="s">
        <v>303</v>
      </c>
      <c r="S61" s="21" t="s">
        <v>304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SUM(Financials202632[[#This Row],[2026 Opportunity]:[2026 Risk]])</f>
        <v>100631.95416666666</v>
      </c>
      <c r="AA61" s="3" t="s">
        <v>505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SUM(Financials202632[[#This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SUM(Financials202632[[#This Row],[Jan AC]:[Dec AC]])</f>
        <v>461680.95416666666</v>
      </c>
      <c r="BC61" s="71">
        <f>Financials202632[[#This Row],[Jan AC]]-Financials202632[[#This Row],[Jan FC]]</f>
        <v>0</v>
      </c>
      <c r="BD61" s="71">
        <f>Financials202632[[#This Row],[Feb AC]]-Financials202632[[#This Row],[Feb FC]]</f>
        <v>0</v>
      </c>
      <c r="BE61" s="71">
        <f>Financials202632[[#This Row],[Mar AC]]-Financials202632[[#This Row],[Mar FC]]</f>
        <v>0</v>
      </c>
      <c r="BF61" s="71">
        <f>Financials202632[[#This Row],[Apr AC]]-Financials202632[[#This Row],[Apr FC]]</f>
        <v>0</v>
      </c>
      <c r="BG61" s="71">
        <f>Financials202632[[#This Row],[May AC]]-Financials202632[[#This Row],[May FC]]</f>
        <v>0</v>
      </c>
      <c r="BH61" s="71">
        <f>Financials202632[[#This Row],[Jun AC]]-Financials202632[[#This Row],[Jun FC]]</f>
        <v>0</v>
      </c>
      <c r="BI61" s="71">
        <f>Financials202632[[#This Row],[Jul AC]]-Financials202632[[#This Row],[Jul FC]]</f>
        <v>0</v>
      </c>
      <c r="BJ61" s="71">
        <f>Financials202632[[#This Row],[Aug AC]]-Financials202632[[#This Row],[Aug FC]]</f>
        <v>0</v>
      </c>
      <c r="BK61" s="71">
        <f>Financials202632[[#This Row],[Sep AC]]-Financials202632[[#This Row],[Sep FC]]</f>
        <v>0</v>
      </c>
      <c r="BL61" s="71">
        <f>Financials202632[[#This Row],[Oct AC]]-Financials202632[[#This Row],[Oct FC]]</f>
        <v>0</v>
      </c>
      <c r="BM61" s="71">
        <f>Financials202632[[#This Row],[Nov AC]]-Financials202632[[#This Row],[Nov FC]]</f>
        <v>0</v>
      </c>
      <c r="BN61" s="71">
        <f>Financials202632[[#This Row],[Dec AC]]-Financials202632[[#This Row],[Dec FC]]</f>
        <v>0</v>
      </c>
      <c r="BO61" s="71">
        <f>SUM(Financials202632[[#This Row],[Jan Opp/Risk]:[Dec Opp./Risk]])</f>
        <v>0</v>
      </c>
      <c r="BP61" s="87" t="s">
        <v>506</v>
      </c>
      <c r="BQ61" s="47">
        <f>SUM(Financials202632[[#This Row],[Jan AC]:[May AC]])</f>
        <v>209854.97916666663</v>
      </c>
      <c r="BR61" s="6">
        <f>Financials202632[[#This Row],[2026 (Actuals + Forecast)]]-Financials202632[[#This Row],[Jan-May Actuals]]-Financials202632[[#This Row],[Jun-Dec FC]]</f>
        <v>0</v>
      </c>
      <c r="BS61" s="6">
        <f>Financials202632[[#This Row],[Jun-Dec FC]]+Financials202632[[#This Row],[Jan-May Forecast ]]</f>
        <v>251825.97499999995</v>
      </c>
      <c r="BT61" s="6">
        <f>SUM(Financials202632[[#This Row],[Jan FC]:[May FC]])</f>
        <v>209854.97916666663</v>
      </c>
      <c r="BU61" s="6">
        <f>Financials202632[[#This Row],[Jan-May Actuals]]+Financials202632[[#This Row],[Forecast Jun-Dec]]</f>
        <v>461680.9541666666</v>
      </c>
      <c r="BV61" s="6"/>
      <c r="BW61" s="6" t="s">
        <v>16</v>
      </c>
      <c r="BX61" s="6" t="s">
        <v>306</v>
      </c>
    </row>
    <row r="62" spans="1:76" x14ac:dyDescent="0.3">
      <c r="A62" s="22" t="s">
        <v>295</v>
      </c>
      <c r="B62" s="21" t="s">
        <v>115</v>
      </c>
      <c r="C62" s="21" t="s">
        <v>502</v>
      </c>
      <c r="D62" s="10" t="s">
        <v>297</v>
      </c>
      <c r="E62" s="7" t="s">
        <v>298</v>
      </c>
      <c r="F62" s="3" t="s">
        <v>299</v>
      </c>
      <c r="G62" s="3" t="s">
        <v>21</v>
      </c>
      <c r="H62" s="4">
        <v>45645</v>
      </c>
      <c r="I62" s="4">
        <v>46009</v>
      </c>
      <c r="J62" s="3" t="s">
        <v>507</v>
      </c>
      <c r="K62" s="3" t="str">
        <f t="shared" si="0"/>
        <v>Prj000350-Support - Infrastructure for Tech</v>
      </c>
      <c r="L62" s="21" t="s">
        <v>301</v>
      </c>
      <c r="M62" s="21" t="s">
        <v>16</v>
      </c>
      <c r="N62" s="21" t="s">
        <v>16</v>
      </c>
      <c r="O62" s="21" t="s">
        <v>508</v>
      </c>
      <c r="P62" s="21" t="s">
        <v>302</v>
      </c>
      <c r="Q62" s="21" t="s">
        <v>303</v>
      </c>
      <c r="R62" s="21" t="s">
        <v>303</v>
      </c>
      <c r="S62" s="21" t="s">
        <v>333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SUM(Financials202632[[#This Row],[2026 Opportunity]:[2026 Risk]])</f>
        <v>0</v>
      </c>
      <c r="AA62" s="3" t="s">
        <v>509</v>
      </c>
      <c r="AB62" s="52"/>
      <c r="AC62" s="52"/>
      <c r="AD62" s="52"/>
      <c r="AE62" s="52"/>
      <c r="AF62" s="52"/>
      <c r="AG62" s="51"/>
      <c r="AH62" s="52"/>
      <c r="AI62" s="52"/>
      <c r="AJ62" s="52"/>
      <c r="AK62" s="52"/>
      <c r="AL62" s="51"/>
      <c r="AM62" s="52">
        <v>34875</v>
      </c>
      <c r="AN62" s="51">
        <f>SUM(Financials202632[[#This Row],[Jan FC]:[Dec FC]])</f>
        <v>34875</v>
      </c>
      <c r="AO62" s="15">
        <f t="shared" si="5"/>
        <v>34875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SUM(Financials202632[[#This Row],[Jan AC]:[Dec AC]])</f>
        <v>0</v>
      </c>
      <c r="BC62" s="71">
        <f>Financials202632[[#This Row],[Jan AC]]-Financials202632[[#This Row],[Jan FC]]</f>
        <v>0</v>
      </c>
      <c r="BD62" s="71">
        <f>Financials202632[[#This Row],[Feb AC]]-Financials202632[[#This Row],[Feb FC]]</f>
        <v>0</v>
      </c>
      <c r="BE62" s="71">
        <f>Financials202632[[#This Row],[Mar AC]]-Financials202632[[#This Row],[Mar FC]]</f>
        <v>0</v>
      </c>
      <c r="BF62" s="71">
        <f>Financials202632[[#This Row],[Apr AC]]-Financials202632[[#This Row],[Apr FC]]</f>
        <v>0</v>
      </c>
      <c r="BG62" s="71">
        <f>Financials202632[[#This Row],[May AC]]-Financials202632[[#This Row],[May FC]]</f>
        <v>0</v>
      </c>
      <c r="BH62" s="71">
        <f>Financials202632[[#This Row],[Jun AC]]-Financials202632[[#This Row],[Jun FC]]</f>
        <v>0</v>
      </c>
      <c r="BI62" s="71">
        <f>Financials202632[[#This Row],[Jul AC]]-Financials202632[[#This Row],[Jul FC]]</f>
        <v>0</v>
      </c>
      <c r="BJ62" s="71">
        <f>Financials202632[[#This Row],[Aug AC]]-Financials202632[[#This Row],[Aug FC]]</f>
        <v>0</v>
      </c>
      <c r="BK62" s="71">
        <f>Financials202632[[#This Row],[Sep AC]]-Financials202632[[#This Row],[Sep FC]]</f>
        <v>0</v>
      </c>
      <c r="BL62" s="71">
        <f>Financials202632[[#This Row],[Oct AC]]-Financials202632[[#This Row],[Oct FC]]</f>
        <v>0</v>
      </c>
      <c r="BM62" s="71">
        <f>Financials202632[[#This Row],[Nov AC]]-Financials202632[[#This Row],[Nov FC]]</f>
        <v>0</v>
      </c>
      <c r="BN62" s="71">
        <f>Financials202632[[#This Row],[Dec AC]]-Financials202632[[#This Row],[Dec FC]]</f>
        <v>-34875</v>
      </c>
      <c r="BO62" s="71">
        <f>SUM(Financials202632[[#This Row],[Jan Opp/Risk]:[Dec Opp./Risk]])</f>
        <v>-34875</v>
      </c>
      <c r="BP62" s="87"/>
      <c r="BQ62" s="47">
        <f>SUM(Financials202632[[#This Row],[Jan AC]:[May AC]])</f>
        <v>0</v>
      </c>
      <c r="BR62" s="6">
        <f>Financials202632[[#This Row],[2026 (Actuals + Forecast)]]-Financials202632[[#This Row],[Jan-May Actuals]]-Financials202632[[#This Row],[Jun-Dec FC]]</f>
        <v>0</v>
      </c>
      <c r="BS62" s="6">
        <f>Financials202632[[#This Row],[Jun-Dec FC]]+Financials202632[[#This Row],[Jan-May Forecast ]]</f>
        <v>34875</v>
      </c>
      <c r="BT62" s="6">
        <f>SUM(Financials202632[[#This Row],[Jan FC]:[May FC]])</f>
        <v>0</v>
      </c>
      <c r="BU62" s="6">
        <f>Financials202632[[#This Row],[Jan-May Actuals]]+Financials202632[[#This Row],[Forecast Jun-Dec]]</f>
        <v>34875</v>
      </c>
      <c r="BV62" s="6"/>
      <c r="BW62" s="6" t="s">
        <v>16</v>
      </c>
      <c r="BX62" s="6" t="s">
        <v>306</v>
      </c>
    </row>
    <row r="63" spans="1:76" x14ac:dyDescent="0.3">
      <c r="A63" s="22" t="s">
        <v>295</v>
      </c>
      <c r="B63" s="21" t="s">
        <v>115</v>
      </c>
      <c r="C63" s="21" t="s">
        <v>502</v>
      </c>
      <c r="D63" s="10" t="s">
        <v>297</v>
      </c>
      <c r="E63" s="7" t="s">
        <v>298</v>
      </c>
      <c r="F63" s="3" t="s">
        <v>299</v>
      </c>
      <c r="G63" s="3" t="s">
        <v>21</v>
      </c>
      <c r="H63" s="4">
        <v>46010</v>
      </c>
      <c r="I63" s="4">
        <v>46374</v>
      </c>
      <c r="J63" s="3" t="s">
        <v>510</v>
      </c>
      <c r="K63" s="3" t="str">
        <f t="shared" si="0"/>
        <v>Prj000350-Support - Infrastructure for Tech</v>
      </c>
      <c r="L63" s="21" t="s">
        <v>301</v>
      </c>
      <c r="M63" s="21" t="s">
        <v>16</v>
      </c>
      <c r="N63" s="21" t="s">
        <v>16</v>
      </c>
      <c r="O63" s="21" t="s">
        <v>511</v>
      </c>
      <c r="P63" s="21" t="s">
        <v>302</v>
      </c>
      <c r="Q63" s="21" t="s">
        <v>303</v>
      </c>
      <c r="R63" s="21" t="s">
        <v>303</v>
      </c>
      <c r="S63" s="21" t="s">
        <v>333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SUM(Financials202632[[#This Row],[2026 Opportunity]:[2026 Risk]])</f>
        <v>0</v>
      </c>
      <c r="AA63" s="3" t="s">
        <v>512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SUM(Financials202632[[#This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SUM(Financials202632[[#This Row],[Jan AC]:[Dec AC]])</f>
        <v>0</v>
      </c>
      <c r="BC63" s="71">
        <f>Financials202632[[#This Row],[Jan AC]]-Financials202632[[#This Row],[Jan FC]]</f>
        <v>0</v>
      </c>
      <c r="BD63" s="71">
        <f>Financials202632[[#This Row],[Feb AC]]-Financials202632[[#This Row],[Feb FC]]</f>
        <v>0</v>
      </c>
      <c r="BE63" s="71">
        <f>Financials202632[[#This Row],[Mar AC]]-Financials202632[[#This Row],[Mar FC]]</f>
        <v>0</v>
      </c>
      <c r="BF63" s="71">
        <f>Financials202632[[#This Row],[Apr AC]]-Financials202632[[#This Row],[Apr FC]]</f>
        <v>0</v>
      </c>
      <c r="BG63" s="71">
        <f>Financials202632[[#This Row],[May AC]]-Financials202632[[#This Row],[May FC]]</f>
        <v>0</v>
      </c>
      <c r="BH63" s="71">
        <f>Financials202632[[#This Row],[Jun AC]]-Financials202632[[#This Row],[Jun FC]]</f>
        <v>0</v>
      </c>
      <c r="BI63" s="71">
        <f>Financials202632[[#This Row],[Jul AC]]-Financials202632[[#This Row],[Jul FC]]</f>
        <v>0</v>
      </c>
      <c r="BJ63" s="71">
        <f>Financials202632[[#This Row],[Aug AC]]-Financials202632[[#This Row],[Aug FC]]</f>
        <v>0</v>
      </c>
      <c r="BK63" s="71">
        <f>Financials202632[[#This Row],[Sep AC]]-Financials202632[[#This Row],[Sep FC]]</f>
        <v>0</v>
      </c>
      <c r="BL63" s="71">
        <f>Financials202632[[#This Row],[Oct AC]]-Financials202632[[#This Row],[Oct FC]]</f>
        <v>0</v>
      </c>
      <c r="BM63" s="71">
        <f>Financials202632[[#This Row],[Nov AC]]-Financials202632[[#This Row],[Nov FC]]</f>
        <v>0</v>
      </c>
      <c r="BN63" s="71">
        <f>Financials202632[[#This Row],[Dec AC]]-Financials202632[[#This Row],[Dec FC]]</f>
        <v>-57087.964500000002</v>
      </c>
      <c r="BO63" s="71">
        <f>SUM(Financials202632[[#This Row],[Jan Opp/Risk]:[Dec Opp./Risk]])</f>
        <v>-57087.964500000002</v>
      </c>
      <c r="BP63" s="87" t="s">
        <v>356</v>
      </c>
      <c r="BQ63" s="47">
        <f>SUM(Financials202632[[#This Row],[Jan AC]:[May AC]])</f>
        <v>0</v>
      </c>
      <c r="BR63" s="6">
        <f>Financials202632[[#This Row],[2026 (Actuals + Forecast)]]-Financials202632[[#This Row],[Jan-May Actuals]]-Financials202632[[#This Row],[Jun-Dec FC]]</f>
        <v>0</v>
      </c>
      <c r="BS63" s="6">
        <f>Financials202632[[#This Row],[Jun-Dec FC]]+Financials202632[[#This Row],[Jan-May Forecast ]]</f>
        <v>57087.964500000002</v>
      </c>
      <c r="BT63" s="6">
        <f>SUM(Financials202632[[#This Row],[Jan FC]:[May FC]])</f>
        <v>0</v>
      </c>
      <c r="BU63" s="6">
        <f>Financials202632[[#This Row],[Jan-May Actuals]]+Financials202632[[#This Row],[Forecast Jun-Dec]]</f>
        <v>57087.964500000002</v>
      </c>
      <c r="BV63" s="6"/>
      <c r="BW63" s="6" t="s">
        <v>16</v>
      </c>
      <c r="BX63" s="6" t="s">
        <v>306</v>
      </c>
    </row>
    <row r="64" spans="1:76" x14ac:dyDescent="0.3">
      <c r="A64" s="22" t="s">
        <v>295</v>
      </c>
      <c r="B64" s="21" t="s">
        <v>189</v>
      </c>
      <c r="C64" s="21" t="s">
        <v>513</v>
      </c>
      <c r="D64" s="10" t="s">
        <v>226</v>
      </c>
      <c r="E64" s="7" t="s">
        <v>419</v>
      </c>
      <c r="F64" s="3" t="s">
        <v>420</v>
      </c>
      <c r="G64" s="3" t="s">
        <v>22</v>
      </c>
      <c r="H64" s="4">
        <v>45362</v>
      </c>
      <c r="I64" s="4">
        <v>45726</v>
      </c>
      <c r="J64" s="3" t="s">
        <v>514</v>
      </c>
      <c r="K64" s="3" t="str">
        <f t="shared" si="0"/>
        <v>Prj000469-Support - Prod Support for Ops Apps</v>
      </c>
      <c r="L64" s="21" t="s">
        <v>301</v>
      </c>
      <c r="M64" s="21" t="s">
        <v>16</v>
      </c>
      <c r="N64" s="21" t="s">
        <v>16</v>
      </c>
      <c r="O64" s="21"/>
      <c r="P64" s="21" t="s">
        <v>302</v>
      </c>
      <c r="Q64" s="21" t="s">
        <v>303</v>
      </c>
      <c r="R64" s="21" t="s">
        <v>303</v>
      </c>
      <c r="S64" s="21" t="s">
        <v>333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SUM(Financials202632[[#This Row],[2026 Opportunity]:[2026 Risk]])</f>
        <v>0.2999999999992724</v>
      </c>
      <c r="AA64" s="3" t="s">
        <v>515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SUM(Financials202632[[#This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SUM(Financials202632[[#This Row],[Jan AC]:[Dec AC]])</f>
        <v>0</v>
      </c>
      <c r="BC64" s="71">
        <f>Financials202632[[#This Row],[Jan AC]]-Financials202632[[#This Row],[Jan FC]]</f>
        <v>0</v>
      </c>
      <c r="BD64" s="71">
        <f>Financials202632[[#This Row],[Feb AC]]-Financials202632[[#This Row],[Feb FC]]</f>
        <v>0</v>
      </c>
      <c r="BE64" s="71">
        <f>Financials202632[[#This Row],[Mar AC]]-Financials202632[[#This Row],[Mar FC]]</f>
        <v>0</v>
      </c>
      <c r="BF64" s="71">
        <f>Financials202632[[#This Row],[Apr AC]]-Financials202632[[#This Row],[Apr FC]]</f>
        <v>0</v>
      </c>
      <c r="BG64" s="71">
        <f>Financials202632[[#This Row],[May AC]]-Financials202632[[#This Row],[May FC]]</f>
        <v>0</v>
      </c>
      <c r="BH64" s="71">
        <f>Financials202632[[#This Row],[Jun AC]]-Financials202632[[#This Row],[Jun FC]]</f>
        <v>0</v>
      </c>
      <c r="BI64" s="71">
        <f>Financials202632[[#This Row],[Jul AC]]-Financials202632[[#This Row],[Jul FC]]</f>
        <v>0</v>
      </c>
      <c r="BJ64" s="71">
        <f>Financials202632[[#This Row],[Aug AC]]-Financials202632[[#This Row],[Aug FC]]</f>
        <v>-8436</v>
      </c>
      <c r="BK64" s="71">
        <f>Financials202632[[#This Row],[Sep AC]]-Financials202632[[#This Row],[Sep FC]]</f>
        <v>0</v>
      </c>
      <c r="BL64" s="71">
        <f>Financials202632[[#This Row],[Oct AC]]-Financials202632[[#This Row],[Oct FC]]</f>
        <v>0</v>
      </c>
      <c r="BM64" s="71">
        <f>Financials202632[[#This Row],[Nov AC]]-Financials202632[[#This Row],[Nov FC]]</f>
        <v>0</v>
      </c>
      <c r="BN64" s="71">
        <f>Financials202632[[#This Row],[Dec AC]]-Financials202632[[#This Row],[Dec FC]]</f>
        <v>0</v>
      </c>
      <c r="BO64" s="71">
        <f>SUM(Financials202632[[#This Row],[Jan Opp/Risk]:[Dec Opp./Risk]])</f>
        <v>-8436</v>
      </c>
      <c r="BP64" s="87"/>
      <c r="BQ64" s="47">
        <f>SUM(Financials202632[[#This Row],[Jan AC]:[May AC]])</f>
        <v>0</v>
      </c>
      <c r="BR64" s="6">
        <f>Financials202632[[#This Row],[2026 (Actuals + Forecast)]]-Financials202632[[#This Row],[Jan-May Actuals]]-Financials202632[[#This Row],[Jun-Dec FC]]</f>
        <v>0</v>
      </c>
      <c r="BS64" s="6">
        <f>Financials202632[[#This Row],[Jun-Dec FC]]+Financials202632[[#This Row],[Jan-May Forecast ]]</f>
        <v>8436</v>
      </c>
      <c r="BT64" s="6">
        <f>SUM(Financials202632[[#This Row],[Jan FC]:[May FC]])</f>
        <v>0</v>
      </c>
      <c r="BU64" s="6">
        <f>Financials202632[[#This Row],[Jan-May Actuals]]+Financials202632[[#This Row],[Forecast Jun-Dec]]</f>
        <v>8436</v>
      </c>
      <c r="BV64" s="6"/>
      <c r="BW64" s="6" t="s">
        <v>16</v>
      </c>
      <c r="BX64" s="6" t="s">
        <v>306</v>
      </c>
    </row>
    <row r="65" spans="1:76" x14ac:dyDescent="0.3">
      <c r="A65" s="22" t="s">
        <v>295</v>
      </c>
      <c r="B65" s="21" t="s">
        <v>212</v>
      </c>
      <c r="C65" s="21" t="s">
        <v>516</v>
      </c>
      <c r="D65" s="10" t="s">
        <v>435</v>
      </c>
      <c r="E65" s="7" t="s">
        <v>436</v>
      </c>
      <c r="F65" s="3" t="s">
        <v>311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301</v>
      </c>
      <c r="M65" s="21" t="s">
        <v>16</v>
      </c>
      <c r="N65" s="21" t="s">
        <v>16</v>
      </c>
      <c r="O65" s="21"/>
      <c r="P65" s="21" t="s">
        <v>302</v>
      </c>
      <c r="Q65" s="21" t="s">
        <v>303</v>
      </c>
      <c r="R65" s="21" t="s">
        <v>303</v>
      </c>
      <c r="S65" s="21" t="s">
        <v>333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SUM(Financials202632[[#This Row],[2026 Opportunity]:[2026 Risk]])</f>
        <v>-3470.8960000000079</v>
      </c>
      <c r="AA65" s="3" t="s">
        <v>355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SUM(Financials202632[[#This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SUM(Financials202632[[#This Row],[Jan AC]:[Dec AC]])</f>
        <v>69417.919999999998</v>
      </c>
      <c r="BC65" s="71">
        <f>Financials202632[[#This Row],[Jan AC]]-Financials202632[[#This Row],[Jan FC]]</f>
        <v>0</v>
      </c>
      <c r="BD65" s="71">
        <f>Financials202632[[#This Row],[Feb AC]]-Financials202632[[#This Row],[Feb FC]]</f>
        <v>0</v>
      </c>
      <c r="BE65" s="71">
        <f>Financials202632[[#This Row],[Mar AC]]-Financials202632[[#This Row],[Mar FC]]</f>
        <v>-3470.8960000000079</v>
      </c>
      <c r="BF65" s="71">
        <f>Financials202632[[#This Row],[Apr AC]]-Financials202632[[#This Row],[Apr FC]]</f>
        <v>0</v>
      </c>
      <c r="BG65" s="71">
        <f>Financials202632[[#This Row],[May AC]]-Financials202632[[#This Row],[May FC]]</f>
        <v>0</v>
      </c>
      <c r="BH65" s="71">
        <f>Financials202632[[#This Row],[Jun AC]]-Financials202632[[#This Row],[Jun FC]]</f>
        <v>0</v>
      </c>
      <c r="BI65" s="71">
        <f>Financials202632[[#This Row],[Jul AC]]-Financials202632[[#This Row],[Jul FC]]</f>
        <v>0</v>
      </c>
      <c r="BJ65" s="71">
        <f>Financials202632[[#This Row],[Aug AC]]-Financials202632[[#This Row],[Aug FC]]</f>
        <v>0</v>
      </c>
      <c r="BK65" s="71">
        <f>Financials202632[[#This Row],[Sep AC]]-Financials202632[[#This Row],[Sep FC]]</f>
        <v>0</v>
      </c>
      <c r="BL65" s="71">
        <f>Financials202632[[#This Row],[Oct AC]]-Financials202632[[#This Row],[Oct FC]]</f>
        <v>0</v>
      </c>
      <c r="BM65" s="71">
        <f>Financials202632[[#This Row],[Nov AC]]-Financials202632[[#This Row],[Nov FC]]</f>
        <v>0</v>
      </c>
      <c r="BN65" s="71">
        <f>Financials202632[[#This Row],[Dec AC]]-Financials202632[[#This Row],[Dec FC]]</f>
        <v>0</v>
      </c>
      <c r="BO65" s="71">
        <f>SUM(Financials202632[[#This Row],[Jan Opp/Risk]:[Dec Opp./Risk]])</f>
        <v>-3470.8960000000079</v>
      </c>
      <c r="BP65" s="87" t="s">
        <v>356</v>
      </c>
      <c r="BQ65" s="47">
        <f>SUM(Financials202632[[#This Row],[Jan AC]:[May AC]])</f>
        <v>69417.919999999998</v>
      </c>
      <c r="BR65" s="6">
        <f>Financials202632[[#This Row],[2026 (Actuals + Forecast)]]-Financials202632[[#This Row],[Jan-May Actuals]]-Financials202632[[#This Row],[Jun-Dec FC]]</f>
        <v>0</v>
      </c>
      <c r="BS65" s="6">
        <f>Financials202632[[#This Row],[Jun-Dec FC]]+Financials202632[[#This Row],[Jan-May Forecast ]]</f>
        <v>0</v>
      </c>
      <c r="BT65" s="6">
        <f>SUM(Financials202632[[#This Row],[Jan FC]:[May FC]])</f>
        <v>72888.816000000006</v>
      </c>
      <c r="BU65" s="6">
        <f>Financials202632[[#This Row],[Jan-May Actuals]]+Financials202632[[#This Row],[Forecast Jun-Dec]]</f>
        <v>69417.919999999998</v>
      </c>
      <c r="BV65" s="6"/>
      <c r="BW65" s="6" t="s">
        <v>16</v>
      </c>
      <c r="BX65" s="6" t="s">
        <v>306</v>
      </c>
    </row>
    <row r="66" spans="1:76" x14ac:dyDescent="0.3">
      <c r="A66" s="22" t="s">
        <v>295</v>
      </c>
      <c r="B66" s="21" t="s">
        <v>158</v>
      </c>
      <c r="C66" s="21" t="s">
        <v>517</v>
      </c>
      <c r="D66" s="10" t="s">
        <v>425</v>
      </c>
      <c r="E66" s="7" t="s">
        <v>426</v>
      </c>
      <c r="F66" s="3" t="s">
        <v>427</v>
      </c>
      <c r="G66" s="3" t="s">
        <v>20</v>
      </c>
      <c r="H66" s="4">
        <v>45745</v>
      </c>
      <c r="I66" s="4">
        <v>46109</v>
      </c>
      <c r="J66" s="3" t="s">
        <v>518</v>
      </c>
      <c r="K66" s="3" t="str">
        <f t="shared" ref="K66:K129" si="28">D66 &amp; "-" &amp;E66</f>
        <v>Prj000458-Support - Data Analytics Office</v>
      </c>
      <c r="L66" s="21" t="s">
        <v>301</v>
      </c>
      <c r="M66" s="21" t="s">
        <v>16</v>
      </c>
      <c r="N66" s="21" t="s">
        <v>16</v>
      </c>
      <c r="O66" s="21" t="s">
        <v>519</v>
      </c>
      <c r="P66" s="21" t="s">
        <v>302</v>
      </c>
      <c r="Q66" s="21" t="s">
        <v>303</v>
      </c>
      <c r="R66" s="21" t="s">
        <v>303</v>
      </c>
      <c r="S66" s="21" t="s">
        <v>333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SUM(Financials202632[[#This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SUM(Financials202632[[#This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SUM(Financials202632[[#This Row],[Jan AC]:[Dec AC]])</f>
        <v>46713</v>
      </c>
      <c r="BC66" s="71">
        <f>Financials202632[[#This Row],[Jan AC]]-Financials202632[[#This Row],[Jan FC]]</f>
        <v>0</v>
      </c>
      <c r="BD66" s="71">
        <f>Financials202632[[#This Row],[Feb AC]]-Financials202632[[#This Row],[Feb FC]]</f>
        <v>0</v>
      </c>
      <c r="BE66" s="71">
        <f>Financials202632[[#This Row],[Mar AC]]-Financials202632[[#This Row],[Mar FC]]</f>
        <v>2252.8499999999985</v>
      </c>
      <c r="BF66" s="71">
        <f>Financials202632[[#This Row],[Apr AC]]-Financials202632[[#This Row],[Apr FC]]</f>
        <v>0</v>
      </c>
      <c r="BG66" s="71">
        <f>Financials202632[[#This Row],[May AC]]-Financials202632[[#This Row],[May FC]]</f>
        <v>0</v>
      </c>
      <c r="BH66" s="71">
        <f>Financials202632[[#This Row],[Jun AC]]-Financials202632[[#This Row],[Jun FC]]</f>
        <v>0</v>
      </c>
      <c r="BI66" s="71">
        <f>Financials202632[[#This Row],[Jul AC]]-Financials202632[[#This Row],[Jul FC]]</f>
        <v>0</v>
      </c>
      <c r="BJ66" s="71">
        <f>Financials202632[[#This Row],[Aug AC]]-Financials202632[[#This Row],[Aug FC]]</f>
        <v>0</v>
      </c>
      <c r="BK66" s="71">
        <f>Financials202632[[#This Row],[Sep AC]]-Financials202632[[#This Row],[Sep FC]]</f>
        <v>0</v>
      </c>
      <c r="BL66" s="71">
        <f>Financials202632[[#This Row],[Oct AC]]-Financials202632[[#This Row],[Oct FC]]</f>
        <v>0</v>
      </c>
      <c r="BM66" s="71">
        <f>Financials202632[[#This Row],[Nov AC]]-Financials202632[[#This Row],[Nov FC]]</f>
        <v>0</v>
      </c>
      <c r="BN66" s="71">
        <f>Financials202632[[#This Row],[Dec AC]]-Financials202632[[#This Row],[Dec FC]]</f>
        <v>0</v>
      </c>
      <c r="BO66" s="71">
        <f>SUM(Financials202632[[#This Row],[Jan Opp/Risk]:[Dec Opp./Risk]])</f>
        <v>2252.8499999999985</v>
      </c>
      <c r="BP66" s="87" t="s">
        <v>49</v>
      </c>
      <c r="BQ66" s="47">
        <f>SUM(Financials202632[[#This Row],[Jan AC]:[May AC]])</f>
        <v>46713</v>
      </c>
      <c r="BR66" s="6">
        <f>Financials202632[[#This Row],[2026 (Actuals + Forecast)]]-Financials202632[[#This Row],[Jan-May Actuals]]-Financials202632[[#This Row],[Jun-Dec FC]]</f>
        <v>0</v>
      </c>
      <c r="BS66" s="6">
        <f>Financials202632[[#This Row],[Jun-Dec FC]]+Financials202632[[#This Row],[Jan-May Forecast ]]</f>
        <v>0</v>
      </c>
      <c r="BT66" s="6">
        <f>SUM(Financials202632[[#This Row],[Jan FC]:[May FC]])</f>
        <v>44460.15</v>
      </c>
      <c r="BU66" s="6">
        <f>Financials202632[[#This Row],[Jan-May Actuals]]+Financials202632[[#This Row],[Forecast Jun-Dec]]</f>
        <v>46713</v>
      </c>
      <c r="BV66" s="6"/>
      <c r="BW66" s="6" t="s">
        <v>16</v>
      </c>
      <c r="BX66" s="6" t="s">
        <v>306</v>
      </c>
    </row>
    <row r="67" spans="1:76" x14ac:dyDescent="0.3">
      <c r="A67" s="22" t="s">
        <v>295</v>
      </c>
      <c r="B67" s="21" t="s">
        <v>194</v>
      </c>
      <c r="C67" s="21" t="s">
        <v>520</v>
      </c>
      <c r="D67" s="10" t="s">
        <v>225</v>
      </c>
      <c r="E67" s="7" t="s">
        <v>372</v>
      </c>
      <c r="F67" s="3" t="s">
        <v>373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301</v>
      </c>
      <c r="M67" s="21" t="s">
        <v>16</v>
      </c>
      <c r="N67" s="21" t="s">
        <v>16</v>
      </c>
      <c r="O67" s="21"/>
      <c r="P67" s="21" t="s">
        <v>302</v>
      </c>
      <c r="Q67" s="21" t="s">
        <v>303</v>
      </c>
      <c r="R67" s="21" t="s">
        <v>303</v>
      </c>
      <c r="S67" s="21" t="s">
        <v>333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SUM(Financials202632[[#This Row],[2026 Opportunity]:[2026 Risk]])</f>
        <v>0.29999999999563443</v>
      </c>
      <c r="AA67" s="3" t="s">
        <v>355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SUM(Financials202632[[#This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SUM(Financials202632[[#This Row],[Jan AC]:[Dec AC]])</f>
        <v>2808</v>
      </c>
      <c r="BC67" s="71">
        <f>Financials202632[[#This Row],[Jan AC]]-Financials202632[[#This Row],[Jan FC]]</f>
        <v>0</v>
      </c>
      <c r="BD67" s="71">
        <f>Financials202632[[#This Row],[Feb AC]]-Financials202632[[#This Row],[Feb FC]]</f>
        <v>0</v>
      </c>
      <c r="BE67" s="71">
        <f>Financials202632[[#This Row],[Mar AC]]-Financials202632[[#This Row],[Mar FC]]</f>
        <v>0</v>
      </c>
      <c r="BF67" s="71">
        <f>Financials202632[[#This Row],[Apr AC]]-Financials202632[[#This Row],[Apr FC]]</f>
        <v>0</v>
      </c>
      <c r="BG67" s="71">
        <f>Financials202632[[#This Row],[May AC]]-Financials202632[[#This Row],[May FC]]</f>
        <v>0</v>
      </c>
      <c r="BH67" s="71">
        <f>Financials202632[[#This Row],[Jun AC]]-Financials202632[[#This Row],[Jun FC]]</f>
        <v>0</v>
      </c>
      <c r="BI67" s="71">
        <f>Financials202632[[#This Row],[Jul AC]]-Financials202632[[#This Row],[Jul FC]]</f>
        <v>0</v>
      </c>
      <c r="BJ67" s="71">
        <f>Financials202632[[#This Row],[Aug AC]]-Financials202632[[#This Row],[Aug FC]]</f>
        <v>0</v>
      </c>
      <c r="BK67" s="71">
        <f>Financials202632[[#This Row],[Sep AC]]-Financials202632[[#This Row],[Sep FC]]</f>
        <v>0</v>
      </c>
      <c r="BL67" s="71">
        <f>Financials202632[[#This Row],[Oct AC]]-Financials202632[[#This Row],[Oct FC]]</f>
        <v>0</v>
      </c>
      <c r="BM67" s="71">
        <f>Financials202632[[#This Row],[Nov AC]]-Financials202632[[#This Row],[Nov FC]]</f>
        <v>-36498</v>
      </c>
      <c r="BN67" s="71">
        <f>Financials202632[[#This Row],[Dec AC]]-Financials202632[[#This Row],[Dec FC]]</f>
        <v>0</v>
      </c>
      <c r="BO67" s="71">
        <f>SUM(Financials202632[[#This Row],[Jan Opp/Risk]:[Dec Opp./Risk]])</f>
        <v>-36498</v>
      </c>
      <c r="BP67" s="87"/>
      <c r="BQ67" s="47">
        <f>SUM(Financials202632[[#This Row],[Jan AC]:[May AC]])</f>
        <v>2808</v>
      </c>
      <c r="BR67" s="6">
        <f>Financials202632[[#This Row],[2026 (Actuals + Forecast)]]-Financials202632[[#This Row],[Jan-May Actuals]]-Financials202632[[#This Row],[Jun-Dec FC]]</f>
        <v>0</v>
      </c>
      <c r="BS67" s="6">
        <f>Financials202632[[#This Row],[Jun-Dec FC]]+Financials202632[[#This Row],[Jan-May Forecast ]]</f>
        <v>36498</v>
      </c>
      <c r="BT67" s="6">
        <f>SUM(Financials202632[[#This Row],[Jan FC]:[May FC]])</f>
        <v>2808</v>
      </c>
      <c r="BU67" s="6">
        <f>Financials202632[[#This Row],[Jan-May Actuals]]+Financials202632[[#This Row],[Forecast Jun-Dec]]</f>
        <v>39306</v>
      </c>
      <c r="BV67" s="6"/>
      <c r="BW67" s="6" t="s">
        <v>16</v>
      </c>
      <c r="BX67" s="6" t="s">
        <v>306</v>
      </c>
    </row>
    <row r="68" spans="1:76" x14ac:dyDescent="0.3">
      <c r="A68" s="22" t="s">
        <v>295</v>
      </c>
      <c r="B68" s="21" t="s">
        <v>195</v>
      </c>
      <c r="C68" s="21" t="s">
        <v>521</v>
      </c>
      <c r="D68" s="10" t="s">
        <v>225</v>
      </c>
      <c r="E68" s="7" t="s">
        <v>372</v>
      </c>
      <c r="F68" s="3" t="s">
        <v>373</v>
      </c>
      <c r="G68" s="3" t="s">
        <v>23</v>
      </c>
      <c r="H68" s="4">
        <v>45904</v>
      </c>
      <c r="I68" s="4">
        <v>46268</v>
      </c>
      <c r="J68" s="3" t="s">
        <v>522</v>
      </c>
      <c r="K68" s="3" t="str">
        <f t="shared" si="28"/>
        <v>Prj000426-Implement - Minor Enhancements for Sales</v>
      </c>
      <c r="L68" s="21" t="s">
        <v>301</v>
      </c>
      <c r="M68" s="21" t="s">
        <v>16</v>
      </c>
      <c r="N68" s="21" t="s">
        <v>16</v>
      </c>
      <c r="O68" s="21"/>
      <c r="P68" s="21" t="s">
        <v>302</v>
      </c>
      <c r="Q68" s="21" t="s">
        <v>303</v>
      </c>
      <c r="R68" s="21" t="s">
        <v>303</v>
      </c>
      <c r="S68" s="21" t="s">
        <v>304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SUM(Financials202632[[#This Row],[2026 Opportunity]:[2026 Risk]])</f>
        <v>0</v>
      </c>
      <c r="AA68" s="3" t="s">
        <v>523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SUM(Financials202632[[#This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SUM(Financials202632[[#This Row],[Jan AC]:[Dec AC]])</f>
        <v>131118.75</v>
      </c>
      <c r="BC68" s="71">
        <f>Financials202632[[#This Row],[Jan AC]]-Financials202632[[#This Row],[Jan FC]]</f>
        <v>0</v>
      </c>
      <c r="BD68" s="71">
        <f>Financials202632[[#This Row],[Feb AC]]-Financials202632[[#This Row],[Feb FC]]</f>
        <v>0</v>
      </c>
      <c r="BE68" s="71">
        <f>Financials202632[[#This Row],[Mar AC]]-Financials202632[[#This Row],[Mar FC]]</f>
        <v>0</v>
      </c>
      <c r="BF68" s="71">
        <f>Financials202632[[#This Row],[Apr AC]]-Financials202632[[#This Row],[Apr FC]]</f>
        <v>0</v>
      </c>
      <c r="BG68" s="71">
        <f>Financials202632[[#This Row],[May AC]]-Financials202632[[#This Row],[May FC]]</f>
        <v>0</v>
      </c>
      <c r="BH68" s="71">
        <f>Financials202632[[#This Row],[Jun AC]]-Financials202632[[#This Row],[Jun FC]]</f>
        <v>0</v>
      </c>
      <c r="BI68" s="71">
        <f>Financials202632[[#This Row],[Jul AC]]-Financials202632[[#This Row],[Jul FC]]</f>
        <v>0</v>
      </c>
      <c r="BJ68" s="71">
        <f>Financials202632[[#This Row],[Aug AC]]-Financials202632[[#This Row],[Aug FC]]</f>
        <v>0</v>
      </c>
      <c r="BK68" s="71">
        <f>Financials202632[[#This Row],[Sep AC]]-Financials202632[[#This Row],[Sep FC]]</f>
        <v>0</v>
      </c>
      <c r="BL68" s="71">
        <f>Financials202632[[#This Row],[Oct AC]]-Financials202632[[#This Row],[Oct FC]]</f>
        <v>-14568.75</v>
      </c>
      <c r="BM68" s="71">
        <f>Financials202632[[#This Row],[Nov AC]]-Financials202632[[#This Row],[Nov FC]]</f>
        <v>-14568.75</v>
      </c>
      <c r="BN68" s="71">
        <f>Financials202632[[#This Row],[Dec AC]]-Financials202632[[#This Row],[Dec FC]]</f>
        <v>-14568.75</v>
      </c>
      <c r="BO68" s="71">
        <f>SUM(Financials202632[[#This Row],[Jan Opp/Risk]:[Dec Opp./Risk]])</f>
        <v>-43706.25</v>
      </c>
      <c r="BP68" s="87"/>
      <c r="BQ68" s="47">
        <f>SUM(Financials202632[[#This Row],[Jan AC]:[May AC]])</f>
        <v>72843.75</v>
      </c>
      <c r="BR68" s="6">
        <f>Financials202632[[#This Row],[2026 (Actuals + Forecast)]]-Financials202632[[#This Row],[Jan-May Actuals]]-Financials202632[[#This Row],[Jun-Dec FC]]</f>
        <v>0</v>
      </c>
      <c r="BS68" s="6">
        <f>Financials202632[[#This Row],[Jun-Dec FC]]+Financials202632[[#This Row],[Jan-May Forecast ]]</f>
        <v>101981.25</v>
      </c>
      <c r="BT68" s="6">
        <f>SUM(Financials202632[[#This Row],[Jan FC]:[May FC]])</f>
        <v>72843.75</v>
      </c>
      <c r="BU68" s="6">
        <f>Financials202632[[#This Row],[Jan-May Actuals]]+Financials202632[[#This Row],[Forecast Jun-Dec]]</f>
        <v>174825</v>
      </c>
      <c r="BV68" s="6"/>
      <c r="BW68" s="6" t="s">
        <v>16</v>
      </c>
      <c r="BX68" s="6" t="s">
        <v>306</v>
      </c>
    </row>
    <row r="69" spans="1:76" x14ac:dyDescent="0.3">
      <c r="A69" s="22" t="s">
        <v>295</v>
      </c>
      <c r="B69" s="21" t="s">
        <v>171</v>
      </c>
      <c r="C69" s="21" t="s">
        <v>524</v>
      </c>
      <c r="D69" s="10" t="s">
        <v>443</v>
      </c>
      <c r="E69" s="7" t="s">
        <v>444</v>
      </c>
      <c r="F69" s="3" t="s">
        <v>299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301</v>
      </c>
      <c r="M69" s="21" t="s">
        <v>16</v>
      </c>
      <c r="N69" s="21" t="s">
        <v>16</v>
      </c>
      <c r="O69" s="21"/>
      <c r="P69" s="21" t="s">
        <v>302</v>
      </c>
      <c r="Q69" s="21" t="s">
        <v>303</v>
      </c>
      <c r="R69" s="21" t="s">
        <v>303</v>
      </c>
      <c r="S69" s="21" t="s">
        <v>333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SUM(Financials202632[[#This Row],[2026 Opportunity]:[2026 Risk]])</f>
        <v>0</v>
      </c>
      <c r="AA69" s="3" t="s">
        <v>355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SUM(Financials202632[[#This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SUM(Financials202632[[#This Row],[Jan AC]:[Dec AC]])</f>
        <v>0</v>
      </c>
      <c r="BC69" s="71">
        <f>Financials202632[[#This Row],[Jan AC]]-Financials202632[[#This Row],[Jan FC]]</f>
        <v>0</v>
      </c>
      <c r="BD69" s="71">
        <f>Financials202632[[#This Row],[Feb AC]]-Financials202632[[#This Row],[Feb FC]]</f>
        <v>0</v>
      </c>
      <c r="BE69" s="71">
        <f>Financials202632[[#This Row],[Mar AC]]-Financials202632[[#This Row],[Mar FC]]</f>
        <v>0</v>
      </c>
      <c r="BF69" s="71">
        <f>Financials202632[[#This Row],[Apr AC]]-Financials202632[[#This Row],[Apr FC]]</f>
        <v>0</v>
      </c>
      <c r="BG69" s="71">
        <f>Financials202632[[#This Row],[May AC]]-Financials202632[[#This Row],[May FC]]</f>
        <v>0</v>
      </c>
      <c r="BH69" s="71">
        <f>Financials202632[[#This Row],[Jun AC]]-Financials202632[[#This Row],[Jun FC]]</f>
        <v>0</v>
      </c>
      <c r="BI69" s="71">
        <f>Financials202632[[#This Row],[Jul AC]]-Financials202632[[#This Row],[Jul FC]]</f>
        <v>0</v>
      </c>
      <c r="BJ69" s="71">
        <f>Financials202632[[#This Row],[Aug AC]]-Financials202632[[#This Row],[Aug FC]]</f>
        <v>0</v>
      </c>
      <c r="BK69" s="71">
        <f>Financials202632[[#This Row],[Sep AC]]-Financials202632[[#This Row],[Sep FC]]</f>
        <v>0</v>
      </c>
      <c r="BL69" s="71">
        <f>Financials202632[[#This Row],[Oct AC]]-Financials202632[[#This Row],[Oct FC]]</f>
        <v>0</v>
      </c>
      <c r="BM69" s="71">
        <f>Financials202632[[#This Row],[Nov AC]]-Financials202632[[#This Row],[Nov FC]]</f>
        <v>0</v>
      </c>
      <c r="BN69" s="71">
        <f>Financials202632[[#This Row],[Dec AC]]-Financials202632[[#This Row],[Dec FC]]</f>
        <v>-5407.5</v>
      </c>
      <c r="BO69" s="71">
        <f>SUM(Financials202632[[#This Row],[Jan Opp/Risk]:[Dec Opp./Risk]])</f>
        <v>-5407.5</v>
      </c>
      <c r="BP69" s="87"/>
      <c r="BQ69" s="47">
        <f>SUM(Financials202632[[#This Row],[Jan AC]:[May AC]])</f>
        <v>0</v>
      </c>
      <c r="BR69" s="6">
        <f>Financials202632[[#This Row],[2026 (Actuals + Forecast)]]-Financials202632[[#This Row],[Jan-May Actuals]]-Financials202632[[#This Row],[Jun-Dec FC]]</f>
        <v>0</v>
      </c>
      <c r="BS69" s="6">
        <f>Financials202632[[#This Row],[Jun-Dec FC]]+Financials202632[[#This Row],[Jan-May Forecast ]]</f>
        <v>5407.5</v>
      </c>
      <c r="BT69" s="6">
        <f>SUM(Financials202632[[#This Row],[Jan FC]:[May FC]])</f>
        <v>0</v>
      </c>
      <c r="BU69" s="6">
        <f>Financials202632[[#This Row],[Jan-May Actuals]]+Financials202632[[#This Row],[Forecast Jun-Dec]]</f>
        <v>5407.5</v>
      </c>
      <c r="BV69" s="6"/>
      <c r="BW69" s="6" t="s">
        <v>16</v>
      </c>
      <c r="BX69" s="6" t="s">
        <v>306</v>
      </c>
    </row>
    <row r="70" spans="1:76" x14ac:dyDescent="0.3">
      <c r="A70" s="22" t="s">
        <v>295</v>
      </c>
      <c r="B70" s="21" t="s">
        <v>72</v>
      </c>
      <c r="C70" s="21" t="s">
        <v>525</v>
      </c>
      <c r="D70" s="10" t="s">
        <v>297</v>
      </c>
      <c r="E70" s="7" t="s">
        <v>298</v>
      </c>
      <c r="F70" s="3" t="s">
        <v>299</v>
      </c>
      <c r="G70" s="3" t="s">
        <v>21</v>
      </c>
      <c r="H70" s="4">
        <v>45947</v>
      </c>
      <c r="I70" s="4">
        <v>46676</v>
      </c>
      <c r="J70" s="3" t="s">
        <v>526</v>
      </c>
      <c r="K70" s="3" t="str">
        <f t="shared" si="28"/>
        <v>Prj000350-Support - Infrastructure for Tech</v>
      </c>
      <c r="L70" s="21" t="s">
        <v>301</v>
      </c>
      <c r="M70" s="21" t="s">
        <v>16</v>
      </c>
      <c r="N70" s="21" t="s">
        <v>16</v>
      </c>
      <c r="O70" s="21" t="s">
        <v>16</v>
      </c>
      <c r="P70" s="21" t="s">
        <v>302</v>
      </c>
      <c r="Q70" s="21" t="s">
        <v>303</v>
      </c>
      <c r="R70" s="21" t="s">
        <v>303</v>
      </c>
      <c r="S70" s="21" t="s">
        <v>312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SUM(Financials202632[[#This Row],[2026 Opportunity]:[2026 Risk]])</f>
        <v>0</v>
      </c>
      <c r="AA70" s="3" t="s">
        <v>527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SUM(Financials202632[[#This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SUM(Financials202632[[#This Row],[Jan AC]:[Dec AC]])</f>
        <v>0</v>
      </c>
      <c r="BC70" s="71">
        <f>Financials202632[[#This Row],[Jan AC]]-Financials202632[[#This Row],[Jan FC]]</f>
        <v>0</v>
      </c>
      <c r="BD70" s="71">
        <f>Financials202632[[#This Row],[Feb AC]]-Financials202632[[#This Row],[Feb FC]]</f>
        <v>0</v>
      </c>
      <c r="BE70" s="71">
        <f>Financials202632[[#This Row],[Mar AC]]-Financials202632[[#This Row],[Mar FC]]</f>
        <v>0</v>
      </c>
      <c r="BF70" s="71">
        <f>Financials202632[[#This Row],[Apr AC]]-Financials202632[[#This Row],[Apr FC]]</f>
        <v>0</v>
      </c>
      <c r="BG70" s="71">
        <f>Financials202632[[#This Row],[May AC]]-Financials202632[[#This Row],[May FC]]</f>
        <v>0</v>
      </c>
      <c r="BH70" s="71">
        <f>Financials202632[[#This Row],[Jun AC]]-Financials202632[[#This Row],[Jun FC]]</f>
        <v>0</v>
      </c>
      <c r="BI70" s="71">
        <f>Financials202632[[#This Row],[Jul AC]]-Financials202632[[#This Row],[Jul FC]]</f>
        <v>0</v>
      </c>
      <c r="BJ70" s="71">
        <f>Financials202632[[#This Row],[Aug AC]]-Financials202632[[#This Row],[Aug FC]]</f>
        <v>0</v>
      </c>
      <c r="BK70" s="71">
        <f>Financials202632[[#This Row],[Sep AC]]-Financials202632[[#This Row],[Sep FC]]</f>
        <v>0</v>
      </c>
      <c r="BL70" s="71">
        <f>Financials202632[[#This Row],[Oct AC]]-Financials202632[[#This Row],[Oct FC]]</f>
        <v>0</v>
      </c>
      <c r="BM70" s="71">
        <f>Financials202632[[#This Row],[Nov AC]]-Financials202632[[#This Row],[Nov FC]]</f>
        <v>0</v>
      </c>
      <c r="BN70" s="71">
        <f>Financials202632[[#This Row],[Dec AC]]-Financials202632[[#This Row],[Dec FC]]</f>
        <v>0</v>
      </c>
      <c r="BO70" s="71">
        <f>SUM(Financials202632[[#This Row],[Jan Opp/Risk]:[Dec Opp./Risk]])</f>
        <v>0</v>
      </c>
      <c r="BP70" s="87"/>
      <c r="BQ70" s="47">
        <f>SUM(Financials202632[[#This Row],[Jan AC]:[May AC]])</f>
        <v>0</v>
      </c>
      <c r="BR70" s="6">
        <f>Financials202632[[#This Row],[2026 (Actuals + Forecast)]]-Financials202632[[#This Row],[Jan-May Actuals]]-Financials202632[[#This Row],[Jun-Dec FC]]</f>
        <v>0</v>
      </c>
      <c r="BS70" s="6">
        <f>Financials202632[[#This Row],[Jun-Dec FC]]+Financials202632[[#This Row],[Jan-May Forecast ]]</f>
        <v>0</v>
      </c>
      <c r="BT70" s="6">
        <f>SUM(Financials202632[[#This Row],[Jan FC]:[May FC]])</f>
        <v>0</v>
      </c>
      <c r="BU70" s="6">
        <f>Financials202632[[#This Row],[Jan-May Actuals]]+Financials202632[[#This Row],[Forecast Jun-Dec]]</f>
        <v>0</v>
      </c>
      <c r="BV70" s="6"/>
      <c r="BW70" s="6" t="s">
        <v>16</v>
      </c>
      <c r="BX70" s="6" t="s">
        <v>306</v>
      </c>
    </row>
    <row r="71" spans="1:76" x14ac:dyDescent="0.3">
      <c r="A71" s="22" t="s">
        <v>295</v>
      </c>
      <c r="B71" s="21" t="s">
        <v>72</v>
      </c>
      <c r="C71" s="21" t="s">
        <v>525</v>
      </c>
      <c r="D71" s="10" t="s">
        <v>399</v>
      </c>
      <c r="E71" s="7" t="s">
        <v>400</v>
      </c>
      <c r="F71" s="3" t="s">
        <v>385</v>
      </c>
      <c r="G71" s="3" t="s">
        <v>20</v>
      </c>
      <c r="H71" s="4">
        <v>45960</v>
      </c>
      <c r="I71" s="4">
        <v>46324</v>
      </c>
      <c r="J71" s="3" t="s">
        <v>528</v>
      </c>
      <c r="K71" s="3" t="str">
        <f t="shared" si="28"/>
        <v>Prj000467-Support - Enterprise Tech Helpdesk</v>
      </c>
      <c r="L71" s="21" t="s">
        <v>301</v>
      </c>
      <c r="M71" s="21" t="s">
        <v>16</v>
      </c>
      <c r="N71" s="21" t="s">
        <v>16</v>
      </c>
      <c r="O71" s="21" t="s">
        <v>16</v>
      </c>
      <c r="P71" s="21" t="s">
        <v>302</v>
      </c>
      <c r="Q71" s="21" t="s">
        <v>303</v>
      </c>
      <c r="R71" s="21" t="s">
        <v>303</v>
      </c>
      <c r="S71" s="21" t="s">
        <v>333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SUM(Financials202632[[#This Row],[2026 Opportunity]:[2026 Risk]])</f>
        <v>0.3125</v>
      </c>
      <c r="AA71" s="3" t="s">
        <v>528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SUM(Financials202632[[#This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SUM(Financials202632[[#This Row],[Jan AC]:[Dec AC]])</f>
        <v>957.23</v>
      </c>
      <c r="BC71" s="71">
        <f>Financials202632[[#This Row],[Jan AC]]-Financials202632[[#This Row],[Jan FC]]</f>
        <v>0.23000000000001819</v>
      </c>
      <c r="BD71" s="71">
        <f>Financials202632[[#This Row],[Feb AC]]-Financials202632[[#This Row],[Feb FC]]</f>
        <v>0</v>
      </c>
      <c r="BE71" s="71">
        <f>Financials202632[[#This Row],[Mar AC]]-Financials202632[[#This Row],[Mar FC]]</f>
        <v>0</v>
      </c>
      <c r="BF71" s="71">
        <f>Financials202632[[#This Row],[Apr AC]]-Financials202632[[#This Row],[Apr FC]]</f>
        <v>0</v>
      </c>
      <c r="BG71" s="71">
        <f>Financials202632[[#This Row],[May AC]]-Financials202632[[#This Row],[May FC]]</f>
        <v>0</v>
      </c>
      <c r="BH71" s="71">
        <f>Financials202632[[#This Row],[Jun AC]]-Financials202632[[#This Row],[Jun FC]]</f>
        <v>0</v>
      </c>
      <c r="BI71" s="71">
        <f>Financials202632[[#This Row],[Jul AC]]-Financials202632[[#This Row],[Jul FC]]</f>
        <v>0</v>
      </c>
      <c r="BJ71" s="71">
        <f>Financials202632[[#This Row],[Aug AC]]-Financials202632[[#This Row],[Aug FC]]</f>
        <v>0</v>
      </c>
      <c r="BK71" s="71">
        <f>Financials202632[[#This Row],[Sep AC]]-Financials202632[[#This Row],[Sep FC]]</f>
        <v>0</v>
      </c>
      <c r="BL71" s="71">
        <f>Financials202632[[#This Row],[Oct AC]]-Financials202632[[#This Row],[Oct FC]]</f>
        <v>-97986</v>
      </c>
      <c r="BM71" s="71">
        <f>Financials202632[[#This Row],[Nov AC]]-Financials202632[[#This Row],[Nov FC]]</f>
        <v>0</v>
      </c>
      <c r="BN71" s="71">
        <f>Financials202632[[#This Row],[Dec AC]]-Financials202632[[#This Row],[Dec FC]]</f>
        <v>0</v>
      </c>
      <c r="BO71" s="71">
        <f>SUM(Financials202632[[#This Row],[Jan Opp/Risk]:[Dec Opp./Risk]])</f>
        <v>-97985.77</v>
      </c>
      <c r="BP71" s="87"/>
      <c r="BQ71" s="47">
        <f>SUM(Financials202632[[#This Row],[Jan AC]:[May AC]])</f>
        <v>957.23</v>
      </c>
      <c r="BR71" s="6">
        <f>Financials202632[[#This Row],[2026 (Actuals + Forecast)]]-Financials202632[[#This Row],[Jan-May Actuals]]-Financials202632[[#This Row],[Jun-Dec FC]]</f>
        <v>0</v>
      </c>
      <c r="BS71" s="6">
        <f>Financials202632[[#This Row],[Jun-Dec FC]]+Financials202632[[#This Row],[Jan-May Forecast ]]</f>
        <v>97986</v>
      </c>
      <c r="BT71" s="6">
        <f>SUM(Financials202632[[#This Row],[Jan FC]:[May FC]])</f>
        <v>957</v>
      </c>
      <c r="BU71" s="6">
        <f>Financials202632[[#This Row],[Jan-May Actuals]]+Financials202632[[#This Row],[Forecast Jun-Dec]]</f>
        <v>98943.23</v>
      </c>
      <c r="BV71" s="6"/>
      <c r="BW71" s="6" t="s">
        <v>16</v>
      </c>
      <c r="BX71" s="6" t="s">
        <v>306</v>
      </c>
    </row>
    <row r="72" spans="1:76" x14ac:dyDescent="0.3">
      <c r="A72" s="22" t="s">
        <v>295</v>
      </c>
      <c r="B72" s="21" t="s">
        <v>72</v>
      </c>
      <c r="C72" s="21" t="s">
        <v>525</v>
      </c>
      <c r="D72" s="10" t="s">
        <v>430</v>
      </c>
      <c r="E72" s="7" t="s">
        <v>431</v>
      </c>
      <c r="F72" s="3" t="s">
        <v>427</v>
      </c>
      <c r="G72" s="3" t="s">
        <v>20</v>
      </c>
      <c r="H72" s="4">
        <v>45870</v>
      </c>
      <c r="I72" s="4">
        <v>46234</v>
      </c>
      <c r="J72" s="3" t="s">
        <v>529</v>
      </c>
      <c r="K72" s="3" t="str">
        <f t="shared" si="28"/>
        <v>Prj000548-Implement - Reporting for Internal Audit</v>
      </c>
      <c r="L72" s="21" t="s">
        <v>301</v>
      </c>
      <c r="M72" s="21" t="s">
        <v>16</v>
      </c>
      <c r="N72" s="21" t="s">
        <v>16</v>
      </c>
      <c r="O72" s="21" t="s">
        <v>16</v>
      </c>
      <c r="P72" s="21" t="s">
        <v>302</v>
      </c>
      <c r="Q72" s="21" t="s">
        <v>303</v>
      </c>
      <c r="R72" s="21" t="s">
        <v>303</v>
      </c>
      <c r="S72" s="21" t="s">
        <v>333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SUM(Financials202632[[#This Row],[2026 Opportunity]:[2026 Risk]])</f>
        <v>0</v>
      </c>
      <c r="AA72" s="3" t="s">
        <v>530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SUM(Financials202632[[#This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SUM(Financials202632[[#This Row],[Jan AC]:[Dec AC]])</f>
        <v>0</v>
      </c>
      <c r="BC72" s="71">
        <f>Financials202632[[#This Row],[Jan AC]]-Financials202632[[#This Row],[Jan FC]]</f>
        <v>0</v>
      </c>
      <c r="BD72" s="71">
        <f>Financials202632[[#This Row],[Feb AC]]-Financials202632[[#This Row],[Feb FC]]</f>
        <v>0</v>
      </c>
      <c r="BE72" s="71">
        <f>Financials202632[[#This Row],[Mar AC]]-Financials202632[[#This Row],[Mar FC]]</f>
        <v>0</v>
      </c>
      <c r="BF72" s="71">
        <f>Financials202632[[#This Row],[Apr AC]]-Financials202632[[#This Row],[Apr FC]]</f>
        <v>0</v>
      </c>
      <c r="BG72" s="71">
        <f>Financials202632[[#This Row],[May AC]]-Financials202632[[#This Row],[May FC]]</f>
        <v>0</v>
      </c>
      <c r="BH72" s="71">
        <f>Financials202632[[#This Row],[Jun AC]]-Financials202632[[#This Row],[Jun FC]]</f>
        <v>0</v>
      </c>
      <c r="BI72" s="71">
        <f>Financials202632[[#This Row],[Jul AC]]-Financials202632[[#This Row],[Jul FC]]</f>
        <v>0</v>
      </c>
      <c r="BJ72" s="71">
        <f>Financials202632[[#This Row],[Aug AC]]-Financials202632[[#This Row],[Aug FC]]</f>
        <v>0</v>
      </c>
      <c r="BK72" s="71">
        <f>Financials202632[[#This Row],[Sep AC]]-Financials202632[[#This Row],[Sep FC]]</f>
        <v>0</v>
      </c>
      <c r="BL72" s="71">
        <f>Financials202632[[#This Row],[Oct AC]]-Financials202632[[#This Row],[Oct FC]]</f>
        <v>-48667.5</v>
      </c>
      <c r="BM72" s="71">
        <f>Financials202632[[#This Row],[Nov AC]]-Financials202632[[#This Row],[Nov FC]]</f>
        <v>0</v>
      </c>
      <c r="BN72" s="71">
        <f>Financials202632[[#This Row],[Dec AC]]-Financials202632[[#This Row],[Dec FC]]</f>
        <v>0</v>
      </c>
      <c r="BO72" s="71">
        <f>SUM(Financials202632[[#This Row],[Jan Opp/Risk]:[Dec Opp./Risk]])</f>
        <v>-48667.5</v>
      </c>
      <c r="BP72" s="87"/>
      <c r="BQ72" s="47">
        <f>SUM(Financials202632[[#This Row],[Jan AC]:[May AC]])</f>
        <v>0</v>
      </c>
      <c r="BR72" s="6">
        <f>Financials202632[[#This Row],[2026 (Actuals + Forecast)]]-Financials202632[[#This Row],[Jan-May Actuals]]-Financials202632[[#This Row],[Jun-Dec FC]]</f>
        <v>0</v>
      </c>
      <c r="BS72" s="6">
        <f>Financials202632[[#This Row],[Jun-Dec FC]]+Financials202632[[#This Row],[Jan-May Forecast ]]</f>
        <v>48667.5</v>
      </c>
      <c r="BT72" s="6">
        <f>SUM(Financials202632[[#This Row],[Jan FC]:[May FC]])</f>
        <v>0</v>
      </c>
      <c r="BU72" s="6">
        <f>Financials202632[[#This Row],[Jan-May Actuals]]+Financials202632[[#This Row],[Forecast Jun-Dec]]</f>
        <v>48667.5</v>
      </c>
      <c r="BV72" s="6"/>
      <c r="BW72" s="6" t="s">
        <v>16</v>
      </c>
      <c r="BX72" s="6" t="s">
        <v>306</v>
      </c>
    </row>
    <row r="73" spans="1:76" x14ac:dyDescent="0.3">
      <c r="A73" s="22" t="s">
        <v>295</v>
      </c>
      <c r="B73" s="21" t="s">
        <v>72</v>
      </c>
      <c r="C73" s="21" t="s">
        <v>525</v>
      </c>
      <c r="D73" s="10" t="s">
        <v>425</v>
      </c>
      <c r="E73" s="7" t="s">
        <v>426</v>
      </c>
      <c r="F73" s="3" t="s">
        <v>427</v>
      </c>
      <c r="G73" s="3" t="s">
        <v>20</v>
      </c>
      <c r="H73" s="4">
        <v>45896</v>
      </c>
      <c r="I73" s="4">
        <v>46260</v>
      </c>
      <c r="J73" s="3" t="s">
        <v>531</v>
      </c>
      <c r="K73" s="3" t="str">
        <f t="shared" si="28"/>
        <v>Prj000458-Support - Data Analytics Office</v>
      </c>
      <c r="L73" s="21" t="s">
        <v>301</v>
      </c>
      <c r="M73" s="21" t="s">
        <v>16</v>
      </c>
      <c r="N73" s="21" t="s">
        <v>16</v>
      </c>
      <c r="O73" s="21" t="s">
        <v>532</v>
      </c>
      <c r="P73" s="21" t="s">
        <v>302</v>
      </c>
      <c r="Q73" s="21" t="s">
        <v>303</v>
      </c>
      <c r="R73" s="21" t="s">
        <v>303</v>
      </c>
      <c r="S73" s="21" t="s">
        <v>333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SUM(Financials202632[[#This Row],[2026 Opportunity]:[2026 Risk]])</f>
        <v>0</v>
      </c>
      <c r="AA73" s="3" t="s">
        <v>533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SUM(Financials202632[[#This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SUM(Financials202632[[#This Row],[Jan AC]:[Dec AC]])</f>
        <v>0</v>
      </c>
      <c r="BC73" s="71">
        <f>Financials202632[[#This Row],[Jan AC]]-Financials202632[[#This Row],[Jan FC]]</f>
        <v>0</v>
      </c>
      <c r="BD73" s="71">
        <f>Financials202632[[#This Row],[Feb AC]]-Financials202632[[#This Row],[Feb FC]]</f>
        <v>0</v>
      </c>
      <c r="BE73" s="71">
        <f>Financials202632[[#This Row],[Mar AC]]-Financials202632[[#This Row],[Mar FC]]</f>
        <v>0</v>
      </c>
      <c r="BF73" s="71">
        <f>Financials202632[[#This Row],[Apr AC]]-Financials202632[[#This Row],[Apr FC]]</f>
        <v>0</v>
      </c>
      <c r="BG73" s="71">
        <f>Financials202632[[#This Row],[May AC]]-Financials202632[[#This Row],[May FC]]</f>
        <v>0</v>
      </c>
      <c r="BH73" s="71">
        <f>Financials202632[[#This Row],[Jun AC]]-Financials202632[[#This Row],[Jun FC]]</f>
        <v>0</v>
      </c>
      <c r="BI73" s="71">
        <f>Financials202632[[#This Row],[Jul AC]]-Financials202632[[#This Row],[Jul FC]]</f>
        <v>0</v>
      </c>
      <c r="BJ73" s="71">
        <f>Financials202632[[#This Row],[Aug AC]]-Financials202632[[#This Row],[Aug FC]]</f>
        <v>-68250</v>
      </c>
      <c r="BK73" s="71">
        <f>Financials202632[[#This Row],[Sep AC]]-Financials202632[[#This Row],[Sep FC]]</f>
        <v>0</v>
      </c>
      <c r="BL73" s="71">
        <f>Financials202632[[#This Row],[Oct AC]]-Financials202632[[#This Row],[Oct FC]]</f>
        <v>0</v>
      </c>
      <c r="BM73" s="71">
        <f>Financials202632[[#This Row],[Nov AC]]-Financials202632[[#This Row],[Nov FC]]</f>
        <v>0</v>
      </c>
      <c r="BN73" s="71">
        <f>Financials202632[[#This Row],[Dec AC]]-Financials202632[[#This Row],[Dec FC]]</f>
        <v>0</v>
      </c>
      <c r="BO73" s="71">
        <f>SUM(Financials202632[[#This Row],[Jan Opp/Risk]:[Dec Opp./Risk]])</f>
        <v>-68250</v>
      </c>
      <c r="BP73" s="87"/>
      <c r="BQ73" s="47">
        <f>SUM(Financials202632[[#This Row],[Jan AC]:[May AC]])</f>
        <v>0</v>
      </c>
      <c r="BR73" s="6">
        <f>Financials202632[[#This Row],[2026 (Actuals + Forecast)]]-Financials202632[[#This Row],[Jan-May Actuals]]-Financials202632[[#This Row],[Jun-Dec FC]]</f>
        <v>0</v>
      </c>
      <c r="BS73" s="6">
        <f>Financials202632[[#This Row],[Jun-Dec FC]]+Financials202632[[#This Row],[Jan-May Forecast ]]</f>
        <v>68250</v>
      </c>
      <c r="BT73" s="6">
        <f>SUM(Financials202632[[#This Row],[Jan FC]:[May FC]])</f>
        <v>0</v>
      </c>
      <c r="BU73" s="6">
        <f>Financials202632[[#This Row],[Jan-May Actuals]]+Financials202632[[#This Row],[Forecast Jun-Dec]]</f>
        <v>68250</v>
      </c>
      <c r="BV73" s="6"/>
      <c r="BW73" s="6" t="s">
        <v>16</v>
      </c>
      <c r="BX73" s="6" t="s">
        <v>306</v>
      </c>
    </row>
    <row r="74" spans="1:76" x14ac:dyDescent="0.3">
      <c r="A74" s="22" t="s">
        <v>295</v>
      </c>
      <c r="B74" s="21" t="s">
        <v>41</v>
      </c>
      <c r="C74" s="21" t="s">
        <v>534</v>
      </c>
      <c r="D74" s="10" t="s">
        <v>383</v>
      </c>
      <c r="E74" s="7" t="s">
        <v>384</v>
      </c>
      <c r="F74" s="3" t="s">
        <v>385</v>
      </c>
      <c r="G74" s="3" t="s">
        <v>20</v>
      </c>
      <c r="H74" s="4">
        <v>46022</v>
      </c>
      <c r="I74" s="4">
        <v>46386</v>
      </c>
      <c r="J74" s="3" t="s">
        <v>535</v>
      </c>
      <c r="K74" s="3" t="str">
        <f t="shared" si="28"/>
        <v>Prj000403-Support - L2 CoE Management for Tech Horizontals</v>
      </c>
      <c r="L74" s="21" t="s">
        <v>301</v>
      </c>
      <c r="M74" s="21" t="s">
        <v>16</v>
      </c>
      <c r="N74" s="21" t="s">
        <v>16</v>
      </c>
      <c r="O74" s="21" t="s">
        <v>413</v>
      </c>
      <c r="P74" s="21" t="s">
        <v>302</v>
      </c>
      <c r="Q74" s="21" t="s">
        <v>303</v>
      </c>
      <c r="R74" s="21" t="s">
        <v>303</v>
      </c>
      <c r="S74" s="21" t="s">
        <v>333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SUM(Financials202632[[#This Row],[2026 Opportunity]:[2026 Risk]])</f>
        <v>-4802.4600000000064</v>
      </c>
      <c r="AA74" s="3" t="s">
        <v>536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SUM(Financials202632[[#This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SUM(Financials202632[[#This Row],[Jan AC]:[Dec AC]])</f>
        <v>96041.64</v>
      </c>
      <c r="BC74" s="71">
        <f>Financials202632[[#This Row],[Jan AC]]-Financials202632[[#This Row],[Jan FC]]</f>
        <v>0</v>
      </c>
      <c r="BD74" s="71">
        <f>Financials202632[[#This Row],[Feb AC]]-Financials202632[[#This Row],[Feb FC]]</f>
        <v>-4802.4600000000064</v>
      </c>
      <c r="BE74" s="71">
        <f>Financials202632[[#This Row],[Mar AC]]-Financials202632[[#This Row],[Mar FC]]</f>
        <v>0</v>
      </c>
      <c r="BF74" s="71">
        <f>Financials202632[[#This Row],[Apr AC]]-Financials202632[[#This Row],[Apr FC]]</f>
        <v>0</v>
      </c>
      <c r="BG74" s="71">
        <f>Financials202632[[#This Row],[May AC]]-Financials202632[[#This Row],[May FC]]</f>
        <v>0</v>
      </c>
      <c r="BH74" s="71">
        <f>Financials202632[[#This Row],[Jun AC]]-Financials202632[[#This Row],[Jun FC]]</f>
        <v>0</v>
      </c>
      <c r="BI74" s="71">
        <f>Financials202632[[#This Row],[Jul AC]]-Financials202632[[#This Row],[Jul FC]]</f>
        <v>0</v>
      </c>
      <c r="BJ74" s="71">
        <f>Financials202632[[#This Row],[Aug AC]]-Financials202632[[#This Row],[Aug FC]]</f>
        <v>0</v>
      </c>
      <c r="BK74" s="71">
        <f>Financials202632[[#This Row],[Sep AC]]-Financials202632[[#This Row],[Sep FC]]</f>
        <v>0</v>
      </c>
      <c r="BL74" s="71">
        <f>Financials202632[[#This Row],[Oct AC]]-Financials202632[[#This Row],[Oct FC]]</f>
        <v>0</v>
      </c>
      <c r="BM74" s="71">
        <f>Financials202632[[#This Row],[Nov AC]]-Financials202632[[#This Row],[Nov FC]]</f>
        <v>0</v>
      </c>
      <c r="BN74" s="71">
        <f>Financials202632[[#This Row],[Dec AC]]-Financials202632[[#This Row],[Dec FC]]</f>
        <v>0</v>
      </c>
      <c r="BO74" s="71">
        <f>SUM(Financials202632[[#This Row],[Jan Opp/Risk]:[Dec Opp./Risk]])</f>
        <v>-4802.4600000000064</v>
      </c>
      <c r="BP74" s="87" t="s">
        <v>356</v>
      </c>
      <c r="BQ74" s="47">
        <f>SUM(Financials202632[[#This Row],[Jan AC]:[May AC]])</f>
        <v>96041.64</v>
      </c>
      <c r="BR74" s="6">
        <f>Financials202632[[#This Row],[2026 (Actuals + Forecast)]]-Financials202632[[#This Row],[Jan-May Actuals]]-Financials202632[[#This Row],[Jun-Dec FC]]</f>
        <v>0</v>
      </c>
      <c r="BS74" s="6">
        <f>Financials202632[[#This Row],[Jun-Dec FC]]+Financials202632[[#This Row],[Jan-May Forecast ]]</f>
        <v>0</v>
      </c>
      <c r="BT74" s="6">
        <f>SUM(Financials202632[[#This Row],[Jan FC]:[May FC]])</f>
        <v>100844.1</v>
      </c>
      <c r="BU74" s="6">
        <f>Financials202632[[#This Row],[Jan-May Actuals]]+Financials202632[[#This Row],[Forecast Jun-Dec]]</f>
        <v>96041.64</v>
      </c>
      <c r="BV74" s="6"/>
      <c r="BW74" s="6" t="s">
        <v>16</v>
      </c>
      <c r="BX74" s="6" t="s">
        <v>306</v>
      </c>
    </row>
    <row r="75" spans="1:76" x14ac:dyDescent="0.3">
      <c r="A75" s="22" t="s">
        <v>295</v>
      </c>
      <c r="B75" s="21" t="s">
        <v>215</v>
      </c>
      <c r="C75" s="21" t="s">
        <v>537</v>
      </c>
      <c r="D75" s="10" t="s">
        <v>435</v>
      </c>
      <c r="E75" s="7" t="s">
        <v>436</v>
      </c>
      <c r="F75" s="3" t="s">
        <v>311</v>
      </c>
      <c r="G75" s="3" t="s">
        <v>25</v>
      </c>
      <c r="H75" s="4">
        <v>46017</v>
      </c>
      <c r="I75" s="4">
        <v>46381</v>
      </c>
      <c r="J75" s="3" t="s">
        <v>371</v>
      </c>
      <c r="K75" s="3" t="str">
        <f t="shared" si="28"/>
        <v>Prj000446-Implement - Minor Enhancements for Enterprise Apps</v>
      </c>
      <c r="L75" s="21" t="s">
        <v>301</v>
      </c>
      <c r="M75" s="21" t="s">
        <v>16</v>
      </c>
      <c r="N75" s="21" t="s">
        <v>16</v>
      </c>
      <c r="O75" s="21"/>
      <c r="P75" s="21" t="s">
        <v>302</v>
      </c>
      <c r="Q75" s="21" t="s">
        <v>303</v>
      </c>
      <c r="R75" s="21" t="s">
        <v>303</v>
      </c>
      <c r="S75" s="21" t="s">
        <v>333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SUM(Financials202632[[#This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SUM(Financials202632[[#This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SUM(Financials202632[[#This Row],[Jan AC]:[Dec AC]])</f>
        <v>878.21</v>
      </c>
      <c r="BC75" s="71">
        <f>Financials202632[[#This Row],[Jan AC]]-Financials202632[[#This Row],[Jan FC]]</f>
        <v>-38.860000000000014</v>
      </c>
      <c r="BD75" s="71">
        <f>Financials202632[[#This Row],[Feb AC]]-Financials202632[[#This Row],[Feb FC]]</f>
        <v>-38.860000000000014</v>
      </c>
      <c r="BE75" s="71">
        <f>Financials202632[[#This Row],[Mar AC]]-Financials202632[[#This Row],[Mar FC]]</f>
        <v>-14.689999999999998</v>
      </c>
      <c r="BF75" s="71">
        <f>Financials202632[[#This Row],[Apr AC]]-Financials202632[[#This Row],[Apr FC]]</f>
        <v>-14.689999999999998</v>
      </c>
      <c r="BG75" s="71">
        <f>Financials202632[[#This Row],[May AC]]-Financials202632[[#This Row],[May FC]]</f>
        <v>-14.689999999999998</v>
      </c>
      <c r="BH75" s="71">
        <f>Financials202632[[#This Row],[Jun AC]]-Financials202632[[#This Row],[Jun FC]]</f>
        <v>-200</v>
      </c>
      <c r="BI75" s="71">
        <f>Financials202632[[#This Row],[Jul AC]]-Financials202632[[#This Row],[Jul FC]]</f>
        <v>-200</v>
      </c>
      <c r="BJ75" s="71">
        <f>Financials202632[[#This Row],[Aug AC]]-Financials202632[[#This Row],[Aug FC]]</f>
        <v>-200</v>
      </c>
      <c r="BK75" s="71">
        <f>Financials202632[[#This Row],[Sep AC]]-Financials202632[[#This Row],[Sep FC]]</f>
        <v>-200</v>
      </c>
      <c r="BL75" s="71">
        <f>Financials202632[[#This Row],[Oct AC]]-Financials202632[[#This Row],[Oct FC]]</f>
        <v>-200</v>
      </c>
      <c r="BM75" s="71">
        <f>Financials202632[[#This Row],[Nov AC]]-Financials202632[[#This Row],[Nov FC]]</f>
        <v>-200</v>
      </c>
      <c r="BN75" s="71">
        <f>Financials202632[[#This Row],[Dec AC]]-Financials202632[[#This Row],[Dec FC]]</f>
        <v>-68232.698000000004</v>
      </c>
      <c r="BO75" s="71">
        <f>SUM(Financials202632[[#This Row],[Jan Opp/Risk]:[Dec Opp./Risk]])</f>
        <v>-69554.487999999998</v>
      </c>
      <c r="BP75" s="87"/>
      <c r="BQ75" s="47">
        <f>SUM(Financials202632[[#This Row],[Jan AC]:[May AC]])</f>
        <v>878.21</v>
      </c>
      <c r="BR75" s="6">
        <f>Financials202632[[#This Row],[2026 (Actuals + Forecast)]]-Financials202632[[#This Row],[Jan-May Actuals]]-Financials202632[[#This Row],[Jun-Dec FC]]</f>
        <v>0</v>
      </c>
      <c r="BS75" s="6">
        <f>Financials202632[[#This Row],[Jun-Dec FC]]+Financials202632[[#This Row],[Jan-May Forecast ]]</f>
        <v>69432.698000000004</v>
      </c>
      <c r="BT75" s="6">
        <f>SUM(Financials202632[[#This Row],[Jan FC]:[May FC]])</f>
        <v>1000</v>
      </c>
      <c r="BU75" s="6">
        <f>Financials202632[[#This Row],[Jan-May Actuals]]+Financials202632[[#This Row],[Forecast Jun-Dec]]</f>
        <v>70310.90800000001</v>
      </c>
      <c r="BV75" s="6"/>
      <c r="BW75" s="6" t="s">
        <v>16</v>
      </c>
      <c r="BX75" s="6" t="s">
        <v>306</v>
      </c>
    </row>
    <row r="76" spans="1:76" x14ac:dyDescent="0.3">
      <c r="A76" s="22" t="s">
        <v>295</v>
      </c>
      <c r="B76" s="21" t="s">
        <v>201</v>
      </c>
      <c r="C76" s="21" t="s">
        <v>343</v>
      </c>
      <c r="D76" s="10" t="s">
        <v>223</v>
      </c>
      <c r="E76" s="7" t="s">
        <v>344</v>
      </c>
      <c r="F76" s="3" t="s">
        <v>345</v>
      </c>
      <c r="G76" s="3" t="s">
        <v>24</v>
      </c>
      <c r="H76" s="4">
        <v>45831</v>
      </c>
      <c r="I76" s="4">
        <v>46196</v>
      </c>
      <c r="J76" s="3" t="s">
        <v>538</v>
      </c>
      <c r="K76" s="3" t="str">
        <f t="shared" si="28"/>
        <v>Prj000290-Support - Asset Management Applications</v>
      </c>
      <c r="L76" s="21" t="s">
        <v>301</v>
      </c>
      <c r="M76" s="21" t="s">
        <v>16</v>
      </c>
      <c r="N76" s="21" t="s">
        <v>16</v>
      </c>
      <c r="O76" s="21" t="s">
        <v>539</v>
      </c>
      <c r="P76" s="21" t="s">
        <v>302</v>
      </c>
      <c r="Q76" s="21" t="s">
        <v>303</v>
      </c>
      <c r="R76" s="21" t="s">
        <v>303</v>
      </c>
      <c r="S76" s="21" t="s">
        <v>304</v>
      </c>
      <c r="T76" s="5">
        <v>75833</v>
      </c>
      <c r="U76" s="15">
        <v>133245.90000000002</v>
      </c>
      <c r="V76" s="15">
        <f>133245.9+12254</f>
        <v>145499.9</v>
      </c>
      <c r="W76" s="15">
        <f t="shared" si="29"/>
        <v>145499.31666666668</v>
      </c>
      <c r="X76" s="15">
        <f t="shared" si="33"/>
        <v>-0.58333333331393078</v>
      </c>
      <c r="Y76" s="15">
        <f t="shared" si="30"/>
        <v>0</v>
      </c>
      <c r="Z76" s="15">
        <f>SUM(Financials202632[[#This Row],[2026 Opportunity]:[2026 Risk]])</f>
        <v>-0.58333333331393078</v>
      </c>
      <c r="AA76" s="3" t="s">
        <v>540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13416.666666666666</v>
      </c>
      <c r="AI76" s="52">
        <v>13416.666666666666</v>
      </c>
      <c r="AJ76" s="52">
        <v>13416.666666666666</v>
      </c>
      <c r="AK76" s="52">
        <v>13416.666666666666</v>
      </c>
      <c r="AL76" s="52">
        <v>13416.666666666666</v>
      </c>
      <c r="AM76" s="52">
        <v>13416.666666666666</v>
      </c>
      <c r="AN76" s="77">
        <f>SUM(Financials202632[[#This Row],[Jan FC]:[Dec FC]])</f>
        <v>145495.90000000002</v>
      </c>
      <c r="AO76" s="15">
        <f t="shared" si="31"/>
        <v>91332.650000000009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SUM(Financials202632[[#This Row],[Jan AC]:[Dec AC]])</f>
        <v>65000.000000000007</v>
      </c>
      <c r="BC76" s="71">
        <f>Financials202632[[#This Row],[Jan AC]]-Financials202632[[#This Row],[Jan FC]]</f>
        <v>0.68333333333066548</v>
      </c>
      <c r="BD76" s="71">
        <f>Financials202632[[#This Row],[Feb AC]]-Financials202632[[#This Row],[Feb FC]]</f>
        <v>0.68333333333066548</v>
      </c>
      <c r="BE76" s="71">
        <f>Financials202632[[#This Row],[Mar AC]]-Financials202632[[#This Row],[Mar FC]]</f>
        <v>0.68333333333066548</v>
      </c>
      <c r="BF76" s="71">
        <f>Financials202632[[#This Row],[Apr AC]]-Financials202632[[#This Row],[Apr FC]]</f>
        <v>0.68333333333066548</v>
      </c>
      <c r="BG76" s="71">
        <f>Financials202632[[#This Row],[May AC]]-Financials202632[[#This Row],[May FC]]</f>
        <v>0.68333333333066548</v>
      </c>
      <c r="BH76" s="71">
        <f>Financials202632[[#This Row],[Jun AC]]-Financials202632[[#This Row],[Jun FC]]</f>
        <v>0.68333333333066548</v>
      </c>
      <c r="BI76" s="71">
        <f>Financials202632[[#This Row],[Jul AC]]-Financials202632[[#This Row],[Jul FC]]</f>
        <v>-13416.666666666666</v>
      </c>
      <c r="BJ76" s="71">
        <f>Financials202632[[#This Row],[Aug AC]]-Financials202632[[#This Row],[Aug FC]]</f>
        <v>-13416.666666666666</v>
      </c>
      <c r="BK76" s="71">
        <f>Financials202632[[#This Row],[Sep AC]]-Financials202632[[#This Row],[Sep FC]]</f>
        <v>-13416.666666666666</v>
      </c>
      <c r="BL76" s="71">
        <f>Financials202632[[#This Row],[Oct AC]]-Financials202632[[#This Row],[Oct FC]]</f>
        <v>-13416.666666666666</v>
      </c>
      <c r="BM76" s="71">
        <f>Financials202632[[#This Row],[Nov AC]]-Financials202632[[#This Row],[Nov FC]]</f>
        <v>-13416.666666666666</v>
      </c>
      <c r="BN76" s="71">
        <f>Financials202632[[#This Row],[Dec AC]]-Financials202632[[#This Row],[Dec FC]]</f>
        <v>-13416.666666666666</v>
      </c>
      <c r="BO76" s="71">
        <f>SUM(Financials202632[[#This Row],[Jan Opp/Risk]:[Dec Opp./Risk]])</f>
        <v>-80495.900000000023</v>
      </c>
      <c r="BP76" s="87"/>
      <c r="BQ76" s="47">
        <f>SUM(Financials202632[[#This Row],[Jan AC]:[May AC]])</f>
        <v>54166.666666666672</v>
      </c>
      <c r="BR76" s="6">
        <f>Financials202632[[#This Row],[2026 (Actuals + Forecast)]]-Financials202632[[#This Row],[Jan-May Actuals]]-Financials202632[[#This Row],[Jun-Dec FC]]</f>
        <v>0</v>
      </c>
      <c r="BS76" s="6">
        <f>Financials202632[[#This Row],[Jun-Dec FC]]+Financials202632[[#This Row],[Jan-May Forecast ]]</f>
        <v>91332.650000000009</v>
      </c>
      <c r="BT76" s="6">
        <f>SUM(Financials202632[[#This Row],[Jan FC]:[May FC]])</f>
        <v>54163.250000000015</v>
      </c>
      <c r="BU76" s="6">
        <f>Financials202632[[#This Row],[Jan-May Actuals]]+Financials202632[[#This Row],[Forecast Jun-Dec]]</f>
        <v>145499.31666666668</v>
      </c>
      <c r="BV76" s="6"/>
      <c r="BW76" s="6" t="s">
        <v>16</v>
      </c>
      <c r="BX76" s="6" t="s">
        <v>306</v>
      </c>
    </row>
    <row r="77" spans="1:76" x14ac:dyDescent="0.3">
      <c r="A77" s="22" t="s">
        <v>295</v>
      </c>
      <c r="B77" s="21" t="s">
        <v>162</v>
      </c>
      <c r="C77" s="21" t="s">
        <v>541</v>
      </c>
      <c r="D77" s="10" t="s">
        <v>297</v>
      </c>
      <c r="E77" s="7" t="s">
        <v>298</v>
      </c>
      <c r="F77" s="3" t="s">
        <v>299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301</v>
      </c>
      <c r="M77" s="21" t="s">
        <v>16</v>
      </c>
      <c r="N77" s="21" t="s">
        <v>16</v>
      </c>
      <c r="O77" s="21"/>
      <c r="P77" s="21" t="s">
        <v>302</v>
      </c>
      <c r="Q77" s="21" t="s">
        <v>303</v>
      </c>
      <c r="R77" s="21" t="s">
        <v>303</v>
      </c>
      <c r="S77" s="21" t="s">
        <v>333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SUM(Financials202632[[#This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SUM(Financials202632[[#This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SUM(Financials202632[[#This Row],[Jan AC]:[Dec AC]])</f>
        <v>0</v>
      </c>
      <c r="BC77" s="71">
        <f>Financials202632[[#This Row],[Jan AC]]-Financials202632[[#This Row],[Jan FC]]</f>
        <v>0</v>
      </c>
      <c r="BD77" s="71">
        <f>Financials202632[[#This Row],[Feb AC]]-Financials202632[[#This Row],[Feb FC]]</f>
        <v>0</v>
      </c>
      <c r="BE77" s="71">
        <f>Financials202632[[#This Row],[Mar AC]]-Financials202632[[#This Row],[Mar FC]]</f>
        <v>-5250</v>
      </c>
      <c r="BF77" s="71">
        <f>Financials202632[[#This Row],[Apr AC]]-Financials202632[[#This Row],[Apr FC]]</f>
        <v>0</v>
      </c>
      <c r="BG77" s="71">
        <f>Financials202632[[#This Row],[May AC]]-Financials202632[[#This Row],[May FC]]</f>
        <v>0</v>
      </c>
      <c r="BH77" s="71">
        <f>Financials202632[[#This Row],[Jun AC]]-Financials202632[[#This Row],[Jun FC]]</f>
        <v>0</v>
      </c>
      <c r="BI77" s="71">
        <f>Financials202632[[#This Row],[Jul AC]]-Financials202632[[#This Row],[Jul FC]]</f>
        <v>0</v>
      </c>
      <c r="BJ77" s="71">
        <f>Financials202632[[#This Row],[Aug AC]]-Financials202632[[#This Row],[Aug FC]]</f>
        <v>0</v>
      </c>
      <c r="BK77" s="71">
        <f>Financials202632[[#This Row],[Sep AC]]-Financials202632[[#This Row],[Sep FC]]</f>
        <v>0</v>
      </c>
      <c r="BL77" s="71">
        <f>Financials202632[[#This Row],[Oct AC]]-Financials202632[[#This Row],[Oct FC]]</f>
        <v>0</v>
      </c>
      <c r="BM77" s="71">
        <f>Financials202632[[#This Row],[Nov AC]]-Financials202632[[#This Row],[Nov FC]]</f>
        <v>0</v>
      </c>
      <c r="BN77" s="71">
        <f>Financials202632[[#This Row],[Dec AC]]-Financials202632[[#This Row],[Dec FC]]</f>
        <v>0</v>
      </c>
      <c r="BO77" s="71">
        <f>SUM(Financials202632[[#This Row],[Jan Opp/Risk]:[Dec Opp./Risk]])</f>
        <v>-5250</v>
      </c>
      <c r="BP77" s="88"/>
      <c r="BQ77" s="47">
        <f>SUM(Financials202632[[#This Row],[Jan AC]:[May AC]])</f>
        <v>0</v>
      </c>
      <c r="BR77" s="6">
        <f>Financials202632[[#This Row],[2026 (Actuals + Forecast)]]-Financials202632[[#This Row],[Jan-May Actuals]]-Financials202632[[#This Row],[Jun-Dec FC]]</f>
        <v>5250</v>
      </c>
      <c r="BS77" s="6">
        <f>Financials202632[[#This Row],[Jun-Dec FC]]+Financials202632[[#This Row],[Jan-May Forecast ]]</f>
        <v>5250</v>
      </c>
      <c r="BT77" s="6">
        <f>SUM(Financials202632[[#This Row],[Jan FC]:[May FC]])</f>
        <v>5250</v>
      </c>
      <c r="BU77" s="6">
        <f>Financials202632[[#This Row],[Jan-May Actuals]]+Financials202632[[#This Row],[Forecast Jun-Dec]]</f>
        <v>5250</v>
      </c>
      <c r="BV77" s="6"/>
      <c r="BW77" s="6" t="s">
        <v>16</v>
      </c>
      <c r="BX77" s="6" t="s">
        <v>306</v>
      </c>
    </row>
    <row r="78" spans="1:76" x14ac:dyDescent="0.3">
      <c r="A78" s="22" t="s">
        <v>295</v>
      </c>
      <c r="B78" s="21" t="s">
        <v>155</v>
      </c>
      <c r="C78" s="21" t="s">
        <v>542</v>
      </c>
      <c r="D78" s="10" t="s">
        <v>383</v>
      </c>
      <c r="E78" s="7" t="s">
        <v>384</v>
      </c>
      <c r="F78" s="3" t="s">
        <v>385</v>
      </c>
      <c r="G78" s="3" t="s">
        <v>20</v>
      </c>
      <c r="H78" s="2" t="s">
        <v>346</v>
      </c>
      <c r="I78" s="2" t="s">
        <v>346</v>
      </c>
      <c r="J78" s="3"/>
      <c r="K78" s="3" t="str">
        <f t="shared" si="28"/>
        <v>Prj000403-Support - L2 CoE Management for Tech Horizontals</v>
      </c>
      <c r="L78" s="21" t="s">
        <v>301</v>
      </c>
      <c r="M78" s="21" t="s">
        <v>16</v>
      </c>
      <c r="N78" s="21" t="s">
        <v>16</v>
      </c>
      <c r="O78" s="21" t="s">
        <v>16</v>
      </c>
      <c r="P78" s="21" t="s">
        <v>302</v>
      </c>
      <c r="Q78" s="21" t="s">
        <v>303</v>
      </c>
      <c r="R78" s="21" t="s">
        <v>303</v>
      </c>
      <c r="S78" s="21" t="s">
        <v>328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SUM(Financials202632[[#This Row],[2026 Opportunity]:[2026 Risk]])</f>
        <v>23.484500000002299</v>
      </c>
      <c r="AA78" s="3" t="s">
        <v>543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SUM(Financials202632[[#This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SUM(Financials202632[[#This Row],[Jan AC]:[Dec AC]])</f>
        <v>14025.49</v>
      </c>
      <c r="BC78" s="71">
        <f>Financials202632[[#This Row],[Jan AC]]-Financials202632[[#This Row],[Jan FC]]</f>
        <v>0</v>
      </c>
      <c r="BD78" s="71">
        <f>Financials202632[[#This Row],[Feb AC]]-Financials202632[[#This Row],[Feb FC]]</f>
        <v>0</v>
      </c>
      <c r="BE78" s="71">
        <f>Financials202632[[#This Row],[Mar AC]]-Financials202632[[#This Row],[Mar FC]]</f>
        <v>-254.79999999999995</v>
      </c>
      <c r="BF78" s="71">
        <f>Financials202632[[#This Row],[Apr AC]]-Financials202632[[#This Row],[Apr FC]]</f>
        <v>-236.91000000000008</v>
      </c>
      <c r="BG78" s="71">
        <f>Financials202632[[#This Row],[May AC]]-Financials202632[[#This Row],[May FC]]</f>
        <v>260.80999999999995</v>
      </c>
      <c r="BH78" s="71">
        <f>Financials202632[[#This Row],[Jun AC]]-Financials202632[[#This Row],[Jun FC]]</f>
        <v>-1000</v>
      </c>
      <c r="BI78" s="71">
        <f>Financials202632[[#This Row],[Jul AC]]-Financials202632[[#This Row],[Jul FC]]</f>
        <v>-1000</v>
      </c>
      <c r="BJ78" s="71">
        <f>Financials202632[[#This Row],[Aug AC]]-Financials202632[[#This Row],[Aug FC]]</f>
        <v>-2190.75</v>
      </c>
      <c r="BK78" s="71">
        <f>Financials202632[[#This Row],[Sep AC]]-Financials202632[[#This Row],[Sep FC]]</f>
        <v>-2190.75</v>
      </c>
      <c r="BL78" s="71">
        <f>Financials202632[[#This Row],[Oct AC]]-Financials202632[[#This Row],[Oct FC]]</f>
        <v>-2190.75</v>
      </c>
      <c r="BM78" s="71">
        <f>Financials202632[[#This Row],[Nov AC]]-Financials202632[[#This Row],[Nov FC]]</f>
        <v>-2190.75</v>
      </c>
      <c r="BN78" s="71">
        <f>Financials202632[[#This Row],[Dec AC]]-Financials202632[[#This Row],[Dec FC]]</f>
        <v>-1523.75</v>
      </c>
      <c r="BO78" s="83">
        <f>SUM(Financials202632[[#This Row],[Jan Opp/Risk]:[Dec Opp./Risk]])</f>
        <v>-12517.65</v>
      </c>
      <c r="BP78" s="91" t="s">
        <v>544</v>
      </c>
      <c r="BQ78" s="47">
        <f>SUM(Financials202632[[#This Row],[Jan AC]:[May AC]])</f>
        <v>14025.49</v>
      </c>
      <c r="BR78" s="6">
        <f>Financials202632[[#This Row],[2026 (Actuals + Forecast)]]-Financials202632[[#This Row],[Jan-May Actuals]]-Financials202632[[#This Row],[Jun-Dec FC]]</f>
        <v>0</v>
      </c>
      <c r="BS78" s="6">
        <f>Financials202632[[#This Row],[Jun-Dec FC]]+Financials202632[[#This Row],[Jan-May Forecast ]]</f>
        <v>12286.75</v>
      </c>
      <c r="BT78" s="6">
        <f>SUM(Financials202632[[#This Row],[Jan FC]:[May FC]])</f>
        <v>14256.39</v>
      </c>
      <c r="BU78" s="6">
        <f>Financials202632[[#This Row],[Jan-May Actuals]]+Financials202632[[#This Row],[Forecast Jun-Dec]]</f>
        <v>26312.239999999998</v>
      </c>
      <c r="BV78" s="6"/>
      <c r="BW78" s="6" t="s">
        <v>16</v>
      </c>
      <c r="BX78" s="6" t="s">
        <v>306</v>
      </c>
    </row>
    <row r="79" spans="1:76" x14ac:dyDescent="0.3">
      <c r="A79" s="22" t="s">
        <v>295</v>
      </c>
      <c r="B79" s="21" t="s">
        <v>155</v>
      </c>
      <c r="C79" s="21" t="s">
        <v>542</v>
      </c>
      <c r="D79" s="10" t="s">
        <v>383</v>
      </c>
      <c r="E79" s="7" t="s">
        <v>384</v>
      </c>
      <c r="F79" s="3" t="s">
        <v>385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301</v>
      </c>
      <c r="M79" s="21" t="s">
        <v>16</v>
      </c>
      <c r="N79" s="21" t="s">
        <v>16</v>
      </c>
      <c r="O79" s="21" t="s">
        <v>16</v>
      </c>
      <c r="P79" s="21" t="s">
        <v>302</v>
      </c>
      <c r="Q79" s="21" t="s">
        <v>303</v>
      </c>
      <c r="R79" s="21" t="s">
        <v>303</v>
      </c>
      <c r="S79" s="21" t="s">
        <v>333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SUM(Financials202632[[#This Row],[2026 Opportunity]:[2026 Risk]])</f>
        <v>-0.25</v>
      </c>
      <c r="AA79" s="3" t="s">
        <v>545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SUM(Financials202632[[#This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SUM(Financials202632[[#This Row],[Jan AC]:[Dec AC]])</f>
        <v>0</v>
      </c>
      <c r="BC79" s="71">
        <f>Financials202632[[#This Row],[Jan AC]]-Financials202632[[#This Row],[Jan FC]]</f>
        <v>0</v>
      </c>
      <c r="BD79" s="71">
        <f>Financials202632[[#This Row],[Feb AC]]-Financials202632[[#This Row],[Feb FC]]</f>
        <v>0</v>
      </c>
      <c r="BE79" s="71">
        <f>Financials202632[[#This Row],[Mar AC]]-Financials202632[[#This Row],[Mar FC]]</f>
        <v>0</v>
      </c>
      <c r="BF79" s="71">
        <f>Financials202632[[#This Row],[Apr AC]]-Financials202632[[#This Row],[Apr FC]]</f>
        <v>0</v>
      </c>
      <c r="BG79" s="71">
        <f>Financials202632[[#This Row],[May AC]]-Financials202632[[#This Row],[May FC]]</f>
        <v>0</v>
      </c>
      <c r="BH79" s="71">
        <f>Financials202632[[#This Row],[Jun AC]]-Financials202632[[#This Row],[Jun FC]]</f>
        <v>0</v>
      </c>
      <c r="BI79" s="71">
        <f>Financials202632[[#This Row],[Jul AC]]-Financials202632[[#This Row],[Jul FC]]</f>
        <v>0</v>
      </c>
      <c r="BJ79" s="71">
        <f>Financials202632[[#This Row],[Aug AC]]-Financials202632[[#This Row],[Aug FC]]</f>
        <v>-91250</v>
      </c>
      <c r="BK79" s="71">
        <f>Financials202632[[#This Row],[Sep AC]]-Financials202632[[#This Row],[Sep FC]]</f>
        <v>0</v>
      </c>
      <c r="BL79" s="71">
        <f>Financials202632[[#This Row],[Oct AC]]-Financials202632[[#This Row],[Oct FC]]</f>
        <v>0</v>
      </c>
      <c r="BM79" s="71">
        <f>Financials202632[[#This Row],[Nov AC]]-Financials202632[[#This Row],[Nov FC]]</f>
        <v>0</v>
      </c>
      <c r="BN79" s="71">
        <f>Financials202632[[#This Row],[Dec AC]]-Financials202632[[#This Row],[Dec FC]]</f>
        <v>0</v>
      </c>
      <c r="BO79" s="71">
        <f>SUM(Financials202632[[#This Row],[Jan Opp/Risk]:[Dec Opp./Risk]])</f>
        <v>-91250</v>
      </c>
      <c r="BP79" s="87"/>
      <c r="BQ79" s="47">
        <f>SUM(Financials202632[[#This Row],[Jan AC]:[May AC]])</f>
        <v>0</v>
      </c>
      <c r="BR79" s="6">
        <f>Financials202632[[#This Row],[2026 (Actuals + Forecast)]]-Financials202632[[#This Row],[Jan-May Actuals]]-Financials202632[[#This Row],[Jun-Dec FC]]</f>
        <v>0</v>
      </c>
      <c r="BS79" s="6">
        <f>Financials202632[[#This Row],[Jun-Dec FC]]+Financials202632[[#This Row],[Jan-May Forecast ]]</f>
        <v>91250</v>
      </c>
      <c r="BT79" s="6">
        <f>SUM(Financials202632[[#This Row],[Jan FC]:[May FC]])</f>
        <v>0</v>
      </c>
      <c r="BU79" s="6">
        <f>Financials202632[[#This Row],[Jan-May Actuals]]+Financials202632[[#This Row],[Forecast Jun-Dec]]</f>
        <v>91250</v>
      </c>
      <c r="BV79" s="6"/>
      <c r="BW79" s="6" t="s">
        <v>16</v>
      </c>
      <c r="BX79" s="6" t="s">
        <v>306</v>
      </c>
    </row>
    <row r="80" spans="1:76" x14ac:dyDescent="0.3">
      <c r="A80" s="22" t="s">
        <v>295</v>
      </c>
      <c r="B80" s="21" t="s">
        <v>205</v>
      </c>
      <c r="C80" s="21" t="s">
        <v>546</v>
      </c>
      <c r="D80" s="10" t="s">
        <v>222</v>
      </c>
      <c r="E80" s="7" t="s">
        <v>310</v>
      </c>
      <c r="F80" s="3" t="s">
        <v>311</v>
      </c>
      <c r="G80" s="3" t="s">
        <v>25</v>
      </c>
      <c r="H80" s="4">
        <v>45992</v>
      </c>
      <c r="I80" s="4">
        <v>46356</v>
      </c>
      <c r="J80" s="3" t="s">
        <v>546</v>
      </c>
      <c r="K80" s="3" t="str">
        <f t="shared" si="28"/>
        <v>Prj000266-Support - Internal Tech Workforce Activities</v>
      </c>
      <c r="L80" s="21" t="s">
        <v>301</v>
      </c>
      <c r="M80" s="21" t="s">
        <v>16</v>
      </c>
      <c r="N80" s="21" t="s">
        <v>16</v>
      </c>
      <c r="O80" s="21" t="s">
        <v>16</v>
      </c>
      <c r="P80" s="21" t="s">
        <v>302</v>
      </c>
      <c r="Q80" s="21" t="s">
        <v>303</v>
      </c>
      <c r="R80" s="21" t="s">
        <v>303</v>
      </c>
      <c r="S80" s="21" t="s">
        <v>333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SUM(Financials202632[[#This Row],[2026 Opportunity]:[2026 Risk]])</f>
        <v>0</v>
      </c>
      <c r="AA80" s="3" t="s">
        <v>547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SUM(Financials202632[[#This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SUM(Financials202632[[#This Row],[Jan AC]:[Dec AC]])</f>
        <v>0</v>
      </c>
      <c r="BC80" s="71">
        <f>Financials202632[[#This Row],[Jan AC]]-Financials202632[[#This Row],[Jan FC]]</f>
        <v>0</v>
      </c>
      <c r="BD80" s="71">
        <f>Financials202632[[#This Row],[Feb AC]]-Financials202632[[#This Row],[Feb FC]]</f>
        <v>0</v>
      </c>
      <c r="BE80" s="71">
        <f>Financials202632[[#This Row],[Mar AC]]-Financials202632[[#This Row],[Mar FC]]</f>
        <v>0</v>
      </c>
      <c r="BF80" s="71">
        <f>Financials202632[[#This Row],[Apr AC]]-Financials202632[[#This Row],[Apr FC]]</f>
        <v>0</v>
      </c>
      <c r="BG80" s="71">
        <f>Financials202632[[#This Row],[May AC]]-Financials202632[[#This Row],[May FC]]</f>
        <v>0</v>
      </c>
      <c r="BH80" s="71">
        <f>Financials202632[[#This Row],[Jun AC]]-Financials202632[[#This Row],[Jun FC]]</f>
        <v>0</v>
      </c>
      <c r="BI80" s="71">
        <f>Financials202632[[#This Row],[Jul AC]]-Financials202632[[#This Row],[Jul FC]]</f>
        <v>0</v>
      </c>
      <c r="BJ80" s="71">
        <f>Financials202632[[#This Row],[Aug AC]]-Financials202632[[#This Row],[Aug FC]]</f>
        <v>0</v>
      </c>
      <c r="BK80" s="71">
        <f>Financials202632[[#This Row],[Sep AC]]-Financials202632[[#This Row],[Sep FC]]</f>
        <v>0</v>
      </c>
      <c r="BL80" s="71">
        <f>Financials202632[[#This Row],[Oct AC]]-Financials202632[[#This Row],[Oct FC]]</f>
        <v>0</v>
      </c>
      <c r="BM80" s="71">
        <f>Financials202632[[#This Row],[Nov AC]]-Financials202632[[#This Row],[Nov FC]]</f>
        <v>0</v>
      </c>
      <c r="BN80" s="71">
        <f>Financials202632[[#This Row],[Dec AC]]-Financials202632[[#This Row],[Dec FC]]</f>
        <v>-32760</v>
      </c>
      <c r="BO80" s="71">
        <f>SUM(Financials202632[[#This Row],[Jan Opp/Risk]:[Dec Opp./Risk]])</f>
        <v>-32760</v>
      </c>
      <c r="BP80" s="87" t="s">
        <v>548</v>
      </c>
      <c r="BQ80" s="47">
        <f>SUM(Financials202632[[#This Row],[Jan AC]:[May AC]])</f>
        <v>0</v>
      </c>
      <c r="BR80" s="6">
        <f>Financials202632[[#This Row],[2026 (Actuals + Forecast)]]-Financials202632[[#This Row],[Jan-May Actuals]]-Financials202632[[#This Row],[Jun-Dec FC]]</f>
        <v>0</v>
      </c>
      <c r="BS80" s="6">
        <f>Financials202632[[#This Row],[Jun-Dec FC]]+Financials202632[[#This Row],[Jan-May Forecast ]]</f>
        <v>32760</v>
      </c>
      <c r="BT80" s="6">
        <f>SUM(Financials202632[[#This Row],[Jan FC]:[May FC]])</f>
        <v>0</v>
      </c>
      <c r="BU80" s="6">
        <f>Financials202632[[#This Row],[Jan-May Actuals]]+Financials202632[[#This Row],[Forecast Jun-Dec]]</f>
        <v>32760</v>
      </c>
      <c r="BV80" s="6"/>
      <c r="BW80" s="6" t="s">
        <v>16</v>
      </c>
      <c r="BX80" s="6" t="s">
        <v>306</v>
      </c>
    </row>
    <row r="81" spans="1:76" x14ac:dyDescent="0.3">
      <c r="A81" s="22" t="s">
        <v>295</v>
      </c>
      <c r="B81" s="21" t="s">
        <v>73</v>
      </c>
      <c r="C81" s="21" t="s">
        <v>549</v>
      </c>
      <c r="D81" s="10" t="s">
        <v>222</v>
      </c>
      <c r="E81" s="7" t="s">
        <v>310</v>
      </c>
      <c r="F81" s="3" t="s">
        <v>311</v>
      </c>
      <c r="G81" s="3" t="s">
        <v>25</v>
      </c>
      <c r="H81" s="4">
        <v>45763</v>
      </c>
      <c r="I81" s="4">
        <v>46096</v>
      </c>
      <c r="J81" s="3" t="s">
        <v>550</v>
      </c>
      <c r="K81" s="3" t="str">
        <f t="shared" si="28"/>
        <v>Prj000266-Support - Internal Tech Workforce Activities</v>
      </c>
      <c r="L81" s="21" t="s">
        <v>301</v>
      </c>
      <c r="M81" s="21" t="s">
        <v>16</v>
      </c>
      <c r="N81" s="21" t="s">
        <v>16</v>
      </c>
      <c r="O81" s="21"/>
      <c r="P81" s="21" t="s">
        <v>302</v>
      </c>
      <c r="Q81" s="21" t="s">
        <v>303</v>
      </c>
      <c r="R81" s="21" t="s">
        <v>303</v>
      </c>
      <c r="S81" s="21" t="s">
        <v>333</v>
      </c>
      <c r="T81" s="5">
        <v>2393</v>
      </c>
      <c r="U81" s="15">
        <v>2512</v>
      </c>
      <c r="V81" s="15">
        <f>2512+5625</f>
        <v>8137</v>
      </c>
      <c r="W81" s="15">
        <f t="shared" si="29"/>
        <v>8136.97</v>
      </c>
      <c r="X81" s="15">
        <f t="shared" si="33"/>
        <v>-2.9999999999745341E-2</v>
      </c>
      <c r="Y81" s="15">
        <f t="shared" si="30"/>
        <v>0</v>
      </c>
      <c r="Z81" s="15">
        <f>SUM(Financials202632[[#This Row],[2026 Opportunity]:[2026 Risk]])</f>
        <v>-2.9999999999745341E-2</v>
      </c>
      <c r="AA81" s="3" t="s">
        <v>551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SUM(Financials202632[[#This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SUM(Financials202632[[#This Row],[Jan AC]:[Dec AC]])</f>
        <v>8136.97</v>
      </c>
      <c r="BC81" s="71">
        <f>Financials202632[[#This Row],[Jan AC]]-Financials202632[[#This Row],[Jan FC]]</f>
        <v>0</v>
      </c>
      <c r="BD81" s="71">
        <f>Financials202632[[#This Row],[Feb AC]]-Financials202632[[#This Row],[Feb FC]]</f>
        <v>0</v>
      </c>
      <c r="BE81" s="71">
        <f>Financials202632[[#This Row],[Mar AC]]-Financials202632[[#This Row],[Mar FC]]</f>
        <v>0</v>
      </c>
      <c r="BF81" s="71">
        <f>Financials202632[[#This Row],[Apr AC]]-Financials202632[[#This Row],[Apr FC]]</f>
        <v>5624.97</v>
      </c>
      <c r="BG81" s="71">
        <f>Financials202632[[#This Row],[May AC]]-Financials202632[[#This Row],[May FC]]</f>
        <v>0</v>
      </c>
      <c r="BH81" s="71">
        <f>Financials202632[[#This Row],[Jun AC]]-Financials202632[[#This Row],[Jun FC]]</f>
        <v>0</v>
      </c>
      <c r="BI81" s="71">
        <f>Financials202632[[#This Row],[Jul AC]]-Financials202632[[#This Row],[Jul FC]]</f>
        <v>0</v>
      </c>
      <c r="BJ81" s="71">
        <f>Financials202632[[#This Row],[Aug AC]]-Financials202632[[#This Row],[Aug FC]]</f>
        <v>0</v>
      </c>
      <c r="BK81" s="71">
        <f>Financials202632[[#This Row],[Sep AC]]-Financials202632[[#This Row],[Sep FC]]</f>
        <v>0</v>
      </c>
      <c r="BL81" s="71">
        <f>Financials202632[[#This Row],[Oct AC]]-Financials202632[[#This Row],[Oct FC]]</f>
        <v>0</v>
      </c>
      <c r="BM81" s="71">
        <f>Financials202632[[#This Row],[Nov AC]]-Financials202632[[#This Row],[Nov FC]]</f>
        <v>0</v>
      </c>
      <c r="BN81" s="71">
        <f>Financials202632[[#This Row],[Dec AC]]-Financials202632[[#This Row],[Dec FC]]</f>
        <v>0</v>
      </c>
      <c r="BO81" s="71">
        <f>SUM(Financials202632[[#This Row],[Jan Opp/Risk]:[Dec Opp./Risk]])</f>
        <v>5624.97</v>
      </c>
      <c r="BP81" s="87" t="s">
        <v>552</v>
      </c>
      <c r="BQ81" s="47">
        <f>SUM(Financials202632[[#This Row],[Jan AC]:[May AC]])</f>
        <v>8136.97</v>
      </c>
      <c r="BR81" s="6">
        <f>Financials202632[[#This Row],[2026 (Actuals + Forecast)]]-Financials202632[[#This Row],[Jan-May Actuals]]-Financials202632[[#This Row],[Jun-Dec FC]]</f>
        <v>0</v>
      </c>
      <c r="BS81" s="6">
        <f>Financials202632[[#This Row],[Jun-Dec FC]]+Financials202632[[#This Row],[Jan-May Forecast ]]</f>
        <v>0</v>
      </c>
      <c r="BT81" s="6">
        <f>SUM(Financials202632[[#This Row],[Jan FC]:[May FC]])</f>
        <v>2512</v>
      </c>
      <c r="BU81" s="6">
        <f>Financials202632[[#This Row],[Jan-May Actuals]]+Financials202632[[#This Row],[Forecast Jun-Dec]]</f>
        <v>8136.97</v>
      </c>
      <c r="BV81" s="6"/>
      <c r="BW81" s="6" t="s">
        <v>16</v>
      </c>
      <c r="BX81" s="6" t="s">
        <v>306</v>
      </c>
    </row>
    <row r="82" spans="1:76" x14ac:dyDescent="0.3">
      <c r="A82" s="22" t="s">
        <v>295</v>
      </c>
      <c r="B82" s="21" t="s">
        <v>152</v>
      </c>
      <c r="C82" s="21" t="s">
        <v>553</v>
      </c>
      <c r="D82" s="10" t="s">
        <v>425</v>
      </c>
      <c r="E82" s="7" t="s">
        <v>426</v>
      </c>
      <c r="F82" s="3" t="s">
        <v>427</v>
      </c>
      <c r="G82" s="3" t="s">
        <v>20</v>
      </c>
      <c r="H82" s="4">
        <v>45900</v>
      </c>
      <c r="I82" s="4">
        <v>46264</v>
      </c>
      <c r="J82" s="3" t="s">
        <v>554</v>
      </c>
      <c r="K82" s="3" t="str">
        <f t="shared" si="28"/>
        <v>Prj000458-Support - Data Analytics Office</v>
      </c>
      <c r="L82" s="21" t="s">
        <v>301</v>
      </c>
      <c r="M82" s="21" t="s">
        <v>16</v>
      </c>
      <c r="N82" s="21" t="s">
        <v>16</v>
      </c>
      <c r="O82" s="21" t="s">
        <v>555</v>
      </c>
      <c r="P82" s="21" t="s">
        <v>302</v>
      </c>
      <c r="Q82" s="21" t="s">
        <v>303</v>
      </c>
      <c r="R82" s="21" t="s">
        <v>303</v>
      </c>
      <c r="S82" s="21" t="s">
        <v>304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SUM(Financials202632[[#This Row],[2026 Opportunity]:[2026 Risk]])</f>
        <v>-2.9103830456733704E-11</v>
      </c>
      <c r="AA82" s="3" t="s">
        <v>556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SUM(Financials202632[[#This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SUM(Financials202632[[#This Row],[Jan AC]:[Dec AC]])</f>
        <v>93122.666666666657</v>
      </c>
      <c r="BC82" s="71">
        <f>Financials202632[[#This Row],[Jan AC]]-Financials202632[[#This Row],[Jan FC]]</f>
        <v>0</v>
      </c>
      <c r="BD82" s="71">
        <f>Financials202632[[#This Row],[Feb AC]]-Financials202632[[#This Row],[Feb FC]]</f>
        <v>0</v>
      </c>
      <c r="BE82" s="71">
        <f>Financials202632[[#This Row],[Mar AC]]-Financials202632[[#This Row],[Mar FC]]</f>
        <v>0</v>
      </c>
      <c r="BF82" s="71">
        <f>Financials202632[[#This Row],[Apr AC]]-Financials202632[[#This Row],[Apr FC]]</f>
        <v>0</v>
      </c>
      <c r="BG82" s="71">
        <f>Financials202632[[#This Row],[May AC]]-Financials202632[[#This Row],[May FC]]</f>
        <v>0</v>
      </c>
      <c r="BH82" s="71">
        <f>Financials202632[[#This Row],[Jun AC]]-Financials202632[[#This Row],[Jun FC]]</f>
        <v>0</v>
      </c>
      <c r="BI82" s="71">
        <f>Financials202632[[#This Row],[Jul AC]]-Financials202632[[#This Row],[Jul FC]]</f>
        <v>0</v>
      </c>
      <c r="BJ82" s="71">
        <f>Financials202632[[#This Row],[Aug AC]]-Financials202632[[#This Row],[Aug FC]]</f>
        <v>0</v>
      </c>
      <c r="BK82" s="71">
        <f>Financials202632[[#This Row],[Sep AC]]-Financials202632[[#This Row],[Sep FC]]</f>
        <v>-11640.333333333334</v>
      </c>
      <c r="BL82" s="71">
        <f>Financials202632[[#This Row],[Oct AC]]-Financials202632[[#This Row],[Oct FC]]</f>
        <v>-11640.333333333334</v>
      </c>
      <c r="BM82" s="71">
        <f>Financials202632[[#This Row],[Nov AC]]-Financials202632[[#This Row],[Nov FC]]</f>
        <v>-11640.333333333334</v>
      </c>
      <c r="BN82" s="71">
        <f>Financials202632[[#This Row],[Dec AC]]-Financials202632[[#This Row],[Dec FC]]</f>
        <v>-11640.333333333334</v>
      </c>
      <c r="BO82" s="71">
        <f>SUM(Financials202632[[#This Row],[Jan Opp/Risk]:[Dec Opp./Risk]])</f>
        <v>-46561.333333333336</v>
      </c>
      <c r="BP82" s="87"/>
      <c r="BQ82" s="47">
        <f>SUM(Financials202632[[#This Row],[Jan AC]:[May AC]])</f>
        <v>58201.666666666672</v>
      </c>
      <c r="BR82" s="6">
        <f>Financials202632[[#This Row],[2026 (Actuals + Forecast)]]-Financials202632[[#This Row],[Jan-May Actuals]]-Financials202632[[#This Row],[Jun-Dec FC]]</f>
        <v>0</v>
      </c>
      <c r="BS82" s="6">
        <f>Financials202632[[#This Row],[Jun-Dec FC]]+Financials202632[[#This Row],[Jan-May Forecast ]]</f>
        <v>81482.333333333328</v>
      </c>
      <c r="BT82" s="6">
        <f>SUM(Financials202632[[#This Row],[Jan FC]:[May FC]])</f>
        <v>58201.666666666672</v>
      </c>
      <c r="BU82" s="6">
        <f>Financials202632[[#This Row],[Jan-May Actuals]]+Financials202632[[#This Row],[Forecast Jun-Dec]]</f>
        <v>139684</v>
      </c>
      <c r="BV82" s="6"/>
      <c r="BW82" s="6" t="s">
        <v>16</v>
      </c>
      <c r="BX82" s="6" t="s">
        <v>306</v>
      </c>
    </row>
    <row r="83" spans="1:76" x14ac:dyDescent="0.3">
      <c r="A83" s="22" t="s">
        <v>295</v>
      </c>
      <c r="B83" s="21" t="s">
        <v>206</v>
      </c>
      <c r="C83" s="21" t="s">
        <v>206</v>
      </c>
      <c r="D83" s="10" t="s">
        <v>435</v>
      </c>
      <c r="E83" s="7" t="s">
        <v>436</v>
      </c>
      <c r="F83" s="3" t="s">
        <v>311</v>
      </c>
      <c r="G83" s="3" t="s">
        <v>25</v>
      </c>
      <c r="H83" s="2" t="s">
        <v>346</v>
      </c>
      <c r="I83" s="2" t="s">
        <v>346</v>
      </c>
      <c r="J83" s="3"/>
      <c r="K83" s="3" t="str">
        <f t="shared" si="28"/>
        <v>Prj000446-Implement - Minor Enhancements for Enterprise Apps</v>
      </c>
      <c r="L83" s="21" t="s">
        <v>301</v>
      </c>
      <c r="M83" s="21" t="s">
        <v>16</v>
      </c>
      <c r="N83" s="21" t="s">
        <v>16</v>
      </c>
      <c r="O83" s="21" t="s">
        <v>16</v>
      </c>
      <c r="P83" s="21" t="s">
        <v>302</v>
      </c>
      <c r="Q83" s="21" t="s">
        <v>303</v>
      </c>
      <c r="R83" s="21" t="s">
        <v>303</v>
      </c>
      <c r="S83" s="21" t="s">
        <v>333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SUM(Financials202632[[#This Row],[2026 Opportunity]:[2026 Risk]])</f>
        <v>0</v>
      </c>
      <c r="AA83" s="3" t="s">
        <v>557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SUM(Financials202632[[#This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SUM(Financials202632[[#This Row],[Jan AC]:[Dec AC]])</f>
        <v>0</v>
      </c>
      <c r="BC83" s="71">
        <f>Financials202632[[#This Row],[Jan AC]]-Financials202632[[#This Row],[Jan FC]]</f>
        <v>0</v>
      </c>
      <c r="BD83" s="71">
        <f>Financials202632[[#This Row],[Feb AC]]-Financials202632[[#This Row],[Feb FC]]</f>
        <v>0</v>
      </c>
      <c r="BE83" s="71">
        <f>Financials202632[[#This Row],[Mar AC]]-Financials202632[[#This Row],[Mar FC]]</f>
        <v>0</v>
      </c>
      <c r="BF83" s="71">
        <f>Financials202632[[#This Row],[Apr AC]]-Financials202632[[#This Row],[Apr FC]]</f>
        <v>0</v>
      </c>
      <c r="BG83" s="71">
        <f>Financials202632[[#This Row],[May AC]]-Financials202632[[#This Row],[May FC]]</f>
        <v>0</v>
      </c>
      <c r="BH83" s="71">
        <f>Financials202632[[#This Row],[Jun AC]]-Financials202632[[#This Row],[Jun FC]]</f>
        <v>0</v>
      </c>
      <c r="BI83" s="71">
        <f>Financials202632[[#This Row],[Jul AC]]-Financials202632[[#This Row],[Jul FC]]</f>
        <v>0</v>
      </c>
      <c r="BJ83" s="71">
        <f>Financials202632[[#This Row],[Aug AC]]-Financials202632[[#This Row],[Aug FC]]</f>
        <v>0</v>
      </c>
      <c r="BK83" s="71">
        <f>Financials202632[[#This Row],[Sep AC]]-Financials202632[[#This Row],[Sep FC]]</f>
        <v>0</v>
      </c>
      <c r="BL83" s="71">
        <f>Financials202632[[#This Row],[Oct AC]]-Financials202632[[#This Row],[Oct FC]]</f>
        <v>0</v>
      </c>
      <c r="BM83" s="71">
        <f>Financials202632[[#This Row],[Nov AC]]-Financials202632[[#This Row],[Nov FC]]</f>
        <v>0</v>
      </c>
      <c r="BN83" s="71">
        <f>Financials202632[[#This Row],[Dec AC]]-Financials202632[[#This Row],[Dec FC]]</f>
        <v>-3150</v>
      </c>
      <c r="BO83" s="71">
        <f>SUM(Financials202632[[#This Row],[Jan Opp/Risk]:[Dec Opp./Risk]])</f>
        <v>-3150</v>
      </c>
      <c r="BP83" s="88"/>
      <c r="BQ83" s="47">
        <f>SUM(Financials202632[[#This Row],[Jan AC]:[May AC]])</f>
        <v>0</v>
      </c>
      <c r="BR83" s="6">
        <f>Financials202632[[#This Row],[2026 (Actuals + Forecast)]]-Financials202632[[#This Row],[Jan-May Actuals]]-Financials202632[[#This Row],[Jun-Dec FC]]</f>
        <v>0</v>
      </c>
      <c r="BS83" s="6">
        <f>Financials202632[[#This Row],[Jun-Dec FC]]+Financials202632[[#This Row],[Jan-May Forecast ]]</f>
        <v>3150</v>
      </c>
      <c r="BT83" s="6">
        <f>SUM(Financials202632[[#This Row],[Jan FC]:[May FC]])</f>
        <v>0</v>
      </c>
      <c r="BU83" s="6">
        <f>Financials202632[[#This Row],[Jan-May Actuals]]+Financials202632[[#This Row],[Forecast Jun-Dec]]</f>
        <v>3150</v>
      </c>
      <c r="BV83" s="6"/>
      <c r="BW83" s="6" t="s">
        <v>16</v>
      </c>
      <c r="BX83" s="6" t="s">
        <v>306</v>
      </c>
    </row>
    <row r="84" spans="1:76" x14ac:dyDescent="0.3">
      <c r="A84" s="22" t="s">
        <v>295</v>
      </c>
      <c r="B84" s="21" t="s">
        <v>209</v>
      </c>
      <c r="C84" s="21" t="s">
        <v>209</v>
      </c>
      <c r="D84" s="10" t="s">
        <v>435</v>
      </c>
      <c r="E84" s="7" t="s">
        <v>436</v>
      </c>
      <c r="F84" s="3" t="s">
        <v>311</v>
      </c>
      <c r="G84" s="3" t="s">
        <v>25</v>
      </c>
      <c r="H84" s="4">
        <v>45949</v>
      </c>
      <c r="I84" s="4">
        <v>46313</v>
      </c>
      <c r="J84" s="3" t="s">
        <v>558</v>
      </c>
      <c r="K84" s="3" t="str">
        <f t="shared" si="28"/>
        <v>Prj000446-Implement - Minor Enhancements for Enterprise Apps</v>
      </c>
      <c r="L84" s="21" t="s">
        <v>301</v>
      </c>
      <c r="M84" s="21" t="s">
        <v>16</v>
      </c>
      <c r="N84" s="21" t="s">
        <v>16</v>
      </c>
      <c r="O84" s="21" t="s">
        <v>532</v>
      </c>
      <c r="P84" s="21" t="s">
        <v>302</v>
      </c>
      <c r="Q84" s="21" t="s">
        <v>303</v>
      </c>
      <c r="R84" s="21" t="s">
        <v>303</v>
      </c>
      <c r="S84" s="21" t="s">
        <v>333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SUM(Financials202632[[#This Row],[2026 Opportunity]:[2026 Risk]])</f>
        <v>0.4499999999998181</v>
      </c>
      <c r="AA84" s="3" t="s">
        <v>355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SUM(Financials202632[[#This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SUM(Financials202632[[#This Row],[Jan AC]:[Dec AC]])</f>
        <v>0</v>
      </c>
      <c r="BC84" s="71">
        <f>Financials202632[[#This Row],[Jan AC]]-Financials202632[[#This Row],[Jan FC]]</f>
        <v>0</v>
      </c>
      <c r="BD84" s="71">
        <f>Financials202632[[#This Row],[Feb AC]]-Financials202632[[#This Row],[Feb FC]]</f>
        <v>0</v>
      </c>
      <c r="BE84" s="71">
        <f>Financials202632[[#This Row],[Mar AC]]-Financials202632[[#This Row],[Mar FC]]</f>
        <v>0</v>
      </c>
      <c r="BF84" s="71">
        <f>Financials202632[[#This Row],[Apr AC]]-Financials202632[[#This Row],[Apr FC]]</f>
        <v>0</v>
      </c>
      <c r="BG84" s="71">
        <f>Financials202632[[#This Row],[May AC]]-Financials202632[[#This Row],[May FC]]</f>
        <v>0</v>
      </c>
      <c r="BH84" s="71">
        <f>Financials202632[[#This Row],[Jun AC]]-Financials202632[[#This Row],[Jun FC]]</f>
        <v>0</v>
      </c>
      <c r="BI84" s="71">
        <f>Financials202632[[#This Row],[Jul AC]]-Financials202632[[#This Row],[Jul FC]]</f>
        <v>0</v>
      </c>
      <c r="BJ84" s="71">
        <f>Financials202632[[#This Row],[Aug AC]]-Financials202632[[#This Row],[Aug FC]]</f>
        <v>0</v>
      </c>
      <c r="BK84" s="71">
        <f>Financials202632[[#This Row],[Sep AC]]-Financials202632[[#This Row],[Sep FC]]</f>
        <v>-2595</v>
      </c>
      <c r="BL84" s="71">
        <f>Financials202632[[#This Row],[Oct AC]]-Financials202632[[#This Row],[Oct FC]]</f>
        <v>0</v>
      </c>
      <c r="BM84" s="71">
        <f>Financials202632[[#This Row],[Nov AC]]-Financials202632[[#This Row],[Nov FC]]</f>
        <v>0</v>
      </c>
      <c r="BN84" s="71">
        <f>Financials202632[[#This Row],[Dec AC]]-Financials202632[[#This Row],[Dec FC]]</f>
        <v>0</v>
      </c>
      <c r="BO84" s="71">
        <f>SUM(Financials202632[[#This Row],[Jan Opp/Risk]:[Dec Opp./Risk]])</f>
        <v>-2595</v>
      </c>
      <c r="BP84" s="87"/>
      <c r="BQ84" s="47">
        <f>SUM(Financials202632[[#This Row],[Jan AC]:[May AC]])</f>
        <v>0</v>
      </c>
      <c r="BR84" s="6">
        <f>Financials202632[[#This Row],[2026 (Actuals + Forecast)]]-Financials202632[[#This Row],[Jan-May Actuals]]-Financials202632[[#This Row],[Jun-Dec FC]]</f>
        <v>0</v>
      </c>
      <c r="BS84" s="6">
        <f>Financials202632[[#This Row],[Jun-Dec FC]]+Financials202632[[#This Row],[Jan-May Forecast ]]</f>
        <v>2595</v>
      </c>
      <c r="BT84" s="6">
        <f>SUM(Financials202632[[#This Row],[Jan FC]:[May FC]])</f>
        <v>0</v>
      </c>
      <c r="BU84" s="6">
        <f>Financials202632[[#This Row],[Jan-May Actuals]]+Financials202632[[#This Row],[Forecast Jun-Dec]]</f>
        <v>2595</v>
      </c>
      <c r="BV84" s="6"/>
      <c r="BW84" s="6" t="s">
        <v>16</v>
      </c>
      <c r="BX84" s="6" t="s">
        <v>306</v>
      </c>
    </row>
    <row r="85" spans="1:76" x14ac:dyDescent="0.3">
      <c r="A85" s="22" t="s">
        <v>295</v>
      </c>
      <c r="B85" s="21" t="s">
        <v>149</v>
      </c>
      <c r="C85" s="21" t="s">
        <v>559</v>
      </c>
      <c r="D85" s="10" t="s">
        <v>425</v>
      </c>
      <c r="E85" s="7" t="s">
        <v>426</v>
      </c>
      <c r="F85" s="3" t="s">
        <v>427</v>
      </c>
      <c r="G85" s="3" t="s">
        <v>20</v>
      </c>
      <c r="H85" s="4">
        <v>45765</v>
      </c>
      <c r="I85" s="4">
        <v>46129</v>
      </c>
      <c r="J85" s="3" t="s">
        <v>559</v>
      </c>
      <c r="K85" s="3" t="str">
        <f t="shared" si="28"/>
        <v>Prj000458-Support - Data Analytics Office</v>
      </c>
      <c r="L85" s="21" t="s">
        <v>301</v>
      </c>
      <c r="M85" s="21" t="s">
        <v>16</v>
      </c>
      <c r="N85" s="21" t="s">
        <v>16</v>
      </c>
      <c r="O85" s="21" t="s">
        <v>371</v>
      </c>
      <c r="P85" s="21" t="s">
        <v>302</v>
      </c>
      <c r="Q85" s="21" t="s">
        <v>303</v>
      </c>
      <c r="R85" s="21" t="s">
        <v>303</v>
      </c>
      <c r="S85" s="21" t="s">
        <v>304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SUM(Financials202632[[#This Row],[2026 Opportunity]:[2026 Risk]])</f>
        <v>-63380.992500000008</v>
      </c>
      <c r="AA85" s="3" t="s">
        <v>560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SUM(Financials202632[[#This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SUM(Financials202632[[#This Row],[Jan AC]:[Dec AC]])</f>
        <v>128265.00749999999</v>
      </c>
      <c r="BC85" s="71">
        <f>Financials202632[[#This Row],[Jan AC]]-Financials202632[[#This Row],[Jan FC]]</f>
        <v>0</v>
      </c>
      <c r="BD85" s="71">
        <f>Financials202632[[#This Row],[Feb AC]]-Financials202632[[#This Row],[Feb FC]]</f>
        <v>0</v>
      </c>
      <c r="BE85" s="71">
        <f>Financials202632[[#This Row],[Mar AC]]-Financials202632[[#This Row],[Mar FC]]</f>
        <v>0</v>
      </c>
      <c r="BF85" s="71">
        <f>Financials202632[[#This Row],[Apr AC]]-Financials202632[[#This Row],[Apr FC]]</f>
        <v>0</v>
      </c>
      <c r="BG85" s="71">
        <f>Financials202632[[#This Row],[May AC]]-Financials202632[[#This Row],[May FC]]</f>
        <v>0</v>
      </c>
      <c r="BH85" s="71">
        <f>Financials202632[[#This Row],[Jun AC]]-Financials202632[[#This Row],[Jun FC]]</f>
        <v>0</v>
      </c>
      <c r="BI85" s="71">
        <f>Financials202632[[#This Row],[Jul AC]]-Financials202632[[#This Row],[Jul FC]]</f>
        <v>0</v>
      </c>
      <c r="BJ85" s="71">
        <f>Financials202632[[#This Row],[Aug AC]]-Financials202632[[#This Row],[Aug FC]]</f>
        <v>0</v>
      </c>
      <c r="BK85" s="71">
        <f>Financials202632[[#This Row],[Sep AC]]-Financials202632[[#This Row],[Sep FC]]</f>
        <v>0</v>
      </c>
      <c r="BL85" s="71">
        <f>Financials202632[[#This Row],[Oct AC]]-Financials202632[[#This Row],[Oct FC]]</f>
        <v>0</v>
      </c>
      <c r="BM85" s="71">
        <f>Financials202632[[#This Row],[Nov AC]]-Financials202632[[#This Row],[Nov FC]]</f>
        <v>0</v>
      </c>
      <c r="BN85" s="71">
        <f>Financials202632[[#This Row],[Dec AC]]-Financials202632[[#This Row],[Dec FC]]</f>
        <v>0</v>
      </c>
      <c r="BO85" s="71">
        <f>SUM(Financials202632[[#This Row],[Jan Opp/Risk]:[Dec Opp./Risk]])</f>
        <v>0</v>
      </c>
      <c r="BP85" s="88" t="s">
        <v>561</v>
      </c>
      <c r="BQ85" s="47">
        <f>SUM(Financials202632[[#This Row],[Jan AC]:[May AC]])</f>
        <v>28503.335000000003</v>
      </c>
      <c r="BR85" s="6">
        <f>Financials202632[[#This Row],[2026 (Actuals + Forecast)]]-Financials202632[[#This Row],[Jan-May Actuals]]-Financials202632[[#This Row],[Jun-Dec FC]]</f>
        <v>0</v>
      </c>
      <c r="BS85" s="6">
        <f>Financials202632[[#This Row],[Jun-Dec FC]]+Financials202632[[#This Row],[Jan-May Forecast ]]</f>
        <v>99761.672500000001</v>
      </c>
      <c r="BT85" s="6">
        <f>SUM(Financials202632[[#This Row],[Jan FC]:[May FC]])</f>
        <v>28503.335000000003</v>
      </c>
      <c r="BU85" s="6">
        <f>Financials202632[[#This Row],[Jan-May Actuals]]+Financials202632[[#This Row],[Forecast Jun-Dec]]</f>
        <v>128265.00750000001</v>
      </c>
      <c r="BV85" s="6"/>
      <c r="BW85" s="6" t="s">
        <v>16</v>
      </c>
      <c r="BX85" s="6" t="s">
        <v>306</v>
      </c>
    </row>
    <row r="86" spans="1:76" x14ac:dyDescent="0.3">
      <c r="A86" s="22" t="s">
        <v>295</v>
      </c>
      <c r="B86" s="21" t="s">
        <v>203</v>
      </c>
      <c r="C86" s="21" t="s">
        <v>562</v>
      </c>
      <c r="D86" s="10" t="s">
        <v>435</v>
      </c>
      <c r="E86" s="7" t="s">
        <v>436</v>
      </c>
      <c r="F86" s="3" t="s">
        <v>311</v>
      </c>
      <c r="G86" s="3" t="s">
        <v>25</v>
      </c>
      <c r="H86" s="4" t="s">
        <v>312</v>
      </c>
      <c r="I86" s="4" t="s">
        <v>312</v>
      </c>
      <c r="J86" s="3"/>
      <c r="K86" s="3" t="str">
        <f t="shared" si="28"/>
        <v>Prj000446-Implement - Minor Enhancements for Enterprise Apps</v>
      </c>
      <c r="L86" s="21" t="s">
        <v>301</v>
      </c>
      <c r="M86" s="21" t="s">
        <v>16</v>
      </c>
      <c r="N86" s="21" t="s">
        <v>16</v>
      </c>
      <c r="O86" s="21"/>
      <c r="P86" s="21" t="s">
        <v>302</v>
      </c>
      <c r="Q86" s="21" t="s">
        <v>303</v>
      </c>
      <c r="R86" s="21" t="s">
        <v>303</v>
      </c>
      <c r="S86" s="21" t="s">
        <v>333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SUM(Financials202632[[#This Row],[2026 Opportunity]:[2026 Risk]])</f>
        <v>0</v>
      </c>
      <c r="AA86" s="3" t="s">
        <v>563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SUM(Financials202632[[#This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SUM(Financials202632[[#This Row],[Jan AC]:[Dec AC]])</f>
        <v>0</v>
      </c>
      <c r="BC86" s="71">
        <f>Financials202632[[#This Row],[Jan AC]]-Financials202632[[#This Row],[Jan FC]]</f>
        <v>0</v>
      </c>
      <c r="BD86" s="71">
        <f>Financials202632[[#This Row],[Feb AC]]-Financials202632[[#This Row],[Feb FC]]</f>
        <v>0</v>
      </c>
      <c r="BE86" s="71">
        <f>Financials202632[[#This Row],[Mar AC]]-Financials202632[[#This Row],[Mar FC]]</f>
        <v>0</v>
      </c>
      <c r="BF86" s="71">
        <f>Financials202632[[#This Row],[Apr AC]]-Financials202632[[#This Row],[Apr FC]]</f>
        <v>0</v>
      </c>
      <c r="BG86" s="71">
        <f>Financials202632[[#This Row],[May AC]]-Financials202632[[#This Row],[May FC]]</f>
        <v>0</v>
      </c>
      <c r="BH86" s="71">
        <f>Financials202632[[#This Row],[Jun AC]]-Financials202632[[#This Row],[Jun FC]]</f>
        <v>0</v>
      </c>
      <c r="BI86" s="71">
        <f>Financials202632[[#This Row],[Jul AC]]-Financials202632[[#This Row],[Jul FC]]</f>
        <v>0</v>
      </c>
      <c r="BJ86" s="71">
        <f>Financials202632[[#This Row],[Aug AC]]-Financials202632[[#This Row],[Aug FC]]</f>
        <v>0</v>
      </c>
      <c r="BK86" s="71">
        <f>Financials202632[[#This Row],[Sep AC]]-Financials202632[[#This Row],[Sep FC]]</f>
        <v>0</v>
      </c>
      <c r="BL86" s="71">
        <f>Financials202632[[#This Row],[Oct AC]]-Financials202632[[#This Row],[Oct FC]]</f>
        <v>0</v>
      </c>
      <c r="BM86" s="71">
        <f>Financials202632[[#This Row],[Nov AC]]-Financials202632[[#This Row],[Nov FC]]</f>
        <v>0</v>
      </c>
      <c r="BN86" s="71">
        <f>Financials202632[[#This Row],[Dec AC]]-Financials202632[[#This Row],[Dec FC]]</f>
        <v>-50400</v>
      </c>
      <c r="BO86" s="71">
        <f>SUM(Financials202632[[#This Row],[Jan Opp/Risk]:[Dec Opp./Risk]])</f>
        <v>-50400</v>
      </c>
      <c r="BP86" s="87"/>
      <c r="BQ86" s="47">
        <f>SUM(Financials202632[[#This Row],[Jan AC]:[May AC]])</f>
        <v>0</v>
      </c>
      <c r="BR86" s="6">
        <f>Financials202632[[#This Row],[2026 (Actuals + Forecast)]]-Financials202632[[#This Row],[Jan-May Actuals]]-Financials202632[[#This Row],[Jun-Dec FC]]</f>
        <v>0</v>
      </c>
      <c r="BS86" s="6">
        <f>Financials202632[[#This Row],[Jun-Dec FC]]+Financials202632[[#This Row],[Jan-May Forecast ]]</f>
        <v>50400</v>
      </c>
      <c r="BT86" s="6">
        <f>SUM(Financials202632[[#This Row],[Jan FC]:[May FC]])</f>
        <v>0</v>
      </c>
      <c r="BU86" s="6">
        <f>Financials202632[[#This Row],[Jan-May Actuals]]+Financials202632[[#This Row],[Forecast Jun-Dec]]</f>
        <v>50400</v>
      </c>
      <c r="BV86" s="6"/>
      <c r="BW86" s="6" t="s">
        <v>16</v>
      </c>
      <c r="BX86" s="6" t="s">
        <v>306</v>
      </c>
    </row>
    <row r="87" spans="1:76" x14ac:dyDescent="0.3">
      <c r="A87" s="22" t="s">
        <v>295</v>
      </c>
      <c r="B87" s="21" t="s">
        <v>196</v>
      </c>
      <c r="C87" s="21"/>
      <c r="D87" s="10" t="s">
        <v>223</v>
      </c>
      <c r="E87" s="7" t="s">
        <v>344</v>
      </c>
      <c r="F87" s="3" t="s">
        <v>345</v>
      </c>
      <c r="G87" s="3" t="s">
        <v>24</v>
      </c>
      <c r="H87" s="4" t="s">
        <v>312</v>
      </c>
      <c r="I87" s="4" t="s">
        <v>312</v>
      </c>
      <c r="J87" s="3"/>
      <c r="K87" s="3" t="str">
        <f t="shared" si="28"/>
        <v>Prj000290-Support - Asset Management Applications</v>
      </c>
      <c r="L87" s="21" t="s">
        <v>301</v>
      </c>
      <c r="M87" s="21" t="s">
        <v>16</v>
      </c>
      <c r="N87" s="21" t="s">
        <v>16</v>
      </c>
      <c r="O87" s="21"/>
      <c r="P87" s="21" t="s">
        <v>302</v>
      </c>
      <c r="Q87" s="21" t="s">
        <v>334</v>
      </c>
      <c r="R87" s="21" t="s">
        <v>335</v>
      </c>
      <c r="S87" s="21" t="s">
        <v>328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SUM(Financials202632[[#This Row],[2026 Opportunity]:[2026 Risk]])</f>
        <v>0</v>
      </c>
      <c r="AA87" s="3" t="s">
        <v>564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SUM(Financials202632[[#This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SUM(Financials202632[[#This Row],[Jan AC]:[Dec AC]])</f>
        <v>9488</v>
      </c>
      <c r="BC87" s="71">
        <f>Financials202632[[#This Row],[Jan AC]]-Financials202632[[#This Row],[Jan FC]]</f>
        <v>0</v>
      </c>
      <c r="BD87" s="71">
        <f>Financials202632[[#This Row],[Feb AC]]-Financials202632[[#This Row],[Feb FC]]</f>
        <v>0</v>
      </c>
      <c r="BE87" s="71">
        <f>Financials202632[[#This Row],[Mar AC]]-Financials202632[[#This Row],[Mar FC]]</f>
        <v>0</v>
      </c>
      <c r="BF87" s="71">
        <f>Financials202632[[#This Row],[Apr AC]]-Financials202632[[#This Row],[Apr FC]]</f>
        <v>0</v>
      </c>
      <c r="BG87" s="71">
        <f>Financials202632[[#This Row],[May AC]]-Financials202632[[#This Row],[May FC]]</f>
        <v>0</v>
      </c>
      <c r="BH87" s="71">
        <f>Financials202632[[#This Row],[Jun AC]]-Financials202632[[#This Row],[Jun FC]]</f>
        <v>0</v>
      </c>
      <c r="BI87" s="71">
        <f>Financials202632[[#This Row],[Jul AC]]-Financials202632[[#This Row],[Jul FC]]</f>
        <v>0</v>
      </c>
      <c r="BJ87" s="71">
        <f>Financials202632[[#This Row],[Aug AC]]-Financials202632[[#This Row],[Aug FC]]</f>
        <v>0</v>
      </c>
      <c r="BK87" s="71">
        <f>Financials202632[[#This Row],[Sep AC]]-Financials202632[[#This Row],[Sep FC]]</f>
        <v>0</v>
      </c>
      <c r="BL87" s="71">
        <f>Financials202632[[#This Row],[Oct AC]]-Financials202632[[#This Row],[Oct FC]]</f>
        <v>0</v>
      </c>
      <c r="BM87" s="71">
        <f>Financials202632[[#This Row],[Nov AC]]-Financials202632[[#This Row],[Nov FC]]</f>
        <v>0</v>
      </c>
      <c r="BN87" s="71">
        <f>Financials202632[[#This Row],[Dec AC]]-Financials202632[[#This Row],[Dec FC]]</f>
        <v>-110083.06</v>
      </c>
      <c r="BO87" s="71">
        <f>SUM(Financials202632[[#This Row],[Jan Opp/Risk]:[Dec Opp./Risk]])</f>
        <v>-110083.06</v>
      </c>
      <c r="BP87" s="87" t="s">
        <v>565</v>
      </c>
      <c r="BQ87" s="47">
        <f>SUM(Financials202632[[#This Row],[Jan AC]:[May AC]])</f>
        <v>9488</v>
      </c>
      <c r="BR87" s="6">
        <f>Financials202632[[#This Row],[2026 (Actuals + Forecast)]]-Financials202632[[#This Row],[Jan-May Actuals]]-Financials202632[[#This Row],[Jun-Dec FC]]</f>
        <v>0</v>
      </c>
      <c r="BS87" s="6">
        <f>Financials202632[[#This Row],[Jun-Dec FC]]+Financials202632[[#This Row],[Jan-May Forecast ]]</f>
        <v>110083.06</v>
      </c>
      <c r="BT87" s="6">
        <f>SUM(Financials202632[[#This Row],[Jan FC]:[May FC]])</f>
        <v>9488</v>
      </c>
      <c r="BU87" s="6">
        <f>Financials202632[[#This Row],[Jan-May Actuals]]+Financials202632[[#This Row],[Forecast Jun-Dec]]</f>
        <v>119571.06</v>
      </c>
      <c r="BV87" s="6"/>
      <c r="BW87" s="6" t="s">
        <v>16</v>
      </c>
      <c r="BX87" s="6" t="s">
        <v>306</v>
      </c>
    </row>
    <row r="88" spans="1:76" x14ac:dyDescent="0.3">
      <c r="A88" s="22" t="s">
        <v>295</v>
      </c>
      <c r="B88" s="21" t="s">
        <v>120</v>
      </c>
      <c r="C88" s="21" t="s">
        <v>449</v>
      </c>
      <c r="D88" s="10" t="s">
        <v>435</v>
      </c>
      <c r="E88" s="7" t="s">
        <v>436</v>
      </c>
      <c r="F88" s="3" t="s">
        <v>311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301</v>
      </c>
      <c r="M88" s="21" t="s">
        <v>14</v>
      </c>
      <c r="N88" s="21" t="s">
        <v>16</v>
      </c>
      <c r="O88" s="21" t="s">
        <v>335</v>
      </c>
      <c r="P88" s="21" t="s">
        <v>325</v>
      </c>
      <c r="Q88" s="21" t="s">
        <v>326</v>
      </c>
      <c r="R88" s="21" t="s">
        <v>327</v>
      </c>
      <c r="S88" s="21" t="s">
        <v>333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SUM(Financials202632[[#This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SUM(Financials202632[[#This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SUM(Financials202632[[#This Row],[Jan AC]:[Dec AC]])</f>
        <v>32009.25</v>
      </c>
      <c r="BC88" s="71">
        <f>Financials202632[[#This Row],[Jan AC]]-Financials202632[[#This Row],[Jan FC]]</f>
        <v>-390.75</v>
      </c>
      <c r="BD88" s="71">
        <f>Financials202632[[#This Row],[Feb AC]]-Financials202632[[#This Row],[Feb FC]]</f>
        <v>0</v>
      </c>
      <c r="BE88" s="71">
        <f>Financials202632[[#This Row],[Mar AC]]-Financials202632[[#This Row],[Mar FC]]</f>
        <v>0</v>
      </c>
      <c r="BF88" s="71">
        <f>Financials202632[[#This Row],[Apr AC]]-Financials202632[[#This Row],[Apr FC]]</f>
        <v>0</v>
      </c>
      <c r="BG88" s="71">
        <f>Financials202632[[#This Row],[May AC]]-Financials202632[[#This Row],[May FC]]</f>
        <v>0</v>
      </c>
      <c r="BH88" s="71">
        <f>Financials202632[[#This Row],[Jun AC]]-Financials202632[[#This Row],[Jun FC]]</f>
        <v>0</v>
      </c>
      <c r="BI88" s="71">
        <f>Financials202632[[#This Row],[Jul AC]]-Financials202632[[#This Row],[Jul FC]]</f>
        <v>0</v>
      </c>
      <c r="BJ88" s="71">
        <f>Financials202632[[#This Row],[Aug AC]]-Financials202632[[#This Row],[Aug FC]]</f>
        <v>0</v>
      </c>
      <c r="BK88" s="71">
        <f>Financials202632[[#This Row],[Sep AC]]-Financials202632[[#This Row],[Sep FC]]</f>
        <v>0</v>
      </c>
      <c r="BL88" s="71">
        <f>Financials202632[[#This Row],[Oct AC]]-Financials202632[[#This Row],[Oct FC]]</f>
        <v>0</v>
      </c>
      <c r="BM88" s="71">
        <f>Financials202632[[#This Row],[Nov AC]]-Financials202632[[#This Row],[Nov FC]]</f>
        <v>0</v>
      </c>
      <c r="BN88" s="71">
        <f>Financials202632[[#This Row],[Dec AC]]-Financials202632[[#This Row],[Dec FC]]</f>
        <v>0</v>
      </c>
      <c r="BO88" s="71">
        <f>SUM(Financials202632[[#This Row],[Jan Opp/Risk]:[Dec Opp./Risk]])</f>
        <v>-390.75</v>
      </c>
      <c r="BP88" s="87" t="s">
        <v>356</v>
      </c>
      <c r="BQ88" s="47">
        <f>SUM(Financials202632[[#This Row],[Jan AC]:[May AC]])</f>
        <v>32009.25</v>
      </c>
      <c r="BR88" s="6">
        <f>Financials202632[[#This Row],[2026 (Actuals + Forecast)]]-Financials202632[[#This Row],[Jan-May Actuals]]-Financials202632[[#This Row],[Jun-Dec FC]]</f>
        <v>0</v>
      </c>
      <c r="BS88" s="6">
        <f>Financials202632[[#This Row],[Jun-Dec FC]]+Financials202632[[#This Row],[Jan-May Forecast ]]</f>
        <v>0</v>
      </c>
      <c r="BT88" s="6">
        <f>SUM(Financials202632[[#This Row],[Jan FC]:[May FC]])</f>
        <v>32400</v>
      </c>
      <c r="BU88" s="6">
        <f>Financials202632[[#This Row],[Jan-May Actuals]]+Financials202632[[#This Row],[Forecast Jun-Dec]]</f>
        <v>32009.25</v>
      </c>
      <c r="BV88" s="6"/>
      <c r="BW88" s="6" t="s">
        <v>331</v>
      </c>
      <c r="BX88" s="6" t="s">
        <v>306</v>
      </c>
    </row>
    <row r="89" spans="1:76" ht="100.8" x14ac:dyDescent="0.3">
      <c r="A89" s="22" t="s">
        <v>295</v>
      </c>
      <c r="B89" s="21" t="s">
        <v>73</v>
      </c>
      <c r="C89" s="21"/>
      <c r="D89" s="10" t="s">
        <v>297</v>
      </c>
      <c r="E89" s="7" t="s">
        <v>298</v>
      </c>
      <c r="F89" s="3" t="s">
        <v>299</v>
      </c>
      <c r="G89" s="3" t="s">
        <v>21</v>
      </c>
      <c r="H89" s="4" t="s">
        <v>566</v>
      </c>
      <c r="I89" s="4" t="s">
        <v>566</v>
      </c>
      <c r="J89" s="3"/>
      <c r="K89" s="3" t="str">
        <f t="shared" si="28"/>
        <v>Prj000350-Support - Infrastructure for Tech</v>
      </c>
      <c r="L89" s="21" t="s">
        <v>301</v>
      </c>
      <c r="M89" s="21" t="s">
        <v>16</v>
      </c>
      <c r="N89" s="21" t="s">
        <v>16</v>
      </c>
      <c r="O89" s="21"/>
      <c r="P89" s="21" t="s">
        <v>302</v>
      </c>
      <c r="Q89" s="21" t="s">
        <v>334</v>
      </c>
      <c r="R89" s="21" t="s">
        <v>335</v>
      </c>
      <c r="S89" s="21" t="s">
        <v>328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SUM(Financials202632[[#This Row],[2026 Opportunity]:[2026 Risk]])</f>
        <v>-0.28000000002793968</v>
      </c>
      <c r="AA89" s="11" t="s">
        <v>567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SUM(Financials202632[[#This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SUM(Financials202632[[#This Row],[Jan AC]:[Dec AC]])</f>
        <v>0</v>
      </c>
      <c r="BC89" s="71">
        <f>Financials202632[[#This Row],[Jan AC]]-Financials202632[[#This Row],[Jan FC]]</f>
        <v>0</v>
      </c>
      <c r="BD89" s="71">
        <f>Financials202632[[#This Row],[Feb AC]]-Financials202632[[#This Row],[Feb FC]]</f>
        <v>0</v>
      </c>
      <c r="BE89" s="71">
        <f>Financials202632[[#This Row],[Mar AC]]-Financials202632[[#This Row],[Mar FC]]</f>
        <v>0</v>
      </c>
      <c r="BF89" s="71">
        <f>Financials202632[[#This Row],[Apr AC]]-Financials202632[[#This Row],[Apr FC]]</f>
        <v>0</v>
      </c>
      <c r="BG89" s="71">
        <f>Financials202632[[#This Row],[May AC]]-Financials202632[[#This Row],[May FC]]</f>
        <v>0</v>
      </c>
      <c r="BH89" s="71">
        <f>Financials202632[[#This Row],[Jun AC]]-Financials202632[[#This Row],[Jun FC]]</f>
        <v>0</v>
      </c>
      <c r="BI89" s="71">
        <f>Financials202632[[#This Row],[Jul AC]]-Financials202632[[#This Row],[Jul FC]]</f>
        <v>0</v>
      </c>
      <c r="BJ89" s="71">
        <f>Financials202632[[#This Row],[Aug AC]]-Financials202632[[#This Row],[Aug FC]]</f>
        <v>-366127.60000000003</v>
      </c>
      <c r="BK89" s="71">
        <f>Financials202632[[#This Row],[Sep AC]]-Financials202632[[#This Row],[Sep FC]]</f>
        <v>0</v>
      </c>
      <c r="BL89" s="71">
        <f>Financials202632[[#This Row],[Oct AC]]-Financials202632[[#This Row],[Oct FC]]</f>
        <v>0</v>
      </c>
      <c r="BM89" s="71">
        <f>Financials202632[[#This Row],[Nov AC]]-Financials202632[[#This Row],[Nov FC]]</f>
        <v>0</v>
      </c>
      <c r="BN89" s="71">
        <f>Financials202632[[#This Row],[Dec AC]]-Financials202632[[#This Row],[Dec FC]]</f>
        <v>-725503</v>
      </c>
      <c r="BO89" s="71">
        <f>SUM(Financials202632[[#This Row],[Jan Opp/Risk]:[Dec Opp./Risk]])</f>
        <v>-1091630.6000000001</v>
      </c>
      <c r="BP89" s="87"/>
      <c r="BQ89" s="47">
        <f>SUM(Financials202632[[#This Row],[Jan AC]:[May AC]])</f>
        <v>0</v>
      </c>
      <c r="BR89" s="6">
        <f>Financials202632[[#This Row],[2026 (Actuals + Forecast)]]-Financials202632[[#This Row],[Jan-May Actuals]]-Financials202632[[#This Row],[Jun-Dec FC]]</f>
        <v>0</v>
      </c>
      <c r="BS89" s="6">
        <f>Financials202632[[#This Row],[Jun-Dec FC]]+Financials202632[[#This Row],[Jan-May Forecast ]]</f>
        <v>1091630.6000000001</v>
      </c>
      <c r="BT89" s="6">
        <f>SUM(Financials202632[[#This Row],[Jan FC]:[May FC]])</f>
        <v>0</v>
      </c>
      <c r="BU89" s="6">
        <f>Financials202632[[#This Row],[Jan-May Actuals]]+Financials202632[[#This Row],[Forecast Jun-Dec]]</f>
        <v>1091630.6000000001</v>
      </c>
      <c r="BV89" s="6"/>
      <c r="BW89" s="6" t="s">
        <v>16</v>
      </c>
      <c r="BX89" s="6" t="s">
        <v>306</v>
      </c>
    </row>
    <row r="90" spans="1:76" x14ac:dyDescent="0.3">
      <c r="A90" s="22" t="s">
        <v>295</v>
      </c>
      <c r="B90" s="21" t="s">
        <v>43</v>
      </c>
      <c r="C90" s="21" t="s">
        <v>424</v>
      </c>
      <c r="D90" s="10" t="s">
        <v>383</v>
      </c>
      <c r="E90" s="7" t="s">
        <v>384</v>
      </c>
      <c r="F90" s="3" t="s">
        <v>385</v>
      </c>
      <c r="G90" s="3" t="s">
        <v>20</v>
      </c>
      <c r="H90" s="4">
        <v>45413</v>
      </c>
      <c r="I90" s="4">
        <v>46332</v>
      </c>
      <c r="J90" s="3" t="s">
        <v>568</v>
      </c>
      <c r="K90" s="3" t="str">
        <f t="shared" si="28"/>
        <v>Prj000403-Support - L2 CoE Management for Tech Horizontals</v>
      </c>
      <c r="L90" s="21" t="s">
        <v>323</v>
      </c>
      <c r="M90" s="21" t="s">
        <v>14</v>
      </c>
      <c r="N90" s="21" t="s">
        <v>324</v>
      </c>
      <c r="O90" s="21" t="s">
        <v>569</v>
      </c>
      <c r="P90" s="21" t="s">
        <v>302</v>
      </c>
      <c r="Q90" s="21" t="s">
        <v>334</v>
      </c>
      <c r="R90" s="21" t="s">
        <v>334</v>
      </c>
      <c r="S90" s="21" t="s">
        <v>328</v>
      </c>
      <c r="T90" s="5">
        <v>222842</v>
      </c>
      <c r="U90" s="15">
        <v>195584.34</v>
      </c>
      <c r="V90" s="15">
        <f>195584.34-3644</f>
        <v>191940.34</v>
      </c>
      <c r="W90" s="15">
        <f t="shared" si="29"/>
        <v>191940</v>
      </c>
      <c r="X90" s="15">
        <f t="shared" si="33"/>
        <v>-0.33999999999650754</v>
      </c>
      <c r="Y90" s="15">
        <f t="shared" si="30"/>
        <v>0</v>
      </c>
      <c r="Z90" s="15">
        <f>SUM(Financials202632[[#This Row],[2026 Opportunity]:[2026 Risk]])</f>
        <v>-0.33999999999650754</v>
      </c>
      <c r="AA90" s="3" t="s">
        <v>570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SUM(Financials202632[[#This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SUM(Financials202632[[#This Row],[Jan AC]:[Dec AC]])</f>
        <v>78064</v>
      </c>
      <c r="BC90" s="71">
        <f>Financials202632[[#This Row],[Jan AC]]-Financials202632[[#This Row],[Jan FC]]</f>
        <v>0</v>
      </c>
      <c r="BD90" s="71">
        <f>Financials202632[[#This Row],[Feb AC]]-Financials202632[[#This Row],[Feb FC]]</f>
        <v>0</v>
      </c>
      <c r="BE90" s="71">
        <f>Financials202632[[#This Row],[Mar AC]]-Financials202632[[#This Row],[Mar FC]]</f>
        <v>0</v>
      </c>
      <c r="BF90" s="71">
        <f>Financials202632[[#This Row],[Apr AC]]-Financials202632[[#This Row],[Apr FC]]</f>
        <v>0</v>
      </c>
      <c r="BG90" s="71">
        <f>Financials202632[[#This Row],[May AC]]-Financials202632[[#This Row],[May FC]]</f>
        <v>0</v>
      </c>
      <c r="BH90" s="71">
        <f>Financials202632[[#This Row],[Jun AC]]-Financials202632[[#This Row],[Jun FC]]</f>
        <v>-16268</v>
      </c>
      <c r="BI90" s="71">
        <f>Financials202632[[#This Row],[Jul AC]]-Financials202632[[#This Row],[Jul FC]]</f>
        <v>-16268</v>
      </c>
      <c r="BJ90" s="71">
        <f>Financials202632[[#This Row],[Aug AC]]-Financials202632[[#This Row],[Aug FC]]</f>
        <v>-16268</v>
      </c>
      <c r="BK90" s="71">
        <f>Financials202632[[#This Row],[Sep AC]]-Financials202632[[#This Row],[Sep FC]]</f>
        <v>-16268</v>
      </c>
      <c r="BL90" s="71">
        <f>Financials202632[[#This Row],[Oct AC]]-Financials202632[[#This Row],[Oct FC]]</f>
        <v>-16268</v>
      </c>
      <c r="BM90" s="71">
        <f>Financials202632[[#This Row],[Nov AC]]-Financials202632[[#This Row],[Nov FC]]</f>
        <v>-16268</v>
      </c>
      <c r="BN90" s="71">
        <f>Financials202632[[#This Row],[Dec AC]]-Financials202632[[#This Row],[Dec FC]]</f>
        <v>-16268</v>
      </c>
      <c r="BO90" s="71">
        <f>SUM(Financials202632[[#This Row],[Jan Opp/Risk]:[Dec Opp./Risk]])</f>
        <v>-113876</v>
      </c>
      <c r="BP90" s="87" t="s">
        <v>571</v>
      </c>
      <c r="BQ90" s="47">
        <f>SUM(Financials202632[[#This Row],[Jan AC]:[May AC]])</f>
        <v>78064</v>
      </c>
      <c r="BR90" s="6">
        <f>Financials202632[[#This Row],[2026 (Actuals + Forecast)]]-Financials202632[[#This Row],[Jan-May Actuals]]-Financials202632[[#This Row],[Jun-Dec FC]]</f>
        <v>0</v>
      </c>
      <c r="BS90" s="6">
        <f>Financials202632[[#This Row],[Jun-Dec FC]]+Financials202632[[#This Row],[Jan-May Forecast ]]</f>
        <v>113876</v>
      </c>
      <c r="BT90" s="6">
        <f>SUM(Financials202632[[#This Row],[Jan FC]:[May FC]])</f>
        <v>78064</v>
      </c>
      <c r="BU90" s="6">
        <f>Financials202632[[#This Row],[Jan-May Actuals]]+Financials202632[[#This Row],[Forecast Jun-Dec]]</f>
        <v>191940</v>
      </c>
      <c r="BV90" s="6"/>
      <c r="BW90" s="6" t="s">
        <v>331</v>
      </c>
      <c r="BX90" s="6" t="s">
        <v>306</v>
      </c>
    </row>
    <row r="91" spans="1:76" x14ac:dyDescent="0.3">
      <c r="A91" s="22" t="s">
        <v>295</v>
      </c>
      <c r="B91" s="21" t="s">
        <v>43</v>
      </c>
      <c r="C91" s="21" t="s">
        <v>424</v>
      </c>
      <c r="D91" s="10" t="s">
        <v>383</v>
      </c>
      <c r="E91" s="7" t="s">
        <v>384</v>
      </c>
      <c r="F91" s="3" t="s">
        <v>385</v>
      </c>
      <c r="G91" s="3" t="s">
        <v>20</v>
      </c>
      <c r="H91" s="4">
        <v>45778</v>
      </c>
      <c r="I91" s="4">
        <v>46332</v>
      </c>
      <c r="J91" s="3" t="s">
        <v>572</v>
      </c>
      <c r="K91" s="3" t="str">
        <f t="shared" si="28"/>
        <v>Prj000403-Support - L2 CoE Management for Tech Horizontals</v>
      </c>
      <c r="L91" s="21" t="s">
        <v>323</v>
      </c>
      <c r="M91" s="21" t="s">
        <v>14</v>
      </c>
      <c r="N91" s="21" t="s">
        <v>324</v>
      </c>
      <c r="O91" s="21" t="s">
        <v>569</v>
      </c>
      <c r="P91" s="21" t="s">
        <v>302</v>
      </c>
      <c r="Q91" s="21" t="s">
        <v>334</v>
      </c>
      <c r="R91" s="21" t="s">
        <v>334</v>
      </c>
      <c r="S91" s="21" t="s">
        <v>328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SUM(Financials202632[[#This Row],[2026 Opportunity]:[2026 Risk]])</f>
        <v>0</v>
      </c>
      <c r="AA91" s="3" t="s">
        <v>573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SUM(Financials202632[[#This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SUM(Financials202632[[#This Row],[Jan AC]:[Dec AC]])</f>
        <v>33750</v>
      </c>
      <c r="BC91" s="71">
        <f>Financials202632[[#This Row],[Jan AC]]-Financials202632[[#This Row],[Jan FC]]</f>
        <v>0</v>
      </c>
      <c r="BD91" s="71">
        <f>Financials202632[[#This Row],[Feb AC]]-Financials202632[[#This Row],[Feb FC]]</f>
        <v>0</v>
      </c>
      <c r="BE91" s="71">
        <f>Financials202632[[#This Row],[Mar AC]]-Financials202632[[#This Row],[Mar FC]]</f>
        <v>0</v>
      </c>
      <c r="BF91" s="71">
        <f>Financials202632[[#This Row],[Apr AC]]-Financials202632[[#This Row],[Apr FC]]</f>
        <v>0</v>
      </c>
      <c r="BG91" s="71">
        <f>Financials202632[[#This Row],[May AC]]-Financials202632[[#This Row],[May FC]]</f>
        <v>0</v>
      </c>
      <c r="BH91" s="71">
        <f>Financials202632[[#This Row],[Jun AC]]-Financials202632[[#This Row],[Jun FC]]</f>
        <v>-6750</v>
      </c>
      <c r="BI91" s="71">
        <f>Financials202632[[#This Row],[Jul AC]]-Financials202632[[#This Row],[Jul FC]]</f>
        <v>-6750</v>
      </c>
      <c r="BJ91" s="71">
        <f>Financials202632[[#This Row],[Aug AC]]-Financials202632[[#This Row],[Aug FC]]</f>
        <v>-6750</v>
      </c>
      <c r="BK91" s="71">
        <f>Financials202632[[#This Row],[Sep AC]]-Financials202632[[#This Row],[Sep FC]]</f>
        <v>-6750</v>
      </c>
      <c r="BL91" s="71">
        <f>Financials202632[[#This Row],[Oct AC]]-Financials202632[[#This Row],[Oct FC]]</f>
        <v>-6750</v>
      </c>
      <c r="BM91" s="71">
        <f>Financials202632[[#This Row],[Nov AC]]-Financials202632[[#This Row],[Nov FC]]</f>
        <v>-6750</v>
      </c>
      <c r="BN91" s="71">
        <f>Financials202632[[#This Row],[Dec AC]]-Financials202632[[#This Row],[Dec FC]]</f>
        <v>-11205</v>
      </c>
      <c r="BO91" s="71">
        <f>SUM(Financials202632[[#This Row],[Jan Opp/Risk]:[Dec Opp./Risk]])</f>
        <v>-51705</v>
      </c>
      <c r="BP91" s="87" t="s">
        <v>356</v>
      </c>
      <c r="BQ91" s="47">
        <f>SUM(Financials202632[[#This Row],[Jan AC]:[May AC]])</f>
        <v>33750</v>
      </c>
      <c r="BR91" s="6">
        <f>Financials202632[[#This Row],[2026 (Actuals + Forecast)]]-Financials202632[[#This Row],[Jan-May Actuals]]-Financials202632[[#This Row],[Jun-Dec FC]]</f>
        <v>0</v>
      </c>
      <c r="BS91" s="6">
        <f>Financials202632[[#This Row],[Jun-Dec FC]]+Financials202632[[#This Row],[Jan-May Forecast ]]</f>
        <v>51705</v>
      </c>
      <c r="BT91" s="6">
        <f>SUM(Financials202632[[#This Row],[Jan FC]:[May FC]])</f>
        <v>33750</v>
      </c>
      <c r="BU91" s="6">
        <f>Financials202632[[#This Row],[Jan-May Actuals]]+Financials202632[[#This Row],[Forecast Jun-Dec]]</f>
        <v>85455</v>
      </c>
      <c r="BV91" s="6"/>
      <c r="BW91" s="6" t="s">
        <v>331</v>
      </c>
      <c r="BX91" s="6" t="s">
        <v>306</v>
      </c>
    </row>
    <row r="92" spans="1:76" x14ac:dyDescent="0.3">
      <c r="A92" s="22" t="s">
        <v>295</v>
      </c>
      <c r="B92" s="21" t="s">
        <v>207</v>
      </c>
      <c r="C92" s="21"/>
      <c r="D92" s="10" t="s">
        <v>435</v>
      </c>
      <c r="E92" s="7" t="s">
        <v>436</v>
      </c>
      <c r="F92" s="3" t="s">
        <v>311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301</v>
      </c>
      <c r="M92" s="21" t="s">
        <v>16</v>
      </c>
      <c r="N92" s="21" t="s">
        <v>16</v>
      </c>
      <c r="O92" s="21"/>
      <c r="P92" s="21" t="s">
        <v>302</v>
      </c>
      <c r="Q92" s="21" t="s">
        <v>334</v>
      </c>
      <c r="R92" s="21" t="s">
        <v>334</v>
      </c>
      <c r="S92" s="21" t="s">
        <v>328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SUM(Financials202632[[#This Row],[2026 Opportunity]:[2026 Risk]])</f>
        <v>-2</v>
      </c>
      <c r="AA92" s="3" t="s">
        <v>574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SUM(Financials202632[[#This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SUM(Financials202632[[#This Row],[Jan AC]:[Dec AC]])</f>
        <v>9894</v>
      </c>
      <c r="BC92" s="71">
        <f>Financials202632[[#This Row],[Jan AC]]-Financials202632[[#This Row],[Jan FC]]</f>
        <v>2</v>
      </c>
      <c r="BD92" s="71">
        <f>Financials202632[[#This Row],[Feb AC]]-Financials202632[[#This Row],[Feb FC]]</f>
        <v>-1</v>
      </c>
      <c r="BE92" s="71">
        <f>Financials202632[[#This Row],[Mar AC]]-Financials202632[[#This Row],[Mar FC]]</f>
        <v>-1</v>
      </c>
      <c r="BF92" s="71">
        <f>Financials202632[[#This Row],[Apr AC]]-Financials202632[[#This Row],[Apr FC]]</f>
        <v>-1</v>
      </c>
      <c r="BG92" s="71">
        <f>Financials202632[[#This Row],[May AC]]-Financials202632[[#This Row],[May FC]]</f>
        <v>-1</v>
      </c>
      <c r="BH92" s="71">
        <f>Financials202632[[#This Row],[Jun AC]]-Financials202632[[#This Row],[Jun FC]]</f>
        <v>-1</v>
      </c>
      <c r="BI92" s="71">
        <f>Financials202632[[#This Row],[Jul AC]]-Financials202632[[#This Row],[Jul FC]]</f>
        <v>-1000</v>
      </c>
      <c r="BJ92" s="71">
        <f>Financials202632[[#This Row],[Aug AC]]-Financials202632[[#This Row],[Aug FC]]</f>
        <v>-1000</v>
      </c>
      <c r="BK92" s="71">
        <f>Financials202632[[#This Row],[Sep AC]]-Financials202632[[#This Row],[Sep FC]]</f>
        <v>-1000</v>
      </c>
      <c r="BL92" s="71">
        <f>Financials202632[[#This Row],[Oct AC]]-Financials202632[[#This Row],[Oct FC]]</f>
        <v>-1000</v>
      </c>
      <c r="BM92" s="71">
        <f>Financials202632[[#This Row],[Nov AC]]-Financials202632[[#This Row],[Nov FC]]</f>
        <v>-1000</v>
      </c>
      <c r="BN92" s="71">
        <f>Financials202632[[#This Row],[Dec AC]]-Financials202632[[#This Row],[Dec FC]]</f>
        <v>-34037</v>
      </c>
      <c r="BO92" s="71">
        <f>SUM(Financials202632[[#This Row],[Jan Opp/Risk]:[Dec Opp./Risk]])</f>
        <v>-39040</v>
      </c>
      <c r="BP92" s="87" t="s">
        <v>575</v>
      </c>
      <c r="BQ92" s="47">
        <f>SUM(Financials202632[[#This Row],[Jan AC]:[May AC]])</f>
        <v>8895</v>
      </c>
      <c r="BR92" s="6">
        <f>Financials202632[[#This Row],[2026 (Actuals + Forecast)]]-Financials202632[[#This Row],[Jan-May Actuals]]-Financials202632[[#This Row],[Jun-Dec FC]]</f>
        <v>0</v>
      </c>
      <c r="BS92" s="6">
        <f>Financials202632[[#This Row],[Jun-Dec FC]]+Financials202632[[#This Row],[Jan-May Forecast ]]</f>
        <v>40037</v>
      </c>
      <c r="BT92" s="6">
        <f>SUM(Financials202632[[#This Row],[Jan FC]:[May FC]])</f>
        <v>8897</v>
      </c>
      <c r="BU92" s="6">
        <f>Financials202632[[#This Row],[Jan-May Actuals]]+Financials202632[[#This Row],[Forecast Jun-Dec]]</f>
        <v>48932</v>
      </c>
      <c r="BV92" s="6"/>
      <c r="BW92" s="6" t="s">
        <v>16</v>
      </c>
      <c r="BX92" s="6" t="s">
        <v>306</v>
      </c>
    </row>
    <row r="93" spans="1:76" x14ac:dyDescent="0.3">
      <c r="A93" s="22" t="s">
        <v>295</v>
      </c>
      <c r="B93" s="21" t="s">
        <v>63</v>
      </c>
      <c r="C93" s="21" t="s">
        <v>576</v>
      </c>
      <c r="D93" s="10" t="s">
        <v>226</v>
      </c>
      <c r="E93" s="7" t="s">
        <v>419</v>
      </c>
      <c r="F93" s="3" t="s">
        <v>420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301</v>
      </c>
      <c r="M93" s="21" t="s">
        <v>16</v>
      </c>
      <c r="N93" s="21" t="s">
        <v>16</v>
      </c>
      <c r="O93" s="21"/>
      <c r="P93" s="21" t="s">
        <v>302</v>
      </c>
      <c r="Q93" s="21" t="s">
        <v>334</v>
      </c>
      <c r="R93" s="21" t="s">
        <v>334</v>
      </c>
      <c r="S93" s="21" t="s">
        <v>415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SUM(Financials202632[[#This Row],[2026 Opportunity]:[2026 Risk]])</f>
        <v>-114166.66666666605</v>
      </c>
      <c r="AA93" s="3" t="s">
        <v>577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SUM(Financials202632[[#This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SUM(Financials202632[[#This Row],[Jan AC]:[Dec AC]])</f>
        <v>1543370.93</v>
      </c>
      <c r="BC93" s="71">
        <f>Financials202632[[#This Row],[Jan AC]]-Financials202632[[#This Row],[Jan FC]]</f>
        <v>0</v>
      </c>
      <c r="BD93" s="71">
        <f>Financials202632[[#This Row],[Feb AC]]-Financials202632[[#This Row],[Feb FC]]</f>
        <v>0</v>
      </c>
      <c r="BE93" s="71">
        <f>Financials202632[[#This Row],[Mar AC]]-Financials202632[[#This Row],[Mar FC]]</f>
        <v>0</v>
      </c>
      <c r="BF93" s="71">
        <f>Financials202632[[#This Row],[Apr AC]]-Financials202632[[#This Row],[Apr FC]]</f>
        <v>0</v>
      </c>
      <c r="BG93" s="71">
        <f>Financials202632[[#This Row],[May AC]]-Financials202632[[#This Row],[May FC]]</f>
        <v>0</v>
      </c>
      <c r="BH93" s="71">
        <f>Financials202632[[#This Row],[Jun AC]]-Financials202632[[#This Row],[Jun FC]]</f>
        <v>0</v>
      </c>
      <c r="BI93" s="71">
        <f>Financials202632[[#This Row],[Jul AC]]-Financials202632[[#This Row],[Jul FC]]</f>
        <v>-461647.86833333329</v>
      </c>
      <c r="BJ93" s="71">
        <f>Financials202632[[#This Row],[Aug AC]]-Financials202632[[#This Row],[Aug FC]]</f>
        <v>-461647.86833333329</v>
      </c>
      <c r="BK93" s="71">
        <f>Financials202632[[#This Row],[Sep AC]]-Financials202632[[#This Row],[Sep FC]]</f>
        <v>-229791.66666666666</v>
      </c>
      <c r="BL93" s="71">
        <f>Financials202632[[#This Row],[Oct AC]]-Financials202632[[#This Row],[Oct FC]]</f>
        <v>-229791.66666666666</v>
      </c>
      <c r="BM93" s="71">
        <f>Financials202632[[#This Row],[Nov AC]]-Financials202632[[#This Row],[Nov FC]]</f>
        <v>-229791.66666666666</v>
      </c>
      <c r="BN93" s="71">
        <f>Financials202632[[#This Row],[Dec AC]]-Financials202632[[#This Row],[Dec FC]]</f>
        <v>-229791.66666666666</v>
      </c>
      <c r="BO93" s="71">
        <f>SUM(Financials202632[[#This Row],[Jan Opp/Risk]:[Dec Opp./Risk]])</f>
        <v>-1842462.4033333336</v>
      </c>
      <c r="BP93" s="89" t="s">
        <v>578</v>
      </c>
      <c r="BQ93" s="47">
        <f>SUM(Financials202632[[#This Row],[Jan AC]:[May AC]])</f>
        <v>1290088.92</v>
      </c>
      <c r="BR93" s="6">
        <f>Financials202632[[#This Row],[2026 (Actuals + Forecast)]]-Financials202632[[#This Row],[Jan-May Actuals]]-Financials202632[[#This Row],[Jun-Dec FC]]</f>
        <v>0</v>
      </c>
      <c r="BS93" s="6">
        <f>Financials202632[[#This Row],[Jun-Dec FC]]+Financials202632[[#This Row],[Jan-May Forecast ]]</f>
        <v>2095744.4133333336</v>
      </c>
      <c r="BT93" s="6">
        <f>SUM(Financials202632[[#This Row],[Jan FC]:[May FC]])</f>
        <v>1290088.92</v>
      </c>
      <c r="BU93" s="6">
        <f>Financials202632[[#This Row],[Jan-May Actuals]]+Financials202632[[#This Row],[Forecast Jun-Dec]]</f>
        <v>3385833.3333333335</v>
      </c>
      <c r="BV93" s="6"/>
      <c r="BW93" s="6" t="s">
        <v>16</v>
      </c>
      <c r="BX93" s="6" t="s">
        <v>306</v>
      </c>
    </row>
    <row r="94" spans="1:76" x14ac:dyDescent="0.3">
      <c r="A94" s="22" t="s">
        <v>295</v>
      </c>
      <c r="B94" s="21" t="s">
        <v>89</v>
      </c>
      <c r="C94" s="21"/>
      <c r="D94" s="10" t="s">
        <v>297</v>
      </c>
      <c r="E94" s="7" t="s">
        <v>298</v>
      </c>
      <c r="F94" s="3" t="s">
        <v>299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301</v>
      </c>
      <c r="M94" s="21" t="s">
        <v>16</v>
      </c>
      <c r="N94" s="21" t="s">
        <v>16</v>
      </c>
      <c r="O94" s="21" t="s">
        <v>569</v>
      </c>
      <c r="P94" s="21" t="s">
        <v>302</v>
      </c>
      <c r="Q94" s="21" t="s">
        <v>334</v>
      </c>
      <c r="R94" s="21" t="s">
        <v>335</v>
      </c>
      <c r="S94" s="21" t="s">
        <v>304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SUM(Financials202632[[#This Row],[2026 Opportunity]:[2026 Risk]])</f>
        <v>45779</v>
      </c>
      <c r="AA94" s="3" t="s">
        <v>579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SUM(Financials202632[[#This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SUM(Financials202632[[#This Row],[Jan AC]:[Dec AC]])</f>
        <v>642692.09333333338</v>
      </c>
      <c r="BC94" s="71">
        <f>Financials202632[[#This Row],[Jan AC]]-Financials202632[[#This Row],[Jan FC]]</f>
        <v>0</v>
      </c>
      <c r="BD94" s="71">
        <f>Financials202632[[#This Row],[Feb AC]]-Financials202632[[#This Row],[Feb FC]]</f>
        <v>0</v>
      </c>
      <c r="BE94" s="71">
        <f>Financials202632[[#This Row],[Mar AC]]-Financials202632[[#This Row],[Mar FC]]</f>
        <v>0</v>
      </c>
      <c r="BF94" s="71">
        <f>Financials202632[[#This Row],[Apr AC]]-Financials202632[[#This Row],[Apr FC]]</f>
        <v>0</v>
      </c>
      <c r="BG94" s="71">
        <f>Financials202632[[#This Row],[May AC]]-Financials202632[[#This Row],[May FC]]</f>
        <v>0</v>
      </c>
      <c r="BH94" s="71">
        <f>Financials202632[[#This Row],[Jun AC]]-Financials202632[[#This Row],[Jun FC]]</f>
        <v>1.3333333336049691E-2</v>
      </c>
      <c r="BI94" s="71">
        <f>Financials202632[[#This Row],[Jul AC]]-Financials202632[[#This Row],[Jul FC]]</f>
        <v>1.3333333336049691E-2</v>
      </c>
      <c r="BJ94" s="71">
        <f>Financials202632[[#This Row],[Aug AC]]-Financials202632[[#This Row],[Aug FC]]</f>
        <v>1.3333333336049691E-2</v>
      </c>
      <c r="BK94" s="71">
        <f>Financials202632[[#This Row],[Sep AC]]-Financials202632[[#This Row],[Sep FC]]</f>
        <v>1.3333333336049691E-2</v>
      </c>
      <c r="BL94" s="71">
        <f>Financials202632[[#This Row],[Oct AC]]-Financials202632[[#This Row],[Oct FC]]</f>
        <v>1.3333333336049691E-2</v>
      </c>
      <c r="BM94" s="71">
        <f>Financials202632[[#This Row],[Nov AC]]-Financials202632[[#This Row],[Nov FC]]</f>
        <v>1.3333333336049691E-2</v>
      </c>
      <c r="BN94" s="71">
        <f>Financials202632[[#This Row],[Dec AC]]-Financials202632[[#This Row],[Dec FC]]</f>
        <v>1.3333333336049691E-2</v>
      </c>
      <c r="BO94" s="71">
        <f>SUM(Financials202632[[#This Row],[Jan Opp/Risk]:[Dec Opp./Risk]])</f>
        <v>9.3333333352347836E-2</v>
      </c>
      <c r="BP94" s="87" t="s">
        <v>580</v>
      </c>
      <c r="BQ94" s="47">
        <f>SUM(Financials202632[[#This Row],[Jan AC]:[May AC]])</f>
        <v>241666.66666666669</v>
      </c>
      <c r="BR94" s="6">
        <f>Financials202632[[#This Row],[2026 (Actuals + Forecast)]]-Financials202632[[#This Row],[Jan-May Actuals]]-Financials202632[[#This Row],[Jun-Dec FC]]</f>
        <v>0</v>
      </c>
      <c r="BS94" s="6">
        <f>Financials202632[[#This Row],[Jun-Dec FC]]+Financials202632[[#This Row],[Jan-May Forecast ]]</f>
        <v>401025.33333333331</v>
      </c>
      <c r="BT94" s="6">
        <f>SUM(Financials202632[[#This Row],[Jan FC]:[May FC]])</f>
        <v>241666.66666666669</v>
      </c>
      <c r="BU94" s="6">
        <f>Financials202632[[#This Row],[Jan-May Actuals]]+Financials202632[[#This Row],[Forecast Jun-Dec]]</f>
        <v>642692</v>
      </c>
      <c r="BV94" s="6"/>
      <c r="BW94" s="6" t="s">
        <v>16</v>
      </c>
      <c r="BX94" s="6" t="s">
        <v>306</v>
      </c>
    </row>
    <row r="95" spans="1:76" x14ac:dyDescent="0.3">
      <c r="A95" s="22" t="s">
        <v>295</v>
      </c>
      <c r="B95" s="21" t="s">
        <v>43</v>
      </c>
      <c r="C95" s="21" t="s">
        <v>424</v>
      </c>
      <c r="D95" s="10" t="s">
        <v>389</v>
      </c>
      <c r="E95" s="7" t="s">
        <v>389</v>
      </c>
      <c r="F95" s="3" t="s">
        <v>581</v>
      </c>
      <c r="G95" s="3" t="s">
        <v>20</v>
      </c>
      <c r="H95" s="4">
        <v>46023</v>
      </c>
      <c r="I95" s="4">
        <v>46203</v>
      </c>
      <c r="J95" s="3" t="s">
        <v>582</v>
      </c>
      <c r="K95" s="3" t="str">
        <f t="shared" si="28"/>
        <v>T&amp;M-T&amp;M</v>
      </c>
      <c r="L95" s="21" t="s">
        <v>323</v>
      </c>
      <c r="M95" s="21" t="s">
        <v>13</v>
      </c>
      <c r="N95" s="21" t="s">
        <v>392</v>
      </c>
      <c r="O95" s="21" t="s">
        <v>389</v>
      </c>
      <c r="P95" s="21" t="s">
        <v>325</v>
      </c>
      <c r="Q95" s="21" t="s">
        <v>326</v>
      </c>
      <c r="R95" s="21" t="s">
        <v>327</v>
      </c>
      <c r="S95" s="21" t="s">
        <v>328</v>
      </c>
      <c r="T95" s="5">
        <v>433000</v>
      </c>
      <c r="U95" s="15">
        <v>216000</v>
      </c>
      <c r="V95" s="15">
        <f>216000+272400</f>
        <v>488400</v>
      </c>
      <c r="W95" s="15">
        <f t="shared" si="29"/>
        <v>488400</v>
      </c>
      <c r="X95" s="15">
        <f t="shared" si="33"/>
        <v>0</v>
      </c>
      <c r="Y95" s="15">
        <f t="shared" si="30"/>
        <v>0</v>
      </c>
      <c r="Z95" s="15">
        <f>SUM(Financials202632[[#This Row],[2026 Opportunity]:[2026 Risk]])</f>
        <v>0</v>
      </c>
      <c r="AA95" s="3" t="s">
        <v>583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SUM(Financials202632[[#This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SUM(Financials202632[[#This Row],[Jan AC]:[Dec AC]])</f>
        <v>312400</v>
      </c>
      <c r="BC95" s="71">
        <f>Financials202632[[#This Row],[Jan AC]]-Financials202632[[#This Row],[Jan FC]]</f>
        <v>-15000</v>
      </c>
      <c r="BD95" s="71">
        <f>Financials202632[[#This Row],[Feb AC]]-Financials202632[[#This Row],[Feb FC]]</f>
        <v>-17800</v>
      </c>
      <c r="BE95" s="71">
        <f>Financials202632[[#This Row],[Mar AC]]-Financials202632[[#This Row],[Mar FC]]</f>
        <v>-800</v>
      </c>
      <c r="BF95" s="71">
        <f>Financials202632[[#This Row],[Apr AC]]-Financials202632[[#This Row],[Apr FC]]</f>
        <v>-6000</v>
      </c>
      <c r="BG95" s="71">
        <f>Financials202632[[#This Row],[May AC]]-Financials202632[[#This Row],[May FC]]</f>
        <v>-88000</v>
      </c>
      <c r="BH95" s="71">
        <f>Financials202632[[#This Row],[Jun AC]]-Financials202632[[#This Row],[Jun FC]]</f>
        <v>-88000</v>
      </c>
      <c r="BI95" s="71">
        <f>Financials202632[[#This Row],[Jul AC]]-Financials202632[[#This Row],[Jul FC]]</f>
        <v>0</v>
      </c>
      <c r="BJ95" s="71">
        <f>Financials202632[[#This Row],[Aug AC]]-Financials202632[[#This Row],[Aug FC]]</f>
        <v>0</v>
      </c>
      <c r="BK95" s="71">
        <f>Financials202632[[#This Row],[Sep AC]]-Financials202632[[#This Row],[Sep FC]]</f>
        <v>0</v>
      </c>
      <c r="BL95" s="71">
        <f>Financials202632[[#This Row],[Oct AC]]-Financials202632[[#This Row],[Oct FC]]</f>
        <v>0</v>
      </c>
      <c r="BM95" s="71">
        <f>Financials202632[[#This Row],[Nov AC]]-Financials202632[[#This Row],[Nov FC]]</f>
        <v>0</v>
      </c>
      <c r="BN95" s="71">
        <f>Financials202632[[#This Row],[Dec AC]]-Financials202632[[#This Row],[Dec FC]]</f>
        <v>0</v>
      </c>
      <c r="BO95" s="71">
        <f>SUM(Financials202632[[#This Row],[Jan Opp/Risk]:[Dec Opp./Risk]])</f>
        <v>-215600</v>
      </c>
      <c r="BP95" s="89" t="s">
        <v>584</v>
      </c>
      <c r="BQ95" s="47">
        <f>SUM(Financials202632[[#This Row],[Jan AC]:[May AC]])</f>
        <v>312400</v>
      </c>
      <c r="BR95" s="6">
        <f>Financials202632[[#This Row],[2026 (Actuals + Forecast)]]-Financials202632[[#This Row],[Jan-May Actuals]]-Financials202632[[#This Row],[Jun-Dec FC]]</f>
        <v>88000</v>
      </c>
      <c r="BS95" s="6">
        <f>Financials202632[[#This Row],[Jun-Dec FC]]+Financials202632[[#This Row],[Jan-May Forecast ]]</f>
        <v>176000</v>
      </c>
      <c r="BT95" s="6">
        <f>SUM(Financials202632[[#This Row],[Jan FC]:[May FC]])</f>
        <v>440000</v>
      </c>
      <c r="BU95" s="6">
        <f>Financials202632[[#This Row],[Jan-May Actuals]]+Financials202632[[#This Row],[Forecast Jun-Dec]]</f>
        <v>488400</v>
      </c>
      <c r="BV95" s="6"/>
      <c r="BW95" s="6" t="s">
        <v>331</v>
      </c>
      <c r="BX95" s="6" t="e">
        <v>#N/A</v>
      </c>
    </row>
    <row r="96" spans="1:76" x14ac:dyDescent="0.3">
      <c r="A96" s="22" t="s">
        <v>295</v>
      </c>
      <c r="B96" s="21" t="s">
        <v>43</v>
      </c>
      <c r="C96" s="21" t="s">
        <v>424</v>
      </c>
      <c r="D96" s="10" t="s">
        <v>585</v>
      </c>
      <c r="E96" s="7" t="s">
        <v>586</v>
      </c>
      <c r="F96" s="3" t="s">
        <v>427</v>
      </c>
      <c r="G96" s="3" t="s">
        <v>20</v>
      </c>
      <c r="H96" s="4">
        <v>46023</v>
      </c>
      <c r="I96" s="4">
        <v>46203</v>
      </c>
      <c r="J96" s="3" t="s">
        <v>587</v>
      </c>
      <c r="K96" s="3" t="str">
        <f t="shared" si="28"/>
        <v>Prj000472-Implement - Build Pipes from CORE Systems to IVP</v>
      </c>
      <c r="L96" s="21" t="s">
        <v>323</v>
      </c>
      <c r="M96" s="21" t="s">
        <v>10</v>
      </c>
      <c r="N96" s="21" t="s">
        <v>588</v>
      </c>
      <c r="O96" s="21"/>
      <c r="P96" s="21" t="s">
        <v>302</v>
      </c>
      <c r="Q96" s="21" t="s">
        <v>334</v>
      </c>
      <c r="R96" s="21" t="s">
        <v>327</v>
      </c>
      <c r="S96" s="21" t="s">
        <v>328</v>
      </c>
      <c r="T96" s="5">
        <v>1612673</v>
      </c>
      <c r="U96" s="17">
        <v>1344000</v>
      </c>
      <c r="V96" s="17">
        <f>1344000-272400-1104</f>
        <v>1070496</v>
      </c>
      <c r="W96" s="15">
        <f t="shared" si="29"/>
        <v>960000</v>
      </c>
      <c r="X96" s="15">
        <f t="shared" si="33"/>
        <v>-110496</v>
      </c>
      <c r="Y96" s="15">
        <f t="shared" si="30"/>
        <v>0</v>
      </c>
      <c r="Z96" s="15">
        <f>SUM(Financials202632[[#This Row],[2026 Opportunity]:[2026 Risk]])</f>
        <v>-110496</v>
      </c>
      <c r="AA96" s="3" t="s">
        <v>589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SUM(Financials202632[[#This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SUM(Financials202632[[#This Row],[Jan AC]:[Dec AC]])</f>
        <v>800000</v>
      </c>
      <c r="BC96" s="71">
        <f>Financials202632[[#This Row],[Jan AC]]-Financials202632[[#This Row],[Jan FC]]</f>
        <v>0</v>
      </c>
      <c r="BD96" s="71">
        <f>Financials202632[[#This Row],[Feb AC]]-Financials202632[[#This Row],[Feb FC]]</f>
        <v>0</v>
      </c>
      <c r="BE96" s="71">
        <f>Financials202632[[#This Row],[Mar AC]]-Financials202632[[#This Row],[Mar FC]]</f>
        <v>0</v>
      </c>
      <c r="BF96" s="71">
        <f>Financials202632[[#This Row],[Apr AC]]-Financials202632[[#This Row],[Apr FC]]</f>
        <v>0</v>
      </c>
      <c r="BG96" s="71">
        <f>Financials202632[[#This Row],[May AC]]-Financials202632[[#This Row],[May FC]]</f>
        <v>0</v>
      </c>
      <c r="BH96" s="71">
        <f>Financials202632[[#This Row],[Jun AC]]-Financials202632[[#This Row],[Jun FC]]</f>
        <v>-160000</v>
      </c>
      <c r="BI96" s="71">
        <f>Financials202632[[#This Row],[Jul AC]]-Financials202632[[#This Row],[Jul FC]]</f>
        <v>0</v>
      </c>
      <c r="BJ96" s="71">
        <f>Financials202632[[#This Row],[Aug AC]]-Financials202632[[#This Row],[Aug FC]]</f>
        <v>0</v>
      </c>
      <c r="BK96" s="71">
        <f>Financials202632[[#This Row],[Sep AC]]-Financials202632[[#This Row],[Sep FC]]</f>
        <v>0</v>
      </c>
      <c r="BL96" s="71">
        <f>Financials202632[[#This Row],[Oct AC]]-Financials202632[[#This Row],[Oct FC]]</f>
        <v>0</v>
      </c>
      <c r="BM96" s="71">
        <f>Financials202632[[#This Row],[Nov AC]]-Financials202632[[#This Row],[Nov FC]]</f>
        <v>0</v>
      </c>
      <c r="BN96" s="71">
        <f>Financials202632[[#This Row],[Dec AC]]-Financials202632[[#This Row],[Dec FC]]</f>
        <v>0</v>
      </c>
      <c r="BO96" s="71">
        <f>SUM(Financials202632[[#This Row],[Jan Opp/Risk]:[Dec Opp./Risk]])</f>
        <v>-160000</v>
      </c>
      <c r="BP96" s="87" t="s">
        <v>356</v>
      </c>
      <c r="BQ96" s="47">
        <f>SUM(Financials202632[[#This Row],[Jan AC]:[May AC]])</f>
        <v>800000</v>
      </c>
      <c r="BR96" s="6">
        <f>Financials202632[[#This Row],[2026 (Actuals + Forecast)]]-Financials202632[[#This Row],[Jan-May Actuals]]-Financials202632[[#This Row],[Jun-Dec FC]]</f>
        <v>0</v>
      </c>
      <c r="BS96" s="6">
        <f>Financials202632[[#This Row],[Jun-Dec FC]]+Financials202632[[#This Row],[Jan-May Forecast ]]</f>
        <v>160000</v>
      </c>
      <c r="BT96" s="6">
        <f>SUM(Financials202632[[#This Row],[Jan FC]:[May FC]])</f>
        <v>800000</v>
      </c>
      <c r="BU96" s="6">
        <f>Financials202632[[#This Row],[Jan-May Actuals]]+Financials202632[[#This Row],[Forecast Jun-Dec]]</f>
        <v>960000</v>
      </c>
      <c r="BV96" s="6"/>
      <c r="BW96" s="6" t="s">
        <v>331</v>
      </c>
      <c r="BX96" s="6" t="s">
        <v>590</v>
      </c>
    </row>
    <row r="97" spans="1:76" x14ac:dyDescent="0.3">
      <c r="A97" s="22" t="s">
        <v>295</v>
      </c>
      <c r="B97" s="21" t="s">
        <v>172</v>
      </c>
      <c r="C97" s="21" t="s">
        <v>332</v>
      </c>
      <c r="D97" s="10" t="s">
        <v>297</v>
      </c>
      <c r="E97" s="7" t="s">
        <v>298</v>
      </c>
      <c r="F97" s="3" t="s">
        <v>299</v>
      </c>
      <c r="G97" s="3" t="s">
        <v>21</v>
      </c>
      <c r="H97" s="4" t="s">
        <v>312</v>
      </c>
      <c r="I97" s="4" t="s">
        <v>312</v>
      </c>
      <c r="J97" s="3"/>
      <c r="K97" s="3" t="str">
        <f t="shared" si="28"/>
        <v>Prj000350-Support - Infrastructure for Tech</v>
      </c>
      <c r="L97" s="21" t="s">
        <v>301</v>
      </c>
      <c r="M97" s="21" t="s">
        <v>16</v>
      </c>
      <c r="N97" s="21" t="s">
        <v>16</v>
      </c>
      <c r="O97" s="21" t="s">
        <v>10</v>
      </c>
      <c r="P97" s="21" t="s">
        <v>302</v>
      </c>
      <c r="Q97" s="21" t="s">
        <v>414</v>
      </c>
      <c r="R97" s="21" t="s">
        <v>414</v>
      </c>
      <c r="S97" s="21" t="s">
        <v>333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SUM(Financials202632[[#This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SUM(Financials202632[[#This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SUM(Financials202632[[#This Row],[Jan AC]:[Dec AC]])</f>
        <v>0</v>
      </c>
      <c r="BC97" s="71">
        <f>Financials202632[[#This Row],[Jan AC]]-Financials202632[[#This Row],[Jan FC]]</f>
        <v>0</v>
      </c>
      <c r="BD97" s="71">
        <f>Financials202632[[#This Row],[Feb AC]]-Financials202632[[#This Row],[Feb FC]]</f>
        <v>0</v>
      </c>
      <c r="BE97" s="71">
        <f>Financials202632[[#This Row],[Mar AC]]-Financials202632[[#This Row],[Mar FC]]</f>
        <v>0</v>
      </c>
      <c r="BF97" s="71">
        <f>Financials202632[[#This Row],[Apr AC]]-Financials202632[[#This Row],[Apr FC]]</f>
        <v>-22318</v>
      </c>
      <c r="BG97" s="71">
        <f>Financials202632[[#This Row],[May AC]]-Financials202632[[#This Row],[May FC]]</f>
        <v>0</v>
      </c>
      <c r="BH97" s="71">
        <f>Financials202632[[#This Row],[Jun AC]]-Financials202632[[#This Row],[Jun FC]]</f>
        <v>0</v>
      </c>
      <c r="BI97" s="71">
        <f>Financials202632[[#This Row],[Jul AC]]-Financials202632[[#This Row],[Jul FC]]</f>
        <v>0</v>
      </c>
      <c r="BJ97" s="71">
        <f>Financials202632[[#This Row],[Aug AC]]-Financials202632[[#This Row],[Aug FC]]</f>
        <v>0</v>
      </c>
      <c r="BK97" s="71">
        <f>Financials202632[[#This Row],[Sep AC]]-Financials202632[[#This Row],[Sep FC]]</f>
        <v>0</v>
      </c>
      <c r="BL97" s="71">
        <f>Financials202632[[#This Row],[Oct AC]]-Financials202632[[#This Row],[Oct FC]]</f>
        <v>0</v>
      </c>
      <c r="BM97" s="71">
        <f>Financials202632[[#This Row],[Nov AC]]-Financials202632[[#This Row],[Nov FC]]</f>
        <v>0</v>
      </c>
      <c r="BN97" s="71">
        <f>Financials202632[[#This Row],[Dec AC]]-Financials202632[[#This Row],[Dec FC]]</f>
        <v>0</v>
      </c>
      <c r="BO97" s="71">
        <f>SUM(Financials202632[[#This Row],[Jan Opp/Risk]:[Dec Opp./Risk]])</f>
        <v>-22318</v>
      </c>
      <c r="BP97" s="87"/>
      <c r="BQ97" s="47">
        <f>SUM(Financials202632[[#This Row],[Jan AC]:[May AC]])</f>
        <v>0</v>
      </c>
      <c r="BR97" s="6">
        <f>Financials202632[[#This Row],[2026 (Actuals + Forecast)]]-Financials202632[[#This Row],[Jan-May Actuals]]-Financials202632[[#This Row],[Jun-Dec FC]]</f>
        <v>22318</v>
      </c>
      <c r="BS97" s="6">
        <f>Financials202632[[#This Row],[Jun-Dec FC]]+Financials202632[[#This Row],[Jan-May Forecast ]]</f>
        <v>22318</v>
      </c>
      <c r="BT97" s="6">
        <f>SUM(Financials202632[[#This Row],[Jan FC]:[May FC]])</f>
        <v>22318</v>
      </c>
      <c r="BU97" s="6">
        <f>Financials202632[[#This Row],[Jan-May Actuals]]+Financials202632[[#This Row],[Forecast Jun-Dec]]</f>
        <v>22318</v>
      </c>
      <c r="BV97" s="6"/>
      <c r="BW97" s="6" t="s">
        <v>16</v>
      </c>
      <c r="BX97" s="6" t="s">
        <v>306</v>
      </c>
    </row>
    <row r="98" spans="1:76" x14ac:dyDescent="0.3">
      <c r="A98" s="22" t="s">
        <v>295</v>
      </c>
      <c r="B98" s="21" t="s">
        <v>102</v>
      </c>
      <c r="C98" s="21" t="s">
        <v>591</v>
      </c>
      <c r="D98" s="10" t="s">
        <v>389</v>
      </c>
      <c r="E98" s="7" t="s">
        <v>389</v>
      </c>
      <c r="F98" s="3" t="s">
        <v>581</v>
      </c>
      <c r="G98" s="3" t="s">
        <v>20</v>
      </c>
      <c r="H98" s="4">
        <v>46023</v>
      </c>
      <c r="I98" s="4">
        <v>46203</v>
      </c>
      <c r="J98" s="3" t="s">
        <v>389</v>
      </c>
      <c r="K98" s="3" t="str">
        <f t="shared" si="28"/>
        <v>T&amp;M-T&amp;M</v>
      </c>
      <c r="L98" s="21" t="s">
        <v>323</v>
      </c>
      <c r="M98" s="21" t="s">
        <v>13</v>
      </c>
      <c r="N98" s="21" t="s">
        <v>592</v>
      </c>
      <c r="O98" s="21" t="s">
        <v>389</v>
      </c>
      <c r="P98" s="21" t="s">
        <v>593</v>
      </c>
      <c r="Q98" s="21" t="s">
        <v>594</v>
      </c>
      <c r="R98" s="21" t="s">
        <v>347</v>
      </c>
      <c r="S98" s="21" t="s">
        <v>328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SUM(Financials202632[[#This Row],[2026 Opportunity]:[2026 Risk]])</f>
        <v>-65132</v>
      </c>
      <c r="AA98" s="3" t="s">
        <v>595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SUM(Financials202632[[#This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SUM(Financials202632[[#This Row],[Jan AC]:[Dec AC]])</f>
        <v>718868</v>
      </c>
      <c r="BC98" s="71">
        <f>Financials202632[[#This Row],[Jan AC]]-Financials202632[[#This Row],[Jan FC]]</f>
        <v>-3792</v>
      </c>
      <c r="BD98" s="71">
        <f>Financials202632[[#This Row],[Feb AC]]-Financials202632[[#This Row],[Feb FC]]</f>
        <v>-17952</v>
      </c>
      <c r="BE98" s="71">
        <f>Financials202632[[#This Row],[Mar AC]]-Financials202632[[#This Row],[Mar FC]]</f>
        <v>-2304</v>
      </c>
      <c r="BF98" s="71">
        <f>Financials202632[[#This Row],[Apr AC]]-Financials202632[[#This Row],[Apr FC]]</f>
        <v>6958</v>
      </c>
      <c r="BG98" s="71">
        <f>Financials202632[[#This Row],[May AC]]-Financials202632[[#This Row],[May FC]]</f>
        <v>-48042</v>
      </c>
      <c r="BH98" s="71">
        <f>Financials202632[[#This Row],[Jun AC]]-Financials202632[[#This Row],[Jun FC]]</f>
        <v>-156800</v>
      </c>
      <c r="BI98" s="71">
        <f>Financials202632[[#This Row],[Jul AC]]-Financials202632[[#This Row],[Jul FC]]</f>
        <v>0</v>
      </c>
      <c r="BJ98" s="71">
        <f>Financials202632[[#This Row],[Aug AC]]-Financials202632[[#This Row],[Aug FC]]</f>
        <v>0</v>
      </c>
      <c r="BK98" s="71">
        <f>Financials202632[[#This Row],[Sep AC]]-Financials202632[[#This Row],[Sep FC]]</f>
        <v>0</v>
      </c>
      <c r="BL98" s="71">
        <f>Financials202632[[#This Row],[Oct AC]]-Financials202632[[#This Row],[Oct FC]]</f>
        <v>0</v>
      </c>
      <c r="BM98" s="71">
        <f>Financials202632[[#This Row],[Nov AC]]-Financials202632[[#This Row],[Nov FC]]</f>
        <v>0</v>
      </c>
      <c r="BN98" s="71">
        <f>Financials202632[[#This Row],[Dec AC]]-Financials202632[[#This Row],[Dec FC]]</f>
        <v>0</v>
      </c>
      <c r="BO98" s="71">
        <f>SUM(Financials202632[[#This Row],[Jan Opp/Risk]:[Dec Opp./Risk]])</f>
        <v>-221932</v>
      </c>
      <c r="BP98" s="89" t="s">
        <v>393</v>
      </c>
      <c r="BQ98" s="47">
        <f>SUM(Financials202632[[#This Row],[Jan AC]:[May AC]])</f>
        <v>718868</v>
      </c>
      <c r="BR98" s="6">
        <f>Financials202632[[#This Row],[2026 (Actuals + Forecast)]]-Financials202632[[#This Row],[Jan-May Actuals]]-Financials202632[[#This Row],[Jun-Dec FC]]</f>
        <v>0</v>
      </c>
      <c r="BS98" s="6">
        <f>Financials202632[[#This Row],[Jun-Dec FC]]+Financials202632[[#This Row],[Jan-May Forecast ]]</f>
        <v>156800</v>
      </c>
      <c r="BT98" s="6">
        <f>SUM(Financials202632[[#This Row],[Jan FC]:[May FC]])</f>
        <v>784000</v>
      </c>
      <c r="BU98" s="6">
        <f>Financials202632[[#This Row],[Jan-May Actuals]]+Financials202632[[#This Row],[Forecast Jun-Dec]]</f>
        <v>875668</v>
      </c>
      <c r="BV98" s="6"/>
      <c r="BW98" s="6" t="s">
        <v>331</v>
      </c>
      <c r="BX98" s="6" t="e">
        <v>#N/A</v>
      </c>
    </row>
    <row r="99" spans="1:76" x14ac:dyDescent="0.3">
      <c r="A99" s="22" t="s">
        <v>295</v>
      </c>
      <c r="B99" s="21" t="s">
        <v>214</v>
      </c>
      <c r="C99" s="21"/>
      <c r="D99" s="10" t="s">
        <v>435</v>
      </c>
      <c r="E99" s="7" t="s">
        <v>436</v>
      </c>
      <c r="F99" s="3" t="s">
        <v>311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301</v>
      </c>
      <c r="M99" s="21" t="s">
        <v>16</v>
      </c>
      <c r="N99" s="21" t="s">
        <v>16</v>
      </c>
      <c r="O99" s="21" t="s">
        <v>10</v>
      </c>
      <c r="P99" s="21" t="s">
        <v>302</v>
      </c>
      <c r="Q99" s="21" t="s">
        <v>303</v>
      </c>
      <c r="R99" s="21" t="s">
        <v>347</v>
      </c>
      <c r="S99" s="21" t="s">
        <v>304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SUM(Financials202632[[#This Row],[2026 Opportunity]:[2026 Risk]])</f>
        <v>0.46666666667442769</v>
      </c>
      <c r="AA99" s="3" t="s">
        <v>596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SUM(Financials202632[[#This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SUM(Financials202632[[#This Row],[Jan AC]:[Dec AC]])</f>
        <v>79772</v>
      </c>
      <c r="BC99" s="71">
        <f>Financials202632[[#This Row],[Jan AC]]-Financials202632[[#This Row],[Jan FC]]</f>
        <v>0</v>
      </c>
      <c r="BD99" s="71">
        <f>Financials202632[[#This Row],[Feb AC]]-Financials202632[[#This Row],[Feb FC]]</f>
        <v>0</v>
      </c>
      <c r="BE99" s="71">
        <f>Financials202632[[#This Row],[Mar AC]]-Financials202632[[#This Row],[Mar FC]]</f>
        <v>0</v>
      </c>
      <c r="BF99" s="71">
        <f>Financials202632[[#This Row],[Apr AC]]-Financials202632[[#This Row],[Apr FC]]</f>
        <v>0</v>
      </c>
      <c r="BG99" s="71">
        <f>Financials202632[[#This Row],[May AC]]-Financials202632[[#This Row],[May FC]]</f>
        <v>0</v>
      </c>
      <c r="BH99" s="71">
        <f>Financials202632[[#This Row],[Jun AC]]-Financials202632[[#This Row],[Jun FC]]</f>
        <v>0</v>
      </c>
      <c r="BI99" s="71">
        <f>Financials202632[[#This Row],[Jul AC]]-Financials202632[[#This Row],[Jul FC]]</f>
        <v>0</v>
      </c>
      <c r="BJ99" s="71">
        <f>Financials202632[[#This Row],[Aug AC]]-Financials202632[[#This Row],[Aug FC]]</f>
        <v>-11585.933333333334</v>
      </c>
      <c r="BK99" s="71">
        <f>Financials202632[[#This Row],[Sep AC]]-Financials202632[[#This Row],[Sep FC]]</f>
        <v>-11585.933333333334</v>
      </c>
      <c r="BL99" s="71">
        <f>Financials202632[[#This Row],[Oct AC]]-Financials202632[[#This Row],[Oct FC]]</f>
        <v>-11585.933333333334</v>
      </c>
      <c r="BM99" s="71">
        <f>Financials202632[[#This Row],[Nov AC]]-Financials202632[[#This Row],[Nov FC]]</f>
        <v>-11585.933333333334</v>
      </c>
      <c r="BN99" s="71">
        <f>Financials202632[[#This Row],[Dec AC]]-Financials202632[[#This Row],[Dec FC]]</f>
        <v>-12915.933333333334</v>
      </c>
      <c r="BO99" s="71">
        <f>SUM(Financials202632[[#This Row],[Jan Opp/Risk]:[Dec Opp./Risk]])</f>
        <v>-59259.666666666672</v>
      </c>
      <c r="BP99" s="87" t="s">
        <v>356</v>
      </c>
      <c r="BQ99" s="47">
        <f>SUM(Financials202632[[#This Row],[Jan AC]:[May AC]])</f>
        <v>56980</v>
      </c>
      <c r="BR99" s="6">
        <f>Financials202632[[#This Row],[2026 (Actuals + Forecast)]]-Financials202632[[#This Row],[Jan-May Actuals]]-Financials202632[[#This Row],[Jun-Dec FC]]</f>
        <v>0</v>
      </c>
      <c r="BS99" s="6">
        <f>Financials202632[[#This Row],[Jun-Dec FC]]+Financials202632[[#This Row],[Jan-May Forecast ]]</f>
        <v>82051.666666666672</v>
      </c>
      <c r="BT99" s="6">
        <f>SUM(Financials202632[[#This Row],[Jan FC]:[May FC]])</f>
        <v>56980</v>
      </c>
      <c r="BU99" s="6">
        <f>Financials202632[[#This Row],[Jan-May Actuals]]+Financials202632[[#This Row],[Forecast Jun-Dec]]</f>
        <v>139031.66666666669</v>
      </c>
      <c r="BV99" s="6"/>
      <c r="BW99" s="6" t="s">
        <v>16</v>
      </c>
      <c r="BX99" s="6" t="s">
        <v>306</v>
      </c>
    </row>
    <row r="100" spans="1:76" x14ac:dyDescent="0.3">
      <c r="A100" s="22" t="s">
        <v>597</v>
      </c>
      <c r="B100" s="21" t="s">
        <v>598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597</v>
      </c>
      <c r="M100" s="21" t="s">
        <v>597</v>
      </c>
      <c r="N100" s="21" t="s">
        <v>599</v>
      </c>
      <c r="O100" s="21" t="s">
        <v>600</v>
      </c>
      <c r="P100" s="21" t="s">
        <v>593</v>
      </c>
      <c r="Q100" s="21" t="s">
        <v>594</v>
      </c>
      <c r="R100" s="21" t="s">
        <v>347</v>
      </c>
      <c r="S100" s="21" t="s">
        <v>597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SUM(Financials202632[[#This Row],[2026 Opportunity]:[2026 Risk]])</f>
        <v>-4.6566128730773926E-10</v>
      </c>
      <c r="AA100" s="3" t="s">
        <v>601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SUM(Financials202632[[#This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SUM(Financials202632[[#This Row],[Jan AC]:[Dec AC]])</f>
        <v>-4000000.0000000005</v>
      </c>
      <c r="BC100" s="71">
        <f>Financials202632[[#This Row],[Jan AC]]-Financials202632[[#This Row],[Jan FC]]</f>
        <v>0</v>
      </c>
      <c r="BD100" s="71">
        <f>Financials202632[[#This Row],[Feb AC]]-Financials202632[[#This Row],[Feb FC]]</f>
        <v>0</v>
      </c>
      <c r="BE100" s="71">
        <f>Financials202632[[#This Row],[Mar AC]]-Financials202632[[#This Row],[Mar FC]]</f>
        <v>0</v>
      </c>
      <c r="BF100" s="71">
        <f>Financials202632[[#This Row],[Apr AC]]-Financials202632[[#This Row],[Apr FC]]</f>
        <v>0</v>
      </c>
      <c r="BG100" s="71">
        <f>Financials202632[[#This Row],[May AC]]-Financials202632[[#This Row],[May FC]]</f>
        <v>0</v>
      </c>
      <c r="BH100" s="71">
        <f>Financials202632[[#This Row],[Jun AC]]-Financials202632[[#This Row],[Jun FC]]</f>
        <v>0</v>
      </c>
      <c r="BI100" s="71">
        <f>Financials202632[[#This Row],[Jul AC]]-Financials202632[[#This Row],[Jul FC]]</f>
        <v>0</v>
      </c>
      <c r="BJ100" s="71">
        <f>Financials202632[[#This Row],[Aug AC]]-Financials202632[[#This Row],[Aug FC]]</f>
        <v>0</v>
      </c>
      <c r="BK100" s="71">
        <f>Financials202632[[#This Row],[Sep AC]]-Financials202632[[#This Row],[Sep FC]]</f>
        <v>0</v>
      </c>
      <c r="BL100" s="71">
        <f>Financials202632[[#This Row],[Oct AC]]-Financials202632[[#This Row],[Oct FC]]</f>
        <v>0</v>
      </c>
      <c r="BM100" s="71">
        <f>Financials202632[[#This Row],[Nov AC]]-Financials202632[[#This Row],[Nov FC]]</f>
        <v>0</v>
      </c>
      <c r="BN100" s="71">
        <f>Financials202632[[#This Row],[Dec AC]]-Financials202632[[#This Row],[Dec FC]]</f>
        <v>0</v>
      </c>
      <c r="BO100" s="71">
        <f>SUM(Financials202632[[#This Row],[Jan Opp/Risk]:[Dec Opp./Risk]])</f>
        <v>0</v>
      </c>
      <c r="BP100" s="87" t="s">
        <v>602</v>
      </c>
      <c r="BQ100" s="49">
        <f>SUM(Financials202632[[#This Row],[Jan AC]:[May AC]])</f>
        <v>-1666666.6666666665</v>
      </c>
      <c r="BR100" s="6">
        <f>Financials202632[[#This Row],[2026 (Actuals + Forecast)]]-Financials202632[[#This Row],[Jan-May Actuals]]-Financials202632[[#This Row],[Jun-Dec FC]]</f>
        <v>0</v>
      </c>
      <c r="BS100" s="6">
        <f>Financials202632[[#This Row],[Jun-Dec FC]]+Financials202632[[#This Row],[Jan-May Forecast ]]</f>
        <v>-2333333.333333333</v>
      </c>
      <c r="BT100" s="6">
        <f>SUM(Financials202632[[#This Row],[Jan FC]:[May FC]])</f>
        <v>-1666666.6666666665</v>
      </c>
      <c r="BU100" s="6">
        <f>Financials202632[[#This Row],[Jan-May Actuals]]+Financials202632[[#This Row],[Forecast Jun-Dec]]</f>
        <v>-3999999.9999999995</v>
      </c>
      <c r="BV100" s="6"/>
      <c r="BW100" s="6" t="s">
        <v>603</v>
      </c>
      <c r="BX100" s="6" t="e">
        <v>#N/A</v>
      </c>
    </row>
    <row r="101" spans="1:76" x14ac:dyDescent="0.3">
      <c r="A101" s="32" t="s">
        <v>221</v>
      </c>
      <c r="B101" s="32" t="s">
        <v>146</v>
      </c>
      <c r="C101" s="39"/>
      <c r="D101" s="32" t="s">
        <v>221</v>
      </c>
      <c r="E101" s="34" t="s">
        <v>26</v>
      </c>
      <c r="F101" s="34" t="s">
        <v>26</v>
      </c>
      <c r="G101" s="34" t="s">
        <v>26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Amortization-N/A</v>
      </c>
      <c r="L101" s="33" t="s">
        <v>221</v>
      </c>
      <c r="M101" s="33" t="s">
        <v>15</v>
      </c>
      <c r="N101" s="33" t="s">
        <v>15</v>
      </c>
      <c r="O101" s="33" t="s">
        <v>221</v>
      </c>
      <c r="P101" s="33" t="s">
        <v>302</v>
      </c>
      <c r="Q101" s="33" t="s">
        <v>604</v>
      </c>
      <c r="R101" s="33" t="s">
        <v>605</v>
      </c>
      <c r="S101" s="22" t="s">
        <v>221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SUM(Financials202632[[#This Row],[2026 Opportunity]:[2026 Risk]])</f>
        <v>-0.38999999966472387</v>
      </c>
      <c r="AA101" s="41" t="s">
        <v>606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SUM(Financials202632[[#This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SUM(Financials202632[[#This Row],[Jan AC]:[Dec AC]])</f>
        <v>1441946.6100000003</v>
      </c>
      <c r="BC101" s="71">
        <f>Financials202632[[#This Row],[Jan AC]]-Financials202632[[#This Row],[Jan FC]]</f>
        <v>0</v>
      </c>
      <c r="BD101" s="71">
        <f>Financials202632[[#This Row],[Feb AC]]-Financials202632[[#This Row],[Feb FC]]</f>
        <v>0</v>
      </c>
      <c r="BE101" s="71">
        <f>Financials202632[[#This Row],[Mar AC]]-Financials202632[[#This Row],[Mar FC]]</f>
        <v>0</v>
      </c>
      <c r="BF101" s="71">
        <f>Financials202632[[#This Row],[Apr AC]]-Financials202632[[#This Row],[Apr FC]]</f>
        <v>0</v>
      </c>
      <c r="BG101" s="71">
        <f>Financials202632[[#This Row],[May AC]]-Financials202632[[#This Row],[May FC]]</f>
        <v>0</v>
      </c>
      <c r="BH101" s="71">
        <f>Financials202632[[#This Row],[Jun AC]]-Financials202632[[#This Row],[Jun FC]]</f>
        <v>0</v>
      </c>
      <c r="BI101" s="71">
        <f>Financials202632[[#This Row],[Jul AC]]-Financials202632[[#This Row],[Jul FC]]</f>
        <v>0</v>
      </c>
      <c r="BJ101" s="71">
        <f>Financials202632[[#This Row],[Aug AC]]-Financials202632[[#This Row],[Aug FC]]</f>
        <v>0</v>
      </c>
      <c r="BK101" s="71">
        <f>Financials202632[[#This Row],[Sep AC]]-Financials202632[[#This Row],[Sep FC]]</f>
        <v>0</v>
      </c>
      <c r="BL101" s="71">
        <f>Financials202632[[#This Row],[Oct AC]]-Financials202632[[#This Row],[Oct FC]]</f>
        <v>0</v>
      </c>
      <c r="BM101" s="71">
        <f>Financials202632[[#This Row],[Nov AC]]-Financials202632[[#This Row],[Nov FC]]</f>
        <v>0</v>
      </c>
      <c r="BN101" s="71">
        <f>Financials202632[[#This Row],[Dec AC]]-Financials202632[[#This Row],[Dec FC]]</f>
        <v>0</v>
      </c>
      <c r="BO101" s="84">
        <f>SUM(Financials202632[[#This Row],[Jan Opp/Risk]:[Dec Opp./Risk]])</f>
        <v>0</v>
      </c>
      <c r="BP101" s="92" t="s">
        <v>607</v>
      </c>
      <c r="BQ101" s="47">
        <f>SUM(Financials202632[[#This Row],[Jan AC]:[May AC]])</f>
        <v>600811.08750000014</v>
      </c>
      <c r="BR101" s="6">
        <f>Financials202632[[#This Row],[2026 (Actuals + Forecast)]]-Financials202632[[#This Row],[Jan-May Actuals]]-Financials202632[[#This Row],[Jun-Dec FC]]</f>
        <v>0</v>
      </c>
      <c r="BS101" s="6">
        <f>Financials202632[[#This Row],[Jun-Dec FC]]+Financials202632[[#This Row],[Jan-May Forecast ]]</f>
        <v>841135.5225000002</v>
      </c>
      <c r="BT101" s="6">
        <f>SUM(Financials202632[[#This Row],[Jan FC]:[May FC]])</f>
        <v>600811.08750000014</v>
      </c>
      <c r="BU101" s="6">
        <f>Financials202632[[#This Row],[Jan-May Actuals]]+Financials202632[[#This Row],[Forecast Jun-Dec]]</f>
        <v>1441946.6100000003</v>
      </c>
      <c r="BV101" s="6"/>
      <c r="BW101" s="6" t="s">
        <v>319</v>
      </c>
      <c r="BX101" s="6" t="e">
        <v>#N/A</v>
      </c>
    </row>
    <row r="102" spans="1:76" x14ac:dyDescent="0.3">
      <c r="A102" s="22" t="s">
        <v>295</v>
      </c>
      <c r="B102" s="21" t="s">
        <v>190</v>
      </c>
      <c r="C102" s="21"/>
      <c r="D102" s="10" t="s">
        <v>224</v>
      </c>
      <c r="E102" s="7" t="s">
        <v>366</v>
      </c>
      <c r="F102" s="3" t="s">
        <v>367</v>
      </c>
      <c r="G102" s="3" t="s">
        <v>22</v>
      </c>
      <c r="H102" s="4">
        <v>46048</v>
      </c>
      <c r="I102" s="4">
        <v>46412</v>
      </c>
      <c r="J102" s="3" t="s">
        <v>608</v>
      </c>
      <c r="K102" s="3" t="str">
        <f t="shared" si="28"/>
        <v>Prj000381-Support - Prod Support for Credit Apps</v>
      </c>
      <c r="L102" s="21" t="s">
        <v>301</v>
      </c>
      <c r="M102" s="21" t="s">
        <v>16</v>
      </c>
      <c r="N102" s="21" t="s">
        <v>16</v>
      </c>
      <c r="O102" s="21"/>
      <c r="P102" s="21" t="s">
        <v>302</v>
      </c>
      <c r="Q102" s="21" t="s">
        <v>303</v>
      </c>
      <c r="R102" s="21" t="s">
        <v>347</v>
      </c>
      <c r="S102" s="21" t="s">
        <v>304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SUM(Financials202632[[#This Row],[2026 Opportunity]:[2026 Risk]])</f>
        <v>132827.49999999988</v>
      </c>
      <c r="AA102" s="3" t="s">
        <v>609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SUM(Financials202632[[#This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SUM(Financials202632[[#This Row],[Jan AC]:[Dec AC]])</f>
        <v>544374.99999999988</v>
      </c>
      <c r="BC102" s="71">
        <f>Financials202632[[#This Row],[Jan AC]]-Financials202632[[#This Row],[Jan FC]]</f>
        <v>0</v>
      </c>
      <c r="BD102" s="71">
        <f>Financials202632[[#This Row],[Feb AC]]-Financials202632[[#This Row],[Feb FC]]</f>
        <v>0</v>
      </c>
      <c r="BE102" s="71">
        <f>Financials202632[[#This Row],[Mar AC]]-Financials202632[[#This Row],[Mar FC]]</f>
        <v>0</v>
      </c>
      <c r="BF102" s="71">
        <f>Financials202632[[#This Row],[Apr AC]]-Financials202632[[#This Row],[Apr FC]]</f>
        <v>0</v>
      </c>
      <c r="BG102" s="71">
        <f>Financials202632[[#This Row],[May AC]]-Financials202632[[#This Row],[May FC]]</f>
        <v>0</v>
      </c>
      <c r="BH102" s="71">
        <f>Financials202632[[#This Row],[Jun AC]]-Financials202632[[#This Row],[Jun FC]]</f>
        <v>0</v>
      </c>
      <c r="BI102" s="71">
        <f>Financials202632[[#This Row],[Jul AC]]-Financials202632[[#This Row],[Jul FC]]</f>
        <v>0</v>
      </c>
      <c r="BJ102" s="71">
        <f>Financials202632[[#This Row],[Aug AC]]-Financials202632[[#This Row],[Aug FC]]</f>
        <v>0</v>
      </c>
      <c r="BK102" s="71">
        <f>Financials202632[[#This Row],[Sep AC]]-Financials202632[[#This Row],[Sep FC]]</f>
        <v>0</v>
      </c>
      <c r="BL102" s="71">
        <f>Financials202632[[#This Row],[Oct AC]]-Financials202632[[#This Row],[Oct FC]]</f>
        <v>0</v>
      </c>
      <c r="BM102" s="71">
        <f>Financials202632[[#This Row],[Nov AC]]-Financials202632[[#This Row],[Nov FC]]</f>
        <v>0</v>
      </c>
      <c r="BN102" s="71">
        <f>Financials202632[[#This Row],[Dec AC]]-Financials202632[[#This Row],[Dec FC]]</f>
        <v>0</v>
      </c>
      <c r="BO102" s="71">
        <f>SUM(Financials202632[[#This Row],[Jan Opp/Risk]:[Dec Opp./Risk]])</f>
        <v>0</v>
      </c>
      <c r="BP102" s="87" t="s">
        <v>356</v>
      </c>
      <c r="BQ102" s="47">
        <f>SUM(Financials202632[[#This Row],[Jan AC]:[May AC]])</f>
        <v>226822.91666666669</v>
      </c>
      <c r="BR102" s="6">
        <f>Financials202632[[#This Row],[2026 (Actuals + Forecast)]]-Financials202632[[#This Row],[Jan-May Actuals]]-Financials202632[[#This Row],[Jun-Dec FC]]</f>
        <v>0</v>
      </c>
      <c r="BS102" s="6">
        <f>Financials202632[[#This Row],[Jun-Dec FC]]+Financials202632[[#This Row],[Jan-May Forecast ]]</f>
        <v>317552.08333333331</v>
      </c>
      <c r="BT102" s="6">
        <f>SUM(Financials202632[[#This Row],[Jan FC]:[May FC]])</f>
        <v>226822.91666666669</v>
      </c>
      <c r="BU102" s="6">
        <f>Financials202632[[#This Row],[Jan-May Actuals]]+Financials202632[[#This Row],[Forecast Jun-Dec]]</f>
        <v>544375</v>
      </c>
      <c r="BV102" s="6"/>
      <c r="BW102" s="6" t="s">
        <v>16</v>
      </c>
      <c r="BX102" s="6" t="s">
        <v>306</v>
      </c>
    </row>
    <row r="103" spans="1:76" x14ac:dyDescent="0.3">
      <c r="A103" s="22" t="s">
        <v>295</v>
      </c>
      <c r="B103" s="21" t="s">
        <v>77</v>
      </c>
      <c r="C103" s="21" t="s">
        <v>610</v>
      </c>
      <c r="D103" s="10" t="s">
        <v>297</v>
      </c>
      <c r="E103" s="7" t="s">
        <v>298</v>
      </c>
      <c r="F103" s="3" t="s">
        <v>299</v>
      </c>
      <c r="G103" s="3" t="s">
        <v>21</v>
      </c>
      <c r="H103" s="4" t="s">
        <v>346</v>
      </c>
      <c r="I103" s="4" t="s">
        <v>346</v>
      </c>
      <c r="J103" s="3"/>
      <c r="K103" s="3" t="str">
        <f t="shared" si="28"/>
        <v>Prj000350-Support - Infrastructure for Tech</v>
      </c>
      <c r="L103" s="21" t="s">
        <v>301</v>
      </c>
      <c r="M103" s="21" t="s">
        <v>12</v>
      </c>
      <c r="N103" s="21" t="s">
        <v>12</v>
      </c>
      <c r="O103" s="21" t="s">
        <v>611</v>
      </c>
      <c r="P103" s="21" t="s">
        <v>302</v>
      </c>
      <c r="Q103" s="21" t="s">
        <v>351</v>
      </c>
      <c r="R103" s="21" t="s">
        <v>351</v>
      </c>
      <c r="S103" s="21" t="s">
        <v>328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SUM(Financials202632[[#This Row],[2026 Opportunity]:[2026 Risk]])</f>
        <v>797.13000000000466</v>
      </c>
      <c r="AA103" s="3" t="s">
        <v>612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SUM(Financials202632[[#This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SUM(Financials202632[[#This Row],[Jan AC]:[Dec AC]])</f>
        <v>9883.380000000001</v>
      </c>
      <c r="BC103" s="71">
        <f>Financials202632[[#This Row],[Jan AC]]-Financials202632[[#This Row],[Jan FC]]</f>
        <v>254.65000000000009</v>
      </c>
      <c r="BD103" s="71">
        <f>Financials202632[[#This Row],[Feb AC]]-Financials202632[[#This Row],[Feb FC]]</f>
        <v>-736.92999999999984</v>
      </c>
      <c r="BE103" s="71">
        <f>Financials202632[[#This Row],[Mar AC]]-Financials202632[[#This Row],[Mar FC]]</f>
        <v>1279.4099999999999</v>
      </c>
      <c r="BF103" s="71">
        <f>Financials202632[[#This Row],[Apr AC]]-Financials202632[[#This Row],[Apr FC]]</f>
        <v>-3028.75</v>
      </c>
      <c r="BG103" s="71">
        <f>Financials202632[[#This Row],[May AC]]-Financials202632[[#This Row],[May FC]]</f>
        <v>-3028.75</v>
      </c>
      <c r="BH103" s="71">
        <f>Financials202632[[#This Row],[Jun AC]]-Financials202632[[#This Row],[Jun FC]]</f>
        <v>-3028.75</v>
      </c>
      <c r="BI103" s="71">
        <f>Financials202632[[#This Row],[Jul AC]]-Financials202632[[#This Row],[Jul FC]]</f>
        <v>-3028.75</v>
      </c>
      <c r="BJ103" s="71">
        <f>Financials202632[[#This Row],[Aug AC]]-Financials202632[[#This Row],[Aug FC]]</f>
        <v>-3028.75</v>
      </c>
      <c r="BK103" s="71">
        <f>Financials202632[[#This Row],[Sep AC]]-Financials202632[[#This Row],[Sep FC]]</f>
        <v>-3028.75</v>
      </c>
      <c r="BL103" s="71">
        <f>Financials202632[[#This Row],[Oct AC]]-Financials202632[[#This Row],[Oct FC]]</f>
        <v>-3028.75</v>
      </c>
      <c r="BM103" s="71">
        <f>Financials202632[[#This Row],[Nov AC]]-Financials202632[[#This Row],[Nov FC]]</f>
        <v>-3028.75</v>
      </c>
      <c r="BN103" s="71">
        <f>Financials202632[[#This Row],[Dec AC]]-Financials202632[[#This Row],[Dec FC]]</f>
        <v>-3028.75</v>
      </c>
      <c r="BO103" s="71">
        <f>SUM(Financials202632[[#This Row],[Jan Opp/Risk]:[Dec Opp./Risk]])</f>
        <v>-26461.62</v>
      </c>
      <c r="BP103" s="88" t="s">
        <v>544</v>
      </c>
      <c r="BQ103" s="47">
        <f>SUM(Financials202632[[#This Row],[Jan AC]:[May AC]])</f>
        <v>9883.380000000001</v>
      </c>
      <c r="BR103" s="6">
        <f>Financials202632[[#This Row],[2026 (Actuals + Forecast)]]-Financials202632[[#This Row],[Jan-May Actuals]]-Financials202632[[#This Row],[Jun-Dec FC]]</f>
        <v>6057.5000000000036</v>
      </c>
      <c r="BS103" s="6">
        <f>Financials202632[[#This Row],[Jun-Dec FC]]+Financials202632[[#This Row],[Jan-May Forecast ]]</f>
        <v>27258.750000000004</v>
      </c>
      <c r="BT103" s="6">
        <f>SUM(Financials202632[[#This Row],[Jan FC]:[May FC]])</f>
        <v>15143.75</v>
      </c>
      <c r="BU103" s="6">
        <f>Financials202632[[#This Row],[Jan-May Actuals]]+Financials202632[[#This Row],[Forecast Jun-Dec]]</f>
        <v>37142.130000000005</v>
      </c>
      <c r="BV103" s="6"/>
      <c r="BW103" s="21" t="s">
        <v>12</v>
      </c>
      <c r="BX103" s="6" t="s">
        <v>306</v>
      </c>
    </row>
    <row r="104" spans="1:76" x14ac:dyDescent="0.3">
      <c r="A104" s="22" t="s">
        <v>295</v>
      </c>
      <c r="B104" s="21" t="s">
        <v>79</v>
      </c>
      <c r="C104" s="21"/>
      <c r="D104" s="10" t="s">
        <v>297</v>
      </c>
      <c r="E104" s="7" t="s">
        <v>298</v>
      </c>
      <c r="F104" s="3" t="s">
        <v>299</v>
      </c>
      <c r="G104" s="3" t="s">
        <v>21</v>
      </c>
      <c r="H104" s="4" t="s">
        <v>346</v>
      </c>
      <c r="I104" s="4" t="s">
        <v>346</v>
      </c>
      <c r="J104" s="3"/>
      <c r="K104" s="3" t="str">
        <f t="shared" si="28"/>
        <v>Prj000350-Support - Infrastructure for Tech</v>
      </c>
      <c r="L104" s="21" t="s">
        <v>301</v>
      </c>
      <c r="M104" s="21" t="s">
        <v>12</v>
      </c>
      <c r="N104" s="21" t="s">
        <v>12</v>
      </c>
      <c r="O104" s="21"/>
      <c r="P104" s="21" t="s">
        <v>302</v>
      </c>
      <c r="Q104" s="21" t="s">
        <v>351</v>
      </c>
      <c r="R104" s="21" t="s">
        <v>351</v>
      </c>
      <c r="S104" s="21" t="s">
        <v>328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SUM(Financials202632[[#This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SUM(Financials202632[[#This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SUM(Financials202632[[#This Row],[Jan AC]:[Dec AC]])</f>
        <v>2233.88</v>
      </c>
      <c r="BC104" s="71">
        <f>Financials202632[[#This Row],[Jan AC]]-Financials202632[[#This Row],[Jan FC]]</f>
        <v>17.829999999999984</v>
      </c>
      <c r="BD104" s="71">
        <f>Financials202632[[#This Row],[Feb AC]]-Financials202632[[#This Row],[Feb FC]]</f>
        <v>22.949999999999989</v>
      </c>
      <c r="BE104" s="71">
        <f>Financials202632[[#This Row],[Mar AC]]-Financials202632[[#This Row],[Mar FC]]</f>
        <v>18.550000000000011</v>
      </c>
      <c r="BF104" s="71">
        <f>Financials202632[[#This Row],[Apr AC]]-Financials202632[[#This Row],[Apr FC]]</f>
        <v>18.550000000000011</v>
      </c>
      <c r="BG104" s="71">
        <f>Financials202632[[#This Row],[May AC]]-Financials202632[[#This Row],[May FC]]</f>
        <v>19</v>
      </c>
      <c r="BH104" s="71">
        <f>Financials202632[[#This Row],[Jun AC]]-Financials202632[[#This Row],[Jun FC]]</f>
        <v>19</v>
      </c>
      <c r="BI104" s="71">
        <f>Financials202632[[#This Row],[Jul AC]]-Financials202632[[#This Row],[Jul FC]]</f>
        <v>-353</v>
      </c>
      <c r="BJ104" s="71">
        <f>Financials202632[[#This Row],[Aug AC]]-Financials202632[[#This Row],[Aug FC]]</f>
        <v>-353</v>
      </c>
      <c r="BK104" s="71">
        <f>Financials202632[[#This Row],[Sep AC]]-Financials202632[[#This Row],[Sep FC]]</f>
        <v>-353</v>
      </c>
      <c r="BL104" s="71">
        <f>Financials202632[[#This Row],[Oct AC]]-Financials202632[[#This Row],[Oct FC]]</f>
        <v>-353</v>
      </c>
      <c r="BM104" s="71">
        <f>Financials202632[[#This Row],[Nov AC]]-Financials202632[[#This Row],[Nov FC]]</f>
        <v>-353</v>
      </c>
      <c r="BN104" s="71">
        <f>Financials202632[[#This Row],[Dec AC]]-Financials202632[[#This Row],[Dec FC]]</f>
        <v>-347</v>
      </c>
      <c r="BO104" s="71">
        <f>SUM(Financials202632[[#This Row],[Jan Opp/Risk]:[Dec Opp./Risk]])</f>
        <v>-1996.12</v>
      </c>
      <c r="BP104" s="87"/>
      <c r="BQ104" s="47">
        <f>SUM(Financials202632[[#This Row],[Jan AC]:[May AC]])</f>
        <v>1861.8799999999999</v>
      </c>
      <c r="BR104" s="6">
        <f>Financials202632[[#This Row],[2026 (Actuals + Forecast)]]-Financials202632[[#This Row],[Jan-May Actuals]]-Financials202632[[#This Row],[Jun-Dec FC]]</f>
        <v>0</v>
      </c>
      <c r="BS104" s="6">
        <f>Financials202632[[#This Row],[Jun-Dec FC]]+Financials202632[[#This Row],[Jan-May Forecast ]]</f>
        <v>2465</v>
      </c>
      <c r="BT104" s="6">
        <f>SUM(Financials202632[[#This Row],[Jan FC]:[May FC]])</f>
        <v>1765</v>
      </c>
      <c r="BU104" s="6">
        <f>Financials202632[[#This Row],[Jan-May Actuals]]+Financials202632[[#This Row],[Forecast Jun-Dec]]</f>
        <v>4326.88</v>
      </c>
      <c r="BV104" s="6"/>
      <c r="BW104" s="21" t="s">
        <v>12</v>
      </c>
      <c r="BX104" s="6" t="s">
        <v>306</v>
      </c>
    </row>
    <row r="105" spans="1:76" x14ac:dyDescent="0.3">
      <c r="A105" s="22" t="s">
        <v>295</v>
      </c>
      <c r="B105" s="21" t="s">
        <v>84</v>
      </c>
      <c r="C105" s="21"/>
      <c r="D105" s="10" t="s">
        <v>297</v>
      </c>
      <c r="E105" s="7" t="s">
        <v>298</v>
      </c>
      <c r="F105" s="3" t="s">
        <v>299</v>
      </c>
      <c r="G105" s="3" t="s">
        <v>21</v>
      </c>
      <c r="H105" s="4" t="s">
        <v>346</v>
      </c>
      <c r="I105" s="4" t="s">
        <v>346</v>
      </c>
      <c r="J105" s="3"/>
      <c r="K105" s="3" t="str">
        <f t="shared" si="28"/>
        <v>Prj000350-Support - Infrastructure for Tech</v>
      </c>
      <c r="L105" s="21" t="s">
        <v>301</v>
      </c>
      <c r="M105" s="21" t="s">
        <v>12</v>
      </c>
      <c r="N105" s="21" t="s">
        <v>12</v>
      </c>
      <c r="O105" s="21" t="s">
        <v>354</v>
      </c>
      <c r="P105" s="21" t="s">
        <v>302</v>
      </c>
      <c r="Q105" s="21" t="s">
        <v>351</v>
      </c>
      <c r="R105" s="21" t="s">
        <v>351</v>
      </c>
      <c r="S105" s="21" t="s">
        <v>328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SUM(Financials202632[[#This Row],[2026 Opportunity]:[2026 Risk]])</f>
        <v>198.66589999999997</v>
      </c>
      <c r="AA105" s="3" t="s">
        <v>613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SUM(Financials202632[[#This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SUM(Financials202632[[#This Row],[Jan AC]:[Dec AC]])</f>
        <v>3762.6658999999995</v>
      </c>
      <c r="BC105" s="71">
        <f>Financials202632[[#This Row],[Jan AC]]-Financials202632[[#This Row],[Jan FC]]</f>
        <v>33.090000000000032</v>
      </c>
      <c r="BD105" s="71">
        <f>Financials202632[[#This Row],[Feb AC]]-Financials202632[[#This Row],[Feb FC]]</f>
        <v>41.659999999999968</v>
      </c>
      <c r="BE105" s="71">
        <f>Financials202632[[#This Row],[Mar AC]]-Financials202632[[#This Row],[Mar FC]]</f>
        <v>40.61749999999995</v>
      </c>
      <c r="BF105" s="71">
        <f>Financials202632[[#This Row],[Apr AC]]-Financials202632[[#This Row],[Apr FC]]</f>
        <v>41.649199999999951</v>
      </c>
      <c r="BG105" s="71">
        <f>Financials202632[[#This Row],[May AC]]-Financials202632[[#This Row],[May FC]]</f>
        <v>41.649199999999951</v>
      </c>
      <c r="BH105" s="71">
        <f>Financials202632[[#This Row],[Jun AC]]-Financials202632[[#This Row],[Jun FC]]</f>
        <v>42</v>
      </c>
      <c r="BI105" s="71">
        <f>Financials202632[[#This Row],[Jul AC]]-Financials202632[[#This Row],[Jul FC]]</f>
        <v>-587</v>
      </c>
      <c r="BJ105" s="71">
        <f>Financials202632[[#This Row],[Aug AC]]-Financials202632[[#This Row],[Aug FC]]</f>
        <v>-587</v>
      </c>
      <c r="BK105" s="71">
        <f>Financials202632[[#This Row],[Sep AC]]-Financials202632[[#This Row],[Sep FC]]</f>
        <v>-587</v>
      </c>
      <c r="BL105" s="71">
        <f>Financials202632[[#This Row],[Oct AC]]-Financials202632[[#This Row],[Oct FC]]</f>
        <v>-587</v>
      </c>
      <c r="BM105" s="71">
        <f>Financials202632[[#This Row],[Nov AC]]-Financials202632[[#This Row],[Nov FC]]</f>
        <v>-587</v>
      </c>
      <c r="BN105" s="71">
        <f>Financials202632[[#This Row],[Dec AC]]-Financials202632[[#This Row],[Dec FC]]</f>
        <v>-586</v>
      </c>
      <c r="BO105" s="71">
        <f>SUM(Financials202632[[#This Row],[Jan Opp/Risk]:[Dec Opp./Risk]])</f>
        <v>-3280.3341</v>
      </c>
      <c r="BP105" s="87" t="s">
        <v>356</v>
      </c>
      <c r="BQ105" s="47">
        <f>SUM(Financials202632[[#This Row],[Jan AC]:[May AC]])</f>
        <v>3133.6658999999995</v>
      </c>
      <c r="BR105" s="6">
        <f>Financials202632[[#This Row],[2026 (Actuals + Forecast)]]-Financials202632[[#This Row],[Jan-May Actuals]]-Financials202632[[#This Row],[Jun-Dec FC]]</f>
        <v>0</v>
      </c>
      <c r="BS105" s="6">
        <f>Financials202632[[#This Row],[Jun-Dec FC]]+Financials202632[[#This Row],[Jan-May Forecast ]]</f>
        <v>4108</v>
      </c>
      <c r="BT105" s="6">
        <f>SUM(Financials202632[[#This Row],[Jan FC]:[May FC]])</f>
        <v>2935</v>
      </c>
      <c r="BU105" s="6">
        <f>Financials202632[[#This Row],[Jan-May Actuals]]+Financials202632[[#This Row],[Forecast Jun-Dec]]</f>
        <v>7241.6659</v>
      </c>
      <c r="BV105" s="6"/>
      <c r="BW105" s="21" t="s">
        <v>12</v>
      </c>
      <c r="BX105" s="6" t="s">
        <v>306</v>
      </c>
    </row>
    <row r="106" spans="1:76" x14ac:dyDescent="0.3">
      <c r="A106" s="22" t="s">
        <v>365</v>
      </c>
      <c r="B106" s="21" t="s">
        <v>95</v>
      </c>
      <c r="C106" s="21"/>
      <c r="D106" s="10" t="s">
        <v>222</v>
      </c>
      <c r="E106" s="7" t="s">
        <v>310</v>
      </c>
      <c r="F106" s="3" t="s">
        <v>311</v>
      </c>
      <c r="G106" s="3" t="s">
        <v>25</v>
      </c>
      <c r="H106" s="4" t="s">
        <v>312</v>
      </c>
      <c r="I106" s="4" t="s">
        <v>312</v>
      </c>
      <c r="J106" s="3"/>
      <c r="K106" s="3" t="str">
        <f t="shared" si="28"/>
        <v>Prj000266-Support - Internal Tech Workforce Activities</v>
      </c>
      <c r="L106" s="21" t="s">
        <v>301</v>
      </c>
      <c r="M106" s="21" t="s">
        <v>12</v>
      </c>
      <c r="N106" s="21" t="s">
        <v>12</v>
      </c>
      <c r="O106" s="21"/>
      <c r="P106" s="21" t="s">
        <v>359</v>
      </c>
      <c r="Q106" s="21" t="s">
        <v>360</v>
      </c>
      <c r="R106" s="21" t="s">
        <v>614</v>
      </c>
      <c r="S106" s="21" t="s">
        <v>333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SUM(Financials202632[[#This Row],[2026 Opportunity]:[2026 Risk]])</f>
        <v>0</v>
      </c>
      <c r="AA106" s="3" t="s">
        <v>355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SUM(Financials202632[[#This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SUM(Financials202632[[#This Row],[Jan AC]:[Dec AC]])</f>
        <v>0</v>
      </c>
      <c r="BC106" s="71">
        <f>Financials202632[[#This Row],[Jan AC]]-Financials202632[[#This Row],[Jan FC]]</f>
        <v>0</v>
      </c>
      <c r="BD106" s="71">
        <f>Financials202632[[#This Row],[Feb AC]]-Financials202632[[#This Row],[Feb FC]]</f>
        <v>0</v>
      </c>
      <c r="BE106" s="71">
        <f>Financials202632[[#This Row],[Mar AC]]-Financials202632[[#This Row],[Mar FC]]</f>
        <v>0</v>
      </c>
      <c r="BF106" s="71">
        <f>Financials202632[[#This Row],[Apr AC]]-Financials202632[[#This Row],[Apr FC]]</f>
        <v>0</v>
      </c>
      <c r="BG106" s="71">
        <f>Financials202632[[#This Row],[May AC]]-Financials202632[[#This Row],[May FC]]</f>
        <v>0</v>
      </c>
      <c r="BH106" s="71">
        <f>Financials202632[[#This Row],[Jun AC]]-Financials202632[[#This Row],[Jun FC]]</f>
        <v>0</v>
      </c>
      <c r="BI106" s="71">
        <f>Financials202632[[#This Row],[Jul AC]]-Financials202632[[#This Row],[Jul FC]]</f>
        <v>-292</v>
      </c>
      <c r="BJ106" s="71">
        <f>Financials202632[[#This Row],[Aug AC]]-Financials202632[[#This Row],[Aug FC]]</f>
        <v>0</v>
      </c>
      <c r="BK106" s="71">
        <f>Financials202632[[#This Row],[Sep AC]]-Financials202632[[#This Row],[Sep FC]]</f>
        <v>0</v>
      </c>
      <c r="BL106" s="71">
        <f>Financials202632[[#This Row],[Oct AC]]-Financials202632[[#This Row],[Oct FC]]</f>
        <v>0</v>
      </c>
      <c r="BM106" s="71">
        <f>Financials202632[[#This Row],[Nov AC]]-Financials202632[[#This Row],[Nov FC]]</f>
        <v>0</v>
      </c>
      <c r="BN106" s="71">
        <f>Financials202632[[#This Row],[Dec AC]]-Financials202632[[#This Row],[Dec FC]]</f>
        <v>0</v>
      </c>
      <c r="BO106" s="71">
        <f>SUM(Financials202632[[#This Row],[Jan Opp/Risk]:[Dec Opp./Risk]])</f>
        <v>-292</v>
      </c>
      <c r="BP106" s="87"/>
      <c r="BQ106" s="47">
        <f>SUM(Financials202632[[#This Row],[Jan AC]:[May AC]])</f>
        <v>0</v>
      </c>
      <c r="BR106" s="6">
        <f>Financials202632[[#This Row],[2026 (Actuals + Forecast)]]-Financials202632[[#This Row],[Jan-May Actuals]]-Financials202632[[#This Row],[Jun-Dec FC]]</f>
        <v>0</v>
      </c>
      <c r="BS106" s="6">
        <f>Financials202632[[#This Row],[Jun-Dec FC]]+Financials202632[[#This Row],[Jan-May Forecast ]]</f>
        <v>292</v>
      </c>
      <c r="BT106" s="6">
        <f>SUM(Financials202632[[#This Row],[Jan FC]:[May FC]])</f>
        <v>0</v>
      </c>
      <c r="BU106" s="6">
        <f>Financials202632[[#This Row],[Jan-May Actuals]]+Financials202632[[#This Row],[Forecast Jun-Dec]]</f>
        <v>292</v>
      </c>
      <c r="BV106" s="6"/>
      <c r="BW106" s="21" t="s">
        <v>12</v>
      </c>
      <c r="BX106" s="6" t="s">
        <v>306</v>
      </c>
    </row>
    <row r="107" spans="1:76" x14ac:dyDescent="0.3">
      <c r="A107" s="22" t="s">
        <v>309</v>
      </c>
      <c r="B107" s="21" t="s">
        <v>96</v>
      </c>
      <c r="C107" s="21"/>
      <c r="D107" s="10" t="s">
        <v>222</v>
      </c>
      <c r="E107" s="7" t="s">
        <v>310</v>
      </c>
      <c r="F107" s="3" t="s">
        <v>311</v>
      </c>
      <c r="G107" s="3" t="s">
        <v>25</v>
      </c>
      <c r="H107" s="4" t="s">
        <v>312</v>
      </c>
      <c r="I107" s="4" t="s">
        <v>312</v>
      </c>
      <c r="J107" s="3"/>
      <c r="K107" s="3" t="str">
        <f t="shared" si="28"/>
        <v>Prj000266-Support - Internal Tech Workforce Activities</v>
      </c>
      <c r="L107" s="21" t="s">
        <v>301</v>
      </c>
      <c r="M107" s="21" t="s">
        <v>12</v>
      </c>
      <c r="N107" s="21" t="s">
        <v>12</v>
      </c>
      <c r="O107" s="21"/>
      <c r="P107" s="21" t="s">
        <v>359</v>
      </c>
      <c r="Q107" s="21" t="s">
        <v>360</v>
      </c>
      <c r="R107" s="21" t="s">
        <v>615</v>
      </c>
      <c r="S107" s="21" t="s">
        <v>316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SUM(Financials202632[[#This Row],[2026 Opportunity]:[2026 Risk]])</f>
        <v>-0.25</v>
      </c>
      <c r="AA107" s="3" t="s">
        <v>616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SUM(Financials202632[[#This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SUM(Financials202632[[#This Row],[Jan AC]:[Dec AC]])</f>
        <v>1912.75</v>
      </c>
      <c r="BC107" s="71">
        <f>Financials202632[[#This Row],[Jan AC]]-Financials202632[[#This Row],[Jan FC]]</f>
        <v>0</v>
      </c>
      <c r="BD107" s="71">
        <f>Financials202632[[#This Row],[Feb AC]]-Financials202632[[#This Row],[Feb FC]]</f>
        <v>-0.26000000000000156</v>
      </c>
      <c r="BE107" s="71">
        <f>Financials202632[[#This Row],[Mar AC]]-Financials202632[[#This Row],[Mar FC]]</f>
        <v>0</v>
      </c>
      <c r="BF107" s="71">
        <f>Financials202632[[#This Row],[Apr AC]]-Financials202632[[#This Row],[Apr FC]]</f>
        <v>0</v>
      </c>
      <c r="BG107" s="71">
        <f>Financials202632[[#This Row],[May AC]]-Financials202632[[#This Row],[May FC]]</f>
        <v>0</v>
      </c>
      <c r="BH107" s="71">
        <f>Financials202632[[#This Row],[Jun AC]]-Financials202632[[#This Row],[Jun FC]]</f>
        <v>0</v>
      </c>
      <c r="BI107" s="71">
        <f>Financials202632[[#This Row],[Jul AC]]-Financials202632[[#This Row],[Jul FC]]</f>
        <v>0</v>
      </c>
      <c r="BJ107" s="71">
        <f>Financials202632[[#This Row],[Aug AC]]-Financials202632[[#This Row],[Aug FC]]</f>
        <v>0</v>
      </c>
      <c r="BK107" s="71">
        <f>Financials202632[[#This Row],[Sep AC]]-Financials202632[[#This Row],[Sep FC]]</f>
        <v>0</v>
      </c>
      <c r="BL107" s="71">
        <f>Financials202632[[#This Row],[Oct AC]]-Financials202632[[#This Row],[Oct FC]]</f>
        <v>0</v>
      </c>
      <c r="BM107" s="71">
        <f>Financials202632[[#This Row],[Nov AC]]-Financials202632[[#This Row],[Nov FC]]</f>
        <v>0</v>
      </c>
      <c r="BN107" s="71">
        <f>Financials202632[[#This Row],[Dec AC]]-Financials202632[[#This Row],[Dec FC]]</f>
        <v>-987</v>
      </c>
      <c r="BO107" s="71">
        <f>SUM(Financials202632[[#This Row],[Jan Opp/Risk]:[Dec Opp./Risk]])</f>
        <v>-987.26</v>
      </c>
      <c r="BP107" s="87" t="s">
        <v>617</v>
      </c>
      <c r="BQ107" s="47">
        <f>SUM(Financials202632[[#This Row],[Jan AC]:[May AC]])</f>
        <v>1912.75</v>
      </c>
      <c r="BR107" s="6">
        <f>Financials202632[[#This Row],[2026 (Actuals + Forecast)]]-Financials202632[[#This Row],[Jan-May Actuals]]-Financials202632[[#This Row],[Jun-Dec FC]]</f>
        <v>0</v>
      </c>
      <c r="BS107" s="6">
        <f>Financials202632[[#This Row],[Jun-Dec FC]]+Financials202632[[#This Row],[Jan-May Forecast ]]</f>
        <v>987</v>
      </c>
      <c r="BT107" s="6">
        <f>SUM(Financials202632[[#This Row],[Jan FC]:[May FC]])</f>
        <v>1913.01</v>
      </c>
      <c r="BU107" s="6">
        <f>Financials202632[[#This Row],[Jan-May Actuals]]+Financials202632[[#This Row],[Forecast Jun-Dec]]</f>
        <v>2899.75</v>
      </c>
      <c r="BV107" s="6"/>
      <c r="BW107" s="21" t="s">
        <v>12</v>
      </c>
      <c r="BX107" s="6" t="s">
        <v>306</v>
      </c>
    </row>
    <row r="108" spans="1:76" x14ac:dyDescent="0.3">
      <c r="A108" s="22" t="s">
        <v>295</v>
      </c>
      <c r="B108" s="21" t="s">
        <v>127</v>
      </c>
      <c r="C108" s="21"/>
      <c r="D108" s="10" t="s">
        <v>226</v>
      </c>
      <c r="E108" s="7" t="s">
        <v>419</v>
      </c>
      <c r="F108" s="3" t="s">
        <v>420</v>
      </c>
      <c r="G108" s="3" t="s">
        <v>22</v>
      </c>
      <c r="H108" s="4">
        <v>46023</v>
      </c>
      <c r="I108" s="4">
        <v>46387</v>
      </c>
      <c r="J108" s="3" t="s">
        <v>618</v>
      </c>
      <c r="K108" s="3" t="str">
        <f t="shared" si="28"/>
        <v>Prj000469-Support - Prod Support for Ops Apps</v>
      </c>
      <c r="L108" s="21" t="s">
        <v>301</v>
      </c>
      <c r="M108" s="21" t="s">
        <v>15</v>
      </c>
      <c r="N108" s="21" t="s">
        <v>15</v>
      </c>
      <c r="O108" s="21" t="s">
        <v>619</v>
      </c>
      <c r="P108" s="21" t="s">
        <v>359</v>
      </c>
      <c r="Q108" s="21" t="s">
        <v>360</v>
      </c>
      <c r="R108" s="21" t="s">
        <v>620</v>
      </c>
      <c r="S108" s="21" t="s">
        <v>333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SUM(Financials202632[[#This Row],[2026 Opportunity]:[2026 Risk]])</f>
        <v>-400</v>
      </c>
      <c r="AA108" s="3" t="s">
        <v>621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SUM(Financials202632[[#This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SUM(Financials202632[[#This Row],[Jan AC]:[Dec AC]])</f>
        <v>8000</v>
      </c>
      <c r="BC108" s="71">
        <f>Financials202632[[#This Row],[Jan AC]]-Financials202632[[#This Row],[Jan FC]]</f>
        <v>-400</v>
      </c>
      <c r="BD108" s="71">
        <f>Financials202632[[#This Row],[Feb AC]]-Financials202632[[#This Row],[Feb FC]]</f>
        <v>0</v>
      </c>
      <c r="BE108" s="71">
        <f>Financials202632[[#This Row],[Mar AC]]-Financials202632[[#This Row],[Mar FC]]</f>
        <v>0</v>
      </c>
      <c r="BF108" s="71">
        <f>Financials202632[[#This Row],[Apr AC]]-Financials202632[[#This Row],[Apr FC]]</f>
        <v>0</v>
      </c>
      <c r="BG108" s="71">
        <f>Financials202632[[#This Row],[May AC]]-Financials202632[[#This Row],[May FC]]</f>
        <v>0</v>
      </c>
      <c r="BH108" s="71">
        <f>Financials202632[[#This Row],[Jun AC]]-Financials202632[[#This Row],[Jun FC]]</f>
        <v>0</v>
      </c>
      <c r="BI108" s="71">
        <f>Financials202632[[#This Row],[Jul AC]]-Financials202632[[#This Row],[Jul FC]]</f>
        <v>0</v>
      </c>
      <c r="BJ108" s="71">
        <f>Financials202632[[#This Row],[Aug AC]]-Financials202632[[#This Row],[Aug FC]]</f>
        <v>0</v>
      </c>
      <c r="BK108" s="71">
        <f>Financials202632[[#This Row],[Sep AC]]-Financials202632[[#This Row],[Sep FC]]</f>
        <v>0</v>
      </c>
      <c r="BL108" s="71">
        <f>Financials202632[[#This Row],[Oct AC]]-Financials202632[[#This Row],[Oct FC]]</f>
        <v>0</v>
      </c>
      <c r="BM108" s="71">
        <f>Financials202632[[#This Row],[Nov AC]]-Financials202632[[#This Row],[Nov FC]]</f>
        <v>0</v>
      </c>
      <c r="BN108" s="71">
        <f>Financials202632[[#This Row],[Dec AC]]-Financials202632[[#This Row],[Dec FC]]</f>
        <v>0</v>
      </c>
      <c r="BO108" s="71">
        <f>SUM(Financials202632[[#This Row],[Jan Opp/Risk]:[Dec Opp./Risk]])</f>
        <v>-400</v>
      </c>
      <c r="BP108" s="87" t="s">
        <v>356</v>
      </c>
      <c r="BQ108" s="47">
        <f>SUM(Financials202632[[#This Row],[Jan AC]:[May AC]])</f>
        <v>8000</v>
      </c>
      <c r="BR108" s="6">
        <f>Financials202632[[#This Row],[2026 (Actuals + Forecast)]]-Financials202632[[#This Row],[Jan-May Actuals]]-Financials202632[[#This Row],[Jun-Dec FC]]</f>
        <v>0</v>
      </c>
      <c r="BS108" s="6">
        <f>Financials202632[[#This Row],[Jun-Dec FC]]+Financials202632[[#This Row],[Jan-May Forecast ]]</f>
        <v>0</v>
      </c>
      <c r="BT108" s="6">
        <f>SUM(Financials202632[[#This Row],[Jan FC]:[May FC]])</f>
        <v>8400</v>
      </c>
      <c r="BU108" s="6">
        <f>Financials202632[[#This Row],[Jan-May Actuals]]+Financials202632[[#This Row],[Forecast Jun-Dec]]</f>
        <v>8000</v>
      </c>
      <c r="BV108" s="6"/>
      <c r="BW108" s="6" t="s">
        <v>319</v>
      </c>
      <c r="BX108" s="6" t="s">
        <v>306</v>
      </c>
    </row>
    <row r="109" spans="1:76" x14ac:dyDescent="0.3">
      <c r="A109" s="22" t="s">
        <v>295</v>
      </c>
      <c r="B109" s="21" t="s">
        <v>91</v>
      </c>
      <c r="C109" s="21"/>
      <c r="D109" s="10" t="s">
        <v>297</v>
      </c>
      <c r="E109" s="7" t="s">
        <v>298</v>
      </c>
      <c r="F109" s="3" t="s">
        <v>299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301</v>
      </c>
      <c r="M109" s="21" t="s">
        <v>12</v>
      </c>
      <c r="N109" s="21" t="s">
        <v>12</v>
      </c>
      <c r="O109" s="21"/>
      <c r="P109" s="21" t="s">
        <v>359</v>
      </c>
      <c r="Q109" s="21" t="s">
        <v>360</v>
      </c>
      <c r="R109" s="21" t="s">
        <v>620</v>
      </c>
      <c r="S109" s="21" t="s">
        <v>333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SUM(Financials202632[[#This Row],[2026 Opportunity]:[2026 Risk]])</f>
        <v>-150</v>
      </c>
      <c r="AA109" s="3" t="s">
        <v>355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SUM(Financials202632[[#This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SUM(Financials202632[[#This Row],[Jan AC]:[Dec AC]])</f>
        <v>3000</v>
      </c>
      <c r="BC109" s="71">
        <f>Financials202632[[#This Row],[Jan AC]]-Financials202632[[#This Row],[Jan FC]]</f>
        <v>0</v>
      </c>
      <c r="BD109" s="71">
        <f>Financials202632[[#This Row],[Feb AC]]-Financials202632[[#This Row],[Feb FC]]</f>
        <v>-150</v>
      </c>
      <c r="BE109" s="71">
        <f>Financials202632[[#This Row],[Mar AC]]-Financials202632[[#This Row],[Mar FC]]</f>
        <v>0</v>
      </c>
      <c r="BF109" s="71">
        <f>Financials202632[[#This Row],[Apr AC]]-Financials202632[[#This Row],[Apr FC]]</f>
        <v>0</v>
      </c>
      <c r="BG109" s="71">
        <f>Financials202632[[#This Row],[May AC]]-Financials202632[[#This Row],[May FC]]</f>
        <v>0</v>
      </c>
      <c r="BH109" s="71">
        <f>Financials202632[[#This Row],[Jun AC]]-Financials202632[[#This Row],[Jun FC]]</f>
        <v>0</v>
      </c>
      <c r="BI109" s="71">
        <f>Financials202632[[#This Row],[Jul AC]]-Financials202632[[#This Row],[Jul FC]]</f>
        <v>0</v>
      </c>
      <c r="BJ109" s="71">
        <f>Financials202632[[#This Row],[Aug AC]]-Financials202632[[#This Row],[Aug FC]]</f>
        <v>0</v>
      </c>
      <c r="BK109" s="71">
        <f>Financials202632[[#This Row],[Sep AC]]-Financials202632[[#This Row],[Sep FC]]</f>
        <v>0</v>
      </c>
      <c r="BL109" s="71">
        <f>Financials202632[[#This Row],[Oct AC]]-Financials202632[[#This Row],[Oct FC]]</f>
        <v>0</v>
      </c>
      <c r="BM109" s="71">
        <f>Financials202632[[#This Row],[Nov AC]]-Financials202632[[#This Row],[Nov FC]]</f>
        <v>0</v>
      </c>
      <c r="BN109" s="71">
        <f>Financials202632[[#This Row],[Dec AC]]-Financials202632[[#This Row],[Dec FC]]</f>
        <v>0</v>
      </c>
      <c r="BO109" s="71">
        <f>SUM(Financials202632[[#This Row],[Jan Opp/Risk]:[Dec Opp./Risk]])</f>
        <v>-150</v>
      </c>
      <c r="BP109" s="87" t="s">
        <v>356</v>
      </c>
      <c r="BQ109" s="47">
        <f>SUM(Financials202632[[#This Row],[Jan AC]:[May AC]])</f>
        <v>3000</v>
      </c>
      <c r="BR109" s="6">
        <f>Financials202632[[#This Row],[2026 (Actuals + Forecast)]]-Financials202632[[#This Row],[Jan-May Actuals]]-Financials202632[[#This Row],[Jun-Dec FC]]</f>
        <v>0</v>
      </c>
      <c r="BS109" s="6">
        <f>Financials202632[[#This Row],[Jun-Dec FC]]+Financials202632[[#This Row],[Jan-May Forecast ]]</f>
        <v>0</v>
      </c>
      <c r="BT109" s="6">
        <f>SUM(Financials202632[[#This Row],[Jan FC]:[May FC]])</f>
        <v>3150</v>
      </c>
      <c r="BU109" s="6">
        <f>Financials202632[[#This Row],[Jan-May Actuals]]+Financials202632[[#This Row],[Forecast Jun-Dec]]</f>
        <v>3000</v>
      </c>
      <c r="BV109" s="6"/>
      <c r="BW109" s="21" t="s">
        <v>12</v>
      </c>
      <c r="BX109" s="6" t="s">
        <v>306</v>
      </c>
    </row>
    <row r="110" spans="1:76" x14ac:dyDescent="0.3">
      <c r="A110" s="22" t="s">
        <v>365</v>
      </c>
      <c r="B110" s="21" t="s">
        <v>82</v>
      </c>
      <c r="C110" s="21"/>
      <c r="D110" s="10" t="s">
        <v>297</v>
      </c>
      <c r="E110" s="7" t="s">
        <v>298</v>
      </c>
      <c r="F110" s="3" t="s">
        <v>299</v>
      </c>
      <c r="G110" s="3" t="s">
        <v>21</v>
      </c>
      <c r="H110" s="4" t="s">
        <v>312</v>
      </c>
      <c r="I110" s="4" t="s">
        <v>312</v>
      </c>
      <c r="J110" s="3"/>
      <c r="K110" s="3" t="str">
        <f t="shared" si="28"/>
        <v>Prj000350-Support - Infrastructure for Tech</v>
      </c>
      <c r="L110" s="21" t="s">
        <v>301</v>
      </c>
      <c r="M110" s="21" t="s">
        <v>12</v>
      </c>
      <c r="N110" s="21" t="s">
        <v>12</v>
      </c>
      <c r="O110" s="21" t="s">
        <v>622</v>
      </c>
      <c r="P110" s="21" t="s">
        <v>359</v>
      </c>
      <c r="Q110" s="21" t="s">
        <v>360</v>
      </c>
      <c r="R110" s="21" t="s">
        <v>361</v>
      </c>
      <c r="S110" s="21" t="s">
        <v>328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SUM(Financials202632[[#This Row],[2026 Opportunity]:[2026 Risk]])</f>
        <v>-1674</v>
      </c>
      <c r="AA110" s="3" t="s">
        <v>623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SUM(Financials202632[[#This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SUM(Financials202632[[#This Row],[Jan AC]:[Dec AC]])</f>
        <v>0</v>
      </c>
      <c r="BC110" s="71">
        <f>Financials202632[[#This Row],[Jan AC]]-Financials202632[[#This Row],[Jan FC]]</f>
        <v>0</v>
      </c>
      <c r="BD110" s="71">
        <f>Financials202632[[#This Row],[Feb AC]]-Financials202632[[#This Row],[Feb FC]]</f>
        <v>0</v>
      </c>
      <c r="BE110" s="71">
        <f>Financials202632[[#This Row],[Mar AC]]-Financials202632[[#This Row],[Mar FC]]</f>
        <v>0</v>
      </c>
      <c r="BF110" s="71">
        <f>Financials202632[[#This Row],[Apr AC]]-Financials202632[[#This Row],[Apr FC]]</f>
        <v>0</v>
      </c>
      <c r="BG110" s="71">
        <f>Financials202632[[#This Row],[May AC]]-Financials202632[[#This Row],[May FC]]</f>
        <v>0</v>
      </c>
      <c r="BH110" s="71">
        <f>Financials202632[[#This Row],[Jun AC]]-Financials202632[[#This Row],[Jun FC]]</f>
        <v>0</v>
      </c>
      <c r="BI110" s="71">
        <f>Financials202632[[#This Row],[Jul AC]]-Financials202632[[#This Row],[Jul FC]]</f>
        <v>0</v>
      </c>
      <c r="BJ110" s="71">
        <f>Financials202632[[#This Row],[Aug AC]]-Financials202632[[#This Row],[Aug FC]]</f>
        <v>0</v>
      </c>
      <c r="BK110" s="71">
        <f>Financials202632[[#This Row],[Sep AC]]-Financials202632[[#This Row],[Sep FC]]</f>
        <v>0</v>
      </c>
      <c r="BL110" s="71">
        <f>Financials202632[[#This Row],[Oct AC]]-Financials202632[[#This Row],[Oct FC]]</f>
        <v>0</v>
      </c>
      <c r="BM110" s="71">
        <f>Financials202632[[#This Row],[Nov AC]]-Financials202632[[#This Row],[Nov FC]]</f>
        <v>0</v>
      </c>
      <c r="BN110" s="71">
        <f>Financials202632[[#This Row],[Dec AC]]-Financials202632[[#This Row],[Dec FC]]</f>
        <v>0</v>
      </c>
      <c r="BO110" s="71">
        <f>SUM(Financials202632[[#This Row],[Jan Opp/Risk]:[Dec Opp./Risk]])</f>
        <v>0</v>
      </c>
      <c r="BP110" s="3" t="s">
        <v>623</v>
      </c>
      <c r="BQ110" s="47">
        <f>SUM(Financials202632[[#This Row],[Jan AC]:[May AC]])</f>
        <v>0</v>
      </c>
      <c r="BR110" s="6">
        <f>Financials202632[[#This Row],[2026 (Actuals + Forecast)]]-Financials202632[[#This Row],[Jan-May Actuals]]-Financials202632[[#This Row],[Jun-Dec FC]]</f>
        <v>0</v>
      </c>
      <c r="BS110" s="6">
        <f>Financials202632[[#This Row],[Jun-Dec FC]]+Financials202632[[#This Row],[Jan-May Forecast ]]</f>
        <v>0</v>
      </c>
      <c r="BT110" s="6">
        <f>SUM(Financials202632[[#This Row],[Jan FC]:[May FC]])</f>
        <v>0</v>
      </c>
      <c r="BU110" s="6">
        <f>Financials202632[[#This Row],[Jan-May Actuals]]+Financials202632[[#This Row],[Forecast Jun-Dec]]</f>
        <v>0</v>
      </c>
      <c r="BV110" s="6"/>
      <c r="BW110" s="21" t="s">
        <v>12</v>
      </c>
      <c r="BX110" s="6" t="s">
        <v>306</v>
      </c>
    </row>
    <row r="111" spans="1:76" x14ac:dyDescent="0.3">
      <c r="A111" s="22" t="s">
        <v>365</v>
      </c>
      <c r="B111" s="21" t="s">
        <v>86</v>
      </c>
      <c r="C111" s="21"/>
      <c r="D111" s="10" t="s">
        <v>297</v>
      </c>
      <c r="E111" s="7" t="s">
        <v>298</v>
      </c>
      <c r="F111" s="3" t="s">
        <v>299</v>
      </c>
      <c r="G111" s="3" t="s">
        <v>21</v>
      </c>
      <c r="H111" s="4" t="s">
        <v>346</v>
      </c>
      <c r="I111" s="4" t="s">
        <v>346</v>
      </c>
      <c r="J111" s="3"/>
      <c r="K111" s="3" t="str">
        <f t="shared" si="28"/>
        <v>Prj000350-Support - Infrastructure for Tech</v>
      </c>
      <c r="L111" s="21" t="s">
        <v>301</v>
      </c>
      <c r="M111" s="21" t="s">
        <v>12</v>
      </c>
      <c r="N111" s="21" t="s">
        <v>12</v>
      </c>
      <c r="O111" s="21"/>
      <c r="P111" s="21" t="s">
        <v>359</v>
      </c>
      <c r="Q111" s="21" t="s">
        <v>360</v>
      </c>
      <c r="R111" s="21" t="s">
        <v>361</v>
      </c>
      <c r="S111" s="21" t="s">
        <v>328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SUM(Financials202632[[#This Row],[2026 Opportunity]:[2026 Risk]])</f>
        <v>645.97999999999956</v>
      </c>
      <c r="AA111" s="3" t="s">
        <v>355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SUM(Financials202632[[#This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SUM(Financials202632[[#This Row],[Jan AC]:[Dec AC]])</f>
        <v>6681.98</v>
      </c>
      <c r="BC111" s="71">
        <f>Financials202632[[#This Row],[Jan AC]]-Financials202632[[#This Row],[Jan FC]]</f>
        <v>0</v>
      </c>
      <c r="BD111" s="71">
        <f>Financials202632[[#This Row],[Feb AC]]-Financials202632[[#This Row],[Feb FC]]</f>
        <v>0</v>
      </c>
      <c r="BE111" s="71">
        <f>Financials202632[[#This Row],[Mar AC]]-Financials202632[[#This Row],[Mar FC]]</f>
        <v>323.32999999999993</v>
      </c>
      <c r="BF111" s="71">
        <f>Financials202632[[#This Row],[Apr AC]]-Financials202632[[#This Row],[Apr FC]]</f>
        <v>322.75</v>
      </c>
      <c r="BG111" s="71">
        <f>Financials202632[[#This Row],[May AC]]-Financials202632[[#This Row],[May FC]]</f>
        <v>-1500</v>
      </c>
      <c r="BH111" s="71">
        <f>Financials202632[[#This Row],[Jun AC]]-Financials202632[[#This Row],[Jun FC]]</f>
        <v>-1500</v>
      </c>
      <c r="BI111" s="71">
        <f>Financials202632[[#This Row],[Jul AC]]-Financials202632[[#This Row],[Jul FC]]</f>
        <v>-1500</v>
      </c>
      <c r="BJ111" s="71">
        <f>Financials202632[[#This Row],[Aug AC]]-Financials202632[[#This Row],[Aug FC]]</f>
        <v>-1500</v>
      </c>
      <c r="BK111" s="71">
        <f>Financials202632[[#This Row],[Sep AC]]-Financials202632[[#This Row],[Sep FC]]</f>
        <v>-1500</v>
      </c>
      <c r="BL111" s="71">
        <f>Financials202632[[#This Row],[Oct AC]]-Financials202632[[#This Row],[Oct FC]]</f>
        <v>-1500</v>
      </c>
      <c r="BM111" s="71">
        <f>Financials202632[[#This Row],[Nov AC]]-Financials202632[[#This Row],[Nov FC]]</f>
        <v>-1500</v>
      </c>
      <c r="BN111" s="71">
        <f>Financials202632[[#This Row],[Dec AC]]-Financials202632[[#This Row],[Dec FC]]</f>
        <v>-2329</v>
      </c>
      <c r="BO111" s="71">
        <f>SUM(Financials202632[[#This Row],[Jan Opp/Risk]:[Dec Opp./Risk]])</f>
        <v>-12182.92</v>
      </c>
      <c r="BP111" s="87" t="s">
        <v>356</v>
      </c>
      <c r="BQ111" s="47">
        <f>SUM(Financials202632[[#This Row],[Jan AC]:[May AC]])</f>
        <v>6681.98</v>
      </c>
      <c r="BR111" s="6">
        <f>Financials202632[[#This Row],[2026 (Actuals + Forecast)]]-Financials202632[[#This Row],[Jan-May Actuals]]-Financials202632[[#This Row],[Jun-Dec FC]]</f>
        <v>1500</v>
      </c>
      <c r="BS111" s="6">
        <f>Financials202632[[#This Row],[Jun-Dec FC]]+Financials202632[[#This Row],[Jan-May Forecast ]]</f>
        <v>12829</v>
      </c>
      <c r="BT111" s="6">
        <f>SUM(Financials202632[[#This Row],[Jan FC]:[May FC]])</f>
        <v>7535.9</v>
      </c>
      <c r="BU111" s="6">
        <f>Financials202632[[#This Row],[Jan-May Actuals]]+Financials202632[[#This Row],[Forecast Jun-Dec]]</f>
        <v>19510.98</v>
      </c>
      <c r="BV111" s="6"/>
      <c r="BW111" s="21" t="s">
        <v>12</v>
      </c>
      <c r="BX111" s="6" t="s">
        <v>306</v>
      </c>
    </row>
    <row r="112" spans="1:76" x14ac:dyDescent="0.3">
      <c r="A112" s="22" t="s">
        <v>365</v>
      </c>
      <c r="B112" s="21" t="s">
        <v>88</v>
      </c>
      <c r="C112" s="21"/>
      <c r="D112" s="10" t="s">
        <v>297</v>
      </c>
      <c r="E112" s="7" t="s">
        <v>298</v>
      </c>
      <c r="F112" s="3" t="s">
        <v>299</v>
      </c>
      <c r="G112" s="3" t="s">
        <v>21</v>
      </c>
      <c r="H112" s="4" t="s">
        <v>346</v>
      </c>
      <c r="I112" s="4" t="s">
        <v>346</v>
      </c>
      <c r="J112" s="3"/>
      <c r="K112" s="3" t="str">
        <f t="shared" si="28"/>
        <v>Prj000350-Support - Infrastructure for Tech</v>
      </c>
      <c r="L112" s="21" t="s">
        <v>301</v>
      </c>
      <c r="M112" s="21" t="s">
        <v>12</v>
      </c>
      <c r="N112" s="21" t="s">
        <v>12</v>
      </c>
      <c r="O112" s="21"/>
      <c r="P112" s="21" t="s">
        <v>359</v>
      </c>
      <c r="Q112" s="21" t="s">
        <v>360</v>
      </c>
      <c r="R112" s="21" t="s">
        <v>361</v>
      </c>
      <c r="S112" s="21" t="s">
        <v>328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SUM(Financials202632[[#This Row],[2026 Opportunity]:[2026 Risk]])</f>
        <v>-683.16666666666424</v>
      </c>
      <c r="AA112" s="3"/>
      <c r="AB112" s="52">
        <f>Financials202632[[#This Row],[2026 Final Budget]]/12</f>
        <v>2878.0833333333335</v>
      </c>
      <c r="AC112" s="52">
        <f>Financials202632[[#This Row],[2026 Final Budget]]/12</f>
        <v>2878.0833333333335</v>
      </c>
      <c r="AD112" s="52">
        <f>Financials202632[[#This Row],[2026 Final Budget]]/12</f>
        <v>2878.0833333333335</v>
      </c>
      <c r="AE112" s="52">
        <f>Financials202632[[#This Row],[2026 Final Budget]]/12</f>
        <v>2878.0833333333335</v>
      </c>
      <c r="AF112" s="52">
        <f>Financials202632[[#This Row],[2026 Final Budget]]/12</f>
        <v>2878.0833333333335</v>
      </c>
      <c r="AG112" s="52">
        <f>Financials202632[[#This Row],[2026 Final Budget]]/12</f>
        <v>2878.0833333333335</v>
      </c>
      <c r="AH112" s="52">
        <f>Financials202632[[#This Row],[2026 Final Budget]]/12</f>
        <v>2878.0833333333335</v>
      </c>
      <c r="AI112" s="52">
        <f>Financials202632[[#This Row],[2026 Final Budget]]/12</f>
        <v>2878.0833333333335</v>
      </c>
      <c r="AJ112" s="52">
        <f>Financials202632[[#This Row],[2026 Final Budget]]/12</f>
        <v>2878.0833333333335</v>
      </c>
      <c r="AK112" s="52">
        <f>Financials202632[[#This Row],[2026 Final Budget]]/12</f>
        <v>2878.0833333333335</v>
      </c>
      <c r="AL112" s="52">
        <f>Financials202632[[#This Row],[2026 Final Budget]]/12</f>
        <v>2878.0833333333335</v>
      </c>
      <c r="AM112" s="52">
        <f>Financials202632[[#This Row],[2026 Final Budget]]/12</f>
        <v>2878.0833333333335</v>
      </c>
      <c r="AN112" s="75">
        <f>SUM(Financials202632[[#This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SUM(Financials202632[[#This Row],[Jan AC]:[Dec AC]])</f>
        <v>13707.25</v>
      </c>
      <c r="BC112" s="71">
        <f>Financials202632[[#This Row],[Jan AC]]-Financials202632[[#This Row],[Jan FC]]</f>
        <v>-136.63333333333367</v>
      </c>
      <c r="BD112" s="71">
        <f>Financials202632[[#This Row],[Feb AC]]-Financials202632[[#This Row],[Feb FC]]</f>
        <v>-136.63333333333367</v>
      </c>
      <c r="BE112" s="71">
        <f>Financials202632[[#This Row],[Mar AC]]-Financials202632[[#This Row],[Mar FC]]</f>
        <v>-136.63333333333367</v>
      </c>
      <c r="BF112" s="71">
        <f>Financials202632[[#This Row],[Apr AC]]-Financials202632[[#This Row],[Apr FC]]</f>
        <v>-136.63333333333367</v>
      </c>
      <c r="BG112" s="71">
        <f>Financials202632[[#This Row],[May AC]]-Financials202632[[#This Row],[May FC]]</f>
        <v>-136.63333333333367</v>
      </c>
      <c r="BH112" s="71">
        <f>Financials202632[[#This Row],[Jun AC]]-Financials202632[[#This Row],[Jun FC]]</f>
        <v>-2878.0833333333335</v>
      </c>
      <c r="BI112" s="71">
        <f>Financials202632[[#This Row],[Jul AC]]-Financials202632[[#This Row],[Jul FC]]</f>
        <v>-2878.0833333333335</v>
      </c>
      <c r="BJ112" s="71">
        <f>Financials202632[[#This Row],[Aug AC]]-Financials202632[[#This Row],[Aug FC]]</f>
        <v>-2878.0833333333335</v>
      </c>
      <c r="BK112" s="71">
        <f>Financials202632[[#This Row],[Sep AC]]-Financials202632[[#This Row],[Sep FC]]</f>
        <v>-2878.0833333333335</v>
      </c>
      <c r="BL112" s="71">
        <f>Financials202632[[#This Row],[Oct AC]]-Financials202632[[#This Row],[Oct FC]]</f>
        <v>-2878.0833333333335</v>
      </c>
      <c r="BM112" s="71">
        <f>Financials202632[[#This Row],[Nov AC]]-Financials202632[[#This Row],[Nov FC]]</f>
        <v>-2878.0833333333335</v>
      </c>
      <c r="BN112" s="71">
        <f>Financials202632[[#This Row],[Dec AC]]-Financials202632[[#This Row],[Dec FC]]</f>
        <v>-2878.0833333333335</v>
      </c>
      <c r="BO112" s="71">
        <f>SUM(Financials202632[[#This Row],[Jan Opp/Risk]:[Dec Opp./Risk]])</f>
        <v>-20829.750000000004</v>
      </c>
      <c r="BP112" s="87" t="s">
        <v>356</v>
      </c>
      <c r="BQ112" s="47">
        <f>SUM(Financials202632[[#This Row],[Jan AC]:[May AC]])</f>
        <v>13707.25</v>
      </c>
      <c r="BR112" s="6">
        <f>Financials202632[[#This Row],[2026 (Actuals + Forecast)]]-Financials202632[[#This Row],[Jan-May Actuals]]-Financials202632[[#This Row],[Jun-Dec FC]]</f>
        <v>0</v>
      </c>
      <c r="BS112" s="6">
        <f>Financials202632[[#This Row],[Jun-Dec FC]]+Financials202632[[#This Row],[Jan-May Forecast ]]</f>
        <v>20146.583333333332</v>
      </c>
      <c r="BT112" s="6">
        <f>SUM(Financials202632[[#This Row],[Jan FC]:[May FC]])</f>
        <v>14390.416666666668</v>
      </c>
      <c r="BU112" s="6">
        <f>Financials202632[[#This Row],[Jan-May Actuals]]+Financials202632[[#This Row],[Forecast Jun-Dec]]</f>
        <v>33853.833333333328</v>
      </c>
      <c r="BV112" s="6"/>
      <c r="BW112" s="21" t="s">
        <v>12</v>
      </c>
      <c r="BX112" s="6" t="s">
        <v>306</v>
      </c>
    </row>
    <row r="113" spans="1:76" x14ac:dyDescent="0.3">
      <c r="A113" s="22" t="s">
        <v>365</v>
      </c>
      <c r="B113" s="21" t="s">
        <v>92</v>
      </c>
      <c r="C113" s="21"/>
      <c r="D113" s="10" t="s">
        <v>297</v>
      </c>
      <c r="E113" s="7" t="s">
        <v>298</v>
      </c>
      <c r="F113" s="3" t="s">
        <v>299</v>
      </c>
      <c r="G113" s="3" t="s">
        <v>21</v>
      </c>
      <c r="H113" s="4" t="s">
        <v>346</v>
      </c>
      <c r="I113" s="4" t="s">
        <v>346</v>
      </c>
      <c r="J113" s="3"/>
      <c r="K113" s="3" t="str">
        <f t="shared" si="28"/>
        <v>Prj000350-Support - Infrastructure for Tech</v>
      </c>
      <c r="L113" s="21" t="s">
        <v>301</v>
      </c>
      <c r="M113" s="21" t="s">
        <v>12</v>
      </c>
      <c r="N113" s="21" t="s">
        <v>12</v>
      </c>
      <c r="O113" s="21"/>
      <c r="P113" s="21" t="s">
        <v>359</v>
      </c>
      <c r="Q113" s="21" t="s">
        <v>360</v>
      </c>
      <c r="R113" s="21" t="s">
        <v>361</v>
      </c>
      <c r="S113" s="21" t="s">
        <v>328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SUM(Financials202632[[#This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SUM(Financials202632[[#This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SUM(Financials202632[[#This Row],[Jan AC]:[Dec AC]])</f>
        <v>122576.03</v>
      </c>
      <c r="BC113" s="71">
        <f>Financials202632[[#This Row],[Jan AC]]-Financials202632[[#This Row],[Jan FC]]</f>
        <v>0</v>
      </c>
      <c r="BD113" s="71">
        <f>Financials202632[[#This Row],[Feb AC]]-Financials202632[[#This Row],[Feb FC]]</f>
        <v>0</v>
      </c>
      <c r="BE113" s="71">
        <f>Financials202632[[#This Row],[Mar AC]]-Financials202632[[#This Row],[Mar FC]]</f>
        <v>-7111.1433333333371</v>
      </c>
      <c r="BF113" s="71">
        <f>Financials202632[[#This Row],[Apr AC]]-Financials202632[[#This Row],[Apr FC]]</f>
        <v>-6708.9133333333375</v>
      </c>
      <c r="BG113" s="71">
        <f>Financials202632[[#This Row],[May AC]]-Financials202632[[#This Row],[May FC]]</f>
        <v>-35143.583333333336</v>
      </c>
      <c r="BH113" s="71">
        <f>Financials202632[[#This Row],[Jun AC]]-Financials202632[[#This Row],[Jun FC]]</f>
        <v>-35143.583333333336</v>
      </c>
      <c r="BI113" s="71">
        <f>Financials202632[[#This Row],[Jul AC]]-Financials202632[[#This Row],[Jul FC]]</f>
        <v>-35143.583333333336</v>
      </c>
      <c r="BJ113" s="71">
        <f>Financials202632[[#This Row],[Aug AC]]-Financials202632[[#This Row],[Aug FC]]</f>
        <v>-35143.583333333336</v>
      </c>
      <c r="BK113" s="71">
        <f>Financials202632[[#This Row],[Sep AC]]-Financials202632[[#This Row],[Sep FC]]</f>
        <v>-35143.583333333336</v>
      </c>
      <c r="BL113" s="71">
        <f>Financials202632[[#This Row],[Oct AC]]-Financials202632[[#This Row],[Oct FC]]</f>
        <v>-35143.583333333336</v>
      </c>
      <c r="BM113" s="71">
        <f>Financials202632[[#This Row],[Nov AC]]-Financials202632[[#This Row],[Nov FC]]</f>
        <v>-35143.583333333336</v>
      </c>
      <c r="BN113" s="71">
        <f>Financials202632[[#This Row],[Dec AC]]-Financials202632[[#This Row],[Dec FC]]</f>
        <v>-39311.583333333299</v>
      </c>
      <c r="BO113" s="71">
        <f>SUM(Financials202632[[#This Row],[Jan Opp/Risk]:[Dec Opp./Risk]])</f>
        <v>-299136.72333333339</v>
      </c>
      <c r="BP113" s="88"/>
      <c r="BQ113" s="47">
        <f>SUM(Financials202632[[#This Row],[Jan AC]:[May AC]])</f>
        <v>122576.03</v>
      </c>
      <c r="BR113" s="6">
        <f>Financials202632[[#This Row],[2026 (Actuals + Forecast)]]-Financials202632[[#This Row],[Jan-May Actuals]]-Financials202632[[#This Row],[Jun-Dec FC]]</f>
        <v>35143.583333333314</v>
      </c>
      <c r="BS113" s="6">
        <f>Financials202632[[#This Row],[Jun-Dec FC]]+Financials202632[[#This Row],[Jan-May Forecast ]]</f>
        <v>285316.66666666663</v>
      </c>
      <c r="BT113" s="6">
        <f>SUM(Financials202632[[#This Row],[Jan FC]:[May FC]])</f>
        <v>171539.67</v>
      </c>
      <c r="BU113" s="6">
        <f>Financials202632[[#This Row],[Jan-May Actuals]]+Financials202632[[#This Row],[Forecast Jun-Dec]]</f>
        <v>407892.69666666666</v>
      </c>
      <c r="BV113" s="6"/>
      <c r="BW113" s="21" t="s">
        <v>12</v>
      </c>
      <c r="BX113" s="6" t="s">
        <v>306</v>
      </c>
    </row>
    <row r="114" spans="1:76" x14ac:dyDescent="0.3">
      <c r="A114" s="22" t="s">
        <v>295</v>
      </c>
      <c r="B114" s="21" t="s">
        <v>123</v>
      </c>
      <c r="C114" s="21"/>
      <c r="D114" s="10" t="s">
        <v>226</v>
      </c>
      <c r="E114" s="7" t="s">
        <v>419</v>
      </c>
      <c r="F114" s="3" t="s">
        <v>420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301</v>
      </c>
      <c r="M114" s="21" t="s">
        <v>15</v>
      </c>
      <c r="N114" s="21" t="s">
        <v>15</v>
      </c>
      <c r="O114" s="21" t="s">
        <v>368</v>
      </c>
      <c r="P114" s="21" t="s">
        <v>369</v>
      </c>
      <c r="Q114" s="21" t="s">
        <v>369</v>
      </c>
      <c r="R114" s="21" t="s">
        <v>370</v>
      </c>
      <c r="S114" s="21" t="s">
        <v>333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SUM(Financials202632[[#This Row],[2026 Opportunity]:[2026 Risk]])</f>
        <v>573.80000000000018</v>
      </c>
      <c r="AA114" s="3" t="s">
        <v>624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SUM(Financials202632[[#This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SUM(Financials202632[[#This Row],[Jan AC]:[Dec AC]])</f>
        <v>4982.8</v>
      </c>
      <c r="BC114" s="71">
        <f>Financials202632[[#This Row],[Jan AC]]-Financials202632[[#This Row],[Jan FC]]</f>
        <v>573.80000000000018</v>
      </c>
      <c r="BD114" s="71">
        <f>Financials202632[[#This Row],[Feb AC]]-Financials202632[[#This Row],[Feb FC]]</f>
        <v>0</v>
      </c>
      <c r="BE114" s="71">
        <f>Financials202632[[#This Row],[Mar AC]]-Financials202632[[#This Row],[Mar FC]]</f>
        <v>0</v>
      </c>
      <c r="BF114" s="71">
        <f>Financials202632[[#This Row],[Apr AC]]-Financials202632[[#This Row],[Apr FC]]</f>
        <v>0</v>
      </c>
      <c r="BG114" s="71">
        <f>Financials202632[[#This Row],[May AC]]-Financials202632[[#This Row],[May FC]]</f>
        <v>0</v>
      </c>
      <c r="BH114" s="71">
        <f>Financials202632[[#This Row],[Jun AC]]-Financials202632[[#This Row],[Jun FC]]</f>
        <v>0</v>
      </c>
      <c r="BI114" s="71">
        <f>Financials202632[[#This Row],[Jul AC]]-Financials202632[[#This Row],[Jul FC]]</f>
        <v>0</v>
      </c>
      <c r="BJ114" s="71">
        <f>Financials202632[[#This Row],[Aug AC]]-Financials202632[[#This Row],[Aug FC]]</f>
        <v>0</v>
      </c>
      <c r="BK114" s="71">
        <f>Financials202632[[#This Row],[Sep AC]]-Financials202632[[#This Row],[Sep FC]]</f>
        <v>0</v>
      </c>
      <c r="BL114" s="71">
        <f>Financials202632[[#This Row],[Oct AC]]-Financials202632[[#This Row],[Oct FC]]</f>
        <v>0</v>
      </c>
      <c r="BM114" s="71">
        <f>Financials202632[[#This Row],[Nov AC]]-Financials202632[[#This Row],[Nov FC]]</f>
        <v>0</v>
      </c>
      <c r="BN114" s="71">
        <f>Financials202632[[#This Row],[Dec AC]]-Financials202632[[#This Row],[Dec FC]]</f>
        <v>0</v>
      </c>
      <c r="BO114" s="71">
        <f>SUM(Financials202632[[#This Row],[Jan Opp/Risk]:[Dec Opp./Risk]])</f>
        <v>573.80000000000018</v>
      </c>
      <c r="BP114" s="87" t="s">
        <v>356</v>
      </c>
      <c r="BQ114" s="47">
        <f>SUM(Financials202632[[#This Row],[Jan AC]:[May AC]])</f>
        <v>4982.8</v>
      </c>
      <c r="BR114" s="6">
        <f>Financials202632[[#This Row],[2026 (Actuals + Forecast)]]-Financials202632[[#This Row],[Jan-May Actuals]]-Financials202632[[#This Row],[Jun-Dec FC]]</f>
        <v>0</v>
      </c>
      <c r="BS114" s="6">
        <f>Financials202632[[#This Row],[Jun-Dec FC]]+Financials202632[[#This Row],[Jan-May Forecast ]]</f>
        <v>0</v>
      </c>
      <c r="BT114" s="6">
        <f>SUM(Financials202632[[#This Row],[Jan FC]:[May FC]])</f>
        <v>4409</v>
      </c>
      <c r="BU114" s="6">
        <f>Financials202632[[#This Row],[Jan-May Actuals]]+Financials202632[[#This Row],[Forecast Jun-Dec]]</f>
        <v>4982.8</v>
      </c>
      <c r="BV114" s="6"/>
      <c r="BW114" s="6" t="s">
        <v>319</v>
      </c>
      <c r="BX114" s="6" t="s">
        <v>306</v>
      </c>
    </row>
    <row r="115" spans="1:76" x14ac:dyDescent="0.3">
      <c r="A115" s="22" t="s">
        <v>295</v>
      </c>
      <c r="B115" s="21" t="s">
        <v>137</v>
      </c>
      <c r="C115" s="21"/>
      <c r="D115" s="10" t="s">
        <v>223</v>
      </c>
      <c r="E115" s="7" t="s">
        <v>344</v>
      </c>
      <c r="F115" s="3" t="s">
        <v>345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301</v>
      </c>
      <c r="M115" s="21" t="s">
        <v>15</v>
      </c>
      <c r="N115" s="21" t="s">
        <v>15</v>
      </c>
      <c r="O115" s="21"/>
      <c r="P115" s="21" t="s">
        <v>369</v>
      </c>
      <c r="Q115" s="21" t="s">
        <v>369</v>
      </c>
      <c r="R115" s="21" t="s">
        <v>370</v>
      </c>
      <c r="S115" s="21" t="s">
        <v>333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SUM(Financials202632[[#This Row],[2026 Opportunity]:[2026 Risk]])</f>
        <v>0</v>
      </c>
      <c r="AA115" s="3" t="s">
        <v>355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SUM(Financials202632[[#This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SUM(Financials202632[[#This Row],[Jan AC]:[Dec AC]])</f>
        <v>0</v>
      </c>
      <c r="BC115" s="71">
        <f>Financials202632[[#This Row],[Jan AC]]-Financials202632[[#This Row],[Jan FC]]</f>
        <v>0</v>
      </c>
      <c r="BD115" s="71">
        <f>Financials202632[[#This Row],[Feb AC]]-Financials202632[[#This Row],[Feb FC]]</f>
        <v>0</v>
      </c>
      <c r="BE115" s="71">
        <f>Financials202632[[#This Row],[Mar AC]]-Financials202632[[#This Row],[Mar FC]]</f>
        <v>-359</v>
      </c>
      <c r="BF115" s="71">
        <f>Financials202632[[#This Row],[Apr AC]]-Financials202632[[#This Row],[Apr FC]]</f>
        <v>0</v>
      </c>
      <c r="BG115" s="71">
        <f>Financials202632[[#This Row],[May AC]]-Financials202632[[#This Row],[May FC]]</f>
        <v>0</v>
      </c>
      <c r="BH115" s="71">
        <f>Financials202632[[#This Row],[Jun AC]]-Financials202632[[#This Row],[Jun FC]]</f>
        <v>0</v>
      </c>
      <c r="BI115" s="71">
        <f>Financials202632[[#This Row],[Jul AC]]-Financials202632[[#This Row],[Jul FC]]</f>
        <v>0</v>
      </c>
      <c r="BJ115" s="71">
        <f>Financials202632[[#This Row],[Aug AC]]-Financials202632[[#This Row],[Aug FC]]</f>
        <v>0</v>
      </c>
      <c r="BK115" s="71">
        <f>Financials202632[[#This Row],[Sep AC]]-Financials202632[[#This Row],[Sep FC]]</f>
        <v>0</v>
      </c>
      <c r="BL115" s="71">
        <f>Financials202632[[#This Row],[Oct AC]]-Financials202632[[#This Row],[Oct FC]]</f>
        <v>0</v>
      </c>
      <c r="BM115" s="71">
        <f>Financials202632[[#This Row],[Nov AC]]-Financials202632[[#This Row],[Nov FC]]</f>
        <v>0</v>
      </c>
      <c r="BN115" s="71">
        <f>Financials202632[[#This Row],[Dec AC]]-Financials202632[[#This Row],[Dec FC]]</f>
        <v>0</v>
      </c>
      <c r="BO115" s="71">
        <f>SUM(Financials202632[[#This Row],[Jan Opp/Risk]:[Dec Opp./Risk]])</f>
        <v>-359</v>
      </c>
      <c r="BP115" s="87"/>
      <c r="BQ115" s="47">
        <f>SUM(Financials202632[[#This Row],[Jan AC]:[May AC]])</f>
        <v>0</v>
      </c>
      <c r="BR115" s="6">
        <f>Financials202632[[#This Row],[2026 (Actuals + Forecast)]]-Financials202632[[#This Row],[Jan-May Actuals]]-Financials202632[[#This Row],[Jun-Dec FC]]</f>
        <v>359</v>
      </c>
      <c r="BS115" s="6">
        <f>Financials202632[[#This Row],[Jun-Dec FC]]+Financials202632[[#This Row],[Jan-May Forecast ]]</f>
        <v>359</v>
      </c>
      <c r="BT115" s="6">
        <f>SUM(Financials202632[[#This Row],[Jan FC]:[May FC]])</f>
        <v>359</v>
      </c>
      <c r="BU115" s="6">
        <f>Financials202632[[#This Row],[Jan-May Actuals]]+Financials202632[[#This Row],[Forecast Jun-Dec]]</f>
        <v>359</v>
      </c>
      <c r="BV115" s="6"/>
      <c r="BW115" s="6" t="s">
        <v>319</v>
      </c>
      <c r="BX115" s="6" t="s">
        <v>306</v>
      </c>
    </row>
    <row r="116" spans="1:76" x14ac:dyDescent="0.3">
      <c r="A116" s="22" t="s">
        <v>295</v>
      </c>
      <c r="B116" s="21" t="s">
        <v>131</v>
      </c>
      <c r="C116" s="21" t="s">
        <v>625</v>
      </c>
      <c r="D116" s="10" t="s">
        <v>226</v>
      </c>
      <c r="E116" s="7" t="s">
        <v>419</v>
      </c>
      <c r="F116" s="3" t="s">
        <v>420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301</v>
      </c>
      <c r="M116" s="21" t="s">
        <v>15</v>
      </c>
      <c r="N116" s="21" t="s">
        <v>15</v>
      </c>
      <c r="O116" s="21" t="s">
        <v>626</v>
      </c>
      <c r="P116" s="21" t="s">
        <v>369</v>
      </c>
      <c r="Q116" s="21" t="s">
        <v>369</v>
      </c>
      <c r="R116" s="21" t="s">
        <v>370</v>
      </c>
      <c r="S116" s="21" t="s">
        <v>362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SUM(Financials202632[[#This Row],[2026 Opportunity]:[2026 Risk]])</f>
        <v>507.89999999999418</v>
      </c>
      <c r="AA116" s="3" t="s">
        <v>355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SUM(Financials202632[[#This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SUM(Financials202632[[#This Row],[Jan AC]:[Dec AC]])</f>
        <v>34242.9</v>
      </c>
      <c r="BC116" s="71">
        <f>Financials202632[[#This Row],[Jan AC]]-Financials202632[[#This Row],[Jan FC]]</f>
        <v>0</v>
      </c>
      <c r="BD116" s="71">
        <f>Financials202632[[#This Row],[Feb AC]]-Financials202632[[#This Row],[Feb FC]]</f>
        <v>0</v>
      </c>
      <c r="BE116" s="71">
        <f>Financials202632[[#This Row],[Mar AC]]-Financials202632[[#This Row],[Mar FC]]</f>
        <v>0</v>
      </c>
      <c r="BF116" s="71">
        <f>Financials202632[[#This Row],[Apr AC]]-Financials202632[[#This Row],[Apr FC]]</f>
        <v>497.25</v>
      </c>
      <c r="BG116" s="71">
        <f>Financials202632[[#This Row],[May AC]]-Financials202632[[#This Row],[May FC]]</f>
        <v>0</v>
      </c>
      <c r="BH116" s="71">
        <f>Financials202632[[#This Row],[Jun AC]]-Financials202632[[#This Row],[Jun FC]]</f>
        <v>0</v>
      </c>
      <c r="BI116" s="71">
        <f>Financials202632[[#This Row],[Jul AC]]-Financials202632[[#This Row],[Jul FC]]</f>
        <v>-16867.5</v>
      </c>
      <c r="BJ116" s="71">
        <f>Financials202632[[#This Row],[Aug AC]]-Financials202632[[#This Row],[Aug FC]]</f>
        <v>0</v>
      </c>
      <c r="BK116" s="71">
        <f>Financials202632[[#This Row],[Sep AC]]-Financials202632[[#This Row],[Sep FC]]</f>
        <v>0</v>
      </c>
      <c r="BL116" s="71">
        <f>Financials202632[[#This Row],[Oct AC]]-Financials202632[[#This Row],[Oct FC]]</f>
        <v>-16867.5</v>
      </c>
      <c r="BM116" s="71">
        <f>Financials202632[[#This Row],[Nov AC]]-Financials202632[[#This Row],[Nov FC]]</f>
        <v>0</v>
      </c>
      <c r="BN116" s="71">
        <f>Financials202632[[#This Row],[Dec AC]]-Financials202632[[#This Row],[Dec FC]]</f>
        <v>0</v>
      </c>
      <c r="BO116" s="71">
        <f>SUM(Financials202632[[#This Row],[Jan Opp/Risk]:[Dec Opp./Risk]])</f>
        <v>-33237.75</v>
      </c>
      <c r="BP116" s="87"/>
      <c r="BQ116" s="47">
        <f>SUM(Financials202632[[#This Row],[Jan AC]:[May AC]])</f>
        <v>34242.9</v>
      </c>
      <c r="BR116" s="6">
        <f>Financials202632[[#This Row],[2026 (Actuals + Forecast)]]-Financials202632[[#This Row],[Jan-May Actuals]]-Financials202632[[#This Row],[Jun-Dec FC]]</f>
        <v>0</v>
      </c>
      <c r="BS116" s="6">
        <f>Financials202632[[#This Row],[Jun-Dec FC]]+Financials202632[[#This Row],[Jan-May Forecast ]]</f>
        <v>33735</v>
      </c>
      <c r="BT116" s="6">
        <f>SUM(Financials202632[[#This Row],[Jan FC]:[May FC]])</f>
        <v>33745.65</v>
      </c>
      <c r="BU116" s="6">
        <f>Financials202632[[#This Row],[Jan-May Actuals]]+Financials202632[[#This Row],[Forecast Jun-Dec]]</f>
        <v>67977.899999999994</v>
      </c>
      <c r="BV116" s="6"/>
      <c r="BW116" s="6" t="s">
        <v>319</v>
      </c>
      <c r="BX116" s="6" t="s">
        <v>306</v>
      </c>
    </row>
    <row r="117" spans="1:76" x14ac:dyDescent="0.3">
      <c r="A117" s="22" t="s">
        <v>295</v>
      </c>
      <c r="B117" s="21" t="s">
        <v>133</v>
      </c>
      <c r="C117" s="21"/>
      <c r="D117" s="10" t="s">
        <v>226</v>
      </c>
      <c r="E117" s="7" t="s">
        <v>419</v>
      </c>
      <c r="F117" s="3" t="s">
        <v>420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301</v>
      </c>
      <c r="M117" s="21" t="s">
        <v>15</v>
      </c>
      <c r="N117" s="21" t="s">
        <v>15</v>
      </c>
      <c r="O117" s="21"/>
      <c r="P117" s="21" t="s">
        <v>369</v>
      </c>
      <c r="Q117" s="21" t="s">
        <v>369</v>
      </c>
      <c r="R117" s="21" t="s">
        <v>370</v>
      </c>
      <c r="S117" s="21" t="s">
        <v>333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SUM(Financials202632[[#This Row],[2026 Opportunity]:[2026 Risk]])</f>
        <v>0</v>
      </c>
      <c r="AA117" s="3" t="s">
        <v>355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SUM(Financials202632[[#This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SUM(Financials202632[[#This Row],[Jan AC]:[Dec AC]])</f>
        <v>0</v>
      </c>
      <c r="BC117" s="71">
        <f>Financials202632[[#This Row],[Jan AC]]-Financials202632[[#This Row],[Jan FC]]</f>
        <v>0</v>
      </c>
      <c r="BD117" s="71">
        <f>Financials202632[[#This Row],[Feb AC]]-Financials202632[[#This Row],[Feb FC]]</f>
        <v>0</v>
      </c>
      <c r="BE117" s="71">
        <f>Financials202632[[#This Row],[Mar AC]]-Financials202632[[#This Row],[Mar FC]]</f>
        <v>0</v>
      </c>
      <c r="BF117" s="71">
        <f>Financials202632[[#This Row],[Apr AC]]-Financials202632[[#This Row],[Apr FC]]</f>
        <v>0</v>
      </c>
      <c r="BG117" s="71">
        <f>Financials202632[[#This Row],[May AC]]-Financials202632[[#This Row],[May FC]]</f>
        <v>0</v>
      </c>
      <c r="BH117" s="71">
        <f>Financials202632[[#This Row],[Jun AC]]-Financials202632[[#This Row],[Jun FC]]</f>
        <v>0</v>
      </c>
      <c r="BI117" s="71">
        <f>Financials202632[[#This Row],[Jul AC]]-Financials202632[[#This Row],[Jul FC]]</f>
        <v>0</v>
      </c>
      <c r="BJ117" s="71">
        <f>Financials202632[[#This Row],[Aug AC]]-Financials202632[[#This Row],[Aug FC]]</f>
        <v>0</v>
      </c>
      <c r="BK117" s="71">
        <f>Financials202632[[#This Row],[Sep AC]]-Financials202632[[#This Row],[Sep FC]]</f>
        <v>0</v>
      </c>
      <c r="BL117" s="71">
        <f>Financials202632[[#This Row],[Oct AC]]-Financials202632[[#This Row],[Oct FC]]</f>
        <v>0</v>
      </c>
      <c r="BM117" s="71">
        <f>Financials202632[[#This Row],[Nov AC]]-Financials202632[[#This Row],[Nov FC]]</f>
        <v>-25000</v>
      </c>
      <c r="BN117" s="71">
        <f>Financials202632[[#This Row],[Dec AC]]-Financials202632[[#This Row],[Dec FC]]</f>
        <v>0</v>
      </c>
      <c r="BO117" s="71">
        <f>SUM(Financials202632[[#This Row],[Jan Opp/Risk]:[Dec Opp./Risk]])</f>
        <v>-25000</v>
      </c>
      <c r="BP117" s="87"/>
      <c r="BQ117" s="47">
        <f>SUM(Financials202632[[#This Row],[Jan AC]:[May AC]])</f>
        <v>0</v>
      </c>
      <c r="BR117" s="6">
        <f>Financials202632[[#This Row],[2026 (Actuals + Forecast)]]-Financials202632[[#This Row],[Jan-May Actuals]]-Financials202632[[#This Row],[Jun-Dec FC]]</f>
        <v>0</v>
      </c>
      <c r="BS117" s="6">
        <f>Financials202632[[#This Row],[Jun-Dec FC]]+Financials202632[[#This Row],[Jan-May Forecast ]]</f>
        <v>25000</v>
      </c>
      <c r="BT117" s="6">
        <f>SUM(Financials202632[[#This Row],[Jan FC]:[May FC]])</f>
        <v>0</v>
      </c>
      <c r="BU117" s="6">
        <f>Financials202632[[#This Row],[Jan-May Actuals]]+Financials202632[[#This Row],[Forecast Jun-Dec]]</f>
        <v>25000</v>
      </c>
      <c r="BV117" s="6"/>
      <c r="BW117" s="6" t="s">
        <v>319</v>
      </c>
      <c r="BX117" s="6" t="s">
        <v>306</v>
      </c>
    </row>
    <row r="118" spans="1:76" x14ac:dyDescent="0.3">
      <c r="A118" s="22" t="s">
        <v>365</v>
      </c>
      <c r="B118" s="21" t="s">
        <v>73</v>
      </c>
      <c r="C118" s="21"/>
      <c r="D118" s="10" t="s">
        <v>297</v>
      </c>
      <c r="E118" s="7" t="s">
        <v>298</v>
      </c>
      <c r="F118" s="3" t="s">
        <v>299</v>
      </c>
      <c r="G118" s="3" t="s">
        <v>21</v>
      </c>
      <c r="H118" s="4" t="s">
        <v>312</v>
      </c>
      <c r="I118" s="4" t="s">
        <v>312</v>
      </c>
      <c r="J118" s="3"/>
      <c r="K118" s="3" t="str">
        <f t="shared" si="28"/>
        <v>Prj000350-Support - Infrastructure for Tech</v>
      </c>
      <c r="L118" s="21" t="s">
        <v>301</v>
      </c>
      <c r="M118" s="21" t="s">
        <v>11</v>
      </c>
      <c r="N118" s="21" t="s">
        <v>11</v>
      </c>
      <c r="O118" s="21"/>
      <c r="P118" s="21" t="s">
        <v>302</v>
      </c>
      <c r="Q118" s="21" t="s">
        <v>627</v>
      </c>
      <c r="R118" s="21" t="s">
        <v>627</v>
      </c>
      <c r="S118" s="21" t="s">
        <v>328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SUM(Financials202632[[#This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SUM(Financials202632[[#This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SUM(Financials202632[[#This Row],[Jan AC]:[Dec AC]])</f>
        <v>2244.52</v>
      </c>
      <c r="BC118" s="71">
        <f>Financials202632[[#This Row],[Jan AC]]-Financials202632[[#This Row],[Jan FC]]</f>
        <v>-1915.6466666666665</v>
      </c>
      <c r="BD118" s="71">
        <f>Financials202632[[#This Row],[Feb AC]]-Financials202632[[#This Row],[Feb FC]]</f>
        <v>-2744.7966666666666</v>
      </c>
      <c r="BE118" s="71">
        <f>Financials202632[[#This Row],[Mar AC]]-Financials202632[[#This Row],[Mar FC]]</f>
        <v>-2537.5566666666664</v>
      </c>
      <c r="BF118" s="71">
        <f>Financials202632[[#This Row],[Apr AC]]-Financials202632[[#This Row],[Apr FC]]</f>
        <v>-2106.1466666666665</v>
      </c>
      <c r="BG118" s="71">
        <f>Financials202632[[#This Row],[May AC]]-Financials202632[[#This Row],[May FC]]</f>
        <v>-2887.1666666666665</v>
      </c>
      <c r="BH118" s="71">
        <f>Financials202632[[#This Row],[Jun AC]]-Financials202632[[#This Row],[Jun FC]]</f>
        <v>-2887.1666666666665</v>
      </c>
      <c r="BI118" s="71">
        <f>Financials202632[[#This Row],[Jul AC]]-Financials202632[[#This Row],[Jul FC]]</f>
        <v>-2887.1666666666665</v>
      </c>
      <c r="BJ118" s="71">
        <f>Financials202632[[#This Row],[Aug AC]]-Financials202632[[#This Row],[Aug FC]]</f>
        <v>-2887.1666666666665</v>
      </c>
      <c r="BK118" s="71">
        <f>Financials202632[[#This Row],[Sep AC]]-Financials202632[[#This Row],[Sep FC]]</f>
        <v>-2887.1666666666665</v>
      </c>
      <c r="BL118" s="71">
        <f>Financials202632[[#This Row],[Oct AC]]-Financials202632[[#This Row],[Oct FC]]</f>
        <v>-2887.1666666666665</v>
      </c>
      <c r="BM118" s="71">
        <f>Financials202632[[#This Row],[Nov AC]]-Financials202632[[#This Row],[Nov FC]]</f>
        <v>-2887.1666666666665</v>
      </c>
      <c r="BN118" s="71">
        <f>Financials202632[[#This Row],[Dec AC]]-Financials202632[[#This Row],[Dec FC]]</f>
        <v>-2887.1666666666665</v>
      </c>
      <c r="BO118" s="71">
        <f>SUM(Financials202632[[#This Row],[Jan Opp/Risk]:[Dec Opp./Risk]])</f>
        <v>-32401.480000000003</v>
      </c>
      <c r="BP118" s="87" t="s">
        <v>628</v>
      </c>
      <c r="BQ118" s="47">
        <f>SUM(Financials202632[[#This Row],[Jan AC]:[May AC]])</f>
        <v>2244.52</v>
      </c>
      <c r="BR118" s="6">
        <f>Financials202632[[#This Row],[2026 (Actuals + Forecast)]]-Financials202632[[#This Row],[Jan-May Actuals]]-Financials202632[[#This Row],[Jun-Dec FC]]</f>
        <v>2887.1666666666679</v>
      </c>
      <c r="BS118" s="6">
        <f>Financials202632[[#This Row],[Jun-Dec FC]]+Financials202632[[#This Row],[Jan-May Forecast ]]</f>
        <v>23097.333333333336</v>
      </c>
      <c r="BT118" s="6">
        <f>SUM(Financials202632[[#This Row],[Jan FC]:[May FC]])</f>
        <v>14435.833333333332</v>
      </c>
      <c r="BU118" s="6">
        <f>Financials202632[[#This Row],[Jan-May Actuals]]+Financials202632[[#This Row],[Forecast Jun-Dec]]</f>
        <v>25341.853333333336</v>
      </c>
      <c r="BV118" s="6"/>
      <c r="BW118" s="21" t="s">
        <v>12</v>
      </c>
      <c r="BX118" s="6" t="s">
        <v>306</v>
      </c>
    </row>
    <row r="119" spans="1:76" x14ac:dyDescent="0.3">
      <c r="A119" s="22" t="s">
        <v>295</v>
      </c>
      <c r="B119" s="21" t="s">
        <v>72</v>
      </c>
      <c r="C119" s="21" t="s">
        <v>525</v>
      </c>
      <c r="D119" s="10" t="s">
        <v>297</v>
      </c>
      <c r="E119" s="7" t="s">
        <v>298</v>
      </c>
      <c r="F119" s="3" t="s">
        <v>299</v>
      </c>
      <c r="G119" s="3" t="s">
        <v>21</v>
      </c>
      <c r="H119" s="4">
        <v>46052</v>
      </c>
      <c r="I119" s="4">
        <v>46416</v>
      </c>
      <c r="J119" s="3" t="s">
        <v>629</v>
      </c>
      <c r="K119" s="3" t="str">
        <f t="shared" si="28"/>
        <v>Prj000350-Support - Infrastructure for Tech</v>
      </c>
      <c r="L119" s="21" t="s">
        <v>301</v>
      </c>
      <c r="M119" s="21" t="s">
        <v>11</v>
      </c>
      <c r="N119" s="21" t="s">
        <v>11</v>
      </c>
      <c r="O119" s="21"/>
      <c r="P119" s="21" t="s">
        <v>302</v>
      </c>
      <c r="Q119" s="21" t="s">
        <v>627</v>
      </c>
      <c r="R119" s="21" t="s">
        <v>627</v>
      </c>
      <c r="S119" s="21" t="s">
        <v>333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SUM(Financials202632[[#This Row],[2026 Opportunity]:[2026 Risk]])</f>
        <v>-0.44999999999708962</v>
      </c>
      <c r="AA119" s="3" t="s">
        <v>630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SUM(Financials202632[[#This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SUM(Financials202632[[#This Row],[Jan AC]:[Dec AC]])</f>
        <v>28463.33</v>
      </c>
      <c r="BC119" s="71">
        <f>Financials202632[[#This Row],[Jan AC]]-Financials202632[[#This Row],[Jan FC]]</f>
        <v>0</v>
      </c>
      <c r="BD119" s="71">
        <f>Financials202632[[#This Row],[Feb AC]]-Financials202632[[#This Row],[Feb FC]]</f>
        <v>0</v>
      </c>
      <c r="BE119" s="71">
        <f>Financials202632[[#This Row],[Mar AC]]-Financials202632[[#This Row],[Mar FC]]</f>
        <v>11884.240000000002</v>
      </c>
      <c r="BF119" s="71">
        <f>Financials202632[[#This Row],[Apr AC]]-Financials202632[[#This Row],[Apr FC]]</f>
        <v>8814.31</v>
      </c>
      <c r="BG119" s="71">
        <f>Financials202632[[#This Row],[May AC]]-Financials202632[[#This Row],[May FC]]</f>
        <v>0</v>
      </c>
      <c r="BH119" s="71">
        <f>Financials202632[[#This Row],[Jun AC]]-Financials202632[[#This Row],[Jun FC]]</f>
        <v>7764.78</v>
      </c>
      <c r="BI119" s="71">
        <f>Financials202632[[#This Row],[Jul AC]]-Financials202632[[#This Row],[Jul FC]]</f>
        <v>0</v>
      </c>
      <c r="BJ119" s="71">
        <f>Financials202632[[#This Row],[Aug AC]]-Financials202632[[#This Row],[Aug FC]]</f>
        <v>0</v>
      </c>
      <c r="BK119" s="71">
        <f>Financials202632[[#This Row],[Sep AC]]-Financials202632[[#This Row],[Sep FC]]</f>
        <v>0</v>
      </c>
      <c r="BL119" s="71">
        <f>Financials202632[[#This Row],[Oct AC]]-Financials202632[[#This Row],[Oct FC]]</f>
        <v>0</v>
      </c>
      <c r="BM119" s="71">
        <f>Financials202632[[#This Row],[Nov AC]]-Financials202632[[#This Row],[Nov FC]]</f>
        <v>0</v>
      </c>
      <c r="BN119" s="71">
        <f>Financials202632[[#This Row],[Dec AC]]-Financials202632[[#This Row],[Dec FC]]</f>
        <v>-60891</v>
      </c>
      <c r="BO119" s="71">
        <f>SUM(Financials202632[[#This Row],[Jan Opp/Risk]:[Dec Opp./Risk]])</f>
        <v>-32427.67</v>
      </c>
      <c r="BP119" s="87" t="s">
        <v>631</v>
      </c>
      <c r="BQ119" s="47">
        <f>SUM(Financials202632[[#This Row],[Jan AC]:[May AC]])</f>
        <v>20698.550000000003</v>
      </c>
      <c r="BR119" s="6">
        <f>Financials202632[[#This Row],[2026 (Actuals + Forecast)]]-Financials202632[[#This Row],[Jan-May Actuals]]-Financials202632[[#This Row],[Jun-Dec FC]]</f>
        <v>0</v>
      </c>
      <c r="BS119" s="6">
        <f>Financials202632[[#This Row],[Jun-Dec FC]]+Financials202632[[#This Row],[Jan-May Forecast ]]</f>
        <v>60891</v>
      </c>
      <c r="BT119" s="6">
        <f>SUM(Financials202632[[#This Row],[Jan FC]:[May FC]])</f>
        <v>0</v>
      </c>
      <c r="BU119" s="6">
        <f>Financials202632[[#This Row],[Jan-May Actuals]]+Financials202632[[#This Row],[Forecast Jun-Dec]]</f>
        <v>81589.55</v>
      </c>
      <c r="BV119" s="6"/>
      <c r="BW119" s="21" t="s">
        <v>12</v>
      </c>
      <c r="BX119" s="6" t="s">
        <v>306</v>
      </c>
    </row>
    <row r="120" spans="1:76" x14ac:dyDescent="0.3">
      <c r="A120" s="22" t="s">
        <v>295</v>
      </c>
      <c r="B120" s="21" t="s">
        <v>72</v>
      </c>
      <c r="C120" s="21" t="s">
        <v>525</v>
      </c>
      <c r="D120" s="10" t="s">
        <v>297</v>
      </c>
      <c r="E120" s="7" t="s">
        <v>298</v>
      </c>
      <c r="F120" s="3" t="s">
        <v>299</v>
      </c>
      <c r="G120" s="3" t="s">
        <v>21</v>
      </c>
      <c r="H120" s="1" t="s">
        <v>346</v>
      </c>
      <c r="I120" s="1" t="s">
        <v>346</v>
      </c>
      <c r="J120" s="3" t="s">
        <v>632</v>
      </c>
      <c r="K120" s="3" t="str">
        <f t="shared" si="28"/>
        <v>Prj000350-Support - Infrastructure for Tech</v>
      </c>
      <c r="L120" s="21" t="s">
        <v>301</v>
      </c>
      <c r="M120" s="21" t="s">
        <v>12</v>
      </c>
      <c r="N120" s="21" t="s">
        <v>12</v>
      </c>
      <c r="O120" s="21" t="s">
        <v>445</v>
      </c>
      <c r="P120" s="21" t="s">
        <v>302</v>
      </c>
      <c r="Q120" s="21" t="s">
        <v>446</v>
      </c>
      <c r="R120" s="21" t="s">
        <v>446</v>
      </c>
      <c r="S120" s="21" t="s">
        <v>328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SUM(Financials202632[[#This Row],[2026 Opportunity]:[2026 Risk]])</f>
        <v>139.94</v>
      </c>
      <c r="AA120" s="3" t="s">
        <v>633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SUM(Financials202632[[#This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SUM(Financials202632[[#This Row],[Jan AC]:[Dec AC]])</f>
        <v>139.94</v>
      </c>
      <c r="BC120" s="71">
        <f>Financials202632[[#This Row],[Jan AC]]-Financials202632[[#This Row],[Jan FC]]</f>
        <v>26.13</v>
      </c>
      <c r="BD120" s="71">
        <f>Financials202632[[#This Row],[Feb AC]]-Financials202632[[#This Row],[Feb FC]]</f>
        <v>24.41</v>
      </c>
      <c r="BE120" s="71">
        <f>Financials202632[[#This Row],[Mar AC]]-Financials202632[[#This Row],[Mar FC]]</f>
        <v>23.21</v>
      </c>
      <c r="BF120" s="71">
        <f>Financials202632[[#This Row],[Apr AC]]-Financials202632[[#This Row],[Apr FC]]</f>
        <v>43.39</v>
      </c>
      <c r="BG120" s="71">
        <f>Financials202632[[#This Row],[May AC]]-Financials202632[[#This Row],[May FC]]</f>
        <v>22.8</v>
      </c>
      <c r="BH120" s="71">
        <f>Financials202632[[#This Row],[Jun AC]]-Financials202632[[#This Row],[Jun FC]]</f>
        <v>0</v>
      </c>
      <c r="BI120" s="71">
        <f>Financials202632[[#This Row],[Jul AC]]-Financials202632[[#This Row],[Jul FC]]</f>
        <v>0</v>
      </c>
      <c r="BJ120" s="71">
        <f>Financials202632[[#This Row],[Aug AC]]-Financials202632[[#This Row],[Aug FC]]</f>
        <v>0</v>
      </c>
      <c r="BK120" s="71">
        <f>Financials202632[[#This Row],[Sep AC]]-Financials202632[[#This Row],[Sep FC]]</f>
        <v>0</v>
      </c>
      <c r="BL120" s="71">
        <f>Financials202632[[#This Row],[Oct AC]]-Financials202632[[#This Row],[Oct FC]]</f>
        <v>0</v>
      </c>
      <c r="BM120" s="71">
        <f>Financials202632[[#This Row],[Nov AC]]-Financials202632[[#This Row],[Nov FC]]</f>
        <v>0</v>
      </c>
      <c r="BN120" s="71">
        <f>Financials202632[[#This Row],[Dec AC]]-Financials202632[[#This Row],[Dec FC]]</f>
        <v>0</v>
      </c>
      <c r="BO120" s="71">
        <f>SUM(Financials202632[[#This Row],[Jan Opp/Risk]:[Dec Opp./Risk]])</f>
        <v>139.94</v>
      </c>
      <c r="BP120" s="87" t="s">
        <v>634</v>
      </c>
      <c r="BQ120" s="47">
        <f>SUM(Financials202632[[#This Row],[Jan AC]:[May AC]])</f>
        <v>139.94</v>
      </c>
      <c r="BR120" s="6">
        <f>Financials202632[[#This Row],[2026 (Actuals + Forecast)]]-Financials202632[[#This Row],[Jan-May Actuals]]-Financials202632[[#This Row],[Jun-Dec FC]]</f>
        <v>0</v>
      </c>
      <c r="BS120" s="6">
        <f>Financials202632[[#This Row],[Jun-Dec FC]]+Financials202632[[#This Row],[Jan-May Forecast ]]</f>
        <v>0</v>
      </c>
      <c r="BT120" s="6">
        <f>SUM(Financials202632[[#This Row],[Jan FC]:[May FC]])</f>
        <v>0</v>
      </c>
      <c r="BU120" s="6">
        <f>Financials202632[[#This Row],[Jan-May Actuals]]+Financials202632[[#This Row],[Forecast Jun-Dec]]</f>
        <v>139.94</v>
      </c>
      <c r="BV120" s="6"/>
      <c r="BW120" s="21" t="s">
        <v>12</v>
      </c>
      <c r="BX120" s="6" t="s">
        <v>306</v>
      </c>
    </row>
    <row r="121" spans="1:76" x14ac:dyDescent="0.3">
      <c r="A121" s="22" t="s">
        <v>365</v>
      </c>
      <c r="B121" s="21" t="s">
        <v>72</v>
      </c>
      <c r="C121" s="21" t="s">
        <v>525</v>
      </c>
      <c r="D121" s="10" t="s">
        <v>399</v>
      </c>
      <c r="E121" s="7" t="s">
        <v>400</v>
      </c>
      <c r="F121" s="3" t="s">
        <v>385</v>
      </c>
      <c r="G121" s="3" t="s">
        <v>20</v>
      </c>
      <c r="H121" s="4" t="s">
        <v>312</v>
      </c>
      <c r="I121" s="4" t="s">
        <v>312</v>
      </c>
      <c r="J121" s="3"/>
      <c r="K121" s="3" t="str">
        <f t="shared" si="28"/>
        <v>Prj000467-Support - Enterprise Tech Helpdesk</v>
      </c>
      <c r="L121" s="21" t="s">
        <v>301</v>
      </c>
      <c r="M121" s="21" t="s">
        <v>11</v>
      </c>
      <c r="N121" s="21" t="s">
        <v>11</v>
      </c>
      <c r="O121" s="21"/>
      <c r="P121" s="21" t="s">
        <v>302</v>
      </c>
      <c r="Q121" s="21" t="s">
        <v>627</v>
      </c>
      <c r="R121" s="21" t="s">
        <v>627</v>
      </c>
      <c r="S121" s="21" t="s">
        <v>362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SUM(Financials202632[[#This Row],[2026 Opportunity]:[2026 Risk]])</f>
        <v>0</v>
      </c>
      <c r="AA121" s="14" t="s">
        <v>635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SUM(Financials202632[[#This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SUM(Financials202632[[#This Row],[Jan AC]:[Dec AC]])</f>
        <v>0</v>
      </c>
      <c r="BC121" s="71">
        <f>Financials202632[[#This Row],[Jan AC]]-Financials202632[[#This Row],[Jan FC]]</f>
        <v>0</v>
      </c>
      <c r="BD121" s="71">
        <f>Financials202632[[#This Row],[Feb AC]]-Financials202632[[#This Row],[Feb FC]]</f>
        <v>0</v>
      </c>
      <c r="BE121" s="71">
        <f>Financials202632[[#This Row],[Mar AC]]-Financials202632[[#This Row],[Mar FC]]</f>
        <v>0</v>
      </c>
      <c r="BF121" s="71">
        <f>Financials202632[[#This Row],[Apr AC]]-Financials202632[[#This Row],[Apr FC]]</f>
        <v>0</v>
      </c>
      <c r="BG121" s="71">
        <f>Financials202632[[#This Row],[May AC]]-Financials202632[[#This Row],[May FC]]</f>
        <v>0</v>
      </c>
      <c r="BH121" s="71">
        <f>Financials202632[[#This Row],[Jun AC]]-Financials202632[[#This Row],[Jun FC]]</f>
        <v>0</v>
      </c>
      <c r="BI121" s="71">
        <f>Financials202632[[#This Row],[Jul AC]]-Financials202632[[#This Row],[Jul FC]]</f>
        <v>0</v>
      </c>
      <c r="BJ121" s="71">
        <f>Financials202632[[#This Row],[Aug AC]]-Financials202632[[#This Row],[Aug FC]]</f>
        <v>0</v>
      </c>
      <c r="BK121" s="71">
        <f>Financials202632[[#This Row],[Sep AC]]-Financials202632[[#This Row],[Sep FC]]</f>
        <v>0</v>
      </c>
      <c r="BL121" s="71">
        <f>Financials202632[[#This Row],[Oct AC]]-Financials202632[[#This Row],[Oct FC]]</f>
        <v>0</v>
      </c>
      <c r="BM121" s="71">
        <f>Financials202632[[#This Row],[Nov AC]]-Financials202632[[#This Row],[Nov FC]]</f>
        <v>0</v>
      </c>
      <c r="BN121" s="71">
        <f>Financials202632[[#This Row],[Dec AC]]-Financials202632[[#This Row],[Dec FC]]</f>
        <v>0</v>
      </c>
      <c r="BO121" s="71">
        <f>SUM(Financials202632[[#This Row],[Jan Opp/Risk]:[Dec Opp./Risk]])</f>
        <v>0</v>
      </c>
      <c r="BP121" s="87"/>
      <c r="BQ121" s="47">
        <f>SUM(Financials202632[[#This Row],[Jan AC]:[May AC]])</f>
        <v>0</v>
      </c>
      <c r="BR121" s="6">
        <f>Financials202632[[#This Row],[2026 (Actuals + Forecast)]]-Financials202632[[#This Row],[Jan-May Actuals]]-Financials202632[[#This Row],[Jun-Dec FC]]</f>
        <v>0</v>
      </c>
      <c r="BS121" s="6">
        <f>Financials202632[[#This Row],[Jun-Dec FC]]+Financials202632[[#This Row],[Jan-May Forecast ]]</f>
        <v>0</v>
      </c>
      <c r="BT121" s="6">
        <f>SUM(Financials202632[[#This Row],[Jan FC]:[May FC]])</f>
        <v>0</v>
      </c>
      <c r="BU121" s="6">
        <f>Financials202632[[#This Row],[Jan-May Actuals]]+Financials202632[[#This Row],[Forecast Jun-Dec]]</f>
        <v>0</v>
      </c>
      <c r="BV121" s="6"/>
      <c r="BW121" s="21" t="s">
        <v>12</v>
      </c>
      <c r="BX121" s="6" t="s">
        <v>306</v>
      </c>
    </row>
    <row r="122" spans="1:76" x14ac:dyDescent="0.3">
      <c r="A122" s="22" t="s">
        <v>295</v>
      </c>
      <c r="B122" s="21" t="s">
        <v>199</v>
      </c>
      <c r="C122" s="21"/>
      <c r="D122" s="10" t="s">
        <v>636</v>
      </c>
      <c r="E122" s="7" t="s">
        <v>637</v>
      </c>
      <c r="F122" s="3" t="s">
        <v>345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301</v>
      </c>
      <c r="M122" s="21" t="s">
        <v>16</v>
      </c>
      <c r="N122" s="21" t="s">
        <v>16</v>
      </c>
      <c r="O122" s="21"/>
      <c r="P122" s="21" t="s">
        <v>302</v>
      </c>
      <c r="Q122" s="21" t="s">
        <v>414</v>
      </c>
      <c r="R122" s="21" t="s">
        <v>414</v>
      </c>
      <c r="S122" s="21" t="s">
        <v>304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SUM(Financials202632[[#This Row],[2026 Opportunity]:[2026 Risk]])</f>
        <v>0</v>
      </c>
      <c r="AA122" s="3" t="s">
        <v>638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SUM(Financials202632[[#This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SUM(Financials202632[[#This Row],[Jan AC]:[Dec AC]])</f>
        <v>112500</v>
      </c>
      <c r="BC122" s="71">
        <f>Financials202632[[#This Row],[Jan AC]]-Financials202632[[#This Row],[Jan FC]]</f>
        <v>0</v>
      </c>
      <c r="BD122" s="71">
        <f>Financials202632[[#This Row],[Feb AC]]-Financials202632[[#This Row],[Feb FC]]</f>
        <v>0</v>
      </c>
      <c r="BE122" s="71">
        <f>Financials202632[[#This Row],[Mar AC]]-Financials202632[[#This Row],[Mar FC]]</f>
        <v>0</v>
      </c>
      <c r="BF122" s="71">
        <f>Financials202632[[#This Row],[Apr AC]]-Financials202632[[#This Row],[Apr FC]]</f>
        <v>0</v>
      </c>
      <c r="BG122" s="71">
        <f>Financials202632[[#This Row],[May AC]]-Financials202632[[#This Row],[May FC]]</f>
        <v>0</v>
      </c>
      <c r="BH122" s="71">
        <f>Financials202632[[#This Row],[Jun AC]]-Financials202632[[#This Row],[Jun FC]]</f>
        <v>0</v>
      </c>
      <c r="BI122" s="71">
        <f>Financials202632[[#This Row],[Jul AC]]-Financials202632[[#This Row],[Jul FC]]</f>
        <v>0</v>
      </c>
      <c r="BJ122" s="71">
        <f>Financials202632[[#This Row],[Aug AC]]-Financials202632[[#This Row],[Aug FC]]</f>
        <v>0</v>
      </c>
      <c r="BK122" s="71">
        <f>Financials202632[[#This Row],[Sep AC]]-Financials202632[[#This Row],[Sep FC]]</f>
        <v>0</v>
      </c>
      <c r="BL122" s="71">
        <f>Financials202632[[#This Row],[Oct AC]]-Financials202632[[#This Row],[Oct FC]]</f>
        <v>-15833</v>
      </c>
      <c r="BM122" s="71">
        <f>Financials202632[[#This Row],[Nov AC]]-Financials202632[[#This Row],[Nov FC]]</f>
        <v>-15833</v>
      </c>
      <c r="BN122" s="71">
        <f>Financials202632[[#This Row],[Dec AC]]-Financials202632[[#This Row],[Dec FC]]</f>
        <v>-15834</v>
      </c>
      <c r="BO122" s="71">
        <f>SUM(Financials202632[[#This Row],[Jan Opp/Risk]:[Dec Opp./Risk]])</f>
        <v>-47500</v>
      </c>
      <c r="BP122" s="87"/>
      <c r="BQ122" s="47">
        <f>SUM(Financials202632[[#This Row],[Jan AC]:[May AC]])</f>
        <v>62500</v>
      </c>
      <c r="BR122" s="6">
        <f>Financials202632[[#This Row],[2026 (Actuals + Forecast)]]-Financials202632[[#This Row],[Jan-May Actuals]]-Financials202632[[#This Row],[Jun-Dec FC]]</f>
        <v>0</v>
      </c>
      <c r="BS122" s="6">
        <f>Financials202632[[#This Row],[Jun-Dec FC]]+Financials202632[[#This Row],[Jan-May Forecast ]]</f>
        <v>97500</v>
      </c>
      <c r="BT122" s="6">
        <f>SUM(Financials202632[[#This Row],[Jan FC]:[May FC]])</f>
        <v>62500</v>
      </c>
      <c r="BU122" s="6">
        <f>Financials202632[[#This Row],[Jan-May Actuals]]+Financials202632[[#This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295</v>
      </c>
      <c r="B123" s="21" t="s">
        <v>41</v>
      </c>
      <c r="C123" s="21"/>
      <c r="D123" s="10" t="s">
        <v>639</v>
      </c>
      <c r="E123" s="7" t="s">
        <v>640</v>
      </c>
      <c r="F123" s="3" t="s">
        <v>385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323</v>
      </c>
      <c r="M123" s="21" t="s">
        <v>10</v>
      </c>
      <c r="N123" s="21" t="s">
        <v>588</v>
      </c>
      <c r="O123" s="21"/>
      <c r="P123" s="21" t="s">
        <v>325</v>
      </c>
      <c r="Q123" s="21" t="s">
        <v>326</v>
      </c>
      <c r="R123" s="21" t="s">
        <v>327</v>
      </c>
      <c r="S123" s="3" t="s">
        <v>641</v>
      </c>
      <c r="T123" s="15">
        <v>0</v>
      </c>
      <c r="U123" s="15">
        <v>250000</v>
      </c>
      <c r="V123" s="15">
        <f>250000-143000-107000</f>
        <v>0</v>
      </c>
      <c r="W123" s="15">
        <f t="shared" si="29"/>
        <v>0</v>
      </c>
      <c r="X123" s="15">
        <f t="shared" si="33"/>
        <v>0</v>
      </c>
      <c r="Y123" s="15">
        <f t="shared" si="30"/>
        <v>0</v>
      </c>
      <c r="Z123" s="15">
        <f>SUM(Financials202632[[#This Row],[2026 Opportunity]:[2026 Risk]])</f>
        <v>0</v>
      </c>
      <c r="AA123" s="3" t="s">
        <v>641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/>
      <c r="AN123" s="76">
        <f>SUM(Financials202632[[#This Row],[Jan FC]:[Dec FC]])</f>
        <v>0</v>
      </c>
      <c r="AO123" s="15">
        <f t="shared" si="31"/>
        <v>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SUM(Financials202632[[#This Row],[Jan AC]:[Dec AC]])</f>
        <v>0</v>
      </c>
      <c r="BC123" s="71">
        <f>Financials202632[[#This Row],[Jan AC]]-Financials202632[[#This Row],[Jan FC]]</f>
        <v>0</v>
      </c>
      <c r="BD123" s="71">
        <f>Financials202632[[#This Row],[Feb AC]]-Financials202632[[#This Row],[Feb FC]]</f>
        <v>0</v>
      </c>
      <c r="BE123" s="71">
        <f>Financials202632[[#This Row],[Mar AC]]-Financials202632[[#This Row],[Mar FC]]</f>
        <v>0</v>
      </c>
      <c r="BF123" s="71">
        <f>Financials202632[[#This Row],[Apr AC]]-Financials202632[[#This Row],[Apr FC]]</f>
        <v>0</v>
      </c>
      <c r="BG123" s="71">
        <f>Financials202632[[#This Row],[May AC]]-Financials202632[[#This Row],[May FC]]</f>
        <v>0</v>
      </c>
      <c r="BH123" s="71">
        <f>Financials202632[[#This Row],[Jun AC]]-Financials202632[[#This Row],[Jun FC]]</f>
        <v>0</v>
      </c>
      <c r="BI123" s="71">
        <f>Financials202632[[#This Row],[Jul AC]]-Financials202632[[#This Row],[Jul FC]]</f>
        <v>0</v>
      </c>
      <c r="BJ123" s="71">
        <f>Financials202632[[#This Row],[Aug AC]]-Financials202632[[#This Row],[Aug FC]]</f>
        <v>0</v>
      </c>
      <c r="BK123" s="71">
        <f>Financials202632[[#This Row],[Sep AC]]-Financials202632[[#This Row],[Sep FC]]</f>
        <v>0</v>
      </c>
      <c r="BL123" s="71">
        <f>Financials202632[[#This Row],[Oct AC]]-Financials202632[[#This Row],[Oct FC]]</f>
        <v>0</v>
      </c>
      <c r="BM123" s="71">
        <f>Financials202632[[#This Row],[Nov AC]]-Financials202632[[#This Row],[Nov FC]]</f>
        <v>0</v>
      </c>
      <c r="BN123" s="71">
        <f>Financials202632[[#This Row],[Dec AC]]-Financials202632[[#This Row],[Dec FC]]</f>
        <v>0</v>
      </c>
      <c r="BO123" s="71">
        <f>SUM(Financials202632[[#This Row],[Jan Opp/Risk]:[Dec Opp./Risk]])</f>
        <v>0</v>
      </c>
      <c r="BP123" s="87" t="s">
        <v>642</v>
      </c>
      <c r="BQ123" s="47">
        <f>SUM(Financials202632[[#This Row],[Jan AC]:[May AC]])</f>
        <v>0</v>
      </c>
      <c r="BR123" s="6">
        <f>Financials202632[[#This Row],[2026 (Actuals + Forecast)]]-Financials202632[[#This Row],[Jan-May Actuals]]-Financials202632[[#This Row],[Jun-Dec FC]]</f>
        <v>0</v>
      </c>
      <c r="BS123" s="6">
        <f>Financials202632[[#This Row],[Jun-Dec FC]]+Financials202632[[#This Row],[Jan-May Forecast ]]</f>
        <v>0</v>
      </c>
      <c r="BT123" s="6">
        <f>SUM(Financials202632[[#This Row],[Jan FC]:[May FC]])</f>
        <v>0</v>
      </c>
      <c r="BU123" s="6">
        <f>Financials202632[[#This Row],[Jan-May Actuals]]+Financials202632[[#This Row],[Forecast Jun-Dec]]</f>
        <v>0</v>
      </c>
      <c r="BV123" s="6"/>
      <c r="BW123" s="6" t="s">
        <v>331</v>
      </c>
      <c r="BX123" s="6" t="s">
        <v>643</v>
      </c>
    </row>
    <row r="124" spans="1:76" x14ac:dyDescent="0.3">
      <c r="A124" s="22" t="s">
        <v>295</v>
      </c>
      <c r="B124" s="21" t="s">
        <v>41</v>
      </c>
      <c r="C124" s="21"/>
      <c r="D124" s="10" t="s">
        <v>644</v>
      </c>
      <c r="E124" s="7" t="s">
        <v>645</v>
      </c>
      <c r="F124" s="3" t="s">
        <v>385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323</v>
      </c>
      <c r="M124" s="21" t="s">
        <v>14</v>
      </c>
      <c r="N124" s="21" t="s">
        <v>324</v>
      </c>
      <c r="O124" s="21"/>
      <c r="P124" s="21" t="s">
        <v>325</v>
      </c>
      <c r="Q124" s="21" t="s">
        <v>326</v>
      </c>
      <c r="R124" s="21" t="s">
        <v>327</v>
      </c>
      <c r="S124" s="3" t="s">
        <v>641</v>
      </c>
      <c r="T124" s="5">
        <v>0</v>
      </c>
      <c r="U124" s="5">
        <v>165000</v>
      </c>
      <c r="V124" s="5">
        <f>165000-95195-69805</f>
        <v>0</v>
      </c>
      <c r="W124" s="15">
        <f t="shared" si="29"/>
        <v>0</v>
      </c>
      <c r="X124" s="15">
        <f t="shared" si="33"/>
        <v>0</v>
      </c>
      <c r="Y124" s="15">
        <f t="shared" si="30"/>
        <v>0</v>
      </c>
      <c r="Z124" s="15">
        <f>SUM(Financials202632[[#This Row],[2026 Opportunity]:[2026 Risk]])</f>
        <v>0</v>
      </c>
      <c r="AA124" s="3" t="s">
        <v>646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SUM(Financials202632[[#This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SUM(Financials202632[[#This Row],[Jan AC]:[Dec AC]])</f>
        <v>0</v>
      </c>
      <c r="BC124" s="71">
        <f>Financials202632[[#This Row],[Jan AC]]-Financials202632[[#This Row],[Jan FC]]</f>
        <v>0</v>
      </c>
      <c r="BD124" s="71">
        <f>Financials202632[[#This Row],[Feb AC]]-Financials202632[[#This Row],[Feb FC]]</f>
        <v>0</v>
      </c>
      <c r="BE124" s="71">
        <f>Financials202632[[#This Row],[Mar AC]]-Financials202632[[#This Row],[Mar FC]]</f>
        <v>0</v>
      </c>
      <c r="BF124" s="71">
        <f>Financials202632[[#This Row],[Apr AC]]-Financials202632[[#This Row],[Apr FC]]</f>
        <v>0</v>
      </c>
      <c r="BG124" s="71">
        <f>Financials202632[[#This Row],[May AC]]-Financials202632[[#This Row],[May FC]]</f>
        <v>0</v>
      </c>
      <c r="BH124" s="71">
        <f>Financials202632[[#This Row],[Jun AC]]-Financials202632[[#This Row],[Jun FC]]</f>
        <v>0</v>
      </c>
      <c r="BI124" s="71">
        <f>Financials202632[[#This Row],[Jul AC]]-Financials202632[[#This Row],[Jul FC]]</f>
        <v>0</v>
      </c>
      <c r="BJ124" s="71">
        <f>Financials202632[[#This Row],[Aug AC]]-Financials202632[[#This Row],[Aug FC]]</f>
        <v>0</v>
      </c>
      <c r="BK124" s="71">
        <f>Financials202632[[#This Row],[Sep AC]]-Financials202632[[#This Row],[Sep FC]]</f>
        <v>0</v>
      </c>
      <c r="BL124" s="71">
        <f>Financials202632[[#This Row],[Oct AC]]-Financials202632[[#This Row],[Oct FC]]</f>
        <v>0</v>
      </c>
      <c r="BM124" s="71">
        <f>Financials202632[[#This Row],[Nov AC]]-Financials202632[[#This Row],[Nov FC]]</f>
        <v>0</v>
      </c>
      <c r="BN124" s="71">
        <f>Financials202632[[#This Row],[Dec AC]]-Financials202632[[#This Row],[Dec FC]]</f>
        <v>0</v>
      </c>
      <c r="BO124" s="71">
        <f>SUM(Financials202632[[#This Row],[Jan Opp/Risk]:[Dec Opp./Risk]])</f>
        <v>0</v>
      </c>
      <c r="BP124" s="87" t="s">
        <v>642</v>
      </c>
      <c r="BQ124" s="47">
        <f>SUM(Financials202632[[#This Row],[Jan AC]:[May AC]])</f>
        <v>0</v>
      </c>
      <c r="BR124" s="6">
        <f>Financials202632[[#This Row],[2026 (Actuals + Forecast)]]-Financials202632[[#This Row],[Jan-May Actuals]]-Financials202632[[#This Row],[Jun-Dec FC]]</f>
        <v>0</v>
      </c>
      <c r="BS124" s="6">
        <f>Financials202632[[#This Row],[Jun-Dec FC]]+Financials202632[[#This Row],[Jan-May Forecast ]]</f>
        <v>0</v>
      </c>
      <c r="BT124" s="6">
        <f>SUM(Financials202632[[#This Row],[Jan FC]:[May FC]])</f>
        <v>0</v>
      </c>
      <c r="BU124" s="6">
        <f>Financials202632[[#This Row],[Jan-May Actuals]]+Financials202632[[#This Row],[Forecast Jun-Dec]]</f>
        <v>0</v>
      </c>
      <c r="BV124" s="6"/>
      <c r="BW124" s="6" t="s">
        <v>331</v>
      </c>
      <c r="BX124" s="6" t="s">
        <v>643</v>
      </c>
    </row>
    <row r="125" spans="1:76" x14ac:dyDescent="0.3">
      <c r="A125" s="22" t="s">
        <v>295</v>
      </c>
      <c r="B125" s="21" t="s">
        <v>56</v>
      </c>
      <c r="C125" s="21" t="s">
        <v>418</v>
      </c>
      <c r="D125" s="10" t="s">
        <v>647</v>
      </c>
      <c r="E125" s="7" t="s">
        <v>648</v>
      </c>
      <c r="F125" s="3" t="s">
        <v>420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323</v>
      </c>
      <c r="M125" s="21" t="s">
        <v>10</v>
      </c>
      <c r="N125" s="21" t="s">
        <v>588</v>
      </c>
      <c r="O125" s="21"/>
      <c r="P125" s="21" t="s">
        <v>302</v>
      </c>
      <c r="Q125" s="21" t="s">
        <v>334</v>
      </c>
      <c r="R125" s="21" t="s">
        <v>327</v>
      </c>
      <c r="S125" s="3" t="s">
        <v>641</v>
      </c>
      <c r="T125" s="5">
        <v>0</v>
      </c>
      <c r="U125" s="5">
        <v>50000</v>
      </c>
      <c r="V125" s="5">
        <f>50000-50000</f>
        <v>0</v>
      </c>
      <c r="W125" s="15">
        <f t="shared" si="29"/>
        <v>0</v>
      </c>
      <c r="X125" s="15">
        <f t="shared" si="33"/>
        <v>0</v>
      </c>
      <c r="Y125" s="15">
        <f t="shared" si="30"/>
        <v>0</v>
      </c>
      <c r="Z125" s="15">
        <f>SUM(Financials202632[[#This Row],[2026 Opportunity]:[2026 Risk]])</f>
        <v>0</v>
      </c>
      <c r="AA125" s="3" t="s">
        <v>649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SUM(Financials202632[[#This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SUM(Financials202632[[#This Row],[Jan AC]:[Dec AC]])</f>
        <v>0</v>
      </c>
      <c r="BC125" s="71">
        <f>Financials202632[[#This Row],[Jan AC]]-Financials202632[[#This Row],[Jan FC]]</f>
        <v>0</v>
      </c>
      <c r="BD125" s="71">
        <f>Financials202632[[#This Row],[Feb AC]]-Financials202632[[#This Row],[Feb FC]]</f>
        <v>0</v>
      </c>
      <c r="BE125" s="71">
        <f>Financials202632[[#This Row],[Mar AC]]-Financials202632[[#This Row],[Mar FC]]</f>
        <v>0</v>
      </c>
      <c r="BF125" s="71">
        <f>Financials202632[[#This Row],[Apr AC]]-Financials202632[[#This Row],[Apr FC]]</f>
        <v>0</v>
      </c>
      <c r="BG125" s="71">
        <f>Financials202632[[#This Row],[May AC]]-Financials202632[[#This Row],[May FC]]</f>
        <v>0</v>
      </c>
      <c r="BH125" s="71">
        <f>Financials202632[[#This Row],[Jun AC]]-Financials202632[[#This Row],[Jun FC]]</f>
        <v>0</v>
      </c>
      <c r="BI125" s="71">
        <f>Financials202632[[#This Row],[Jul AC]]-Financials202632[[#This Row],[Jul FC]]</f>
        <v>0</v>
      </c>
      <c r="BJ125" s="71">
        <f>Financials202632[[#This Row],[Aug AC]]-Financials202632[[#This Row],[Aug FC]]</f>
        <v>0</v>
      </c>
      <c r="BK125" s="71">
        <f>Financials202632[[#This Row],[Sep AC]]-Financials202632[[#This Row],[Sep FC]]</f>
        <v>0</v>
      </c>
      <c r="BL125" s="71">
        <f>Financials202632[[#This Row],[Oct AC]]-Financials202632[[#This Row],[Oct FC]]</f>
        <v>0</v>
      </c>
      <c r="BM125" s="71">
        <f>Financials202632[[#This Row],[Nov AC]]-Financials202632[[#This Row],[Nov FC]]</f>
        <v>0</v>
      </c>
      <c r="BN125" s="71">
        <f>Financials202632[[#This Row],[Dec AC]]-Financials202632[[#This Row],[Dec FC]]</f>
        <v>0</v>
      </c>
      <c r="BO125" s="71">
        <f>SUM(Financials202632[[#This Row],[Jan Opp/Risk]:[Dec Opp./Risk]])</f>
        <v>0</v>
      </c>
      <c r="BP125" s="87" t="s">
        <v>642</v>
      </c>
      <c r="BQ125" s="47">
        <f>SUM(Financials202632[[#This Row],[Jan AC]:[May AC]])</f>
        <v>0</v>
      </c>
      <c r="BR125" s="6">
        <f>Financials202632[[#This Row],[2026 (Actuals + Forecast)]]-Financials202632[[#This Row],[Jan-May Actuals]]-Financials202632[[#This Row],[Jun-Dec FC]]</f>
        <v>0</v>
      </c>
      <c r="BS125" s="6">
        <f>Financials202632[[#This Row],[Jun-Dec FC]]+Financials202632[[#This Row],[Jan-May Forecast ]]</f>
        <v>0</v>
      </c>
      <c r="BT125" s="6">
        <f>SUM(Financials202632[[#This Row],[Jan FC]:[May FC]])</f>
        <v>0</v>
      </c>
      <c r="BU125" s="6">
        <f>Financials202632[[#This Row],[Jan-May Actuals]]+Financials202632[[#This Row],[Forecast Jun-Dec]]</f>
        <v>0</v>
      </c>
      <c r="BV125" s="6"/>
      <c r="BW125" s="6" t="s">
        <v>331</v>
      </c>
      <c r="BX125" s="6" t="s">
        <v>342</v>
      </c>
    </row>
    <row r="126" spans="1:76" x14ac:dyDescent="0.3">
      <c r="A126" s="22" t="s">
        <v>295</v>
      </c>
      <c r="B126" s="21" t="s">
        <v>63</v>
      </c>
      <c r="C126" s="21" t="s">
        <v>576</v>
      </c>
      <c r="D126" s="10" t="s">
        <v>650</v>
      </c>
      <c r="E126" s="7" t="s">
        <v>651</v>
      </c>
      <c r="F126" s="3" t="s">
        <v>420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323</v>
      </c>
      <c r="M126" s="21" t="s">
        <v>10</v>
      </c>
      <c r="N126" s="21" t="s">
        <v>588</v>
      </c>
      <c r="O126" s="21"/>
      <c r="P126" s="21" t="s">
        <v>302</v>
      </c>
      <c r="Q126" s="21" t="s">
        <v>334</v>
      </c>
      <c r="R126" s="21" t="s">
        <v>327</v>
      </c>
      <c r="S126" s="3" t="s">
        <v>641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SUM(Financials202632[[#This Row],[2026 Opportunity]:[2026 Risk]])</f>
        <v>-336000</v>
      </c>
      <c r="AA126" s="3" t="s">
        <v>652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SUM(Financials202632[[#This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SUM(Financials202632[[#This Row],[Jan AC]:[Dec AC]])</f>
        <v>0</v>
      </c>
      <c r="BC126" s="71">
        <f>Financials202632[[#This Row],[Jan AC]]-Financials202632[[#This Row],[Jan FC]]</f>
        <v>0</v>
      </c>
      <c r="BD126" s="71">
        <f>Financials202632[[#This Row],[Feb AC]]-Financials202632[[#This Row],[Feb FC]]</f>
        <v>0</v>
      </c>
      <c r="BE126" s="71">
        <f>Financials202632[[#This Row],[Mar AC]]-Financials202632[[#This Row],[Mar FC]]</f>
        <v>0</v>
      </c>
      <c r="BF126" s="71">
        <f>Financials202632[[#This Row],[Apr AC]]-Financials202632[[#This Row],[Apr FC]]</f>
        <v>0</v>
      </c>
      <c r="BG126" s="71">
        <f>Financials202632[[#This Row],[May AC]]-Financials202632[[#This Row],[May FC]]</f>
        <v>0</v>
      </c>
      <c r="BH126" s="71">
        <f>Financials202632[[#This Row],[Jun AC]]-Financials202632[[#This Row],[Jun FC]]</f>
        <v>0</v>
      </c>
      <c r="BI126" s="71">
        <f>Financials202632[[#This Row],[Jul AC]]-Financials202632[[#This Row],[Jul FC]]</f>
        <v>0</v>
      </c>
      <c r="BJ126" s="71">
        <f>Financials202632[[#This Row],[Aug AC]]-Financials202632[[#This Row],[Aug FC]]</f>
        <v>0</v>
      </c>
      <c r="BK126" s="71">
        <f>Financials202632[[#This Row],[Sep AC]]-Financials202632[[#This Row],[Sep FC]]</f>
        <v>0</v>
      </c>
      <c r="BL126" s="71">
        <f>Financials202632[[#This Row],[Oct AC]]-Financials202632[[#This Row],[Oct FC]]</f>
        <v>0</v>
      </c>
      <c r="BM126" s="71">
        <f>Financials202632[[#This Row],[Nov AC]]-Financials202632[[#This Row],[Nov FC]]</f>
        <v>0</v>
      </c>
      <c r="BN126" s="71">
        <f>Financials202632[[#This Row],[Dec AC]]-Financials202632[[#This Row],[Dec FC]]</f>
        <v>0</v>
      </c>
      <c r="BO126" s="71">
        <f>SUM(Financials202632[[#This Row],[Jan Opp/Risk]:[Dec Opp./Risk]])</f>
        <v>0</v>
      </c>
      <c r="BP126" s="87" t="s">
        <v>653</v>
      </c>
      <c r="BQ126" s="47">
        <f>SUM(Financials202632[[#This Row],[Jan AC]:[May AC]])</f>
        <v>0</v>
      </c>
      <c r="BR126" s="6">
        <f>Financials202632[[#This Row],[2026 (Actuals + Forecast)]]-Financials202632[[#This Row],[Jan-May Actuals]]-Financials202632[[#This Row],[Jun-Dec FC]]</f>
        <v>0</v>
      </c>
      <c r="BS126" s="6">
        <f>Financials202632[[#This Row],[Jun-Dec FC]]+Financials202632[[#This Row],[Jan-May Forecast ]]</f>
        <v>0</v>
      </c>
      <c r="BT126" s="6">
        <f>SUM(Financials202632[[#This Row],[Jan FC]:[May FC]])</f>
        <v>0</v>
      </c>
      <c r="BU126" s="6">
        <f>Financials202632[[#This Row],[Jan-May Actuals]]+Financials202632[[#This Row],[Forecast Jun-Dec]]</f>
        <v>0</v>
      </c>
      <c r="BV126" s="6"/>
      <c r="BW126" s="6" t="s">
        <v>331</v>
      </c>
      <c r="BX126" s="6" t="s">
        <v>654</v>
      </c>
    </row>
    <row r="127" spans="1:76" x14ac:dyDescent="0.3">
      <c r="A127" s="22" t="s">
        <v>295</v>
      </c>
      <c r="B127" s="21" t="s">
        <v>63</v>
      </c>
      <c r="C127" s="21" t="s">
        <v>576</v>
      </c>
      <c r="D127" s="10" t="s">
        <v>650</v>
      </c>
      <c r="E127" s="7" t="s">
        <v>651</v>
      </c>
      <c r="F127" s="3" t="s">
        <v>420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323</v>
      </c>
      <c r="M127" s="21" t="s">
        <v>10</v>
      </c>
      <c r="N127" s="21" t="s">
        <v>588</v>
      </c>
      <c r="O127" s="21"/>
      <c r="P127" s="21" t="s">
        <v>302</v>
      </c>
      <c r="Q127" s="21" t="s">
        <v>334</v>
      </c>
      <c r="R127" s="21" t="s">
        <v>327</v>
      </c>
      <c r="S127" s="3" t="s">
        <v>641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SUM(Financials202632[[#This Row],[2026 Opportunity]:[2026 Risk]])</f>
        <v>129900</v>
      </c>
      <c r="AA127" s="3" t="s">
        <v>655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SUM(Financials202632[[#This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SUM(Financials202632[[#This Row],[Jan AC]:[Dec AC]])</f>
        <v>10000</v>
      </c>
      <c r="BC127" s="71">
        <f>Financials202632[[#This Row],[Jan AC]]-Financials202632[[#This Row],[Jan FC]]</f>
        <v>0</v>
      </c>
      <c r="BD127" s="71">
        <f>Financials202632[[#This Row],[Feb AC]]-Financials202632[[#This Row],[Feb FC]]</f>
        <v>0</v>
      </c>
      <c r="BE127" s="71">
        <f>Financials202632[[#This Row],[Mar AC]]-Financials202632[[#This Row],[Mar FC]]</f>
        <v>0</v>
      </c>
      <c r="BF127" s="71">
        <f>Financials202632[[#This Row],[Apr AC]]-Financials202632[[#This Row],[Apr FC]]</f>
        <v>0</v>
      </c>
      <c r="BG127" s="71">
        <f>Financials202632[[#This Row],[May AC]]-Financials202632[[#This Row],[May FC]]</f>
        <v>0</v>
      </c>
      <c r="BH127" s="71">
        <f>Financials202632[[#This Row],[Jun AC]]-Financials202632[[#This Row],[Jun FC]]</f>
        <v>0</v>
      </c>
      <c r="BI127" s="71">
        <f>Financials202632[[#This Row],[Jul AC]]-Financials202632[[#This Row],[Jul FC]]</f>
        <v>0</v>
      </c>
      <c r="BJ127" s="71">
        <f>Financials202632[[#This Row],[Aug AC]]-Financials202632[[#This Row],[Aug FC]]</f>
        <v>0</v>
      </c>
      <c r="BK127" s="71">
        <f>Financials202632[[#This Row],[Sep AC]]-Financials202632[[#This Row],[Sep FC]]</f>
        <v>-25000</v>
      </c>
      <c r="BL127" s="71">
        <f>Financials202632[[#This Row],[Oct AC]]-Financials202632[[#This Row],[Oct FC]]</f>
        <v>-258500</v>
      </c>
      <c r="BM127" s="71">
        <f>Financials202632[[#This Row],[Nov AC]]-Financials202632[[#This Row],[Nov FC]]</f>
        <v>0</v>
      </c>
      <c r="BN127" s="71">
        <f>Financials202632[[#This Row],[Dec AC]]-Financials202632[[#This Row],[Dec FC]]</f>
        <v>0</v>
      </c>
      <c r="BO127" s="71">
        <f>SUM(Financials202632[[#This Row],[Jan Opp/Risk]:[Dec Opp./Risk]])</f>
        <v>-283500</v>
      </c>
      <c r="BP127" s="87" t="s">
        <v>656</v>
      </c>
      <c r="BQ127" s="47">
        <f>SUM(Financials202632[[#This Row],[Jan AC]:[May AC]])</f>
        <v>10000</v>
      </c>
      <c r="BR127" s="6">
        <f>Financials202632[[#This Row],[2026 (Actuals + Forecast)]]-Financials202632[[#This Row],[Jan-May Actuals]]-Financials202632[[#This Row],[Jun-Dec FC]]</f>
        <v>0</v>
      </c>
      <c r="BS127" s="6">
        <f>Financials202632[[#This Row],[Jun-Dec FC]]+Financials202632[[#This Row],[Jan-May Forecast ]]</f>
        <v>283500</v>
      </c>
      <c r="BT127" s="6">
        <f>SUM(Financials202632[[#This Row],[Jan FC]:[May FC]])</f>
        <v>10000</v>
      </c>
      <c r="BU127" s="6">
        <f>Financials202632[[#This Row],[Jan-May Actuals]]+Financials202632[[#This Row],[Forecast Jun-Dec]]</f>
        <v>293500</v>
      </c>
      <c r="BV127" s="6"/>
      <c r="BW127" s="6" t="s">
        <v>331</v>
      </c>
      <c r="BX127" s="6" t="s">
        <v>654</v>
      </c>
    </row>
    <row r="128" spans="1:76" x14ac:dyDescent="0.3">
      <c r="A128" s="22" t="s">
        <v>295</v>
      </c>
      <c r="B128" s="21" t="s">
        <v>43</v>
      </c>
      <c r="C128" s="21"/>
      <c r="D128" s="10" t="s">
        <v>650</v>
      </c>
      <c r="E128" s="7" t="s">
        <v>651</v>
      </c>
      <c r="F128" s="3" t="s">
        <v>420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323</v>
      </c>
      <c r="M128" s="21" t="s">
        <v>10</v>
      </c>
      <c r="N128" s="21" t="s">
        <v>588</v>
      </c>
      <c r="O128" s="21"/>
      <c r="P128" s="21" t="s">
        <v>302</v>
      </c>
      <c r="Q128" s="21" t="s">
        <v>334</v>
      </c>
      <c r="R128" s="21" t="s">
        <v>327</v>
      </c>
      <c r="S128" s="21" t="s">
        <v>328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SUM(Financials202632[[#This Row],[2026 Opportunity]:[2026 Risk]])</f>
        <v>0</v>
      </c>
      <c r="AA128" s="3" t="s">
        <v>657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SUM(Financials202632[[#This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SUM(Financials202632[[#This Row],[Jan AC]:[Dec AC]])</f>
        <v>0</v>
      </c>
      <c r="BC128" s="71">
        <f>Financials202632[[#This Row],[Jan AC]]-Financials202632[[#This Row],[Jan FC]]</f>
        <v>0</v>
      </c>
      <c r="BD128" s="71">
        <f>Financials202632[[#This Row],[Feb AC]]-Financials202632[[#This Row],[Feb FC]]</f>
        <v>0</v>
      </c>
      <c r="BE128" s="71">
        <f>Financials202632[[#This Row],[Mar AC]]-Financials202632[[#This Row],[Mar FC]]</f>
        <v>0</v>
      </c>
      <c r="BF128" s="71">
        <f>Financials202632[[#This Row],[Apr AC]]-Financials202632[[#This Row],[Apr FC]]</f>
        <v>0</v>
      </c>
      <c r="BG128" s="71">
        <f>Financials202632[[#This Row],[May AC]]-Financials202632[[#This Row],[May FC]]</f>
        <v>-40000</v>
      </c>
      <c r="BH128" s="71">
        <f>Financials202632[[#This Row],[Jun AC]]-Financials202632[[#This Row],[Jun FC]]</f>
        <v>-40000</v>
      </c>
      <c r="BI128" s="71">
        <f>Financials202632[[#This Row],[Jul AC]]-Financials202632[[#This Row],[Jul FC]]</f>
        <v>-40000</v>
      </c>
      <c r="BJ128" s="71">
        <f>Financials202632[[#This Row],[Aug AC]]-Financials202632[[#This Row],[Aug FC]]</f>
        <v>0</v>
      </c>
      <c r="BK128" s="71">
        <f>Financials202632[[#This Row],[Sep AC]]-Financials202632[[#This Row],[Sep FC]]</f>
        <v>0</v>
      </c>
      <c r="BL128" s="71">
        <f>Financials202632[[#This Row],[Oct AC]]-Financials202632[[#This Row],[Oct FC]]</f>
        <v>0</v>
      </c>
      <c r="BM128" s="71">
        <f>Financials202632[[#This Row],[Nov AC]]-Financials202632[[#This Row],[Nov FC]]</f>
        <v>0</v>
      </c>
      <c r="BN128" s="71">
        <f>Financials202632[[#This Row],[Dec AC]]-Financials202632[[#This Row],[Dec FC]]</f>
        <v>0</v>
      </c>
      <c r="BO128" s="71">
        <f>SUM(Financials202632[[#This Row],[Jan Opp/Risk]:[Dec Opp./Risk]])</f>
        <v>-120000</v>
      </c>
      <c r="BP128" s="87" t="s">
        <v>658</v>
      </c>
      <c r="BQ128" s="47">
        <f>SUM(Financials202632[[#This Row],[Jan AC]:[May AC]])</f>
        <v>0</v>
      </c>
      <c r="BR128" s="6">
        <f>Financials202632[[#This Row],[2026 (Actuals + Forecast)]]-Financials202632[[#This Row],[Jan-May Actuals]]-Financials202632[[#This Row],[Jun-Dec FC]]</f>
        <v>40000</v>
      </c>
      <c r="BS128" s="6">
        <f>Financials202632[[#This Row],[Jun-Dec FC]]+Financials202632[[#This Row],[Jan-May Forecast ]]</f>
        <v>120000</v>
      </c>
      <c r="BT128" s="6">
        <f>SUM(Financials202632[[#This Row],[Jan FC]:[May FC]])</f>
        <v>40000</v>
      </c>
      <c r="BU128" s="6">
        <f>Financials202632[[#This Row],[Jan-May Actuals]]+Financials202632[[#This Row],[Forecast Jun-Dec]]</f>
        <v>120000</v>
      </c>
      <c r="BV128" s="6"/>
      <c r="BW128" s="6" t="s">
        <v>331</v>
      </c>
      <c r="BX128" s="6" t="s">
        <v>654</v>
      </c>
    </row>
    <row r="129" spans="1:76" x14ac:dyDescent="0.3">
      <c r="A129" s="22" t="s">
        <v>295</v>
      </c>
      <c r="B129" s="21" t="s">
        <v>63</v>
      </c>
      <c r="C129" s="21" t="s">
        <v>576</v>
      </c>
      <c r="D129" s="10" t="s">
        <v>659</v>
      </c>
      <c r="E129" s="7" t="s">
        <v>660</v>
      </c>
      <c r="F129" s="3" t="s">
        <v>420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323</v>
      </c>
      <c r="M129" s="21" t="s">
        <v>10</v>
      </c>
      <c r="N129" s="21" t="s">
        <v>588</v>
      </c>
      <c r="O129" s="21"/>
      <c r="P129" s="21" t="s">
        <v>302</v>
      </c>
      <c r="Q129" s="21" t="s">
        <v>334</v>
      </c>
      <c r="R129" s="21" t="s">
        <v>327</v>
      </c>
      <c r="S129" s="3" t="s">
        <v>641</v>
      </c>
      <c r="T129" s="5"/>
      <c r="U129" s="17">
        <v>500000</v>
      </c>
      <c r="V129" s="17">
        <f>500000-500000</f>
        <v>0</v>
      </c>
      <c r="W129" s="15">
        <f t="shared" si="29"/>
        <v>0</v>
      </c>
      <c r="X129" s="15">
        <f t="shared" si="33"/>
        <v>0</v>
      </c>
      <c r="Y129" s="15">
        <f t="shared" si="30"/>
        <v>0</v>
      </c>
      <c r="Z129" s="15">
        <f>SUM(Financials202632[[#This Row],[2026 Opportunity]:[2026 Risk]])</f>
        <v>0</v>
      </c>
      <c r="AA129" s="3" t="s">
        <v>661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SUM(Financials202632[[#This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SUM(Financials202632[[#This Row],[Jan AC]:[Dec AC]])</f>
        <v>0</v>
      </c>
      <c r="BC129" s="71">
        <f>Financials202632[[#This Row],[Jan AC]]-Financials202632[[#This Row],[Jan FC]]</f>
        <v>0</v>
      </c>
      <c r="BD129" s="71">
        <f>Financials202632[[#This Row],[Feb AC]]-Financials202632[[#This Row],[Feb FC]]</f>
        <v>0</v>
      </c>
      <c r="BE129" s="71">
        <f>Financials202632[[#This Row],[Mar AC]]-Financials202632[[#This Row],[Mar FC]]</f>
        <v>0</v>
      </c>
      <c r="BF129" s="71">
        <f>Financials202632[[#This Row],[Apr AC]]-Financials202632[[#This Row],[Apr FC]]</f>
        <v>0</v>
      </c>
      <c r="BG129" s="71">
        <f>Financials202632[[#This Row],[May AC]]-Financials202632[[#This Row],[May FC]]</f>
        <v>0</v>
      </c>
      <c r="BH129" s="71">
        <f>Financials202632[[#This Row],[Jun AC]]-Financials202632[[#This Row],[Jun FC]]</f>
        <v>0</v>
      </c>
      <c r="BI129" s="71">
        <f>Financials202632[[#This Row],[Jul AC]]-Financials202632[[#This Row],[Jul FC]]</f>
        <v>0</v>
      </c>
      <c r="BJ129" s="71">
        <f>Financials202632[[#This Row],[Aug AC]]-Financials202632[[#This Row],[Aug FC]]</f>
        <v>0</v>
      </c>
      <c r="BK129" s="71">
        <f>Financials202632[[#This Row],[Sep AC]]-Financials202632[[#This Row],[Sep FC]]</f>
        <v>0</v>
      </c>
      <c r="BL129" s="71">
        <f>Financials202632[[#This Row],[Oct AC]]-Financials202632[[#This Row],[Oct FC]]</f>
        <v>0</v>
      </c>
      <c r="BM129" s="71">
        <f>Financials202632[[#This Row],[Nov AC]]-Financials202632[[#This Row],[Nov FC]]</f>
        <v>0</v>
      </c>
      <c r="BN129" s="71">
        <f>Financials202632[[#This Row],[Dec AC]]-Financials202632[[#This Row],[Dec FC]]</f>
        <v>0</v>
      </c>
      <c r="BO129" s="71">
        <f>SUM(Financials202632[[#This Row],[Jan Opp/Risk]:[Dec Opp./Risk]])</f>
        <v>0</v>
      </c>
      <c r="BP129" s="87" t="s">
        <v>642</v>
      </c>
      <c r="BQ129" s="47">
        <f>SUM(Financials202632[[#This Row],[Jan AC]:[May AC]])</f>
        <v>0</v>
      </c>
      <c r="BR129" s="6">
        <f>Financials202632[[#This Row],[2026 (Actuals + Forecast)]]-Financials202632[[#This Row],[Jan-May Actuals]]-Financials202632[[#This Row],[Jun-Dec FC]]</f>
        <v>0</v>
      </c>
      <c r="BS129" s="6">
        <f>Financials202632[[#This Row],[Jun-Dec FC]]+Financials202632[[#This Row],[Jan-May Forecast ]]</f>
        <v>0</v>
      </c>
      <c r="BT129" s="6">
        <f>SUM(Financials202632[[#This Row],[Jan FC]:[May FC]])</f>
        <v>0</v>
      </c>
      <c r="BU129" s="6">
        <f>Financials202632[[#This Row],[Jan-May Actuals]]+Financials202632[[#This Row],[Forecast Jun-Dec]]</f>
        <v>0</v>
      </c>
      <c r="BV129" s="6"/>
      <c r="BW129" s="6" t="s">
        <v>331</v>
      </c>
      <c r="BX129" s="6" t="s">
        <v>654</v>
      </c>
    </row>
    <row r="130" spans="1:76" x14ac:dyDescent="0.3">
      <c r="A130" s="22" t="s">
        <v>295</v>
      </c>
      <c r="B130" s="21" t="s">
        <v>43</v>
      </c>
      <c r="C130" s="21" t="s">
        <v>424</v>
      </c>
      <c r="D130" s="10" t="s">
        <v>662</v>
      </c>
      <c r="E130" s="7" t="s">
        <v>663</v>
      </c>
      <c r="F130" s="3" t="s">
        <v>427</v>
      </c>
      <c r="G130" s="3" t="s">
        <v>20</v>
      </c>
      <c r="H130" s="4"/>
      <c r="I130" s="4"/>
      <c r="J130" s="3" t="s">
        <v>664</v>
      </c>
      <c r="K130" s="3" t="str">
        <f t="shared" ref="K130:K142" si="47">D130 &amp; "-" &amp;E130</f>
        <v>Prj000477-Implement - Odyssey Reporting &amp; Exception Mgmt</v>
      </c>
      <c r="L130" s="21" t="s">
        <v>323</v>
      </c>
      <c r="M130" s="21" t="s">
        <v>10</v>
      </c>
      <c r="N130" s="21" t="s">
        <v>588</v>
      </c>
      <c r="O130" s="21"/>
      <c r="P130" s="21" t="s">
        <v>325</v>
      </c>
      <c r="Q130" s="21" t="s">
        <v>326</v>
      </c>
      <c r="R130" s="21" t="s">
        <v>327</v>
      </c>
      <c r="S130" s="3" t="s">
        <v>641</v>
      </c>
      <c r="T130" s="5">
        <v>0</v>
      </c>
      <c r="U130" s="17">
        <v>600000</v>
      </c>
      <c r="V130" s="17">
        <f>600000*0</f>
        <v>0</v>
      </c>
      <c r="W130" s="15">
        <f t="shared" ref="W130:W151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SUM(Financials202632[[#This Row],[2026 Opportunity]:[2026 Risk]])</f>
        <v>0</v>
      </c>
      <c r="AA130" s="3" t="s">
        <v>665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SUM(Financials202632[[#This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SUM(Financials202632[[#This Row],[Jan AC]:[Dec AC]])</f>
        <v>0</v>
      </c>
      <c r="BC130" s="71">
        <f>Financials202632[[#This Row],[Jan AC]]-Financials202632[[#This Row],[Jan FC]]</f>
        <v>0</v>
      </c>
      <c r="BD130" s="71">
        <f>Financials202632[[#This Row],[Feb AC]]-Financials202632[[#This Row],[Feb FC]]</f>
        <v>0</v>
      </c>
      <c r="BE130" s="71">
        <f>Financials202632[[#This Row],[Mar AC]]-Financials202632[[#This Row],[Mar FC]]</f>
        <v>0</v>
      </c>
      <c r="BF130" s="71">
        <f>Financials202632[[#This Row],[Apr AC]]-Financials202632[[#This Row],[Apr FC]]</f>
        <v>0</v>
      </c>
      <c r="BG130" s="71">
        <f>Financials202632[[#This Row],[May AC]]-Financials202632[[#This Row],[May FC]]</f>
        <v>0</v>
      </c>
      <c r="BH130" s="71">
        <f>Financials202632[[#This Row],[Jun AC]]-Financials202632[[#This Row],[Jun FC]]</f>
        <v>0</v>
      </c>
      <c r="BI130" s="71">
        <f>Financials202632[[#This Row],[Jul AC]]-Financials202632[[#This Row],[Jul FC]]</f>
        <v>0</v>
      </c>
      <c r="BJ130" s="71">
        <f>Financials202632[[#This Row],[Aug AC]]-Financials202632[[#This Row],[Aug FC]]</f>
        <v>0</v>
      </c>
      <c r="BK130" s="71">
        <f>Financials202632[[#This Row],[Sep AC]]-Financials202632[[#This Row],[Sep FC]]</f>
        <v>0</v>
      </c>
      <c r="BL130" s="71">
        <f>Financials202632[[#This Row],[Oct AC]]-Financials202632[[#This Row],[Oct FC]]</f>
        <v>0</v>
      </c>
      <c r="BM130" s="71">
        <f>Financials202632[[#This Row],[Nov AC]]-Financials202632[[#This Row],[Nov FC]]</f>
        <v>0</v>
      </c>
      <c r="BN130" s="71">
        <f>Financials202632[[#This Row],[Dec AC]]-Financials202632[[#This Row],[Dec FC]]</f>
        <v>0</v>
      </c>
      <c r="BO130" s="71">
        <f>SUM(Financials202632[[#This Row],[Jan Opp/Risk]:[Dec Opp./Risk]])</f>
        <v>0</v>
      </c>
      <c r="BP130" s="87" t="s">
        <v>642</v>
      </c>
      <c r="BQ130" s="47">
        <f>SUM(Financials202632[[#This Row],[Jan AC]:[May AC]])</f>
        <v>0</v>
      </c>
      <c r="BR130" s="6">
        <f>Financials202632[[#This Row],[2026 (Actuals + Forecast)]]-Financials202632[[#This Row],[Jan-May Actuals]]-Financials202632[[#This Row],[Jun-Dec FC]]</f>
        <v>0</v>
      </c>
      <c r="BS130" s="6">
        <f>Financials202632[[#This Row],[Jun-Dec FC]]+Financials202632[[#This Row],[Jan-May Forecast ]]</f>
        <v>0</v>
      </c>
      <c r="BT130" s="6">
        <f>SUM(Financials202632[[#This Row],[Jan FC]:[May FC]])</f>
        <v>0</v>
      </c>
      <c r="BU130" s="6">
        <f>Financials202632[[#This Row],[Jan-May Actuals]]+Financials202632[[#This Row],[Forecast Jun-Dec]]</f>
        <v>0</v>
      </c>
      <c r="BV130" s="6"/>
      <c r="BW130" s="6" t="s">
        <v>331</v>
      </c>
      <c r="BX130" s="6" t="s">
        <v>590</v>
      </c>
    </row>
    <row r="131" spans="1:76" x14ac:dyDescent="0.3">
      <c r="A131" s="22" t="s">
        <v>295</v>
      </c>
      <c r="B131" s="21" t="s">
        <v>43</v>
      </c>
      <c r="C131" s="21" t="s">
        <v>424</v>
      </c>
      <c r="D131" s="10" t="s">
        <v>430</v>
      </c>
      <c r="E131" s="7" t="s">
        <v>431</v>
      </c>
      <c r="F131" s="3" t="s">
        <v>427</v>
      </c>
      <c r="G131" s="3" t="s">
        <v>20</v>
      </c>
      <c r="H131" s="4"/>
      <c r="I131" s="4"/>
      <c r="J131" s="3" t="s">
        <v>664</v>
      </c>
      <c r="K131" s="3" t="str">
        <f t="shared" si="47"/>
        <v>Prj000548-Implement - Reporting for Internal Audit</v>
      </c>
      <c r="L131" s="21" t="s">
        <v>323</v>
      </c>
      <c r="M131" s="21" t="s">
        <v>10</v>
      </c>
      <c r="N131" s="21" t="s">
        <v>588</v>
      </c>
      <c r="O131" s="21"/>
      <c r="P131" s="21" t="s">
        <v>325</v>
      </c>
      <c r="Q131" s="21" t="s">
        <v>326</v>
      </c>
      <c r="R131" s="21" t="s">
        <v>327</v>
      </c>
      <c r="S131" s="3" t="s">
        <v>641</v>
      </c>
      <c r="T131" s="5">
        <v>0</v>
      </c>
      <c r="U131" s="17">
        <v>500000</v>
      </c>
      <c r="V131" s="17">
        <f>500000-500000</f>
        <v>0</v>
      </c>
      <c r="W131" s="15">
        <f t="shared" si="48"/>
        <v>0</v>
      </c>
      <c r="X131" s="15">
        <f t="shared" si="33"/>
        <v>0</v>
      </c>
      <c r="Y131" s="15">
        <f t="shared" si="49"/>
        <v>0</v>
      </c>
      <c r="Z131" s="15">
        <f>SUM(Financials202632[[#This Row],[2026 Opportunity]:[2026 Risk]])</f>
        <v>0</v>
      </c>
      <c r="AA131" s="3" t="s">
        <v>666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SUM(Financials202632[[#This Row],[Jan FC]:[Dec FC]])</f>
        <v>0</v>
      </c>
      <c r="AO131" s="15">
        <f t="shared" ref="AO131:AO151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SUM(Financials202632[[#This Row],[Jan AC]:[Dec AC]])</f>
        <v>0</v>
      </c>
      <c r="BC131" s="71">
        <f>Financials202632[[#This Row],[Jan AC]]-Financials202632[[#This Row],[Jan FC]]</f>
        <v>0</v>
      </c>
      <c r="BD131" s="71">
        <f>Financials202632[[#This Row],[Feb AC]]-Financials202632[[#This Row],[Feb FC]]</f>
        <v>0</v>
      </c>
      <c r="BE131" s="71">
        <f>Financials202632[[#This Row],[Mar AC]]-Financials202632[[#This Row],[Mar FC]]</f>
        <v>0</v>
      </c>
      <c r="BF131" s="71">
        <f>Financials202632[[#This Row],[Apr AC]]-Financials202632[[#This Row],[Apr FC]]</f>
        <v>0</v>
      </c>
      <c r="BG131" s="71">
        <f>Financials202632[[#This Row],[May AC]]-Financials202632[[#This Row],[May FC]]</f>
        <v>0</v>
      </c>
      <c r="BH131" s="71">
        <f>Financials202632[[#This Row],[Jun AC]]-Financials202632[[#This Row],[Jun FC]]</f>
        <v>0</v>
      </c>
      <c r="BI131" s="71">
        <f>Financials202632[[#This Row],[Jul AC]]-Financials202632[[#This Row],[Jul FC]]</f>
        <v>0</v>
      </c>
      <c r="BJ131" s="71">
        <f>Financials202632[[#This Row],[Aug AC]]-Financials202632[[#This Row],[Aug FC]]</f>
        <v>0</v>
      </c>
      <c r="BK131" s="71">
        <f>Financials202632[[#This Row],[Sep AC]]-Financials202632[[#This Row],[Sep FC]]</f>
        <v>0</v>
      </c>
      <c r="BL131" s="71">
        <f>Financials202632[[#This Row],[Oct AC]]-Financials202632[[#This Row],[Oct FC]]</f>
        <v>0</v>
      </c>
      <c r="BM131" s="71">
        <f>Financials202632[[#This Row],[Nov AC]]-Financials202632[[#This Row],[Nov FC]]</f>
        <v>0</v>
      </c>
      <c r="BN131" s="71">
        <f>Financials202632[[#This Row],[Dec AC]]-Financials202632[[#This Row],[Dec FC]]</f>
        <v>0</v>
      </c>
      <c r="BO131" s="71">
        <f>SUM(Financials202632[[#This Row],[Jan Opp/Risk]:[Dec Opp./Risk]])</f>
        <v>0</v>
      </c>
      <c r="BP131" s="87" t="s">
        <v>642</v>
      </c>
      <c r="BQ131" s="47">
        <f>SUM(Financials202632[[#This Row],[Jan AC]:[May AC]])</f>
        <v>0</v>
      </c>
      <c r="BR131" s="6">
        <f>Financials202632[[#This Row],[2026 (Actuals + Forecast)]]-Financials202632[[#This Row],[Jan-May Actuals]]-Financials202632[[#This Row],[Jun-Dec FC]]</f>
        <v>0</v>
      </c>
      <c r="BS131" s="6">
        <f>Financials202632[[#This Row],[Jun-Dec FC]]+Financials202632[[#This Row],[Jan-May Forecast ]]</f>
        <v>0</v>
      </c>
      <c r="BT131" s="6">
        <f>SUM(Financials202632[[#This Row],[Jan FC]:[May FC]])</f>
        <v>0</v>
      </c>
      <c r="BU131" s="6">
        <f>Financials202632[[#This Row],[Jan-May Actuals]]+Financials202632[[#This Row],[Forecast Jun-Dec]]</f>
        <v>0</v>
      </c>
      <c r="BV131" s="6"/>
      <c r="BW131" s="6" t="s">
        <v>331</v>
      </c>
      <c r="BX131" s="6" t="s">
        <v>306</v>
      </c>
    </row>
    <row r="132" spans="1:76" x14ac:dyDescent="0.3">
      <c r="A132" s="22" t="s">
        <v>295</v>
      </c>
      <c r="B132" s="21" t="s">
        <v>115</v>
      </c>
      <c r="C132" s="21" t="s">
        <v>502</v>
      </c>
      <c r="D132" s="10" t="s">
        <v>667</v>
      </c>
      <c r="E132" s="7" t="s">
        <v>668</v>
      </c>
      <c r="F132" s="3" t="s">
        <v>299</v>
      </c>
      <c r="G132" s="3" t="s">
        <v>21</v>
      </c>
      <c r="H132" s="4">
        <v>46023</v>
      </c>
      <c r="I132" s="4">
        <v>46194</v>
      </c>
      <c r="J132" s="3" t="s">
        <v>669</v>
      </c>
      <c r="K132" s="3" t="str">
        <f t="shared" si="47"/>
        <v>Prj000447-Implement - Minor Enhancements SNOW - Phase 2</v>
      </c>
      <c r="L132" s="21" t="s">
        <v>323</v>
      </c>
      <c r="M132" s="21" t="s">
        <v>14</v>
      </c>
      <c r="N132" s="21" t="s">
        <v>324</v>
      </c>
      <c r="O132" s="21" t="s">
        <v>569</v>
      </c>
      <c r="P132" s="21" t="s">
        <v>302</v>
      </c>
      <c r="Q132" s="21" t="s">
        <v>334</v>
      </c>
      <c r="R132" s="21" t="s">
        <v>334</v>
      </c>
      <c r="S132" s="21" t="s">
        <v>328</v>
      </c>
      <c r="T132" s="5">
        <v>0</v>
      </c>
      <c r="U132" s="17">
        <v>178500</v>
      </c>
      <c r="V132" s="17">
        <v>178500</v>
      </c>
      <c r="W132" s="15">
        <f t="shared" si="48"/>
        <v>178499.56</v>
      </c>
      <c r="X132" s="15">
        <f t="shared" si="33"/>
        <v>-0.44000000000232831</v>
      </c>
      <c r="Y132" s="15">
        <f t="shared" si="49"/>
        <v>0</v>
      </c>
      <c r="Z132" s="15">
        <f>SUM(Financials202632[[#This Row],[2026 Opportunity]:[2026 Risk]])</f>
        <v>-0.44000000000232831</v>
      </c>
      <c r="AA132" s="3" t="s">
        <v>670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>
        <v>4330</v>
      </c>
      <c r="AN132" s="75">
        <f>SUM(Financials202632[[#This Row],[Jan FC]:[Dec FC]])</f>
        <v>178499.56</v>
      </c>
      <c r="AO132" s="15">
        <f t="shared" si="50"/>
        <v>33358.259999999995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SUM(Financials202632[[#This Row],[Jan AC]:[Dec AC]])</f>
        <v>174169.56</v>
      </c>
      <c r="BC132" s="71">
        <f>Financials202632[[#This Row],[Jan AC]]-Financials202632[[#This Row],[Jan FC]]</f>
        <v>0</v>
      </c>
      <c r="BD132" s="71">
        <f>Financials202632[[#This Row],[Feb AC]]-Financials202632[[#This Row],[Feb FC]]</f>
        <v>0</v>
      </c>
      <c r="BE132" s="71">
        <f>Financials202632[[#This Row],[Mar AC]]-Financials202632[[#This Row],[Mar FC]]</f>
        <v>0</v>
      </c>
      <c r="BF132" s="71">
        <f>Financials202632[[#This Row],[Apr AC]]-Financials202632[[#This Row],[Apr FC]]</f>
        <v>0</v>
      </c>
      <c r="BG132" s="71">
        <f>Financials202632[[#This Row],[May AC]]-Financials202632[[#This Row],[May FC]]</f>
        <v>0</v>
      </c>
      <c r="BH132" s="71">
        <f>Financials202632[[#This Row],[Jun AC]]-Financials202632[[#This Row],[Jun FC]]</f>
        <v>0</v>
      </c>
      <c r="BI132" s="71">
        <f>Financials202632[[#This Row],[Jul AC]]-Financials202632[[#This Row],[Jul FC]]</f>
        <v>0</v>
      </c>
      <c r="BJ132" s="71">
        <f>Financials202632[[#This Row],[Aug AC]]-Financials202632[[#This Row],[Aug FC]]</f>
        <v>0</v>
      </c>
      <c r="BK132" s="71">
        <f>Financials202632[[#This Row],[Sep AC]]-Financials202632[[#This Row],[Sep FC]]</f>
        <v>0</v>
      </c>
      <c r="BL132" s="71">
        <f>Financials202632[[#This Row],[Oct AC]]-Financials202632[[#This Row],[Oct FC]]</f>
        <v>0</v>
      </c>
      <c r="BM132" s="71">
        <f>Financials202632[[#This Row],[Nov AC]]-Financials202632[[#This Row],[Nov FC]]</f>
        <v>0</v>
      </c>
      <c r="BN132" s="71">
        <f>Financials202632[[#This Row],[Dec AC]]-Financials202632[[#This Row],[Dec FC]]</f>
        <v>-4330</v>
      </c>
      <c r="BO132" s="71">
        <f>SUM(Financials202632[[#This Row],[Jan Opp/Risk]:[Dec Opp./Risk]])</f>
        <v>-4330</v>
      </c>
      <c r="BP132" s="87" t="s">
        <v>356</v>
      </c>
      <c r="BQ132" s="47">
        <f>SUM(Financials202632[[#This Row],[Jan AC]:[May AC]])</f>
        <v>145141.29999999999</v>
      </c>
      <c r="BR132" s="6">
        <f>Financials202632[[#This Row],[2026 (Actuals + Forecast)]]-Financials202632[[#This Row],[Jan-May Actuals]]-Financials202632[[#This Row],[Jun-Dec FC]]</f>
        <v>0</v>
      </c>
      <c r="BS132" s="6">
        <f>Financials202632[[#This Row],[Jun-Dec FC]]+Financials202632[[#This Row],[Jan-May Forecast ]]</f>
        <v>33358.259999999995</v>
      </c>
      <c r="BT132" s="6">
        <f>SUM(Financials202632[[#This Row],[Jan FC]:[May FC]])</f>
        <v>145141.29999999999</v>
      </c>
      <c r="BU132" s="6">
        <f>Financials202632[[#This Row],[Jan-May Actuals]]+Financials202632[[#This Row],[Forecast Jun-Dec]]</f>
        <v>178499.56</v>
      </c>
      <c r="BV132" s="6"/>
      <c r="BW132" s="6" t="s">
        <v>331</v>
      </c>
      <c r="BX132" s="6" t="s">
        <v>306</v>
      </c>
    </row>
    <row r="133" spans="1:76" x14ac:dyDescent="0.3">
      <c r="A133" s="22" t="s">
        <v>295</v>
      </c>
      <c r="B133" s="21" t="s">
        <v>158</v>
      </c>
      <c r="C133" s="21" t="s">
        <v>517</v>
      </c>
      <c r="D133" s="10" t="s">
        <v>671</v>
      </c>
      <c r="E133" s="7" t="s">
        <v>672</v>
      </c>
      <c r="F133" s="3" t="s">
        <v>427</v>
      </c>
      <c r="G133" s="3" t="s">
        <v>20</v>
      </c>
      <c r="H133" s="4">
        <v>45943</v>
      </c>
      <c r="I133" s="4">
        <v>46109</v>
      </c>
      <c r="J133" s="3" t="s">
        <v>673</v>
      </c>
      <c r="K133" s="3" t="str">
        <f t="shared" si="47"/>
        <v>Prj000476-Implement - Reporting to Support DGC</v>
      </c>
      <c r="L133" s="21" t="s">
        <v>301</v>
      </c>
      <c r="M133" s="21" t="s">
        <v>16</v>
      </c>
      <c r="N133" s="21" t="s">
        <v>16</v>
      </c>
      <c r="O133" s="21"/>
      <c r="P133" s="21" t="s">
        <v>302</v>
      </c>
      <c r="Q133" s="21" t="s">
        <v>303</v>
      </c>
      <c r="R133" s="21" t="s">
        <v>303</v>
      </c>
      <c r="S133" s="21" t="s">
        <v>333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SUM(Financials202632[[#This Row],[2026 Opportunity]:[2026 Risk]])</f>
        <v>0</v>
      </c>
      <c r="AA133" s="3" t="s">
        <v>674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SUM(Financials202632[[#This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SUM(Financials202632[[#This Row],[Jan AC]:[Dec AC]])</f>
        <v>0</v>
      </c>
      <c r="BC133" s="71">
        <f>Financials202632[[#This Row],[Jan AC]]-Financials202632[[#This Row],[Jan FC]]</f>
        <v>0</v>
      </c>
      <c r="BD133" s="71">
        <f>Financials202632[[#This Row],[Feb AC]]-Financials202632[[#This Row],[Feb FC]]</f>
        <v>0</v>
      </c>
      <c r="BE133" s="71">
        <f>Financials202632[[#This Row],[Mar AC]]-Financials202632[[#This Row],[Mar FC]]</f>
        <v>0</v>
      </c>
      <c r="BF133" s="71">
        <f>Financials202632[[#This Row],[Apr AC]]-Financials202632[[#This Row],[Apr FC]]</f>
        <v>0</v>
      </c>
      <c r="BG133" s="71">
        <f>Financials202632[[#This Row],[May AC]]-Financials202632[[#This Row],[May FC]]</f>
        <v>0</v>
      </c>
      <c r="BH133" s="71">
        <f>Financials202632[[#This Row],[Jun AC]]-Financials202632[[#This Row],[Jun FC]]</f>
        <v>0</v>
      </c>
      <c r="BI133" s="71">
        <f>Financials202632[[#This Row],[Jul AC]]-Financials202632[[#This Row],[Jul FC]]</f>
        <v>0</v>
      </c>
      <c r="BJ133" s="71">
        <f>Financials202632[[#This Row],[Aug AC]]-Financials202632[[#This Row],[Aug FC]]</f>
        <v>0</v>
      </c>
      <c r="BK133" s="71">
        <f>Financials202632[[#This Row],[Sep AC]]-Financials202632[[#This Row],[Sep FC]]</f>
        <v>0</v>
      </c>
      <c r="BL133" s="71">
        <f>Financials202632[[#This Row],[Oct AC]]-Financials202632[[#This Row],[Oct FC]]</f>
        <v>0</v>
      </c>
      <c r="BM133" s="71">
        <f>Financials202632[[#This Row],[Nov AC]]-Financials202632[[#This Row],[Nov FC]]</f>
        <v>-7470</v>
      </c>
      <c r="BN133" s="71">
        <f>Financials202632[[#This Row],[Dec AC]]-Financials202632[[#This Row],[Dec FC]]</f>
        <v>0</v>
      </c>
      <c r="BO133" s="71">
        <f>SUM(Financials202632[[#This Row],[Jan Opp/Risk]:[Dec Opp./Risk]])</f>
        <v>-7470</v>
      </c>
      <c r="BP133" s="87"/>
      <c r="BQ133" s="47">
        <f>SUM(Financials202632[[#This Row],[Jan AC]:[May AC]])</f>
        <v>0</v>
      </c>
      <c r="BR133" s="6">
        <f>Financials202632[[#This Row],[2026 (Actuals + Forecast)]]-Financials202632[[#This Row],[Jan-May Actuals]]-Financials202632[[#This Row],[Jun-Dec FC]]</f>
        <v>0</v>
      </c>
      <c r="BS133" s="6">
        <f>Financials202632[[#This Row],[Jun-Dec FC]]+Financials202632[[#This Row],[Jan-May Forecast ]]</f>
        <v>7470</v>
      </c>
      <c r="BT133" s="6">
        <f>SUM(Financials202632[[#This Row],[Jan FC]:[May FC]])</f>
        <v>0</v>
      </c>
      <c r="BU133" s="6">
        <f>Financials202632[[#This Row],[Jan-May Actuals]]+Financials202632[[#This Row],[Forecast Jun-Dec]]</f>
        <v>7470</v>
      </c>
      <c r="BV133" s="6"/>
      <c r="BW133" s="6" t="s">
        <v>16</v>
      </c>
      <c r="BX133" s="6" t="s">
        <v>590</v>
      </c>
    </row>
    <row r="134" spans="1:76" x14ac:dyDescent="0.3">
      <c r="A134" s="22" t="s">
        <v>295</v>
      </c>
      <c r="B134" s="21" t="s">
        <v>43</v>
      </c>
      <c r="C134" s="21" t="s">
        <v>424</v>
      </c>
      <c r="D134" s="10" t="s">
        <v>675</v>
      </c>
      <c r="E134" s="7" t="s">
        <v>676</v>
      </c>
      <c r="F134" s="3" t="s">
        <v>373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323</v>
      </c>
      <c r="M134" s="21" t="s">
        <v>14</v>
      </c>
      <c r="N134" s="21" t="s">
        <v>324</v>
      </c>
      <c r="O134" s="21"/>
      <c r="P134" s="21" t="s">
        <v>325</v>
      </c>
      <c r="Q134" s="21" t="s">
        <v>326</v>
      </c>
      <c r="R134" s="21" t="s">
        <v>327</v>
      </c>
      <c r="S134" s="3" t="s">
        <v>641</v>
      </c>
      <c r="T134" s="5">
        <v>0</v>
      </c>
      <c r="U134" s="5">
        <v>100000</v>
      </c>
      <c r="V134" s="5">
        <f>100000-100000</f>
        <v>0</v>
      </c>
      <c r="W134" s="15">
        <f t="shared" si="48"/>
        <v>0</v>
      </c>
      <c r="X134" s="15">
        <f t="shared" si="33"/>
        <v>0</v>
      </c>
      <c r="Y134" s="15">
        <f t="shared" si="49"/>
        <v>0</v>
      </c>
      <c r="Z134" s="15">
        <f>SUM(Financials202632[[#This Row],[2026 Opportunity]:[2026 Risk]])</f>
        <v>0</v>
      </c>
      <c r="AA134" s="3" t="s">
        <v>646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SUM(Financials202632[[#This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SUM(Financials202632[[#This Row],[Jan AC]:[Dec AC]])</f>
        <v>0</v>
      </c>
      <c r="BC134" s="71">
        <f>Financials202632[[#This Row],[Jan AC]]-Financials202632[[#This Row],[Jan FC]]</f>
        <v>0</v>
      </c>
      <c r="BD134" s="71">
        <f>Financials202632[[#This Row],[Feb AC]]-Financials202632[[#This Row],[Feb FC]]</f>
        <v>0</v>
      </c>
      <c r="BE134" s="71">
        <f>Financials202632[[#This Row],[Mar AC]]-Financials202632[[#This Row],[Mar FC]]</f>
        <v>0</v>
      </c>
      <c r="BF134" s="71">
        <f>Financials202632[[#This Row],[Apr AC]]-Financials202632[[#This Row],[Apr FC]]</f>
        <v>0</v>
      </c>
      <c r="BG134" s="71">
        <f>Financials202632[[#This Row],[May AC]]-Financials202632[[#This Row],[May FC]]</f>
        <v>0</v>
      </c>
      <c r="BH134" s="71">
        <f>Financials202632[[#This Row],[Jun AC]]-Financials202632[[#This Row],[Jun FC]]</f>
        <v>0</v>
      </c>
      <c r="BI134" s="71">
        <f>Financials202632[[#This Row],[Jul AC]]-Financials202632[[#This Row],[Jul FC]]</f>
        <v>0</v>
      </c>
      <c r="BJ134" s="71">
        <f>Financials202632[[#This Row],[Aug AC]]-Financials202632[[#This Row],[Aug FC]]</f>
        <v>0</v>
      </c>
      <c r="BK134" s="71">
        <f>Financials202632[[#This Row],[Sep AC]]-Financials202632[[#This Row],[Sep FC]]</f>
        <v>0</v>
      </c>
      <c r="BL134" s="71">
        <f>Financials202632[[#This Row],[Oct AC]]-Financials202632[[#This Row],[Oct FC]]</f>
        <v>0</v>
      </c>
      <c r="BM134" s="71">
        <f>Financials202632[[#This Row],[Nov AC]]-Financials202632[[#This Row],[Nov FC]]</f>
        <v>0</v>
      </c>
      <c r="BN134" s="71">
        <f>Financials202632[[#This Row],[Dec AC]]-Financials202632[[#This Row],[Dec FC]]</f>
        <v>0</v>
      </c>
      <c r="BO134" s="71">
        <f>SUM(Financials202632[[#This Row],[Jan Opp/Risk]:[Dec Opp./Risk]])</f>
        <v>0</v>
      </c>
      <c r="BP134" s="87" t="s">
        <v>642</v>
      </c>
      <c r="BQ134" s="47">
        <f>SUM(Financials202632[[#This Row],[Jan AC]:[May AC]])</f>
        <v>0</v>
      </c>
      <c r="BR134" s="6">
        <f>Financials202632[[#This Row],[2026 (Actuals + Forecast)]]-Financials202632[[#This Row],[Jan-May Actuals]]-Financials202632[[#This Row],[Jun-Dec FC]]</f>
        <v>0</v>
      </c>
      <c r="BS134" s="6">
        <f>Financials202632[[#This Row],[Jun-Dec FC]]+Financials202632[[#This Row],[Jan-May Forecast ]]</f>
        <v>0</v>
      </c>
      <c r="BT134" s="6">
        <f>SUM(Financials202632[[#This Row],[Jan FC]:[May FC]])</f>
        <v>0</v>
      </c>
      <c r="BU134" s="6">
        <f>Financials202632[[#This Row],[Jan-May Actuals]]+Financials202632[[#This Row],[Forecast Jun-Dec]]</f>
        <v>0</v>
      </c>
      <c r="BV134" s="6"/>
      <c r="BW134" s="6" t="s">
        <v>331</v>
      </c>
      <c r="BX134" s="6" t="s">
        <v>306</v>
      </c>
    </row>
    <row r="135" spans="1:76" x14ac:dyDescent="0.3">
      <c r="A135" s="22" t="s">
        <v>295</v>
      </c>
      <c r="B135" s="21" t="s">
        <v>52</v>
      </c>
      <c r="C135" s="21"/>
      <c r="D135" s="10" t="s">
        <v>677</v>
      </c>
      <c r="E135" s="7" t="s">
        <v>678</v>
      </c>
      <c r="F135" s="3" t="s">
        <v>322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323</v>
      </c>
      <c r="M135" s="21" t="s">
        <v>10</v>
      </c>
      <c r="N135" s="21" t="s">
        <v>599</v>
      </c>
      <c r="O135" s="21"/>
      <c r="P135" s="21" t="s">
        <v>593</v>
      </c>
      <c r="Q135" s="21" t="s">
        <v>594</v>
      </c>
      <c r="R135" s="21" t="s">
        <v>347</v>
      </c>
      <c r="S135" s="3" t="s">
        <v>641</v>
      </c>
      <c r="T135" s="5">
        <v>0</v>
      </c>
      <c r="U135" s="5">
        <v>250000</v>
      </c>
      <c r="V135" s="5">
        <f>250000-100000</f>
        <v>150000</v>
      </c>
      <c r="W135" s="15">
        <f t="shared" si="48"/>
        <v>150000</v>
      </c>
      <c r="X135" s="15">
        <f t="shared" si="33"/>
        <v>0</v>
      </c>
      <c r="Y135" s="15">
        <f t="shared" si="49"/>
        <v>0</v>
      </c>
      <c r="Z135" s="15">
        <f>SUM(Financials202632[[#This Row],[2026 Opportunity]:[2026 Risk]])</f>
        <v>0</v>
      </c>
      <c r="AA135" s="3" t="s">
        <v>649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SUM(Financials202632[[#This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SUM(Financials202632[[#This Row],[Jan AC]:[Dec AC]])</f>
        <v>0</v>
      </c>
      <c r="BC135" s="71">
        <f>Financials202632[[#This Row],[Jan AC]]-Financials202632[[#This Row],[Jan FC]]</f>
        <v>0</v>
      </c>
      <c r="BD135" s="71">
        <f>Financials202632[[#This Row],[Feb AC]]-Financials202632[[#This Row],[Feb FC]]</f>
        <v>0</v>
      </c>
      <c r="BE135" s="71">
        <f>Financials202632[[#This Row],[Mar AC]]-Financials202632[[#This Row],[Mar FC]]</f>
        <v>0</v>
      </c>
      <c r="BF135" s="71">
        <f>Financials202632[[#This Row],[Apr AC]]-Financials202632[[#This Row],[Apr FC]]</f>
        <v>0</v>
      </c>
      <c r="BG135" s="71">
        <f>Financials202632[[#This Row],[May AC]]-Financials202632[[#This Row],[May FC]]</f>
        <v>0</v>
      </c>
      <c r="BH135" s="71">
        <f>Financials202632[[#This Row],[Jun AC]]-Financials202632[[#This Row],[Jun FC]]</f>
        <v>0</v>
      </c>
      <c r="BI135" s="71">
        <f>Financials202632[[#This Row],[Jul AC]]-Financials202632[[#This Row],[Jul FC]]</f>
        <v>0</v>
      </c>
      <c r="BJ135" s="71">
        <f>Financials202632[[#This Row],[Aug AC]]-Financials202632[[#This Row],[Aug FC]]</f>
        <v>0</v>
      </c>
      <c r="BK135" s="71">
        <f>Financials202632[[#This Row],[Sep AC]]-Financials202632[[#This Row],[Sep FC]]</f>
        <v>0</v>
      </c>
      <c r="BL135" s="71">
        <f>Financials202632[[#This Row],[Oct AC]]-Financials202632[[#This Row],[Oct FC]]</f>
        <v>0</v>
      </c>
      <c r="BM135" s="71">
        <f>Financials202632[[#This Row],[Nov AC]]-Financials202632[[#This Row],[Nov FC]]</f>
        <v>0</v>
      </c>
      <c r="BN135" s="71">
        <f>Financials202632[[#This Row],[Dec AC]]-Financials202632[[#This Row],[Dec FC]]</f>
        <v>-150000</v>
      </c>
      <c r="BO135" s="71">
        <f>SUM(Financials202632[[#This Row],[Jan Opp/Risk]:[Dec Opp./Risk]])</f>
        <v>-150000</v>
      </c>
      <c r="BP135" s="87" t="s">
        <v>642</v>
      </c>
      <c r="BQ135" s="47">
        <f>SUM(Financials202632[[#This Row],[Jan AC]:[May AC]])</f>
        <v>0</v>
      </c>
      <c r="BR135" s="6">
        <f>Financials202632[[#This Row],[2026 (Actuals + Forecast)]]-Financials202632[[#This Row],[Jan-May Actuals]]-Financials202632[[#This Row],[Jun-Dec FC]]</f>
        <v>0</v>
      </c>
      <c r="BS135" s="6">
        <f>Financials202632[[#This Row],[Jun-Dec FC]]+Financials202632[[#This Row],[Jan-May Forecast ]]</f>
        <v>150000</v>
      </c>
      <c r="BT135" s="6">
        <f>SUM(Financials202632[[#This Row],[Jan FC]:[May FC]])</f>
        <v>0</v>
      </c>
      <c r="BU135" s="6">
        <f>Financials202632[[#This Row],[Jan-May Actuals]]+Financials202632[[#This Row],[Forecast Jun-Dec]]</f>
        <v>150000</v>
      </c>
      <c r="BV135" s="6"/>
      <c r="BW135" s="6" t="s">
        <v>331</v>
      </c>
      <c r="BX135" s="6" t="s">
        <v>679</v>
      </c>
    </row>
    <row r="136" spans="1:76" x14ac:dyDescent="0.3">
      <c r="A136" s="22" t="s">
        <v>295</v>
      </c>
      <c r="B136" s="21" t="s">
        <v>210</v>
      </c>
      <c r="C136" s="21"/>
      <c r="D136" s="10" t="s">
        <v>680</v>
      </c>
      <c r="E136" s="7" t="s">
        <v>681</v>
      </c>
      <c r="F136" s="3" t="s">
        <v>311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301</v>
      </c>
      <c r="M136" s="21" t="s">
        <v>16</v>
      </c>
      <c r="N136" s="21" t="s">
        <v>16</v>
      </c>
      <c r="O136" s="21"/>
      <c r="P136" s="21" t="s">
        <v>302</v>
      </c>
      <c r="Q136" s="21" t="s">
        <v>414</v>
      </c>
      <c r="R136" s="21" t="s">
        <v>414</v>
      </c>
      <c r="S136" s="3" t="s">
        <v>304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SUM(Financials202632[[#This Row],[2026 Opportunity]:[2026 Risk]])</f>
        <v>13850</v>
      </c>
      <c r="AA136" s="3" t="s">
        <v>682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SUM(Financials202632[[#This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SUM(Financials202632[[#This Row],[Jan AC]:[Dec AC]])</f>
        <v>0</v>
      </c>
      <c r="BC136" s="71">
        <f>Financials202632[[#This Row],[Jan AC]]-Financials202632[[#This Row],[Jan FC]]</f>
        <v>0</v>
      </c>
      <c r="BD136" s="71">
        <f>Financials202632[[#This Row],[Feb AC]]-Financials202632[[#This Row],[Feb FC]]</f>
        <v>0</v>
      </c>
      <c r="BE136" s="71">
        <f>Financials202632[[#This Row],[Mar AC]]-Financials202632[[#This Row],[Mar FC]]</f>
        <v>0</v>
      </c>
      <c r="BF136" s="71">
        <f>Financials202632[[#This Row],[Apr AC]]-Financials202632[[#This Row],[Apr FC]]</f>
        <v>0</v>
      </c>
      <c r="BG136" s="71">
        <f>Financials202632[[#This Row],[May AC]]-Financials202632[[#This Row],[May FC]]</f>
        <v>0</v>
      </c>
      <c r="BH136" s="71">
        <f>Financials202632[[#This Row],[Jun AC]]-Financials202632[[#This Row],[Jun FC]]</f>
        <v>0</v>
      </c>
      <c r="BI136" s="71">
        <f>Financials202632[[#This Row],[Jul AC]]-Financials202632[[#This Row],[Jul FC]]</f>
        <v>0</v>
      </c>
      <c r="BJ136" s="71">
        <f>Financials202632[[#This Row],[Aug AC]]-Financials202632[[#This Row],[Aug FC]]</f>
        <v>-113850</v>
      </c>
      <c r="BK136" s="71">
        <f>Financials202632[[#This Row],[Sep AC]]-Financials202632[[#This Row],[Sep FC]]</f>
        <v>0</v>
      </c>
      <c r="BL136" s="71">
        <f>Financials202632[[#This Row],[Oct AC]]-Financials202632[[#This Row],[Oct FC]]</f>
        <v>0</v>
      </c>
      <c r="BM136" s="71">
        <f>Financials202632[[#This Row],[Nov AC]]-Financials202632[[#This Row],[Nov FC]]</f>
        <v>0</v>
      </c>
      <c r="BN136" s="71">
        <f>Financials202632[[#This Row],[Dec AC]]-Financials202632[[#This Row],[Dec FC]]</f>
        <v>0</v>
      </c>
      <c r="BO136" s="71">
        <f>SUM(Financials202632[[#This Row],[Jan Opp/Risk]:[Dec Opp./Risk]])</f>
        <v>-113850</v>
      </c>
      <c r="BP136" s="87" t="s">
        <v>642</v>
      </c>
      <c r="BQ136" s="47">
        <f>SUM(Financials202632[[#This Row],[Jan AC]:[May AC]])</f>
        <v>0</v>
      </c>
      <c r="BR136" s="6">
        <f>Financials202632[[#This Row],[2026 (Actuals + Forecast)]]-Financials202632[[#This Row],[Jan-May Actuals]]-Financials202632[[#This Row],[Jun-Dec FC]]</f>
        <v>0</v>
      </c>
      <c r="BS136" s="6">
        <f>Financials202632[[#This Row],[Jun-Dec FC]]+Financials202632[[#This Row],[Jan-May Forecast ]]</f>
        <v>113850</v>
      </c>
      <c r="BT136" s="6">
        <f>SUM(Financials202632[[#This Row],[Jan FC]:[May FC]])</f>
        <v>0</v>
      </c>
      <c r="BU136" s="6">
        <f>Financials202632[[#This Row],[Jan-May Actuals]]+Financials202632[[#This Row],[Forecast Jun-Dec]]</f>
        <v>113850</v>
      </c>
      <c r="BV136" s="6"/>
      <c r="BW136" s="6" t="s">
        <v>16</v>
      </c>
      <c r="BX136" s="6" t="s">
        <v>306</v>
      </c>
    </row>
    <row r="137" spans="1:76" ht="43.2" x14ac:dyDescent="0.3">
      <c r="A137" s="22" t="s">
        <v>295</v>
      </c>
      <c r="B137" s="21" t="s">
        <v>41</v>
      </c>
      <c r="C137" s="21"/>
      <c r="D137" s="10" t="s">
        <v>644</v>
      </c>
      <c r="E137" s="7" t="s">
        <v>645</v>
      </c>
      <c r="F137" s="3" t="s">
        <v>385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323</v>
      </c>
      <c r="M137" s="21" t="s">
        <v>10</v>
      </c>
      <c r="N137" s="21" t="s">
        <v>588</v>
      </c>
      <c r="O137" s="21"/>
      <c r="P137" s="21" t="s">
        <v>325</v>
      </c>
      <c r="Q137" s="21" t="s">
        <v>326</v>
      </c>
      <c r="R137" s="21" t="s">
        <v>327</v>
      </c>
      <c r="S137" s="3" t="s">
        <v>641</v>
      </c>
      <c r="T137" s="15">
        <v>0</v>
      </c>
      <c r="U137" s="15">
        <v>250000</v>
      </c>
      <c r="V137" s="5">
        <f>250000-197929-30795</f>
        <v>21276</v>
      </c>
      <c r="W137" s="15">
        <f t="shared" si="48"/>
        <v>0</v>
      </c>
      <c r="X137" s="15">
        <f t="shared" ref="X137:X151" si="51">IF(V137 &gt;= W137, V137 - W137, 0)*-1</f>
        <v>-21276</v>
      </c>
      <c r="Y137" s="15">
        <f t="shared" si="49"/>
        <v>0</v>
      </c>
      <c r="Z137" s="15">
        <f>SUM(Financials202632[[#This Row],[2026 Opportunity]:[2026 Risk]])</f>
        <v>-21276</v>
      </c>
      <c r="AA137" s="3" t="s">
        <v>683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SUM(Financials202632[[#This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SUM(Financials202632[[#This Row],[Jan AC]:[Dec AC]])</f>
        <v>0</v>
      </c>
      <c r="BC137" s="71">
        <f>Financials202632[[#This Row],[Jan AC]]-Financials202632[[#This Row],[Jan FC]]</f>
        <v>0</v>
      </c>
      <c r="BD137" s="71">
        <f>Financials202632[[#This Row],[Feb AC]]-Financials202632[[#This Row],[Feb FC]]</f>
        <v>0</v>
      </c>
      <c r="BE137" s="71">
        <f>Financials202632[[#This Row],[Mar AC]]-Financials202632[[#This Row],[Mar FC]]</f>
        <v>0</v>
      </c>
      <c r="BF137" s="71">
        <f>Financials202632[[#This Row],[Apr AC]]-Financials202632[[#This Row],[Apr FC]]</f>
        <v>0</v>
      </c>
      <c r="BG137" s="71">
        <f>Financials202632[[#This Row],[May AC]]-Financials202632[[#This Row],[May FC]]</f>
        <v>0</v>
      </c>
      <c r="BH137" s="71">
        <f>Financials202632[[#This Row],[Jun AC]]-Financials202632[[#This Row],[Jun FC]]</f>
        <v>0</v>
      </c>
      <c r="BI137" s="71">
        <f>Financials202632[[#This Row],[Jul AC]]-Financials202632[[#This Row],[Jul FC]]</f>
        <v>0</v>
      </c>
      <c r="BJ137" s="71">
        <f>Financials202632[[#This Row],[Aug AC]]-Financials202632[[#This Row],[Aug FC]]</f>
        <v>0</v>
      </c>
      <c r="BK137" s="71">
        <f>Financials202632[[#This Row],[Sep AC]]-Financials202632[[#This Row],[Sep FC]]</f>
        <v>0</v>
      </c>
      <c r="BL137" s="71">
        <f>Financials202632[[#This Row],[Oct AC]]-Financials202632[[#This Row],[Oct FC]]</f>
        <v>0</v>
      </c>
      <c r="BM137" s="71">
        <f>Financials202632[[#This Row],[Nov AC]]-Financials202632[[#This Row],[Nov FC]]</f>
        <v>0</v>
      </c>
      <c r="BN137" s="71">
        <f>Financials202632[[#This Row],[Dec AC]]-Financials202632[[#This Row],[Dec FC]]</f>
        <v>0</v>
      </c>
      <c r="BO137" s="71">
        <f>SUM(Financials202632[[#This Row],[Jan Opp/Risk]:[Dec Opp./Risk]])</f>
        <v>0</v>
      </c>
      <c r="BP137" s="44" t="s">
        <v>684</v>
      </c>
      <c r="BQ137" s="47">
        <f>SUM(Financials202632[[#This Row],[Jan AC]:[May AC]])</f>
        <v>0</v>
      </c>
      <c r="BR137" s="6">
        <f>Financials202632[[#This Row],[2026 (Actuals + Forecast)]]-Financials202632[[#This Row],[Jan-May Actuals]]-Financials202632[[#This Row],[Jun-Dec FC]]</f>
        <v>0</v>
      </c>
      <c r="BS137" s="6">
        <f>Financials202632[[#This Row],[Jun-Dec FC]]+Financials202632[[#This Row],[Jan-May Forecast ]]</f>
        <v>0</v>
      </c>
      <c r="BT137" s="6">
        <f>SUM(Financials202632[[#This Row],[Jan FC]:[May FC]])</f>
        <v>0</v>
      </c>
      <c r="BU137" s="6">
        <f>Financials202632[[#This Row],[Jan-May Actuals]]+Financials202632[[#This Row],[Forecast Jun-Dec]]</f>
        <v>0</v>
      </c>
      <c r="BV137" s="6"/>
      <c r="BW137" s="6" t="s">
        <v>331</v>
      </c>
      <c r="BX137" s="6" t="s">
        <v>643</v>
      </c>
    </row>
    <row r="138" spans="1:76" x14ac:dyDescent="0.3">
      <c r="A138" s="22" t="s">
        <v>295</v>
      </c>
      <c r="B138" s="21" t="s">
        <v>41</v>
      </c>
      <c r="C138" s="21"/>
      <c r="D138" s="10" t="s">
        <v>680</v>
      </c>
      <c r="E138" s="7" t="s">
        <v>681</v>
      </c>
      <c r="F138" s="3" t="s">
        <v>311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323</v>
      </c>
      <c r="M138" s="21" t="s">
        <v>10</v>
      </c>
      <c r="N138" s="21" t="s">
        <v>588</v>
      </c>
      <c r="O138" s="21"/>
      <c r="P138" s="21" t="s">
        <v>325</v>
      </c>
      <c r="Q138" s="21" t="s">
        <v>326</v>
      </c>
      <c r="R138" s="21" t="s">
        <v>327</v>
      </c>
      <c r="S138" s="3" t="s">
        <v>641</v>
      </c>
      <c r="T138" s="15">
        <v>0</v>
      </c>
      <c r="U138" s="5">
        <v>100000</v>
      </c>
      <c r="V138" s="5">
        <f>100000-100000</f>
        <v>0</v>
      </c>
      <c r="W138" s="15">
        <f t="shared" si="48"/>
        <v>0</v>
      </c>
      <c r="X138" s="15">
        <f t="shared" si="51"/>
        <v>0</v>
      </c>
      <c r="Y138" s="15">
        <f t="shared" si="49"/>
        <v>0</v>
      </c>
      <c r="Z138" s="15">
        <f>SUM(Financials202632[[#This Row],[2026 Opportunity]:[2026 Risk]])</f>
        <v>0</v>
      </c>
      <c r="AA138" s="3" t="s">
        <v>685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SUM(Financials202632[[#This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SUM(Financials202632[[#This Row],[Jan AC]:[Dec AC]])</f>
        <v>0</v>
      </c>
      <c r="BC138" s="71">
        <f>Financials202632[[#This Row],[Jan AC]]-Financials202632[[#This Row],[Jan FC]]</f>
        <v>0</v>
      </c>
      <c r="BD138" s="71">
        <f>Financials202632[[#This Row],[Feb AC]]-Financials202632[[#This Row],[Feb FC]]</f>
        <v>0</v>
      </c>
      <c r="BE138" s="71">
        <f>Financials202632[[#This Row],[Mar AC]]-Financials202632[[#This Row],[Mar FC]]</f>
        <v>0</v>
      </c>
      <c r="BF138" s="71">
        <f>Financials202632[[#This Row],[Apr AC]]-Financials202632[[#This Row],[Apr FC]]</f>
        <v>0</v>
      </c>
      <c r="BG138" s="71">
        <f>Financials202632[[#This Row],[May AC]]-Financials202632[[#This Row],[May FC]]</f>
        <v>0</v>
      </c>
      <c r="BH138" s="71">
        <f>Financials202632[[#This Row],[Jun AC]]-Financials202632[[#This Row],[Jun FC]]</f>
        <v>0</v>
      </c>
      <c r="BI138" s="71">
        <f>Financials202632[[#This Row],[Jul AC]]-Financials202632[[#This Row],[Jul FC]]</f>
        <v>0</v>
      </c>
      <c r="BJ138" s="71">
        <f>Financials202632[[#This Row],[Aug AC]]-Financials202632[[#This Row],[Aug FC]]</f>
        <v>0</v>
      </c>
      <c r="BK138" s="71">
        <f>Financials202632[[#This Row],[Sep AC]]-Financials202632[[#This Row],[Sep FC]]</f>
        <v>0</v>
      </c>
      <c r="BL138" s="71">
        <f>Financials202632[[#This Row],[Oct AC]]-Financials202632[[#This Row],[Oct FC]]</f>
        <v>0</v>
      </c>
      <c r="BM138" s="71">
        <f>Financials202632[[#This Row],[Nov AC]]-Financials202632[[#This Row],[Nov FC]]</f>
        <v>0</v>
      </c>
      <c r="BN138" s="71">
        <f>Financials202632[[#This Row],[Dec AC]]-Financials202632[[#This Row],[Dec FC]]</f>
        <v>0</v>
      </c>
      <c r="BO138" s="71">
        <f>SUM(Financials202632[[#This Row],[Jan Opp/Risk]:[Dec Opp./Risk]])</f>
        <v>0</v>
      </c>
      <c r="BP138" s="87" t="s">
        <v>642</v>
      </c>
      <c r="BQ138" s="47">
        <f>SUM(Financials202632[[#This Row],[Jan AC]:[May AC]])</f>
        <v>0</v>
      </c>
      <c r="BR138" s="6">
        <f>Financials202632[[#This Row],[2026 (Actuals + Forecast)]]-Financials202632[[#This Row],[Jan-May Actuals]]-Financials202632[[#This Row],[Jun-Dec FC]]</f>
        <v>0</v>
      </c>
      <c r="BS138" s="6">
        <f>Financials202632[[#This Row],[Jun-Dec FC]]+Financials202632[[#This Row],[Jan-May Forecast ]]</f>
        <v>0</v>
      </c>
      <c r="BT138" s="6">
        <f>SUM(Financials202632[[#This Row],[Jan FC]:[May FC]])</f>
        <v>0</v>
      </c>
      <c r="BU138" s="6">
        <f>Financials202632[[#This Row],[Jan-May Actuals]]+Financials202632[[#This Row],[Forecast Jun-Dec]]</f>
        <v>0</v>
      </c>
      <c r="BV138" s="6"/>
      <c r="BW138" s="6" t="s">
        <v>331</v>
      </c>
      <c r="BX138" s="6" t="s">
        <v>306</v>
      </c>
    </row>
    <row r="139" spans="1:76" x14ac:dyDescent="0.3">
      <c r="A139" s="22" t="s">
        <v>295</v>
      </c>
      <c r="B139" s="21" t="s">
        <v>73</v>
      </c>
      <c r="C139" s="21"/>
      <c r="D139" s="10" t="s">
        <v>297</v>
      </c>
      <c r="E139" s="7" t="s">
        <v>298</v>
      </c>
      <c r="F139" s="3" t="s">
        <v>299</v>
      </c>
      <c r="G139" s="3" t="s">
        <v>21</v>
      </c>
      <c r="H139" s="4" t="s">
        <v>312</v>
      </c>
      <c r="I139" s="4" t="s">
        <v>312</v>
      </c>
      <c r="J139" s="3"/>
      <c r="K139" s="3" t="str">
        <f t="shared" si="47"/>
        <v>Prj000350-Support - Infrastructure for Tech</v>
      </c>
      <c r="L139" s="21" t="s">
        <v>301</v>
      </c>
      <c r="M139" s="21" t="s">
        <v>11</v>
      </c>
      <c r="N139" s="21" t="s">
        <v>11</v>
      </c>
      <c r="O139" s="21"/>
      <c r="P139" s="21" t="s">
        <v>302</v>
      </c>
      <c r="Q139" s="21" t="s">
        <v>627</v>
      </c>
      <c r="R139" s="21" t="s">
        <v>627</v>
      </c>
      <c r="S139" s="21" t="s">
        <v>333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SUM(Financials202632[[#This Row],[2026 Opportunity]:[2026 Risk]])</f>
        <v>75000</v>
      </c>
      <c r="AA139" s="3" t="s">
        <v>686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SUM(Financials202632[[#This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SUM(Financials202632[[#This Row],[Jan AC]:[Dec AC]])</f>
        <v>0</v>
      </c>
      <c r="BC139" s="71">
        <f>Financials202632[[#This Row],[Jan AC]]-Financials202632[[#This Row],[Jan FC]]</f>
        <v>0</v>
      </c>
      <c r="BD139" s="71">
        <f>Financials202632[[#This Row],[Feb AC]]-Financials202632[[#This Row],[Feb FC]]</f>
        <v>0</v>
      </c>
      <c r="BE139" s="71">
        <f>Financials202632[[#This Row],[Mar AC]]-Financials202632[[#This Row],[Mar FC]]</f>
        <v>0</v>
      </c>
      <c r="BF139" s="71">
        <f>Financials202632[[#This Row],[Apr AC]]-Financials202632[[#This Row],[Apr FC]]</f>
        <v>0</v>
      </c>
      <c r="BG139" s="71">
        <f>Financials202632[[#This Row],[May AC]]-Financials202632[[#This Row],[May FC]]</f>
        <v>0</v>
      </c>
      <c r="BH139" s="71">
        <f>Financials202632[[#This Row],[Jun AC]]-Financials202632[[#This Row],[Jun FC]]</f>
        <v>0</v>
      </c>
      <c r="BI139" s="71">
        <f>Financials202632[[#This Row],[Jul AC]]-Financials202632[[#This Row],[Jul FC]]</f>
        <v>0</v>
      </c>
      <c r="BJ139" s="71">
        <f>Financials202632[[#This Row],[Aug AC]]-Financials202632[[#This Row],[Aug FC]]</f>
        <v>0</v>
      </c>
      <c r="BK139" s="71">
        <f>Financials202632[[#This Row],[Sep AC]]-Financials202632[[#This Row],[Sep FC]]</f>
        <v>0</v>
      </c>
      <c r="BL139" s="71">
        <f>Financials202632[[#This Row],[Oct AC]]-Financials202632[[#This Row],[Oct FC]]</f>
        <v>0</v>
      </c>
      <c r="BM139" s="71">
        <f>Financials202632[[#This Row],[Nov AC]]-Financials202632[[#This Row],[Nov FC]]</f>
        <v>0</v>
      </c>
      <c r="BN139" s="71">
        <f>Financials202632[[#This Row],[Dec AC]]-Financials202632[[#This Row],[Dec FC]]</f>
        <v>-75000</v>
      </c>
      <c r="BO139" s="71">
        <f>SUM(Financials202632[[#This Row],[Jan Opp/Risk]:[Dec Opp./Risk]])</f>
        <v>-75000</v>
      </c>
      <c r="BP139" s="87" t="s">
        <v>687</v>
      </c>
      <c r="BQ139" s="47">
        <f>SUM(Financials202632[[#This Row],[Jan AC]:[May AC]])</f>
        <v>0</v>
      </c>
      <c r="BR139" s="6">
        <f>Financials202632[[#This Row],[2026 (Actuals + Forecast)]]-Financials202632[[#This Row],[Jan-May Actuals]]-Financials202632[[#This Row],[Jun-Dec FC]]</f>
        <v>0</v>
      </c>
      <c r="BS139" s="6">
        <f>Financials202632[[#This Row],[Jun-Dec FC]]+Financials202632[[#This Row],[Jan-May Forecast ]]</f>
        <v>75000</v>
      </c>
      <c r="BT139" s="6">
        <f>SUM(Financials202632[[#This Row],[Jan FC]:[May FC]])</f>
        <v>0</v>
      </c>
      <c r="BU139" s="6">
        <f>Financials202632[[#This Row],[Jan-May Actuals]]+Financials202632[[#This Row],[Forecast Jun-Dec]]</f>
        <v>75000</v>
      </c>
      <c r="BV139" s="6"/>
      <c r="BW139" s="21" t="s">
        <v>12</v>
      </c>
      <c r="BX139" s="6" t="s">
        <v>306</v>
      </c>
    </row>
    <row r="140" spans="1:76" x14ac:dyDescent="0.3">
      <c r="A140" s="22" t="s">
        <v>295</v>
      </c>
      <c r="B140" s="21" t="s">
        <v>174</v>
      </c>
      <c r="C140" s="21"/>
      <c r="D140" s="10" t="s">
        <v>224</v>
      </c>
      <c r="E140" s="7" t="s">
        <v>366</v>
      </c>
      <c r="F140" s="3" t="s">
        <v>367</v>
      </c>
      <c r="G140" s="3" t="s">
        <v>22</v>
      </c>
      <c r="H140" s="4">
        <v>46023</v>
      </c>
      <c r="I140" s="4">
        <v>46387</v>
      </c>
      <c r="J140" s="3" t="s">
        <v>688</v>
      </c>
      <c r="K140" s="3" t="str">
        <f t="shared" si="47"/>
        <v>Prj000381-Support - Prod Support for Credit Apps</v>
      </c>
      <c r="L140" s="21" t="s">
        <v>301</v>
      </c>
      <c r="M140" s="21" t="s">
        <v>16</v>
      </c>
      <c r="N140" s="21" t="s">
        <v>16</v>
      </c>
      <c r="O140" s="21" t="s">
        <v>371</v>
      </c>
      <c r="P140" s="21" t="s">
        <v>302</v>
      </c>
      <c r="Q140" s="21" t="s">
        <v>414</v>
      </c>
      <c r="R140" s="21" t="s">
        <v>414</v>
      </c>
      <c r="S140" s="21" t="s">
        <v>304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SUM(Financials202632[[#This Row],[2026 Opportunity]:[2026 Risk]])</f>
        <v>86226.119999999646</v>
      </c>
      <c r="AA140" s="14" t="s">
        <v>689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SUM(Financials202632[[#This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SUM(Financials202632[[#This Row],[Jan AC]:[Dec AC]])</f>
        <v>1864672.0199999998</v>
      </c>
      <c r="BC140" s="71">
        <f>Financials202632[[#This Row],[Jan AC]]-Financials202632[[#This Row],[Jan FC]]</f>
        <v>0</v>
      </c>
      <c r="BD140" s="71">
        <f>Financials202632[[#This Row],[Feb AC]]-Financials202632[[#This Row],[Feb FC]]</f>
        <v>0</v>
      </c>
      <c r="BE140" s="71">
        <f>Financials202632[[#This Row],[Mar AC]]-Financials202632[[#This Row],[Mar FC]]</f>
        <v>0</v>
      </c>
      <c r="BF140" s="71">
        <f>Financials202632[[#This Row],[Apr AC]]-Financials202632[[#This Row],[Apr FC]]</f>
        <v>0</v>
      </c>
      <c r="BG140" s="71">
        <f>Financials202632[[#This Row],[May AC]]-Financials202632[[#This Row],[May FC]]</f>
        <v>0</v>
      </c>
      <c r="BH140" s="71">
        <f>Financials202632[[#This Row],[Jun AC]]-Financials202632[[#This Row],[Jun FC]]</f>
        <v>0</v>
      </c>
      <c r="BI140" s="71">
        <f>Financials202632[[#This Row],[Jul AC]]-Financials202632[[#This Row],[Jul FC]]</f>
        <v>0</v>
      </c>
      <c r="BJ140" s="71">
        <f>Financials202632[[#This Row],[Aug AC]]-Financials202632[[#This Row],[Aug FC]]</f>
        <v>0</v>
      </c>
      <c r="BK140" s="71">
        <f>Financials202632[[#This Row],[Sep AC]]-Financials202632[[#This Row],[Sep FC]]</f>
        <v>0</v>
      </c>
      <c r="BL140" s="71">
        <f>Financials202632[[#This Row],[Oct AC]]-Financials202632[[#This Row],[Oct FC]]</f>
        <v>0</v>
      </c>
      <c r="BM140" s="71">
        <f>Financials202632[[#This Row],[Nov AC]]-Financials202632[[#This Row],[Nov FC]]</f>
        <v>0</v>
      </c>
      <c r="BN140" s="71">
        <f>Financials202632[[#This Row],[Dec AC]]-Financials202632[[#This Row],[Dec FC]]</f>
        <v>0</v>
      </c>
      <c r="BO140" s="71">
        <f>SUM(Financials202632[[#This Row],[Jan Opp/Risk]:[Dec Opp./Risk]])</f>
        <v>0</v>
      </c>
      <c r="BP140" s="87" t="s">
        <v>356</v>
      </c>
      <c r="BQ140" s="47">
        <f>SUM(Financials202632[[#This Row],[Jan AC]:[May AC]])</f>
        <v>776946.67499999993</v>
      </c>
      <c r="BR140" s="6">
        <f>Financials202632[[#This Row],[2026 (Actuals + Forecast)]]-Financials202632[[#This Row],[Jan-May Actuals]]-Financials202632[[#This Row],[Jun-Dec FC]]</f>
        <v>0</v>
      </c>
      <c r="BS140" s="6">
        <f>Financials202632[[#This Row],[Jun-Dec FC]]+Financials202632[[#This Row],[Jan-May Forecast ]]</f>
        <v>1087725.345</v>
      </c>
      <c r="BT140" s="6">
        <f>SUM(Financials202632[[#This Row],[Jan FC]:[May FC]])</f>
        <v>776946.67499999993</v>
      </c>
      <c r="BU140" s="6">
        <f>Financials202632[[#This Row],[Jan-May Actuals]]+Financials202632[[#This Row],[Forecast Jun-Dec]]</f>
        <v>1864672.02</v>
      </c>
      <c r="BV140" s="6"/>
      <c r="BW140" s="6" t="s">
        <v>16</v>
      </c>
      <c r="BX140" s="6" t="s">
        <v>306</v>
      </c>
    </row>
    <row r="141" spans="1:76" x14ac:dyDescent="0.3">
      <c r="A141" s="22" t="s">
        <v>295</v>
      </c>
      <c r="B141" s="21" t="s">
        <v>187</v>
      </c>
      <c r="C141" s="21" t="s">
        <v>690</v>
      </c>
      <c r="D141" s="10" t="s">
        <v>320</v>
      </c>
      <c r="E141" s="7" t="s">
        <v>321</v>
      </c>
      <c r="F141" s="3" t="s">
        <v>322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301</v>
      </c>
      <c r="M141" s="21" t="s">
        <v>16</v>
      </c>
      <c r="N141" s="21" t="s">
        <v>16</v>
      </c>
      <c r="O141" s="21"/>
      <c r="P141" s="21" t="s">
        <v>302</v>
      </c>
      <c r="Q141" s="21" t="s">
        <v>303</v>
      </c>
      <c r="R141" s="21" t="s">
        <v>303</v>
      </c>
      <c r="S141" s="21" t="s">
        <v>304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SUM(Financials202632[[#This Row],[2026 Opportunity]:[2026 Risk]])</f>
        <v>-14216.030000000086</v>
      </c>
      <c r="AA141" s="14" t="s">
        <v>689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SUM(Financials202632[[#This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SUM(Financials202632[[#This Row],[Jan AC]:[Dec AC]])</f>
        <v>284328.36999999994</v>
      </c>
      <c r="BC141" s="71">
        <f>Financials202632[[#This Row],[Jan AC]]-Financials202632[[#This Row],[Jan FC]]</f>
        <v>0</v>
      </c>
      <c r="BD141" s="71">
        <f>Financials202632[[#This Row],[Feb AC]]-Financials202632[[#This Row],[Feb FC]]</f>
        <v>0</v>
      </c>
      <c r="BE141" s="71">
        <f>Financials202632[[#This Row],[Mar AC]]-Financials202632[[#This Row],[Mar FC]]</f>
        <v>0</v>
      </c>
      <c r="BF141" s="71">
        <f>Financials202632[[#This Row],[Apr AC]]-Financials202632[[#This Row],[Apr FC]]</f>
        <v>0</v>
      </c>
      <c r="BG141" s="71">
        <f>Financials202632[[#This Row],[May AC]]-Financials202632[[#This Row],[May FC]]</f>
        <v>0</v>
      </c>
      <c r="BH141" s="71">
        <f>Financials202632[[#This Row],[Jun AC]]-Financials202632[[#This Row],[Jun FC]]</f>
        <v>0</v>
      </c>
      <c r="BI141" s="71">
        <f>Financials202632[[#This Row],[Jul AC]]-Financials202632[[#This Row],[Jul FC]]</f>
        <v>0</v>
      </c>
      <c r="BJ141" s="71">
        <f>Financials202632[[#This Row],[Aug AC]]-Financials202632[[#This Row],[Aug FC]]</f>
        <v>0</v>
      </c>
      <c r="BK141" s="71">
        <f>Financials202632[[#This Row],[Sep AC]]-Financials202632[[#This Row],[Sep FC]]</f>
        <v>0</v>
      </c>
      <c r="BL141" s="71">
        <f>Financials202632[[#This Row],[Oct AC]]-Financials202632[[#This Row],[Oct FC]]</f>
        <v>0</v>
      </c>
      <c r="BM141" s="71">
        <f>Financials202632[[#This Row],[Nov AC]]-Financials202632[[#This Row],[Nov FC]]</f>
        <v>0</v>
      </c>
      <c r="BN141" s="71">
        <f>Financials202632[[#This Row],[Dec AC]]-Financials202632[[#This Row],[Dec FC]]</f>
        <v>0</v>
      </c>
      <c r="BO141" s="71">
        <f>SUM(Financials202632[[#This Row],[Jan Opp/Risk]:[Dec Opp./Risk]])</f>
        <v>0</v>
      </c>
      <c r="BP141" s="87" t="s">
        <v>356</v>
      </c>
      <c r="BQ141" s="47">
        <f>SUM(Financials202632[[#This Row],[Jan AC]:[May AC]])</f>
        <v>118470.15416666667</v>
      </c>
      <c r="BR141" s="6">
        <f>Financials202632[[#This Row],[2026 (Actuals + Forecast)]]-Financials202632[[#This Row],[Jan-May Actuals]]-Financials202632[[#This Row],[Jun-Dec FC]]</f>
        <v>0</v>
      </c>
      <c r="BS141" s="6">
        <f>Financials202632[[#This Row],[Jun-Dec FC]]+Financials202632[[#This Row],[Jan-May Forecast ]]</f>
        <v>165858.21583333332</v>
      </c>
      <c r="BT141" s="6">
        <f>SUM(Financials202632[[#This Row],[Jan FC]:[May FC]])</f>
        <v>118470.15416666667</v>
      </c>
      <c r="BU141" s="6">
        <f>Financials202632[[#This Row],[Jan-May Actuals]]+Financials202632[[#This Row],[Forecast Jun-Dec]]</f>
        <v>284328.37</v>
      </c>
      <c r="BV141" s="6"/>
      <c r="BW141" s="6" t="s">
        <v>16</v>
      </c>
      <c r="BX141" s="6" t="s">
        <v>306</v>
      </c>
    </row>
    <row r="142" spans="1:76" x14ac:dyDescent="0.3">
      <c r="A142" s="22" t="s">
        <v>295</v>
      </c>
      <c r="B142" s="21" t="s">
        <v>63</v>
      </c>
      <c r="C142" s="21" t="s">
        <v>691</v>
      </c>
      <c r="D142" s="10" t="s">
        <v>226</v>
      </c>
      <c r="E142" s="7" t="s">
        <v>419</v>
      </c>
      <c r="F142" s="3" t="s">
        <v>420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301</v>
      </c>
      <c r="M142" s="21" t="s">
        <v>16</v>
      </c>
      <c r="N142" s="21" t="s">
        <v>16</v>
      </c>
      <c r="O142" s="21"/>
      <c r="P142" s="21" t="s">
        <v>302</v>
      </c>
      <c r="Q142" s="21" t="s">
        <v>334</v>
      </c>
      <c r="R142" s="21" t="s">
        <v>334</v>
      </c>
      <c r="S142" s="21" t="s">
        <v>333</v>
      </c>
      <c r="T142" s="5">
        <v>0</v>
      </c>
      <c r="U142" s="15">
        <v>0</v>
      </c>
      <c r="V142" s="15">
        <v>0</v>
      </c>
      <c r="W142" s="15">
        <f t="shared" si="48"/>
        <v>0</v>
      </c>
      <c r="X142" s="15">
        <f t="shared" si="51"/>
        <v>0</v>
      </c>
      <c r="Y142" s="15">
        <f>IF(W142 &gt; V142, W142 - V142, 0)</f>
        <v>0</v>
      </c>
      <c r="Z142" s="15">
        <f>SUM(Financials202632[[#This Row],[2026 Opportunity]:[2026 Risk]])</f>
        <v>0</v>
      </c>
      <c r="AA142" s="3" t="s">
        <v>692</v>
      </c>
      <c r="AB142" s="51"/>
      <c r="AC142" s="51"/>
      <c r="AD142" s="55"/>
      <c r="AE142" s="52"/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SUM(Financials202632[[#This Row],[Jan FC]:[Dec FC]])</f>
        <v>0</v>
      </c>
      <c r="AO142" s="15">
        <f t="shared" si="50"/>
        <v>0</v>
      </c>
      <c r="AP142" s="60"/>
      <c r="AQ142" s="60"/>
      <c r="AR142" s="64"/>
      <c r="AS142" s="61"/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SUM(Financials202632[[#This Row],[Jan AC]:[Dec AC]])</f>
        <v>0</v>
      </c>
      <c r="BC142" s="71">
        <f>Financials202632[[#This Row],[Jan AC]]-Financials202632[[#This Row],[Jan FC]]</f>
        <v>0</v>
      </c>
      <c r="BD142" s="71">
        <f>Financials202632[[#This Row],[Feb AC]]-Financials202632[[#This Row],[Feb FC]]</f>
        <v>0</v>
      </c>
      <c r="BE142" s="71">
        <f>Financials202632[[#This Row],[Mar AC]]-Financials202632[[#This Row],[Mar FC]]</f>
        <v>0</v>
      </c>
      <c r="BF142" s="71">
        <f>Financials202632[[#This Row],[Apr AC]]-Financials202632[[#This Row],[Apr FC]]</f>
        <v>0</v>
      </c>
      <c r="BG142" s="71">
        <f>Financials202632[[#This Row],[May AC]]-Financials202632[[#This Row],[May FC]]</f>
        <v>0</v>
      </c>
      <c r="BH142" s="71">
        <f>Financials202632[[#This Row],[Jun AC]]-Financials202632[[#This Row],[Jun FC]]</f>
        <v>0</v>
      </c>
      <c r="BI142" s="71">
        <f>Financials202632[[#This Row],[Jul AC]]-Financials202632[[#This Row],[Jul FC]]</f>
        <v>0</v>
      </c>
      <c r="BJ142" s="71">
        <f>Financials202632[[#This Row],[Aug AC]]-Financials202632[[#This Row],[Aug FC]]</f>
        <v>0</v>
      </c>
      <c r="BK142" s="71">
        <f>Financials202632[[#This Row],[Sep AC]]-Financials202632[[#This Row],[Sep FC]]</f>
        <v>0</v>
      </c>
      <c r="BL142" s="71">
        <f>Financials202632[[#This Row],[Oct AC]]-Financials202632[[#This Row],[Oct FC]]</f>
        <v>0</v>
      </c>
      <c r="BM142" s="71">
        <f>Financials202632[[#This Row],[Nov AC]]-Financials202632[[#This Row],[Nov FC]]</f>
        <v>0</v>
      </c>
      <c r="BN142" s="71">
        <f>Financials202632[[#This Row],[Dec AC]]-Financials202632[[#This Row],[Dec FC]]</f>
        <v>0</v>
      </c>
      <c r="BO142" s="83">
        <f>SUM(Financials202632[[#This Row],[Jan Opp/Risk]:[Dec Opp./Risk]])</f>
        <v>0</v>
      </c>
      <c r="BP142" s="91" t="s">
        <v>693</v>
      </c>
      <c r="BQ142" s="47">
        <f>SUM(Financials202632[[#This Row],[Jan AC]:[May AC]])</f>
        <v>0</v>
      </c>
      <c r="BR142" s="6">
        <f>Financials202632[[#This Row],[2026 (Actuals + Forecast)]]-Financials202632[[#This Row],[Jan-May Actuals]]-Financials202632[[#This Row],[Jun-Dec FC]]</f>
        <v>0</v>
      </c>
      <c r="BS142" s="6">
        <f>Financials202632[[#This Row],[Jun-Dec FC]]+Financials202632[[#This Row],[Jan-May Forecast ]]</f>
        <v>0</v>
      </c>
      <c r="BT142" s="6">
        <f>SUM(Financials202632[[#This Row],[Jan FC]:[May FC]])</f>
        <v>0</v>
      </c>
      <c r="BU142" s="6">
        <f>Financials202632[[#This Row],[Jan-May Actuals]]+Financials202632[[#This Row],[Forecast Jun-Dec]]</f>
        <v>0</v>
      </c>
      <c r="BV142" s="6"/>
      <c r="BW142" s="6" t="s">
        <v>16</v>
      </c>
      <c r="BX142" s="6" t="s">
        <v>306</v>
      </c>
    </row>
    <row r="143" spans="1:76" x14ac:dyDescent="0.3">
      <c r="A143" s="22" t="s">
        <v>295</v>
      </c>
      <c r="B143" s="21" t="s">
        <v>102</v>
      </c>
      <c r="C143" s="21" t="s">
        <v>591</v>
      </c>
      <c r="D143" s="10" t="s">
        <v>389</v>
      </c>
      <c r="E143" s="7" t="s">
        <v>389</v>
      </c>
      <c r="F143" s="3" t="s">
        <v>581</v>
      </c>
      <c r="G143" s="3" t="s">
        <v>20</v>
      </c>
      <c r="H143" s="4">
        <v>46204</v>
      </c>
      <c r="I143" s="4">
        <v>46387</v>
      </c>
      <c r="J143" s="3" t="s">
        <v>389</v>
      </c>
      <c r="K143" s="3" t="s">
        <v>694</v>
      </c>
      <c r="L143" s="21" t="s">
        <v>323</v>
      </c>
      <c r="M143" s="21" t="s">
        <v>13</v>
      </c>
      <c r="N143" s="21" t="s">
        <v>592</v>
      </c>
      <c r="O143" s="21" t="s">
        <v>389</v>
      </c>
      <c r="P143" s="21" t="s">
        <v>593</v>
      </c>
      <c r="Q143" s="21" t="s">
        <v>594</v>
      </c>
      <c r="R143" s="21" t="s">
        <v>347</v>
      </c>
      <c r="S143" s="21" t="s">
        <v>328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SUM(Financials202632[[#This Row],[2026 Opportunity]:[2026 Risk]])</f>
        <v>6720</v>
      </c>
      <c r="AA143" s="3" t="s">
        <v>695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SUM(Financials202632[[#This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SUM(Financials202632[[#This Row],[Jan AC]:[Dec AC]])</f>
        <v>0</v>
      </c>
      <c r="BC143" s="71">
        <f>Financials202632[[#This Row],[Jan AC]]-Financials202632[[#This Row],[Jan FC]]</f>
        <v>0</v>
      </c>
      <c r="BD143" s="71">
        <f>Financials202632[[#This Row],[Feb AC]]-Financials202632[[#This Row],[Feb FC]]</f>
        <v>0</v>
      </c>
      <c r="BE143" s="71">
        <f>Financials202632[[#This Row],[Mar AC]]-Financials202632[[#This Row],[Mar FC]]</f>
        <v>0</v>
      </c>
      <c r="BF143" s="71">
        <f>Financials202632[[#This Row],[Apr AC]]-Financials202632[[#This Row],[Apr FC]]</f>
        <v>0</v>
      </c>
      <c r="BG143" s="71">
        <f>Financials202632[[#This Row],[May AC]]-Financials202632[[#This Row],[May FC]]</f>
        <v>0</v>
      </c>
      <c r="BH143" s="71">
        <f>Financials202632[[#This Row],[Jun AC]]-Financials202632[[#This Row],[Jun FC]]</f>
        <v>0</v>
      </c>
      <c r="BI143" s="71">
        <f>Financials202632[[#This Row],[Jul AC]]-Financials202632[[#This Row],[Jul FC]]</f>
        <v>-101120</v>
      </c>
      <c r="BJ143" s="71">
        <f>Financials202632[[#This Row],[Aug AC]]-Financials202632[[#This Row],[Aug FC]]</f>
        <v>-101120</v>
      </c>
      <c r="BK143" s="71">
        <f>Financials202632[[#This Row],[Sep AC]]-Financials202632[[#This Row],[Sep FC]]</f>
        <v>-101120</v>
      </c>
      <c r="BL143" s="71">
        <f>Financials202632[[#This Row],[Oct AC]]-Financials202632[[#This Row],[Oct FC]]</f>
        <v>-101120</v>
      </c>
      <c r="BM143" s="71">
        <f>Financials202632[[#This Row],[Nov AC]]-Financials202632[[#This Row],[Nov FC]]</f>
        <v>-101120</v>
      </c>
      <c r="BN143" s="71">
        <f>Financials202632[[#This Row],[Dec AC]]-Financials202632[[#This Row],[Dec FC]]</f>
        <v>-101120</v>
      </c>
      <c r="BO143" s="71">
        <f>SUM(Financials202632[[#This Row],[Jan Opp/Risk]:[Dec Opp./Risk]])</f>
        <v>-606720</v>
      </c>
      <c r="BP143" s="87" t="s">
        <v>696</v>
      </c>
      <c r="BQ143" s="47">
        <f>SUM(Financials202632[[#This Row],[Jan AC]:[May AC]])</f>
        <v>0</v>
      </c>
      <c r="BR143" s="6">
        <f>Financials202632[[#This Row],[2026 (Actuals + Forecast)]]-Financials202632[[#This Row],[Jan-May Actuals]]-Financials202632[[#This Row],[Jun-Dec FC]]</f>
        <v>0</v>
      </c>
      <c r="BS143" s="6">
        <f>Financials202632[[#This Row],[Jun-Dec FC]]+Financials202632[[#This Row],[Jan-May Forecast ]]</f>
        <v>606720</v>
      </c>
      <c r="BT143" s="6">
        <f>SUM(Financials202632[[#This Row],[Jan FC]:[May FC]])</f>
        <v>0</v>
      </c>
      <c r="BU143" s="6">
        <f>Financials202632[[#This Row],[Jan-May Actuals]]+Financials202632[[#This Row],[Forecast Jun-Dec]]</f>
        <v>606720</v>
      </c>
      <c r="BV143" s="6"/>
      <c r="BW143" s="6" t="s">
        <v>331</v>
      </c>
      <c r="BX143" s="6" t="e">
        <v>#N/A</v>
      </c>
    </row>
    <row r="144" spans="1:76" x14ac:dyDescent="0.3">
      <c r="A144" s="22" t="s">
        <v>295</v>
      </c>
      <c r="B144" s="21" t="s">
        <v>43</v>
      </c>
      <c r="C144" s="21" t="s">
        <v>424</v>
      </c>
      <c r="D144" s="10" t="s">
        <v>389</v>
      </c>
      <c r="E144" s="7" t="s">
        <v>389</v>
      </c>
      <c r="F144" s="3" t="s">
        <v>581</v>
      </c>
      <c r="G144" s="3" t="s">
        <v>20</v>
      </c>
      <c r="H144" s="4">
        <v>46204</v>
      </c>
      <c r="I144" s="4">
        <v>46387</v>
      </c>
      <c r="J144" s="3" t="s">
        <v>582</v>
      </c>
      <c r="K144" s="3" t="s">
        <v>694</v>
      </c>
      <c r="L144" s="21" t="s">
        <v>323</v>
      </c>
      <c r="M144" s="21" t="s">
        <v>13</v>
      </c>
      <c r="N144" s="21" t="s">
        <v>392</v>
      </c>
      <c r="O144" s="21" t="s">
        <v>389</v>
      </c>
      <c r="P144" s="21" t="s">
        <v>325</v>
      </c>
      <c r="Q144" s="21" t="s">
        <v>326</v>
      </c>
      <c r="R144" s="21" t="s">
        <v>327</v>
      </c>
      <c r="S144" s="21" t="s">
        <v>328</v>
      </c>
      <c r="T144" s="5">
        <v>0</v>
      </c>
      <c r="U144" s="15">
        <v>0</v>
      </c>
      <c r="V144" s="15">
        <v>1557600</v>
      </c>
      <c r="W144" s="15">
        <f t="shared" si="48"/>
        <v>1557600</v>
      </c>
      <c r="X144" s="15">
        <f t="shared" si="51"/>
        <v>0</v>
      </c>
      <c r="Y144" s="15">
        <f t="shared" si="49"/>
        <v>0</v>
      </c>
      <c r="Z144" s="15">
        <f>SUM(Financials202632[[#This Row],[2026 Opportunity]:[2026 Risk]])</f>
        <v>0</v>
      </c>
      <c r="AA144" s="3" t="s">
        <v>697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SUM(Financials202632[[#This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SUM(Financials202632[[#This Row],[Jan AC]:[Dec AC]])</f>
        <v>0</v>
      </c>
      <c r="BC144" s="71">
        <f>Financials202632[[#This Row],[Jan AC]]-Financials202632[[#This Row],[Jan FC]]</f>
        <v>0</v>
      </c>
      <c r="BD144" s="71">
        <f>Financials202632[[#This Row],[Feb AC]]-Financials202632[[#This Row],[Feb FC]]</f>
        <v>0</v>
      </c>
      <c r="BE144" s="71">
        <f>Financials202632[[#This Row],[Mar AC]]-Financials202632[[#This Row],[Mar FC]]</f>
        <v>0</v>
      </c>
      <c r="BF144" s="71">
        <f>Financials202632[[#This Row],[Apr AC]]-Financials202632[[#This Row],[Apr FC]]</f>
        <v>0</v>
      </c>
      <c r="BG144" s="71">
        <f>Financials202632[[#This Row],[May AC]]-Financials202632[[#This Row],[May FC]]</f>
        <v>0</v>
      </c>
      <c r="BH144" s="71">
        <f>Financials202632[[#This Row],[Jun AC]]-Financials202632[[#This Row],[Jun FC]]</f>
        <v>0</v>
      </c>
      <c r="BI144" s="71">
        <f>Financials202632[[#This Row],[Jul AC]]-Financials202632[[#This Row],[Jul FC]]</f>
        <v>-259600</v>
      </c>
      <c r="BJ144" s="71">
        <f>Financials202632[[#This Row],[Aug AC]]-Financials202632[[#This Row],[Aug FC]]</f>
        <v>-259600</v>
      </c>
      <c r="BK144" s="71">
        <f>Financials202632[[#This Row],[Sep AC]]-Financials202632[[#This Row],[Sep FC]]</f>
        <v>-259600</v>
      </c>
      <c r="BL144" s="71">
        <f>Financials202632[[#This Row],[Oct AC]]-Financials202632[[#This Row],[Oct FC]]</f>
        <v>-259600</v>
      </c>
      <c r="BM144" s="71">
        <f>Financials202632[[#This Row],[Nov AC]]-Financials202632[[#This Row],[Nov FC]]</f>
        <v>-259600</v>
      </c>
      <c r="BN144" s="71">
        <f>Financials202632[[#This Row],[Dec AC]]-Financials202632[[#This Row],[Dec FC]]</f>
        <v>-259600</v>
      </c>
      <c r="BO144" s="71">
        <f>SUM(Financials202632[[#This Row],[Jan Opp/Risk]:[Dec Opp./Risk]])</f>
        <v>-1557600</v>
      </c>
      <c r="BP144" s="87" t="s">
        <v>698</v>
      </c>
      <c r="BQ144" s="47">
        <f>SUM(Financials202632[[#This Row],[Jan AC]:[May AC]])</f>
        <v>0</v>
      </c>
      <c r="BR144" s="6">
        <f>Financials202632[[#This Row],[2026 (Actuals + Forecast)]]-Financials202632[[#This Row],[Jan-May Actuals]]-Financials202632[[#This Row],[Jun-Dec FC]]</f>
        <v>0</v>
      </c>
      <c r="BS144" s="6">
        <f>Financials202632[[#This Row],[Jun-Dec FC]]+Financials202632[[#This Row],[Jan-May Forecast ]]</f>
        <v>1557600</v>
      </c>
      <c r="BT144" s="6">
        <f>SUM(Financials202632[[#This Row],[Jan FC]:[May FC]])</f>
        <v>0</v>
      </c>
      <c r="BU144" s="6">
        <f>Financials202632[[#This Row],[Jan-May Actuals]]+Financials202632[[#This Row],[Forecast Jun-Dec]]</f>
        <v>1557600</v>
      </c>
      <c r="BV144" s="6"/>
      <c r="BW144" s="6" t="s">
        <v>331</v>
      </c>
      <c r="BX144" s="6" t="e">
        <v>#N/A</v>
      </c>
    </row>
    <row r="145" spans="1:76" x14ac:dyDescent="0.3">
      <c r="A145" s="22" t="s">
        <v>295</v>
      </c>
      <c r="B145" s="21" t="s">
        <v>52</v>
      </c>
      <c r="C145" s="21"/>
      <c r="D145" s="10" t="s">
        <v>680</v>
      </c>
      <c r="E145" s="7" t="s">
        <v>681</v>
      </c>
      <c r="F145" s="3" t="s">
        <v>311</v>
      </c>
      <c r="G145" s="3" t="s">
        <v>25</v>
      </c>
      <c r="H145" s="4" t="s">
        <v>312</v>
      </c>
      <c r="I145" s="4" t="s">
        <v>312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323</v>
      </c>
      <c r="M145" s="21" t="s">
        <v>10</v>
      </c>
      <c r="N145" s="21" t="s">
        <v>588</v>
      </c>
      <c r="O145" s="21"/>
      <c r="P145" s="21" t="s">
        <v>325</v>
      </c>
      <c r="Q145" s="21" t="s">
        <v>326</v>
      </c>
      <c r="R145" s="21" t="s">
        <v>327</v>
      </c>
      <c r="S145" s="21" t="s">
        <v>312</v>
      </c>
      <c r="T145" s="5">
        <v>0</v>
      </c>
      <c r="U145" s="15">
        <v>0</v>
      </c>
      <c r="V145" s="15">
        <f>10848+2048-12254</f>
        <v>642</v>
      </c>
      <c r="W145" s="15">
        <f t="shared" si="48"/>
        <v>0</v>
      </c>
      <c r="X145" s="15">
        <f t="shared" si="51"/>
        <v>-642</v>
      </c>
      <c r="Y145" s="15">
        <f t="shared" si="49"/>
        <v>0</v>
      </c>
      <c r="Z145" s="15">
        <f>SUM(Financials202632[[#This Row],[2026 Opportunity]:[2026 Risk]])</f>
        <v>-642</v>
      </c>
      <c r="AA145" s="3" t="s">
        <v>699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/>
      <c r="AN145" s="53">
        <f>SUM(Financials202632[[#This Row],[Jan FC]:[Dec FC]])</f>
        <v>0</v>
      </c>
      <c r="AO145" s="15">
        <f t="shared" si="50"/>
        <v>0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SUM(Financials202632[[#This Row],[Jan AC]:[Dec AC]])</f>
        <v>0</v>
      </c>
      <c r="BC145" s="71">
        <f>Financials202632[[#This Row],[Jan AC]]-Financials202632[[#This Row],[Jan FC]]</f>
        <v>0</v>
      </c>
      <c r="BD145" s="71">
        <f>Financials202632[[#This Row],[Feb AC]]-Financials202632[[#This Row],[Feb FC]]</f>
        <v>0</v>
      </c>
      <c r="BE145" s="71">
        <f>Financials202632[[#This Row],[Mar AC]]-Financials202632[[#This Row],[Mar FC]]</f>
        <v>0</v>
      </c>
      <c r="BF145" s="71">
        <f>Financials202632[[#This Row],[Apr AC]]-Financials202632[[#This Row],[Apr FC]]</f>
        <v>0</v>
      </c>
      <c r="BG145" s="71">
        <f>Financials202632[[#This Row],[May AC]]-Financials202632[[#This Row],[May FC]]</f>
        <v>0</v>
      </c>
      <c r="BH145" s="71">
        <f>Financials202632[[#This Row],[Jun AC]]-Financials202632[[#This Row],[Jun FC]]</f>
        <v>0</v>
      </c>
      <c r="BI145" s="71">
        <f>Financials202632[[#This Row],[Jul AC]]-Financials202632[[#This Row],[Jul FC]]</f>
        <v>0</v>
      </c>
      <c r="BJ145" s="71">
        <f>Financials202632[[#This Row],[Aug AC]]-Financials202632[[#This Row],[Aug FC]]</f>
        <v>0</v>
      </c>
      <c r="BK145" s="71">
        <f>Financials202632[[#This Row],[Sep AC]]-Financials202632[[#This Row],[Sep FC]]</f>
        <v>0</v>
      </c>
      <c r="BL145" s="71">
        <f>Financials202632[[#This Row],[Oct AC]]-Financials202632[[#This Row],[Oct FC]]</f>
        <v>0</v>
      </c>
      <c r="BM145" s="71">
        <f>Financials202632[[#This Row],[Nov AC]]-Financials202632[[#This Row],[Nov FC]]</f>
        <v>0</v>
      </c>
      <c r="BN145" s="71">
        <f>Financials202632[[#This Row],[Dec AC]]-Financials202632[[#This Row],[Dec FC]]</f>
        <v>0</v>
      </c>
      <c r="BO145" s="71">
        <f>SUM(Financials202632[[#This Row],[Jan Opp/Risk]:[Dec Opp./Risk]])</f>
        <v>0</v>
      </c>
      <c r="BP145" s="93" t="s">
        <v>700</v>
      </c>
      <c r="BQ145" s="47">
        <f>SUM(Financials202632[[#This Row],[Jan AC]:[May AC]])</f>
        <v>0</v>
      </c>
      <c r="BR145" s="6">
        <f>Financials202632[[#This Row],[2026 (Actuals + Forecast)]]-Financials202632[[#This Row],[Jan-May Actuals]]-Financials202632[[#This Row],[Jun-Dec FC]]</f>
        <v>0</v>
      </c>
      <c r="BS145" s="6">
        <f>Financials202632[[#This Row],[Jun-Dec FC]]+Financials202632[[#This Row],[Jan-May Forecast ]]</f>
        <v>0</v>
      </c>
      <c r="BT145" s="6">
        <f>SUM(Financials202632[[#This Row],[Jan FC]:[May FC]])</f>
        <v>0</v>
      </c>
      <c r="BU145" s="6">
        <f>Financials202632[[#This Row],[Jan-May Actuals]]+Financials202632[[#This Row],[Forecast Jun-Dec]]</f>
        <v>0</v>
      </c>
      <c r="BV145" s="6"/>
      <c r="BW145" s="6" t="s">
        <v>331</v>
      </c>
      <c r="BX145" s="6" t="s">
        <v>306</v>
      </c>
    </row>
    <row r="146" spans="1:76" x14ac:dyDescent="0.3">
      <c r="A146" s="22" t="s">
        <v>295</v>
      </c>
      <c r="B146" s="21" t="s">
        <v>98</v>
      </c>
      <c r="C146" s="21" t="s">
        <v>394</v>
      </c>
      <c r="D146" s="10" t="s">
        <v>389</v>
      </c>
      <c r="E146" s="7" t="s">
        <v>389</v>
      </c>
      <c r="F146" s="3" t="s">
        <v>390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323</v>
      </c>
      <c r="M146" s="21" t="s">
        <v>13</v>
      </c>
      <c r="N146" s="21" t="s">
        <v>392</v>
      </c>
      <c r="O146" s="21" t="s">
        <v>389</v>
      </c>
      <c r="P146" s="21" t="s">
        <v>325</v>
      </c>
      <c r="Q146" s="21" t="s">
        <v>326</v>
      </c>
      <c r="R146" s="21" t="s">
        <v>327</v>
      </c>
      <c r="S146" s="21" t="s">
        <v>328</v>
      </c>
      <c r="T146" s="5"/>
      <c r="U146" s="15"/>
      <c r="V146" s="15">
        <v>72000</v>
      </c>
      <c r="W146" s="15">
        <f t="shared" si="48"/>
        <v>69325</v>
      </c>
      <c r="X146" s="15">
        <f t="shared" si="51"/>
        <v>-2675</v>
      </c>
      <c r="Y146" s="15">
        <f t="shared" si="49"/>
        <v>0</v>
      </c>
      <c r="Z146" s="15">
        <f>SUM(Financials202632[[#This Row],[2026 Opportunity]:[2026 Risk]])</f>
        <v>-2675</v>
      </c>
      <c r="AA146" s="3" t="s">
        <v>701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SUM(Financials202632[[#This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SUM(Financials202632[[#This Row],[Jan AC]:[Dec AC]])</f>
        <v>12925</v>
      </c>
      <c r="BC146" s="71">
        <f>Financials202632[[#This Row],[Jan AC]]-Financials202632[[#This Row],[Jan FC]]</f>
        <v>0</v>
      </c>
      <c r="BD146" s="71">
        <f>Financials202632[[#This Row],[Feb AC]]-Financials202632[[#This Row],[Feb FC]]</f>
        <v>0</v>
      </c>
      <c r="BE146" s="71">
        <f>Financials202632[[#This Row],[Mar AC]]-Financials202632[[#This Row],[Mar FC]]</f>
        <v>-3760</v>
      </c>
      <c r="BF146" s="71">
        <f>Financials202632[[#This Row],[Apr AC]]-Financials202632[[#This Row],[Apr FC]]</f>
        <v>-2632</v>
      </c>
      <c r="BG146" s="71">
        <f>Financials202632[[#This Row],[May AC]]-Financials202632[[#This Row],[May FC]]</f>
        <v>517</v>
      </c>
      <c r="BH146" s="71">
        <f>Financials202632[[#This Row],[Jun AC]]-Financials202632[[#This Row],[Jun FC]]</f>
        <v>-7520</v>
      </c>
      <c r="BI146" s="71">
        <f>Financials202632[[#This Row],[Jul AC]]-Financials202632[[#This Row],[Jul FC]]</f>
        <v>-7520</v>
      </c>
      <c r="BJ146" s="71">
        <f>Financials202632[[#This Row],[Aug AC]]-Financials202632[[#This Row],[Aug FC]]</f>
        <v>-7520</v>
      </c>
      <c r="BK146" s="71">
        <f>Financials202632[[#This Row],[Sep AC]]-Financials202632[[#This Row],[Sep FC]]</f>
        <v>-7520</v>
      </c>
      <c r="BL146" s="71">
        <f>Financials202632[[#This Row],[Oct AC]]-Financials202632[[#This Row],[Oct FC]]</f>
        <v>-7520</v>
      </c>
      <c r="BM146" s="71">
        <f>Financials202632[[#This Row],[Nov AC]]-Financials202632[[#This Row],[Nov FC]]</f>
        <v>-7520</v>
      </c>
      <c r="BN146" s="71">
        <f>Financials202632[[#This Row],[Dec AC]]-Financials202632[[#This Row],[Dec FC]]</f>
        <v>-7520</v>
      </c>
      <c r="BO146" s="71">
        <f>SUM(Financials202632[[#This Row],[Jan Opp/Risk]:[Dec Opp./Risk]])</f>
        <v>-58515</v>
      </c>
      <c r="BP146" s="88" t="s">
        <v>702</v>
      </c>
      <c r="BQ146" s="47">
        <f>SUM(Financials202632[[#This Row],[Jan AC]:[May AC]])</f>
        <v>12925</v>
      </c>
      <c r="BR146" s="6">
        <f>Financials202632[[#This Row],[2026 (Actuals + Forecast)]]-Financials202632[[#This Row],[Jan-May Actuals]]-Financials202632[[#This Row],[Jun-Dec FC]]</f>
        <v>3760</v>
      </c>
      <c r="BS146" s="6">
        <f>Financials202632[[#This Row],[Jun-Dec FC]]+Financials202632[[#This Row],[Jan-May Forecast ]]</f>
        <v>56400</v>
      </c>
      <c r="BT146" s="6">
        <f>SUM(Financials202632[[#This Row],[Jan FC]:[May FC]])</f>
        <v>18800</v>
      </c>
      <c r="BU146" s="6">
        <f>Financials202632[[#This Row],[Jan-May Actuals]]+Financials202632[[#This Row],[Forecast Jun-Dec]]</f>
        <v>69325</v>
      </c>
      <c r="BV146" s="6"/>
      <c r="BW146" s="6" t="s">
        <v>331</v>
      </c>
      <c r="BX146" s="6" t="e">
        <v>#N/A</v>
      </c>
    </row>
    <row r="147" spans="1:76" x14ac:dyDescent="0.3">
      <c r="A147" s="22" t="s">
        <v>295</v>
      </c>
      <c r="B147" s="21" t="s">
        <v>98</v>
      </c>
      <c r="C147" s="21" t="s">
        <v>394</v>
      </c>
      <c r="D147" s="10" t="s">
        <v>389</v>
      </c>
      <c r="E147" s="7" t="s">
        <v>389</v>
      </c>
      <c r="F147" s="3" t="s">
        <v>390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323</v>
      </c>
      <c r="M147" s="21" t="s">
        <v>13</v>
      </c>
      <c r="N147" s="21" t="s">
        <v>392</v>
      </c>
      <c r="O147" s="21" t="s">
        <v>389</v>
      </c>
      <c r="P147" s="21" t="s">
        <v>325</v>
      </c>
      <c r="Q147" s="21" t="s">
        <v>326</v>
      </c>
      <c r="R147" s="21" t="s">
        <v>327</v>
      </c>
      <c r="S147" s="21" t="s">
        <v>328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SUM(Financials202632[[#This Row],[2026 Opportunity]:[2026 Risk]])</f>
        <v>38822</v>
      </c>
      <c r="AA147" s="14" t="s">
        <v>703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SUM(Financials202632[[#This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SUM(Financials202632[[#This Row],[Jan AC]:[Dec AC]])</f>
        <v>23782</v>
      </c>
      <c r="BC147" s="71">
        <f>Financials202632[[#This Row],[Jan AC]]-Financials202632[[#This Row],[Jan FC]]</f>
        <v>0</v>
      </c>
      <c r="BD147" s="71">
        <f>Financials202632[[#This Row],[Feb AC]]-Financials202632[[#This Row],[Feb FC]]</f>
        <v>0</v>
      </c>
      <c r="BE147" s="71">
        <f>Financials202632[[#This Row],[Mar AC]]-Financials202632[[#This Row],[Mar FC]]</f>
        <v>-376</v>
      </c>
      <c r="BF147" s="71">
        <f>Financials202632[[#This Row],[Apr AC]]-Financials202632[[#This Row],[Apr FC]]</f>
        <v>752</v>
      </c>
      <c r="BG147" s="71">
        <f>Financials202632[[#This Row],[May AC]]-Financials202632[[#This Row],[May FC]]</f>
        <v>846</v>
      </c>
      <c r="BH147" s="71">
        <f>Financials202632[[#This Row],[Jun AC]]-Financials202632[[#This Row],[Jun FC]]</f>
        <v>-7520</v>
      </c>
      <c r="BI147" s="71">
        <f>Financials202632[[#This Row],[Jul AC]]-Financials202632[[#This Row],[Jul FC]]</f>
        <v>-7520</v>
      </c>
      <c r="BJ147" s="71">
        <f>Financials202632[[#This Row],[Aug AC]]-Financials202632[[#This Row],[Aug FC]]</f>
        <v>0</v>
      </c>
      <c r="BK147" s="71">
        <f>Financials202632[[#This Row],[Sep AC]]-Financials202632[[#This Row],[Sep FC]]</f>
        <v>0</v>
      </c>
      <c r="BL147" s="71">
        <f>Financials202632[[#This Row],[Oct AC]]-Financials202632[[#This Row],[Oct FC]]</f>
        <v>0</v>
      </c>
      <c r="BM147" s="71">
        <f>Financials202632[[#This Row],[Nov AC]]-Financials202632[[#This Row],[Nov FC]]</f>
        <v>0</v>
      </c>
      <c r="BN147" s="71">
        <f>Financials202632[[#This Row],[Dec AC]]-Financials202632[[#This Row],[Dec FC]]</f>
        <v>0</v>
      </c>
      <c r="BO147" s="71">
        <f>SUM(Financials202632[[#This Row],[Jan Opp/Risk]:[Dec Opp./Risk]])</f>
        <v>-13818</v>
      </c>
      <c r="BP147" s="88" t="s">
        <v>704</v>
      </c>
      <c r="BQ147" s="47">
        <f>SUM(Financials202632[[#This Row],[Jan AC]:[May AC]])</f>
        <v>23782</v>
      </c>
      <c r="BR147" s="6">
        <f>Financials202632[[#This Row],[2026 (Actuals + Forecast)]]-Financials202632[[#This Row],[Jan-May Actuals]]-Financials202632[[#This Row],[Jun-Dec FC]]</f>
        <v>0</v>
      </c>
      <c r="BS147" s="6">
        <f>Financials202632[[#This Row],[Jun-Dec FC]]+Financials202632[[#This Row],[Jan-May Forecast ]]</f>
        <v>15040</v>
      </c>
      <c r="BT147" s="6">
        <f>SUM(Financials202632[[#This Row],[Jan FC]:[May FC]])</f>
        <v>22560</v>
      </c>
      <c r="BU147" s="6">
        <f>Financials202632[[#This Row],[Jan-May Actuals]]+Financials202632[[#This Row],[Forecast Jun-Dec]]</f>
        <v>38822</v>
      </c>
      <c r="BV147" s="6"/>
      <c r="BW147" s="6" t="s">
        <v>331</v>
      </c>
      <c r="BX147" s="6" t="e">
        <v>#N/A</v>
      </c>
    </row>
    <row r="148" spans="1:76" x14ac:dyDescent="0.3">
      <c r="A148" s="32" t="s">
        <v>295</v>
      </c>
      <c r="B148" s="21" t="s">
        <v>129</v>
      </c>
      <c r="C148" s="33" t="s">
        <v>705</v>
      </c>
      <c r="D148" s="10" t="s">
        <v>226</v>
      </c>
      <c r="E148" s="7" t="s">
        <v>419</v>
      </c>
      <c r="F148" s="3" t="s">
        <v>420</v>
      </c>
      <c r="G148" s="3" t="s">
        <v>22</v>
      </c>
      <c r="H148" s="4">
        <v>46082</v>
      </c>
      <c r="I148" s="4">
        <v>46387</v>
      </c>
      <c r="J148" s="35"/>
      <c r="K148" s="35" t="s">
        <v>706</v>
      </c>
      <c r="L148" s="33" t="s">
        <v>301</v>
      </c>
      <c r="M148" s="33" t="s">
        <v>15</v>
      </c>
      <c r="N148" s="33" t="s">
        <v>15</v>
      </c>
      <c r="O148" s="33" t="s">
        <v>626</v>
      </c>
      <c r="P148" s="33" t="s">
        <v>369</v>
      </c>
      <c r="Q148" s="33" t="s">
        <v>369</v>
      </c>
      <c r="R148" s="33" t="s">
        <v>370</v>
      </c>
      <c r="S148" s="33" t="s">
        <v>362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SUM(Financials202632[[#This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SUM(Financials202632[[#This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SUM(Financials202632[[#This Row],[Jan AC]:[Dec AC]])</f>
        <v>15208</v>
      </c>
      <c r="BC148" s="71">
        <f>Financials202632[[#This Row],[Jan AC]]-Financials202632[[#This Row],[Jan FC]]</f>
        <v>0</v>
      </c>
      <c r="BD148" s="71">
        <f>Financials202632[[#This Row],[Feb AC]]-Financials202632[[#This Row],[Feb FC]]</f>
        <v>0</v>
      </c>
      <c r="BE148" s="71">
        <f>Financials202632[[#This Row],[Mar AC]]-Financials202632[[#This Row],[Mar FC]]</f>
        <v>0</v>
      </c>
      <c r="BF148" s="71">
        <f>Financials202632[[#This Row],[Apr AC]]-Financials202632[[#This Row],[Apr FC]]</f>
        <v>0</v>
      </c>
      <c r="BG148" s="71">
        <f>Financials202632[[#This Row],[May AC]]-Financials202632[[#This Row],[May FC]]</f>
        <v>0</v>
      </c>
      <c r="BH148" s="71">
        <f>Financials202632[[#This Row],[Jun AC]]-Financials202632[[#This Row],[Jun FC]]</f>
        <v>0</v>
      </c>
      <c r="BI148" s="71">
        <f>Financials202632[[#This Row],[Jul AC]]-Financials202632[[#This Row],[Jul FC]]</f>
        <v>0</v>
      </c>
      <c r="BJ148" s="71">
        <f>Financials202632[[#This Row],[Aug AC]]-Financials202632[[#This Row],[Aug FC]]</f>
        <v>0</v>
      </c>
      <c r="BK148" s="71">
        <f>Financials202632[[#This Row],[Sep AC]]-Financials202632[[#This Row],[Sep FC]]</f>
        <v>0</v>
      </c>
      <c r="BL148" s="71">
        <f>Financials202632[[#This Row],[Oct AC]]-Financials202632[[#This Row],[Oct FC]]</f>
        <v>0</v>
      </c>
      <c r="BM148" s="71">
        <f>Financials202632[[#This Row],[Nov AC]]-Financials202632[[#This Row],[Nov FC]]</f>
        <v>0</v>
      </c>
      <c r="BN148" s="71">
        <f>Financials202632[[#This Row],[Dec AC]]-Financials202632[[#This Row],[Dec FC]]</f>
        <v>0</v>
      </c>
      <c r="BO148" s="84">
        <f>SUM(Financials202632[[#This Row],[Jan Opp/Risk]:[Dec Opp./Risk]])</f>
        <v>0</v>
      </c>
      <c r="BP148" s="94" t="s">
        <v>707</v>
      </c>
      <c r="BQ148" s="47">
        <f>SUM(Financials202632[[#This Row],[Jan AC]:[May AC]])</f>
        <v>15208</v>
      </c>
      <c r="BR148" s="6">
        <f>Financials202632[[#This Row],[2026 (Actuals + Forecast)]]-Financials202632[[#This Row],[Jan-May Actuals]]-Financials202632[[#This Row],[Jun-Dec FC]]</f>
        <v>0</v>
      </c>
      <c r="BS148" s="6">
        <f>Financials202632[[#This Row],[Jun-Dec FC]]+Financials202632[[#This Row],[Jan-May Forecast ]]</f>
        <v>0</v>
      </c>
      <c r="BT148" s="6">
        <f>SUM(Financials202632[[#This Row],[Jan FC]:[May FC]])</f>
        <v>15208</v>
      </c>
      <c r="BU148" s="6">
        <f>Financials202632[[#This Row],[Jan-May Actuals]]+Financials202632[[#This Row],[Forecast Jun-Dec]]</f>
        <v>15208</v>
      </c>
      <c r="BV148" s="6"/>
      <c r="BW148" s="6" t="s">
        <v>319</v>
      </c>
      <c r="BX148" s="6" t="s">
        <v>306</v>
      </c>
    </row>
    <row r="149" spans="1:76" ht="43.2" x14ac:dyDescent="0.3">
      <c r="A149" s="32" t="s">
        <v>295</v>
      </c>
      <c r="B149" s="21" t="s">
        <v>708</v>
      </c>
      <c r="C149" s="33"/>
      <c r="D149" s="10" t="s">
        <v>389</v>
      </c>
      <c r="E149" s="7" t="s">
        <v>389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323</v>
      </c>
      <c r="M149" s="21" t="s">
        <v>13</v>
      </c>
      <c r="N149" s="21" t="s">
        <v>392</v>
      </c>
      <c r="O149" s="21" t="s">
        <v>389</v>
      </c>
      <c r="P149" s="21" t="s">
        <v>325</v>
      </c>
      <c r="Q149" s="21" t="s">
        <v>326</v>
      </c>
      <c r="R149" s="21" t="s">
        <v>327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SUM(Financials202632[[#This Row],[2026 Opportunity]:[2026 Risk]])</f>
        <v>80000</v>
      </c>
      <c r="AA149" s="179" t="s">
        <v>709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SUM(Financials202632[[#This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SUM(Financials202632[[#This Row],[Jan AC]:[Dec AC]])</f>
        <v>0</v>
      </c>
      <c r="BC149" s="71">
        <f>Financials202632[[#This Row],[Jan AC]]-Financials202632[[#This Row],[Jan FC]]</f>
        <v>0</v>
      </c>
      <c r="BD149" s="71">
        <f>Financials202632[[#This Row],[Feb AC]]-Financials202632[[#This Row],[Feb FC]]</f>
        <v>0</v>
      </c>
      <c r="BE149" s="71">
        <f>Financials202632[[#This Row],[Mar AC]]-Financials202632[[#This Row],[Mar FC]]</f>
        <v>0</v>
      </c>
      <c r="BF149" s="71">
        <f>Financials202632[[#This Row],[Apr AC]]-Financials202632[[#This Row],[Apr FC]]</f>
        <v>0</v>
      </c>
      <c r="BG149" s="71">
        <f>Financials202632[[#This Row],[May AC]]-Financials202632[[#This Row],[May FC]]</f>
        <v>0</v>
      </c>
      <c r="BH149" s="71">
        <f>Financials202632[[#This Row],[Jun AC]]-Financials202632[[#This Row],[Jun FC]]</f>
        <v>0</v>
      </c>
      <c r="BI149" s="71">
        <f>Financials202632[[#This Row],[Jul AC]]-Financials202632[[#This Row],[Jul FC]]</f>
        <v>0</v>
      </c>
      <c r="BJ149" s="71">
        <f>Financials202632[[#This Row],[Aug AC]]-Financials202632[[#This Row],[Aug FC]]</f>
        <v>0</v>
      </c>
      <c r="BK149" s="71">
        <f>Financials202632[[#This Row],[Sep AC]]-Financials202632[[#This Row],[Sep FC]]</f>
        <v>0</v>
      </c>
      <c r="BL149" s="71">
        <f>Financials202632[[#This Row],[Oct AC]]-Financials202632[[#This Row],[Oct FC]]</f>
        <v>0</v>
      </c>
      <c r="BM149" s="71">
        <f>Financials202632[[#This Row],[Nov AC]]-Financials202632[[#This Row],[Nov FC]]</f>
        <v>-80000</v>
      </c>
      <c r="BN149" s="71">
        <f>Financials202632[[#This Row],[Dec AC]]-Financials202632[[#This Row],[Dec FC]]</f>
        <v>0</v>
      </c>
      <c r="BO149" s="84">
        <f>SUM(Financials202632[[#This Row],[Jan Opp/Risk]:[Dec Opp./Risk]])</f>
        <v>-80000</v>
      </c>
      <c r="BP149" s="94"/>
      <c r="BQ149" s="47">
        <f>SUM(Financials202632[[#This Row],[Jan AC]:[May AC]])</f>
        <v>0</v>
      </c>
      <c r="BR149" s="6">
        <f>Financials202632[[#This Row],[2026 (Actuals + Forecast)]]-Financials202632[[#This Row],[Jan-May Actuals]]-Financials202632[[#This Row],[Jun-Dec FC]]</f>
        <v>0</v>
      </c>
      <c r="BS149" s="6">
        <f>Financials202632[[#This Row],[Jun-Dec FC]]+Financials202632[[#This Row],[Jan-May Forecast ]]</f>
        <v>80000</v>
      </c>
      <c r="BT149" s="6">
        <f>SUM(Financials202632[[#This Row],[Jan FC]:[May FC]])</f>
        <v>0</v>
      </c>
      <c r="BU149" s="6">
        <f>Financials202632[[#This Row],[Jan-May Actuals]]+Financials202632[[#This Row],[Forecast Jun-Dec]]</f>
        <v>80000</v>
      </c>
      <c r="BV149" s="6"/>
      <c r="BW149" s="6" t="s">
        <v>331</v>
      </c>
      <c r="BX149" s="6" t="e">
        <v>#N/A</v>
      </c>
    </row>
    <row r="150" spans="1:76" x14ac:dyDescent="0.3">
      <c r="A150" s="22" t="s">
        <v>762</v>
      </c>
      <c r="B150" s="22" t="s">
        <v>762</v>
      </c>
      <c r="C150" s="21"/>
      <c r="D150" s="3" t="s">
        <v>26</v>
      </c>
      <c r="E150" s="3" t="s">
        <v>26</v>
      </c>
      <c r="F150" s="3" t="s">
        <v>26</v>
      </c>
      <c r="G150" s="3" t="s">
        <v>26</v>
      </c>
      <c r="H150" s="4"/>
      <c r="I150" s="4"/>
      <c r="J150" s="3"/>
      <c r="K150" s="3" t="s">
        <v>763</v>
      </c>
      <c r="L150" s="22" t="s">
        <v>762</v>
      </c>
      <c r="M150" s="22" t="s">
        <v>762</v>
      </c>
      <c r="N150" s="21" t="s">
        <v>26</v>
      </c>
      <c r="O150" s="21" t="s">
        <v>26</v>
      </c>
      <c r="P150" s="21" t="s">
        <v>26</v>
      </c>
      <c r="Q150" s="21" t="s">
        <v>26</v>
      </c>
      <c r="R150" s="21" t="s">
        <v>26</v>
      </c>
      <c r="S150" s="21" t="s">
        <v>26</v>
      </c>
      <c r="T150" s="5">
        <v>0</v>
      </c>
      <c r="U150" s="15">
        <v>0</v>
      </c>
      <c r="V150" s="15">
        <v>-500000</v>
      </c>
      <c r="W150" s="15">
        <v>-500000</v>
      </c>
      <c r="X150" s="15">
        <v>0</v>
      </c>
      <c r="Y150" s="15">
        <v>0</v>
      </c>
      <c r="Z150" s="15">
        <v>0</v>
      </c>
      <c r="AA150" s="3" t="s">
        <v>601</v>
      </c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>
        <v>-500000</v>
      </c>
      <c r="AN150" s="52">
        <v>-500000</v>
      </c>
      <c r="AO150" s="15">
        <v>-500000</v>
      </c>
      <c r="AP150" s="61"/>
      <c r="AQ150" s="61"/>
      <c r="AR150" s="61"/>
      <c r="AS150" s="61"/>
      <c r="AT150" s="61"/>
      <c r="AU150" s="61"/>
      <c r="AV150" s="61"/>
      <c r="AW150" s="61"/>
      <c r="AX150" s="61"/>
      <c r="AY150" s="61"/>
      <c r="AZ150" s="61"/>
      <c r="BA150" s="61"/>
      <c r="BB150" s="80">
        <v>0</v>
      </c>
      <c r="BC150" s="87" t="s">
        <v>764</v>
      </c>
      <c r="BD150" s="47">
        <v>0</v>
      </c>
      <c r="BE150" s="6">
        <v>0</v>
      </c>
      <c r="BF150" s="6">
        <v>-500000</v>
      </c>
      <c r="BH150" s="71">
        <f>Financials202632[[#This Row],[Jun AC]]-Financials202632[[#This Row],[Jun FC]]</f>
        <v>0</v>
      </c>
      <c r="BI150" s="71">
        <f>Financials202632[[#This Row],[Jul AC]]-Financials202632[[#This Row],[Jul FC]]</f>
        <v>0</v>
      </c>
      <c r="BJ150" s="71">
        <f>Financials202632[[#This Row],[Aug AC]]-Financials202632[[#This Row],[Aug FC]]</f>
        <v>0</v>
      </c>
      <c r="BK150" s="71">
        <f>Financials202632[[#This Row],[Sep AC]]-Financials202632[[#This Row],[Sep FC]]</f>
        <v>0</v>
      </c>
      <c r="BL150" s="71">
        <f>Financials202632[[#This Row],[Oct AC]]-Financials202632[[#This Row],[Oct FC]]</f>
        <v>0</v>
      </c>
      <c r="BM150" s="71">
        <f>Financials202632[[#This Row],[Nov AC]]-Financials202632[[#This Row],[Nov FC]]</f>
        <v>0</v>
      </c>
      <c r="BN150" s="71">
        <f>Financials202632[[#This Row],[Dec AC]]-Financials202632[[#This Row],[Dec FC]]</f>
        <v>500000</v>
      </c>
      <c r="BO150" s="84">
        <f>SUM(Financials202632[[#This Row],[Jan Opp/Risk]:[Dec Opp./Risk]])</f>
        <v>0</v>
      </c>
      <c r="BP150" s="94"/>
      <c r="BQ150" s="47">
        <f>SUM(Financials202632[[#This Row],[Jan AC]:[May AC]])</f>
        <v>0</v>
      </c>
      <c r="BR150" s="6">
        <f>Financials202632[[#This Row],[2026 (Actuals + Forecast)]]-Financials202632[[#This Row],[Jan-May Actuals]]-Financials202632[[#This Row],[Jun-Dec FC]]</f>
        <v>0</v>
      </c>
      <c r="BS150" s="6">
        <f>Financials202632[[#This Row],[Jun-Dec FC]]+Financials202632[[#This Row],[Jan-May Forecast ]]</f>
        <v>-500000</v>
      </c>
      <c r="BT150" s="6">
        <f>SUM(Financials202632[[#This Row],[Jan FC]:[May FC]])</f>
        <v>0</v>
      </c>
      <c r="BU150" s="6">
        <f>Financials202632[[#This Row],[Jan-May Actuals]]+Financials202632[[#This Row],[Forecast Jun-Dec]]</f>
        <v>-500000</v>
      </c>
      <c r="BV150" s="6"/>
      <c r="BW150" s="6"/>
      <c r="BX150" s="6"/>
    </row>
    <row r="151" spans="1:76" ht="57.6" x14ac:dyDescent="0.3">
      <c r="A151" s="32" t="s">
        <v>295</v>
      </c>
      <c r="B151" s="21" t="s">
        <v>176</v>
      </c>
      <c r="C151" s="39"/>
      <c r="D151" s="10" t="s">
        <v>226</v>
      </c>
      <c r="E151" s="7" t="s">
        <v>419</v>
      </c>
      <c r="F151" s="3" t="s">
        <v>420</v>
      </c>
      <c r="G151" s="3" t="s">
        <v>22</v>
      </c>
      <c r="H151" s="4">
        <v>45992</v>
      </c>
      <c r="I151" s="4">
        <v>46387</v>
      </c>
      <c r="J151" s="40" t="s">
        <v>418</v>
      </c>
      <c r="K151" s="40" t="str">
        <f>D151 &amp; "-" &amp;E151</f>
        <v>Prj000469-Support - Prod Support for Ops Apps</v>
      </c>
      <c r="L151" s="39" t="s">
        <v>301</v>
      </c>
      <c r="M151" s="39" t="s">
        <v>16</v>
      </c>
      <c r="N151" s="39" t="s">
        <v>16</v>
      </c>
      <c r="O151" s="39" t="s">
        <v>450</v>
      </c>
      <c r="P151" s="39" t="s">
        <v>302</v>
      </c>
      <c r="Q151" s="33" t="s">
        <v>303</v>
      </c>
      <c r="R151" s="39" t="s">
        <v>303</v>
      </c>
      <c r="S151" s="39" t="s">
        <v>333</v>
      </c>
      <c r="T151" s="36">
        <v>0</v>
      </c>
      <c r="U151" s="37">
        <v>0</v>
      </c>
      <c r="V151" s="37">
        <v>0</v>
      </c>
      <c r="W151" s="15">
        <f t="shared" si="48"/>
        <v>102000</v>
      </c>
      <c r="X151" s="15">
        <f t="shared" si="51"/>
        <v>0</v>
      </c>
      <c r="Y151" s="38">
        <f>IF(W151 &gt; V151, W151 - V151, 0)</f>
        <v>102000</v>
      </c>
      <c r="Z151" s="38">
        <f>SUM(Financials202632[[#This Row],[2026 Opportunity]:[2026 Risk]])</f>
        <v>102000</v>
      </c>
      <c r="AA151" s="14" t="s">
        <v>710</v>
      </c>
      <c r="AB151" s="54"/>
      <c r="AC151" s="54"/>
      <c r="AD151" s="54"/>
      <c r="AE151" s="54">
        <v>92000</v>
      </c>
      <c r="AF151" s="54"/>
      <c r="AG151" s="54"/>
      <c r="AH151" s="54"/>
      <c r="AI151" s="54"/>
      <c r="AJ151" s="54"/>
      <c r="AK151" s="54"/>
      <c r="AL151" s="54"/>
      <c r="AM151" s="54">
        <v>10000</v>
      </c>
      <c r="AN151" s="54">
        <f>SUM(Financials202632[[#This Row],[Jan FC]:[Dec FC]])</f>
        <v>102000</v>
      </c>
      <c r="AO151" s="15">
        <f t="shared" si="50"/>
        <v>10000</v>
      </c>
      <c r="AP151" s="63"/>
      <c r="AQ151" s="63"/>
      <c r="AR151" s="63"/>
      <c r="AS151" s="63">
        <v>92000</v>
      </c>
      <c r="AT151" s="63"/>
      <c r="AU151" s="63"/>
      <c r="AV151" s="63"/>
      <c r="AW151" s="63"/>
      <c r="AX151" s="63"/>
      <c r="AY151" s="63"/>
      <c r="AZ151" s="63"/>
      <c r="BA151" s="63"/>
      <c r="BB151" s="82">
        <f>SUM(Financials202632[[#This Row],[Jan AC]:[Dec AC]])</f>
        <v>92000</v>
      </c>
      <c r="BC151" s="71">
        <f>Financials202632[[#This Row],[Jan AC]]-Financials202632[[#This Row],[Jan FC]]</f>
        <v>0</v>
      </c>
      <c r="BD151" s="71">
        <f>Financials202632[[#This Row],[Feb AC]]-Financials202632[[#This Row],[Feb FC]]</f>
        <v>0</v>
      </c>
      <c r="BE151" s="71">
        <f>Financials202632[[#This Row],[Mar AC]]-Financials202632[[#This Row],[Mar FC]]</f>
        <v>0</v>
      </c>
      <c r="BF151" s="71">
        <f>Financials202632[[#This Row],[Apr AC]]-Financials202632[[#This Row],[Apr FC]]</f>
        <v>0</v>
      </c>
      <c r="BG151" s="71">
        <f>Financials202632[[#This Row],[May AC]]-Financials202632[[#This Row],[May FC]]</f>
        <v>0</v>
      </c>
      <c r="BH151" s="71">
        <f>Financials202632[[#This Row],[Jun AC]]-Financials202632[[#This Row],[Jun FC]]</f>
        <v>0</v>
      </c>
      <c r="BI151" s="71">
        <f>Financials202632[[#This Row],[Jul AC]]-Financials202632[[#This Row],[Jul FC]]</f>
        <v>0</v>
      </c>
      <c r="BJ151" s="71">
        <f>Financials202632[[#This Row],[Aug AC]]-Financials202632[[#This Row],[Aug FC]]</f>
        <v>0</v>
      </c>
      <c r="BK151" s="71">
        <f>Financials202632[[#This Row],[Sep AC]]-Financials202632[[#This Row],[Sep FC]]</f>
        <v>0</v>
      </c>
      <c r="BL151" s="71">
        <f>Financials202632[[#This Row],[Oct AC]]-Financials202632[[#This Row],[Oct FC]]</f>
        <v>0</v>
      </c>
      <c r="BM151" s="71">
        <f>Financials202632[[#This Row],[Nov AC]]-Financials202632[[#This Row],[Nov FC]]</f>
        <v>0</v>
      </c>
      <c r="BN151" s="71">
        <f>Financials202632[[#This Row],[Dec AC]]-Financials202632[[#This Row],[Dec FC]]</f>
        <v>-10000</v>
      </c>
      <c r="BO151" s="84">
        <f>SUM(Financials202632[[#This Row],[Jan Opp/Risk]:[Dec Opp./Risk]])</f>
        <v>-10000</v>
      </c>
      <c r="BP151" s="95" t="s">
        <v>711</v>
      </c>
      <c r="BQ151" s="47">
        <f>SUM(Financials202632[[#This Row],[Jan AC]:[May AC]])</f>
        <v>92000</v>
      </c>
      <c r="BR151" s="6">
        <f>Financials202632[[#This Row],[2026 (Actuals + Forecast)]]-Financials202632[[#This Row],[Jan-May Actuals]]-Financials202632[[#This Row],[Jun-Dec FC]]</f>
        <v>0</v>
      </c>
      <c r="BS151" s="6">
        <f>Financials202632[[#This Row],[Jun-Dec FC]]+Financials202632[[#This Row],[Jan-May Forecast ]]</f>
        <v>10000</v>
      </c>
      <c r="BT151" s="6">
        <f>SUM(Financials202632[[#This Row],[Jan FC]:[May FC]])</f>
        <v>92000</v>
      </c>
      <c r="BU151" s="6">
        <f>Financials202632[[#This Row],[Jan-May Actuals]]+Financials202632[[#This Row],[Forecast Jun-Dec]]</f>
        <v>102000</v>
      </c>
      <c r="BV151" s="6"/>
      <c r="BW151" s="6" t="s">
        <v>16</v>
      </c>
      <c r="BX151" s="6" t="s">
        <v>306</v>
      </c>
    </row>
    <row r="152" spans="1:76" x14ac:dyDescent="0.3">
      <c r="A152" s="140"/>
      <c r="B152" s="140"/>
      <c r="C152" s="141"/>
      <c r="D152"/>
      <c r="G152"/>
      <c r="J152" s="142"/>
      <c r="K152" s="142"/>
      <c r="L152" s="141"/>
      <c r="M152" s="141"/>
      <c r="N152" s="141"/>
      <c r="O152" s="141"/>
      <c r="P152" s="141"/>
      <c r="Q152" s="140"/>
      <c r="R152" s="141"/>
      <c r="S152" s="141"/>
      <c r="T152" s="6"/>
      <c r="U152" s="143"/>
      <c r="V152" s="143"/>
      <c r="W152" s="143"/>
      <c r="X152" s="143"/>
      <c r="Y152" s="144"/>
      <c r="Z152" s="144"/>
      <c r="AA152"/>
      <c r="AB152"/>
      <c r="AC152"/>
      <c r="AD152"/>
      <c r="AE152"/>
      <c r="AF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</row>
    <row r="153" spans="1:76" x14ac:dyDescent="0.3">
      <c r="A153" s="107"/>
      <c r="B153" s="107" t="s">
        <v>712</v>
      </c>
      <c r="C153" s="107"/>
      <c r="D153" s="108"/>
      <c r="E153" s="107"/>
      <c r="F153" s="107"/>
      <c r="G153" s="108"/>
      <c r="H153" s="109"/>
      <c r="I153" s="109"/>
      <c r="J153" s="107"/>
      <c r="K153" s="107"/>
      <c r="L153" s="107"/>
      <c r="M153" s="107"/>
      <c r="N153" s="107"/>
      <c r="O153" s="107"/>
      <c r="P153" s="107"/>
      <c r="Q153" s="107"/>
      <c r="R153" s="107"/>
      <c r="S153" s="107"/>
      <c r="T153" s="110">
        <f t="shared" ref="T153:BQ153" si="56">SUBTOTAL(9,T2:T152)</f>
        <v>46382982.072500005</v>
      </c>
      <c r="U153" s="110">
        <f t="shared" si="56"/>
        <v>40168697.557166502</v>
      </c>
      <c r="V153" s="110">
        <f t="shared" si="56"/>
        <v>40288397.956149995</v>
      </c>
      <c r="W153" s="110">
        <f t="shared" si="56"/>
        <v>40715516.383566655</v>
      </c>
      <c r="X153" s="110">
        <f t="shared" si="56"/>
        <v>-1379622.6918333324</v>
      </c>
      <c r="Y153" s="110">
        <f t="shared" si="56"/>
        <v>1806741.1192499988</v>
      </c>
      <c r="Z153" s="110">
        <f t="shared" si="56"/>
        <v>427118.427416666</v>
      </c>
      <c r="AA153" s="110">
        <f t="shared" si="56"/>
        <v>0</v>
      </c>
      <c r="AB153" s="110">
        <f t="shared" si="56"/>
        <v>3099207.0691666664</v>
      </c>
      <c r="AC153" s="110">
        <f t="shared" si="56"/>
        <v>3096582.0425</v>
      </c>
      <c r="AD153" s="110">
        <f t="shared" si="56"/>
        <v>3167431.3920833333</v>
      </c>
      <c r="AE153" s="110">
        <f t="shared" si="56"/>
        <v>3516724.9302499997</v>
      </c>
      <c r="AF153" s="110">
        <f t="shared" si="56"/>
        <v>3242027.7902500001</v>
      </c>
      <c r="AG153" s="110">
        <f t="shared" si="56"/>
        <v>3109340.7035833332</v>
      </c>
      <c r="AH153" s="110">
        <f t="shared" si="56"/>
        <v>3420719.7719166665</v>
      </c>
      <c r="AI153" s="110">
        <f t="shared" si="56"/>
        <v>3912197.58525</v>
      </c>
      <c r="AJ153" s="110">
        <f t="shared" si="56"/>
        <v>2943336.3225833331</v>
      </c>
      <c r="AK153" s="110">
        <f t="shared" si="56"/>
        <v>3479498.753583333</v>
      </c>
      <c r="AL153" s="110">
        <f t="shared" si="56"/>
        <v>3010923.3260833337</v>
      </c>
      <c r="AM153" s="110">
        <f t="shared" si="56"/>
        <v>4726577.2402499998</v>
      </c>
      <c r="AN153" s="110">
        <f t="shared" si="56"/>
        <v>40724566.927499987</v>
      </c>
      <c r="AO153" s="110">
        <f t="shared" si="56"/>
        <v>24602593.703249998</v>
      </c>
      <c r="AP153" s="110">
        <f t="shared" si="56"/>
        <v>3152345.7691666665</v>
      </c>
      <c r="AQ153" s="110">
        <f t="shared" si="56"/>
        <v>2996640.1791666681</v>
      </c>
      <c r="AR153" s="110">
        <f t="shared" si="56"/>
        <v>3232989.6266666674</v>
      </c>
      <c r="AS153" s="110">
        <f t="shared" si="56"/>
        <v>3212708.372533333</v>
      </c>
      <c r="AT153" s="110">
        <f t="shared" si="56"/>
        <v>2950998.2725333329</v>
      </c>
      <c r="AU153" s="110">
        <f t="shared" si="56"/>
        <v>1112200.7066666668</v>
      </c>
      <c r="AV153" s="110">
        <f t="shared" si="56"/>
        <v>668576.58000000007</v>
      </c>
      <c r="AW153" s="110">
        <f t="shared" si="56"/>
        <v>649080.58000000007</v>
      </c>
      <c r="AX153" s="110">
        <f t="shared" si="56"/>
        <v>637440.2466666667</v>
      </c>
      <c r="AY153" s="110">
        <f t="shared" si="56"/>
        <v>610371.4966666667</v>
      </c>
      <c r="AZ153" s="110">
        <f t="shared" si="56"/>
        <v>529008.00666666671</v>
      </c>
      <c r="BA153" s="110">
        <f t="shared" si="56"/>
        <v>487037.0108333333</v>
      </c>
      <c r="BB153" s="110">
        <f t="shared" si="56"/>
        <v>20239396.847566668</v>
      </c>
      <c r="BC153" s="110">
        <f t="shared" si="56"/>
        <v>53138.700000000012</v>
      </c>
      <c r="BD153" s="110">
        <f t="shared" si="56"/>
        <v>-99941.863333333255</v>
      </c>
      <c r="BE153" s="110">
        <f t="shared" si="56"/>
        <v>65558.234583333367</v>
      </c>
      <c r="BF153" s="110">
        <f t="shared" si="56"/>
        <v>-804016.55771666672</v>
      </c>
      <c r="BG153" s="110">
        <f t="shared" si="56"/>
        <v>-291029.51771666668</v>
      </c>
      <c r="BH153" s="110">
        <f t="shared" si="56"/>
        <v>-1997139.9969166664</v>
      </c>
      <c r="BI153" s="110">
        <f t="shared" si="56"/>
        <v>-2752143.1919166674</v>
      </c>
      <c r="BJ153" s="110">
        <f t="shared" si="56"/>
        <v>-3263117.0052500004</v>
      </c>
      <c r="BK153" s="110">
        <f t="shared" si="56"/>
        <v>-2305896.0759166665</v>
      </c>
      <c r="BL153" s="110">
        <f t="shared" si="56"/>
        <v>-2869127.2569166669</v>
      </c>
      <c r="BM153" s="110">
        <f t="shared" si="56"/>
        <v>-2481915.3194166669</v>
      </c>
      <c r="BN153" s="110">
        <f t="shared" si="56"/>
        <v>-4239540.2294166666</v>
      </c>
      <c r="BO153" s="110">
        <f t="shared" si="56"/>
        <v>-20985170.079933342</v>
      </c>
      <c r="BP153" s="110">
        <f t="shared" si="56"/>
        <v>0</v>
      </c>
      <c r="BQ153" s="110">
        <f t="shared" si="56"/>
        <v>15545682.220066672</v>
      </c>
    </row>
    <row r="155" spans="1:76" x14ac:dyDescent="0.3">
      <c r="T155" s="6"/>
      <c r="U155" s="135"/>
      <c r="V155" s="139"/>
      <c r="AH155" s="6"/>
    </row>
    <row r="156" spans="1:76" x14ac:dyDescent="0.3">
      <c r="U156" s="43"/>
      <c r="AE156"/>
      <c r="AF156"/>
      <c r="AG156" s="6"/>
      <c r="AH156" s="146"/>
    </row>
    <row r="157" spans="1:76" x14ac:dyDescent="0.3">
      <c r="U157" s="6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</row>
    <row r="166" spans="40:41" x14ac:dyDescent="0.3">
      <c r="AN166"/>
      <c r="AO166" s="137"/>
    </row>
    <row r="167" spans="40:41" x14ac:dyDescent="0.3">
      <c r="AN167"/>
    </row>
    <row r="168" spans="40:41" x14ac:dyDescent="0.3">
      <c r="AN168"/>
    </row>
    <row r="169" spans="40:41" x14ac:dyDescent="0.3">
      <c r="AN169"/>
    </row>
    <row r="170" spans="40:41" x14ac:dyDescent="0.3">
      <c r="AN170"/>
    </row>
  </sheetData>
  <conditionalFormatting sqref="Y1:Z150">
    <cfRule type="cellIs" dxfId="2" priority="1" operator="greaterThan">
      <formula>1</formula>
    </cfRule>
  </conditionalFormatting>
  <conditionalFormatting sqref="Y151:Z152">
    <cfRule type="cellIs" dxfId="1" priority="2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227</v>
      </c>
      <c r="D1" s="113" t="s">
        <v>219</v>
      </c>
      <c r="E1" s="113" t="s">
        <v>228</v>
      </c>
      <c r="F1" s="113" t="s">
        <v>229</v>
      </c>
      <c r="G1" s="113" t="s">
        <v>30</v>
      </c>
      <c r="H1" s="114" t="s">
        <v>230</v>
      </c>
      <c r="I1" s="114" t="s">
        <v>231</v>
      </c>
      <c r="J1" s="114" t="s">
        <v>232</v>
      </c>
      <c r="K1" s="113" t="s">
        <v>233</v>
      </c>
      <c r="L1" s="113" t="s">
        <v>4</v>
      </c>
      <c r="M1" s="113" t="s">
        <v>18</v>
      </c>
      <c r="N1" s="113" t="s">
        <v>234</v>
      </c>
      <c r="O1" s="115" t="s">
        <v>235</v>
      </c>
      <c r="P1" s="113" t="s">
        <v>236</v>
      </c>
      <c r="Q1" s="113" t="s">
        <v>237</v>
      </c>
      <c r="R1" s="113" t="s">
        <v>238</v>
      </c>
      <c r="S1" s="113" t="s">
        <v>239</v>
      </c>
      <c r="T1" s="115" t="s">
        <v>240</v>
      </c>
      <c r="U1" s="116" t="s">
        <v>241</v>
      </c>
      <c r="V1" s="116" t="s">
        <v>34</v>
      </c>
      <c r="W1" s="116" t="s">
        <v>242</v>
      </c>
      <c r="X1" s="117" t="s">
        <v>243</v>
      </c>
      <c r="Y1" s="118" t="s">
        <v>244</v>
      </c>
      <c r="Z1" s="118" t="s">
        <v>37</v>
      </c>
      <c r="AA1" s="119" t="s">
        <v>245</v>
      </c>
      <c r="AB1" s="116" t="s">
        <v>246</v>
      </c>
      <c r="AC1" s="116" t="s">
        <v>247</v>
      </c>
      <c r="AD1" s="116" t="s">
        <v>248</v>
      </c>
      <c r="AE1" s="116" t="s">
        <v>249</v>
      </c>
      <c r="AF1" s="115" t="s">
        <v>250</v>
      </c>
      <c r="AG1" s="115" t="s">
        <v>251</v>
      </c>
      <c r="AH1" s="115" t="s">
        <v>252</v>
      </c>
      <c r="AI1" s="115" t="s">
        <v>253</v>
      </c>
      <c r="AJ1" s="115" t="s">
        <v>254</v>
      </c>
      <c r="AK1" s="115" t="s">
        <v>255</v>
      </c>
      <c r="AL1" s="115" t="s">
        <v>256</v>
      </c>
      <c r="AM1" s="115" t="s">
        <v>257</v>
      </c>
      <c r="AN1" s="115" t="s">
        <v>258</v>
      </c>
      <c r="AO1" s="120" t="s">
        <v>713</v>
      </c>
      <c r="AP1" s="121" t="s">
        <v>260</v>
      </c>
      <c r="AQ1" s="121" t="s">
        <v>261</v>
      </c>
      <c r="AR1" s="121" t="s">
        <v>262</v>
      </c>
      <c r="AS1" s="121" t="s">
        <v>263</v>
      </c>
      <c r="AT1" s="122" t="s">
        <v>264</v>
      </c>
      <c r="AU1" s="122" t="s">
        <v>265</v>
      </c>
      <c r="AV1" s="122" t="s">
        <v>266</v>
      </c>
      <c r="AW1" s="122" t="s">
        <v>267</v>
      </c>
      <c r="AX1" s="122" t="s">
        <v>268</v>
      </c>
      <c r="AY1" s="122" t="s">
        <v>269</v>
      </c>
      <c r="AZ1" s="122" t="s">
        <v>270</v>
      </c>
      <c r="BA1" s="122" t="s">
        <v>271</v>
      </c>
      <c r="BB1" s="123" t="s">
        <v>272</v>
      </c>
      <c r="BC1" s="124" t="s">
        <v>286</v>
      </c>
    </row>
    <row r="2" spans="1:55" x14ac:dyDescent="0.3">
      <c r="A2" s="125" t="s">
        <v>714</v>
      </c>
      <c r="B2" s="125" t="s">
        <v>715</v>
      </c>
      <c r="C2" s="125"/>
      <c r="D2" s="10" t="s">
        <v>716</v>
      </c>
      <c r="E2" s="7" t="s">
        <v>717</v>
      </c>
      <c r="F2" s="126" t="s">
        <v>311</v>
      </c>
      <c r="G2" s="126" t="s">
        <v>25</v>
      </c>
      <c r="H2" s="127"/>
      <c r="I2" s="127"/>
      <c r="J2" s="125"/>
      <c r="K2" s="126"/>
      <c r="L2" s="125" t="s">
        <v>301</v>
      </c>
      <c r="M2" s="125" t="s">
        <v>16</v>
      </c>
      <c r="N2" s="125" t="s">
        <v>16</v>
      </c>
      <c r="O2" s="125" t="s">
        <v>26</v>
      </c>
      <c r="P2" s="125" t="s">
        <v>302</v>
      </c>
      <c r="Q2" s="125" t="s">
        <v>303</v>
      </c>
      <c r="R2" s="125" t="s">
        <v>303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295</v>
      </c>
      <c r="B3" s="125" t="s">
        <v>718</v>
      </c>
      <c r="C3" s="125"/>
      <c r="D3" s="10" t="s">
        <v>716</v>
      </c>
      <c r="E3" s="7" t="s">
        <v>717</v>
      </c>
      <c r="F3" s="126" t="s">
        <v>311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301</v>
      </c>
      <c r="M3" s="125" t="s">
        <v>16</v>
      </c>
      <c r="N3" s="125" t="s">
        <v>389</v>
      </c>
      <c r="O3" s="125" t="s">
        <v>719</v>
      </c>
      <c r="P3" s="125" t="s">
        <v>302</v>
      </c>
      <c r="Q3" s="125" t="s">
        <v>303</v>
      </c>
      <c r="R3" s="125" t="s">
        <v>303</v>
      </c>
      <c r="S3" s="125" t="s">
        <v>719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295</v>
      </c>
      <c r="B4" s="125" t="s">
        <v>720</v>
      </c>
      <c r="C4" s="125"/>
      <c r="D4" s="10" t="s">
        <v>716</v>
      </c>
      <c r="E4" s="7" t="s">
        <v>717</v>
      </c>
      <c r="F4" s="126" t="s">
        <v>311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301</v>
      </c>
      <c r="M4" s="125" t="s">
        <v>16</v>
      </c>
      <c r="N4" s="125" t="s">
        <v>721</v>
      </c>
      <c r="O4" s="125" t="s">
        <v>722</v>
      </c>
      <c r="P4" s="125" t="s">
        <v>302</v>
      </c>
      <c r="Q4" s="125" t="s">
        <v>303</v>
      </c>
      <c r="R4" s="125" t="s">
        <v>303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723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295</v>
      </c>
      <c r="B5" s="125" t="s">
        <v>724</v>
      </c>
      <c r="C5" s="125" t="s">
        <v>725</v>
      </c>
      <c r="D5" s="10" t="s">
        <v>716</v>
      </c>
      <c r="E5" s="7" t="s">
        <v>717</v>
      </c>
      <c r="F5" s="126" t="s">
        <v>311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301</v>
      </c>
      <c r="M5" s="125" t="s">
        <v>16</v>
      </c>
      <c r="N5" s="125" t="s">
        <v>371</v>
      </c>
      <c r="O5" s="125" t="s">
        <v>413</v>
      </c>
      <c r="P5" s="125" t="s">
        <v>302</v>
      </c>
      <c r="Q5" s="125" t="s">
        <v>303</v>
      </c>
      <c r="R5" s="125" t="s">
        <v>303</v>
      </c>
      <c r="S5" s="125" t="s">
        <v>726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727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728</v>
      </c>
    </row>
    <row r="6" spans="1:55" x14ac:dyDescent="0.3">
      <c r="A6" s="125" t="s">
        <v>295</v>
      </c>
      <c r="B6" s="125" t="s">
        <v>729</v>
      </c>
      <c r="C6" s="125"/>
      <c r="D6" s="10" t="s">
        <v>716</v>
      </c>
      <c r="E6" s="7" t="s">
        <v>717</v>
      </c>
      <c r="F6" s="126" t="s">
        <v>311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301</v>
      </c>
      <c r="M6" s="125" t="s">
        <v>16</v>
      </c>
      <c r="N6" s="125" t="s">
        <v>371</v>
      </c>
      <c r="O6" s="125" t="s">
        <v>730</v>
      </c>
      <c r="P6" s="125" t="s">
        <v>302</v>
      </c>
      <c r="Q6" s="125" t="s">
        <v>303</v>
      </c>
      <c r="R6" s="125" t="s">
        <v>303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731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732</v>
      </c>
    </row>
    <row r="7" spans="1:55" x14ac:dyDescent="0.3">
      <c r="A7" s="125" t="s">
        <v>295</v>
      </c>
      <c r="B7" s="125" t="s">
        <v>733</v>
      </c>
      <c r="C7" s="125"/>
      <c r="D7" s="10" t="s">
        <v>716</v>
      </c>
      <c r="E7" s="7" t="s">
        <v>717</v>
      </c>
      <c r="F7" s="126" t="s">
        <v>311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301</v>
      </c>
      <c r="M7" s="125" t="s">
        <v>16</v>
      </c>
      <c r="N7" s="125" t="s">
        <v>371</v>
      </c>
      <c r="O7" s="125" t="s">
        <v>371</v>
      </c>
      <c r="P7" s="125" t="s">
        <v>302</v>
      </c>
      <c r="Q7" s="125" t="s">
        <v>303</v>
      </c>
      <c r="R7" s="125" t="s">
        <v>303</v>
      </c>
      <c r="S7" s="125" t="s">
        <v>734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735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295</v>
      </c>
      <c r="B8" s="125" t="s">
        <v>736</v>
      </c>
      <c r="C8" s="125" t="s">
        <v>737</v>
      </c>
      <c r="D8" s="10" t="s">
        <v>716</v>
      </c>
      <c r="E8" s="7" t="s">
        <v>717</v>
      </c>
      <c r="F8" s="126" t="s">
        <v>311</v>
      </c>
      <c r="G8" s="126" t="s">
        <v>25</v>
      </c>
      <c r="H8" s="127"/>
      <c r="I8" s="127"/>
      <c r="J8" s="125"/>
      <c r="K8" s="126"/>
      <c r="L8" s="125" t="s">
        <v>301</v>
      </c>
      <c r="M8" s="125" t="s">
        <v>16</v>
      </c>
      <c r="N8" s="125"/>
      <c r="O8" s="125"/>
      <c r="P8" s="125" t="s">
        <v>302</v>
      </c>
      <c r="Q8" s="125" t="s">
        <v>303</v>
      </c>
      <c r="R8" s="125" t="s">
        <v>303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738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739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activeCell="K19" sqref="K19"/>
      <selection pane="topRight" activeCell="K19" sqref="K19"/>
      <selection pane="bottomLeft" activeCell="K19" sqref="K19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293</v>
      </c>
      <c r="B4" s="8" t="s">
        <v>18</v>
      </c>
      <c r="C4" t="s">
        <v>5</v>
      </c>
      <c r="D4" t="s">
        <v>740</v>
      </c>
      <c r="E4" t="s">
        <v>9</v>
      </c>
      <c r="G4" s="8" t="s">
        <v>293</v>
      </c>
      <c r="H4" t="s">
        <v>5</v>
      </c>
      <c r="I4" t="s">
        <v>740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331</v>
      </c>
      <c r="C6" s="142">
        <v>13701898.34</v>
      </c>
      <c r="D6" s="142">
        <v>13049955.73</v>
      </c>
      <c r="E6" s="142">
        <v>-651942.60999999987</v>
      </c>
      <c r="G6" t="s">
        <v>331</v>
      </c>
      <c r="H6" s="142">
        <v>13701898.34</v>
      </c>
      <c r="I6" s="142">
        <v>13049955.73</v>
      </c>
    </row>
    <row r="7" spans="1:9" x14ac:dyDescent="0.3">
      <c r="A7" t="s">
        <v>319</v>
      </c>
      <c r="C7" s="142">
        <v>2229219</v>
      </c>
      <c r="D7" s="142">
        <v>2213509.2200000002</v>
      </c>
      <c r="E7" s="142">
        <v>-15709.779999999697</v>
      </c>
      <c r="G7" t="s">
        <v>319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activeCell="K19" sqref="K19"/>
      <selection pane="topRight" activeCell="K19" sqref="K19"/>
      <selection pane="bottomLeft" activeCell="K19" sqref="K19"/>
      <selection pane="bottomRight" activeCell="K19" sqref="K19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294</v>
      </c>
      <c r="C4" t="s">
        <v>5</v>
      </c>
      <c r="D4" t="s">
        <v>740</v>
      </c>
      <c r="E4" t="s">
        <v>9</v>
      </c>
      <c r="G4" s="8" t="s">
        <v>19</v>
      </c>
      <c r="H4" t="s">
        <v>741</v>
      </c>
    </row>
    <row r="5" spans="2:8" x14ac:dyDescent="0.3">
      <c r="B5" t="s">
        <v>342</v>
      </c>
      <c r="C5" s="142">
        <v>50000</v>
      </c>
      <c r="D5" s="142">
        <v>41250</v>
      </c>
      <c r="E5" s="142">
        <v>-8750</v>
      </c>
      <c r="G5" s="9" t="s">
        <v>742</v>
      </c>
      <c r="H5" s="6">
        <v>0</v>
      </c>
    </row>
    <row r="6" spans="2:8" x14ac:dyDescent="0.3">
      <c r="B6" t="s">
        <v>590</v>
      </c>
      <c r="C6" s="142">
        <v>1351470</v>
      </c>
      <c r="D6" s="142">
        <v>967470</v>
      </c>
      <c r="E6" s="142">
        <v>-384000</v>
      </c>
      <c r="G6" s="181" t="s">
        <v>342</v>
      </c>
      <c r="H6" s="6">
        <v>221048</v>
      </c>
    </row>
    <row r="7" spans="2:8" x14ac:dyDescent="0.3">
      <c r="B7" t="s">
        <v>679</v>
      </c>
      <c r="C7" s="142">
        <v>250000</v>
      </c>
      <c r="D7" s="142">
        <v>150000</v>
      </c>
      <c r="E7" s="142">
        <v>-100000</v>
      </c>
      <c r="G7" s="181" t="s">
        <v>590</v>
      </c>
      <c r="H7" s="6">
        <v>1656960</v>
      </c>
    </row>
    <row r="8" spans="2:8" x14ac:dyDescent="0.3">
      <c r="B8" t="s">
        <v>306</v>
      </c>
      <c r="C8" s="142">
        <v>32771664.956149988</v>
      </c>
      <c r="D8" s="142">
        <v>33283678.603566654</v>
      </c>
      <c r="E8" s="142">
        <v>512013.64741666673</v>
      </c>
      <c r="G8" s="9" t="s">
        <v>743</v>
      </c>
      <c r="H8" s="6">
        <v>18944</v>
      </c>
    </row>
    <row r="9" spans="2:8" x14ac:dyDescent="0.3">
      <c r="B9" t="s">
        <v>643</v>
      </c>
      <c r="C9" s="142">
        <v>371876</v>
      </c>
      <c r="D9" s="142">
        <v>150000</v>
      </c>
      <c r="E9" s="142">
        <v>-221876</v>
      </c>
      <c r="G9" s="181" t="s">
        <v>679</v>
      </c>
      <c r="H9" s="6">
        <v>75744</v>
      </c>
    </row>
    <row r="10" spans="2:8" x14ac:dyDescent="0.3">
      <c r="B10" t="s">
        <v>654</v>
      </c>
      <c r="C10" s="142">
        <v>1119600</v>
      </c>
      <c r="D10" s="142">
        <v>413500</v>
      </c>
      <c r="E10" s="142">
        <v>-706100</v>
      </c>
      <c r="G10" s="9" t="s">
        <v>744</v>
      </c>
      <c r="H10" s="6">
        <v>0</v>
      </c>
    </row>
    <row r="11" spans="2:8" x14ac:dyDescent="0.3">
      <c r="B11" t="s">
        <v>745</v>
      </c>
      <c r="C11" s="142">
        <v>8873787</v>
      </c>
      <c r="D11" s="142">
        <v>10229642.530000001</v>
      </c>
      <c r="E11" s="142">
        <v>1355855.5300000003</v>
      </c>
      <c r="G11" s="9" t="s">
        <v>746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306</v>
      </c>
      <c r="H12" s="6">
        <v>4163630</v>
      </c>
    </row>
    <row r="13" spans="2:8" ht="14.4" customHeight="1" x14ac:dyDescent="0.3">
      <c r="G13" s="9" t="s">
        <v>747</v>
      </c>
      <c r="H13" s="6">
        <v>1680112</v>
      </c>
    </row>
    <row r="14" spans="2:8" x14ac:dyDescent="0.3">
      <c r="B14" s="182" t="s">
        <v>294</v>
      </c>
      <c r="C14" s="182" t="s">
        <v>748</v>
      </c>
      <c r="G14" s="181" t="s">
        <v>643</v>
      </c>
      <c r="H14" s="6">
        <v>107040</v>
      </c>
    </row>
    <row r="15" spans="2:8" x14ac:dyDescent="0.3">
      <c r="B15" s="16" t="s">
        <v>306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749</v>
      </c>
      <c r="H15" s="6">
        <v>219486</v>
      </c>
    </row>
    <row r="16" spans="2:8" x14ac:dyDescent="0.3">
      <c r="B16" s="16" t="s">
        <v>590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654</v>
      </c>
      <c r="H16" s="6">
        <v>77544</v>
      </c>
    </row>
    <row r="17" spans="2:8" x14ac:dyDescent="0.3">
      <c r="B17" s="16" t="s">
        <v>747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654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342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643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679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749</v>
      </c>
      <c r="C22" s="184">
        <v>219486</v>
      </c>
    </row>
    <row r="23" spans="2:8" x14ac:dyDescent="0.3">
      <c r="B23" s="16" t="s">
        <v>746</v>
      </c>
      <c r="C23" s="184">
        <v>128256</v>
      </c>
    </row>
    <row r="24" spans="2:8" x14ac:dyDescent="0.3">
      <c r="B24" s="16" t="s">
        <v>743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activeCell="K19" sqref="K19"/>
      <selection pane="topRight" activeCell="K19" sqref="K19"/>
      <selection pane="bottomLeft" activeCell="K19" sqref="K19"/>
      <selection pane="bottomRight" activeCell="K19" sqref="K19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293</v>
      </c>
      <c r="B1" t="s">
        <v>16</v>
      </c>
    </row>
    <row r="3" spans="1:2" x14ac:dyDescent="0.3">
      <c r="A3" s="8" t="s">
        <v>750</v>
      </c>
    </row>
    <row r="4" spans="1:2" x14ac:dyDescent="0.3">
      <c r="A4" s="8" t="s">
        <v>33</v>
      </c>
      <c r="B4" t="s">
        <v>220</v>
      </c>
    </row>
    <row r="5" spans="1:2" x14ac:dyDescent="0.3">
      <c r="A5" t="s">
        <v>56</v>
      </c>
      <c r="B5" s="97">
        <v>1737038.96</v>
      </c>
    </row>
    <row r="6" spans="1:2" x14ac:dyDescent="0.3">
      <c r="A6" t="s">
        <v>63</v>
      </c>
      <c r="B6" s="97">
        <v>1522576.67</v>
      </c>
    </row>
    <row r="7" spans="1:2" x14ac:dyDescent="0.3">
      <c r="A7" t="s">
        <v>89</v>
      </c>
      <c r="B7" s="97">
        <v>1263122.23</v>
      </c>
    </row>
    <row r="8" spans="1:2" x14ac:dyDescent="0.3">
      <c r="A8" t="s">
        <v>174</v>
      </c>
      <c r="B8" s="97">
        <v>776946.67499999993</v>
      </c>
    </row>
    <row r="9" spans="1:2" x14ac:dyDescent="0.3">
      <c r="A9" t="s">
        <v>43</v>
      </c>
      <c r="B9" s="97">
        <v>654883.44999999995</v>
      </c>
    </row>
    <row r="10" spans="1:2" x14ac:dyDescent="0.3">
      <c r="A10" t="s">
        <v>196</v>
      </c>
      <c r="B10" s="97">
        <v>635699.3433333335</v>
      </c>
    </row>
    <row r="11" spans="1:2" x14ac:dyDescent="0.3">
      <c r="A11" t="s">
        <v>190</v>
      </c>
      <c r="B11" s="97">
        <v>226822.91666666669</v>
      </c>
    </row>
    <row r="12" spans="1:2" x14ac:dyDescent="0.3">
      <c r="A12" t="s">
        <v>115</v>
      </c>
      <c r="B12" s="97">
        <v>209854.97916666663</v>
      </c>
    </row>
    <row r="13" spans="1:2" ht="14.4" customHeight="1" x14ac:dyDescent="0.3">
      <c r="A13" t="s">
        <v>167</v>
      </c>
      <c r="B13" s="97">
        <v>124541.66666666666</v>
      </c>
    </row>
    <row r="14" spans="1:2" x14ac:dyDescent="0.3">
      <c r="A14" t="s">
        <v>187</v>
      </c>
      <c r="B14" s="97">
        <v>118470.15416666667</v>
      </c>
    </row>
    <row r="15" spans="1:2" x14ac:dyDescent="0.3">
      <c r="A15" t="s">
        <v>217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176</v>
      </c>
      <c r="B17" s="97">
        <v>92000</v>
      </c>
    </row>
    <row r="18" spans="1:2" x14ac:dyDescent="0.3">
      <c r="A18" t="s">
        <v>195</v>
      </c>
      <c r="B18" s="97">
        <v>72843.75</v>
      </c>
    </row>
    <row r="19" spans="1:2" x14ac:dyDescent="0.3">
      <c r="A19" t="s">
        <v>212</v>
      </c>
      <c r="B19" s="97">
        <v>69417.919999999998</v>
      </c>
    </row>
    <row r="20" spans="1:2" hidden="1" x14ac:dyDescent="0.3">
      <c r="A20" t="s">
        <v>199</v>
      </c>
      <c r="B20" s="142">
        <v>62500</v>
      </c>
    </row>
    <row r="21" spans="1:2" hidden="1" x14ac:dyDescent="0.3">
      <c r="A21" t="s">
        <v>152</v>
      </c>
      <c r="B21" s="142">
        <v>58201.666666666672</v>
      </c>
    </row>
    <row r="22" spans="1:2" hidden="1" x14ac:dyDescent="0.3">
      <c r="A22" t="s">
        <v>201</v>
      </c>
      <c r="B22" s="142">
        <v>57666.666666666672</v>
      </c>
    </row>
    <row r="23" spans="1:2" hidden="1" x14ac:dyDescent="0.3">
      <c r="A23" t="s">
        <v>214</v>
      </c>
      <c r="B23" s="142">
        <v>56980</v>
      </c>
    </row>
    <row r="24" spans="1:2" hidden="1" x14ac:dyDescent="0.3">
      <c r="A24" t="s">
        <v>158</v>
      </c>
      <c r="B24" s="142">
        <v>46713</v>
      </c>
    </row>
    <row r="25" spans="1:2" hidden="1" x14ac:dyDescent="0.3">
      <c r="A25" t="s">
        <v>120</v>
      </c>
      <c r="B25" s="142">
        <v>40500</v>
      </c>
    </row>
    <row r="26" spans="1:2" hidden="1" x14ac:dyDescent="0.3">
      <c r="A26" t="s">
        <v>149</v>
      </c>
      <c r="B26" s="142">
        <v>28503.335000000003</v>
      </c>
    </row>
    <row r="27" spans="1:2" hidden="1" x14ac:dyDescent="0.3">
      <c r="A27" t="s">
        <v>73</v>
      </c>
      <c r="B27" s="142">
        <v>15716.210000000001</v>
      </c>
    </row>
    <row r="28" spans="1:2" hidden="1" x14ac:dyDescent="0.3">
      <c r="A28" t="s">
        <v>155</v>
      </c>
      <c r="B28" s="142">
        <v>14025.49</v>
      </c>
    </row>
    <row r="29" spans="1:2" hidden="1" x14ac:dyDescent="0.3">
      <c r="A29" t="s">
        <v>181</v>
      </c>
      <c r="B29" s="142">
        <v>12000</v>
      </c>
    </row>
    <row r="30" spans="1:2" hidden="1" x14ac:dyDescent="0.3">
      <c r="A30" t="s">
        <v>179</v>
      </c>
      <c r="B30" s="142">
        <v>9900</v>
      </c>
    </row>
    <row r="31" spans="1:2" hidden="1" x14ac:dyDescent="0.3">
      <c r="A31" t="s">
        <v>207</v>
      </c>
      <c r="B31" s="142">
        <v>8895</v>
      </c>
    </row>
    <row r="32" spans="1:2" hidden="1" x14ac:dyDescent="0.3">
      <c r="A32" t="s">
        <v>151</v>
      </c>
      <c r="B32" s="142">
        <v>4800</v>
      </c>
    </row>
    <row r="33" spans="1:7" hidden="1" x14ac:dyDescent="0.3">
      <c r="A33" t="s">
        <v>184</v>
      </c>
      <c r="B33" s="142">
        <v>3192.75</v>
      </c>
    </row>
    <row r="34" spans="1:7" hidden="1" x14ac:dyDescent="0.3">
      <c r="A34" t="s">
        <v>194</v>
      </c>
      <c r="B34" s="142">
        <v>2808</v>
      </c>
    </row>
    <row r="35" spans="1:7" hidden="1" x14ac:dyDescent="0.3">
      <c r="A35" t="s">
        <v>192</v>
      </c>
      <c r="B35" s="142">
        <v>1260</v>
      </c>
    </row>
    <row r="36" spans="1:7" hidden="1" x14ac:dyDescent="0.3">
      <c r="A36" t="s">
        <v>72</v>
      </c>
      <c r="B36" s="142">
        <v>957.23</v>
      </c>
    </row>
    <row r="37" spans="1:7" hidden="1" x14ac:dyDescent="0.3">
      <c r="A37" t="s">
        <v>215</v>
      </c>
      <c r="B37" s="142">
        <v>878.21</v>
      </c>
    </row>
    <row r="38" spans="1:7" hidden="1" x14ac:dyDescent="0.3">
      <c r="A38" t="s">
        <v>164</v>
      </c>
      <c r="B38" s="142">
        <v>0</v>
      </c>
    </row>
    <row r="39" spans="1:7" hidden="1" x14ac:dyDescent="0.3">
      <c r="A39" t="s">
        <v>197</v>
      </c>
      <c r="B39" s="142">
        <v>0</v>
      </c>
    </row>
    <row r="40" spans="1:7" hidden="1" x14ac:dyDescent="0.3">
      <c r="A40" t="s">
        <v>206</v>
      </c>
      <c r="B40" s="142">
        <v>0</v>
      </c>
      <c r="G40" s="97"/>
    </row>
    <row r="41" spans="1:7" hidden="1" x14ac:dyDescent="0.3">
      <c r="A41" t="s">
        <v>205</v>
      </c>
      <c r="B41" s="142">
        <v>0</v>
      </c>
      <c r="G41" s="97"/>
    </row>
    <row r="42" spans="1:7" hidden="1" x14ac:dyDescent="0.3">
      <c r="A42" t="s">
        <v>162</v>
      </c>
      <c r="B42" s="142">
        <v>0</v>
      </c>
      <c r="G42" s="97"/>
    </row>
    <row r="43" spans="1:7" hidden="1" x14ac:dyDescent="0.3">
      <c r="A43" t="s">
        <v>171</v>
      </c>
      <c r="B43" s="142">
        <v>0</v>
      </c>
      <c r="G43" s="97"/>
    </row>
    <row r="44" spans="1:7" hidden="1" x14ac:dyDescent="0.3">
      <c r="A44" t="s">
        <v>208</v>
      </c>
      <c r="B44" s="142">
        <v>0</v>
      </c>
      <c r="G44" s="97"/>
    </row>
    <row r="45" spans="1:7" hidden="1" x14ac:dyDescent="0.3">
      <c r="A45" t="s">
        <v>210</v>
      </c>
      <c r="B45" s="142">
        <v>0</v>
      </c>
      <c r="G45" s="97"/>
    </row>
    <row r="46" spans="1:7" hidden="1" x14ac:dyDescent="0.3">
      <c r="A46" t="s">
        <v>172</v>
      </c>
      <c r="B46" s="142">
        <v>0</v>
      </c>
      <c r="G46" s="97"/>
    </row>
    <row r="47" spans="1:7" hidden="1" x14ac:dyDescent="0.3">
      <c r="A47" t="s">
        <v>189</v>
      </c>
      <c r="B47" s="142">
        <v>0</v>
      </c>
      <c r="G47" s="97"/>
    </row>
    <row r="48" spans="1:7" hidden="1" x14ac:dyDescent="0.3">
      <c r="A48" t="s">
        <v>203</v>
      </c>
      <c r="B48" s="142">
        <v>0</v>
      </c>
      <c r="G48" s="97"/>
    </row>
    <row r="49" spans="1:2" hidden="1" x14ac:dyDescent="0.3">
      <c r="A49" t="s">
        <v>209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activeCell="K19" sqref="K19"/>
      <selection pane="topRight" activeCell="K19" sqref="K19"/>
      <selection pane="bottomLeft" activeCell="K19" sqref="K19"/>
      <selection pane="bottomRight" activeCell="K19" sqref="K1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293</v>
      </c>
      <c r="B1" t="s">
        <v>331</v>
      </c>
    </row>
    <row r="3" spans="1:2" x14ac:dyDescent="0.3">
      <c r="A3" s="8" t="s">
        <v>750</v>
      </c>
    </row>
    <row r="4" spans="1:2" x14ac:dyDescent="0.3">
      <c r="A4" s="8" t="s">
        <v>33</v>
      </c>
      <c r="B4" t="s">
        <v>220</v>
      </c>
    </row>
    <row r="5" spans="1:2" x14ac:dyDescent="0.3">
      <c r="A5" t="s">
        <v>98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43</v>
      </c>
      <c r="B7" s="180">
        <v>1224214</v>
      </c>
    </row>
    <row r="8" spans="1:2" x14ac:dyDescent="0.3">
      <c r="A8" t="s">
        <v>102</v>
      </c>
      <c r="B8" s="180">
        <v>718868</v>
      </c>
    </row>
    <row r="9" spans="1:2" x14ac:dyDescent="0.3">
      <c r="A9" t="s">
        <v>115</v>
      </c>
      <c r="B9" s="180">
        <v>145141.29999999999</v>
      </c>
    </row>
    <row r="10" spans="1:2" hidden="1" x14ac:dyDescent="0.3">
      <c r="A10" t="s">
        <v>109</v>
      </c>
      <c r="B10" s="142">
        <v>85892</v>
      </c>
    </row>
    <row r="11" spans="1:2" hidden="1" x14ac:dyDescent="0.3">
      <c r="A11" t="s">
        <v>113</v>
      </c>
      <c r="B11" s="142">
        <v>75000</v>
      </c>
    </row>
    <row r="12" spans="1:2" hidden="1" x14ac:dyDescent="0.3">
      <c r="A12" t="s">
        <v>117</v>
      </c>
      <c r="B12" s="142">
        <v>46815</v>
      </c>
    </row>
    <row r="13" spans="1:2" ht="14.4" hidden="1" customHeight="1" x14ac:dyDescent="0.3">
      <c r="A13" t="s">
        <v>120</v>
      </c>
      <c r="B13" s="142">
        <v>32009.25</v>
      </c>
    </row>
    <row r="14" spans="1:2" hidden="1" x14ac:dyDescent="0.3">
      <c r="A14" t="s">
        <v>63</v>
      </c>
      <c r="B14" s="142">
        <v>10000</v>
      </c>
    </row>
    <row r="15" spans="1:2" hidden="1" x14ac:dyDescent="0.3">
      <c r="A15" t="s">
        <v>708</v>
      </c>
      <c r="B15" s="142">
        <v>0</v>
      </c>
    </row>
    <row r="16" spans="1:2" hidden="1" x14ac:dyDescent="0.3">
      <c r="A16" t="s">
        <v>52</v>
      </c>
      <c r="B16" s="142">
        <v>0</v>
      </c>
    </row>
    <row r="17" spans="1:2" hidden="1" x14ac:dyDescent="0.3">
      <c r="A17" t="s">
        <v>56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activeCell="K19" sqref="K19"/>
      <selection pane="topRight" activeCell="K19" sqref="K19"/>
      <selection pane="bottomLeft" activeCell="K19" sqref="K19"/>
      <selection pane="bottomRight" activeCell="K19" sqref="K1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293</v>
      </c>
      <c r="B1" t="s">
        <v>12</v>
      </c>
    </row>
    <row r="3" spans="1:2" x14ac:dyDescent="0.3">
      <c r="A3" s="8" t="s">
        <v>750</v>
      </c>
    </row>
    <row r="4" spans="1:2" x14ac:dyDescent="0.3">
      <c r="A4" s="8" t="s">
        <v>33</v>
      </c>
      <c r="B4" t="s">
        <v>220</v>
      </c>
    </row>
    <row r="5" spans="1:2" x14ac:dyDescent="0.3">
      <c r="A5" t="s">
        <v>89</v>
      </c>
      <c r="B5" s="6">
        <v>3127568.56</v>
      </c>
    </row>
    <row r="6" spans="1:2" x14ac:dyDescent="0.3">
      <c r="A6" t="s">
        <v>92</v>
      </c>
      <c r="B6" s="6">
        <v>122576.03</v>
      </c>
    </row>
    <row r="7" spans="1:2" x14ac:dyDescent="0.3">
      <c r="A7" t="s">
        <v>73</v>
      </c>
      <c r="B7" s="6">
        <v>57270.219999999994</v>
      </c>
    </row>
    <row r="8" spans="1:2" x14ac:dyDescent="0.3">
      <c r="A8" t="s">
        <v>72</v>
      </c>
      <c r="B8" s="6">
        <v>20838.490000000002</v>
      </c>
    </row>
    <row r="9" spans="1:2" x14ac:dyDescent="0.3">
      <c r="A9" t="s">
        <v>85</v>
      </c>
      <c r="B9" s="6">
        <v>15103.55</v>
      </c>
    </row>
    <row r="10" spans="1:2" hidden="1" x14ac:dyDescent="0.3">
      <c r="A10" t="s">
        <v>88</v>
      </c>
      <c r="B10" s="142">
        <v>13707.25</v>
      </c>
    </row>
    <row r="11" spans="1:2" hidden="1" x14ac:dyDescent="0.3">
      <c r="A11" t="s">
        <v>87</v>
      </c>
      <c r="B11" s="142">
        <v>10096.52</v>
      </c>
    </row>
    <row r="12" spans="1:2" hidden="1" x14ac:dyDescent="0.3">
      <c r="A12" t="s">
        <v>77</v>
      </c>
      <c r="B12" s="142">
        <v>9883.380000000001</v>
      </c>
    </row>
    <row r="13" spans="1:2" ht="14.4" hidden="1" customHeight="1" x14ac:dyDescent="0.3">
      <c r="A13" t="s">
        <v>86</v>
      </c>
      <c r="B13" s="142">
        <v>6681.98</v>
      </c>
    </row>
    <row r="14" spans="1:2" hidden="1" x14ac:dyDescent="0.3">
      <c r="A14" t="s">
        <v>84</v>
      </c>
      <c r="B14" s="142">
        <v>3133.6658999999995</v>
      </c>
    </row>
    <row r="15" spans="1:2" hidden="1" x14ac:dyDescent="0.3">
      <c r="A15" t="s">
        <v>91</v>
      </c>
      <c r="B15" s="142">
        <v>3000</v>
      </c>
    </row>
    <row r="16" spans="1:2" hidden="1" x14ac:dyDescent="0.3">
      <c r="A16" t="s">
        <v>751</v>
      </c>
      <c r="B16" s="142">
        <v>1912.75</v>
      </c>
    </row>
    <row r="17" spans="1:2" hidden="1" x14ac:dyDescent="0.3">
      <c r="A17" t="s">
        <v>79</v>
      </c>
      <c r="B17" s="142">
        <v>1861.8799999999999</v>
      </c>
    </row>
    <row r="18" spans="1:2" hidden="1" x14ac:dyDescent="0.3">
      <c r="A18" t="s">
        <v>752</v>
      </c>
      <c r="B18" s="142">
        <v>0</v>
      </c>
    </row>
    <row r="19" spans="1:2" hidden="1" x14ac:dyDescent="0.3">
      <c r="A19" t="s">
        <v>94</v>
      </c>
      <c r="B19" s="142">
        <v>0</v>
      </c>
    </row>
    <row r="20" spans="1:2" hidden="1" x14ac:dyDescent="0.3">
      <c r="A20" t="s">
        <v>82</v>
      </c>
      <c r="B20" s="142">
        <v>0</v>
      </c>
    </row>
    <row r="21" spans="1:2" hidden="1" x14ac:dyDescent="0.3">
      <c r="A21" t="s">
        <v>95</v>
      </c>
      <c r="B21" s="142">
        <v>0</v>
      </c>
    </row>
    <row r="22" spans="1:2" hidden="1" x14ac:dyDescent="0.3">
      <c r="A22" t="s">
        <v>80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N8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55" sqref="B55"/>
    </sheetView>
  </sheetViews>
  <sheetFormatPr defaultRowHeight="14.4" x14ac:dyDescent="0.3"/>
  <cols>
    <col min="1" max="1" width="42.77734375" bestFit="1" customWidth="1"/>
    <col min="2" max="2" width="24.109375" bestFit="1" customWidth="1"/>
    <col min="3" max="3" width="20.44140625" bestFit="1" customWidth="1"/>
    <col min="4" max="4" width="21.44140625" bestFit="1" customWidth="1"/>
    <col min="5" max="5" width="20.77734375" bestFit="1" customWidth="1"/>
    <col min="6" max="6" width="21.77734375" bestFit="1" customWidth="1"/>
    <col min="7" max="7" width="21.88671875" bestFit="1" customWidth="1"/>
    <col min="8" max="8" width="19.109375" customWidth="1"/>
    <col min="9" max="9" width="21.88671875" bestFit="1" customWidth="1"/>
    <col min="10" max="10" width="28.21875" bestFit="1" customWidth="1"/>
    <col min="11" max="11" width="21.88671875" bestFit="1" customWidth="1"/>
    <col min="12" max="12" width="20.44140625" bestFit="1" customWidth="1"/>
    <col min="13" max="13" width="21.44140625" bestFit="1" customWidth="1"/>
    <col min="14" max="14" width="21.77734375" bestFit="1" customWidth="1"/>
    <col min="1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14" x14ac:dyDescent="0.3">
      <c r="A1" s="8" t="s">
        <v>0</v>
      </c>
      <c r="B1" t="s">
        <v>1</v>
      </c>
      <c r="G1" s="189">
        <v>447143.17741666653</v>
      </c>
      <c r="K1" s="8" t="s">
        <v>29</v>
      </c>
    </row>
    <row r="2" spans="1:14" x14ac:dyDescent="0.3">
      <c r="G2">
        <v>20000</v>
      </c>
      <c r="H2" s="8" t="s">
        <v>18</v>
      </c>
      <c r="I2" s="8" t="s">
        <v>30</v>
      </c>
      <c r="J2" s="8" t="s">
        <v>33</v>
      </c>
      <c r="K2" t="s">
        <v>5</v>
      </c>
      <c r="L2" t="s">
        <v>750</v>
      </c>
      <c r="M2" t="s">
        <v>753</v>
      </c>
      <c r="N2" t="s">
        <v>9</v>
      </c>
    </row>
    <row r="3" spans="1:14" x14ac:dyDescent="0.3">
      <c r="B3" s="8" t="s">
        <v>29</v>
      </c>
      <c r="G3" s="189">
        <f>SUBTOTAL(9,G1:G2)</f>
        <v>467143.17741666653</v>
      </c>
      <c r="H3" t="s">
        <v>10</v>
      </c>
      <c r="K3" s="6">
        <v>3678567</v>
      </c>
      <c r="L3" s="6">
        <v>810000</v>
      </c>
      <c r="M3" s="6">
        <v>876396</v>
      </c>
      <c r="N3" s="6">
        <v>-1992171</v>
      </c>
    </row>
    <row r="4" spans="1:14" x14ac:dyDescent="0.3">
      <c r="A4" s="8" t="s">
        <v>33</v>
      </c>
      <c r="B4" t="s">
        <v>5</v>
      </c>
      <c r="C4" t="s">
        <v>750</v>
      </c>
      <c r="D4" t="s">
        <v>753</v>
      </c>
      <c r="E4" t="s">
        <v>740</v>
      </c>
      <c r="F4" t="s">
        <v>9</v>
      </c>
      <c r="H4" t="s">
        <v>11</v>
      </c>
      <c r="K4" s="6">
        <v>116236</v>
      </c>
      <c r="L4" s="6">
        <v>22943.070000000003</v>
      </c>
      <c r="M4" s="6">
        <v>158988.33333333334</v>
      </c>
      <c r="N4" s="6">
        <v>65695.403333333335</v>
      </c>
    </row>
    <row r="5" spans="1:14" hidden="1" x14ac:dyDescent="0.3">
      <c r="A5" t="s">
        <v>52</v>
      </c>
      <c r="B5" s="142">
        <v>262896</v>
      </c>
      <c r="C5" s="142">
        <v>0</v>
      </c>
      <c r="D5" s="142">
        <v>162896</v>
      </c>
      <c r="E5" s="142">
        <v>162896</v>
      </c>
      <c r="F5" s="142">
        <v>-100000</v>
      </c>
      <c r="H5" t="s">
        <v>12</v>
      </c>
      <c r="K5" s="6">
        <v>8342615.0750000002</v>
      </c>
      <c r="L5" s="6">
        <v>3370691.2058999995</v>
      </c>
      <c r="M5" s="6">
        <v>4942460.416666667</v>
      </c>
      <c r="N5" s="6">
        <v>-29463.452433332935</v>
      </c>
    </row>
    <row r="6" spans="1:14" hidden="1" x14ac:dyDescent="0.3">
      <c r="A6" t="s">
        <v>149</v>
      </c>
      <c r="B6" s="142">
        <v>191646</v>
      </c>
      <c r="C6" s="142">
        <v>28503.335000000003</v>
      </c>
      <c r="D6" s="142">
        <v>99761.672500000001</v>
      </c>
      <c r="E6" s="142">
        <v>128265.00750000001</v>
      </c>
      <c r="F6" s="142">
        <v>-63380.992500000008</v>
      </c>
      <c r="H6" t="s">
        <v>13</v>
      </c>
      <c r="I6" t="s">
        <v>20</v>
      </c>
      <c r="J6" t="s">
        <v>98</v>
      </c>
      <c r="K6" s="6">
        <v>1438080</v>
      </c>
      <c r="L6" s="6">
        <v>638729</v>
      </c>
      <c r="M6" s="6">
        <v>838880</v>
      </c>
      <c r="N6" s="6">
        <v>39529</v>
      </c>
    </row>
    <row r="7" spans="1:14" hidden="1" x14ac:dyDescent="0.3">
      <c r="A7" t="s">
        <v>174</v>
      </c>
      <c r="B7" s="142">
        <v>1778445.9000000001</v>
      </c>
      <c r="C7" s="142">
        <v>776946.67499999993</v>
      </c>
      <c r="D7" s="142">
        <v>1087725.345</v>
      </c>
      <c r="E7" s="142">
        <v>1864672.02</v>
      </c>
      <c r="F7" s="142">
        <v>86226.119999999646</v>
      </c>
      <c r="J7" t="s">
        <v>41</v>
      </c>
      <c r="K7" s="6">
        <v>403200</v>
      </c>
      <c r="L7" s="6">
        <v>323563.92</v>
      </c>
      <c r="M7" s="6">
        <v>235200</v>
      </c>
      <c r="N7" s="6">
        <v>155563.91999999993</v>
      </c>
    </row>
    <row r="8" spans="1:14" hidden="1" x14ac:dyDescent="0.3">
      <c r="A8" t="s">
        <v>95</v>
      </c>
      <c r="B8" s="142">
        <v>292</v>
      </c>
      <c r="C8" s="142">
        <v>0</v>
      </c>
      <c r="D8" s="142">
        <v>292</v>
      </c>
      <c r="E8" s="142">
        <v>292</v>
      </c>
      <c r="F8" s="142">
        <v>0</v>
      </c>
      <c r="J8" t="s">
        <v>43</v>
      </c>
      <c r="K8" s="6">
        <v>216000</v>
      </c>
      <c r="L8" s="6">
        <v>312400</v>
      </c>
      <c r="M8" s="6">
        <v>1733600</v>
      </c>
      <c r="N8" s="6">
        <v>1830000</v>
      </c>
    </row>
    <row r="9" spans="1:14" hidden="1" x14ac:dyDescent="0.3">
      <c r="A9" t="s">
        <v>146</v>
      </c>
      <c r="B9" s="142">
        <v>1441947</v>
      </c>
      <c r="C9" s="142">
        <v>600811.08750000014</v>
      </c>
      <c r="D9" s="142">
        <v>841135.5225000002</v>
      </c>
      <c r="E9" s="142">
        <v>1441946.6100000003</v>
      </c>
      <c r="F9" s="142">
        <v>-0.38999999966472387</v>
      </c>
      <c r="J9" t="s">
        <v>102</v>
      </c>
      <c r="K9" s="6">
        <v>1540800</v>
      </c>
      <c r="L9" s="6">
        <v>718868</v>
      </c>
      <c r="M9" s="6">
        <v>763520</v>
      </c>
      <c r="N9" s="6">
        <v>-58412</v>
      </c>
    </row>
    <row r="10" spans="1:14" hidden="1" x14ac:dyDescent="0.3">
      <c r="A10" t="s">
        <v>98</v>
      </c>
      <c r="B10" s="142">
        <v>3649280</v>
      </c>
      <c r="C10" s="142">
        <v>1485626</v>
      </c>
      <c r="D10" s="142">
        <v>1881080</v>
      </c>
      <c r="E10" s="142">
        <v>3366706</v>
      </c>
      <c r="F10" s="142">
        <v>-282574</v>
      </c>
      <c r="I10" t="s">
        <v>48</v>
      </c>
      <c r="K10" s="6">
        <v>3598080</v>
      </c>
      <c r="L10" s="6">
        <v>1993560.92</v>
      </c>
      <c r="M10" s="6">
        <v>3571200</v>
      </c>
      <c r="N10" s="6">
        <v>1966680.92</v>
      </c>
    </row>
    <row r="11" spans="1:14" hidden="1" x14ac:dyDescent="0.3">
      <c r="A11" t="s">
        <v>117</v>
      </c>
      <c r="B11" s="142">
        <v>100000</v>
      </c>
      <c r="C11" s="142">
        <v>46815</v>
      </c>
      <c r="D11" s="142">
        <v>53185</v>
      </c>
      <c r="E11" s="142">
        <v>100000</v>
      </c>
      <c r="F11" s="142">
        <v>0</v>
      </c>
      <c r="I11" t="s">
        <v>21</v>
      </c>
      <c r="K11" s="6">
        <v>414080</v>
      </c>
      <c r="L11" s="6">
        <v>182644</v>
      </c>
      <c r="M11" s="6">
        <v>254080</v>
      </c>
      <c r="N11" s="6">
        <v>22644</v>
      </c>
    </row>
    <row r="12" spans="1:14" hidden="1" x14ac:dyDescent="0.3">
      <c r="A12" t="s">
        <v>123</v>
      </c>
      <c r="B12" s="142">
        <v>4409</v>
      </c>
      <c r="C12" s="142">
        <v>4982.8</v>
      </c>
      <c r="D12" s="142">
        <v>0</v>
      </c>
      <c r="E12" s="142">
        <v>4982.8</v>
      </c>
      <c r="F12" s="142">
        <v>573.80000000000018</v>
      </c>
      <c r="I12" t="s">
        <v>22</v>
      </c>
      <c r="J12" t="s">
        <v>98</v>
      </c>
      <c r="K12" s="6">
        <v>1505280</v>
      </c>
      <c r="L12" s="6">
        <v>527296</v>
      </c>
      <c r="M12" s="6">
        <v>641480</v>
      </c>
      <c r="N12" s="6">
        <v>-336504</v>
      </c>
    </row>
    <row r="13" spans="1:14" ht="14.4" hidden="1" customHeight="1" x14ac:dyDescent="0.3">
      <c r="A13" t="s">
        <v>77</v>
      </c>
      <c r="B13" s="142">
        <v>36345</v>
      </c>
      <c r="C13" s="142">
        <v>9883.380000000001</v>
      </c>
      <c r="D13" s="142">
        <v>27258.750000000004</v>
      </c>
      <c r="E13" s="142">
        <v>37142.130000000005</v>
      </c>
      <c r="F13" s="142">
        <v>797.13000000000466</v>
      </c>
      <c r="J13" t="s">
        <v>41</v>
      </c>
      <c r="K13" s="6">
        <v>252000</v>
      </c>
      <c r="L13" s="6">
        <v>97650</v>
      </c>
      <c r="M13" s="6">
        <v>147000</v>
      </c>
      <c r="N13" s="6">
        <v>-7350</v>
      </c>
    </row>
    <row r="14" spans="1:14" hidden="1" x14ac:dyDescent="0.3">
      <c r="A14" t="s">
        <v>79</v>
      </c>
      <c r="B14" s="142">
        <v>4230</v>
      </c>
      <c r="C14" s="142">
        <v>1861.8799999999999</v>
      </c>
      <c r="D14" s="142">
        <v>2465</v>
      </c>
      <c r="E14" s="142">
        <v>4326.88</v>
      </c>
      <c r="F14" s="142">
        <v>96.880000000000109</v>
      </c>
      <c r="I14" t="s">
        <v>65</v>
      </c>
      <c r="K14" s="6">
        <v>1757280</v>
      </c>
      <c r="L14" s="6">
        <v>624946</v>
      </c>
      <c r="M14" s="6">
        <v>788480</v>
      </c>
      <c r="N14" s="6">
        <v>-343854</v>
      </c>
    </row>
    <row r="15" spans="1:14" hidden="1" x14ac:dyDescent="0.3">
      <c r="A15" t="s">
        <v>80</v>
      </c>
      <c r="B15" s="142">
        <v>2863</v>
      </c>
      <c r="C15" s="142">
        <v>0</v>
      </c>
      <c r="D15" s="142">
        <v>2863</v>
      </c>
      <c r="E15" s="142">
        <v>2863</v>
      </c>
      <c r="F15" s="142">
        <v>0</v>
      </c>
      <c r="I15" t="s">
        <v>23</v>
      </c>
      <c r="K15" s="6">
        <v>830400</v>
      </c>
      <c r="L15" s="6">
        <v>153040</v>
      </c>
      <c r="M15" s="6">
        <v>398400</v>
      </c>
      <c r="N15" s="6">
        <v>-278960</v>
      </c>
    </row>
    <row r="16" spans="1:14" hidden="1" x14ac:dyDescent="0.3">
      <c r="A16" t="s">
        <v>125</v>
      </c>
      <c r="B16" s="142">
        <v>14886</v>
      </c>
      <c r="C16" s="142">
        <v>5443.74</v>
      </c>
      <c r="D16" s="142">
        <v>7621.3200000000006</v>
      </c>
      <c r="E16" s="142">
        <v>13065.060000000001</v>
      </c>
      <c r="F16" s="142">
        <v>-1820.9400000000005</v>
      </c>
      <c r="I16" t="s">
        <v>25</v>
      </c>
      <c r="K16" s="6">
        <v>672000</v>
      </c>
      <c r="L16" s="6">
        <v>268945</v>
      </c>
      <c r="M16" s="6">
        <v>392400</v>
      </c>
      <c r="N16" s="6">
        <v>-10655</v>
      </c>
    </row>
    <row r="17" spans="1:14" hidden="1" x14ac:dyDescent="0.3">
      <c r="A17" t="s">
        <v>196</v>
      </c>
      <c r="B17" s="142">
        <v>1211114.9924999999</v>
      </c>
      <c r="C17" s="142">
        <v>635699.3433333335</v>
      </c>
      <c r="D17" s="142">
        <v>575415.35666666669</v>
      </c>
      <c r="E17" s="142">
        <v>1211114.7000000002</v>
      </c>
      <c r="F17" s="142">
        <v>-0.29249999998137355</v>
      </c>
      <c r="H17" t="s">
        <v>111</v>
      </c>
      <c r="K17" s="6">
        <v>7271840</v>
      </c>
      <c r="L17" s="6">
        <v>3223135.92</v>
      </c>
      <c r="M17" s="6">
        <v>5404560</v>
      </c>
      <c r="N17" s="6">
        <v>1355855.92</v>
      </c>
    </row>
    <row r="18" spans="1:14" hidden="1" x14ac:dyDescent="0.3">
      <c r="A18" t="s">
        <v>203</v>
      </c>
      <c r="B18" s="142">
        <v>50400</v>
      </c>
      <c r="C18" s="142">
        <v>0</v>
      </c>
      <c r="D18" s="142">
        <v>50400</v>
      </c>
      <c r="E18" s="142">
        <v>50400</v>
      </c>
      <c r="F18" s="142">
        <v>0</v>
      </c>
      <c r="H18" t="s">
        <v>14</v>
      </c>
      <c r="K18" s="6">
        <v>2751491.34</v>
      </c>
      <c r="L18" s="6">
        <v>1131259.55</v>
      </c>
      <c r="M18" s="6">
        <v>1604604.26</v>
      </c>
      <c r="N18" s="6">
        <v>-15627.529999999999</v>
      </c>
    </row>
    <row r="19" spans="1:14" hidden="1" x14ac:dyDescent="0.3">
      <c r="A19" t="s">
        <v>120</v>
      </c>
      <c r="B19" s="142">
        <v>131625</v>
      </c>
      <c r="C19" s="142">
        <v>72509.25</v>
      </c>
      <c r="D19" s="142">
        <v>58725</v>
      </c>
      <c r="E19" s="142">
        <v>131234.25</v>
      </c>
      <c r="F19" s="142">
        <v>-390.75</v>
      </c>
      <c r="H19" t="s">
        <v>15</v>
      </c>
      <c r="K19" s="6">
        <v>2229219</v>
      </c>
      <c r="L19" s="6">
        <v>752346.37750000018</v>
      </c>
      <c r="M19" s="6">
        <v>1461162.8425000003</v>
      </c>
      <c r="N19" s="6">
        <v>-15709.779999999697</v>
      </c>
    </row>
    <row r="20" spans="1:14" hidden="1" x14ac:dyDescent="0.3">
      <c r="A20" t="s">
        <v>73</v>
      </c>
      <c r="B20" s="142">
        <v>1555160.9220000003</v>
      </c>
      <c r="C20" s="142">
        <v>72986.430000000008</v>
      </c>
      <c r="D20" s="142">
        <v>1538596.2643333334</v>
      </c>
      <c r="E20" s="142">
        <v>1611582.6943333333</v>
      </c>
      <c r="F20" s="142">
        <v>56421.772333333327</v>
      </c>
      <c r="H20" t="s">
        <v>16</v>
      </c>
      <c r="K20" s="6">
        <v>20398429.54115</v>
      </c>
      <c r="L20" s="6">
        <v>8134460.5133333355</v>
      </c>
      <c r="M20" s="6">
        <v>13342532.644333337</v>
      </c>
      <c r="N20" s="6">
        <v>1078563.616516666</v>
      </c>
    </row>
    <row r="21" spans="1:14" hidden="1" x14ac:dyDescent="0.3">
      <c r="A21" t="s">
        <v>82</v>
      </c>
      <c r="B21" s="142">
        <v>1674</v>
      </c>
      <c r="C21" s="142">
        <v>0</v>
      </c>
      <c r="D21" s="142">
        <v>0</v>
      </c>
      <c r="E21" s="142">
        <v>0</v>
      </c>
      <c r="F21" s="142">
        <v>-1674</v>
      </c>
      <c r="H21" t="s">
        <v>17</v>
      </c>
      <c r="K21" s="6">
        <v>44788397.956149995</v>
      </c>
      <c r="L21" s="6">
        <v>17444836.636733335</v>
      </c>
      <c r="M21" s="6">
        <v>27790704.496833336</v>
      </c>
      <c r="N21" s="6">
        <v>447143.17741666653</v>
      </c>
    </row>
    <row r="22" spans="1:14" hidden="1" x14ac:dyDescent="0.3">
      <c r="A22" t="s">
        <v>140</v>
      </c>
      <c r="B22" s="142">
        <v>236250</v>
      </c>
      <c r="C22" s="142">
        <v>0</v>
      </c>
      <c r="D22" s="142">
        <v>236250</v>
      </c>
      <c r="E22" s="142">
        <v>236250</v>
      </c>
      <c r="F22" s="142">
        <v>0</v>
      </c>
    </row>
    <row r="23" spans="1:14" hidden="1" x14ac:dyDescent="0.3">
      <c r="A23" t="s">
        <v>205</v>
      </c>
      <c r="B23" s="142">
        <v>32760</v>
      </c>
      <c r="C23" s="142">
        <v>0</v>
      </c>
      <c r="D23" s="142">
        <v>32760</v>
      </c>
      <c r="E23" s="142">
        <v>32760</v>
      </c>
      <c r="F23" s="142">
        <v>0</v>
      </c>
    </row>
    <row r="24" spans="1:14" hidden="1" x14ac:dyDescent="0.3">
      <c r="A24" t="s">
        <v>151</v>
      </c>
      <c r="B24" s="142">
        <v>10080</v>
      </c>
      <c r="C24" s="142">
        <v>4800</v>
      </c>
      <c r="D24" s="142">
        <v>5280</v>
      </c>
      <c r="E24" s="142">
        <v>10080</v>
      </c>
      <c r="F24" s="142">
        <v>0</v>
      </c>
    </row>
    <row r="25" spans="1:14" hidden="1" x14ac:dyDescent="0.3">
      <c r="A25" t="s">
        <v>152</v>
      </c>
      <c r="B25" s="142">
        <v>139684</v>
      </c>
      <c r="C25" s="142">
        <v>58201.666666666672</v>
      </c>
      <c r="D25" s="142">
        <v>81482.333333333328</v>
      </c>
      <c r="E25" s="142">
        <v>139684</v>
      </c>
      <c r="F25" s="142">
        <v>-2.9103830456733704E-11</v>
      </c>
    </row>
    <row r="26" spans="1:14" hidden="1" x14ac:dyDescent="0.3">
      <c r="A26" t="s">
        <v>206</v>
      </c>
      <c r="B26" s="142">
        <v>3150</v>
      </c>
      <c r="C26" s="142">
        <v>0</v>
      </c>
      <c r="D26" s="142">
        <v>3150</v>
      </c>
      <c r="E26" s="142">
        <v>3150</v>
      </c>
      <c r="F26" s="142">
        <v>0</v>
      </c>
    </row>
    <row r="27" spans="1:14" hidden="1" x14ac:dyDescent="0.3">
      <c r="A27" t="s">
        <v>176</v>
      </c>
      <c r="B27" s="142">
        <v>0</v>
      </c>
      <c r="C27" s="142">
        <v>92000</v>
      </c>
      <c r="D27" s="142">
        <v>10000</v>
      </c>
      <c r="E27" s="142">
        <v>102000</v>
      </c>
      <c r="F27" s="142">
        <v>102000</v>
      </c>
    </row>
    <row r="28" spans="1:14" hidden="1" x14ac:dyDescent="0.3">
      <c r="A28" t="s">
        <v>41</v>
      </c>
      <c r="B28" s="142">
        <v>4019347.1</v>
      </c>
      <c r="C28" s="142">
        <v>1436871.5599999998</v>
      </c>
      <c r="D28" s="142">
        <v>2283840</v>
      </c>
      <c r="E28" s="142">
        <v>3720711.56</v>
      </c>
      <c r="F28" s="142">
        <v>-298635.5400000001</v>
      </c>
    </row>
    <row r="29" spans="1:14" hidden="1" x14ac:dyDescent="0.3">
      <c r="A29" t="s">
        <v>84</v>
      </c>
      <c r="B29" s="142">
        <v>7043</v>
      </c>
      <c r="C29" s="142">
        <v>3133.6658999999995</v>
      </c>
      <c r="D29" s="142">
        <v>4108</v>
      </c>
      <c r="E29" s="142">
        <v>7241.6659</v>
      </c>
      <c r="F29" s="142">
        <v>198.66589999999997</v>
      </c>
    </row>
    <row r="30" spans="1:14" hidden="1" x14ac:dyDescent="0.3">
      <c r="A30" t="s">
        <v>85</v>
      </c>
      <c r="B30" s="142">
        <v>35314</v>
      </c>
      <c r="C30" s="142">
        <v>15103.55</v>
      </c>
      <c r="D30" s="142">
        <v>20599</v>
      </c>
      <c r="E30" s="142">
        <v>35702.550000000003</v>
      </c>
      <c r="F30" s="142">
        <v>388.54999999999563</v>
      </c>
    </row>
    <row r="31" spans="1:14" hidden="1" x14ac:dyDescent="0.3">
      <c r="A31" t="s">
        <v>109</v>
      </c>
      <c r="B31" s="142">
        <v>218880</v>
      </c>
      <c r="C31" s="142">
        <v>85892</v>
      </c>
      <c r="D31" s="142">
        <v>127680</v>
      </c>
      <c r="E31" s="142">
        <v>213572</v>
      </c>
      <c r="F31" s="142">
        <v>-5308</v>
      </c>
    </row>
    <row r="32" spans="1:14" hidden="1" x14ac:dyDescent="0.3">
      <c r="A32" t="s">
        <v>155</v>
      </c>
      <c r="B32" s="142">
        <v>117539.0055</v>
      </c>
      <c r="C32" s="142">
        <v>14025.49</v>
      </c>
      <c r="D32" s="142">
        <v>103536.75</v>
      </c>
      <c r="E32" s="142">
        <v>117562.23999999999</v>
      </c>
      <c r="F32" s="142">
        <v>23.234500000002299</v>
      </c>
    </row>
    <row r="33" spans="1:6" hidden="1" x14ac:dyDescent="0.3">
      <c r="A33" t="s">
        <v>162</v>
      </c>
      <c r="B33" s="142">
        <v>5250</v>
      </c>
      <c r="C33" s="142">
        <v>0</v>
      </c>
      <c r="D33" s="142">
        <v>5250</v>
      </c>
      <c r="E33" s="142">
        <v>5250</v>
      </c>
      <c r="F33" s="142">
        <v>0</v>
      </c>
    </row>
    <row r="34" spans="1:6" hidden="1" x14ac:dyDescent="0.3">
      <c r="A34" t="s">
        <v>207</v>
      </c>
      <c r="B34" s="142">
        <v>48934</v>
      </c>
      <c r="C34" s="142">
        <v>8895</v>
      </c>
      <c r="D34" s="142">
        <v>40037</v>
      </c>
      <c r="E34" s="142">
        <v>48932</v>
      </c>
      <c r="F34" s="142">
        <v>-2</v>
      </c>
    </row>
    <row r="35" spans="1:6" hidden="1" x14ac:dyDescent="0.3">
      <c r="A35" t="s">
        <v>56</v>
      </c>
      <c r="B35" s="142">
        <v>3667396</v>
      </c>
      <c r="C35" s="142">
        <v>1737038.96</v>
      </c>
      <c r="D35" s="142">
        <v>2336436.4099999997</v>
      </c>
      <c r="E35" s="142">
        <v>4073475.3699999996</v>
      </c>
      <c r="F35" s="142">
        <v>406079.36999999918</v>
      </c>
    </row>
    <row r="36" spans="1:6" hidden="1" x14ac:dyDescent="0.3">
      <c r="A36" t="s">
        <v>197</v>
      </c>
      <c r="B36" s="142">
        <v>238897.86250000002</v>
      </c>
      <c r="C36" s="142">
        <v>0</v>
      </c>
      <c r="D36" s="142">
        <v>232868.65</v>
      </c>
      <c r="E36" s="142">
        <v>232868.65</v>
      </c>
      <c r="F36" s="142">
        <v>-6029.2125000000233</v>
      </c>
    </row>
    <row r="37" spans="1:6" hidden="1" x14ac:dyDescent="0.3">
      <c r="A37" t="s">
        <v>137</v>
      </c>
      <c r="B37" s="142">
        <v>359</v>
      </c>
      <c r="C37" s="142">
        <v>0</v>
      </c>
      <c r="D37" s="142">
        <v>359</v>
      </c>
      <c r="E37" s="142">
        <v>359</v>
      </c>
      <c r="F37" s="142">
        <v>0</v>
      </c>
    </row>
    <row r="38" spans="1:6" hidden="1" x14ac:dyDescent="0.3">
      <c r="A38" t="s">
        <v>179</v>
      </c>
      <c r="B38" s="142">
        <v>14700</v>
      </c>
      <c r="C38" s="142">
        <v>9900</v>
      </c>
      <c r="D38" s="142">
        <v>46050</v>
      </c>
      <c r="E38" s="142">
        <v>55950</v>
      </c>
      <c r="F38" s="142">
        <v>41250</v>
      </c>
    </row>
    <row r="39" spans="1:6" hidden="1" x14ac:dyDescent="0.3">
      <c r="A39" t="s">
        <v>181</v>
      </c>
      <c r="B39" s="142">
        <v>12600</v>
      </c>
      <c r="C39" s="142">
        <v>12000</v>
      </c>
      <c r="D39" s="142">
        <v>0</v>
      </c>
      <c r="E39" s="142">
        <v>12000</v>
      </c>
      <c r="F39" s="142">
        <v>-600</v>
      </c>
    </row>
    <row r="40" spans="1:6" hidden="1" x14ac:dyDescent="0.3">
      <c r="A40" t="s">
        <v>127</v>
      </c>
      <c r="B40" s="142">
        <v>8400</v>
      </c>
      <c r="C40" s="142">
        <v>8000</v>
      </c>
      <c r="D40" s="142">
        <v>0</v>
      </c>
      <c r="E40" s="142">
        <v>8000</v>
      </c>
      <c r="F40" s="142">
        <v>-400</v>
      </c>
    </row>
    <row r="41" spans="1:6" hidden="1" x14ac:dyDescent="0.3">
      <c r="A41" t="s">
        <v>208</v>
      </c>
      <c r="B41" s="142">
        <v>90000</v>
      </c>
      <c r="C41" s="142">
        <v>0</v>
      </c>
      <c r="D41" s="142">
        <v>90000</v>
      </c>
      <c r="E41" s="142">
        <v>90000</v>
      </c>
      <c r="F41" s="142">
        <v>0</v>
      </c>
    </row>
    <row r="42" spans="1:6" hidden="1" x14ac:dyDescent="0.3">
      <c r="A42" t="s">
        <v>43</v>
      </c>
      <c r="B42" s="142">
        <v>4083010.9241500003</v>
      </c>
      <c r="C42" s="142">
        <v>1879097.45</v>
      </c>
      <c r="D42" s="142">
        <v>2835241.5125000002</v>
      </c>
      <c r="E42" s="142">
        <v>4714338.9625000004</v>
      </c>
      <c r="F42" s="142">
        <v>631328.03834999993</v>
      </c>
    </row>
    <row r="43" spans="1:6" hidden="1" x14ac:dyDescent="0.3">
      <c r="A43" t="s">
        <v>192</v>
      </c>
      <c r="B43" s="142">
        <v>1260</v>
      </c>
      <c r="C43" s="142">
        <v>1260</v>
      </c>
      <c r="D43" s="142">
        <v>0</v>
      </c>
      <c r="E43" s="142">
        <v>1260</v>
      </c>
      <c r="F43" s="142">
        <v>0</v>
      </c>
    </row>
    <row r="44" spans="1:6" hidden="1" x14ac:dyDescent="0.3">
      <c r="A44" t="s">
        <v>102</v>
      </c>
      <c r="B44" s="142">
        <v>1540800</v>
      </c>
      <c r="C44" s="142">
        <v>718868</v>
      </c>
      <c r="D44" s="142">
        <v>763520</v>
      </c>
      <c r="E44" s="142">
        <v>1482388</v>
      </c>
      <c r="F44" s="142">
        <v>-58412</v>
      </c>
    </row>
    <row r="45" spans="1:6" hidden="1" x14ac:dyDescent="0.3">
      <c r="A45" t="s">
        <v>86</v>
      </c>
      <c r="B45" s="142">
        <v>18865</v>
      </c>
      <c r="C45" s="142">
        <v>6681.98</v>
      </c>
      <c r="D45" s="142">
        <v>12829</v>
      </c>
      <c r="E45" s="142">
        <v>19510.98</v>
      </c>
      <c r="F45" s="142">
        <v>645.97999999999956</v>
      </c>
    </row>
    <row r="46" spans="1:6" hidden="1" x14ac:dyDescent="0.3">
      <c r="A46" t="s">
        <v>87</v>
      </c>
      <c r="B46" s="142">
        <v>25439</v>
      </c>
      <c r="C46" s="142">
        <v>10096.52</v>
      </c>
      <c r="D46" s="142">
        <v>14839.416666666664</v>
      </c>
      <c r="E46" s="142">
        <v>24935.936666666665</v>
      </c>
      <c r="F46" s="142">
        <v>-503.06333333333168</v>
      </c>
    </row>
    <row r="47" spans="1:6" hidden="1" x14ac:dyDescent="0.3">
      <c r="A47" t="s">
        <v>209</v>
      </c>
      <c r="B47" s="142">
        <v>2594.5500000000002</v>
      </c>
      <c r="C47" s="142">
        <v>0</v>
      </c>
      <c r="D47" s="142">
        <v>2595</v>
      </c>
      <c r="E47" s="142">
        <v>2595</v>
      </c>
      <c r="F47" s="142">
        <v>0.4499999999998181</v>
      </c>
    </row>
    <row r="48" spans="1:6" hidden="1" x14ac:dyDescent="0.3">
      <c r="A48" t="s">
        <v>88</v>
      </c>
      <c r="B48" s="142">
        <v>34537</v>
      </c>
      <c r="C48" s="142">
        <v>13707.25</v>
      </c>
      <c r="D48" s="142">
        <v>20146.583333333332</v>
      </c>
      <c r="E48" s="142">
        <v>33853.833333333328</v>
      </c>
      <c r="F48" s="142">
        <v>-683.16666666666424</v>
      </c>
    </row>
    <row r="49" spans="1:6" hidden="1" x14ac:dyDescent="0.3">
      <c r="A49" t="s">
        <v>164</v>
      </c>
      <c r="B49" s="142">
        <v>27790.5285</v>
      </c>
      <c r="C49" s="142">
        <v>0</v>
      </c>
      <c r="D49" s="142">
        <v>27791</v>
      </c>
      <c r="E49" s="142">
        <v>27791</v>
      </c>
      <c r="F49" s="142">
        <v>0.47149999999783176</v>
      </c>
    </row>
    <row r="50" spans="1:6" hidden="1" x14ac:dyDescent="0.3">
      <c r="A50" t="s">
        <v>184</v>
      </c>
      <c r="B50" s="142">
        <v>2751</v>
      </c>
      <c r="C50" s="142">
        <v>3192.75</v>
      </c>
      <c r="D50" s="142">
        <v>0</v>
      </c>
      <c r="E50" s="142">
        <v>3192.75</v>
      </c>
      <c r="F50" s="142">
        <v>441.74999999999977</v>
      </c>
    </row>
    <row r="51" spans="1:6" hidden="1" x14ac:dyDescent="0.3">
      <c r="A51" t="s">
        <v>63</v>
      </c>
      <c r="B51" s="142">
        <v>4499600</v>
      </c>
      <c r="C51" s="142">
        <v>1532576.67</v>
      </c>
      <c r="D51" s="142">
        <v>2379244.4133333336</v>
      </c>
      <c r="E51" s="142">
        <v>3911821.0833333335</v>
      </c>
      <c r="F51" s="142">
        <v>-587778.91666666605</v>
      </c>
    </row>
    <row r="52" spans="1:6" hidden="1" x14ac:dyDescent="0.3">
      <c r="A52" t="s">
        <v>89</v>
      </c>
      <c r="B52" s="142">
        <v>10552298</v>
      </c>
      <c r="C52" s="142">
        <v>4390690.79</v>
      </c>
      <c r="D52" s="142">
        <v>6486237.3666666662</v>
      </c>
      <c r="E52" s="142">
        <v>10876928.156666666</v>
      </c>
      <c r="F52" s="142">
        <v>324630.15666666749</v>
      </c>
    </row>
    <row r="53" spans="1:6" hidden="1" x14ac:dyDescent="0.3">
      <c r="A53" t="s">
        <v>167</v>
      </c>
      <c r="B53" s="142">
        <v>307613.80000000005</v>
      </c>
      <c r="C53" s="142">
        <v>124541.66666666666</v>
      </c>
      <c r="D53" s="142">
        <v>181125</v>
      </c>
      <c r="E53" s="142">
        <v>305666.66666666663</v>
      </c>
      <c r="F53" s="142">
        <v>-1947.1333333333605</v>
      </c>
    </row>
    <row r="54" spans="1:6" hidden="1" x14ac:dyDescent="0.3">
      <c r="A54" t="s">
        <v>142</v>
      </c>
      <c r="B54" s="142">
        <v>141750</v>
      </c>
      <c r="C54" s="142">
        <v>0</v>
      </c>
      <c r="D54" s="142">
        <v>141750</v>
      </c>
      <c r="E54" s="142">
        <v>141750</v>
      </c>
      <c r="F54" s="142">
        <v>0</v>
      </c>
    </row>
    <row r="55" spans="1:6" x14ac:dyDescent="0.3">
      <c r="A55" t="s">
        <v>115</v>
      </c>
      <c r="B55" s="142">
        <v>631511.9645</v>
      </c>
      <c r="C55" s="142">
        <v>354996.27916666662</v>
      </c>
      <c r="D55" s="142">
        <v>372817.19949999999</v>
      </c>
      <c r="E55" s="142">
        <v>727813.47866666666</v>
      </c>
      <c r="F55" s="142">
        <v>96301.51416666666</v>
      </c>
    </row>
    <row r="56" spans="1:6" hidden="1" x14ac:dyDescent="0.3">
      <c r="A56" t="s">
        <v>129</v>
      </c>
      <c r="B56" s="142">
        <v>0</v>
      </c>
      <c r="C56" s="142">
        <v>15208</v>
      </c>
      <c r="D56" s="142">
        <v>0</v>
      </c>
      <c r="E56" s="142">
        <v>15208</v>
      </c>
      <c r="F56" s="142">
        <v>15208</v>
      </c>
    </row>
    <row r="57" spans="1:6" hidden="1" x14ac:dyDescent="0.3">
      <c r="A57" t="s">
        <v>143</v>
      </c>
      <c r="B57" s="142">
        <v>17099</v>
      </c>
      <c r="C57" s="142">
        <v>0</v>
      </c>
      <c r="D57" s="142">
        <v>17099</v>
      </c>
      <c r="E57" s="142">
        <v>17099</v>
      </c>
      <c r="F57" s="142">
        <v>0</v>
      </c>
    </row>
    <row r="58" spans="1:6" hidden="1" x14ac:dyDescent="0.3">
      <c r="A58" t="s">
        <v>187</v>
      </c>
      <c r="B58" s="142">
        <v>298544.40000000002</v>
      </c>
      <c r="C58" s="142">
        <v>118470.15416666667</v>
      </c>
      <c r="D58" s="142">
        <v>165858.21583333332</v>
      </c>
      <c r="E58" s="142">
        <v>284328.37</v>
      </c>
      <c r="F58" s="142">
        <v>-14216.030000000086</v>
      </c>
    </row>
    <row r="59" spans="1:6" hidden="1" x14ac:dyDescent="0.3">
      <c r="A59" t="s">
        <v>210</v>
      </c>
      <c r="B59" s="142">
        <v>100000</v>
      </c>
      <c r="C59" s="142">
        <v>0</v>
      </c>
      <c r="D59" s="142">
        <v>113850</v>
      </c>
      <c r="E59" s="142">
        <v>113850</v>
      </c>
      <c r="F59" s="142">
        <v>13850</v>
      </c>
    </row>
    <row r="60" spans="1:6" hidden="1" x14ac:dyDescent="0.3">
      <c r="A60" t="s">
        <v>189</v>
      </c>
      <c r="B60" s="142">
        <v>8435.7000000000007</v>
      </c>
      <c r="C60" s="142">
        <v>0</v>
      </c>
      <c r="D60" s="142">
        <v>8436</v>
      </c>
      <c r="E60" s="142">
        <v>8436</v>
      </c>
      <c r="F60" s="142">
        <v>0.2999999999992724</v>
      </c>
    </row>
    <row r="61" spans="1:6" hidden="1" x14ac:dyDescent="0.3">
      <c r="A61" t="s">
        <v>190</v>
      </c>
      <c r="B61" s="142">
        <v>411547.5</v>
      </c>
      <c r="C61" s="142">
        <v>226822.91666666669</v>
      </c>
      <c r="D61" s="142">
        <v>317552.08333333331</v>
      </c>
      <c r="E61" s="142">
        <v>544375</v>
      </c>
      <c r="F61" s="142">
        <v>132827.49999999988</v>
      </c>
    </row>
    <row r="62" spans="1:6" hidden="1" x14ac:dyDescent="0.3">
      <c r="A62" t="s">
        <v>708</v>
      </c>
      <c r="B62" s="142"/>
      <c r="C62" s="142">
        <v>0</v>
      </c>
      <c r="D62" s="142">
        <v>80000</v>
      </c>
      <c r="E62" s="142">
        <v>80000</v>
      </c>
      <c r="F62" s="142">
        <v>80000</v>
      </c>
    </row>
    <row r="63" spans="1:6" hidden="1" x14ac:dyDescent="0.3">
      <c r="A63" t="s">
        <v>135</v>
      </c>
      <c r="B63" s="142">
        <v>12200</v>
      </c>
      <c r="C63" s="142">
        <v>0</v>
      </c>
      <c r="D63" s="142">
        <v>12200</v>
      </c>
      <c r="E63" s="142">
        <v>12200</v>
      </c>
      <c r="F63" s="142">
        <v>0</v>
      </c>
    </row>
    <row r="64" spans="1:6" hidden="1" x14ac:dyDescent="0.3">
      <c r="A64" t="s">
        <v>212</v>
      </c>
      <c r="B64" s="142">
        <v>72888.816000000006</v>
      </c>
      <c r="C64" s="142">
        <v>69417.919999999998</v>
      </c>
      <c r="D64" s="142">
        <v>0</v>
      </c>
      <c r="E64" s="142">
        <v>69417.919999999998</v>
      </c>
      <c r="F64" s="142">
        <v>-3470.8960000000079</v>
      </c>
    </row>
    <row r="65" spans="1:6" hidden="1" x14ac:dyDescent="0.3">
      <c r="A65" t="s">
        <v>91</v>
      </c>
      <c r="B65" s="142">
        <v>3150</v>
      </c>
      <c r="C65" s="142">
        <v>3000</v>
      </c>
      <c r="D65" s="142">
        <v>0</v>
      </c>
      <c r="E65" s="142">
        <v>3000</v>
      </c>
      <c r="F65" s="142">
        <v>-150</v>
      </c>
    </row>
    <row r="66" spans="1:6" hidden="1" x14ac:dyDescent="0.3">
      <c r="A66" t="s">
        <v>158</v>
      </c>
      <c r="B66" s="142">
        <v>51930.15</v>
      </c>
      <c r="C66" s="142">
        <v>46713</v>
      </c>
      <c r="D66" s="142">
        <v>7470</v>
      </c>
      <c r="E66" s="142">
        <v>54183</v>
      </c>
      <c r="F66" s="142">
        <v>2252.8499999999985</v>
      </c>
    </row>
    <row r="67" spans="1:6" hidden="1" x14ac:dyDescent="0.3">
      <c r="A67" t="s">
        <v>214</v>
      </c>
      <c r="B67" s="142">
        <v>139031.20000000001</v>
      </c>
      <c r="C67" s="142">
        <v>56980</v>
      </c>
      <c r="D67" s="142">
        <v>82051.666666666672</v>
      </c>
      <c r="E67" s="142">
        <v>139031.66666666669</v>
      </c>
      <c r="F67" s="142">
        <v>0.46666666667442769</v>
      </c>
    </row>
    <row r="68" spans="1:6" hidden="1" x14ac:dyDescent="0.3">
      <c r="A68" t="s">
        <v>72</v>
      </c>
      <c r="B68" s="142">
        <v>297450.41749999998</v>
      </c>
      <c r="C68" s="142">
        <v>21795.72</v>
      </c>
      <c r="D68" s="142">
        <v>275794.5</v>
      </c>
      <c r="E68" s="142">
        <v>297590.21999999997</v>
      </c>
      <c r="F68" s="142">
        <v>139.80250000000291</v>
      </c>
    </row>
    <row r="69" spans="1:6" hidden="1" x14ac:dyDescent="0.3">
      <c r="A69" t="s">
        <v>194</v>
      </c>
      <c r="B69" s="142">
        <v>39305.700000000004</v>
      </c>
      <c r="C69" s="142">
        <v>2808</v>
      </c>
      <c r="D69" s="142">
        <v>36498</v>
      </c>
      <c r="E69" s="142">
        <v>39306</v>
      </c>
      <c r="F69" s="142">
        <v>0.29999999999563443</v>
      </c>
    </row>
    <row r="70" spans="1:6" hidden="1" x14ac:dyDescent="0.3">
      <c r="A70" t="s">
        <v>199</v>
      </c>
      <c r="B70" s="142">
        <v>160000</v>
      </c>
      <c r="C70" s="142">
        <v>62500</v>
      </c>
      <c r="D70" s="142">
        <v>97500</v>
      </c>
      <c r="E70" s="142">
        <v>160000</v>
      </c>
      <c r="F70" s="142">
        <v>0</v>
      </c>
    </row>
    <row r="71" spans="1:6" hidden="1" x14ac:dyDescent="0.3">
      <c r="A71" t="s">
        <v>215</v>
      </c>
      <c r="B71" s="142">
        <v>70432.698000000004</v>
      </c>
      <c r="C71" s="142">
        <v>878.21</v>
      </c>
      <c r="D71" s="142">
        <v>69432.698000000004</v>
      </c>
      <c r="E71" s="142">
        <v>70310.90800000001</v>
      </c>
      <c r="F71" s="142">
        <v>-121.79000000000815</v>
      </c>
    </row>
    <row r="72" spans="1:6" hidden="1" x14ac:dyDescent="0.3">
      <c r="A72" t="s">
        <v>171</v>
      </c>
      <c r="B72" s="142">
        <v>5407.5</v>
      </c>
      <c r="C72" s="142">
        <v>0</v>
      </c>
      <c r="D72" s="142">
        <v>5407.5</v>
      </c>
      <c r="E72" s="142">
        <v>5407.5</v>
      </c>
      <c r="F72" s="142">
        <v>0</v>
      </c>
    </row>
    <row r="73" spans="1:6" hidden="1" x14ac:dyDescent="0.3">
      <c r="A73" t="s">
        <v>195</v>
      </c>
      <c r="B73" s="142">
        <v>174825</v>
      </c>
      <c r="C73" s="142">
        <v>72843.75</v>
      </c>
      <c r="D73" s="142">
        <v>101981.25</v>
      </c>
      <c r="E73" s="142">
        <v>174825</v>
      </c>
      <c r="F73" s="142">
        <v>0</v>
      </c>
    </row>
    <row r="74" spans="1:6" hidden="1" x14ac:dyDescent="0.3">
      <c r="A74" t="s">
        <v>201</v>
      </c>
      <c r="B74" s="142">
        <v>175245.90000000002</v>
      </c>
      <c r="C74" s="142">
        <v>57666.666666666672</v>
      </c>
      <c r="D74" s="142">
        <v>117579.65</v>
      </c>
      <c r="E74" s="142">
        <v>175246.31666666665</v>
      </c>
      <c r="F74" s="142">
        <v>0.41666666662786156</v>
      </c>
    </row>
    <row r="75" spans="1:6" hidden="1" x14ac:dyDescent="0.3">
      <c r="A75" t="s">
        <v>131</v>
      </c>
      <c r="B75" s="142">
        <v>67470</v>
      </c>
      <c r="C75" s="142">
        <v>34242.9</v>
      </c>
      <c r="D75" s="142">
        <v>33735</v>
      </c>
      <c r="E75" s="142">
        <v>67977.899999999994</v>
      </c>
      <c r="F75" s="142">
        <v>507.89999999999418</v>
      </c>
    </row>
    <row r="76" spans="1:6" hidden="1" x14ac:dyDescent="0.3">
      <c r="A76" t="s">
        <v>133</v>
      </c>
      <c r="B76" s="142">
        <v>25000</v>
      </c>
      <c r="C76" s="142">
        <v>0</v>
      </c>
      <c r="D76" s="142">
        <v>25000</v>
      </c>
      <c r="E76" s="142">
        <v>25000</v>
      </c>
      <c r="F76" s="142">
        <v>0</v>
      </c>
    </row>
    <row r="77" spans="1:6" hidden="1" x14ac:dyDescent="0.3">
      <c r="A77" t="s">
        <v>92</v>
      </c>
      <c r="B77" s="142">
        <v>421713.07500000007</v>
      </c>
      <c r="C77" s="142">
        <v>122576.03</v>
      </c>
      <c r="D77" s="142">
        <v>285316.66666666663</v>
      </c>
      <c r="E77" s="142">
        <v>407892.69666666666</v>
      </c>
      <c r="F77" s="142">
        <v>-13820.378333333472</v>
      </c>
    </row>
    <row r="78" spans="1:6" hidden="1" x14ac:dyDescent="0.3">
      <c r="A78" t="s">
        <v>113</v>
      </c>
      <c r="B78" s="142">
        <v>190000</v>
      </c>
      <c r="C78" s="142">
        <v>75000</v>
      </c>
      <c r="D78" s="142">
        <v>41650</v>
      </c>
      <c r="E78" s="142">
        <v>116650</v>
      </c>
      <c r="F78" s="142">
        <v>-73350</v>
      </c>
    </row>
    <row r="79" spans="1:6" hidden="1" x14ac:dyDescent="0.3">
      <c r="A79" t="s">
        <v>172</v>
      </c>
      <c r="B79" s="142">
        <v>61830</v>
      </c>
      <c r="C79" s="142">
        <v>0</v>
      </c>
      <c r="D79" s="142">
        <v>61830</v>
      </c>
      <c r="E79" s="142">
        <v>61830</v>
      </c>
      <c r="F79" s="142">
        <v>0</v>
      </c>
    </row>
    <row r="80" spans="1:6" hidden="1" x14ac:dyDescent="0.3">
      <c r="A80" t="s">
        <v>217</v>
      </c>
      <c r="B80" s="142">
        <v>440671.35000000003</v>
      </c>
      <c r="C80" s="142">
        <v>108702.6</v>
      </c>
      <c r="D80" s="142">
        <v>331968.40000000002</v>
      </c>
      <c r="E80" s="142">
        <v>440671</v>
      </c>
      <c r="F80" s="142">
        <v>-0.34999999997671694</v>
      </c>
    </row>
    <row r="81" spans="1:6" hidden="1" x14ac:dyDescent="0.3">
      <c r="A81" t="s">
        <v>94</v>
      </c>
      <c r="B81" s="142">
        <v>15750</v>
      </c>
      <c r="C81" s="142">
        <v>0</v>
      </c>
      <c r="D81" s="142">
        <v>15750</v>
      </c>
      <c r="E81" s="142">
        <v>15750</v>
      </c>
      <c r="F81" s="142">
        <v>0</v>
      </c>
    </row>
    <row r="82" spans="1:6" hidden="1" x14ac:dyDescent="0.3">
      <c r="A82" t="s">
        <v>751</v>
      </c>
      <c r="B82" s="142">
        <v>262349</v>
      </c>
      <c r="C82" s="142">
        <v>85570.6</v>
      </c>
      <c r="D82" s="142">
        <v>147000</v>
      </c>
      <c r="E82" s="142">
        <v>232570.6</v>
      </c>
      <c r="F82" s="142">
        <v>-29778.400000000023</v>
      </c>
    </row>
    <row r="83" spans="1:6" hidden="1" x14ac:dyDescent="0.3">
      <c r="A83" t="s">
        <v>752</v>
      </c>
      <c r="B83" s="142">
        <v>52500</v>
      </c>
      <c r="C83" s="142">
        <v>0</v>
      </c>
      <c r="D83" s="142">
        <v>52500</v>
      </c>
      <c r="E83" s="142">
        <v>52500</v>
      </c>
      <c r="F83" s="142">
        <v>0</v>
      </c>
    </row>
    <row r="84" spans="1:6" hidden="1" x14ac:dyDescent="0.3">
      <c r="A84" t="s">
        <v>17</v>
      </c>
      <c r="B84" s="142">
        <v>44788397.95615001</v>
      </c>
      <c r="C84" s="142">
        <v>17444836.636733335</v>
      </c>
      <c r="D84" s="142">
        <v>27790704.496833332</v>
      </c>
      <c r="E84" s="142">
        <v>45235541.133566663</v>
      </c>
      <c r="F84" s="142">
        <v>447143.17741666664</v>
      </c>
    </row>
    <row r="85" spans="1:6" hidden="1" x14ac:dyDescent="0.3">
      <c r="B85" s="186">
        <f>B83/1000000</f>
        <v>5.2499999999999998E-2</v>
      </c>
      <c r="C85" s="186">
        <f t="shared" ref="C85:F85" si="0">C83/1000000</f>
        <v>0</v>
      </c>
      <c r="D85" s="186">
        <f t="shared" si="0"/>
        <v>5.2499999999999998E-2</v>
      </c>
      <c r="E85" s="186">
        <f t="shared" si="0"/>
        <v>5.2499999999999998E-2</v>
      </c>
      <c r="F85" s="186">
        <f t="shared" si="0"/>
        <v>0</v>
      </c>
    </row>
  </sheetData>
  <autoFilter ref="A4:B85" xr:uid="{BE0A60A7-7BEE-4B08-B4AA-57DA81D6A59C}">
    <filterColumn colId="0">
      <filters>
        <filter val="NewRocket, LLC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228D8-B530-4DCE-9F1B-3CFE7B97313E}">
  <dimension ref="A1:K7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42.77734375" bestFit="1" customWidth="1"/>
    <col min="2" max="2" width="21.88671875" bestFit="1" customWidth="1"/>
    <col min="3" max="3" width="20.44140625" bestFit="1" customWidth="1"/>
    <col min="4" max="4" width="21.44140625" bestFit="1" customWidth="1"/>
    <col min="5" max="5" width="20.77734375" bestFit="1" customWidth="1"/>
    <col min="6" max="6" width="21.77734375" bestFit="1" customWidth="1"/>
    <col min="7" max="7" width="21.88671875" bestFit="1" customWidth="1"/>
    <col min="8" max="8" width="20.44140625" bestFit="1" customWidth="1"/>
    <col min="9" max="9" width="21.44140625" bestFit="1" customWidth="1"/>
    <col min="10" max="10" width="20.77734375" bestFit="1" customWidth="1"/>
    <col min="11" max="11" width="21.77734375" bestFit="1" customWidth="1"/>
  </cols>
  <sheetData>
    <row r="1" spans="1:11" x14ac:dyDescent="0.3">
      <c r="A1" s="185" t="s">
        <v>33</v>
      </c>
      <c r="B1" s="185" t="s">
        <v>5</v>
      </c>
      <c r="C1" s="185" t="s">
        <v>750</v>
      </c>
      <c r="D1" s="185" t="s">
        <v>753</v>
      </c>
      <c r="E1" s="185" t="s">
        <v>740</v>
      </c>
      <c r="F1" s="185" t="s">
        <v>9</v>
      </c>
      <c r="G1" s="185" t="s">
        <v>5</v>
      </c>
      <c r="H1" s="185" t="s">
        <v>750</v>
      </c>
      <c r="I1" s="185" t="s">
        <v>753</v>
      </c>
      <c r="J1" s="185" t="s">
        <v>740</v>
      </c>
      <c r="K1" s="185" t="s">
        <v>9</v>
      </c>
    </row>
    <row r="2" spans="1:11" x14ac:dyDescent="0.3">
      <c r="A2" t="s">
        <v>89</v>
      </c>
      <c r="B2" s="142">
        <v>10552298</v>
      </c>
      <c r="C2" s="142">
        <v>4390690.79</v>
      </c>
      <c r="D2" s="142">
        <v>6486237.3666666662</v>
      </c>
      <c r="E2" s="142">
        <v>10876928.156666666</v>
      </c>
      <c r="F2" s="142">
        <v>324630.15666666749</v>
      </c>
      <c r="G2" s="186">
        <f>B2/1000000</f>
        <v>10.552298</v>
      </c>
      <c r="H2" s="186">
        <f t="shared" ref="H2:K2" si="0">C2/1000000</f>
        <v>4.3906907899999998</v>
      </c>
      <c r="I2" s="186">
        <f t="shared" si="0"/>
        <v>6.4862373666666659</v>
      </c>
      <c r="J2" s="186">
        <f t="shared" si="0"/>
        <v>10.876928156666667</v>
      </c>
      <c r="K2" s="186">
        <f t="shared" si="0"/>
        <v>0.3246301566666675</v>
      </c>
    </row>
    <row r="3" spans="1:11" x14ac:dyDescent="0.3">
      <c r="A3" t="s">
        <v>43</v>
      </c>
      <c r="B3" s="142">
        <v>4083010.9241500003</v>
      </c>
      <c r="C3" s="142">
        <v>1879097.45</v>
      </c>
      <c r="D3" s="142">
        <v>2835241.5125000002</v>
      </c>
      <c r="E3" s="142">
        <v>4714338.9625000004</v>
      </c>
      <c r="F3" s="142">
        <v>631328.03834999993</v>
      </c>
      <c r="G3" s="186">
        <f t="shared" ref="G3:G66" si="1">B3/1000000</f>
        <v>4.0830109241499999</v>
      </c>
      <c r="H3" s="186">
        <f t="shared" ref="H3:H66" si="2">C3/1000000</f>
        <v>1.8790974499999999</v>
      </c>
      <c r="I3" s="186">
        <f t="shared" ref="I3:I66" si="3">D3/1000000</f>
        <v>2.8352415125000001</v>
      </c>
      <c r="J3" s="186">
        <f t="shared" ref="J3:J66" si="4">E3/1000000</f>
        <v>4.7143389625000003</v>
      </c>
      <c r="K3" s="186">
        <f t="shared" ref="K3:K66" si="5">F3/1000000</f>
        <v>0.63132803834999995</v>
      </c>
    </row>
    <row r="4" spans="1:11" x14ac:dyDescent="0.3">
      <c r="A4" t="s">
        <v>56</v>
      </c>
      <c r="B4" s="142">
        <v>3667396</v>
      </c>
      <c r="C4" s="142">
        <v>1737038.96</v>
      </c>
      <c r="D4" s="142">
        <v>2336436.4099999997</v>
      </c>
      <c r="E4" s="142">
        <v>4073475.3699999996</v>
      </c>
      <c r="F4" s="142">
        <v>406079.36999999918</v>
      </c>
      <c r="G4" s="186">
        <f t="shared" si="1"/>
        <v>3.6673960000000001</v>
      </c>
      <c r="H4" s="186">
        <f t="shared" si="2"/>
        <v>1.73703896</v>
      </c>
      <c r="I4" s="186">
        <f t="shared" si="3"/>
        <v>2.3364364099999997</v>
      </c>
      <c r="J4" s="186">
        <f t="shared" si="4"/>
        <v>4.0734753699999997</v>
      </c>
      <c r="K4" s="186">
        <f t="shared" si="5"/>
        <v>0.40607936999999916</v>
      </c>
    </row>
    <row r="5" spans="1:11" x14ac:dyDescent="0.3">
      <c r="A5" t="s">
        <v>63</v>
      </c>
      <c r="B5" s="142">
        <v>4499600</v>
      </c>
      <c r="C5" s="142">
        <v>1532576.67</v>
      </c>
      <c r="D5" s="142">
        <v>2379244.4133333336</v>
      </c>
      <c r="E5" s="142">
        <v>3911821.0833333335</v>
      </c>
      <c r="F5" s="142">
        <v>-587778.91666666605</v>
      </c>
      <c r="G5" s="186">
        <f t="shared" si="1"/>
        <v>4.4996</v>
      </c>
      <c r="H5" s="186">
        <f t="shared" si="2"/>
        <v>1.5325766699999999</v>
      </c>
      <c r="I5" s="186">
        <f t="shared" si="3"/>
        <v>2.3792444133333337</v>
      </c>
      <c r="J5" s="186">
        <f t="shared" si="4"/>
        <v>3.9118210833333333</v>
      </c>
      <c r="K5" s="186">
        <f t="shared" si="5"/>
        <v>-0.58777891666666604</v>
      </c>
    </row>
    <row r="6" spans="1:11" x14ac:dyDescent="0.3">
      <c r="A6" t="s">
        <v>98</v>
      </c>
      <c r="B6" s="142">
        <v>3649280</v>
      </c>
      <c r="C6" s="142">
        <v>1485626</v>
      </c>
      <c r="D6" s="142">
        <v>1881080</v>
      </c>
      <c r="E6" s="142">
        <v>3366706</v>
      </c>
      <c r="F6" s="142">
        <v>-282574</v>
      </c>
      <c r="G6" s="186">
        <f t="shared" si="1"/>
        <v>3.6492800000000001</v>
      </c>
      <c r="H6" s="186">
        <f t="shared" si="2"/>
        <v>1.4856259999999999</v>
      </c>
      <c r="I6" s="186">
        <f t="shared" si="3"/>
        <v>1.8810800000000001</v>
      </c>
      <c r="J6" s="186">
        <f t="shared" si="4"/>
        <v>3.3667060000000002</v>
      </c>
      <c r="K6" s="186">
        <f t="shared" si="5"/>
        <v>-0.28257399999999999</v>
      </c>
    </row>
    <row r="7" spans="1:11" x14ac:dyDescent="0.3">
      <c r="A7" t="s">
        <v>41</v>
      </c>
      <c r="B7" s="142">
        <v>4019347.1</v>
      </c>
      <c r="C7" s="142">
        <v>1436871.5599999998</v>
      </c>
      <c r="D7" s="142">
        <v>2283840</v>
      </c>
      <c r="E7" s="142">
        <v>3720711.56</v>
      </c>
      <c r="F7" s="142">
        <v>-298635.5400000001</v>
      </c>
      <c r="G7" s="186">
        <f t="shared" si="1"/>
        <v>4.0193471000000001</v>
      </c>
      <c r="H7" s="186">
        <f t="shared" si="2"/>
        <v>1.4368715599999997</v>
      </c>
      <c r="I7" s="186">
        <f t="shared" si="3"/>
        <v>2.2838400000000001</v>
      </c>
      <c r="J7" s="186">
        <f t="shared" si="4"/>
        <v>3.7207115600000003</v>
      </c>
      <c r="K7" s="186">
        <f t="shared" si="5"/>
        <v>-0.29863554000000009</v>
      </c>
    </row>
    <row r="8" spans="1:11" x14ac:dyDescent="0.3">
      <c r="A8" t="s">
        <v>174</v>
      </c>
      <c r="B8" s="142">
        <v>1778445.9000000001</v>
      </c>
      <c r="C8" s="142">
        <v>776946.67499999993</v>
      </c>
      <c r="D8" s="142">
        <v>1087725.345</v>
      </c>
      <c r="E8" s="142">
        <v>1864672.02</v>
      </c>
      <c r="F8" s="142">
        <v>86226.119999999646</v>
      </c>
      <c r="G8" s="186">
        <f t="shared" si="1"/>
        <v>1.7784459000000001</v>
      </c>
      <c r="H8" s="186">
        <f t="shared" si="2"/>
        <v>0.77694667499999992</v>
      </c>
      <c r="I8" s="186">
        <f t="shared" si="3"/>
        <v>1.087725345</v>
      </c>
      <c r="J8" s="186">
        <f t="shared" si="4"/>
        <v>1.86467202</v>
      </c>
      <c r="K8" s="186">
        <f t="shared" si="5"/>
        <v>8.6226119999999642E-2</v>
      </c>
    </row>
    <row r="9" spans="1:11" x14ac:dyDescent="0.3">
      <c r="A9" t="s">
        <v>102</v>
      </c>
      <c r="B9" s="142">
        <v>1540800</v>
      </c>
      <c r="C9" s="142">
        <v>718868</v>
      </c>
      <c r="D9" s="142">
        <v>763520</v>
      </c>
      <c r="E9" s="142">
        <v>1482388</v>
      </c>
      <c r="F9" s="142">
        <v>-58412</v>
      </c>
      <c r="G9" s="186">
        <f t="shared" si="1"/>
        <v>1.5407999999999999</v>
      </c>
      <c r="H9" s="186">
        <f t="shared" si="2"/>
        <v>0.71886799999999995</v>
      </c>
      <c r="I9" s="186">
        <f t="shared" si="3"/>
        <v>0.76351999999999998</v>
      </c>
      <c r="J9" s="186">
        <f t="shared" si="4"/>
        <v>1.482388</v>
      </c>
      <c r="K9" s="186">
        <f t="shared" si="5"/>
        <v>-5.8411999999999999E-2</v>
      </c>
    </row>
    <row r="10" spans="1:11" x14ac:dyDescent="0.3">
      <c r="A10" t="s">
        <v>196</v>
      </c>
      <c r="B10" s="142">
        <v>1211114.9924999999</v>
      </c>
      <c r="C10" s="142">
        <v>635699.3433333335</v>
      </c>
      <c r="D10" s="142">
        <v>575415.35666666669</v>
      </c>
      <c r="E10" s="142">
        <v>1211114.7000000002</v>
      </c>
      <c r="F10" s="142">
        <v>-0.29249999998137355</v>
      </c>
      <c r="G10" s="186">
        <f t="shared" si="1"/>
        <v>1.2111149925</v>
      </c>
      <c r="H10" s="186">
        <f t="shared" si="2"/>
        <v>0.63569934333333344</v>
      </c>
      <c r="I10" s="186">
        <f t="shared" si="3"/>
        <v>0.57541535666666666</v>
      </c>
      <c r="J10" s="186">
        <f t="shared" si="4"/>
        <v>1.2111147000000002</v>
      </c>
      <c r="K10" s="186">
        <f t="shared" si="5"/>
        <v>-2.9249999998137354E-7</v>
      </c>
    </row>
    <row r="11" spans="1:11" x14ac:dyDescent="0.3">
      <c r="A11" t="s">
        <v>115</v>
      </c>
      <c r="B11" s="142">
        <v>631511.9645</v>
      </c>
      <c r="C11" s="142">
        <v>354996.27916666662</v>
      </c>
      <c r="D11" s="142">
        <v>372817.19949999999</v>
      </c>
      <c r="E11" s="142">
        <v>727813.47866666666</v>
      </c>
      <c r="F11" s="142">
        <v>96301.51416666666</v>
      </c>
      <c r="G11" s="186">
        <f t="shared" si="1"/>
        <v>0.63151196450000002</v>
      </c>
      <c r="H11" s="186">
        <f t="shared" si="2"/>
        <v>0.3549962791666666</v>
      </c>
      <c r="I11" s="186">
        <f t="shared" si="3"/>
        <v>0.37281719949999997</v>
      </c>
      <c r="J11" s="186">
        <f t="shared" si="4"/>
        <v>0.72781347866666668</v>
      </c>
      <c r="K11" s="186">
        <f t="shared" si="5"/>
        <v>9.6301514166666657E-2</v>
      </c>
    </row>
    <row r="12" spans="1:11" x14ac:dyDescent="0.3">
      <c r="A12" t="s">
        <v>190</v>
      </c>
      <c r="B12" s="142">
        <v>411547.5</v>
      </c>
      <c r="C12" s="142">
        <v>226822.91666666669</v>
      </c>
      <c r="D12" s="142">
        <v>317552.08333333331</v>
      </c>
      <c r="E12" s="142">
        <v>544375</v>
      </c>
      <c r="F12" s="142">
        <v>132827.49999999988</v>
      </c>
      <c r="G12" s="186">
        <f t="shared" si="1"/>
        <v>0.41154750000000001</v>
      </c>
      <c r="H12" s="186">
        <f t="shared" si="2"/>
        <v>0.22682291666666668</v>
      </c>
      <c r="I12" s="186">
        <f t="shared" si="3"/>
        <v>0.31755208333333329</v>
      </c>
      <c r="J12" s="186">
        <f t="shared" si="4"/>
        <v>0.54437500000000005</v>
      </c>
      <c r="K12" s="186">
        <f t="shared" si="5"/>
        <v>0.13282749999999988</v>
      </c>
    </row>
    <row r="13" spans="1:11" x14ac:dyDescent="0.3">
      <c r="A13" t="s">
        <v>167</v>
      </c>
      <c r="B13" s="142">
        <v>307613.80000000005</v>
      </c>
      <c r="C13" s="142">
        <v>124541.66666666666</v>
      </c>
      <c r="D13" s="142">
        <v>181125</v>
      </c>
      <c r="E13" s="142">
        <v>305666.66666666663</v>
      </c>
      <c r="F13" s="142">
        <v>-1947.1333333333605</v>
      </c>
      <c r="G13" s="186">
        <f t="shared" si="1"/>
        <v>0.30761380000000005</v>
      </c>
      <c r="H13" s="186">
        <f t="shared" si="2"/>
        <v>0.12454166666666666</v>
      </c>
      <c r="I13" s="186">
        <f t="shared" si="3"/>
        <v>0.18112500000000001</v>
      </c>
      <c r="J13" s="186">
        <f t="shared" si="4"/>
        <v>0.30566666666666664</v>
      </c>
      <c r="K13" s="186">
        <f t="shared" si="5"/>
        <v>-1.9471333333333605E-3</v>
      </c>
    </row>
    <row r="14" spans="1:11" x14ac:dyDescent="0.3">
      <c r="A14" t="s">
        <v>92</v>
      </c>
      <c r="B14" s="142">
        <v>421713.07500000007</v>
      </c>
      <c r="C14" s="142">
        <v>122576.03</v>
      </c>
      <c r="D14" s="142">
        <v>285316.66666666663</v>
      </c>
      <c r="E14" s="142">
        <v>407892.69666666666</v>
      </c>
      <c r="F14" s="142">
        <v>-13820.378333333472</v>
      </c>
      <c r="G14" s="186">
        <f t="shared" si="1"/>
        <v>0.42171307500000005</v>
      </c>
      <c r="H14" s="186">
        <f t="shared" si="2"/>
        <v>0.12257603</v>
      </c>
      <c r="I14" s="186">
        <f t="shared" si="3"/>
        <v>0.28531666666666661</v>
      </c>
      <c r="J14" s="186">
        <f t="shared" si="4"/>
        <v>0.40789269666666667</v>
      </c>
      <c r="K14" s="186">
        <f t="shared" si="5"/>
        <v>-1.3820378333333471E-2</v>
      </c>
    </row>
    <row r="15" spans="1:11" x14ac:dyDescent="0.3">
      <c r="A15" t="s">
        <v>187</v>
      </c>
      <c r="B15" s="142">
        <v>298544.40000000002</v>
      </c>
      <c r="C15" s="142">
        <v>118470.15416666667</v>
      </c>
      <c r="D15" s="142">
        <v>165858.21583333332</v>
      </c>
      <c r="E15" s="142">
        <v>284328.37</v>
      </c>
      <c r="F15" s="142">
        <v>-14216.030000000086</v>
      </c>
      <c r="G15" s="186">
        <f t="shared" si="1"/>
        <v>0.29854440000000004</v>
      </c>
      <c r="H15" s="186">
        <f t="shared" si="2"/>
        <v>0.11847015416666667</v>
      </c>
      <c r="I15" s="186">
        <f t="shared" si="3"/>
        <v>0.16585821583333332</v>
      </c>
      <c r="J15" s="186">
        <f t="shared" si="4"/>
        <v>0.28432837</v>
      </c>
      <c r="K15" s="186">
        <f t="shared" si="5"/>
        <v>-1.4216030000000086E-2</v>
      </c>
    </row>
    <row r="16" spans="1:11" x14ac:dyDescent="0.3">
      <c r="A16" t="s">
        <v>217</v>
      </c>
      <c r="B16" s="142">
        <v>440671.35000000003</v>
      </c>
      <c r="C16" s="142">
        <v>108702.6</v>
      </c>
      <c r="D16" s="142">
        <v>331968.40000000002</v>
      </c>
      <c r="E16" s="142">
        <v>440671</v>
      </c>
      <c r="F16" s="142">
        <v>-0.34999999997671694</v>
      </c>
      <c r="G16" s="186">
        <f t="shared" si="1"/>
        <v>0.44067135000000002</v>
      </c>
      <c r="H16" s="186">
        <f t="shared" si="2"/>
        <v>0.10870260000000001</v>
      </c>
      <c r="I16" s="186">
        <f t="shared" si="3"/>
        <v>0.3319684</v>
      </c>
      <c r="J16" s="186">
        <f t="shared" si="4"/>
        <v>0.44067099999999998</v>
      </c>
      <c r="K16" s="186">
        <f t="shared" si="5"/>
        <v>-3.4999999997671695E-7</v>
      </c>
    </row>
    <row r="17" spans="1:11" x14ac:dyDescent="0.3">
      <c r="A17" t="s">
        <v>176</v>
      </c>
      <c r="B17" s="142">
        <v>0</v>
      </c>
      <c r="C17" s="142">
        <v>92000</v>
      </c>
      <c r="D17" s="142">
        <v>10000</v>
      </c>
      <c r="E17" s="142">
        <v>102000</v>
      </c>
      <c r="F17" s="142">
        <v>102000</v>
      </c>
      <c r="G17" s="186">
        <f t="shared" si="1"/>
        <v>0</v>
      </c>
      <c r="H17" s="186">
        <f t="shared" si="2"/>
        <v>9.1999999999999998E-2</v>
      </c>
      <c r="I17" s="186">
        <f t="shared" si="3"/>
        <v>0.01</v>
      </c>
      <c r="J17" s="186">
        <f t="shared" si="4"/>
        <v>0.10199999999999999</v>
      </c>
      <c r="K17" s="186">
        <f t="shared" si="5"/>
        <v>0.10199999999999999</v>
      </c>
    </row>
    <row r="18" spans="1:11" x14ac:dyDescent="0.3">
      <c r="A18" t="s">
        <v>109</v>
      </c>
      <c r="B18" s="142">
        <v>218880</v>
      </c>
      <c r="C18" s="142">
        <v>85892</v>
      </c>
      <c r="D18" s="142">
        <v>127680</v>
      </c>
      <c r="E18" s="142">
        <v>213572</v>
      </c>
      <c r="F18" s="142">
        <v>-5308</v>
      </c>
      <c r="G18" s="186">
        <f t="shared" si="1"/>
        <v>0.21887999999999999</v>
      </c>
      <c r="H18" s="186">
        <f t="shared" si="2"/>
        <v>8.5891999999999996E-2</v>
      </c>
      <c r="I18" s="186">
        <f t="shared" si="3"/>
        <v>0.12767999999999999</v>
      </c>
      <c r="J18" s="186">
        <f t="shared" si="4"/>
        <v>0.21357200000000001</v>
      </c>
      <c r="K18" s="186">
        <f t="shared" si="5"/>
        <v>-5.3080000000000002E-3</v>
      </c>
    </row>
    <row r="19" spans="1:11" x14ac:dyDescent="0.3">
      <c r="A19" t="s">
        <v>751</v>
      </c>
      <c r="B19" s="142">
        <v>262349</v>
      </c>
      <c r="C19" s="142">
        <v>85570.6</v>
      </c>
      <c r="D19" s="142">
        <v>147000</v>
      </c>
      <c r="E19" s="142">
        <v>232570.6</v>
      </c>
      <c r="F19" s="142">
        <v>-29778.400000000023</v>
      </c>
      <c r="G19" s="186">
        <f t="shared" si="1"/>
        <v>0.262349</v>
      </c>
      <c r="H19" s="186">
        <f t="shared" si="2"/>
        <v>8.5570600000000011E-2</v>
      </c>
      <c r="I19" s="186">
        <f t="shared" si="3"/>
        <v>0.14699999999999999</v>
      </c>
      <c r="J19" s="186">
        <f t="shared" si="4"/>
        <v>0.23257060000000002</v>
      </c>
      <c r="K19" s="186">
        <f t="shared" si="5"/>
        <v>-2.9778400000000024E-2</v>
      </c>
    </row>
    <row r="20" spans="1:11" x14ac:dyDescent="0.3">
      <c r="A20" t="s">
        <v>113</v>
      </c>
      <c r="B20" s="142">
        <v>190000</v>
      </c>
      <c r="C20" s="142">
        <v>75000</v>
      </c>
      <c r="D20" s="142">
        <v>41650</v>
      </c>
      <c r="E20" s="142">
        <v>116650</v>
      </c>
      <c r="F20" s="142">
        <v>-73350</v>
      </c>
      <c r="G20" s="186">
        <f t="shared" si="1"/>
        <v>0.19</v>
      </c>
      <c r="H20" s="186">
        <f t="shared" si="2"/>
        <v>7.4999999999999997E-2</v>
      </c>
      <c r="I20" s="186">
        <f t="shared" si="3"/>
        <v>4.165E-2</v>
      </c>
      <c r="J20" s="186">
        <f t="shared" si="4"/>
        <v>0.11665</v>
      </c>
      <c r="K20" s="186">
        <f t="shared" si="5"/>
        <v>-7.3349999999999999E-2</v>
      </c>
    </row>
    <row r="21" spans="1:11" x14ac:dyDescent="0.3">
      <c r="A21" t="s">
        <v>73</v>
      </c>
      <c r="B21" s="142">
        <v>1555160.9220000003</v>
      </c>
      <c r="C21" s="142">
        <v>72986.430000000008</v>
      </c>
      <c r="D21" s="142">
        <v>1538596.2643333334</v>
      </c>
      <c r="E21" s="142">
        <v>1611582.6943333333</v>
      </c>
      <c r="F21" s="142">
        <v>56421.772333333327</v>
      </c>
      <c r="G21" s="186">
        <f t="shared" si="1"/>
        <v>1.5551609220000002</v>
      </c>
      <c r="H21" s="186">
        <f t="shared" si="2"/>
        <v>7.2986430000000005E-2</v>
      </c>
      <c r="I21" s="186">
        <f t="shared" si="3"/>
        <v>1.5385962643333333</v>
      </c>
      <c r="J21" s="186">
        <f t="shared" si="4"/>
        <v>1.6115826943333333</v>
      </c>
      <c r="K21" s="186">
        <f t="shared" si="5"/>
        <v>5.6421772333333328E-2</v>
      </c>
    </row>
    <row r="22" spans="1:11" x14ac:dyDescent="0.3">
      <c r="A22" t="s">
        <v>195</v>
      </c>
      <c r="B22" s="142">
        <v>174825</v>
      </c>
      <c r="C22" s="142">
        <v>72843.75</v>
      </c>
      <c r="D22" s="142">
        <v>101981.25</v>
      </c>
      <c r="E22" s="142">
        <v>174825</v>
      </c>
      <c r="F22" s="142">
        <v>0</v>
      </c>
      <c r="G22" s="186">
        <f t="shared" si="1"/>
        <v>0.17482500000000001</v>
      </c>
      <c r="H22" s="186">
        <f t="shared" si="2"/>
        <v>7.2843749999999999E-2</v>
      </c>
      <c r="I22" s="186">
        <f t="shared" si="3"/>
        <v>0.10198125</v>
      </c>
      <c r="J22" s="186">
        <f t="shared" si="4"/>
        <v>0.17482500000000001</v>
      </c>
      <c r="K22" s="186">
        <f t="shared" si="5"/>
        <v>0</v>
      </c>
    </row>
    <row r="23" spans="1:11" x14ac:dyDescent="0.3">
      <c r="A23" t="s">
        <v>120</v>
      </c>
      <c r="B23" s="142">
        <v>131625</v>
      </c>
      <c r="C23" s="142">
        <v>72509.25</v>
      </c>
      <c r="D23" s="142">
        <v>58725</v>
      </c>
      <c r="E23" s="142">
        <v>131234.25</v>
      </c>
      <c r="F23" s="142">
        <v>-390.75</v>
      </c>
      <c r="G23" s="186">
        <f t="shared" si="1"/>
        <v>0.13162499999999999</v>
      </c>
      <c r="H23" s="186">
        <f t="shared" si="2"/>
        <v>7.2509249999999997E-2</v>
      </c>
      <c r="I23" s="186">
        <f t="shared" si="3"/>
        <v>5.8724999999999999E-2</v>
      </c>
      <c r="J23" s="186">
        <f t="shared" si="4"/>
        <v>0.13123425</v>
      </c>
      <c r="K23" s="186">
        <f t="shared" si="5"/>
        <v>-3.9074999999999998E-4</v>
      </c>
    </row>
    <row r="24" spans="1:11" x14ac:dyDescent="0.3">
      <c r="A24" t="s">
        <v>212</v>
      </c>
      <c r="B24" s="142">
        <v>72888.816000000006</v>
      </c>
      <c r="C24" s="142">
        <v>69417.919999999998</v>
      </c>
      <c r="D24" s="142">
        <v>0</v>
      </c>
      <c r="E24" s="142">
        <v>69417.919999999998</v>
      </c>
      <c r="F24" s="142">
        <v>-3470.8960000000079</v>
      </c>
      <c r="G24" s="186">
        <f t="shared" si="1"/>
        <v>7.2888816000000009E-2</v>
      </c>
      <c r="H24" s="186">
        <f t="shared" si="2"/>
        <v>6.9417919999999994E-2</v>
      </c>
      <c r="I24" s="186">
        <f t="shared" si="3"/>
        <v>0</v>
      </c>
      <c r="J24" s="186">
        <f t="shared" si="4"/>
        <v>6.9417919999999994E-2</v>
      </c>
      <c r="K24" s="186">
        <f t="shared" si="5"/>
        <v>-3.470896000000008E-3</v>
      </c>
    </row>
    <row r="25" spans="1:11" x14ac:dyDescent="0.3">
      <c r="A25" t="s">
        <v>199</v>
      </c>
      <c r="B25" s="142">
        <v>160000</v>
      </c>
      <c r="C25" s="142">
        <v>62500</v>
      </c>
      <c r="D25" s="142">
        <v>97500</v>
      </c>
      <c r="E25" s="142">
        <v>160000</v>
      </c>
      <c r="F25" s="142">
        <v>0</v>
      </c>
      <c r="G25" s="186">
        <f t="shared" si="1"/>
        <v>0.16</v>
      </c>
      <c r="H25" s="186">
        <f t="shared" si="2"/>
        <v>6.25E-2</v>
      </c>
      <c r="I25" s="186">
        <f t="shared" si="3"/>
        <v>9.7500000000000003E-2</v>
      </c>
      <c r="J25" s="186">
        <f t="shared" si="4"/>
        <v>0.16</v>
      </c>
      <c r="K25" s="186">
        <f t="shared" si="5"/>
        <v>0</v>
      </c>
    </row>
    <row r="26" spans="1:11" x14ac:dyDescent="0.3">
      <c r="A26" t="s">
        <v>152</v>
      </c>
      <c r="B26" s="142">
        <v>139684</v>
      </c>
      <c r="C26" s="142">
        <v>58201.666666666672</v>
      </c>
      <c r="D26" s="142">
        <v>81482.333333333328</v>
      </c>
      <c r="E26" s="142">
        <v>139684</v>
      </c>
      <c r="F26" s="142">
        <v>-2.9103830456733704E-11</v>
      </c>
      <c r="G26" s="186">
        <f t="shared" si="1"/>
        <v>0.139684</v>
      </c>
      <c r="H26" s="186">
        <f t="shared" si="2"/>
        <v>5.8201666666666672E-2</v>
      </c>
      <c r="I26" s="186">
        <f t="shared" si="3"/>
        <v>8.1482333333333323E-2</v>
      </c>
      <c r="J26" s="186">
        <f t="shared" si="4"/>
        <v>0.139684</v>
      </c>
      <c r="K26" s="186">
        <f t="shared" si="5"/>
        <v>-2.9103830456733702E-17</v>
      </c>
    </row>
    <row r="27" spans="1:11" x14ac:dyDescent="0.3">
      <c r="A27" t="s">
        <v>201</v>
      </c>
      <c r="B27" s="142">
        <v>175245.90000000002</v>
      </c>
      <c r="C27" s="142">
        <v>57666.666666666672</v>
      </c>
      <c r="D27" s="142">
        <v>117579.65</v>
      </c>
      <c r="E27" s="142">
        <v>175246.31666666665</v>
      </c>
      <c r="F27" s="142">
        <v>0.41666666662786156</v>
      </c>
      <c r="G27" s="186">
        <f t="shared" si="1"/>
        <v>0.17524590000000001</v>
      </c>
      <c r="H27" s="186">
        <f t="shared" si="2"/>
        <v>5.7666666666666672E-2</v>
      </c>
      <c r="I27" s="186">
        <f t="shared" si="3"/>
        <v>0.11757964999999999</v>
      </c>
      <c r="J27" s="186">
        <f t="shared" si="4"/>
        <v>0.17524631666666665</v>
      </c>
      <c r="K27" s="186">
        <f t="shared" si="5"/>
        <v>4.1666666662786155E-7</v>
      </c>
    </row>
    <row r="28" spans="1:11" x14ac:dyDescent="0.3">
      <c r="A28" t="s">
        <v>214</v>
      </c>
      <c r="B28" s="142">
        <v>139031.20000000001</v>
      </c>
      <c r="C28" s="142">
        <v>56980</v>
      </c>
      <c r="D28" s="142">
        <v>82051.666666666672</v>
      </c>
      <c r="E28" s="142">
        <v>139031.66666666669</v>
      </c>
      <c r="F28" s="142">
        <v>0.46666666667442769</v>
      </c>
      <c r="G28" s="186">
        <f t="shared" si="1"/>
        <v>0.13903120000000002</v>
      </c>
      <c r="H28" s="186">
        <f t="shared" si="2"/>
        <v>5.6980000000000003E-2</v>
      </c>
      <c r="I28" s="186">
        <f t="shared" si="3"/>
        <v>8.2051666666666676E-2</v>
      </c>
      <c r="J28" s="186">
        <f t="shared" si="4"/>
        <v>0.13903166666666669</v>
      </c>
      <c r="K28" s="186">
        <f t="shared" si="5"/>
        <v>4.6666666667442771E-7</v>
      </c>
    </row>
    <row r="29" spans="1:11" x14ac:dyDescent="0.3">
      <c r="A29" t="s">
        <v>117</v>
      </c>
      <c r="B29" s="142">
        <v>100000</v>
      </c>
      <c r="C29" s="142">
        <v>46815</v>
      </c>
      <c r="D29" s="142">
        <v>53185</v>
      </c>
      <c r="E29" s="142">
        <v>100000</v>
      </c>
      <c r="F29" s="142">
        <v>0</v>
      </c>
      <c r="G29" s="186">
        <f t="shared" si="1"/>
        <v>0.1</v>
      </c>
      <c r="H29" s="186">
        <f t="shared" si="2"/>
        <v>4.6815000000000002E-2</v>
      </c>
      <c r="I29" s="186">
        <f t="shared" si="3"/>
        <v>5.3185000000000003E-2</v>
      </c>
      <c r="J29" s="186">
        <f t="shared" si="4"/>
        <v>0.1</v>
      </c>
      <c r="K29" s="186">
        <f t="shared" si="5"/>
        <v>0</v>
      </c>
    </row>
    <row r="30" spans="1:11" x14ac:dyDescent="0.3">
      <c r="A30" t="s">
        <v>158</v>
      </c>
      <c r="B30" s="142">
        <v>51930.15</v>
      </c>
      <c r="C30" s="142">
        <v>46713</v>
      </c>
      <c r="D30" s="142">
        <v>7470</v>
      </c>
      <c r="E30" s="142">
        <v>54183</v>
      </c>
      <c r="F30" s="142">
        <v>2252.8499999999985</v>
      </c>
      <c r="G30" s="186">
        <f t="shared" si="1"/>
        <v>5.1930150000000001E-2</v>
      </c>
      <c r="H30" s="186">
        <f t="shared" si="2"/>
        <v>4.6712999999999998E-2</v>
      </c>
      <c r="I30" s="186">
        <f t="shared" si="3"/>
        <v>7.4700000000000001E-3</v>
      </c>
      <c r="J30" s="186">
        <f t="shared" si="4"/>
        <v>5.4183000000000002E-2</v>
      </c>
      <c r="K30" s="186">
        <f t="shared" si="5"/>
        <v>2.2528499999999985E-3</v>
      </c>
    </row>
    <row r="31" spans="1:11" x14ac:dyDescent="0.3">
      <c r="A31" t="s">
        <v>131</v>
      </c>
      <c r="B31" s="142">
        <v>67470</v>
      </c>
      <c r="C31" s="142">
        <v>34242.9</v>
      </c>
      <c r="D31" s="142">
        <v>33735</v>
      </c>
      <c r="E31" s="142">
        <v>67977.899999999994</v>
      </c>
      <c r="F31" s="142">
        <v>507.89999999999418</v>
      </c>
      <c r="G31" s="186">
        <f t="shared" si="1"/>
        <v>6.7470000000000002E-2</v>
      </c>
      <c r="H31" s="186">
        <f t="shared" si="2"/>
        <v>3.42429E-2</v>
      </c>
      <c r="I31" s="186">
        <f t="shared" si="3"/>
        <v>3.3735000000000001E-2</v>
      </c>
      <c r="J31" s="186">
        <f t="shared" si="4"/>
        <v>6.7977899999999994E-2</v>
      </c>
      <c r="K31" s="186">
        <f t="shared" si="5"/>
        <v>5.0789999999999419E-4</v>
      </c>
    </row>
    <row r="32" spans="1:11" x14ac:dyDescent="0.3">
      <c r="A32" t="s">
        <v>149</v>
      </c>
      <c r="B32" s="142">
        <v>191646</v>
      </c>
      <c r="C32" s="142">
        <v>28503.335000000003</v>
      </c>
      <c r="D32" s="142">
        <v>99761.672500000001</v>
      </c>
      <c r="E32" s="142">
        <v>128265.00750000001</v>
      </c>
      <c r="F32" s="142">
        <v>-63380.992500000008</v>
      </c>
      <c r="G32" s="186">
        <f t="shared" si="1"/>
        <v>0.19164600000000001</v>
      </c>
      <c r="H32" s="186">
        <f t="shared" si="2"/>
        <v>2.8503335000000001E-2</v>
      </c>
      <c r="I32" s="186">
        <f t="shared" si="3"/>
        <v>9.9761672499999995E-2</v>
      </c>
      <c r="J32" s="186">
        <f t="shared" si="4"/>
        <v>0.1282650075</v>
      </c>
      <c r="K32" s="186">
        <f t="shared" si="5"/>
        <v>-6.3380992500000011E-2</v>
      </c>
    </row>
    <row r="33" spans="1:11" x14ac:dyDescent="0.3">
      <c r="A33" t="s">
        <v>72</v>
      </c>
      <c r="B33" s="142">
        <v>297450.41749999998</v>
      </c>
      <c r="C33" s="142">
        <v>21795.72</v>
      </c>
      <c r="D33" s="142">
        <v>275794.5</v>
      </c>
      <c r="E33" s="142">
        <v>297590.21999999997</v>
      </c>
      <c r="F33" s="142">
        <v>139.80250000000291</v>
      </c>
      <c r="G33" s="186">
        <f t="shared" si="1"/>
        <v>0.29745041750000001</v>
      </c>
      <c r="H33" s="186">
        <f t="shared" si="2"/>
        <v>2.1795720000000001E-2</v>
      </c>
      <c r="I33" s="186">
        <f t="shared" si="3"/>
        <v>0.2757945</v>
      </c>
      <c r="J33" s="186">
        <f t="shared" si="4"/>
        <v>0.29759021999999996</v>
      </c>
      <c r="K33" s="186">
        <f t="shared" si="5"/>
        <v>1.398025000000029E-4</v>
      </c>
    </row>
    <row r="34" spans="1:11" x14ac:dyDescent="0.3">
      <c r="A34" t="s">
        <v>129</v>
      </c>
      <c r="B34" s="142">
        <v>0</v>
      </c>
      <c r="C34" s="142">
        <v>15208</v>
      </c>
      <c r="D34" s="142">
        <v>0</v>
      </c>
      <c r="E34" s="142">
        <v>15208</v>
      </c>
      <c r="F34" s="142">
        <v>15208</v>
      </c>
      <c r="G34" s="186">
        <f t="shared" si="1"/>
        <v>0</v>
      </c>
      <c r="H34" s="186">
        <f t="shared" si="2"/>
        <v>1.5207999999999999E-2</v>
      </c>
      <c r="I34" s="186">
        <f t="shared" si="3"/>
        <v>0</v>
      </c>
      <c r="J34" s="186">
        <f t="shared" si="4"/>
        <v>1.5207999999999999E-2</v>
      </c>
      <c r="K34" s="186">
        <f t="shared" si="5"/>
        <v>1.5207999999999999E-2</v>
      </c>
    </row>
    <row r="35" spans="1:11" x14ac:dyDescent="0.3">
      <c r="A35" t="s">
        <v>85</v>
      </c>
      <c r="B35" s="142">
        <v>35314</v>
      </c>
      <c r="C35" s="142">
        <v>15103.55</v>
      </c>
      <c r="D35" s="142">
        <v>20599</v>
      </c>
      <c r="E35" s="142">
        <v>35702.550000000003</v>
      </c>
      <c r="F35" s="142">
        <v>388.54999999999563</v>
      </c>
      <c r="G35" s="186">
        <f t="shared" si="1"/>
        <v>3.5313999999999998E-2</v>
      </c>
      <c r="H35" s="186">
        <f t="shared" si="2"/>
        <v>1.5103549999999999E-2</v>
      </c>
      <c r="I35" s="186">
        <f t="shared" si="3"/>
        <v>2.0598999999999999E-2</v>
      </c>
      <c r="J35" s="186">
        <f t="shared" si="4"/>
        <v>3.570255E-2</v>
      </c>
      <c r="K35" s="186">
        <f t="shared" si="5"/>
        <v>3.8854999999999565E-4</v>
      </c>
    </row>
    <row r="36" spans="1:11" x14ac:dyDescent="0.3">
      <c r="A36" t="s">
        <v>155</v>
      </c>
      <c r="B36" s="142">
        <v>117539.0055</v>
      </c>
      <c r="C36" s="142">
        <v>14025.49</v>
      </c>
      <c r="D36" s="142">
        <v>103536.75</v>
      </c>
      <c r="E36" s="142">
        <v>117562.23999999999</v>
      </c>
      <c r="F36" s="142">
        <v>23.234500000002299</v>
      </c>
      <c r="G36" s="186">
        <f t="shared" si="1"/>
        <v>0.1175390055</v>
      </c>
      <c r="H36" s="186">
        <f t="shared" si="2"/>
        <v>1.402549E-2</v>
      </c>
      <c r="I36" s="186">
        <f t="shared" si="3"/>
        <v>0.10353675</v>
      </c>
      <c r="J36" s="186">
        <f t="shared" si="4"/>
        <v>0.11756223999999998</v>
      </c>
      <c r="K36" s="186">
        <f t="shared" si="5"/>
        <v>2.32345000000023E-5</v>
      </c>
    </row>
    <row r="37" spans="1:11" x14ac:dyDescent="0.3">
      <c r="A37" t="s">
        <v>88</v>
      </c>
      <c r="B37" s="142">
        <v>34537</v>
      </c>
      <c r="C37" s="142">
        <v>13707.25</v>
      </c>
      <c r="D37" s="142">
        <v>20146.583333333332</v>
      </c>
      <c r="E37" s="142">
        <v>33853.833333333328</v>
      </c>
      <c r="F37" s="142">
        <v>-683.16666666666424</v>
      </c>
      <c r="G37" s="186">
        <f t="shared" si="1"/>
        <v>3.4536999999999998E-2</v>
      </c>
      <c r="H37" s="186">
        <f t="shared" si="2"/>
        <v>1.3707250000000001E-2</v>
      </c>
      <c r="I37" s="186">
        <f t="shared" si="3"/>
        <v>2.0146583333333332E-2</v>
      </c>
      <c r="J37" s="186">
        <f t="shared" si="4"/>
        <v>3.3853833333333326E-2</v>
      </c>
      <c r="K37" s="186">
        <f t="shared" si="5"/>
        <v>-6.8316666666666428E-4</v>
      </c>
    </row>
    <row r="38" spans="1:11" x14ac:dyDescent="0.3">
      <c r="A38" t="s">
        <v>181</v>
      </c>
      <c r="B38" s="142">
        <v>12600</v>
      </c>
      <c r="C38" s="142">
        <v>12000</v>
      </c>
      <c r="D38" s="142">
        <v>0</v>
      </c>
      <c r="E38" s="142">
        <v>12000</v>
      </c>
      <c r="F38" s="142">
        <v>-600</v>
      </c>
      <c r="G38" s="186">
        <f t="shared" si="1"/>
        <v>1.26E-2</v>
      </c>
      <c r="H38" s="186">
        <f t="shared" si="2"/>
        <v>1.2E-2</v>
      </c>
      <c r="I38" s="186">
        <f t="shared" si="3"/>
        <v>0</v>
      </c>
      <c r="J38" s="186">
        <f t="shared" si="4"/>
        <v>1.2E-2</v>
      </c>
      <c r="K38" s="186">
        <f t="shared" si="5"/>
        <v>-5.9999999999999995E-4</v>
      </c>
    </row>
    <row r="39" spans="1:11" x14ac:dyDescent="0.3">
      <c r="A39" t="s">
        <v>87</v>
      </c>
      <c r="B39" s="142">
        <v>25439</v>
      </c>
      <c r="C39" s="142">
        <v>10096.52</v>
      </c>
      <c r="D39" s="142">
        <v>14839.416666666664</v>
      </c>
      <c r="E39" s="142">
        <v>24935.936666666665</v>
      </c>
      <c r="F39" s="142">
        <v>-503.06333333333168</v>
      </c>
      <c r="G39" s="186">
        <f t="shared" si="1"/>
        <v>2.5439E-2</v>
      </c>
      <c r="H39" s="186">
        <f t="shared" si="2"/>
        <v>1.0096520000000001E-2</v>
      </c>
      <c r="I39" s="186">
        <f t="shared" si="3"/>
        <v>1.4839416666666664E-2</v>
      </c>
      <c r="J39" s="186">
        <f t="shared" si="4"/>
        <v>2.4935936666666665E-2</v>
      </c>
      <c r="K39" s="186">
        <f t="shared" si="5"/>
        <v>-5.0306333333333163E-4</v>
      </c>
    </row>
    <row r="40" spans="1:11" x14ac:dyDescent="0.3">
      <c r="A40" t="s">
        <v>179</v>
      </c>
      <c r="B40" s="142">
        <v>14700</v>
      </c>
      <c r="C40" s="142">
        <v>9900</v>
      </c>
      <c r="D40" s="142">
        <v>46050</v>
      </c>
      <c r="E40" s="142">
        <v>55950</v>
      </c>
      <c r="F40" s="142">
        <v>41250</v>
      </c>
      <c r="G40" s="186">
        <f t="shared" si="1"/>
        <v>1.47E-2</v>
      </c>
      <c r="H40" s="186">
        <f t="shared" si="2"/>
        <v>9.9000000000000008E-3</v>
      </c>
      <c r="I40" s="186">
        <f t="shared" si="3"/>
        <v>4.6050000000000001E-2</v>
      </c>
      <c r="J40" s="186">
        <f t="shared" si="4"/>
        <v>5.595E-2</v>
      </c>
      <c r="K40" s="186">
        <f t="shared" si="5"/>
        <v>4.1250000000000002E-2</v>
      </c>
    </row>
    <row r="41" spans="1:11" x14ac:dyDescent="0.3">
      <c r="A41" t="s">
        <v>77</v>
      </c>
      <c r="B41" s="142">
        <v>36345</v>
      </c>
      <c r="C41" s="142">
        <v>9883.380000000001</v>
      </c>
      <c r="D41" s="142">
        <v>27258.750000000004</v>
      </c>
      <c r="E41" s="142">
        <v>37142.130000000005</v>
      </c>
      <c r="F41" s="142">
        <v>797.13000000000466</v>
      </c>
      <c r="G41" s="186">
        <f t="shared" si="1"/>
        <v>3.6345000000000002E-2</v>
      </c>
      <c r="H41" s="186">
        <f t="shared" si="2"/>
        <v>9.8833800000000006E-3</v>
      </c>
      <c r="I41" s="186">
        <f t="shared" si="3"/>
        <v>2.7258750000000005E-2</v>
      </c>
      <c r="J41" s="186">
        <f t="shared" si="4"/>
        <v>3.7142130000000002E-2</v>
      </c>
      <c r="K41" s="186">
        <f t="shared" si="5"/>
        <v>7.9713000000000461E-4</v>
      </c>
    </row>
    <row r="42" spans="1:11" x14ac:dyDescent="0.3">
      <c r="A42" t="s">
        <v>207</v>
      </c>
      <c r="B42" s="142">
        <v>48934</v>
      </c>
      <c r="C42" s="142">
        <v>8895</v>
      </c>
      <c r="D42" s="142">
        <v>40037</v>
      </c>
      <c r="E42" s="142">
        <v>48932</v>
      </c>
      <c r="F42" s="142">
        <v>-2</v>
      </c>
      <c r="G42" s="186">
        <f t="shared" si="1"/>
        <v>4.8933999999999998E-2</v>
      </c>
      <c r="H42" s="186">
        <f t="shared" si="2"/>
        <v>8.8950000000000001E-3</v>
      </c>
      <c r="I42" s="186">
        <f t="shared" si="3"/>
        <v>4.0037000000000003E-2</v>
      </c>
      <c r="J42" s="186">
        <f t="shared" si="4"/>
        <v>4.8932000000000003E-2</v>
      </c>
      <c r="K42" s="186">
        <f t="shared" si="5"/>
        <v>-1.9999999999999999E-6</v>
      </c>
    </row>
    <row r="43" spans="1:11" x14ac:dyDescent="0.3">
      <c r="A43" t="s">
        <v>127</v>
      </c>
      <c r="B43" s="142">
        <v>8400</v>
      </c>
      <c r="C43" s="142">
        <v>8000</v>
      </c>
      <c r="D43" s="142">
        <v>0</v>
      </c>
      <c r="E43" s="142">
        <v>8000</v>
      </c>
      <c r="F43" s="142">
        <v>-400</v>
      </c>
      <c r="G43" s="186">
        <f t="shared" si="1"/>
        <v>8.3999999999999995E-3</v>
      </c>
      <c r="H43" s="186">
        <f t="shared" si="2"/>
        <v>8.0000000000000002E-3</v>
      </c>
      <c r="I43" s="186">
        <f t="shared" si="3"/>
        <v>0</v>
      </c>
      <c r="J43" s="186">
        <f t="shared" si="4"/>
        <v>8.0000000000000002E-3</v>
      </c>
      <c r="K43" s="186">
        <f t="shared" si="5"/>
        <v>-4.0000000000000002E-4</v>
      </c>
    </row>
    <row r="44" spans="1:11" x14ac:dyDescent="0.3">
      <c r="A44" t="s">
        <v>86</v>
      </c>
      <c r="B44" s="142">
        <v>18865</v>
      </c>
      <c r="C44" s="142">
        <v>6681.98</v>
      </c>
      <c r="D44" s="142">
        <v>12829</v>
      </c>
      <c r="E44" s="142">
        <v>19510.98</v>
      </c>
      <c r="F44" s="142">
        <v>645.97999999999956</v>
      </c>
      <c r="G44" s="186">
        <f t="shared" si="1"/>
        <v>1.8865E-2</v>
      </c>
      <c r="H44" s="186">
        <f t="shared" si="2"/>
        <v>6.6819799999999997E-3</v>
      </c>
      <c r="I44" s="186">
        <f t="shared" si="3"/>
        <v>1.2829E-2</v>
      </c>
      <c r="J44" s="186">
        <f t="shared" si="4"/>
        <v>1.9510980000000001E-2</v>
      </c>
      <c r="K44" s="186">
        <f t="shared" si="5"/>
        <v>6.4597999999999956E-4</v>
      </c>
    </row>
    <row r="45" spans="1:11" x14ac:dyDescent="0.3">
      <c r="A45" t="s">
        <v>125</v>
      </c>
      <c r="B45" s="142">
        <v>14886</v>
      </c>
      <c r="C45" s="142">
        <v>5443.74</v>
      </c>
      <c r="D45" s="142">
        <v>7621.3200000000006</v>
      </c>
      <c r="E45" s="142">
        <v>13065.060000000001</v>
      </c>
      <c r="F45" s="142">
        <v>-1820.9400000000005</v>
      </c>
      <c r="G45" s="186">
        <f t="shared" si="1"/>
        <v>1.4886E-2</v>
      </c>
      <c r="H45" s="186">
        <f t="shared" si="2"/>
        <v>5.4437399999999999E-3</v>
      </c>
      <c r="I45" s="186">
        <f t="shared" si="3"/>
        <v>7.6213200000000009E-3</v>
      </c>
      <c r="J45" s="186">
        <f t="shared" si="4"/>
        <v>1.3065060000000002E-2</v>
      </c>
      <c r="K45" s="186">
        <f t="shared" si="5"/>
        <v>-1.8209400000000005E-3</v>
      </c>
    </row>
    <row r="46" spans="1:11" x14ac:dyDescent="0.3">
      <c r="A46" t="s">
        <v>123</v>
      </c>
      <c r="B46" s="142">
        <v>4409</v>
      </c>
      <c r="C46" s="142">
        <v>4982.8</v>
      </c>
      <c r="D46" s="142">
        <v>0</v>
      </c>
      <c r="E46" s="142">
        <v>4982.8</v>
      </c>
      <c r="F46" s="142">
        <v>573.80000000000018</v>
      </c>
      <c r="G46" s="186">
        <f t="shared" si="1"/>
        <v>4.4089999999999997E-3</v>
      </c>
      <c r="H46" s="186">
        <f t="shared" si="2"/>
        <v>4.9827999999999999E-3</v>
      </c>
      <c r="I46" s="186">
        <f t="shared" si="3"/>
        <v>0</v>
      </c>
      <c r="J46" s="186">
        <f t="shared" si="4"/>
        <v>4.9827999999999999E-3</v>
      </c>
      <c r="K46" s="186">
        <f t="shared" si="5"/>
        <v>5.7380000000000018E-4</v>
      </c>
    </row>
    <row r="47" spans="1:11" x14ac:dyDescent="0.3">
      <c r="A47" t="s">
        <v>151</v>
      </c>
      <c r="B47" s="142">
        <v>10080</v>
      </c>
      <c r="C47" s="142">
        <v>4800</v>
      </c>
      <c r="D47" s="142">
        <v>5280</v>
      </c>
      <c r="E47" s="142">
        <v>10080</v>
      </c>
      <c r="F47" s="142">
        <v>0</v>
      </c>
      <c r="G47" s="186">
        <f t="shared" si="1"/>
        <v>1.008E-2</v>
      </c>
      <c r="H47" s="186">
        <f t="shared" si="2"/>
        <v>4.7999999999999996E-3</v>
      </c>
      <c r="I47" s="186">
        <f t="shared" si="3"/>
        <v>5.28E-3</v>
      </c>
      <c r="J47" s="186">
        <f t="shared" si="4"/>
        <v>1.008E-2</v>
      </c>
      <c r="K47" s="186">
        <f t="shared" si="5"/>
        <v>0</v>
      </c>
    </row>
    <row r="48" spans="1:11" x14ac:dyDescent="0.3">
      <c r="A48" t="s">
        <v>184</v>
      </c>
      <c r="B48" s="142">
        <v>2751</v>
      </c>
      <c r="C48" s="142">
        <v>3192.75</v>
      </c>
      <c r="D48" s="142">
        <v>0</v>
      </c>
      <c r="E48" s="142">
        <v>3192.75</v>
      </c>
      <c r="F48" s="142">
        <v>441.74999999999977</v>
      </c>
      <c r="G48" s="186">
        <f t="shared" si="1"/>
        <v>2.751E-3</v>
      </c>
      <c r="H48" s="186">
        <f t="shared" si="2"/>
        <v>3.1927499999999998E-3</v>
      </c>
      <c r="I48" s="186">
        <f t="shared" si="3"/>
        <v>0</v>
      </c>
      <c r="J48" s="186">
        <f t="shared" si="4"/>
        <v>3.1927499999999998E-3</v>
      </c>
      <c r="K48" s="186">
        <f t="shared" si="5"/>
        <v>4.4174999999999976E-4</v>
      </c>
    </row>
    <row r="49" spans="1:11" x14ac:dyDescent="0.3">
      <c r="A49" t="s">
        <v>84</v>
      </c>
      <c r="B49" s="142">
        <v>7043</v>
      </c>
      <c r="C49" s="142">
        <v>3133.6658999999995</v>
      </c>
      <c r="D49" s="142">
        <v>4108</v>
      </c>
      <c r="E49" s="142">
        <v>7241.6659</v>
      </c>
      <c r="F49" s="142">
        <v>198.66589999999997</v>
      </c>
      <c r="G49" s="186">
        <f t="shared" si="1"/>
        <v>7.0429999999999998E-3</v>
      </c>
      <c r="H49" s="186">
        <f t="shared" si="2"/>
        <v>3.1336658999999993E-3</v>
      </c>
      <c r="I49" s="186">
        <f t="shared" si="3"/>
        <v>4.1079999999999997E-3</v>
      </c>
      <c r="J49" s="186">
        <f t="shared" si="4"/>
        <v>7.2416659000000003E-3</v>
      </c>
      <c r="K49" s="186">
        <f t="shared" si="5"/>
        <v>1.9866589999999998E-4</v>
      </c>
    </row>
    <row r="50" spans="1:11" x14ac:dyDescent="0.3">
      <c r="A50" t="s">
        <v>91</v>
      </c>
      <c r="B50" s="142">
        <v>3150</v>
      </c>
      <c r="C50" s="142">
        <v>3000</v>
      </c>
      <c r="D50" s="142">
        <v>0</v>
      </c>
      <c r="E50" s="142">
        <v>3000</v>
      </c>
      <c r="F50" s="142">
        <v>-150</v>
      </c>
      <c r="G50" s="186">
        <f t="shared" si="1"/>
        <v>3.15E-3</v>
      </c>
      <c r="H50" s="186">
        <f t="shared" si="2"/>
        <v>3.0000000000000001E-3</v>
      </c>
      <c r="I50" s="186">
        <f t="shared" si="3"/>
        <v>0</v>
      </c>
      <c r="J50" s="186">
        <f t="shared" si="4"/>
        <v>3.0000000000000001E-3</v>
      </c>
      <c r="K50" s="186">
        <f t="shared" si="5"/>
        <v>-1.4999999999999999E-4</v>
      </c>
    </row>
    <row r="51" spans="1:11" x14ac:dyDescent="0.3">
      <c r="A51" t="s">
        <v>194</v>
      </c>
      <c r="B51" s="142">
        <v>39305.700000000004</v>
      </c>
      <c r="C51" s="142">
        <v>2808</v>
      </c>
      <c r="D51" s="142">
        <v>36498</v>
      </c>
      <c r="E51" s="142">
        <v>39306</v>
      </c>
      <c r="F51" s="142">
        <v>0.29999999999563443</v>
      </c>
      <c r="G51" s="186">
        <f t="shared" si="1"/>
        <v>3.9305700000000006E-2</v>
      </c>
      <c r="H51" s="186">
        <f t="shared" si="2"/>
        <v>2.8080000000000002E-3</v>
      </c>
      <c r="I51" s="186">
        <f t="shared" si="3"/>
        <v>3.6498000000000003E-2</v>
      </c>
      <c r="J51" s="186">
        <f t="shared" si="4"/>
        <v>3.9306000000000001E-2</v>
      </c>
      <c r="K51" s="186">
        <f t="shared" si="5"/>
        <v>2.9999999999563443E-7</v>
      </c>
    </row>
    <row r="52" spans="1:11" x14ac:dyDescent="0.3">
      <c r="A52" t="s">
        <v>79</v>
      </c>
      <c r="B52" s="142">
        <v>4230</v>
      </c>
      <c r="C52" s="142">
        <v>1861.8799999999999</v>
      </c>
      <c r="D52" s="142">
        <v>2465</v>
      </c>
      <c r="E52" s="142">
        <v>4326.88</v>
      </c>
      <c r="F52" s="142">
        <v>96.880000000000109</v>
      </c>
      <c r="G52" s="186">
        <f t="shared" si="1"/>
        <v>4.2300000000000003E-3</v>
      </c>
      <c r="H52" s="186">
        <f t="shared" si="2"/>
        <v>1.8618799999999998E-3</v>
      </c>
      <c r="I52" s="186">
        <f t="shared" si="3"/>
        <v>2.4650000000000002E-3</v>
      </c>
      <c r="J52" s="186">
        <f t="shared" si="4"/>
        <v>4.32688E-3</v>
      </c>
      <c r="K52" s="186">
        <f t="shared" si="5"/>
        <v>9.6880000000000102E-5</v>
      </c>
    </row>
    <row r="53" spans="1:11" x14ac:dyDescent="0.3">
      <c r="A53" t="s">
        <v>192</v>
      </c>
      <c r="B53" s="142">
        <v>1260</v>
      </c>
      <c r="C53" s="142">
        <v>1260</v>
      </c>
      <c r="D53" s="142">
        <v>0</v>
      </c>
      <c r="E53" s="142">
        <v>1260</v>
      </c>
      <c r="F53" s="142">
        <v>0</v>
      </c>
      <c r="G53" s="186">
        <f t="shared" si="1"/>
        <v>1.2600000000000001E-3</v>
      </c>
      <c r="H53" s="186">
        <f t="shared" si="2"/>
        <v>1.2600000000000001E-3</v>
      </c>
      <c r="I53" s="186">
        <f t="shared" si="3"/>
        <v>0</v>
      </c>
      <c r="J53" s="186">
        <f t="shared" si="4"/>
        <v>1.2600000000000001E-3</v>
      </c>
      <c r="K53" s="186">
        <f t="shared" si="5"/>
        <v>0</v>
      </c>
    </row>
    <row r="54" spans="1:11" x14ac:dyDescent="0.3">
      <c r="A54" t="s">
        <v>215</v>
      </c>
      <c r="B54" s="142">
        <v>70432.698000000004</v>
      </c>
      <c r="C54" s="142">
        <v>878.21</v>
      </c>
      <c r="D54" s="142">
        <v>69432.698000000004</v>
      </c>
      <c r="E54" s="142">
        <v>70310.90800000001</v>
      </c>
      <c r="F54" s="142">
        <v>-121.79000000000815</v>
      </c>
      <c r="G54" s="186">
        <f t="shared" si="1"/>
        <v>7.0432698000000002E-2</v>
      </c>
      <c r="H54" s="186">
        <f t="shared" si="2"/>
        <v>8.7821000000000004E-4</v>
      </c>
      <c r="I54" s="186">
        <f t="shared" si="3"/>
        <v>6.9432698000000001E-2</v>
      </c>
      <c r="J54" s="186">
        <f t="shared" si="4"/>
        <v>7.0310908000000005E-2</v>
      </c>
      <c r="K54" s="186">
        <f t="shared" si="5"/>
        <v>-1.2179000000000814E-4</v>
      </c>
    </row>
    <row r="55" spans="1:11" x14ac:dyDescent="0.3">
      <c r="A55" t="s">
        <v>95</v>
      </c>
      <c r="B55" s="142">
        <v>292</v>
      </c>
      <c r="C55" s="142">
        <v>0</v>
      </c>
      <c r="D55" s="142">
        <v>292</v>
      </c>
      <c r="E55" s="142">
        <v>292</v>
      </c>
      <c r="F55" s="142">
        <v>0</v>
      </c>
      <c r="G55" s="186">
        <f t="shared" si="1"/>
        <v>2.92E-4</v>
      </c>
      <c r="H55" s="186">
        <f t="shared" si="2"/>
        <v>0</v>
      </c>
      <c r="I55" s="186">
        <f t="shared" si="3"/>
        <v>2.92E-4</v>
      </c>
      <c r="J55" s="186">
        <f t="shared" si="4"/>
        <v>2.92E-4</v>
      </c>
      <c r="K55" s="186">
        <f t="shared" si="5"/>
        <v>0</v>
      </c>
    </row>
    <row r="56" spans="1:11" x14ac:dyDescent="0.3">
      <c r="A56" t="s">
        <v>80</v>
      </c>
      <c r="B56" s="142">
        <v>2863</v>
      </c>
      <c r="C56" s="142">
        <v>0</v>
      </c>
      <c r="D56" s="142">
        <v>2863</v>
      </c>
      <c r="E56" s="142">
        <v>2863</v>
      </c>
      <c r="F56" s="142">
        <v>0</v>
      </c>
      <c r="G56" s="186">
        <f t="shared" si="1"/>
        <v>2.8630000000000001E-3</v>
      </c>
      <c r="H56" s="186">
        <f t="shared" si="2"/>
        <v>0</v>
      </c>
      <c r="I56" s="186">
        <f t="shared" si="3"/>
        <v>2.8630000000000001E-3</v>
      </c>
      <c r="J56" s="186">
        <f t="shared" si="4"/>
        <v>2.8630000000000001E-3</v>
      </c>
      <c r="K56" s="186">
        <f t="shared" si="5"/>
        <v>0</v>
      </c>
    </row>
    <row r="57" spans="1:11" x14ac:dyDescent="0.3">
      <c r="A57" t="s">
        <v>203</v>
      </c>
      <c r="B57" s="142">
        <v>50400</v>
      </c>
      <c r="C57" s="142">
        <v>0</v>
      </c>
      <c r="D57" s="142">
        <v>50400</v>
      </c>
      <c r="E57" s="142">
        <v>50400</v>
      </c>
      <c r="F57" s="142">
        <v>0</v>
      </c>
      <c r="G57" s="186">
        <f t="shared" si="1"/>
        <v>5.04E-2</v>
      </c>
      <c r="H57" s="186">
        <f t="shared" si="2"/>
        <v>0</v>
      </c>
      <c r="I57" s="186">
        <f t="shared" si="3"/>
        <v>5.04E-2</v>
      </c>
      <c r="J57" s="186">
        <f t="shared" si="4"/>
        <v>5.04E-2</v>
      </c>
      <c r="K57" s="186">
        <f t="shared" si="5"/>
        <v>0</v>
      </c>
    </row>
    <row r="58" spans="1:11" x14ac:dyDescent="0.3">
      <c r="A58" t="s">
        <v>82</v>
      </c>
      <c r="B58" s="142">
        <v>1674</v>
      </c>
      <c r="C58" s="142">
        <v>0</v>
      </c>
      <c r="D58" s="142">
        <v>0</v>
      </c>
      <c r="E58" s="142">
        <v>0</v>
      </c>
      <c r="F58" s="142">
        <v>-1674</v>
      </c>
      <c r="G58" s="186">
        <f t="shared" si="1"/>
        <v>1.6739999999999999E-3</v>
      </c>
      <c r="H58" s="186">
        <f t="shared" si="2"/>
        <v>0</v>
      </c>
      <c r="I58" s="186">
        <f t="shared" si="3"/>
        <v>0</v>
      </c>
      <c r="J58" s="186">
        <f t="shared" si="4"/>
        <v>0</v>
      </c>
      <c r="K58" s="186">
        <f t="shared" si="5"/>
        <v>-1.6739999999999999E-3</v>
      </c>
    </row>
    <row r="59" spans="1:11" x14ac:dyDescent="0.3">
      <c r="A59" t="s">
        <v>140</v>
      </c>
      <c r="B59" s="142">
        <v>236250</v>
      </c>
      <c r="C59" s="142">
        <v>0</v>
      </c>
      <c r="D59" s="142">
        <v>236250</v>
      </c>
      <c r="E59" s="142">
        <v>236250</v>
      </c>
      <c r="F59" s="142">
        <v>0</v>
      </c>
      <c r="G59" s="186">
        <f t="shared" si="1"/>
        <v>0.23624999999999999</v>
      </c>
      <c r="H59" s="186">
        <f t="shared" si="2"/>
        <v>0</v>
      </c>
      <c r="I59" s="186">
        <f t="shared" si="3"/>
        <v>0.23624999999999999</v>
      </c>
      <c r="J59" s="186">
        <f t="shared" si="4"/>
        <v>0.23624999999999999</v>
      </c>
      <c r="K59" s="186">
        <f t="shared" si="5"/>
        <v>0</v>
      </c>
    </row>
    <row r="60" spans="1:11" x14ac:dyDescent="0.3">
      <c r="A60" t="s">
        <v>205</v>
      </c>
      <c r="B60" s="142">
        <v>32760</v>
      </c>
      <c r="C60" s="142">
        <v>0</v>
      </c>
      <c r="D60" s="142">
        <v>32760</v>
      </c>
      <c r="E60" s="142">
        <v>32760</v>
      </c>
      <c r="F60" s="142">
        <v>0</v>
      </c>
      <c r="G60" s="186">
        <f t="shared" si="1"/>
        <v>3.2759999999999997E-2</v>
      </c>
      <c r="H60" s="186">
        <f t="shared" si="2"/>
        <v>0</v>
      </c>
      <c r="I60" s="186">
        <f t="shared" si="3"/>
        <v>3.2759999999999997E-2</v>
      </c>
      <c r="J60" s="186">
        <f t="shared" si="4"/>
        <v>3.2759999999999997E-2</v>
      </c>
      <c r="K60" s="186">
        <f t="shared" si="5"/>
        <v>0</v>
      </c>
    </row>
    <row r="61" spans="1:11" x14ac:dyDescent="0.3">
      <c r="A61" t="s">
        <v>206</v>
      </c>
      <c r="B61" s="142">
        <v>3150</v>
      </c>
      <c r="C61" s="142">
        <v>0</v>
      </c>
      <c r="D61" s="142">
        <v>3150</v>
      </c>
      <c r="E61" s="142">
        <v>3150</v>
      </c>
      <c r="F61" s="142">
        <v>0</v>
      </c>
      <c r="G61" s="186">
        <f t="shared" si="1"/>
        <v>3.15E-3</v>
      </c>
      <c r="H61" s="186">
        <f t="shared" si="2"/>
        <v>0</v>
      </c>
      <c r="I61" s="186">
        <f t="shared" si="3"/>
        <v>3.15E-3</v>
      </c>
      <c r="J61" s="186">
        <f t="shared" si="4"/>
        <v>3.15E-3</v>
      </c>
      <c r="K61" s="186">
        <f t="shared" si="5"/>
        <v>0</v>
      </c>
    </row>
    <row r="62" spans="1:11" x14ac:dyDescent="0.3">
      <c r="A62" t="s">
        <v>162</v>
      </c>
      <c r="B62" s="142">
        <v>5250</v>
      </c>
      <c r="C62" s="142">
        <v>0</v>
      </c>
      <c r="D62" s="142">
        <v>5250</v>
      </c>
      <c r="E62" s="142">
        <v>5250</v>
      </c>
      <c r="F62" s="142">
        <v>0</v>
      </c>
      <c r="G62" s="186">
        <f t="shared" si="1"/>
        <v>5.2500000000000003E-3</v>
      </c>
      <c r="H62" s="186">
        <f t="shared" si="2"/>
        <v>0</v>
      </c>
      <c r="I62" s="186">
        <f t="shared" si="3"/>
        <v>5.2500000000000003E-3</v>
      </c>
      <c r="J62" s="186">
        <f t="shared" si="4"/>
        <v>5.2500000000000003E-3</v>
      </c>
      <c r="K62" s="186">
        <f t="shared" si="5"/>
        <v>0</v>
      </c>
    </row>
    <row r="63" spans="1:11" x14ac:dyDescent="0.3">
      <c r="A63" t="s">
        <v>197</v>
      </c>
      <c r="B63" s="142">
        <v>238897.86250000002</v>
      </c>
      <c r="C63" s="142">
        <v>0</v>
      </c>
      <c r="D63" s="142">
        <v>232868.65</v>
      </c>
      <c r="E63" s="142">
        <v>232868.65</v>
      </c>
      <c r="F63" s="142">
        <v>-6029.2125000000233</v>
      </c>
      <c r="G63" s="186">
        <f t="shared" si="1"/>
        <v>0.23889786250000003</v>
      </c>
      <c r="H63" s="186">
        <f t="shared" si="2"/>
        <v>0</v>
      </c>
      <c r="I63" s="186">
        <f t="shared" si="3"/>
        <v>0.23286864999999998</v>
      </c>
      <c r="J63" s="186">
        <f t="shared" si="4"/>
        <v>0.23286864999999998</v>
      </c>
      <c r="K63" s="186">
        <f t="shared" si="5"/>
        <v>-6.0292125000000231E-3</v>
      </c>
    </row>
    <row r="64" spans="1:11" x14ac:dyDescent="0.3">
      <c r="A64" t="s">
        <v>137</v>
      </c>
      <c r="B64" s="142">
        <v>359</v>
      </c>
      <c r="C64" s="142">
        <v>0</v>
      </c>
      <c r="D64" s="142">
        <v>359</v>
      </c>
      <c r="E64" s="142">
        <v>359</v>
      </c>
      <c r="F64" s="142">
        <v>0</v>
      </c>
      <c r="G64" s="186">
        <f t="shared" si="1"/>
        <v>3.59E-4</v>
      </c>
      <c r="H64" s="186">
        <f t="shared" si="2"/>
        <v>0</v>
      </c>
      <c r="I64" s="186">
        <f t="shared" si="3"/>
        <v>3.59E-4</v>
      </c>
      <c r="J64" s="186">
        <f t="shared" si="4"/>
        <v>3.59E-4</v>
      </c>
      <c r="K64" s="186">
        <f t="shared" si="5"/>
        <v>0</v>
      </c>
    </row>
    <row r="65" spans="1:11" x14ac:dyDescent="0.3">
      <c r="A65" t="s">
        <v>208</v>
      </c>
      <c r="B65" s="142">
        <v>90000</v>
      </c>
      <c r="C65" s="142">
        <v>0</v>
      </c>
      <c r="D65" s="142">
        <v>90000</v>
      </c>
      <c r="E65" s="142">
        <v>90000</v>
      </c>
      <c r="F65" s="142">
        <v>0</v>
      </c>
      <c r="G65" s="186">
        <f t="shared" si="1"/>
        <v>0.09</v>
      </c>
      <c r="H65" s="186">
        <f t="shared" si="2"/>
        <v>0</v>
      </c>
      <c r="I65" s="186">
        <f t="shared" si="3"/>
        <v>0.09</v>
      </c>
      <c r="J65" s="186">
        <f t="shared" si="4"/>
        <v>0.09</v>
      </c>
      <c r="K65" s="186">
        <f t="shared" si="5"/>
        <v>0</v>
      </c>
    </row>
    <row r="66" spans="1:11" x14ac:dyDescent="0.3">
      <c r="A66" t="s">
        <v>209</v>
      </c>
      <c r="B66" s="142">
        <v>2594.5500000000002</v>
      </c>
      <c r="C66" s="142">
        <v>0</v>
      </c>
      <c r="D66" s="142">
        <v>2595</v>
      </c>
      <c r="E66" s="142">
        <v>2595</v>
      </c>
      <c r="F66" s="142">
        <v>0.4499999999998181</v>
      </c>
      <c r="G66" s="186">
        <f t="shared" si="1"/>
        <v>2.5945500000000002E-3</v>
      </c>
      <c r="H66" s="186">
        <f t="shared" si="2"/>
        <v>0</v>
      </c>
      <c r="I66" s="186">
        <f t="shared" si="3"/>
        <v>2.5950000000000001E-3</v>
      </c>
      <c r="J66" s="186">
        <f t="shared" si="4"/>
        <v>2.5950000000000001E-3</v>
      </c>
      <c r="K66" s="186">
        <f t="shared" si="5"/>
        <v>4.4999999999981808E-7</v>
      </c>
    </row>
    <row r="67" spans="1:11" x14ac:dyDescent="0.3">
      <c r="A67" t="s">
        <v>164</v>
      </c>
      <c r="B67" s="142">
        <v>27790.5285</v>
      </c>
      <c r="C67" s="142">
        <v>0</v>
      </c>
      <c r="D67" s="142">
        <v>27791</v>
      </c>
      <c r="E67" s="142">
        <v>27791</v>
      </c>
      <c r="F67" s="142">
        <v>0.47149999999783176</v>
      </c>
      <c r="G67" s="186">
        <f t="shared" ref="G67:G76" si="6">B67/1000000</f>
        <v>2.7790528500000002E-2</v>
      </c>
      <c r="H67" s="186">
        <f t="shared" ref="H67:H76" si="7">C67/1000000</f>
        <v>0</v>
      </c>
      <c r="I67" s="186">
        <f t="shared" ref="I67:I76" si="8">D67/1000000</f>
        <v>2.7791E-2</v>
      </c>
      <c r="J67" s="186">
        <f t="shared" ref="J67:J76" si="9">E67/1000000</f>
        <v>2.7791E-2</v>
      </c>
      <c r="K67" s="186">
        <f t="shared" ref="K67:K76" si="10">F67/1000000</f>
        <v>4.7149999999783176E-7</v>
      </c>
    </row>
    <row r="68" spans="1:11" x14ac:dyDescent="0.3">
      <c r="A68" t="s">
        <v>142</v>
      </c>
      <c r="B68" s="142">
        <v>141750</v>
      </c>
      <c r="C68" s="142">
        <v>0</v>
      </c>
      <c r="D68" s="142">
        <v>141750</v>
      </c>
      <c r="E68" s="142">
        <v>141750</v>
      </c>
      <c r="F68" s="142">
        <v>0</v>
      </c>
      <c r="G68" s="186">
        <f t="shared" si="6"/>
        <v>0.14174999999999999</v>
      </c>
      <c r="H68" s="186">
        <f t="shared" si="7"/>
        <v>0</v>
      </c>
      <c r="I68" s="186">
        <f t="shared" si="8"/>
        <v>0.14174999999999999</v>
      </c>
      <c r="J68" s="186">
        <f t="shared" si="9"/>
        <v>0.14174999999999999</v>
      </c>
      <c r="K68" s="186">
        <f t="shared" si="10"/>
        <v>0</v>
      </c>
    </row>
    <row r="69" spans="1:11" x14ac:dyDescent="0.3">
      <c r="A69" t="s">
        <v>143</v>
      </c>
      <c r="B69" s="142">
        <v>17099</v>
      </c>
      <c r="C69" s="142">
        <v>0</v>
      </c>
      <c r="D69" s="142">
        <v>17099</v>
      </c>
      <c r="E69" s="142">
        <v>17099</v>
      </c>
      <c r="F69" s="142">
        <v>0</v>
      </c>
      <c r="G69" s="186">
        <f t="shared" si="6"/>
        <v>1.7099E-2</v>
      </c>
      <c r="H69" s="186">
        <f t="shared" si="7"/>
        <v>0</v>
      </c>
      <c r="I69" s="186">
        <f t="shared" si="8"/>
        <v>1.7099E-2</v>
      </c>
      <c r="J69" s="186">
        <f t="shared" si="9"/>
        <v>1.7099E-2</v>
      </c>
      <c r="K69" s="186">
        <f t="shared" si="10"/>
        <v>0</v>
      </c>
    </row>
    <row r="70" spans="1:11" x14ac:dyDescent="0.3">
      <c r="A70" t="s">
        <v>210</v>
      </c>
      <c r="B70" s="142">
        <v>100000</v>
      </c>
      <c r="C70" s="142">
        <v>0</v>
      </c>
      <c r="D70" s="142">
        <v>113850</v>
      </c>
      <c r="E70" s="142">
        <v>113850</v>
      </c>
      <c r="F70" s="142">
        <v>13850</v>
      </c>
      <c r="G70" s="186">
        <f t="shared" si="6"/>
        <v>0.1</v>
      </c>
      <c r="H70" s="186">
        <f t="shared" si="7"/>
        <v>0</v>
      </c>
      <c r="I70" s="186">
        <f t="shared" si="8"/>
        <v>0.11385000000000001</v>
      </c>
      <c r="J70" s="186">
        <f t="shared" si="9"/>
        <v>0.11385000000000001</v>
      </c>
      <c r="K70" s="186">
        <f t="shared" si="10"/>
        <v>1.3849999999999999E-2</v>
      </c>
    </row>
    <row r="71" spans="1:11" x14ac:dyDescent="0.3">
      <c r="A71" t="s">
        <v>189</v>
      </c>
      <c r="B71" s="142">
        <v>8435.7000000000007</v>
      </c>
      <c r="C71" s="142">
        <v>0</v>
      </c>
      <c r="D71" s="142">
        <v>8436</v>
      </c>
      <c r="E71" s="142">
        <v>8436</v>
      </c>
      <c r="F71" s="142">
        <v>0.2999999999992724</v>
      </c>
      <c r="G71" s="186">
        <f t="shared" si="6"/>
        <v>8.4357000000000008E-3</v>
      </c>
      <c r="H71" s="186">
        <f t="shared" si="7"/>
        <v>0</v>
      </c>
      <c r="I71" s="186">
        <f t="shared" si="8"/>
        <v>8.4360000000000008E-3</v>
      </c>
      <c r="J71" s="186">
        <f t="shared" si="9"/>
        <v>8.4360000000000008E-3</v>
      </c>
      <c r="K71" s="186">
        <f t="shared" si="10"/>
        <v>2.9999999999927239E-7</v>
      </c>
    </row>
    <row r="72" spans="1:11" x14ac:dyDescent="0.3">
      <c r="A72" t="s">
        <v>135</v>
      </c>
      <c r="B72" s="142">
        <v>12200</v>
      </c>
      <c r="C72" s="142">
        <v>0</v>
      </c>
      <c r="D72" s="142">
        <v>12200</v>
      </c>
      <c r="E72" s="142">
        <v>12200</v>
      </c>
      <c r="F72" s="142">
        <v>0</v>
      </c>
      <c r="G72" s="186">
        <f t="shared" si="6"/>
        <v>1.2200000000000001E-2</v>
      </c>
      <c r="H72" s="186">
        <f t="shared" si="7"/>
        <v>0</v>
      </c>
      <c r="I72" s="186">
        <f t="shared" si="8"/>
        <v>1.2200000000000001E-2</v>
      </c>
      <c r="J72" s="186">
        <f t="shared" si="9"/>
        <v>1.2200000000000001E-2</v>
      </c>
      <c r="K72" s="186">
        <f t="shared" si="10"/>
        <v>0</v>
      </c>
    </row>
    <row r="73" spans="1:11" x14ac:dyDescent="0.3">
      <c r="A73" t="s">
        <v>171</v>
      </c>
      <c r="B73" s="142">
        <v>5407.5</v>
      </c>
      <c r="C73" s="142">
        <v>0</v>
      </c>
      <c r="D73" s="142">
        <v>5407.5</v>
      </c>
      <c r="E73" s="142">
        <v>5407.5</v>
      </c>
      <c r="F73" s="142">
        <v>0</v>
      </c>
      <c r="G73" s="186">
        <f t="shared" si="6"/>
        <v>5.4075E-3</v>
      </c>
      <c r="H73" s="186">
        <f t="shared" si="7"/>
        <v>0</v>
      </c>
      <c r="I73" s="186">
        <f t="shared" si="8"/>
        <v>5.4075E-3</v>
      </c>
      <c r="J73" s="186">
        <f t="shared" si="9"/>
        <v>5.4075E-3</v>
      </c>
      <c r="K73" s="186">
        <f t="shared" si="10"/>
        <v>0</v>
      </c>
    </row>
    <row r="74" spans="1:11" x14ac:dyDescent="0.3">
      <c r="A74" t="s">
        <v>133</v>
      </c>
      <c r="B74" s="142">
        <v>25000</v>
      </c>
      <c r="C74" s="142">
        <v>0</v>
      </c>
      <c r="D74" s="142">
        <v>25000</v>
      </c>
      <c r="E74" s="142">
        <v>25000</v>
      </c>
      <c r="F74" s="142">
        <v>0</v>
      </c>
      <c r="G74" s="186">
        <f t="shared" si="6"/>
        <v>2.5000000000000001E-2</v>
      </c>
      <c r="H74" s="186">
        <f t="shared" si="7"/>
        <v>0</v>
      </c>
      <c r="I74" s="186">
        <f t="shared" si="8"/>
        <v>2.5000000000000001E-2</v>
      </c>
      <c r="J74" s="186">
        <f t="shared" si="9"/>
        <v>2.5000000000000001E-2</v>
      </c>
      <c r="K74" s="186">
        <f t="shared" si="10"/>
        <v>0</v>
      </c>
    </row>
    <row r="75" spans="1:11" x14ac:dyDescent="0.3">
      <c r="A75" t="s">
        <v>172</v>
      </c>
      <c r="B75" s="142">
        <v>61830</v>
      </c>
      <c r="C75" s="142">
        <v>0</v>
      </c>
      <c r="D75" s="142">
        <v>61830</v>
      </c>
      <c r="E75" s="142">
        <v>61830</v>
      </c>
      <c r="F75" s="142">
        <v>0</v>
      </c>
      <c r="G75" s="186">
        <f t="shared" si="6"/>
        <v>6.1830000000000003E-2</v>
      </c>
      <c r="H75" s="186">
        <f t="shared" si="7"/>
        <v>0</v>
      </c>
      <c r="I75" s="186">
        <f t="shared" si="8"/>
        <v>6.1830000000000003E-2</v>
      </c>
      <c r="J75" s="186">
        <f t="shared" si="9"/>
        <v>6.1830000000000003E-2</v>
      </c>
      <c r="K75" s="186">
        <f t="shared" si="10"/>
        <v>0</v>
      </c>
    </row>
    <row r="76" spans="1:11" x14ac:dyDescent="0.3">
      <c r="A76" s="187" t="s">
        <v>94</v>
      </c>
      <c r="B76" s="188">
        <v>15750</v>
      </c>
      <c r="C76" s="188">
        <v>0</v>
      </c>
      <c r="D76" s="188">
        <v>15750</v>
      </c>
      <c r="E76" s="188">
        <v>15750</v>
      </c>
      <c r="F76" s="188">
        <v>0</v>
      </c>
      <c r="G76" s="186">
        <f t="shared" si="6"/>
        <v>1.575E-2</v>
      </c>
      <c r="H76" s="186">
        <f t="shared" si="7"/>
        <v>0</v>
      </c>
      <c r="I76" s="186">
        <f t="shared" si="8"/>
        <v>1.575E-2</v>
      </c>
      <c r="J76" s="186">
        <f t="shared" si="9"/>
        <v>1.575E-2</v>
      </c>
      <c r="K76" s="186">
        <f t="shared" si="10"/>
        <v>0</v>
      </c>
    </row>
    <row r="77" spans="1:11" x14ac:dyDescent="0.3">
      <c r="A77" t="s">
        <v>754</v>
      </c>
      <c r="B77" s="189">
        <f>SUBTOTAL(9,B2:B76)</f>
        <v>43031054.956150003</v>
      </c>
      <c r="C77" s="189">
        <f t="shared" ref="C77:F77" si="11">SUBTOTAL(9,C2:C76)</f>
        <v>16844025.549233332</v>
      </c>
      <c r="D77" s="189">
        <f t="shared" si="11"/>
        <v>26654172.974333324</v>
      </c>
      <c r="E77" s="189">
        <f t="shared" si="11"/>
        <v>43498198.523566656</v>
      </c>
      <c r="F77" s="189">
        <f t="shared" si="11"/>
        <v>467143.56741666631</v>
      </c>
    </row>
    <row r="78" spans="1:11" x14ac:dyDescent="0.3">
      <c r="A78" t="s">
        <v>755</v>
      </c>
      <c r="B78" s="186">
        <f>B77/1000000</f>
        <v>43.031054956150001</v>
      </c>
      <c r="C78" s="186">
        <f t="shared" ref="C78:F78" si="12">C77/1000000</f>
        <v>16.844025549233333</v>
      </c>
      <c r="D78" s="186">
        <f t="shared" si="12"/>
        <v>26.654172974333324</v>
      </c>
      <c r="E78" s="186">
        <f t="shared" si="12"/>
        <v>43.498198523566657</v>
      </c>
      <c r="F78" s="186">
        <f t="shared" si="12"/>
        <v>0.46714356741666629</v>
      </c>
    </row>
  </sheetData>
  <sortState xmlns:xlrd2="http://schemas.microsoft.com/office/spreadsheetml/2017/richdata2" ref="A2:F76">
    <sortCondition descending="1" ref="C2:C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ANTARESITDMO-1057074058-8703</_dlc_DocId>
    <_dlc_DocIdUrl xmlns="26d0a970-2ab3-49ef-b4d7-820ab6496716">
      <Url>https://antarescap.sharepoint.com/sites/AntaresITDemo/IT Internal/TechPMO/_layouts/15/DocIdRedir.aspx?ID=ANTARESITDMO-1057074058-8703</Url>
      <Description>ANTARESITDMO-1057074058-8703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2E2E58D-7571-4D1E-B0F3-701D55D92D79}">
  <ds:schemaRefs>
    <ds:schemaRef ds:uri="http://purl.org/dc/terms/"/>
    <ds:schemaRef ds:uri="http://schemas.openxmlformats.org/package/2006/metadata/core-properties"/>
    <ds:schemaRef ds:uri="c391786d-2ce2-4ee1-838b-63fe54a71a4e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microsoft.com/office/infopath/2007/PartnerControls"/>
    <ds:schemaRef ds:uri="26d0a970-2ab3-49ef-b4d7-820ab6496716"/>
  </ds:schemaRefs>
</ds:datastoreItem>
</file>

<file path=customXml/itemProps2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YTD Financials Run Rate</vt:lpstr>
      <vt:lpstr>Notes - R&amp;O</vt:lpstr>
      <vt:lpstr>Monthly Run Rate (Jan-Mar)</vt:lpstr>
      <vt:lpstr>Vendor View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Rough</vt:lpstr>
      <vt:lpstr>Vendor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2026-07-15T14:56:09Z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7793805c-27fb-4e4b-9011-0d8f7a03284c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