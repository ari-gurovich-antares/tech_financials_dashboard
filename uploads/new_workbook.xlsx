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31CAB0FB-0567-4683-A21E-7E33E34F2681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26" r:id="rId7"/>
    <pivotCache cacheId="2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84" l="1"/>
  <c r="U12" i="84"/>
  <c r="AU28" i="88" l="1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32" i="88" l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H149" i="89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<sst xmlns="http://schemas.openxmlformats.org/spreadsheetml/2006/main" count="3835" uniqueCount="754">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</sst>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9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9.818817013889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87000"/>
    <n v="0"/>
    <n v="299000"/>
    <n v="299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n v="54750"/>
    <n v="106750"/>
    <m/>
    <m/>
    <m/>
    <m/>
    <m/>
    <m/>
    <n v="315500"/>
    <n v="-11916.666666666664"/>
    <n v="-11916.666666666664"/>
    <n v="0"/>
    <n v="0"/>
    <n v="0"/>
    <n v="52000"/>
    <n v="-67750"/>
    <n v="-80750"/>
    <n v="-80750"/>
    <n v="-80750"/>
    <n v="-80750"/>
    <n v="-80750"/>
    <n v="-443333.33333333331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42160"/>
    <n v="-257840"/>
    <n v="0"/>
    <n v="-25784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n v="45120"/>
    <m/>
    <m/>
    <m/>
    <m/>
    <m/>
    <m/>
    <n v="198160"/>
    <n v="-5200"/>
    <n v="-1200"/>
    <n v="2400"/>
    <n v="2400"/>
    <n v="8640"/>
    <n v="21120"/>
    <n v="-24000"/>
    <n v="-24000"/>
    <n v="-24000"/>
    <n v="-24000"/>
    <n v="-24000"/>
    <n v="-24000"/>
    <n v="-115840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448"/>
    <n v="-76832"/>
    <n v="0"/>
    <n v="-76832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n v="5712"/>
    <m/>
    <m/>
    <m/>
    <m/>
    <m/>
    <m/>
    <n v="51808"/>
    <n v="-2288"/>
    <n v="-2144"/>
    <n v="144"/>
    <n v="-816"/>
    <n v="0"/>
    <n v="272"/>
    <n v="-5440"/>
    <n v="-5440"/>
    <n v="-5440"/>
    <n v="-5440"/>
    <n v="-5440"/>
    <n v="-5440"/>
    <n v="-37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296.217999999993"/>
    <n v="-136.48000000001048"/>
    <n v="0"/>
    <n v="-136.48000000001048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232.698000000004"/>
    <n v="-69369.178"/>
    <m/>
    <n v="1063.52"/>
    <n v="0"/>
    <n v="692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353">
      <pivotArea field="6" type="button" dataOnly="0" labelOnly="1" outline="0" axis="axisRow" fieldPosition="0"/>
    </format>
    <format dxfId="352">
      <pivotArea field="12" type="button" dataOnly="0" labelOnly="1" outline="0" axis="axisRow" fieldPosition="1"/>
    </format>
    <format dxfId="3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0">
      <pivotArea field="6" type="button" dataOnly="0" labelOnly="1" outline="0" axis="axisRow" fieldPosition="0"/>
    </format>
    <format dxfId="349">
      <pivotArea field="12" type="button" dataOnly="0" labelOnly="1" outline="0" axis="axisRow" fieldPosition="1"/>
    </format>
    <format dxfId="3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7">
      <pivotArea outline="0" collapsedLevelsAreSubtotals="1" fieldPosition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type="origin" dataOnly="0" labelOnly="1" outline="0" fieldPosition="0"/>
    </format>
    <format dxfId="343">
      <pivotArea field="-2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6" type="button" dataOnly="0" labelOnly="1" outline="0" axis="axisRow" fieldPosition="0"/>
    </format>
    <format dxfId="340">
      <pivotArea field="12" type="button" dataOnly="0" labelOnly="1" outline="0" axis="axisRow" fieldPosition="1"/>
    </format>
    <format dxfId="339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338">
      <pivotArea dataOnly="0" labelOnly="1" grandRow="1" outline="0" fieldPosition="0"/>
    </format>
    <format dxfId="3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361">
      <pivotArea outline="0" collapsedLevelsAreSubtotals="1" fieldPosition="0"/>
    </format>
    <format dxfId="360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12" type="button" dataOnly="0" labelOnly="1" outline="0" axis="axisRow" fieldPosition="0"/>
    </format>
    <format dxfId="356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355">
      <pivotArea dataOnly="0" labelOnly="1" grandRow="1" outline="0" fieldPosition="0"/>
    </format>
    <format dxfId="35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368">
      <pivotArea outline="0" collapsedLevelsAreSubtotals="1" fieldPosition="0"/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field="6" type="button" dataOnly="0" labelOnly="1" outline="0" axis="axisRow" fieldPosition="0"/>
    </format>
    <format dxfId="364">
      <pivotArea dataOnly="0" labelOnly="1" fieldPosition="0">
        <references count="1">
          <reference field="6" count="0"/>
        </references>
      </pivotArea>
    </format>
    <format dxfId="363">
      <pivotArea dataOnly="0" labelOnly="1" grandRow="1" outline="0" fieldPosition="0"/>
    </format>
    <format dxfId="3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33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35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33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3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3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331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3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3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2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3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3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25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3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3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22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3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3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319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3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3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316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3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3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313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3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3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10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3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3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07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3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3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04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3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3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01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3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2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98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2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5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2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2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2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289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2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2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86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2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2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83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2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2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80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2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2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7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2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2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4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2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2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1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2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2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8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2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2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5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2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2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2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2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0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2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57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2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54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2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51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2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248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2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5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2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2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2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2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2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9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2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2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2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4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2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2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1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2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2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28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2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2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5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2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2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2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2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2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19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2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2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6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2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2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2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21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1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2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2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8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2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2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05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2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2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02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2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2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99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6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93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9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0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7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2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79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6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73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1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1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2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1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9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1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6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1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3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1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1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47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1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44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1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1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1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8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1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35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1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2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1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9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1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126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1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3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1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0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1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7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11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114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11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1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96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93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9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0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7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84" tableBorderDxfId="83">
  <autoFilter ref="A1:BT150" xr:uid="{A492086E-22C3-4E96-A6F5-F99E42618563}">
    <filterColumn colId="1">
      <filters>
        <filter val="Verizon Wireless Services LLC"/>
      </filters>
    </filterColumn>
  </autoFilter>
  <tableColumns count="72">
    <tableColumn id="1" xr3:uid="{242EDFF6-742E-412A-994F-DE5685E22BB0}" name="Transaction Type" dataDxfId="82"/>
    <tableColumn id="2" xr3:uid="{08616251-7DE6-4D23-92E4-2E85B1D94360}" name="D365 Legal Vendor name" dataDxfId="81"/>
    <tableColumn id="3" xr3:uid="{BD70789C-92D9-4A27-B8C3-E2607261E720}" name="DBA / AKA / Passthrough" dataDxfId="80"/>
    <tableColumn id="4" xr3:uid="{3918E27D-D871-43A2-9D6A-94FB14F654EC}" name="Project ID" dataDxfId="79"/>
    <tableColumn id="5" xr3:uid="{A028ADB0-AF1A-40E1-8A52-FF282B40DE64}" name="Project Name" dataDxfId="78"/>
    <tableColumn id="6" xr3:uid="{B4F67E57-8B0C-436C-BF42-2CAC2B8245C1}" name="Domain" dataDxfId="77"/>
    <tableColumn id="7" xr3:uid="{91E0CA19-9704-4FB2-9B82-EB394E89DF85}" name="Domain Owner" dataDxfId="76"/>
    <tableColumn id="9" xr3:uid="{090B133E-C581-4D72-9CCF-C2D174AB0F43}" name="Contract Start" dataDxfId="75"/>
    <tableColumn id="10" xr3:uid="{610CA386-C3EA-4064-9F45-507F0B25669D}" name="Contract End" dataDxfId="74"/>
    <tableColumn id="11" xr3:uid="{7A9CDD19-1472-4FAD-ACF7-98BC097996DE}" name="Application" dataDxfId="73"/>
    <tableColumn id="12" xr3:uid="{F6177E08-E03D-4CE8-A8C5-24F7F0CE38DF}" name="Project Details" dataDxfId="72">
      <calculatedColumnFormula>D2 &amp; "-" &amp;E2</calculatedColumnFormula>
    </tableColumn>
    <tableColumn id="13" xr3:uid="{F8731934-20F7-4424-BF3E-888C8F3E250E}" name="Category" dataDxfId="71"/>
    <tableColumn id="14" xr3:uid="{97F74ECF-D3E1-4544-B389-0D70673967E8}" name="Sub-Category1" dataDxfId="70"/>
    <tableColumn id="17" xr3:uid="{4C848037-D78D-42C1-A2C6-E6309704016E}" name="Sub-Category2" dataDxfId="69"/>
    <tableColumn id="21" xr3:uid="{0122725A-C30C-4CEE-B8D6-2422E3E10326}" name="Contract Type" dataDxfId="68"/>
    <tableColumn id="15" xr3:uid="{DCD4FDCF-43FF-4308-9293-62EA996620ED}" name="MGMT View Category (OneStream)" dataDxfId="67"/>
    <tableColumn id="18" xr3:uid="{658A4718-1DA7-4FBE-8992-7FAE7F4C7F49}" name="Onestream Account" dataDxfId="66"/>
    <tableColumn id="19" xr3:uid="{5267CF94-3623-462E-97AF-E18156B00053}" name="A/P Account Name" dataDxfId="65"/>
    <tableColumn id="20" xr3:uid="{5E0DC275-3907-45A6-9C4F-937BDB02153F}" name="Accounting Treatment" dataDxfId="64"/>
    <tableColumn id="22" xr3:uid="{16BEBE99-AC2A-471E-8FD9-AAE62FE8D83D}" name="2025 Actuals" dataDxfId="63"/>
    <tableColumn id="23" xr3:uid="{AB3393C9-D921-4085-AF5F-B7B623848FCC}" name="2026 Initial Budget" dataDxfId="62" dataCellStyle="Comma"/>
    <tableColumn id="25" xr3:uid="{BD95F986-B575-45C9-B565-3F5A5D25B661}" name="2026 Final Budget" dataDxfId="61" dataCellStyle="Comma"/>
    <tableColumn id="26" xr3:uid="{FE8AB3AA-8105-4CAA-9C84-BF99E639D702}" name="2026 (Actuals + Forecast)" dataDxfId="60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59" dataCellStyle="Comma">
      <calculatedColumnFormula>IF(V2 &gt;= W2, V2 - W2, 0)*-1</calculatedColumnFormula>
    </tableColumn>
    <tableColumn id="28" xr3:uid="{3E8C9BC3-A36F-4429-ADF1-E2E31EDFB123}" name="2026 Risk" dataDxfId="58" dataCellStyle="Comma">
      <calculatedColumnFormula>IF(W2 &gt; V2, W2 - V2, 0)</calculatedColumnFormula>
    </tableColumn>
    <tableColumn id="16" xr3:uid="{A2223374-A086-4670-9148-44C5B80D2F38}" name="2026 Risk/(Opportunity)" dataDxfId="57" dataCellStyle="Comma">
      <calculatedColumnFormula>SUM(Financials20263[[#This Row],[2026 Opportunity]:[2026 Risk]])</calculatedColumnFormula>
    </tableColumn>
    <tableColumn id="29" xr3:uid="{9340939D-B61A-4867-A6FB-35598984DFC3}" name="Notes" dataDxfId="56"/>
    <tableColumn id="31" xr3:uid="{CAB5AFB6-CA5B-483A-9BAF-5761679A373B}" name="Jan FC" dataDxfId="55" dataCellStyle="Comma"/>
    <tableColumn id="32" xr3:uid="{5E6FFDA7-DF5F-495F-BC8D-D67F03329023}" name="Feb FC" dataDxfId="54" dataCellStyle="Comma"/>
    <tableColumn id="33" xr3:uid="{5058D119-6F17-43D3-AEF2-4F273CEBA31A}" name="Mar FC" dataDxfId="53" dataCellStyle="Comma"/>
    <tableColumn id="34" xr3:uid="{A3AC516B-B770-430E-B148-E1D3D9567FAD}" name="Apr FC" dataDxfId="52" dataCellStyle="Comma"/>
    <tableColumn id="35" xr3:uid="{ECEA33AD-45C5-4E82-A009-017E85D7DB44}" name="May FC" dataDxfId="51" dataCellStyle="Comma"/>
    <tableColumn id="36" xr3:uid="{E9DB8B47-323F-434B-807B-8748ED61ED34}" name="Jun FC" dataDxfId="50" dataCellStyle="Comma"/>
    <tableColumn id="37" xr3:uid="{6374D5F8-607B-41C2-B794-601F25EB418D}" name="Jul FC" dataDxfId="49" dataCellStyle="Comma"/>
    <tableColumn id="38" xr3:uid="{B4C16149-C9F0-45EC-B182-FD3B8B7429E0}" name="Aug FC" dataDxfId="48" dataCellStyle="Comma"/>
    <tableColumn id="39" xr3:uid="{26B14811-E5F5-4106-A54B-40DE00366D76}" name="Sep FC" dataDxfId="47" dataCellStyle="Comma"/>
    <tableColumn id="40" xr3:uid="{9E952692-1BDD-4D56-A183-37BF4A11F526}" name="Oct FC" dataDxfId="46" dataCellStyle="Comma"/>
    <tableColumn id="41" xr3:uid="{A049F4C1-34D3-4A29-86A7-C671D5C6D98B}" name="Nov FC" dataDxfId="45" dataCellStyle="Comma"/>
    <tableColumn id="42" xr3:uid="{5705BE95-DF6B-473B-8FA4-9E4226201603}" name="Dec FC" dataDxfId="44" dataCellStyle="Comma"/>
    <tableColumn id="74" xr3:uid="{9D40B7D4-7BAE-4A98-8145-9A222ED326B8}" name="Total - FC" dataDxfId="43" dataCellStyle="Comma">
      <calculatedColumnFormula>SUM(Financials20263[[#This Row],[Jan FC]:[Dec FC]])</calculatedColumnFormula>
    </tableColumn>
    <tableColumn id="43" xr3:uid="{91FD6C06-93AB-414D-9B76-887643EEED96}" name="Jul-Dec FC" dataDxfId="42" dataCellStyle="Comma">
      <calculatedColumnFormula>SUM(Financials20263[[#This Row],[Jul FC]:[Dec FC]])</calculatedColumnFormula>
    </tableColumn>
    <tableColumn id="56" xr3:uid="{F69A83C4-B9A3-4262-A8CB-8CE81864D5FA}" name="Jan AC" dataDxfId="41" dataCellStyle="Comma"/>
    <tableColumn id="55" xr3:uid="{1E9D6300-4AD1-4261-A1FF-6366DF423E92}" name="Feb AC" dataDxfId="40" dataCellStyle="Comma"/>
    <tableColumn id="54" xr3:uid="{13FFF1FD-26A1-4FD6-97E8-9386AB4AC43C}" name="Mar AC" dataDxfId="39" dataCellStyle="Comma"/>
    <tableColumn id="53" xr3:uid="{4528A9EB-DCC4-4768-9C74-B00744D89F2E}" name="Apr AC" dataDxfId="38" dataCellStyle="Comma"/>
    <tableColumn id="52" xr3:uid="{09BBCE26-5305-4845-8E95-2938F78951A1}" name="May AC" dataDxfId="37" dataCellStyle="Comma"/>
    <tableColumn id="51" xr3:uid="{B53E3A5E-4C7A-47F6-98EF-98D0339ED7EF}" name="Jun AC" dataDxfId="36" dataCellStyle="Comma"/>
    <tableColumn id="50" xr3:uid="{1B3A42E1-1A4A-4F02-AB85-F321F9298327}" name="Jul AC" dataDxfId="35" dataCellStyle="Comma"/>
    <tableColumn id="49" xr3:uid="{DB3FF538-4DFF-4E76-A4ED-65067E509D32}" name="Aug AC" dataDxfId="34" dataCellStyle="Comma"/>
    <tableColumn id="48" xr3:uid="{7811DD89-220A-4A96-BB76-DDA3AB708625}" name="Sep AC" dataDxfId="33" dataCellStyle="Comma"/>
    <tableColumn id="47" xr3:uid="{A17FFA7D-49AE-4866-91BB-54ABF4DBC444}" name="Oct AC" dataDxfId="32" dataCellStyle="Comma"/>
    <tableColumn id="46" xr3:uid="{41435EA0-FEC7-48B7-855E-47C16BC64CF6}" name="Nov AC" dataDxfId="31" dataCellStyle="Comma"/>
    <tableColumn id="30" xr3:uid="{A2239101-D3EE-49BD-BE0C-6704F209BED4}" name="Dec AC" dataDxfId="30" dataCellStyle="Comma"/>
    <tableColumn id="75" xr3:uid="{C6B2B2DB-BFC6-4CA1-A44B-AB1642CA5DF4}" name="Total Actuals" dataDxfId="29" dataCellStyle="Comma">
      <calculatedColumnFormula>SUM(Financials20263[[#This Row],[Jan AC]:[Dec AC]])</calculatedColumnFormula>
    </tableColumn>
    <tableColumn id="58" xr3:uid="{C27E561F-EC4E-4A83-860E-89EDAFD8273C}" name="Jan Opp/Risk" dataDxfId="2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2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2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2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2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2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2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2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2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1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1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1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16" dataCellStyle="Comma">
      <calculatedColumnFormula>SUM(Financials20263[[#This Row],[Jan Opp/Risk]:[Dec Opp./Risk]])</calculatedColumnFormula>
    </tableColumn>
    <tableColumn id="45" xr3:uid="{40E9183E-CE83-4399-9E89-734953B2AD7E}" name="Notes - Swati" dataDxfId="15" dataCellStyle="Comma"/>
    <tableColumn id="57" xr3:uid="{71A027C0-CE0B-44F4-9BEA-44F1E025C29C}" name="Jan-Jun Actuals" dataDxfId="14" dataCellStyle="Comma">
      <calculatedColumnFormula>SUM(Financials20263[[#This Row],[Jan AC]:[Jun AC]])</calculatedColumnFormula>
    </tableColumn>
    <tableColumn id="8" xr3:uid="{A4CDF58C-06B8-490E-851A-3E8597DB1ABC}" name="Pending Jan-Jun" dataDxfId="13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12">
      <calculatedColumnFormula>Financials20263[[#This Row],[Jul-Dec FC]]+Financials20263[[#This Row],[Pending Jan-Jun]]</calculatedColumnFormula>
    </tableColumn>
    <tableColumn id="71" xr3:uid="{E2A7DC33-E1C7-4989-AFA3-667DE437DAE3}" name="Non-Comitted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30" sqref="F30"/>
    </sheetView>
  </sheetViews>
  <sheetFormatPr defaultRowHeight="14.4" x14ac:dyDescent="0.3"/>
  <cols>
    <col min="1" max="1" width="14.5546875" style="170" bestFit="1" customWidth="1"/>
    <col min="2" max="2" width="15.5546875" style="170" bestFit="1" customWidth="1"/>
    <col min="3" max="4" width="11.77734375" style="170" bestFit="1" customWidth="1"/>
    <col min="5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97" t="s">
        <v>521</v>
      </c>
      <c r="D1" s="197"/>
      <c r="E1" s="197"/>
      <c r="F1" s="197"/>
      <c r="J1" s="173" t="s">
        <v>39</v>
      </c>
    </row>
    <row r="2" spans="1:10" x14ac:dyDescent="0.3">
      <c r="C2" s="197"/>
      <c r="D2" s="197"/>
      <c r="E2" s="197"/>
      <c r="F2" s="197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564</v>
      </c>
      <c r="D3" s="171" t="s">
        <v>44</v>
      </c>
      <c r="E3" s="171" t="s">
        <v>45</v>
      </c>
      <c r="F3" s="170" t="s">
        <v>736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8293197.2700000005</v>
      </c>
      <c r="D6" s="177">
        <v>2290.5000000000746</v>
      </c>
      <c r="E6" s="177">
        <v>-51708.305000000088</v>
      </c>
      <c r="F6" s="177">
        <v>-49417.805000000008</v>
      </c>
    </row>
    <row r="7" spans="1:10" x14ac:dyDescent="0.3">
      <c r="A7" s="176" t="s">
        <v>46</v>
      </c>
      <c r="B7" s="177">
        <v>7271840</v>
      </c>
      <c r="C7" s="177">
        <v>8594147.9199999999</v>
      </c>
      <c r="D7" s="177">
        <v>2219271.92</v>
      </c>
      <c r="E7" s="177">
        <v>-896964</v>
      </c>
      <c r="F7" s="177">
        <v>1322307.92</v>
      </c>
    </row>
    <row r="8" spans="1:10" x14ac:dyDescent="0.3">
      <c r="A8" s="176" t="s">
        <v>5</v>
      </c>
      <c r="B8" s="177">
        <v>2894491.34</v>
      </c>
      <c r="C8" s="177">
        <v>2941970.81</v>
      </c>
      <c r="D8" s="177">
        <v>299000</v>
      </c>
      <c r="E8" s="177">
        <v>-251520.53</v>
      </c>
      <c r="F8" s="177">
        <v>47479.47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21474479.944083337</v>
      </c>
      <c r="D10" s="177">
        <v>1286829.8064333322</v>
      </c>
      <c r="E10" s="177">
        <v>-210779.40350000048</v>
      </c>
      <c r="F10" s="177">
        <v>1076050.4029333319</v>
      </c>
    </row>
    <row r="11" spans="1:10" x14ac:dyDescent="0.3">
      <c r="A11" s="176" t="s">
        <v>8</v>
      </c>
      <c r="B11" s="177">
        <v>44788397.956149995</v>
      </c>
      <c r="C11" s="177">
        <v>45275590.167416669</v>
      </c>
      <c r="D11" s="177">
        <v>4038761.2864333321</v>
      </c>
      <c r="E11" s="177">
        <v>-3551569.0751666664</v>
      </c>
      <c r="F11" s="177">
        <v>487192.21126666549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45.275590167416667</v>
      </c>
      <c r="D25" s="181">
        <f t="shared" si="0"/>
        <v>4.0387612864333322</v>
      </c>
      <c r="E25" s="181">
        <f t="shared" si="0"/>
        <v>-3.5515690751666664</v>
      </c>
      <c r="F25" s="181">
        <f t="shared" si="0"/>
        <v>0.48719221126666551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98" t="s">
        <v>522</v>
      </c>
      <c r="D27" s="198"/>
      <c r="E27" s="198"/>
    </row>
    <row r="28" spans="1:6" x14ac:dyDescent="0.3">
      <c r="C28" s="198"/>
      <c r="D28" s="198"/>
      <c r="E28" s="198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520</v>
      </c>
      <c r="E30" s="170" t="s">
        <v>736</v>
      </c>
    </row>
    <row r="31" spans="1:6" x14ac:dyDescent="0.3">
      <c r="A31" s="170" t="s">
        <v>48</v>
      </c>
      <c r="C31" s="184">
        <v>9728294.5971499998</v>
      </c>
      <c r="D31" s="184">
        <v>5519435.7241666662</v>
      </c>
      <c r="E31" s="184">
        <v>763149.77284999972</v>
      </c>
    </row>
    <row r="32" spans="1:6" ht="28.8" x14ac:dyDescent="0.3">
      <c r="A32" s="170" t="s">
        <v>49</v>
      </c>
      <c r="C32" s="184">
        <v>14299443.790000001</v>
      </c>
      <c r="D32" s="184">
        <v>6969640.2175000003</v>
      </c>
      <c r="E32" s="184">
        <v>469087.43941666681</v>
      </c>
    </row>
    <row r="33" spans="1:6" x14ac:dyDescent="0.3">
      <c r="A33" s="170" t="s">
        <v>50</v>
      </c>
      <c r="C33" s="184">
        <v>13152468.5</v>
      </c>
      <c r="D33" s="184">
        <v>9336947.6499999985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648846.75</v>
      </c>
      <c r="E34" s="184">
        <v>-165839.70000000001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1173017.6300000004</v>
      </c>
      <c r="E36" s="184">
        <v>-96549.619333333278</v>
      </c>
    </row>
    <row r="37" spans="1:6" x14ac:dyDescent="0.3">
      <c r="A37" s="170" t="s">
        <v>8</v>
      </c>
      <c r="C37" s="184">
        <v>43346450.95615001</v>
      </c>
      <c r="D37" s="184">
        <v>24643726.611666664</v>
      </c>
      <c r="E37" s="184">
        <v>487192.60126666474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631</v>
      </c>
      <c r="F1" s="137" t="s">
        <v>632</v>
      </c>
      <c r="G1" s="138" t="s">
        <v>98</v>
      </c>
      <c r="H1" s="137" t="s">
        <v>633</v>
      </c>
      <c r="I1" s="138" t="s">
        <v>528</v>
      </c>
      <c r="J1" s="139" t="s">
        <v>529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634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635</v>
      </c>
      <c r="J3" s="144" t="s">
        <v>530</v>
      </c>
      <c r="M3" t="s">
        <v>158</v>
      </c>
      <c r="N3" t="s">
        <v>636</v>
      </c>
      <c r="O3" t="s">
        <v>637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638</v>
      </c>
      <c r="O4" t="s">
        <v>639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640</v>
      </c>
      <c r="J5" s="144" t="s">
        <v>530</v>
      </c>
      <c r="M5" t="s">
        <v>530</v>
      </c>
      <c r="N5" t="s">
        <v>641</v>
      </c>
      <c r="O5" t="s">
        <v>642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643</v>
      </c>
      <c r="J6" s="144" t="s">
        <v>530</v>
      </c>
      <c r="M6" t="s">
        <v>534</v>
      </c>
      <c r="N6" t="s">
        <v>644</v>
      </c>
      <c r="O6" t="s">
        <v>645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545</v>
      </c>
      <c r="J7" s="152" t="s">
        <v>531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646</v>
      </c>
      <c r="J8" s="144" t="s">
        <v>530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647</v>
      </c>
      <c r="J10" s="144" t="s">
        <v>530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648</v>
      </c>
      <c r="J12" s="152" t="s">
        <v>531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649</v>
      </c>
      <c r="J13" s="144" t="s">
        <v>530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532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648</v>
      </c>
      <c r="J16" s="152" t="s">
        <v>531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650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651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652</v>
      </c>
      <c r="J22" s="152" t="s">
        <v>531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652</v>
      </c>
      <c r="J23" s="152" t="s">
        <v>531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652</v>
      </c>
      <c r="J24" s="152" t="s">
        <v>531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653</v>
      </c>
      <c r="J25" s="144" t="s">
        <v>530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654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652</v>
      </c>
      <c r="J27" s="152" t="s">
        <v>531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652</v>
      </c>
      <c r="J28" s="152" t="s">
        <v>531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652</v>
      </c>
      <c r="J29" s="152" t="s">
        <v>531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652</v>
      </c>
      <c r="J30" s="152" t="s">
        <v>531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652</v>
      </c>
      <c r="J31" s="152" t="s">
        <v>531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652</v>
      </c>
      <c r="J32" s="152" t="s">
        <v>531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652</v>
      </c>
      <c r="J33" s="152" t="s">
        <v>531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652</v>
      </c>
      <c r="J34" s="152" t="s">
        <v>531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652</v>
      </c>
      <c r="J35" s="152" t="s">
        <v>531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655</v>
      </c>
      <c r="J36" s="144" t="s">
        <v>530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652</v>
      </c>
      <c r="J37" s="152" t="s">
        <v>531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652</v>
      </c>
      <c r="J39" s="152" t="s">
        <v>531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652</v>
      </c>
      <c r="J40" s="152" t="s">
        <v>531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535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656</v>
      </c>
      <c r="J43" s="144" t="s">
        <v>534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657</v>
      </c>
      <c r="J44" s="158" t="s">
        <v>534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658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659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660</v>
      </c>
      <c r="J48" s="144" t="s">
        <v>530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661</v>
      </c>
      <c r="J50" s="144" t="s">
        <v>530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662</v>
      </c>
      <c r="J51" s="144" t="s">
        <v>530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663</v>
      </c>
      <c r="J53" s="144" t="s">
        <v>530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664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665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666</v>
      </c>
      <c r="J57" s="144" t="s">
        <v>530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536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667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668</v>
      </c>
      <c r="J61" s="144" t="s">
        <v>530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669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670</v>
      </c>
      <c r="J64" s="144" t="s">
        <v>530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671</v>
      </c>
      <c r="J66" s="152" t="s">
        <v>531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672</v>
      </c>
      <c r="J68" s="158" t="s">
        <v>534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673</v>
      </c>
      <c r="J69" s="152" t="s">
        <v>531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674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537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675</v>
      </c>
      <c r="J74" s="152" t="s">
        <v>534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676</v>
      </c>
      <c r="J75" s="144" t="s">
        <v>530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677</v>
      </c>
      <c r="J76" s="144" t="s">
        <v>530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678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679</v>
      </c>
      <c r="J78" s="152" t="s">
        <v>534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538</v>
      </c>
      <c r="J79" s="152" t="s">
        <v>531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539</v>
      </c>
      <c r="J81" s="152" t="s">
        <v>531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540</v>
      </c>
      <c r="J83" s="152" t="s">
        <v>531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541</v>
      </c>
      <c r="J85" s="152" t="s">
        <v>531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541</v>
      </c>
      <c r="J86" s="152" t="s">
        <v>531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542</v>
      </c>
      <c r="J87" s="152" t="s">
        <v>531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680</v>
      </c>
      <c r="J88" s="144" t="s">
        <v>530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681</v>
      </c>
      <c r="J90" s="158" t="s">
        <v>41</v>
      </c>
    </row>
    <row r="91" spans="1:10" hidden="1" outlineLevel="1" x14ac:dyDescent="0.3">
      <c r="A91" s="146" t="s">
        <v>6</v>
      </c>
      <c r="B91" s="147" t="s">
        <v>543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544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682</v>
      </c>
      <c r="J93" s="144" t="s">
        <v>530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545</v>
      </c>
      <c r="J94" s="152" t="s">
        <v>531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546</v>
      </c>
      <c r="J95" s="152" t="s">
        <v>531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683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549</v>
      </c>
      <c r="J97" s="152" t="s">
        <v>531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684</v>
      </c>
      <c r="J98" s="144" t="s">
        <v>530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685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686</v>
      </c>
      <c r="J100" s="152" t="s">
        <v>531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687</v>
      </c>
      <c r="J102" s="152" t="s">
        <v>531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547</v>
      </c>
      <c r="J103" s="152" t="s">
        <v>531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688</v>
      </c>
      <c r="J104" s="152" t="s">
        <v>531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689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690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691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692</v>
      </c>
      <c r="J108" s="152" t="s">
        <v>531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545</v>
      </c>
      <c r="J109" s="152" t="s">
        <v>531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548</v>
      </c>
      <c r="J110" s="152" t="s">
        <v>531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693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694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695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696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697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698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699</v>
      </c>
      <c r="J118" s="152" t="s">
        <v>531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700</v>
      </c>
      <c r="J119" s="158" t="s">
        <v>534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701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688</v>
      </c>
      <c r="J121" s="152" t="s">
        <v>531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702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550</v>
      </c>
      <c r="J124" s="152" t="s">
        <v>531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688</v>
      </c>
      <c r="J125" s="152" t="s">
        <v>531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545</v>
      </c>
      <c r="J126" s="152" t="s">
        <v>531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545</v>
      </c>
      <c r="J128" s="152" t="s">
        <v>531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703</v>
      </c>
      <c r="J129" s="144" t="s">
        <v>530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704</v>
      </c>
      <c r="J130" s="152" t="s">
        <v>531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705</v>
      </c>
      <c r="J131" s="144" t="s">
        <v>530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545</v>
      </c>
      <c r="J133" s="152" t="s">
        <v>531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545</v>
      </c>
      <c r="J134" s="152" t="s">
        <v>531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706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545</v>
      </c>
      <c r="J136" s="152" t="s">
        <v>531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545</v>
      </c>
      <c r="J137" s="152" t="s">
        <v>531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545</v>
      </c>
      <c r="J138" s="152" t="s">
        <v>531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545</v>
      </c>
      <c r="J139" s="152" t="s">
        <v>531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688</v>
      </c>
      <c r="J140" s="152" t="s">
        <v>531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707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708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688</v>
      </c>
      <c r="J143" s="152" t="s">
        <v>531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709</v>
      </c>
      <c r="J144" s="152" t="s">
        <v>530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688</v>
      </c>
      <c r="J145" s="152" t="s">
        <v>531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551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9" priority="1">
      <formula>$J2="Hard Opportunity"</formula>
    </cfRule>
    <cfRule type="expression" dxfId="8" priority="2">
      <formula>$J2="Hard Risk"</formula>
    </cfRule>
    <cfRule type="expression" dxfId="7" priority="3">
      <formula>$J2="Soft Opportunity"</formula>
    </cfRule>
    <cfRule type="expression" dxfId="6" priority="4">
      <formula>$J2="Soft Risk"</formula>
    </cfRule>
  </conditionalFormatting>
  <conditionalFormatting sqref="J2:J149">
    <cfRule type="expression" dxfId="5" priority="5">
      <formula>$J2="Hard Opportunity"</formula>
    </cfRule>
    <cfRule type="expression" dxfId="4" priority="6">
      <formula>$J2="Hard Risk"</formula>
    </cfRule>
    <cfRule type="expression" dxfId="3" priority="7">
      <formula>$J2="Soft Opportunity"</formula>
    </cfRule>
    <cfRule type="expression" dxfId="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734</v>
      </c>
      <c r="D4" t="s">
        <v>735</v>
      </c>
      <c r="E4" t="s">
        <v>564</v>
      </c>
      <c r="F4" t="s">
        <v>44</v>
      </c>
      <c r="G4" t="s">
        <v>45</v>
      </c>
      <c r="H4" t="s">
        <v>736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89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88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9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8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9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8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9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8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89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88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9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8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9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8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9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8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9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8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9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8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9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8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9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8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9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8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9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8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8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89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88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8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88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9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8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9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8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9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8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9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8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9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8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9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8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9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8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1815780.5599999998</v>
      </c>
      <c r="D74" s="6">
        <v>1984110</v>
      </c>
      <c r="E74" s="6">
        <v>3799890.56</v>
      </c>
      <c r="F74" s="6">
        <v>456243.91999999993</v>
      </c>
      <c r="G74" s="6">
        <v>-675700.46</v>
      </c>
      <c r="H74" s="6">
        <v>-219456.5400000001</v>
      </c>
    </row>
    <row r="75" spans="1:8" x14ac:dyDescent="0.3">
      <c r="A75" s="189" t="s">
        <v>124</v>
      </c>
      <c r="B75" s="187">
        <v>3918503</v>
      </c>
      <c r="C75" s="6">
        <v>1719738.92</v>
      </c>
      <c r="D75" s="6">
        <v>1984110</v>
      </c>
      <c r="E75" s="6">
        <v>3703848.92</v>
      </c>
      <c r="F75" s="6">
        <v>456243.91999999993</v>
      </c>
      <c r="G75" s="6">
        <v>-670898</v>
      </c>
      <c r="H75" s="6">
        <v>-214654.08000000007</v>
      </c>
    </row>
    <row r="76" spans="1:8" x14ac:dyDescent="0.3">
      <c r="A76" s="188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88" t="s">
        <v>46</v>
      </c>
      <c r="B77" s="187">
        <v>1646880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-342022</v>
      </c>
      <c r="H77" s="6">
        <v>-184778.08000000007</v>
      </c>
    </row>
    <row r="78" spans="1:8" x14ac:dyDescent="0.3">
      <c r="A78" s="188" t="s">
        <v>5</v>
      </c>
      <c r="B78" s="187">
        <v>2012552</v>
      </c>
      <c r="C78" s="6">
        <v>1013277</v>
      </c>
      <c r="D78" s="6">
        <v>1228470</v>
      </c>
      <c r="E78" s="6">
        <v>2241747</v>
      </c>
      <c r="F78" s="6">
        <v>299000</v>
      </c>
      <c r="G78" s="6">
        <v>-69805</v>
      </c>
      <c r="H78" s="6">
        <v>229195</v>
      </c>
    </row>
    <row r="79" spans="1:8" x14ac:dyDescent="0.3">
      <c r="A79" s="189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8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9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8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9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8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9" t="s">
        <v>124</v>
      </c>
      <c r="B88" s="187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8" t="s">
        <v>46</v>
      </c>
      <c r="B89" s="187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739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9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8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8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9" t="s">
        <v>106</v>
      </c>
      <c r="B95" s="187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8" t="s">
        <v>7</v>
      </c>
      <c r="B96" s="187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9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8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9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8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89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88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89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8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89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88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9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8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9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8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9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8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9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8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9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8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89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88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88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88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89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88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9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8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9" t="s">
        <v>124</v>
      </c>
      <c r="B137" s="187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8" t="s">
        <v>46</v>
      </c>
      <c r="B138" s="187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9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8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9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8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9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8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9" t="s">
        <v>106</v>
      </c>
      <c r="B149" s="187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8" t="s">
        <v>4</v>
      </c>
      <c r="B150" s="187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9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8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9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8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89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88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89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8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9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8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8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9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8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9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8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9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8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9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8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9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8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9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8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9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8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9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8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9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8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9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8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741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9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8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710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9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8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9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8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9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8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9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8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9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8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9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8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89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88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88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8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9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8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9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8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1063.52</v>
      </c>
      <c r="D227" s="6">
        <v>69232.698000000004</v>
      </c>
      <c r="E227" s="6">
        <v>70296.217999999993</v>
      </c>
      <c r="F227" s="6">
        <v>0</v>
      </c>
      <c r="G227" s="6">
        <v>-136.48000000001048</v>
      </c>
      <c r="H227" s="6">
        <v>-136.48000000001048</v>
      </c>
    </row>
    <row r="228" spans="1:8" x14ac:dyDescent="0.3">
      <c r="A228" s="189" t="s">
        <v>106</v>
      </c>
      <c r="B228" s="187">
        <v>70432.698000000004</v>
      </c>
      <c r="C228" s="6">
        <v>1063.52</v>
      </c>
      <c r="D228" s="6">
        <v>69232.698000000004</v>
      </c>
      <c r="E228" s="6">
        <v>70296.217999999993</v>
      </c>
      <c r="F228" s="6">
        <v>0</v>
      </c>
      <c r="G228" s="6">
        <v>-136.48000000001048</v>
      </c>
      <c r="H228" s="6">
        <v>-136.48000000001048</v>
      </c>
    </row>
    <row r="229" spans="1:8" x14ac:dyDescent="0.3">
      <c r="A229" s="188" t="s">
        <v>7</v>
      </c>
      <c r="B229" s="187">
        <v>70432.698000000004</v>
      </c>
      <c r="C229" s="6">
        <v>1063.52</v>
      </c>
      <c r="D229" s="6">
        <v>69232.698000000004</v>
      </c>
      <c r="E229" s="6">
        <v>70296.217999999993</v>
      </c>
      <c r="F229" s="6">
        <v>0</v>
      </c>
      <c r="G229" s="6">
        <v>-136.48000000001048</v>
      </c>
      <c r="H229" s="6">
        <v>-136.48000000001048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9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8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9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8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89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88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9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8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9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8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9" t="s">
        <v>106</v>
      </c>
      <c r="B246" s="187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8" t="s">
        <v>4</v>
      </c>
      <c r="B247" s="187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9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8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9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8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9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8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9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8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19622055.805833336</v>
      </c>
      <c r="D260" s="6">
        <v>24211587.75158333</v>
      </c>
      <c r="E260" s="6">
        <v>43833643.557416655</v>
      </c>
      <c r="F260" s="6">
        <v>4038761.2864333321</v>
      </c>
      <c r="G260" s="6">
        <v>-3551568.6851666667</v>
      </c>
      <c r="H260" s="6">
        <v>487192.60126666486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AO113" activePane="bottomRight" state="frozen"/>
      <selection pane="topRight" activeCell="C1" sqref="C1"/>
      <selection pane="bottomLeft" activeCell="A2" sqref="A2"/>
      <selection pane="bottomRight" activeCell="AX113" sqref="AX113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633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732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730</v>
      </c>
      <c r="BR1" s="45" t="s">
        <v>731</v>
      </c>
      <c r="BS1" s="45" t="s">
        <v>733</v>
      </c>
      <c r="BT1" s="45" t="s">
        <v>721</v>
      </c>
    </row>
    <row r="2" spans="1:74" hidden="1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 x14ac:dyDescent="0.3">
      <c r="A4" s="20" t="s">
        <v>111</v>
      </c>
      <c r="B4" s="19" t="s">
        <v>739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720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740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573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555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621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578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 x14ac:dyDescent="0.3">
      <c r="A15" s="20" t="s">
        <v>157</v>
      </c>
      <c r="B15" s="19" t="s">
        <v>741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711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622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610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611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620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787000</v>
      </c>
      <c r="X28" s="15">
        <f t="shared" si="7"/>
        <v>0</v>
      </c>
      <c r="Y28" s="15">
        <f t="shared" si="2"/>
        <v>299000</v>
      </c>
      <c r="Z28" s="15">
        <f>SUM(Financials20263[[#This Row],[2026 Opportunity]:[2026 Risk]])</f>
        <v>299000</v>
      </c>
      <c r="AA28" s="11" t="s">
        <v>729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-443333.33333333331</v>
      </c>
      <c r="BP28" s="82" t="s">
        <v>745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342160</v>
      </c>
      <c r="X31" s="15">
        <f t="shared" si="7"/>
        <v>-257840</v>
      </c>
      <c r="Y31" s="15">
        <f t="shared" si="2"/>
        <v>0</v>
      </c>
      <c r="Z31" s="15">
        <f>SUM(Financials20263[[#This Row],[2026 Opportunity]:[2026 Risk]])</f>
        <v>-257840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>
        <v>45120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198160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21120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-115840</v>
      </c>
      <c r="BP31" s="84" t="s">
        <v>609</v>
      </c>
      <c r="BQ31" s="44">
        <f>SUM(Financials20263[[#This Row],[Jan AC]:[Jun AC]])</f>
        <v>198160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84448</v>
      </c>
      <c r="X32" s="15">
        <f t="shared" si="7"/>
        <v>-76832</v>
      </c>
      <c r="Y32" s="15">
        <f t="shared" si="2"/>
        <v>0</v>
      </c>
      <c r="Z32" s="15">
        <f>SUM(Financials20263[[#This Row],[2026 Opportunity]:[2026 Risk]])</f>
        <v>-76832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-37472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623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601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hidden="1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561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565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725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724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742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575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576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577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hidden="1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566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560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624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624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hidden="1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70296.217999999993</v>
      </c>
      <c r="X75" s="15">
        <f t="shared" si="35"/>
        <v>-136.48000000001048</v>
      </c>
      <c r="Y75" s="15">
        <f t="shared" si="32"/>
        <v>0</v>
      </c>
      <c r="Z75" s="15">
        <f>SUM(Financials20263[[#This Row],[2026 Opportunity]:[2026 Risk]])</f>
        <v>-136.48000000001048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v>68232.698000000004</v>
      </c>
      <c r="AN75" s="47">
        <f>SUM(Financials20263[[#This Row],[Jan FC]:[Dec FC]])</f>
        <v>70432.698000000004</v>
      </c>
      <c r="AO75" s="15">
        <f>SUM(Financials20263[[#This Row],[Jul FC]:[Dec FC]])</f>
        <v>69232.698000000004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-68232.698000000004</v>
      </c>
      <c r="BO75" s="66">
        <f>SUM(Financials20263[[#This Row],[Jan Opp/Risk]:[Dec Opp./Risk]])</f>
        <v>-69369.178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69232.698000000004</v>
      </c>
      <c r="BT75" s="6"/>
      <c r="BU75" s="6"/>
      <c r="BV75" s="6"/>
    </row>
    <row r="76" spans="1:74" hidden="1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558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556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606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562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563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hidden="1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574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723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557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617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616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599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600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722</v>
      </c>
      <c r="BU96" s="6"/>
      <c r="BV96" s="6"/>
    </row>
    <row r="97" spans="1:74" hidden="1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607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719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605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558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 x14ac:dyDescent="0.3">
      <c r="A107" s="20" t="s">
        <v>111</v>
      </c>
      <c r="B107" s="19" t="s">
        <v>739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614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553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559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715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625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hidden="1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608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716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714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728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722</v>
      </c>
      <c r="BU123" s="6"/>
      <c r="BV123" s="6"/>
    </row>
    <row r="124" spans="1:74" hidden="1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714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604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604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722</v>
      </c>
      <c r="BU125" s="6"/>
      <c r="BV125" s="6"/>
    </row>
    <row r="126" spans="1:74" hidden="1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626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627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722</v>
      </c>
      <c r="BU126" s="6"/>
      <c r="BV126" s="6"/>
    </row>
    <row r="127" spans="1:74" hidden="1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628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629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618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598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602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604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722</v>
      </c>
      <c r="BU129" s="6"/>
      <c r="BV129" s="6"/>
    </row>
    <row r="130" spans="1:74" hidden="1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713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604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603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604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722</v>
      </c>
      <c r="BU131" s="6"/>
      <c r="BV131" s="6"/>
    </row>
    <row r="132" spans="1:74" hidden="1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714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604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604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722</v>
      </c>
      <c r="BU135" s="6"/>
      <c r="BV135" s="6"/>
    </row>
    <row r="136" spans="1:74" hidden="1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619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726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hidden="1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712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722</v>
      </c>
      <c r="BU137" s="6"/>
      <c r="BV137" s="6"/>
    </row>
    <row r="138" spans="1:74" hidden="1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604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722</v>
      </c>
      <c r="BU138" s="6"/>
      <c r="BV138" s="6"/>
    </row>
    <row r="139" spans="1:74" hidden="1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744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718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613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612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hidden="1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743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hidden="1" x14ac:dyDescent="0.3">
      <c r="A149" s="30" t="s">
        <v>101</v>
      </c>
      <c r="B149" s="19" t="s">
        <v>710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717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630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554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401632</v>
      </c>
      <c r="U152" s="100">
        <f t="shared" si="61"/>
        <v>421713.07500000007</v>
      </c>
      <c r="V152" s="100">
        <f t="shared" si="61"/>
        <v>421713.07500000007</v>
      </c>
      <c r="W152" s="100">
        <f t="shared" si="61"/>
        <v>392871.25999999995</v>
      </c>
      <c r="X152" s="100">
        <f t="shared" si="61"/>
        <v>-28841.815000000119</v>
      </c>
      <c r="Y152" s="100">
        <f t="shared" si="61"/>
        <v>0</v>
      </c>
      <c r="Z152" s="100">
        <f t="shared" si="61"/>
        <v>-28841.815000000119</v>
      </c>
      <c r="AA152" s="100">
        <f t="shared" si="61"/>
        <v>0</v>
      </c>
      <c r="AB152" s="100">
        <f t="shared" si="61"/>
        <v>30215.78</v>
      </c>
      <c r="AC152" s="100">
        <f t="shared" si="61"/>
        <v>35893.14</v>
      </c>
      <c r="AD152" s="100">
        <f t="shared" si="61"/>
        <v>35143.583333333336</v>
      </c>
      <c r="AE152" s="100">
        <f t="shared" si="61"/>
        <v>35143.583333333336</v>
      </c>
      <c r="AF152" s="100">
        <f t="shared" si="61"/>
        <v>35143.583333333336</v>
      </c>
      <c r="AG152" s="100">
        <f t="shared" si="61"/>
        <v>35143.583333333336</v>
      </c>
      <c r="AH152" s="100">
        <f t="shared" si="61"/>
        <v>35143.583333333336</v>
      </c>
      <c r="AI152" s="100">
        <f t="shared" si="61"/>
        <v>35143.583333333336</v>
      </c>
      <c r="AJ152" s="100">
        <f t="shared" si="61"/>
        <v>35143.583333333336</v>
      </c>
      <c r="AK152" s="100">
        <f t="shared" si="61"/>
        <v>35143.583333333336</v>
      </c>
      <c r="AL152" s="100">
        <f t="shared" si="61"/>
        <v>35143.583333333336</v>
      </c>
      <c r="AM152" s="100">
        <f t="shared" si="61"/>
        <v>39311.583333333299</v>
      </c>
      <c r="AN152" s="100">
        <f t="shared" si="61"/>
        <v>421712.7533333333</v>
      </c>
      <c r="AO152" s="100">
        <f t="shared" si="61"/>
        <v>215029.5</v>
      </c>
      <c r="AP152" s="100">
        <f t="shared" si="61"/>
        <v>30215.78</v>
      </c>
      <c r="AQ152" s="100">
        <f t="shared" si="61"/>
        <v>35893.14</v>
      </c>
      <c r="AR152" s="100">
        <f t="shared" si="61"/>
        <v>28032.44</v>
      </c>
      <c r="AS152" s="100">
        <f t="shared" si="61"/>
        <v>28434.67</v>
      </c>
      <c r="AT152" s="100">
        <f t="shared" si="61"/>
        <v>27143.73</v>
      </c>
      <c r="AU152" s="100">
        <f t="shared" si="61"/>
        <v>28122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177841.76</v>
      </c>
      <c r="BC152" s="100">
        <f t="shared" si="62"/>
        <v>0</v>
      </c>
      <c r="BD152" s="100">
        <f t="shared" si="62"/>
        <v>0</v>
      </c>
      <c r="BE152" s="100">
        <f t="shared" si="62"/>
        <v>-7111.1433333333371</v>
      </c>
      <c r="BF152" s="100">
        <f t="shared" si="62"/>
        <v>-6708.9133333333375</v>
      </c>
      <c r="BG152" s="100">
        <f t="shared" si="62"/>
        <v>-7999.8533333333362</v>
      </c>
      <c r="BH152" s="100">
        <f t="shared" si="62"/>
        <v>-7021.5833333333358</v>
      </c>
      <c r="BI152" s="100">
        <f t="shared" si="62"/>
        <v>-35143.583333333336</v>
      </c>
      <c r="BJ152" s="100">
        <f t="shared" si="62"/>
        <v>-35143.583333333336</v>
      </c>
      <c r="BK152" s="100">
        <f t="shared" si="62"/>
        <v>-35143.583333333336</v>
      </c>
      <c r="BL152" s="100">
        <f t="shared" si="62"/>
        <v>-35143.583333333336</v>
      </c>
      <c r="BM152" s="100">
        <f t="shared" si="62"/>
        <v>-35143.583333333336</v>
      </c>
      <c r="BN152" s="100">
        <f t="shared" si="62"/>
        <v>-39311.583333333299</v>
      </c>
      <c r="BO152" s="100">
        <f t="shared" si="62"/>
        <v>-243870.99333333335</v>
      </c>
      <c r="BP152" s="100">
        <f t="shared" si="62"/>
        <v>0</v>
      </c>
      <c r="BQ152" s="100">
        <f t="shared" si="62"/>
        <v>177841.76</v>
      </c>
      <c r="BR152" s="100">
        <f t="shared" si="62"/>
        <v>0</v>
      </c>
      <c r="BS152" s="100">
        <f t="shared" si="62"/>
        <v>215029.5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552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567</v>
      </c>
      <c r="B2" s="115" t="s">
        <v>568</v>
      </c>
      <c r="C2" s="115"/>
      <c r="D2" s="10" t="s">
        <v>580</v>
      </c>
      <c r="E2" s="7" t="s">
        <v>581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579</v>
      </c>
      <c r="C3" s="115"/>
      <c r="D3" s="10" t="s">
        <v>580</v>
      </c>
      <c r="E3" s="7" t="s">
        <v>581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586</v>
      </c>
      <c r="P3" s="115" t="s">
        <v>107</v>
      </c>
      <c r="Q3" s="115" t="s">
        <v>108</v>
      </c>
      <c r="R3" s="115" t="s">
        <v>108</v>
      </c>
      <c r="S3" s="115" t="s">
        <v>586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727</v>
      </c>
    </row>
    <row r="4" spans="1:55" x14ac:dyDescent="0.3">
      <c r="A4" s="115" t="s">
        <v>101</v>
      </c>
      <c r="B4" s="115" t="s">
        <v>570</v>
      </c>
      <c r="C4" s="115"/>
      <c r="D4" s="10" t="s">
        <v>580</v>
      </c>
      <c r="E4" s="7" t="s">
        <v>581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589</v>
      </c>
      <c r="O4" s="115" t="s">
        <v>590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591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571</v>
      </c>
      <c r="C5" s="115" t="s">
        <v>582</v>
      </c>
      <c r="D5" s="10" t="s">
        <v>580</v>
      </c>
      <c r="E5" s="7" t="s">
        <v>581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588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587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597</v>
      </c>
    </row>
    <row r="6" spans="1:55" x14ac:dyDescent="0.3">
      <c r="A6" s="115" t="s">
        <v>101</v>
      </c>
      <c r="B6" s="115" t="s">
        <v>572</v>
      </c>
      <c r="C6" s="115"/>
      <c r="D6" s="10" t="s">
        <v>580</v>
      </c>
      <c r="E6" s="7" t="s">
        <v>581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594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595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596</v>
      </c>
    </row>
    <row r="7" spans="1:55" x14ac:dyDescent="0.3">
      <c r="A7" s="115" t="s">
        <v>101</v>
      </c>
      <c r="B7" s="115" t="s">
        <v>569</v>
      </c>
      <c r="C7" s="115"/>
      <c r="D7" s="10" t="s">
        <v>580</v>
      </c>
      <c r="E7" s="7" t="s">
        <v>581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584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583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592</v>
      </c>
      <c r="C8" s="115" t="s">
        <v>593</v>
      </c>
      <c r="D8" s="10" t="s">
        <v>580</v>
      </c>
      <c r="E8" s="7" t="s">
        <v>581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615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585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737</v>
      </c>
    </row>
    <row r="3" spans="1:24" x14ac:dyDescent="0.3">
      <c r="N3" s="190" t="s">
        <v>746</v>
      </c>
      <c r="O3" s="190" t="s">
        <v>748</v>
      </c>
      <c r="P3" s="191" t="s">
        <v>48</v>
      </c>
      <c r="Q3" s="190" t="s">
        <v>33</v>
      </c>
      <c r="R3" s="191">
        <v>210</v>
      </c>
      <c r="S3" s="191">
        <v>136</v>
      </c>
      <c r="T3" s="191">
        <v>28560</v>
      </c>
      <c r="U3" s="191">
        <v>28560</v>
      </c>
      <c r="V3" s="191">
        <v>136</v>
      </c>
      <c r="W3" s="191">
        <v>26655627</v>
      </c>
      <c r="X3" s="192">
        <v>0</v>
      </c>
    </row>
    <row r="4" spans="1:24" x14ac:dyDescent="0.3">
      <c r="C4" s="8" t="s">
        <v>485</v>
      </c>
      <c r="N4" s="190" t="s">
        <v>746</v>
      </c>
      <c r="O4" s="190" t="s">
        <v>748</v>
      </c>
      <c r="P4" s="193" t="s">
        <v>48</v>
      </c>
      <c r="Q4" s="190" t="s">
        <v>34</v>
      </c>
      <c r="R4" s="193">
        <v>210</v>
      </c>
      <c r="S4" s="193">
        <v>32</v>
      </c>
      <c r="T4" s="193">
        <v>6720</v>
      </c>
      <c r="U4" s="193">
        <v>6720</v>
      </c>
      <c r="V4" s="193">
        <v>32</v>
      </c>
      <c r="W4" s="193">
        <v>26655627</v>
      </c>
      <c r="X4" s="194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734</v>
      </c>
      <c r="E5" t="s">
        <v>735</v>
      </c>
      <c r="F5" t="s">
        <v>564</v>
      </c>
      <c r="G5" t="s">
        <v>736</v>
      </c>
      <c r="H5" s="169"/>
      <c r="I5" s="186"/>
      <c r="N5" s="190" t="s">
        <v>746</v>
      </c>
      <c r="O5" s="190" t="s">
        <v>747</v>
      </c>
      <c r="P5" s="193" t="s">
        <v>51</v>
      </c>
      <c r="Q5" s="190" t="s">
        <v>35</v>
      </c>
      <c r="R5" s="193">
        <v>120</v>
      </c>
      <c r="S5" s="193">
        <v>166</v>
      </c>
      <c r="T5" s="193">
        <v>19920</v>
      </c>
      <c r="U5" s="193">
        <v>19920</v>
      </c>
      <c r="V5" s="193">
        <v>166</v>
      </c>
      <c r="W5" s="193">
        <v>26655627</v>
      </c>
      <c r="X5" s="194">
        <v>0</v>
      </c>
    </row>
    <row r="6" spans="1:24" x14ac:dyDescent="0.3">
      <c r="A6" t="s">
        <v>374</v>
      </c>
      <c r="B6" t="s">
        <v>738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  <c r="N6" s="190" t="s">
        <v>746</v>
      </c>
      <c r="O6" s="190" t="s">
        <v>751</v>
      </c>
      <c r="P6" s="193" t="s">
        <v>51</v>
      </c>
      <c r="Q6" s="190" t="s">
        <v>752</v>
      </c>
      <c r="R6" s="193">
        <v>150</v>
      </c>
      <c r="S6" s="193">
        <v>63</v>
      </c>
      <c r="T6" s="193">
        <v>9450</v>
      </c>
      <c r="U6" s="193">
        <v>9450</v>
      </c>
      <c r="V6" s="193">
        <v>63</v>
      </c>
      <c r="W6" s="193">
        <v>26655627</v>
      </c>
      <c r="X6" s="194">
        <v>0</v>
      </c>
    </row>
    <row r="7" spans="1:24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  <c r="N7" s="190" t="s">
        <v>746</v>
      </c>
      <c r="O7" s="190" t="s">
        <v>751</v>
      </c>
      <c r="P7" s="193" t="s">
        <v>51</v>
      </c>
      <c r="Q7" s="190" t="s">
        <v>753</v>
      </c>
      <c r="R7" s="193">
        <v>150</v>
      </c>
      <c r="S7" s="193">
        <v>63</v>
      </c>
      <c r="T7" s="193">
        <v>9450</v>
      </c>
      <c r="U7" s="193">
        <v>9450</v>
      </c>
      <c r="V7" s="193">
        <v>63</v>
      </c>
      <c r="W7" s="193">
        <v>26655627</v>
      </c>
      <c r="X7" s="194">
        <v>0</v>
      </c>
    </row>
    <row r="8" spans="1:24" x14ac:dyDescent="0.3">
      <c r="A8" t="s">
        <v>10</v>
      </c>
      <c r="B8" t="s">
        <v>738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90" t="s">
        <v>746</v>
      </c>
      <c r="O8" s="190" t="s">
        <v>751</v>
      </c>
      <c r="P8" s="193" t="s">
        <v>51</v>
      </c>
      <c r="Q8" s="190" t="s">
        <v>38</v>
      </c>
      <c r="R8" s="193">
        <v>150</v>
      </c>
      <c r="S8" s="193">
        <v>42</v>
      </c>
      <c r="T8" s="193">
        <v>6300</v>
      </c>
      <c r="U8" s="193">
        <v>6300</v>
      </c>
      <c r="V8" s="193">
        <v>42</v>
      </c>
      <c r="W8" s="193">
        <v>26655627</v>
      </c>
      <c r="X8" s="194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  <c r="N9" s="190" t="s">
        <v>746</v>
      </c>
      <c r="O9" s="190" t="s">
        <v>749</v>
      </c>
      <c r="P9" s="195" t="s">
        <v>53</v>
      </c>
      <c r="Q9" s="190" t="s">
        <v>750</v>
      </c>
      <c r="R9" s="195">
        <v>34</v>
      </c>
      <c r="S9" s="195">
        <v>168</v>
      </c>
      <c r="T9" s="195">
        <v>5712</v>
      </c>
      <c r="U9" s="195">
        <v>5712</v>
      </c>
      <c r="V9" s="195">
        <v>168</v>
      </c>
      <c r="W9" s="195">
        <v>26655627</v>
      </c>
      <c r="X9" s="196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24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  <c r="U12">
        <f>SUM(U3:U4)</f>
        <v>35280</v>
      </c>
    </row>
    <row r="13" spans="1:24" ht="14.4" customHeight="1" thickBot="1" x14ac:dyDescent="0.35">
      <c r="B13" t="s">
        <v>738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738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738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738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738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738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738</v>
      </c>
      <c r="C38" s="131">
        <v>2463328.9550000001</v>
      </c>
      <c r="D38" s="131">
        <v>601803.43333333335</v>
      </c>
      <c r="E38" s="131">
        <v>1923248.0133333334</v>
      </c>
      <c r="F38" s="131">
        <v>2525051.4466666668</v>
      </c>
      <c r="G38" s="131">
        <v>61722.491666666523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738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738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738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738</v>
      </c>
      <c r="C49" s="131">
        <v>488000</v>
      </c>
      <c r="D49" s="131">
        <v>315500</v>
      </c>
      <c r="E49" s="131">
        <v>471500</v>
      </c>
      <c r="F49" s="131">
        <v>787000</v>
      </c>
      <c r="G49" s="131">
        <v>299000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738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69232.698000000004</v>
      </c>
      <c r="F62" s="131">
        <v>70296.217999999993</v>
      </c>
      <c r="G62" s="131">
        <v>-136.48000000001048</v>
      </c>
    </row>
    <row r="63" spans="1:7" x14ac:dyDescent="0.3">
      <c r="B63" t="s">
        <v>738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738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738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738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738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738</v>
      </c>
      <c r="C92" s="131">
        <v>1865760</v>
      </c>
      <c r="D92" s="131">
        <v>810977.91999999993</v>
      </c>
      <c r="E92" s="131">
        <v>945080</v>
      </c>
      <c r="F92" s="131">
        <v>1756057.92</v>
      </c>
      <c r="G92" s="131">
        <v>-109702.08000000007</v>
      </c>
    </row>
    <row r="93" spans="1:7" x14ac:dyDescent="0.3">
      <c r="A93" t="s">
        <v>8</v>
      </c>
      <c r="C93" s="131">
        <v>44788397.956150003</v>
      </c>
      <c r="D93" s="131">
        <v>20343029.110833332</v>
      </c>
      <c r="E93" s="131">
        <v>24932561.056583337</v>
      </c>
      <c r="F93" s="131">
        <v>45275590.167416669</v>
      </c>
      <c r="G93" s="131">
        <v>487192.21126666525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ANTARESITDMO-1057074058-8670</_dlc_DocId>
    <_dlc_DocIdUrl xmlns="26d0a970-2ab3-49ef-b4d7-820ab6496716">
      <Url>https://antarescap.sharepoint.com/sites/AntaresITDemo/IT Internal/TechPMO/_layouts/15/DocIdRedir.aspx?ID=ANTARESITDMO-1057074058-8670</Url>
      <Description>ANTARESITDMO-1057074058-8670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purl.org/dc/dcmitype/"/>
    <ds:schemaRef ds:uri="http://schemas.openxmlformats.org/package/2006/metadata/core-properties"/>
    <ds:schemaRef ds:uri="c391786d-2ce2-4ee1-838b-63fe54a71a4e"/>
    <ds:schemaRef ds:uri="26d0a970-2ab3-49ef-b4d7-820ab6496716"/>
    <ds:schemaRef ds:uri="http://schemas.microsoft.com/office/2006/metadata/properties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2026-07-16T17:40:43Z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8ec8aacc-0ec2-4e60-996d-8fbc95b7c75d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