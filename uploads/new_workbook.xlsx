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fileSharing readOnlyRecommended="1"/>
  <workbookPr backupFile="1"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7 - Tech Financials/"/>
    </mc:Choice>
  </mc:AlternateContent>
  <xr:revisionPtr revIDLastSave="1" documentId="10_ncr:10000_{746D5883-B286-444F-A05F-DEAC9D4D4D83}" xr6:coauthVersionLast="47" xr6:coauthVersionMax="47" xr10:uidLastSave="{C0F55D60-22B3-4CD0-A14C-A69E3C56BC24}"/>
  <bookViews>
    <workbookView xWindow="-108" yWindow="-108" windowWidth="23256" windowHeight="13896" tabRatio="843" firstSheet="3" xr2:uid="{6E86A890-6511-465B-97CD-9F3B99500F42}"/>
  </bookViews>
  <sheets>
    <sheet name="YTD Financials Run Rate" sheetId="65" r:id="rId1"/>
    <sheet name="Notes - R&amp;O" sheetId="91" r:id="rId2"/>
    <sheet name="Vendor View" sheetId="90" r:id="rId3"/>
    <sheet name="Master Data (DO NOT EDIT)" sheetId="88" r:id="rId4"/>
    <sheet name="AI Budget Tracking" sheetId="87" r:id="rId5"/>
    <sheet name="Rough" sheetId="84" r:id="rId6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localSheetId="2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localSheetId="2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localSheetId="2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localSheetId="2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localSheetId="2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localSheetId="2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localSheetId="2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localSheetId="2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localSheetId="2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localSheetId="2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localSheetId="2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localSheetId="2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localSheetId="2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localSheetId="2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localSheetId="2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localSheetId="2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localSheetId="2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localSheetId="2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localSheetId="2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localSheetId="2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localSheetId="2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localSheetId="2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localSheetId="2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localSheetId="2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localSheetId="2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localSheetId="2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localSheetId="2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localSheetId="2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localSheetId="2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localSheetId="2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localSheetId="2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localSheetId="2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localSheetId="2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localSheetId="2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localSheetId="2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localSheetId="2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localSheetId="2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localSheetId="2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localSheetId="2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localSheetId="2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localSheetId="2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localSheetId="2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localSheetId="2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localSheetId="2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localSheetId="2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localSheetId="2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localSheetId="2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localSheetId="2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localSheetId="2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localSheetId="2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localSheetId="2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localSheetId="2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localSheetId="2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localSheetId="2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localSheetId="2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localSheetId="2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localSheetId="2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localSheetId="2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localSheetId="2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localSheetId="2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localSheetId="2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localSheetId="2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localSheetId="2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localSheetId="2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localSheetId="2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localSheetId="2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localSheetId="2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localSheetId="2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localSheetId="2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localSheetId="2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localSheetId="2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localSheetId="2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localSheetId="2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localSheetId="2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localSheetId="2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localSheetId="2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localSheetId="2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localSheetId="2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localSheetId="2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localSheetId="2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localSheetId="2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localSheetId="2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localSheetId="2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localSheetId="2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localSheetId="2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localSheetId="2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localSheetId="2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localSheetId="2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localSheetId="2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localSheetId="2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localSheetId="2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localSheetId="2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localSheetId="2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localSheetId="2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localSheetId="2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localSheetId="2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localSheetId="2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localSheetId="2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localSheetId="2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localSheetId="2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localSheetId="2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localSheetId="2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localSheetId="2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localSheetId="2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localSheetId="2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localSheetId="2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localSheetId="2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localSheetId="2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localSheetId="2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localSheetId="2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localSheetId="2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localSheetId="2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localSheetId="2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localSheetId="2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localSheetId="2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localSheetId="2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localSheetId="2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R&amp;O'!$A$1:$O$153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localSheetId="2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localSheetId="2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localSheetId="2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localSheetId="2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localSheetId="2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localSheetId="2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localSheetId="2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localSheetId="2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localSheetId="2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localSheetId="2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localSheetId="2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localSheetId="2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localSheetId="2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localSheetId="2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localSheetId="2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localSheetId="2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localSheetId="2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localSheetId="2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localSheetId="2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localSheetId="2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localSheetId="2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localSheetId="2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localSheetId="2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localSheetId="2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localSheetId="2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localSheetId="2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localSheetId="2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localSheetId="2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localSheetId="2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localSheetId="2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localSheetId="2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localSheetId="2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localSheetId="2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localSheetId="2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localSheetId="2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localSheetId="2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localSheetId="2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localSheetId="2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localSheetId="2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localSheetId="2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localSheetId="2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localSheetId="2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localSheetId="2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localSheetId="2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localSheetId="2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localSheetId="2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localSheetId="2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localSheetId="2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localSheetId="2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localSheetId="2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localSheetId="2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localSheetId="2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localSheetId="2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localSheetId="2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localSheetId="2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localSheetId="2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localSheetId="2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localSheetId="2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localSheetId="2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localSheetId="2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localSheetId="2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localSheetId="2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localSheetId="2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localSheetId="2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localSheetId="2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localSheetId="2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localSheetId="2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localSheetId="2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localSheetId="2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localSheetId="2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localSheetId="2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localSheetId="2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localSheetId="2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localSheetId="2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localSheetId="2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localSheetId="2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localSheetId="2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localSheetId="2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localSheetId="2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localSheetId="2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localSheetId="2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localSheetId="2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localSheetId="2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localSheetId="2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localSheetId="2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localSheetId="2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localSheetId="2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localSheetId="2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localSheetId="2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localSheetId="2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localSheetId="2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localSheetId="2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localSheetId="2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localSheetId="2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localSheetId="2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localSheetId="2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localSheetId="2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localSheetId="2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localSheetId="2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localSheetId="2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localSheetId="2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localSheetId="2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localSheetId="2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localSheetId="2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localSheetId="2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localSheetId="2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localSheetId="2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localSheetId="2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localSheetId="2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localSheetId="2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localSheetId="2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localSheetId="2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localSheetId="2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localSheetId="2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localSheetId="2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localSheetId="2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localSheetId="2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localSheetId="2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localSheetId="2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localSheetId="2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localSheetId="2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localSheetId="2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localSheetId="2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localSheetId="2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localSheetId="2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localSheetId="2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localSheetId="2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localSheetId="2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localSheetId="2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localSheetId="2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localSheetId="2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localSheetId="2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localSheetId="2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localSheetId="2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localSheetId="2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localSheetId="2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localSheetId="2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localSheetId="2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localSheetId="2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localSheetId="2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localSheetId="2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localSheetId="2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localSheetId="2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localSheetId="2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localSheetId="2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localSheetId="2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localSheetId="2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localSheetId="2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localSheetId="2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localSheetId="2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localSheetId="2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localSheetId="2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localSheetId="2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localSheetId="2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localSheetId="2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localSheetId="2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localSheetId="2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localSheetId="2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localSheetId="2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localSheetId="2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localSheetId="2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localSheetId="2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localSheetId="2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localSheetId="2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localSheetId="2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localSheetId="2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localSheetId="2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localSheetId="2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localSheetId="2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localSheetId="2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localSheetId="2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localSheetId="2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localSheetId="2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localSheetId="2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localSheetId="2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localSheetId="2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localSheetId="2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localSheetId="2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localSheetId="2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localSheetId="2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localSheetId="2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localSheetId="2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localSheetId="2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localSheetId="2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localSheetId="2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localSheetId="2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localSheetId="2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localSheetId="2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localSheetId="2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localSheetId="2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localSheetId="2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localSheetId="2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localSheetId="2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localSheetId="2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localSheetId="2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localSheetId="2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localSheetId="2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localSheetId="2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localSheetId="2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localSheetId="2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localSheetId="2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localSheetId="2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localSheetId="2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localSheetId="2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localSheetId="2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localSheetId="2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localSheetId="2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localSheetId="2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localSheetId="2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localSheetId="2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localSheetId="2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localSheetId="2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localSheetId="2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localSheetId="2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localSheetId="2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localSheetId="2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localSheetId="2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5">#REF!</definedName>
    <definedName name="Macro2">#REF!</definedName>
    <definedName name="Macro3" localSheetId="1">#REF!</definedName>
    <definedName name="Macro3" localSheetId="5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localSheetId="2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localSheetId="2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localSheetId="2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localSheetId="2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localSheetId="2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localSheetId="2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localSheetId="2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localSheetId="2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localSheetId="2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localSheetId="2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localSheetId="2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localSheetId="2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localSheetId="2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localSheetId="2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localSheetId="2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localSheetId="2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localSheetId="2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localSheetId="2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localSheetId="2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localSheetId="2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localSheetId="2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localSheetId="2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localSheetId="2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localSheetId="2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localSheetId="2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localSheetId="2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localSheetId="2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localSheetId="2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localSheetId="2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localSheetId="2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localSheetId="2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localSheetId="2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localSheetId="2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localSheetId="2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localSheetId="2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localSheetId="2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localSheetId="2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localSheetId="2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localSheetId="2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localSheetId="2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localSheetId="2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localSheetId="2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localSheetId="2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localSheetId="2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localSheetId="2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localSheetId="2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localSheetId="2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localSheetId="2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localSheetId="2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localSheetId="2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localSheetId="2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localSheetId="2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localSheetId="2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localSheetId="2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localSheetId="2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localSheetId="2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localSheetId="2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localSheetId="2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localSheetId="2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localSheetId="2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localSheetId="2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localSheetId="2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localSheetId="2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localSheetId="2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localSheetId="2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localSheetId="2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localSheetId="2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localSheetId="2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localSheetId="2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localSheetId="2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localSheetId="2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localSheetId="2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localSheetId="2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localSheetId="2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localSheetId="2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localSheetId="2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localSheetId="2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localSheetId="2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localSheetId="2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localSheetId="2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localSheetId="2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localSheetId="2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localSheetId="2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localSheetId="2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localSheetId="2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localSheetId="2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localSheetId="2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localSheetId="2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localSheetId="2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localSheetId="2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localSheetId="2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localSheetId="2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localSheetId="2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localSheetId="2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localSheetId="2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localSheetId="2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localSheetId="2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localSheetId="2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localSheetId="2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localSheetId="2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localSheetId="2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localSheetId="2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localSheetId="2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localSheetId="2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localSheetId="2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localSheetId="2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localSheetId="2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localSheetId="2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localSheetId="2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localSheetId="2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localSheetId="2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localSheetId="2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localSheetId="2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localSheetId="2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localSheetId="2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localSheetId="2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localSheetId="2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localSheetId="2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localSheetId="2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localSheetId="2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localSheetId="2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localSheetId="2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localSheetId="2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localSheetId="2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localSheetId="2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localSheetId="2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localSheetId="2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localSheetId="2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localSheetId="2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localSheetId="2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localSheetId="2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localSheetId="2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localSheetId="2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localSheetId="2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localSheetId="2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localSheetId="2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localSheetId="2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localSheetId="2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localSheetId="2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localSheetId="2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localSheetId="2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localSheetId="2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localSheetId="2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localSheetId="2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localSheetId="2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localSheetId="2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localSheetId="2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localSheetId="2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localSheetId="2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localSheetId="2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localSheetId="2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localSheetId="2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localSheetId="2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localSheetId="2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localSheetId="2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localSheetId="2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localSheetId="2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localSheetId="2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localSheetId="2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localSheetId="2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localSheetId="2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localSheetId="2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localSheetId="2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localSheetId="2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localSheetId="2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localSheetId="2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localSheetId="2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localSheetId="2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localSheetId="2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localSheetId="2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localSheetId="2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localSheetId="2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localSheetId="2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localSheetId="2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localSheetId="2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localSheetId="2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localSheetId="2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localSheetId="2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localSheetId="2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localSheetId="2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localSheetId="2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localSheetId="2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localSheetId="2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localSheetId="2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localSheetId="2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localSheetId="2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localSheetId="2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localSheetId="2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localSheetId="2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localSheetId="2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localSheetId="2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localSheetId="2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localSheetId="2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localSheetId="2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localSheetId="2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localSheetId="2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localSheetId="2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localSheetId="2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localSheetId="2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localSheetId="2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localSheetId="2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localSheetId="2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localSheetId="2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localSheetId="2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localSheetId="2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localSheetId="2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localSheetId="2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localSheetId="2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localSheetId="2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localSheetId="2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localSheetId="2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localSheetId="2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localSheetId="2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localSheetId="2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localSheetId="2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localSheetId="2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localSheetId="2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localSheetId="2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localSheetId="2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localSheetId="2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localSheetId="2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localSheetId="2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localSheetId="2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localSheetId="2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localSheetId="2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localSheetId="2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localSheetId="2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localSheetId="2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localSheetId="2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localSheetId="2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localSheetId="2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localSheetId="2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localSheetId="2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2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 localSheetId="2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localSheetId="2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localSheetId="2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localSheetId="2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localSheetId="2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localSheetId="2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localSheetId="2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localSheetId="2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localSheetId="2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localSheetId="2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localSheetId="2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localSheetId="2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localSheetId="2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localSheetId="2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localSheetId="2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localSheetId="2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localSheetId="2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localSheetId="2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localSheetId="2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localSheetId="2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localSheetId="2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localSheetId="2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localSheetId="2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localSheetId="2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localSheetId="2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localSheetId="2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localSheetId="2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localSheetId="2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localSheetId="2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localSheetId="2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localSheetId="2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localSheetId="2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localSheetId="2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localSheetId="2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localSheetId="2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localSheetId="2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localSheetId="2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localSheetId="2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localSheetId="2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localSheetId="2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localSheetId="2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localSheetId="2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localSheetId="2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localSheetId="2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localSheetId="2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localSheetId="2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localSheetId="2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localSheetId="2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localSheetId="2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localSheetId="2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localSheetId="2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localSheetId="2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localSheetId="2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localSheetId="2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localSheetId="2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localSheetId="2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localSheetId="2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localSheetId="2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localSheetId="2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localSheetId="2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localSheetId="2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localSheetId="2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localSheetId="2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localSheetId="2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localSheetId="2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localSheetId="2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localSheetId="2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localSheetId="2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localSheetId="2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localSheetId="2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localSheetId="2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localSheetId="2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localSheetId="2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localSheetId="2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localSheetId="2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localSheetId="2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localSheetId="2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localSheetId="2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localSheetId="2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localSheetId="2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localSheetId="2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localSheetId="2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localSheetId="2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localSheetId="2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localSheetId="2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localSheetId="2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localSheetId="2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localSheetId="2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localSheetId="2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localSheetId="2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localSheetId="2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localSheetId="2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2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localSheetId="2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localSheetId="2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localSheetId="2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localSheetId="2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localSheetId="2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2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localSheetId="2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localSheetId="2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localSheetId="2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localSheetId="2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localSheetId="2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localSheetId="2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localSheetId="2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localSheetId="2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localSheetId="2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localSheetId="2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localSheetId="2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localSheetId="2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localSheetId="2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localSheetId="2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localSheetId="2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localSheetId="2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localSheetId="2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localSheetId="2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localSheetId="2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localSheetId="2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localSheetId="2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localSheetId="2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localSheetId="2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localSheetId="2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localSheetId="2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localSheetId="2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localSheetId="2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localSheetId="2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localSheetId="2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localSheetId="2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localSheetId="2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localSheetId="2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localSheetId="2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localSheetId="2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localSheetId="2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localSheetId="2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localSheetId="2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localSheetId="2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localSheetId="2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localSheetId="2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localSheetId="2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localSheetId="2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localSheetId="2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localSheetId="2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localSheetId="2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localSheetId="2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localSheetId="2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localSheetId="2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localSheetId="2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localSheetId="2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localSheetId="2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localSheetId="2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localSheetId="2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localSheetId="2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localSheetId="2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localSheetId="2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localSheetId="2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localSheetId="2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localSheetId="2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localSheetId="2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localSheetId="2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localSheetId="2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localSheetId="2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localSheetId="2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localSheetId="2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localSheetId="2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localSheetId="2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localSheetId="2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localSheetId="2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localSheetId="2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localSheetId="2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localSheetId="2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localSheetId="2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localSheetId="2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localSheetId="2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localSheetId="2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localSheetId="2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localSheetId="2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localSheetId="2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localSheetId="2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localSheetId="2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localSheetId="2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localSheetId="2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localSheetId="2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localSheetId="2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localSheetId="2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localSheetId="2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localSheetId="2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localSheetId="2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localSheetId="2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localSheetId="2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localSheetId="2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localSheetId="2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localSheetId="2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localSheetId="2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localSheetId="2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localSheetId="2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localSheetId="2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localSheetId="2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localSheetId="2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localSheetId="2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localSheetId="2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localSheetId="2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localSheetId="2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localSheetId="2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localSheetId="2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localSheetId="2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localSheetId="2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localSheetId="2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localSheetId="2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localSheetId="2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localSheetId="2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localSheetId="2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localSheetId="2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localSheetId="2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localSheetId="2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localSheetId="2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localSheetId="2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localSheetId="2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localSheetId="2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localSheetId="2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2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2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localSheetId="2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localSheetId="2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localSheetId="2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localSheetId="2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localSheetId="2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localSheetId="2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2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localSheetId="2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localSheetId="2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localSheetId="2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localSheetId="2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localSheetId="2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localSheetId="2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localSheetId="2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localSheetId="2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2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localSheetId="2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localSheetId="2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localSheetId="2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localSheetId="2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localSheetId="2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localSheetId="2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localSheetId="2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localSheetId="2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localSheetId="2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localSheetId="2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localSheetId="2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localSheetId="2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localSheetId="2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localSheetId="2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localSheetId="2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localSheetId="2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localSheetId="2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localSheetId="2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localSheetId="2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localSheetId="2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localSheetId="2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localSheetId="2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localSheetId="2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localSheetId="2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localSheetId="2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localSheetId="2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localSheetId="2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localSheetId="2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localSheetId="2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localSheetId="2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localSheetId="2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localSheetId="2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localSheetId="2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localSheetId="2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localSheetId="2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localSheetId="2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localSheetId="2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localSheetId="2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localSheetId="2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localSheetId="2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localSheetId="2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localSheetId="2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localSheetId="2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localSheetId="2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localSheetId="2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localSheetId="2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localSheetId="2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localSheetId="2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localSheetId="2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localSheetId="2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localSheetId="2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localSheetId="2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localSheetId="2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localSheetId="2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localSheetId="2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localSheetId="2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localSheetId="2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localSheetId="2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localSheetId="2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localSheetId="2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localSheetId="2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localSheetId="2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localSheetId="2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localSheetId="2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localSheetId="2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localSheetId="2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localSheetId="2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localSheetId="2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localSheetId="2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localSheetId="2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localSheetId="2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localSheetId="2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localSheetId="2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localSheetId="2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localSheetId="2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localSheetId="2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2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localSheetId="2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localSheetId="2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localSheetId="2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2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localSheetId="2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localSheetId="2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localSheetId="2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localSheetId="2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localSheetId="2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localSheetId="2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localSheetId="2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localSheetId="2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localSheetId="2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localSheetId="2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localSheetId="2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localSheetId="2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localSheetId="2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localSheetId="2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localSheetId="2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localSheetId="2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localSheetId="2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localSheetId="2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localSheetId="2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localSheetId="2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localSheetId="2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localSheetId="2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localSheetId="2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localSheetId="2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localSheetId="2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localSheetId="2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localSheetId="2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localSheetId="2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localSheetId="2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localSheetId="2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localSheetId="2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localSheetId="2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localSheetId="2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localSheetId="2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localSheetId="2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localSheetId="2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localSheetId="2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localSheetId="2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localSheetId="2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localSheetId="2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localSheetId="2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2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localSheetId="2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localSheetId="2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localSheetId="2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localSheetId="2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localSheetId="2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localSheetId="2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2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2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2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2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2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localSheetId="2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localSheetId="2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2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2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2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localSheetId="2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localSheetId="2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localSheetId="2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localSheetId="2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localSheetId="2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localSheetId="2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localSheetId="2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localSheetId="2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localSheetId="2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localSheetId="2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localSheetId="2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localSheetId="2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localSheetId="2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localSheetId="2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localSheetId="2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localSheetId="2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localSheetId="2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localSheetId="2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localSheetId="2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localSheetId="2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localSheetId="2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localSheetId="2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localSheetId="2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localSheetId="2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localSheetId="2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localSheetId="2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localSheetId="2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localSheetId="2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localSheetId="2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localSheetId="2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localSheetId="2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localSheetId="2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localSheetId="2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localSheetId="2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localSheetId="2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localSheetId="2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localSheetId="2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localSheetId="2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localSheetId="2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localSheetId="2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localSheetId="2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localSheetId="2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localSheetId="2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localSheetId="2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localSheetId="2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localSheetId="2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localSheetId="2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localSheetId="2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localSheetId="2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localSheetId="2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localSheetId="2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localSheetId="2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localSheetId="2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localSheetId="2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localSheetId="2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localSheetId="2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localSheetId="2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localSheetId="2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localSheetId="2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localSheetId="2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localSheetId="2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localSheetId="2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localSheetId="2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localSheetId="2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localSheetId="2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localSheetId="2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localSheetId="2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localSheetId="2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localSheetId="2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localSheetId="2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localSheetId="2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localSheetId="2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localSheetId="2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localSheetId="2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localSheetId="2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localSheetId="2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localSheetId="2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localSheetId="2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355" r:id="rId7"/>
    <pivotCache cacheId="36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1" i="88" l="1"/>
  <c r="AT31" i="88"/>
  <c r="F147" i="91"/>
  <c r="E147" i="91"/>
  <c r="G147" i="91" s="1"/>
  <c r="H147" i="91" s="1"/>
  <c r="D147" i="91"/>
  <c r="G146" i="91"/>
  <c r="H146" i="91" s="1"/>
  <c r="G145" i="91"/>
  <c r="H145" i="91" s="1"/>
  <c r="G144" i="91"/>
  <c r="H144" i="91" s="1"/>
  <c r="G143" i="91"/>
  <c r="H143" i="91" s="1"/>
  <c r="G142" i="91"/>
  <c r="H142" i="91" s="1"/>
  <c r="G141" i="91"/>
  <c r="H141" i="91" s="1"/>
  <c r="G140" i="91"/>
  <c r="H140" i="91" s="1"/>
  <c r="G139" i="91"/>
  <c r="H139" i="91" s="1"/>
  <c r="G138" i="91"/>
  <c r="H138" i="91" s="1"/>
  <c r="G137" i="91"/>
  <c r="H137" i="91" s="1"/>
  <c r="G136" i="91"/>
  <c r="H136" i="91" s="1"/>
  <c r="G135" i="91"/>
  <c r="H135" i="91" s="1"/>
  <c r="G134" i="91"/>
  <c r="H134" i="91" s="1"/>
  <c r="F133" i="91"/>
  <c r="E133" i="91"/>
  <c r="D133" i="91"/>
  <c r="G132" i="91"/>
  <c r="H132" i="91" s="1"/>
  <c r="G131" i="91"/>
  <c r="H131" i="91" s="1"/>
  <c r="G130" i="91"/>
  <c r="H130" i="91" s="1"/>
  <c r="G129" i="91"/>
  <c r="H129" i="91" s="1"/>
  <c r="F128" i="91"/>
  <c r="G128" i="91" s="1"/>
  <c r="H128" i="91" s="1"/>
  <c r="E128" i="91"/>
  <c r="D128" i="91"/>
  <c r="G127" i="91"/>
  <c r="H127" i="91" s="1"/>
  <c r="G126" i="91"/>
  <c r="H126" i="91" s="1"/>
  <c r="G125" i="91"/>
  <c r="H125" i="91" s="1"/>
  <c r="F124" i="91"/>
  <c r="E124" i="91"/>
  <c r="G124" i="91" s="1"/>
  <c r="D124" i="91"/>
  <c r="G123" i="91"/>
  <c r="H123" i="91" s="1"/>
  <c r="G122" i="91"/>
  <c r="H122" i="91" s="1"/>
  <c r="G121" i="91"/>
  <c r="H121" i="91" s="1"/>
  <c r="G120" i="91"/>
  <c r="H120" i="91" s="1"/>
  <c r="G119" i="91"/>
  <c r="H119" i="91" s="1"/>
  <c r="G118" i="91"/>
  <c r="H118" i="91" s="1"/>
  <c r="G117" i="91"/>
  <c r="H117" i="91" s="1"/>
  <c r="G116" i="91"/>
  <c r="H116" i="91" s="1"/>
  <c r="G115" i="91"/>
  <c r="H115" i="91" s="1"/>
  <c r="G114" i="91"/>
  <c r="H114" i="91" s="1"/>
  <c r="G113" i="91"/>
  <c r="H113" i="91" s="1"/>
  <c r="F112" i="91"/>
  <c r="E112" i="91"/>
  <c r="D112" i="91"/>
  <c r="G111" i="91"/>
  <c r="H111" i="91" s="1"/>
  <c r="G110" i="91"/>
  <c r="H110" i="91" s="1"/>
  <c r="G109" i="91"/>
  <c r="H109" i="91" s="1"/>
  <c r="G108" i="91"/>
  <c r="H108" i="91" s="1"/>
  <c r="H107" i="91"/>
  <c r="G107" i="91"/>
  <c r="G106" i="91"/>
  <c r="H106" i="91" s="1"/>
  <c r="G105" i="91"/>
  <c r="H105" i="91" s="1"/>
  <c r="G104" i="91"/>
  <c r="H104" i="91" s="1"/>
  <c r="H103" i="91"/>
  <c r="G103" i="91"/>
  <c r="F102" i="91"/>
  <c r="E102" i="91"/>
  <c r="G102" i="91" s="1"/>
  <c r="H102" i="91" s="1"/>
  <c r="D102" i="91"/>
  <c r="G101" i="91"/>
  <c r="H101" i="91" s="1"/>
  <c r="G100" i="91"/>
  <c r="H100" i="91" s="1"/>
  <c r="H99" i="91"/>
  <c r="G99" i="91"/>
  <c r="G98" i="91"/>
  <c r="H98" i="91" s="1"/>
  <c r="G97" i="91"/>
  <c r="H97" i="91" s="1"/>
  <c r="G96" i="91"/>
  <c r="H96" i="91" s="1"/>
  <c r="G95" i="91"/>
  <c r="H95" i="91" s="1"/>
  <c r="G94" i="91"/>
  <c r="H94" i="91" s="1"/>
  <c r="F92" i="91"/>
  <c r="G92" i="91" s="1"/>
  <c r="E92" i="91"/>
  <c r="D92" i="91"/>
  <c r="G91" i="91"/>
  <c r="H91" i="91" s="1"/>
  <c r="F90" i="91"/>
  <c r="E90" i="91"/>
  <c r="G90" i="91" s="1"/>
  <c r="D90" i="91"/>
  <c r="G89" i="91"/>
  <c r="H89" i="91" s="1"/>
  <c r="G88" i="91"/>
  <c r="H88" i="91" s="1"/>
  <c r="G87" i="91"/>
  <c r="H87" i="91" s="1"/>
  <c r="G86" i="91"/>
  <c r="H86" i="91" s="1"/>
  <c r="F85" i="91"/>
  <c r="E85" i="91"/>
  <c r="D85" i="91"/>
  <c r="G84" i="91"/>
  <c r="H84" i="91" s="1"/>
  <c r="F83" i="91"/>
  <c r="E83" i="91"/>
  <c r="D83" i="91"/>
  <c r="G82" i="91"/>
  <c r="H82" i="91" s="1"/>
  <c r="F81" i="91"/>
  <c r="E81" i="91"/>
  <c r="D81" i="91"/>
  <c r="G80" i="91"/>
  <c r="H80" i="91" s="1"/>
  <c r="G79" i="91"/>
  <c r="H79" i="91" s="1"/>
  <c r="G78" i="91"/>
  <c r="H78" i="91" s="1"/>
  <c r="G77" i="91"/>
  <c r="H77" i="91" s="1"/>
  <c r="G76" i="91"/>
  <c r="H76" i="91" s="1"/>
  <c r="G75" i="91"/>
  <c r="H75" i="91" s="1"/>
  <c r="F73" i="91"/>
  <c r="E73" i="91"/>
  <c r="D73" i="91"/>
  <c r="G72" i="91"/>
  <c r="H72" i="91" s="1"/>
  <c r="F71" i="91"/>
  <c r="E71" i="91"/>
  <c r="D71" i="91"/>
  <c r="G70" i="91"/>
  <c r="H70" i="91" s="1"/>
  <c r="G69" i="91"/>
  <c r="H69" i="91" s="1"/>
  <c r="F68" i="91"/>
  <c r="E68" i="91"/>
  <c r="D68" i="91"/>
  <c r="G67" i="91"/>
  <c r="H67" i="91" s="1"/>
  <c r="F66" i="91"/>
  <c r="E66" i="91"/>
  <c r="G66" i="91" s="1"/>
  <c r="D66" i="91"/>
  <c r="G65" i="91"/>
  <c r="H65" i="91" s="1"/>
  <c r="F64" i="91"/>
  <c r="E64" i="91"/>
  <c r="G64" i="91" s="1"/>
  <c r="H64" i="91" s="1"/>
  <c r="D64" i="91"/>
  <c r="G63" i="91"/>
  <c r="H63" i="91" s="1"/>
  <c r="G62" i="91"/>
  <c r="H62" i="91" s="1"/>
  <c r="H61" i="91"/>
  <c r="G61" i="91"/>
  <c r="F59" i="91"/>
  <c r="E59" i="91"/>
  <c r="G59" i="91" s="1"/>
  <c r="H59" i="91" s="1"/>
  <c r="D59" i="91"/>
  <c r="G58" i="91"/>
  <c r="H58" i="91" s="1"/>
  <c r="G57" i="91"/>
  <c r="H57" i="91" s="1"/>
  <c r="G56" i="91"/>
  <c r="H56" i="91" s="1"/>
  <c r="F55" i="91"/>
  <c r="E55" i="91"/>
  <c r="G55" i="91" s="1"/>
  <c r="D55" i="91"/>
  <c r="G54" i="91"/>
  <c r="H54" i="91" s="1"/>
  <c r="F53" i="91"/>
  <c r="G53" i="91" s="1"/>
  <c r="E53" i="91"/>
  <c r="D53" i="91"/>
  <c r="G52" i="91"/>
  <c r="H52" i="91" s="1"/>
  <c r="G51" i="91"/>
  <c r="H51" i="91" s="1"/>
  <c r="F50" i="91"/>
  <c r="E50" i="91"/>
  <c r="D50" i="91"/>
  <c r="G49" i="91"/>
  <c r="H49" i="91" s="1"/>
  <c r="G48" i="91"/>
  <c r="H48" i="91" s="1"/>
  <c r="F47" i="91"/>
  <c r="E47" i="91"/>
  <c r="D47" i="91"/>
  <c r="G46" i="91"/>
  <c r="H46" i="91" s="1"/>
  <c r="G45" i="91"/>
  <c r="H45" i="91" s="1"/>
  <c r="G44" i="91"/>
  <c r="H44" i="91" s="1"/>
  <c r="G43" i="91"/>
  <c r="H43" i="91" s="1"/>
  <c r="F41" i="91"/>
  <c r="E41" i="91"/>
  <c r="G41" i="91" s="1"/>
  <c r="D41" i="91"/>
  <c r="G40" i="91"/>
  <c r="H40" i="91" s="1"/>
  <c r="G39" i="91"/>
  <c r="H39" i="91" s="1"/>
  <c r="F38" i="91"/>
  <c r="E38" i="91"/>
  <c r="D38" i="91"/>
  <c r="G37" i="91"/>
  <c r="H37" i="91" s="1"/>
  <c r="G36" i="91"/>
  <c r="H36" i="91" s="1"/>
  <c r="G35" i="91"/>
  <c r="H35" i="91" s="1"/>
  <c r="G34" i="91"/>
  <c r="H34" i="91" s="1"/>
  <c r="G33" i="91"/>
  <c r="H33" i="91" s="1"/>
  <c r="G32" i="91"/>
  <c r="H32" i="91" s="1"/>
  <c r="G31" i="91"/>
  <c r="H31" i="91" s="1"/>
  <c r="G30" i="91"/>
  <c r="H30" i="91" s="1"/>
  <c r="G29" i="91"/>
  <c r="H29" i="91" s="1"/>
  <c r="G28" i="91"/>
  <c r="H28" i="91" s="1"/>
  <c r="G27" i="91"/>
  <c r="H27" i="91" s="1"/>
  <c r="G26" i="91"/>
  <c r="H26" i="91" s="1"/>
  <c r="G25" i="91"/>
  <c r="H25" i="91" s="1"/>
  <c r="G24" i="91"/>
  <c r="H24" i="91" s="1"/>
  <c r="G23" i="91"/>
  <c r="H23" i="91" s="1"/>
  <c r="G22" i="91"/>
  <c r="H22" i="91" s="1"/>
  <c r="F20" i="91"/>
  <c r="E20" i="91"/>
  <c r="G20" i="91" s="1"/>
  <c r="D20" i="91"/>
  <c r="H19" i="91"/>
  <c r="G19" i="91"/>
  <c r="G18" i="91"/>
  <c r="H18" i="91" s="1"/>
  <c r="F17" i="91"/>
  <c r="E17" i="91"/>
  <c r="D17" i="91"/>
  <c r="G16" i="91"/>
  <c r="H16" i="91" s="1"/>
  <c r="F14" i="91"/>
  <c r="E14" i="91"/>
  <c r="D14" i="91"/>
  <c r="G13" i="91"/>
  <c r="H13" i="91" s="1"/>
  <c r="G12" i="91"/>
  <c r="H12" i="91" s="1"/>
  <c r="F11" i="91"/>
  <c r="E11" i="91"/>
  <c r="G11" i="91" s="1"/>
  <c r="D11" i="91"/>
  <c r="G10" i="91"/>
  <c r="H10" i="91" s="1"/>
  <c r="F9" i="91"/>
  <c r="E9" i="91"/>
  <c r="G9" i="91" s="1"/>
  <c r="D9" i="91"/>
  <c r="G8" i="91"/>
  <c r="H8" i="91" s="1"/>
  <c r="G7" i="91"/>
  <c r="H7" i="91" s="1"/>
  <c r="G6" i="91"/>
  <c r="H6" i="91" s="1"/>
  <c r="G5" i="91"/>
  <c r="H5" i="91" s="1"/>
  <c r="G4" i="91"/>
  <c r="F4" i="91"/>
  <c r="E4" i="91"/>
  <c r="D4" i="91"/>
  <c r="G3" i="91"/>
  <c r="H3" i="91" s="1"/>
  <c r="G2" i="91"/>
  <c r="H2" i="91" s="1"/>
  <c r="J3" i="65"/>
  <c r="V51" i="88"/>
  <c r="V96" i="88"/>
  <c r="V95" i="88"/>
  <c r="V90" i="88"/>
  <c r="V81" i="88"/>
  <c r="V10" i="88"/>
  <c r="V28" i="88"/>
  <c r="V31" i="88"/>
  <c r="V32" i="88"/>
  <c r="V145" i="88"/>
  <c r="V76" i="88"/>
  <c r="V138" i="88"/>
  <c r="V135" i="88"/>
  <c r="V134" i="88"/>
  <c r="V129" i="88"/>
  <c r="V131" i="88"/>
  <c r="V125" i="88"/>
  <c r="V137" i="88"/>
  <c r="V124" i="88"/>
  <c r="V123" i="88"/>
  <c r="H124" i="91" l="1"/>
  <c r="H55" i="91"/>
  <c r="G68" i="91"/>
  <c r="H68" i="91" s="1"/>
  <c r="H90" i="91"/>
  <c r="G81" i="91"/>
  <c r="H81" i="91" s="1"/>
  <c r="G112" i="91"/>
  <c r="H112" i="91" s="1"/>
  <c r="F148" i="91"/>
  <c r="H11" i="91"/>
  <c r="E42" i="91"/>
  <c r="D15" i="91"/>
  <c r="G83" i="91"/>
  <c r="H83" i="91" s="1"/>
  <c r="H20" i="91"/>
  <c r="G73" i="91"/>
  <c r="H73" i="91" s="1"/>
  <c r="G133" i="91"/>
  <c r="H133" i="91" s="1"/>
  <c r="H92" i="91"/>
  <c r="H9" i="91"/>
  <c r="H41" i="91"/>
  <c r="D60" i="91"/>
  <c r="H66" i="91"/>
  <c r="E15" i="91"/>
  <c r="H53" i="91"/>
  <c r="E21" i="91"/>
  <c r="F15" i="91"/>
  <c r="F21" i="91"/>
  <c r="G47" i="91"/>
  <c r="H47" i="91" s="1"/>
  <c r="G50" i="91"/>
  <c r="G71" i="91"/>
  <c r="H71" i="91" s="1"/>
  <c r="F93" i="91"/>
  <c r="G85" i="91"/>
  <c r="H85" i="91" s="1"/>
  <c r="D148" i="91"/>
  <c r="H4" i="91"/>
  <c r="F60" i="91"/>
  <c r="G14" i="91"/>
  <c r="H14" i="91" s="1"/>
  <c r="G38" i="91"/>
  <c r="H38" i="91" s="1"/>
  <c r="E74" i="91"/>
  <c r="E148" i="91"/>
  <c r="E150" i="91" s="1"/>
  <c r="D21" i="91"/>
  <c r="D42" i="91"/>
  <c r="D74" i="91"/>
  <c r="F42" i="91"/>
  <c r="G42" i="91" s="1"/>
  <c r="F74" i="91"/>
  <c r="D93" i="91"/>
  <c r="H50" i="91"/>
  <c r="G17" i="91"/>
  <c r="H17" i="91" s="1"/>
  <c r="E93" i="91"/>
  <c r="G93" i="91" s="1"/>
  <c r="H93" i="91" s="1"/>
  <c r="E60" i="91"/>
  <c r="AM75" i="88"/>
  <c r="D150" i="91" l="1"/>
  <c r="F150" i="91"/>
  <c r="G148" i="91"/>
  <c r="G150" i="91" s="1"/>
  <c r="H42" i="91"/>
  <c r="G15" i="91"/>
  <c r="H15" i="91" s="1"/>
  <c r="G60" i="91"/>
  <c r="H60" i="91" s="1"/>
  <c r="G21" i="91"/>
  <c r="H21" i="91" s="1"/>
  <c r="G74" i="91"/>
  <c r="H74" i="91" s="1"/>
  <c r="U13" i="84"/>
  <c r="U12" i="84"/>
  <c r="H148" i="91" l="1"/>
  <c r="H150" i="91" s="1"/>
  <c r="AU28" i="88"/>
  <c r="AS98" i="88" l="1"/>
  <c r="AV11" i="88"/>
  <c r="AU21" i="88"/>
  <c r="AT21" i="88"/>
  <c r="AS21" i="88"/>
  <c r="AU8" i="87"/>
  <c r="AW8" i="87"/>
  <c r="AX8" i="87"/>
  <c r="AY8" i="87"/>
  <c r="AZ8" i="87"/>
  <c r="BA8" i="87"/>
  <c r="AV8" i="87"/>
  <c r="AM135" i="88" l="1"/>
  <c r="AP43" i="88"/>
  <c r="AM41" i="88"/>
  <c r="AU41" i="88"/>
  <c r="AV41" i="88"/>
  <c r="AM107" i="88" l="1"/>
  <c r="AM40" i="88" l="1"/>
  <c r="AM43" i="88"/>
  <c r="AM91" i="88"/>
  <c r="BR4" i="88" l="1"/>
  <c r="BR5" i="88"/>
  <c r="BR6" i="88"/>
  <c r="BR7" i="88"/>
  <c r="BR8" i="88"/>
  <c r="BR10" i="88"/>
  <c r="BR12" i="88"/>
  <c r="BR13" i="88"/>
  <c r="BR14" i="88"/>
  <c r="BR15" i="88"/>
  <c r="BR16" i="88"/>
  <c r="BR17" i="88"/>
  <c r="BR18" i="88"/>
  <c r="BR19" i="88"/>
  <c r="BR20" i="88"/>
  <c r="BR21" i="88"/>
  <c r="BR22" i="88"/>
  <c r="BR27" i="88"/>
  <c r="BR28" i="88"/>
  <c r="BR33" i="88"/>
  <c r="BR40" i="88"/>
  <c r="BR43" i="88"/>
  <c r="BR44" i="88"/>
  <c r="BR45" i="88"/>
  <c r="BR46" i="88"/>
  <c r="BR48" i="88"/>
  <c r="BR49" i="88"/>
  <c r="BR50" i="88"/>
  <c r="BR52" i="88"/>
  <c r="BR53" i="88"/>
  <c r="BR54" i="88"/>
  <c r="BR55" i="88"/>
  <c r="BR56" i="88"/>
  <c r="BR57" i="88"/>
  <c r="BR58" i="88"/>
  <c r="BR62" i="88"/>
  <c r="BR63" i="88"/>
  <c r="BR64" i="88"/>
  <c r="BR65" i="88"/>
  <c r="BR66" i="88"/>
  <c r="BR67" i="88"/>
  <c r="BR69" i="88"/>
  <c r="BR70" i="88"/>
  <c r="BR71" i="88"/>
  <c r="BR72" i="88"/>
  <c r="BR73" i="88"/>
  <c r="BR74" i="88"/>
  <c r="BR75" i="88"/>
  <c r="BR77" i="88"/>
  <c r="BR78" i="88"/>
  <c r="BR79" i="88"/>
  <c r="BR80" i="88"/>
  <c r="BR81" i="88"/>
  <c r="BR83" i="88"/>
  <c r="BR84" i="88"/>
  <c r="BR86" i="88"/>
  <c r="BR87" i="88"/>
  <c r="BR88" i="88"/>
  <c r="BR89" i="88"/>
  <c r="BR90" i="88"/>
  <c r="BR91" i="88"/>
  <c r="BR95" i="88"/>
  <c r="BR96" i="88"/>
  <c r="BR97" i="88"/>
  <c r="BR101" i="88"/>
  <c r="BR104" i="88"/>
  <c r="BR106" i="88"/>
  <c r="BR108" i="88"/>
  <c r="BR109" i="88"/>
  <c r="BR110" i="88"/>
  <c r="BR111" i="88"/>
  <c r="BR113" i="88"/>
  <c r="BR114" i="88"/>
  <c r="BR115" i="88"/>
  <c r="BR116" i="88"/>
  <c r="BR117" i="88"/>
  <c r="BR121" i="88"/>
  <c r="BR123" i="88"/>
  <c r="BR124" i="88"/>
  <c r="BR125" i="88"/>
  <c r="BR126" i="88"/>
  <c r="BR127" i="88"/>
  <c r="BR128" i="88"/>
  <c r="BR129" i="88"/>
  <c r="BR130" i="88"/>
  <c r="BR131" i="88"/>
  <c r="BR132" i="88"/>
  <c r="BR133" i="88"/>
  <c r="BR134" i="88"/>
  <c r="BR135" i="88"/>
  <c r="BR136" i="88"/>
  <c r="BR137" i="88"/>
  <c r="BR138" i="88"/>
  <c r="BR139" i="88"/>
  <c r="BR142" i="88"/>
  <c r="BR143" i="88"/>
  <c r="BR144" i="88"/>
  <c r="BR145" i="88"/>
  <c r="BR146" i="88"/>
  <c r="BR147" i="88"/>
  <c r="BR148" i="88"/>
  <c r="BR149" i="88"/>
  <c r="BR150" i="88"/>
  <c r="AO6" i="88" l="1"/>
  <c r="BS6" i="88" s="1"/>
  <c r="AO7" i="88"/>
  <c r="BS7" i="88" s="1"/>
  <c r="AO10" i="88"/>
  <c r="BS10" i="88" s="1"/>
  <c r="AO13" i="88"/>
  <c r="BS13" i="88" s="1"/>
  <c r="AO14" i="88"/>
  <c r="BS14" i="88" s="1"/>
  <c r="AO15" i="88"/>
  <c r="BS15" i="88" s="1"/>
  <c r="AO16" i="88"/>
  <c r="BS16" i="88" s="1"/>
  <c r="AO17" i="88"/>
  <c r="BS17" i="88" s="1"/>
  <c r="AO18" i="88"/>
  <c r="BS18" i="88" s="1"/>
  <c r="AO19" i="88"/>
  <c r="BS19" i="88" s="1"/>
  <c r="AO20" i="88"/>
  <c r="BS20" i="88" s="1"/>
  <c r="AO21" i="88"/>
  <c r="BS21" i="88" s="1"/>
  <c r="AO22" i="88"/>
  <c r="BS22" i="88" s="1"/>
  <c r="AO27" i="88"/>
  <c r="BS27" i="88" s="1"/>
  <c r="AO28" i="88"/>
  <c r="BS28" i="88" s="1"/>
  <c r="AO33" i="88"/>
  <c r="BS33" i="88" s="1"/>
  <c r="AO35" i="88"/>
  <c r="AO36" i="88"/>
  <c r="AO45" i="88"/>
  <c r="BS45" i="88" s="1"/>
  <c r="AO46" i="88"/>
  <c r="BS46" i="88" s="1"/>
  <c r="AO47" i="88"/>
  <c r="AO48" i="88"/>
  <c r="BS48" i="88" s="1"/>
  <c r="AO49" i="88"/>
  <c r="BS49" i="88" s="1"/>
  <c r="AO50" i="88"/>
  <c r="BS50" i="88" s="1"/>
  <c r="AO51" i="88"/>
  <c r="AO52" i="88"/>
  <c r="BS52" i="88" s="1"/>
  <c r="AO53" i="88"/>
  <c r="BS53" i="88" s="1"/>
  <c r="AO54" i="88"/>
  <c r="BS54" i="88" s="1"/>
  <c r="AO55" i="88"/>
  <c r="BS55" i="88" s="1"/>
  <c r="AO56" i="88"/>
  <c r="BS56" i="88" s="1"/>
  <c r="AO57" i="88"/>
  <c r="BS57" i="88" s="1"/>
  <c r="AO58" i="88"/>
  <c r="BS58" i="88" s="1"/>
  <c r="AO60" i="88"/>
  <c r="AO61" i="88"/>
  <c r="AO62" i="88"/>
  <c r="BS62" i="88" s="1"/>
  <c r="AO63" i="88"/>
  <c r="BS63" i="88" s="1"/>
  <c r="AO64" i="88"/>
  <c r="BS64" i="88" s="1"/>
  <c r="AO65" i="88"/>
  <c r="BS65" i="88" s="1"/>
  <c r="AO66" i="88"/>
  <c r="BS66" i="88" s="1"/>
  <c r="AO69" i="88"/>
  <c r="BS69" i="88" s="1"/>
  <c r="AO70" i="88"/>
  <c r="BS70" i="88" s="1"/>
  <c r="AO72" i="88"/>
  <c r="BS72" i="88" s="1"/>
  <c r="AO73" i="88"/>
  <c r="BS73" i="88" s="1"/>
  <c r="AO74" i="88"/>
  <c r="BS74" i="88" s="1"/>
  <c r="AO75" i="88"/>
  <c r="BS75" i="88" s="1"/>
  <c r="AO76" i="88"/>
  <c r="AO77" i="88"/>
  <c r="BS77" i="88" s="1"/>
  <c r="AO79" i="88"/>
  <c r="BS79" i="88" s="1"/>
  <c r="AO80" i="88"/>
  <c r="BS80" i="88" s="1"/>
  <c r="AO81" i="88"/>
  <c r="BS81" i="88" s="1"/>
  <c r="AO83" i="88"/>
  <c r="BS83" i="88" s="1"/>
  <c r="AO84" i="88"/>
  <c r="BS84" i="88" s="1"/>
  <c r="AO85" i="88"/>
  <c r="AO86" i="88"/>
  <c r="BS86" i="88" s="1"/>
  <c r="AO88" i="88"/>
  <c r="BS88" i="88" s="1"/>
  <c r="AO90" i="88"/>
  <c r="BS90" i="88" s="1"/>
  <c r="AO91" i="88"/>
  <c r="BS91" i="88" s="1"/>
  <c r="AO93" i="88"/>
  <c r="AO95" i="88"/>
  <c r="BS95" i="88" s="1"/>
  <c r="AO96" i="88"/>
  <c r="BS96" i="88" s="1"/>
  <c r="AO97" i="88"/>
  <c r="BS97" i="88" s="1"/>
  <c r="AO98" i="88"/>
  <c r="AO101" i="88"/>
  <c r="BS101" i="88" s="1"/>
  <c r="AO102" i="88"/>
  <c r="AO103" i="88"/>
  <c r="AO106" i="88"/>
  <c r="BS106" i="88" s="1"/>
  <c r="AO107" i="88"/>
  <c r="AO108" i="88"/>
  <c r="BS108" i="88" s="1"/>
  <c r="AO109" i="88"/>
  <c r="BS109" i="88" s="1"/>
  <c r="AO110" i="88"/>
  <c r="BS110" i="88" s="1"/>
  <c r="AO111" i="88"/>
  <c r="BS111" i="88" s="1"/>
  <c r="AO113" i="88"/>
  <c r="BS113" i="88" s="1"/>
  <c r="AO114" i="88"/>
  <c r="BS114" i="88" s="1"/>
  <c r="AO115" i="88"/>
  <c r="BS115" i="88" s="1"/>
  <c r="AO116" i="88"/>
  <c r="BS116" i="88" s="1"/>
  <c r="AO117" i="88"/>
  <c r="BS117" i="88" s="1"/>
  <c r="AO118" i="88"/>
  <c r="AO119" i="88"/>
  <c r="AO120" i="88"/>
  <c r="AO121" i="88"/>
  <c r="BS121" i="88" s="1"/>
  <c r="AO123" i="88"/>
  <c r="BS123" i="88" s="1"/>
  <c r="AO124" i="88"/>
  <c r="BS124" i="88" s="1"/>
  <c r="AO125" i="88"/>
  <c r="BS125" i="88" s="1"/>
  <c r="AO126" i="88"/>
  <c r="BS126" i="88" s="1"/>
  <c r="AO127" i="88"/>
  <c r="BS127" i="88" s="1"/>
  <c r="AO128" i="88"/>
  <c r="BS128" i="88" s="1"/>
  <c r="AO129" i="88"/>
  <c r="BS129" i="88" s="1"/>
  <c r="AO130" i="88"/>
  <c r="BS130" i="88" s="1"/>
  <c r="AO131" i="88"/>
  <c r="BS131" i="88" s="1"/>
  <c r="AO132" i="88"/>
  <c r="BS132" i="88" s="1"/>
  <c r="AO133" i="88"/>
  <c r="BS133" i="88" s="1"/>
  <c r="AO134" i="88"/>
  <c r="BS134" i="88" s="1"/>
  <c r="AO135" i="88"/>
  <c r="BS135" i="88" s="1"/>
  <c r="AO136" i="88"/>
  <c r="BS136" i="88" s="1"/>
  <c r="AO137" i="88"/>
  <c r="BS137" i="88" s="1"/>
  <c r="AO138" i="88"/>
  <c r="BS138" i="88" s="1"/>
  <c r="AO139" i="88"/>
  <c r="BS139" i="88" s="1"/>
  <c r="AO140" i="88"/>
  <c r="AO141" i="88"/>
  <c r="AO142" i="88"/>
  <c r="BS142" i="88" s="1"/>
  <c r="AO143" i="88"/>
  <c r="BS143" i="88" s="1"/>
  <c r="AO144" i="88"/>
  <c r="BS144" i="88" s="1"/>
  <c r="AO145" i="88"/>
  <c r="BS145" i="88" s="1"/>
  <c r="AO146" i="88"/>
  <c r="BS146" i="88" s="1"/>
  <c r="AO147" i="88"/>
  <c r="BS147" i="88" s="1"/>
  <c r="AO148" i="88"/>
  <c r="BS148" i="88" s="1"/>
  <c r="AO149" i="88"/>
  <c r="BS149" i="88" s="1"/>
  <c r="AO150" i="88"/>
  <c r="BS150" i="88" s="1"/>
  <c r="BQ4" i="88"/>
  <c r="BQ5" i="88"/>
  <c r="BQ6" i="88"/>
  <c r="BQ7" i="88"/>
  <c r="BQ8" i="88"/>
  <c r="BQ9" i="88"/>
  <c r="BQ10" i="88"/>
  <c r="BQ12" i="88"/>
  <c r="BQ13" i="88"/>
  <c r="BQ14" i="88"/>
  <c r="BQ15" i="88"/>
  <c r="BQ16" i="88"/>
  <c r="BQ17" i="88"/>
  <c r="BQ18" i="88"/>
  <c r="BQ19" i="88"/>
  <c r="BQ20" i="88"/>
  <c r="BQ21" i="88"/>
  <c r="BQ22" i="88"/>
  <c r="BQ23" i="88"/>
  <c r="BQ25" i="88"/>
  <c r="BQ27" i="88"/>
  <c r="BQ28" i="88"/>
  <c r="BQ30" i="88"/>
  <c r="BQ31" i="88"/>
  <c r="BQ32" i="88"/>
  <c r="BQ33" i="88"/>
  <c r="BQ40" i="88"/>
  <c r="BQ43" i="88"/>
  <c r="BQ44" i="88"/>
  <c r="BQ45" i="88"/>
  <c r="BQ46" i="88"/>
  <c r="BQ47" i="88"/>
  <c r="BQ48" i="88"/>
  <c r="BQ49" i="88"/>
  <c r="BQ50" i="88"/>
  <c r="BQ52" i="88"/>
  <c r="BQ53" i="88"/>
  <c r="BQ54" i="88"/>
  <c r="BQ55" i="88"/>
  <c r="BQ56" i="88"/>
  <c r="BQ57" i="88"/>
  <c r="BQ58" i="88"/>
  <c r="BQ62" i="88"/>
  <c r="BQ63" i="88"/>
  <c r="BQ64" i="88"/>
  <c r="BQ65" i="88"/>
  <c r="BQ66" i="88"/>
  <c r="BQ67" i="88"/>
  <c r="BQ69" i="88"/>
  <c r="BQ70" i="88"/>
  <c r="BQ71" i="88"/>
  <c r="BQ72" i="88"/>
  <c r="BQ73" i="88"/>
  <c r="BQ74" i="88"/>
  <c r="BQ75" i="88"/>
  <c r="BQ77" i="88"/>
  <c r="BQ78" i="88"/>
  <c r="BQ79" i="88"/>
  <c r="BQ80" i="88"/>
  <c r="BQ81" i="88"/>
  <c r="BQ83" i="88"/>
  <c r="BQ84" i="88"/>
  <c r="BQ86" i="88"/>
  <c r="BQ87" i="88"/>
  <c r="BQ88" i="88"/>
  <c r="BQ89" i="88"/>
  <c r="BQ90" i="88"/>
  <c r="BQ91" i="88"/>
  <c r="BQ95" i="88"/>
  <c r="BQ96" i="88"/>
  <c r="BQ97" i="88"/>
  <c r="BQ98" i="88"/>
  <c r="BQ101" i="88"/>
  <c r="BQ104" i="88"/>
  <c r="BQ106" i="88"/>
  <c r="BQ108" i="88"/>
  <c r="BQ109" i="88"/>
  <c r="BQ110" i="88"/>
  <c r="BQ111" i="88"/>
  <c r="BQ112" i="88"/>
  <c r="BQ113" i="88"/>
  <c r="BQ114" i="88"/>
  <c r="BQ115" i="88"/>
  <c r="BQ116" i="88"/>
  <c r="BQ117" i="88"/>
  <c r="BQ121" i="88"/>
  <c r="BQ123" i="88"/>
  <c r="BQ124" i="88"/>
  <c r="BQ125" i="88"/>
  <c r="BQ126" i="88"/>
  <c r="BQ127" i="88"/>
  <c r="BQ128" i="88"/>
  <c r="BQ129" i="88"/>
  <c r="BQ130" i="88"/>
  <c r="BQ131" i="88"/>
  <c r="BQ132" i="88"/>
  <c r="BQ133" i="88"/>
  <c r="BQ134" i="88"/>
  <c r="BQ135" i="88"/>
  <c r="BQ136" i="88"/>
  <c r="BQ137" i="88"/>
  <c r="BQ138" i="88"/>
  <c r="BQ139" i="88"/>
  <c r="BQ142" i="88"/>
  <c r="BQ143" i="88"/>
  <c r="BQ144" i="88"/>
  <c r="BQ145" i="88"/>
  <c r="BQ146" i="88"/>
  <c r="BQ147" i="88"/>
  <c r="BQ148" i="88"/>
  <c r="BQ149" i="88"/>
  <c r="BQ150" i="88"/>
  <c r="BA76" i="88"/>
  <c r="AZ76" i="88"/>
  <c r="AY76" i="88"/>
  <c r="AX76" i="88"/>
  <c r="AW76" i="88"/>
  <c r="AV76" i="88"/>
  <c r="AT3" i="87"/>
  <c r="BA42" i="88"/>
  <c r="AZ42" i="88"/>
  <c r="AY42" i="88"/>
  <c r="AX42" i="88"/>
  <c r="AW42" i="88"/>
  <c r="V21" i="88" l="1"/>
  <c r="K149" i="88" l="1"/>
  <c r="AN149" i="88"/>
  <c r="W149" i="88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V121" i="88"/>
  <c r="V130" i="88"/>
  <c r="BO149" i="88" l="1"/>
  <c r="X149" i="88"/>
  <c r="Y149" i="88"/>
  <c r="AO4" i="88"/>
  <c r="BS4" i="88" s="1"/>
  <c r="V101" i="88"/>
  <c r="BP152" i="88"/>
  <c r="AA152" i="88"/>
  <c r="U152" i="88"/>
  <c r="T152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W150" i="88"/>
  <c r="AN150" i="88"/>
  <c r="K150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W148" i="88"/>
  <c r="AN148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W147" i="88"/>
  <c r="AN147" i="88"/>
  <c r="K147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N146" i="88"/>
  <c r="K146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W145" i="88"/>
  <c r="AN145" i="88"/>
  <c r="K145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W144" i="88"/>
  <c r="AN144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W143" i="88"/>
  <c r="AN143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W142" i="88"/>
  <c r="AN142" i="88"/>
  <c r="K142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AP141" i="88"/>
  <c r="AN141" i="88"/>
  <c r="K141" i="88"/>
  <c r="BA140" i="88"/>
  <c r="BN140" i="88" s="1"/>
  <c r="AZ140" i="88"/>
  <c r="BM140" i="88" s="1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BG140" i="88" s="1"/>
  <c r="AS140" i="88"/>
  <c r="BF140" i="88" s="1"/>
  <c r="AR140" i="88"/>
  <c r="BE140" i="88" s="1"/>
  <c r="AQ140" i="88"/>
  <c r="BD140" i="88" s="1"/>
  <c r="AP140" i="88"/>
  <c r="AN140" i="88"/>
  <c r="K140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W139" i="88"/>
  <c r="AN139" i="88"/>
  <c r="K139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W138" i="88"/>
  <c r="AN138" i="88"/>
  <c r="K138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W137" i="88"/>
  <c r="AN137" i="88"/>
  <c r="K137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W136" i="88"/>
  <c r="AN136" i="88"/>
  <c r="K136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W135" i="88"/>
  <c r="AN135" i="88"/>
  <c r="K135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W134" i="88"/>
  <c r="AN134" i="88"/>
  <c r="K134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W133" i="88"/>
  <c r="AN133" i="88"/>
  <c r="K133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W132" i="88"/>
  <c r="AN132" i="88"/>
  <c r="K132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W131" i="88"/>
  <c r="AN131" i="88"/>
  <c r="K131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W130" i="88"/>
  <c r="AN130" i="88"/>
  <c r="K130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W129" i="88"/>
  <c r="AN129" i="88"/>
  <c r="K129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W128" i="88"/>
  <c r="AN128" i="88"/>
  <c r="K128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W127" i="88"/>
  <c r="AN127" i="88"/>
  <c r="K127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W126" i="88"/>
  <c r="AN126" i="88"/>
  <c r="K126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W125" i="88"/>
  <c r="AN125" i="88"/>
  <c r="K125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W124" i="88"/>
  <c r="AN124" i="88"/>
  <c r="K124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W123" i="88"/>
  <c r="AN123" i="88"/>
  <c r="K123" i="88"/>
  <c r="BN122" i="88"/>
  <c r="BM122" i="88"/>
  <c r="BL122" i="88"/>
  <c r="AX122" i="88"/>
  <c r="AW122" i="88"/>
  <c r="AV122" i="88"/>
  <c r="AU122" i="88"/>
  <c r="AT122" i="88"/>
  <c r="AS122" i="88"/>
  <c r="AR122" i="88"/>
  <c r="AQ122" i="88"/>
  <c r="AP122" i="88"/>
  <c r="AJ122" i="88"/>
  <c r="BK122" i="88" s="1"/>
  <c r="AI122" i="88"/>
  <c r="AH122" i="88"/>
  <c r="AG122" i="88"/>
  <c r="AF122" i="88"/>
  <c r="AE122" i="88"/>
  <c r="AD122" i="88"/>
  <c r="AC122" i="88"/>
  <c r="AB122" i="88"/>
  <c r="K122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W121" i="88"/>
  <c r="AN121" i="88"/>
  <c r="K121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W120" i="88" s="1"/>
  <c r="AN120" i="88"/>
  <c r="K120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W119" i="88" s="1"/>
  <c r="AN119" i="88"/>
  <c r="K119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W118" i="88" s="1"/>
  <c r="AP118" i="88"/>
  <c r="AN118" i="88"/>
  <c r="K118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N117" i="88"/>
  <c r="K117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W116" i="88"/>
  <c r="AN116" i="88"/>
  <c r="K116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W115" i="88"/>
  <c r="AN115" i="88"/>
  <c r="K115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W114" i="88"/>
  <c r="AN114" i="88"/>
  <c r="K114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W113" i="88"/>
  <c r="AN113" i="88"/>
  <c r="K113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AG112" i="88"/>
  <c r="BR112" i="88" s="1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W111" i="88"/>
  <c r="AN111" i="88"/>
  <c r="K111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W110" i="88"/>
  <c r="AN110" i="88"/>
  <c r="K110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W109" i="88"/>
  <c r="AN109" i="88"/>
  <c r="K109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W108" i="88"/>
  <c r="AN108" i="88"/>
  <c r="K108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W107" i="88"/>
  <c r="AE107" i="88"/>
  <c r="AN107" i="88" s="1"/>
  <c r="K107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W106" i="88"/>
  <c r="AN106" i="88"/>
  <c r="K106" i="88"/>
  <c r="BM105" i="88"/>
  <c r="BL105" i="88"/>
  <c r="BK105" i="88"/>
  <c r="BJ105" i="88"/>
  <c r="BI105" i="88"/>
  <c r="BH105" i="88"/>
  <c r="BG105" i="88"/>
  <c r="BE105" i="88"/>
  <c r="BD105" i="88"/>
  <c r="BC105" i="88"/>
  <c r="AM105" i="88"/>
  <c r="AO105" i="88" s="1"/>
  <c r="K105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AO104" i="88" s="1"/>
  <c r="BS104" i="88" s="1"/>
  <c r="K104" i="88"/>
  <c r="BN103" i="88"/>
  <c r="BM103" i="88"/>
  <c r="BL103" i="88"/>
  <c r="BK103" i="88"/>
  <c r="BJ103" i="88"/>
  <c r="BI103" i="88"/>
  <c r="BH103" i="88"/>
  <c r="BG103" i="88"/>
  <c r="BF103" i="88"/>
  <c r="AR103" i="88"/>
  <c r="BE103" i="88" s="1"/>
  <c r="AQ103" i="88"/>
  <c r="AP103" i="88"/>
  <c r="AN103" i="88"/>
  <c r="K103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AN102" i="88"/>
  <c r="K102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W101" i="88"/>
  <c r="AN101" i="88"/>
  <c r="K101" i="88"/>
  <c r="BA100" i="88"/>
  <c r="AZ100" i="88"/>
  <c r="AY100" i="88"/>
  <c r="AX100" i="88"/>
  <c r="AW100" i="88"/>
  <c r="AV100" i="88"/>
  <c r="AU100" i="88"/>
  <c r="AT100" i="88"/>
  <c r="AS100" i="88"/>
  <c r="AR100" i="88"/>
  <c r="AQ100" i="88"/>
  <c r="AP100" i="88"/>
  <c r="AM100" i="88"/>
  <c r="AL100" i="88"/>
  <c r="AK100" i="88"/>
  <c r="AJ100" i="88"/>
  <c r="AI100" i="88"/>
  <c r="AH100" i="88"/>
  <c r="AG100" i="88"/>
  <c r="AF100" i="88"/>
  <c r="AE100" i="88"/>
  <c r="AD100" i="88"/>
  <c r="AC100" i="88"/>
  <c r="AB100" i="88"/>
  <c r="K100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K99" i="88"/>
  <c r="BN98" i="88"/>
  <c r="BM98" i="88"/>
  <c r="BL98" i="88"/>
  <c r="BK98" i="88"/>
  <c r="BJ98" i="88"/>
  <c r="BI98" i="88"/>
  <c r="BB98" i="88"/>
  <c r="AG98" i="88"/>
  <c r="AF98" i="88"/>
  <c r="BG98" i="88" s="1"/>
  <c r="AE98" i="88"/>
  <c r="BF98" i="88" s="1"/>
  <c r="AD98" i="88"/>
  <c r="BE98" i="88" s="1"/>
  <c r="AC98" i="88"/>
  <c r="BD98" i="88" s="1"/>
  <c r="AB98" i="88"/>
  <c r="K98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N97" i="88"/>
  <c r="K97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W96" i="88"/>
  <c r="AN96" i="88"/>
  <c r="K96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W95" i="88"/>
  <c r="AN95" i="88"/>
  <c r="K95" i="88"/>
  <c r="BA94" i="88"/>
  <c r="AZ94" i="88"/>
  <c r="BM94" i="88" s="1"/>
  <c r="AY94" i="88"/>
  <c r="AX94" i="88"/>
  <c r="AW94" i="88"/>
  <c r="AV94" i="88"/>
  <c r="AU94" i="88"/>
  <c r="AT94" i="88"/>
  <c r="AS94" i="88"/>
  <c r="AR94" i="88"/>
  <c r="BE94" i="88" s="1"/>
  <c r="AQ94" i="88"/>
  <c r="AP94" i="88"/>
  <c r="AM94" i="88"/>
  <c r="AL94" i="88"/>
  <c r="AK94" i="88"/>
  <c r="AJ94" i="88"/>
  <c r="AI94" i="88"/>
  <c r="AH94" i="88"/>
  <c r="AG94" i="88"/>
  <c r="AF94" i="88"/>
  <c r="AE94" i="88"/>
  <c r="AD94" i="88"/>
  <c r="AC94" i="88"/>
  <c r="AB94" i="88"/>
  <c r="K94" i="88"/>
  <c r="BN93" i="88"/>
  <c r="BM93" i="88"/>
  <c r="BL93" i="88"/>
  <c r="BK93" i="88"/>
  <c r="BJ93" i="88"/>
  <c r="BI93" i="88"/>
  <c r="AU93" i="88"/>
  <c r="BH93" i="88" s="1"/>
  <c r="AT93" i="88"/>
  <c r="BG93" i="88" s="1"/>
  <c r="AS93" i="88"/>
  <c r="BF93" i="88" s="1"/>
  <c r="AR93" i="88"/>
  <c r="BE93" i="88" s="1"/>
  <c r="AQ93" i="88"/>
  <c r="BD93" i="88" s="1"/>
  <c r="AP93" i="88"/>
  <c r="AN93" i="88"/>
  <c r="K93" i="88"/>
  <c r="BM92" i="88"/>
  <c r="BL92" i="88"/>
  <c r="BK92" i="88"/>
  <c r="BJ92" i="88"/>
  <c r="BI92" i="88"/>
  <c r="BH92" i="88"/>
  <c r="BG92" i="88"/>
  <c r="BD92" i="88"/>
  <c r="AS92" i="88"/>
  <c r="AR92" i="88"/>
  <c r="AP92" i="88"/>
  <c r="AM92" i="88"/>
  <c r="AE92" i="88"/>
  <c r="BF92" i="88" s="1"/>
  <c r="AD92" i="88"/>
  <c r="K92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W91" i="88"/>
  <c r="AN91" i="88"/>
  <c r="K91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W90" i="88"/>
  <c r="AN90" i="88"/>
  <c r="K90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I89" i="88"/>
  <c r="K89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W88" i="88"/>
  <c r="AN88" i="88"/>
  <c r="K88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K87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W86" i="88"/>
  <c r="AN86" i="88"/>
  <c r="K86" i="88"/>
  <c r="BM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BJ85" i="88" s="1"/>
  <c r="AV85" i="88"/>
  <c r="BI85" i="88" s="1"/>
  <c r="AU85" i="88"/>
  <c r="BH85" i="88" s="1"/>
  <c r="AT85" i="88"/>
  <c r="BG85" i="88" s="1"/>
  <c r="AS85" i="88"/>
  <c r="AN85" i="88"/>
  <c r="K85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W84" i="88"/>
  <c r="AN84" i="88"/>
  <c r="K84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W83" i="88"/>
  <c r="AN83" i="88"/>
  <c r="K83" i="88"/>
  <c r="BK82" i="88"/>
  <c r="AW82" i="88"/>
  <c r="AV82" i="88"/>
  <c r="AU82" i="88"/>
  <c r="AT82" i="88"/>
  <c r="AS82" i="88"/>
  <c r="AR82" i="88"/>
  <c r="AQ82" i="88"/>
  <c r="BD82" i="88" s="1"/>
  <c r="AP82" i="88"/>
  <c r="AM82" i="88"/>
  <c r="BN82" i="88" s="1"/>
  <c r="AL82" i="88"/>
  <c r="BM82" i="88" s="1"/>
  <c r="AK82" i="88"/>
  <c r="BL82" i="88" s="1"/>
  <c r="AJ82" i="88"/>
  <c r="AI82" i="88"/>
  <c r="AH82" i="88"/>
  <c r="AG82" i="88"/>
  <c r="AF82" i="88"/>
  <c r="AE82" i="88"/>
  <c r="AD82" i="88"/>
  <c r="AC82" i="88"/>
  <c r="AB82" i="88"/>
  <c r="K82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W81" i="88"/>
  <c r="AN81" i="88"/>
  <c r="K81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W80" i="88"/>
  <c r="AN80" i="88"/>
  <c r="K80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W79" i="88"/>
  <c r="AN79" i="88"/>
  <c r="K79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K78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W77" i="88"/>
  <c r="AN77" i="88"/>
  <c r="K77" i="88"/>
  <c r="BM76" i="88"/>
  <c r="BL76" i="88"/>
  <c r="BK76" i="88"/>
  <c r="BJ76" i="88"/>
  <c r="BI76" i="88"/>
  <c r="AU76" i="88"/>
  <c r="BH76" i="88" s="1"/>
  <c r="AT76" i="88"/>
  <c r="BG76" i="88" s="1"/>
  <c r="AS76" i="88"/>
  <c r="BF76" i="88" s="1"/>
  <c r="AR76" i="88"/>
  <c r="BE76" i="88" s="1"/>
  <c r="AQ76" i="88"/>
  <c r="BD76" i="88" s="1"/>
  <c r="AP76" i="88"/>
  <c r="AN76" i="88"/>
  <c r="BN76" i="88"/>
  <c r="K76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W75" i="88"/>
  <c r="AN75" i="88"/>
  <c r="K75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W74" i="88"/>
  <c r="AN74" i="88"/>
  <c r="K74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W73" i="88"/>
  <c r="AN73" i="88"/>
  <c r="K73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W72" i="88"/>
  <c r="AN72" i="88"/>
  <c r="K72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K71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W70" i="88"/>
  <c r="AN70" i="88"/>
  <c r="K70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W69" i="88"/>
  <c r="AN69" i="88"/>
  <c r="K69" i="88"/>
  <c r="AX68" i="88"/>
  <c r="AW68" i="88"/>
  <c r="AV68" i="88"/>
  <c r="AU68" i="88"/>
  <c r="AT68" i="88"/>
  <c r="AS68" i="88"/>
  <c r="AR68" i="88"/>
  <c r="AQ68" i="88"/>
  <c r="AP68" i="88"/>
  <c r="AM68" i="88"/>
  <c r="BN68" i="88" s="1"/>
  <c r="AL68" i="88"/>
  <c r="BM68" i="88" s="1"/>
  <c r="AK68" i="88"/>
  <c r="BL68" i="88" s="1"/>
  <c r="AJ68" i="88"/>
  <c r="AI68" i="88"/>
  <c r="AH68" i="88"/>
  <c r="AG68" i="88"/>
  <c r="AF68" i="88"/>
  <c r="AE68" i="88"/>
  <c r="AD68" i="88"/>
  <c r="AC68" i="88"/>
  <c r="AB68" i="88"/>
  <c r="K68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L67" i="88"/>
  <c r="AN67" i="88" s="1"/>
  <c r="K67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W66" i="88"/>
  <c r="AN66" i="88"/>
  <c r="K66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W65" i="88"/>
  <c r="AN65" i="88"/>
  <c r="K65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W64" i="88"/>
  <c r="AN64" i="88"/>
  <c r="K64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W63" i="88"/>
  <c r="AN63" i="88"/>
  <c r="K63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W62" i="88"/>
  <c r="AN62" i="88"/>
  <c r="K62" i="88"/>
  <c r="BN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BH61" i="88" s="1"/>
  <c r="AT61" i="88"/>
  <c r="BG61" i="88" s="1"/>
  <c r="AS61" i="88"/>
  <c r="BF61" i="88" s="1"/>
  <c r="AR61" i="88"/>
  <c r="BE61" i="88" s="1"/>
  <c r="AQ61" i="88"/>
  <c r="BD61" i="88" s="1"/>
  <c r="AP61" i="88"/>
  <c r="AN61" i="88"/>
  <c r="K61" i="88"/>
  <c r="BN60" i="88"/>
  <c r="BM60" i="88"/>
  <c r="BL60" i="88"/>
  <c r="BK60" i="88"/>
  <c r="BJ60" i="88"/>
  <c r="BI60" i="88"/>
  <c r="BH60" i="88"/>
  <c r="AT60" i="88"/>
  <c r="BG60" i="88" s="1"/>
  <c r="AS60" i="88"/>
  <c r="BF60" i="88" s="1"/>
  <c r="AR60" i="88"/>
  <c r="BE60" i="88" s="1"/>
  <c r="AQ60" i="88"/>
  <c r="BD60" i="88" s="1"/>
  <c r="AP60" i="88"/>
  <c r="AN60" i="88"/>
  <c r="K60" i="88"/>
  <c r="AT59" i="88"/>
  <c r="AS59" i="88"/>
  <c r="AR59" i="88"/>
  <c r="AQ59" i="88"/>
  <c r="AP59" i="88"/>
  <c r="AM59" i="88"/>
  <c r="BN59" i="88" s="1"/>
  <c r="AL59" i="88"/>
  <c r="BM59" i="88" s="1"/>
  <c r="AK59" i="88"/>
  <c r="BL59" i="88" s="1"/>
  <c r="AJ59" i="88"/>
  <c r="BK59" i="88" s="1"/>
  <c r="AI59" i="88"/>
  <c r="BJ59" i="88" s="1"/>
  <c r="AH59" i="88"/>
  <c r="AG59" i="88"/>
  <c r="BH59" i="88" s="1"/>
  <c r="AF59" i="88"/>
  <c r="AE59" i="88"/>
  <c r="AD59" i="88"/>
  <c r="AC59" i="88"/>
  <c r="AB59" i="88"/>
  <c r="K59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W58" i="88"/>
  <c r="AN58" i="88"/>
  <c r="K58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W57" i="88"/>
  <c r="AN57" i="88"/>
  <c r="K57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N56" i="88"/>
  <c r="K56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W55" i="88"/>
  <c r="AN55" i="88"/>
  <c r="K55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W54" i="88"/>
  <c r="AN54" i="88"/>
  <c r="K54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N53" i="88"/>
  <c r="K53" i="88"/>
  <c r="J53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W52" i="88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W51" i="88" s="1"/>
  <c r="AF51" i="88"/>
  <c r="K51" i="88"/>
  <c r="J51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W50" i="88"/>
  <c r="AN50" i="88"/>
  <c r="K50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W49" i="88"/>
  <c r="AN49" i="88"/>
  <c r="K49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W48" i="88"/>
  <c r="AN48" i="88"/>
  <c r="K48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K47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W46" i="88"/>
  <c r="AN46" i="88"/>
  <c r="K46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W45" i="88"/>
  <c r="AN45" i="88"/>
  <c r="K45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K44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K43" i="88"/>
  <c r="AV42" i="88"/>
  <c r="AU42" i="88"/>
  <c r="AT42" i="88"/>
  <c r="AS42" i="88"/>
  <c r="AR42" i="88"/>
  <c r="AQ42" i="88"/>
  <c r="AP42" i="88"/>
  <c r="BN42" i="88"/>
  <c r="BM42" i="88"/>
  <c r="BL42" i="88"/>
  <c r="BK42" i="88"/>
  <c r="BJ42" i="88"/>
  <c r="AH42" i="88"/>
  <c r="AO42" i="88" s="1"/>
  <c r="AG42" i="88"/>
  <c r="AF42" i="88"/>
  <c r="AE42" i="88"/>
  <c r="AD42" i="88"/>
  <c r="AC42" i="88"/>
  <c r="AB42" i="88"/>
  <c r="K42" i="88"/>
  <c r="BM41" i="88"/>
  <c r="BL41" i="88"/>
  <c r="BK41" i="88"/>
  <c r="BJ41" i="88"/>
  <c r="BI41" i="88"/>
  <c r="BH41" i="88"/>
  <c r="AT41" i="88"/>
  <c r="BG41" i="88" s="1"/>
  <c r="AS41" i="88"/>
  <c r="BF41" i="88" s="1"/>
  <c r="AR41" i="88"/>
  <c r="BE41" i="88" s="1"/>
  <c r="AQ41" i="88"/>
  <c r="BD41" i="88" s="1"/>
  <c r="AP41" i="88"/>
  <c r="K41" i="88"/>
  <c r="BM40" i="88"/>
  <c r="BL40" i="88"/>
  <c r="BK40" i="88"/>
  <c r="BJ40" i="88"/>
  <c r="BI40" i="88"/>
  <c r="BH40" i="88"/>
  <c r="BE40" i="88"/>
  <c r="BD40" i="88"/>
  <c r="BC40" i="88"/>
  <c r="BB40" i="88"/>
  <c r="BG40" i="88"/>
  <c r="K40" i="88"/>
  <c r="BD39" i="88"/>
  <c r="BC39" i="88"/>
  <c r="BA39" i="88"/>
  <c r="AZ39" i="88"/>
  <c r="AY39" i="88"/>
  <c r="AX39" i="88"/>
  <c r="AW39" i="88"/>
  <c r="AV39" i="88"/>
  <c r="AU39" i="88"/>
  <c r="AT39" i="88"/>
  <c r="AS39" i="88"/>
  <c r="AR39" i="88"/>
  <c r="AM39" i="88"/>
  <c r="AL39" i="88"/>
  <c r="AK39" i="88"/>
  <c r="AJ39" i="88"/>
  <c r="AI39" i="88"/>
  <c r="AH39" i="88"/>
  <c r="AG39" i="88"/>
  <c r="AF39" i="88"/>
  <c r="AE39" i="88"/>
  <c r="AD39" i="88"/>
  <c r="K39" i="88"/>
  <c r="AT38" i="88"/>
  <c r="AS38" i="88"/>
  <c r="AR38" i="88"/>
  <c r="AQ38" i="88"/>
  <c r="AP38" i="88"/>
  <c r="AF38" i="88"/>
  <c r="AG38" i="88" s="1"/>
  <c r="AE38" i="88"/>
  <c r="AD38" i="88"/>
  <c r="AC38" i="88"/>
  <c r="AB38" i="88"/>
  <c r="K38" i="88"/>
  <c r="AU37" i="88"/>
  <c r="AT37" i="88"/>
  <c r="AS37" i="88"/>
  <c r="AR37" i="88"/>
  <c r="AQ37" i="88"/>
  <c r="AP37" i="88"/>
  <c r="AM37" i="88"/>
  <c r="BN37" i="88" s="1"/>
  <c r="AL37" i="88"/>
  <c r="BM37" i="88" s="1"/>
  <c r="AK37" i="88"/>
  <c r="BL37" i="88" s="1"/>
  <c r="AJ37" i="88"/>
  <c r="BK37" i="88" s="1"/>
  <c r="AI37" i="88"/>
  <c r="BJ37" i="88" s="1"/>
  <c r="AH37" i="88"/>
  <c r="AG37" i="88"/>
  <c r="AF37" i="88"/>
  <c r="AE37" i="88"/>
  <c r="AD37" i="88"/>
  <c r="AC37" i="88"/>
  <c r="AB37" i="88"/>
  <c r="K37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W36" i="88" s="1"/>
  <c r="AN36" i="88"/>
  <c r="K36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BG35" i="88" s="1"/>
  <c r="AS35" i="88"/>
  <c r="BF35" i="88" s="1"/>
  <c r="AR35" i="88"/>
  <c r="BE35" i="88" s="1"/>
  <c r="AQ35" i="88"/>
  <c r="BD35" i="88" s="1"/>
  <c r="AP35" i="88"/>
  <c r="AN35" i="88"/>
  <c r="K35" i="88"/>
  <c r="BN34" i="88"/>
  <c r="BM34" i="88"/>
  <c r="BK34" i="88"/>
  <c r="BJ34" i="88"/>
  <c r="BI34" i="88"/>
  <c r="AU34" i="88"/>
  <c r="BH34" i="88" s="1"/>
  <c r="AT34" i="88"/>
  <c r="BG34" i="88" s="1"/>
  <c r="AS34" i="88"/>
  <c r="BF34" i="88" s="1"/>
  <c r="AR34" i="88"/>
  <c r="BE34" i="88" s="1"/>
  <c r="AQ34" i="88"/>
  <c r="BD34" i="88" s="1"/>
  <c r="AP34" i="88"/>
  <c r="AK34" i="88"/>
  <c r="K34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W33" i="88"/>
  <c r="AN33" i="88"/>
  <c r="K33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BJ32" i="88" s="1"/>
  <c r="AH32" i="88"/>
  <c r="AG32" i="88"/>
  <c r="BR32" i="88" s="1"/>
  <c r="AF32" i="88"/>
  <c r="BG32" i="88" s="1"/>
  <c r="AE32" i="88"/>
  <c r="BF32" i="88" s="1"/>
  <c r="AB32" i="88"/>
  <c r="K32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AG31" i="88"/>
  <c r="BR31" i="88" s="1"/>
  <c r="AF31" i="88"/>
  <c r="BG31" i="88" s="1"/>
  <c r="AE31" i="88"/>
  <c r="BF31" i="88" s="1"/>
  <c r="AD31" i="88"/>
  <c r="BE31" i="88" s="1"/>
  <c r="AC31" i="88"/>
  <c r="BD31" i="88" s="1"/>
  <c r="AB31" i="88"/>
  <c r="K31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AG30" i="88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AG29" i="88"/>
  <c r="AF29" i="88"/>
  <c r="BG29" i="88" s="1"/>
  <c r="AE29" i="88"/>
  <c r="BF29" i="88" s="1"/>
  <c r="AD29" i="88"/>
  <c r="BE29" i="88" s="1"/>
  <c r="AC29" i="88"/>
  <c r="AB29" i="88"/>
  <c r="K29" i="88"/>
  <c r="BN28" i="88"/>
  <c r="BM28" i="88"/>
  <c r="BL28" i="88"/>
  <c r="BK28" i="88"/>
  <c r="BJ28" i="88"/>
  <c r="BI28" i="88"/>
  <c r="BH28" i="88"/>
  <c r="BG28" i="88"/>
  <c r="BF28" i="88"/>
  <c r="BE28" i="88"/>
  <c r="BB28" i="88"/>
  <c r="W28" i="88"/>
  <c r="AC28" i="88"/>
  <c r="BD28" i="88" s="1"/>
  <c r="AB28" i="88"/>
  <c r="K28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W27" i="88"/>
  <c r="AN27" i="88"/>
  <c r="K27" i="88"/>
  <c r="AT26" i="88"/>
  <c r="AS26" i="88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AG26" i="88"/>
  <c r="BH26" i="88" s="1"/>
  <c r="AF26" i="88"/>
  <c r="AE26" i="88"/>
  <c r="AD26" i="88"/>
  <c r="BE26" i="88" s="1"/>
  <c r="AC26" i="88"/>
  <c r="BD26" i="88" s="1"/>
  <c r="AB26" i="88"/>
  <c r="BC26" i="88" s="1"/>
  <c r="K26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AG25" i="88"/>
  <c r="AF25" i="88"/>
  <c r="BG25" i="88" s="1"/>
  <c r="AE25" i="88"/>
  <c r="BF25" i="88" s="1"/>
  <c r="AD25" i="88"/>
  <c r="BE25" i="88" s="1"/>
  <c r="AC25" i="88"/>
  <c r="BD25" i="88" s="1"/>
  <c r="AB25" i="88"/>
  <c r="K25" i="88"/>
  <c r="BD24" i="88"/>
  <c r="BC24" i="88"/>
  <c r="AT24" i="88"/>
  <c r="AS24" i="88"/>
  <c r="BF24" i="88" s="1"/>
  <c r="AR24" i="88"/>
  <c r="BE24" i="88" s="1"/>
  <c r="AM24" i="88"/>
  <c r="BN24" i="88" s="1"/>
  <c r="AL24" i="88"/>
  <c r="BM24" i="88" s="1"/>
  <c r="AK24" i="88"/>
  <c r="BL24" i="88" s="1"/>
  <c r="AJ24" i="88"/>
  <c r="BK24" i="88" s="1"/>
  <c r="AI24" i="88"/>
  <c r="BJ24" i="88" s="1"/>
  <c r="AH24" i="88"/>
  <c r="BI24" i="88" s="1"/>
  <c r="AG24" i="88"/>
  <c r="BH24" i="88" s="1"/>
  <c r="V24" i="88"/>
  <c r="K24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AF23" i="88"/>
  <c r="BG23" i="88" s="1"/>
  <c r="AE23" i="88"/>
  <c r="BF23" i="88" s="1"/>
  <c r="AD23" i="88"/>
  <c r="AC23" i="88"/>
  <c r="BD23" i="88" s="1"/>
  <c r="AB23" i="88"/>
  <c r="BC23" i="88" s="1"/>
  <c r="K23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W22" i="88"/>
  <c r="AB22" i="88"/>
  <c r="K22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W21" i="88"/>
  <c r="AN21" i="88"/>
  <c r="K21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W20" i="88"/>
  <c r="AN20" i="88"/>
  <c r="K20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N19" i="88"/>
  <c r="K19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N18" i="88"/>
  <c r="K18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W17" i="88"/>
  <c r="AN17" i="88"/>
  <c r="K17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W16" i="88"/>
  <c r="AN16" i="88"/>
  <c r="K16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W15" i="88"/>
  <c r="AN15" i="88"/>
  <c r="K15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N14" i="88"/>
  <c r="K14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W13" i="88"/>
  <c r="AN13" i="88"/>
  <c r="K13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M11" i="88"/>
  <c r="BL11" i="88"/>
  <c r="BK11" i="88"/>
  <c r="BJ11" i="88"/>
  <c r="BI11" i="88"/>
  <c r="BE11" i="88"/>
  <c r="BD11" i="88"/>
  <c r="AU11" i="88"/>
  <c r="AT11" i="88"/>
  <c r="BG11" i="88" s="1"/>
  <c r="AS11" i="88"/>
  <c r="BF11" i="88" s="1"/>
  <c r="AP11" i="88"/>
  <c r="AM11" i="88"/>
  <c r="BN11" i="88" s="1"/>
  <c r="K11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W10" i="88"/>
  <c r="AN10" i="88"/>
  <c r="K10" i="88"/>
  <c r="BN9" i="88"/>
  <c r="BB9" i="88"/>
  <c r="AL9" i="88"/>
  <c r="BM9" i="88" s="1"/>
  <c r="AK9" i="88"/>
  <c r="BL9" i="88" s="1"/>
  <c r="AJ9" i="88"/>
  <c r="BK9" i="88" s="1"/>
  <c r="AI9" i="88"/>
  <c r="BJ9" i="88" s="1"/>
  <c r="AH9" i="88"/>
  <c r="AG9" i="88"/>
  <c r="AF9" i="88"/>
  <c r="BG9" i="88" s="1"/>
  <c r="AE9" i="88"/>
  <c r="BF9" i="88" s="1"/>
  <c r="AD9" i="88"/>
  <c r="AC9" i="88"/>
  <c r="BD9" i="88" s="1"/>
  <c r="AB9" i="88"/>
  <c r="K9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K8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W7" i="88"/>
  <c r="AN7" i="88"/>
  <c r="K7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W6" i="88"/>
  <c r="AN6" i="88"/>
  <c r="K6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BN5" i="88" s="1"/>
  <c r="K5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W4" i="88"/>
  <c r="AN4" i="88"/>
  <c r="K4" i="88"/>
  <c r="AT3" i="88"/>
  <c r="AS3" i="88"/>
  <c r="AR3" i="88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AG3" i="88"/>
  <c r="AF3" i="88"/>
  <c r="AE3" i="88"/>
  <c r="AD3" i="88"/>
  <c r="AC3" i="88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AG2" i="88"/>
  <c r="BH2" i="88" s="1"/>
  <c r="AF2" i="88"/>
  <c r="BG2" i="88" s="1"/>
  <c r="AE2" i="88"/>
  <c r="AD2" i="88"/>
  <c r="AC2" i="88"/>
  <c r="AB2" i="88"/>
  <c r="K2" i="88"/>
  <c r="V152" i="88" l="1"/>
  <c r="BF42" i="88"/>
  <c r="AO82" i="88"/>
  <c r="BE82" i="88"/>
  <c r="BJ68" i="88"/>
  <c r="BF82" i="88"/>
  <c r="W85" i="88"/>
  <c r="W93" i="88"/>
  <c r="W141" i="88"/>
  <c r="W35" i="88"/>
  <c r="X35" i="88" s="1"/>
  <c r="BF122" i="88"/>
  <c r="BH68" i="88"/>
  <c r="BD94" i="88"/>
  <c r="BE100" i="88"/>
  <c r="BM100" i="88"/>
  <c r="W140" i="88"/>
  <c r="BD59" i="88"/>
  <c r="W61" i="88"/>
  <c r="BF94" i="88"/>
  <c r="BN94" i="88"/>
  <c r="BG100" i="88"/>
  <c r="W103" i="88"/>
  <c r="BI32" i="88"/>
  <c r="AO32" i="88"/>
  <c r="BS32" i="88" s="1"/>
  <c r="BI37" i="88"/>
  <c r="AO37" i="88"/>
  <c r="W37" i="88" s="1"/>
  <c r="BR42" i="88"/>
  <c r="BS42" i="88" s="1"/>
  <c r="BQ42" i="88"/>
  <c r="AN43" i="88"/>
  <c r="AO43" i="88"/>
  <c r="BI59" i="88"/>
  <c r="AO59" i="88"/>
  <c r="W59" i="88" s="1"/>
  <c r="BC60" i="88"/>
  <c r="BR60" i="88"/>
  <c r="BS60" i="88" s="1"/>
  <c r="BQ60" i="88"/>
  <c r="BM67" i="88"/>
  <c r="BO67" i="88" s="1"/>
  <c r="AO67" i="88"/>
  <c r="W82" i="88"/>
  <c r="BI94" i="88"/>
  <c r="AO94" i="88"/>
  <c r="W94" i="88" s="1"/>
  <c r="W98" i="88"/>
  <c r="BR98" i="88"/>
  <c r="BS98" i="88" s="1"/>
  <c r="BI100" i="88"/>
  <c r="AO100" i="88"/>
  <c r="W100" i="88" s="1"/>
  <c r="BJ122" i="88"/>
  <c r="BC61" i="88"/>
  <c r="BO61" i="88" s="1"/>
  <c r="BR61" i="88"/>
  <c r="BS61" i="88" s="1"/>
  <c r="BQ61" i="88"/>
  <c r="BI2" i="88"/>
  <c r="AO2" i="88"/>
  <c r="W2" i="88" s="1"/>
  <c r="BH23" i="88"/>
  <c r="BR23" i="88"/>
  <c r="BH25" i="88"/>
  <c r="BR25" i="88"/>
  <c r="BN40" i="88"/>
  <c r="AO40" i="88"/>
  <c r="BS40" i="88" s="1"/>
  <c r="BJ89" i="88"/>
  <c r="AO89" i="88"/>
  <c r="BS89" i="88" s="1"/>
  <c r="BR99" i="88"/>
  <c r="BQ99" i="88"/>
  <c r="BF105" i="88"/>
  <c r="BR105" i="88"/>
  <c r="BS105" i="88" s="1"/>
  <c r="BQ105" i="88"/>
  <c r="BB107" i="88"/>
  <c r="BR107" i="88"/>
  <c r="BS107" i="88" s="1"/>
  <c r="BQ107" i="88"/>
  <c r="BR122" i="88"/>
  <c r="BQ122" i="88"/>
  <c r="BC140" i="88"/>
  <c r="BO140" i="88" s="1"/>
  <c r="BR140" i="88"/>
  <c r="BS140" i="88" s="1"/>
  <c r="BQ140" i="88"/>
  <c r="BI9" i="88"/>
  <c r="AO9" i="88"/>
  <c r="W9" i="88" s="1"/>
  <c r="BR24" i="88"/>
  <c r="BQ24" i="88"/>
  <c r="BL34" i="88"/>
  <c r="AO34" i="88"/>
  <c r="BC38" i="88"/>
  <c r="BR39" i="88"/>
  <c r="BQ39" i="88"/>
  <c r="AN89" i="88"/>
  <c r="BN92" i="88"/>
  <c r="AO92" i="88"/>
  <c r="BR93" i="88"/>
  <c r="BS93" i="88" s="1"/>
  <c r="BQ93" i="88"/>
  <c r="BC122" i="88"/>
  <c r="BE3" i="88"/>
  <c r="BF3" i="88"/>
  <c r="AN9" i="88"/>
  <c r="AO11" i="88"/>
  <c r="BI31" i="88"/>
  <c r="AO31" i="88"/>
  <c r="BS31" i="88" s="1"/>
  <c r="AN34" i="88"/>
  <c r="BE37" i="88"/>
  <c r="BG42" i="88"/>
  <c r="BR68" i="88"/>
  <c r="BQ68" i="88"/>
  <c r="BK68" i="88"/>
  <c r="AO87" i="88"/>
  <c r="BR92" i="88"/>
  <c r="BQ92" i="88"/>
  <c r="W102" i="88"/>
  <c r="BR103" i="88"/>
  <c r="BS103" i="88" s="1"/>
  <c r="BQ103" i="88"/>
  <c r="BB120" i="88"/>
  <c r="BR120" i="88"/>
  <c r="BS120" i="88" s="1"/>
  <c r="BQ120" i="88"/>
  <c r="BE122" i="88"/>
  <c r="BR11" i="88"/>
  <c r="BQ11" i="88"/>
  <c r="AO24" i="88"/>
  <c r="W24" i="88" s="1"/>
  <c r="BR29" i="88"/>
  <c r="BQ29" i="88"/>
  <c r="BH30" i="88"/>
  <c r="BR30" i="88"/>
  <c r="BC35" i="88"/>
  <c r="BR35" i="88"/>
  <c r="BS35" i="88" s="1"/>
  <c r="BQ35" i="88"/>
  <c r="BC36" i="88"/>
  <c r="BO36" i="88" s="1"/>
  <c r="BR36" i="88"/>
  <c r="BS36" i="88" s="1"/>
  <c r="BQ36" i="88"/>
  <c r="BE38" i="88"/>
  <c r="BI39" i="88"/>
  <c r="AO39" i="88"/>
  <c r="W47" i="88"/>
  <c r="X47" i="88" s="1"/>
  <c r="BR47" i="88"/>
  <c r="BS47" i="88" s="1"/>
  <c r="BF59" i="88"/>
  <c r="AO78" i="88"/>
  <c r="BR85" i="88"/>
  <c r="BS85" i="88" s="1"/>
  <c r="BQ85" i="88"/>
  <c r="BJ100" i="88"/>
  <c r="BC102" i="88"/>
  <c r="BR102" i="88"/>
  <c r="BS102" i="88" s="1"/>
  <c r="BQ102" i="88"/>
  <c r="BN105" i="88"/>
  <c r="BR119" i="88"/>
  <c r="BS119" i="88" s="1"/>
  <c r="BQ119" i="88"/>
  <c r="BR3" i="88"/>
  <c r="BQ3" i="88"/>
  <c r="BI3" i="88"/>
  <c r="AO3" i="88"/>
  <c r="BD3" i="88"/>
  <c r="BN8" i="88"/>
  <c r="BO8" i="88" s="1"/>
  <c r="AO8" i="88"/>
  <c r="BS8" i="88" s="1"/>
  <c r="BE9" i="88"/>
  <c r="BR9" i="88"/>
  <c r="BF26" i="88"/>
  <c r="BC34" i="88"/>
  <c r="BR34" i="88"/>
  <c r="BQ34" i="88"/>
  <c r="BR37" i="88"/>
  <c r="BQ37" i="88"/>
  <c r="BF38" i="88"/>
  <c r="BH39" i="88"/>
  <c r="BN41" i="88"/>
  <c r="AO41" i="88"/>
  <c r="W41" i="88" s="1"/>
  <c r="Y41" i="88" s="1"/>
  <c r="BI42" i="88"/>
  <c r="BB51" i="88"/>
  <c r="BR51" i="88"/>
  <c r="BS51" i="88" s="1"/>
  <c r="BQ51" i="88"/>
  <c r="BC59" i="88"/>
  <c r="BR59" i="88"/>
  <c r="BQ59" i="88"/>
  <c r="BI68" i="88"/>
  <c r="AO68" i="88"/>
  <c r="BE68" i="88"/>
  <c r="AO71" i="88"/>
  <c r="BR76" i="88"/>
  <c r="BS76" i="88" s="1"/>
  <c r="BQ76" i="88"/>
  <c r="BG94" i="88"/>
  <c r="BR94" i="88"/>
  <c r="BQ94" i="88"/>
  <c r="BK94" i="88"/>
  <c r="BR100" i="88"/>
  <c r="BQ100" i="88"/>
  <c r="BC118" i="88"/>
  <c r="BR118" i="88"/>
  <c r="BS118" i="88" s="1"/>
  <c r="BQ118" i="88"/>
  <c r="BC141" i="88"/>
  <c r="BR141" i="88"/>
  <c r="BS141" i="88" s="1"/>
  <c r="BQ141" i="88"/>
  <c r="BR2" i="88"/>
  <c r="BQ2" i="88"/>
  <c r="AO5" i="88"/>
  <c r="BG26" i="88"/>
  <c r="BB26" i="88"/>
  <c r="BR26" i="88"/>
  <c r="BQ26" i="88"/>
  <c r="BD37" i="88"/>
  <c r="BG38" i="88"/>
  <c r="BC41" i="88"/>
  <c r="BR41" i="88"/>
  <c r="BQ41" i="88"/>
  <c r="BN44" i="88"/>
  <c r="BO44" i="88" s="1"/>
  <c r="AO44" i="88"/>
  <c r="BS44" i="88" s="1"/>
  <c r="W60" i="88"/>
  <c r="BR82" i="88"/>
  <c r="BS82" i="88" s="1"/>
  <c r="BQ82" i="88"/>
  <c r="BI82" i="88"/>
  <c r="BC92" i="88"/>
  <c r="BC103" i="88"/>
  <c r="BF107" i="88"/>
  <c r="BO107" i="88" s="1"/>
  <c r="AO122" i="88"/>
  <c r="BI12" i="88"/>
  <c r="AO12" i="88"/>
  <c r="BS12" i="88" s="1"/>
  <c r="AK99" i="88"/>
  <c r="BL99" i="88" s="1"/>
  <c r="AO23" i="88"/>
  <c r="BI25" i="88"/>
  <c r="AO25" i="88"/>
  <c r="BI26" i="88"/>
  <c r="AO26" i="88"/>
  <c r="BI112" i="88"/>
  <c r="AO112" i="88"/>
  <c r="BS112" i="88" s="1"/>
  <c r="BI30" i="88"/>
  <c r="AO30" i="88"/>
  <c r="W30" i="88" s="1"/>
  <c r="BI29" i="88"/>
  <c r="AO29" i="88"/>
  <c r="W53" i="88"/>
  <c r="X53" i="88" s="1"/>
  <c r="W14" i="88"/>
  <c r="Y14" i="88" s="1"/>
  <c r="W18" i="88"/>
  <c r="Y18" i="88" s="1"/>
  <c r="W19" i="88"/>
  <c r="X19" i="88" s="1"/>
  <c r="W97" i="88"/>
  <c r="Y97" i="88" s="1"/>
  <c r="W146" i="88"/>
  <c r="Y146" i="88" s="1"/>
  <c r="W56" i="88"/>
  <c r="Y56" i="88" s="1"/>
  <c r="W117" i="88"/>
  <c r="Y117" i="88" s="1"/>
  <c r="Y95" i="88"/>
  <c r="X95" i="88"/>
  <c r="AR152" i="88"/>
  <c r="BG3" i="88"/>
  <c r="BD38" i="88"/>
  <c r="BK39" i="88"/>
  <c r="AN40" i="88"/>
  <c r="BH42" i="88"/>
  <c r="BD68" i="88"/>
  <c r="BL71" i="88"/>
  <c r="BO71" i="88" s="1"/>
  <c r="BL94" i="88"/>
  <c r="BF100" i="88"/>
  <c r="BN100" i="88"/>
  <c r="BG122" i="88"/>
  <c r="AN39" i="88"/>
  <c r="BL39" i="88"/>
  <c r="BH122" i="88"/>
  <c r="AT152" i="88"/>
  <c r="BE39" i="88"/>
  <c r="BM39" i="88"/>
  <c r="BB60" i="88"/>
  <c r="BF68" i="88"/>
  <c r="BG82" i="88"/>
  <c r="BB93" i="88"/>
  <c r="BI122" i="88"/>
  <c r="BC9" i="88"/>
  <c r="BF37" i="88"/>
  <c r="BF39" i="88"/>
  <c r="BN39" i="88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BB24" i="88"/>
  <c r="BG37" i="88"/>
  <c r="AU38" i="88"/>
  <c r="BR38" i="88" s="1"/>
  <c r="BG39" i="88"/>
  <c r="W42" i="88"/>
  <c r="BD42" i="88"/>
  <c r="BE92" i="88"/>
  <c r="BH94" i="88"/>
  <c r="BD122" i="88"/>
  <c r="BB11" i="88"/>
  <c r="BH37" i="88"/>
  <c r="BJ39" i="88"/>
  <c r="BE42" i="88"/>
  <c r="BJ82" i="88"/>
  <c r="BC100" i="88"/>
  <c r="BK100" i="88"/>
  <c r="BB76" i="88"/>
  <c r="BB82" i="88"/>
  <c r="BC82" i="88"/>
  <c r="BH100" i="88"/>
  <c r="Z149" i="88"/>
  <c r="AE152" i="88"/>
  <c r="AN28" i="88"/>
  <c r="AN30" i="88"/>
  <c r="BO63" i="88"/>
  <c r="BO137" i="88"/>
  <c r="AF152" i="88"/>
  <c r="BO106" i="88"/>
  <c r="BO110" i="88"/>
  <c r="BO115" i="88"/>
  <c r="AB152" i="88"/>
  <c r="AC152" i="88"/>
  <c r="AD152" i="88"/>
  <c r="BD29" i="88"/>
  <c r="X33" i="88"/>
  <c r="Y33" i="88"/>
  <c r="Y130" i="88"/>
  <c r="X130" i="88"/>
  <c r="X75" i="88"/>
  <c r="X79" i="88"/>
  <c r="X101" i="88"/>
  <c r="Y101" i="88"/>
  <c r="Y58" i="88"/>
  <c r="X58" i="88"/>
  <c r="X88" i="88"/>
  <c r="Y45" i="88"/>
  <c r="X45" i="88"/>
  <c r="X84" i="88"/>
  <c r="BO7" i="88"/>
  <c r="X27" i="88"/>
  <c r="BC29" i="88"/>
  <c r="BO45" i="88"/>
  <c r="X55" i="88"/>
  <c r="X74" i="88"/>
  <c r="BO75" i="88"/>
  <c r="BO83" i="88"/>
  <c r="BO90" i="88"/>
  <c r="X134" i="88"/>
  <c r="BO10" i="88"/>
  <c r="BH12" i="88"/>
  <c r="BO14" i="88"/>
  <c r="BO15" i="88"/>
  <c r="BO21" i="88"/>
  <c r="BO46" i="88"/>
  <c r="BO48" i="88"/>
  <c r="BO49" i="88"/>
  <c r="BO84" i="88"/>
  <c r="BO91" i="88"/>
  <c r="BO127" i="88"/>
  <c r="BO129" i="88"/>
  <c r="Y134" i="88"/>
  <c r="BO145" i="88"/>
  <c r="BO148" i="88"/>
  <c r="AN12" i="88"/>
  <c r="BO16" i="88"/>
  <c r="BO54" i="88"/>
  <c r="BO77" i="88"/>
  <c r="BO79" i="88"/>
  <c r="BO81" i="88"/>
  <c r="BO97" i="88"/>
  <c r="X126" i="88"/>
  <c r="BO130" i="88"/>
  <c r="BO132" i="88"/>
  <c r="BO138" i="88"/>
  <c r="BO142" i="88"/>
  <c r="BO143" i="88"/>
  <c r="BO135" i="88"/>
  <c r="BO13" i="88"/>
  <c r="BH29" i="88"/>
  <c r="AH38" i="88"/>
  <c r="X54" i="88"/>
  <c r="BO58" i="88"/>
  <c r="BO86" i="88"/>
  <c r="BO88" i="88"/>
  <c r="BO101" i="88"/>
  <c r="X111" i="88"/>
  <c r="Y126" i="88"/>
  <c r="X138" i="88"/>
  <c r="BO139" i="88"/>
  <c r="X142" i="88"/>
  <c r="BO17" i="88"/>
  <c r="BI23" i="88"/>
  <c r="BO27" i="88"/>
  <c r="AN29" i="88"/>
  <c r="BC30" i="88"/>
  <c r="BO33" i="88"/>
  <c r="BO50" i="88"/>
  <c r="Y54" i="88"/>
  <c r="BO55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19" i="88"/>
  <c r="BO57" i="88"/>
  <c r="BO64" i="88"/>
  <c r="BO65" i="88"/>
  <c r="BO69" i="88"/>
  <c r="BO70" i="88"/>
  <c r="BO74" i="88"/>
  <c r="BO121" i="88"/>
  <c r="BO134" i="88"/>
  <c r="BO136" i="88"/>
  <c r="BO146" i="88"/>
  <c r="BO6" i="88"/>
  <c r="BO18" i="88"/>
  <c r="BO53" i="88"/>
  <c r="BO72" i="88"/>
  <c r="BO96" i="88"/>
  <c r="BO123" i="88"/>
  <c r="BO125" i="88"/>
  <c r="BO147" i="88"/>
  <c r="Y15" i="88"/>
  <c r="X15" i="88"/>
  <c r="Y13" i="88"/>
  <c r="X13" i="88"/>
  <c r="Y10" i="88"/>
  <c r="X10" i="88"/>
  <c r="Y17" i="88"/>
  <c r="X17" i="88"/>
  <c r="Y21" i="88"/>
  <c r="X21" i="88"/>
  <c r="X20" i="88"/>
  <c r="Y20" i="88"/>
  <c r="BC12" i="88"/>
  <c r="X52" i="88"/>
  <c r="Y52" i="88"/>
  <c r="AN8" i="88"/>
  <c r="BC22" i="88"/>
  <c r="BO22" i="88" s="1"/>
  <c r="AN23" i="88"/>
  <c r="BE23" i="88"/>
  <c r="X6" i="88"/>
  <c r="AN5" i="88"/>
  <c r="Y6" i="88"/>
  <c r="BC11" i="88"/>
  <c r="X16" i="88"/>
  <c r="AN22" i="88"/>
  <c r="BB2" i="88"/>
  <c r="X7" i="88"/>
  <c r="AN11" i="88"/>
  <c r="Y16" i="88"/>
  <c r="AN2" i="88"/>
  <c r="BC2" i="88"/>
  <c r="BK2" i="88"/>
  <c r="BH3" i="88"/>
  <c r="Y7" i="88"/>
  <c r="AN24" i="88"/>
  <c r="AG152" i="88"/>
  <c r="BL2" i="88"/>
  <c r="BO20" i="88"/>
  <c r="BD2" i="88"/>
  <c r="AP152" i="88"/>
  <c r="BE2" i="88"/>
  <c r="BM2" i="88"/>
  <c r="BB3" i="88"/>
  <c r="BH9" i="88"/>
  <c r="AQ152" i="88"/>
  <c r="BF2" i="88"/>
  <c r="BN2" i="88"/>
  <c r="AN3" i="88"/>
  <c r="BH11" i="88"/>
  <c r="X48" i="88"/>
  <c r="Y48" i="88"/>
  <c r="AN26" i="88"/>
  <c r="AN32" i="88"/>
  <c r="BH32" i="88"/>
  <c r="BG51" i="88"/>
  <c r="BO51" i="88" s="1"/>
  <c r="Y86" i="88"/>
  <c r="X86" i="88"/>
  <c r="AN44" i="88"/>
  <c r="X49" i="88"/>
  <c r="AN51" i="88"/>
  <c r="X73" i="88"/>
  <c r="Y73" i="88"/>
  <c r="AN25" i="88"/>
  <c r="Y27" i="88"/>
  <c r="BB29" i="88"/>
  <c r="AN37" i="88"/>
  <c r="BB37" i="88"/>
  <c r="BB39" i="88"/>
  <c r="X46" i="88"/>
  <c r="Y49" i="88"/>
  <c r="Y55" i="88"/>
  <c r="BE59" i="88"/>
  <c r="Y62" i="88"/>
  <c r="X62" i="88"/>
  <c r="Y66" i="88"/>
  <c r="X66" i="88"/>
  <c r="Y69" i="88"/>
  <c r="X69" i="88"/>
  <c r="BG24" i="88"/>
  <c r="BO24" i="88" s="1"/>
  <c r="BC28" i="88"/>
  <c r="BO28" i="88" s="1"/>
  <c r="BC32" i="88"/>
  <c r="BB35" i="88"/>
  <c r="BC37" i="88"/>
  <c r="BF40" i="88"/>
  <c r="Y46" i="88"/>
  <c r="X50" i="88"/>
  <c r="BB59" i="88"/>
  <c r="AN68" i="88"/>
  <c r="AN31" i="88"/>
  <c r="BH31" i="88"/>
  <c r="AN42" i="88"/>
  <c r="BN43" i="88"/>
  <c r="BO43" i="88" s="1"/>
  <c r="Y50" i="88"/>
  <c r="AN59" i="88"/>
  <c r="Y64" i="88"/>
  <c r="X64" i="88"/>
  <c r="Y70" i="88"/>
  <c r="X70" i="88"/>
  <c r="BO89" i="88"/>
  <c r="BC25" i="88"/>
  <c r="BB34" i="88"/>
  <c r="BL35" i="88"/>
  <c r="BB42" i="88"/>
  <c r="BO52" i="88"/>
  <c r="Y80" i="88"/>
  <c r="X80" i="88"/>
  <c r="X83" i="88"/>
  <c r="Y83" i="88"/>
  <c r="BM35" i="88"/>
  <c r="BB36" i="88"/>
  <c r="BO56" i="88"/>
  <c r="BO60" i="88"/>
  <c r="BO62" i="88"/>
  <c r="X65" i="88"/>
  <c r="BO66" i="88"/>
  <c r="BC31" i="88"/>
  <c r="BN35" i="88"/>
  <c r="Y63" i="88"/>
  <c r="X63" i="88"/>
  <c r="Y65" i="88"/>
  <c r="Y72" i="88"/>
  <c r="X72" i="88"/>
  <c r="Y77" i="88"/>
  <c r="X77" i="88"/>
  <c r="X81" i="88"/>
  <c r="Y81" i="88"/>
  <c r="Y90" i="88"/>
  <c r="X90" i="88"/>
  <c r="Y96" i="88"/>
  <c r="X96" i="88"/>
  <c r="AN82" i="88"/>
  <c r="BH82" i="88"/>
  <c r="BC93" i="88"/>
  <c r="BO93" i="88" s="1"/>
  <c r="BB102" i="88"/>
  <c r="BD103" i="88"/>
  <c r="Y120" i="88"/>
  <c r="X120" i="88"/>
  <c r="Y143" i="88"/>
  <c r="X143" i="88"/>
  <c r="Y145" i="88"/>
  <c r="X145" i="88"/>
  <c r="BB68" i="88"/>
  <c r="BB85" i="88"/>
  <c r="AN94" i="88"/>
  <c r="BJ99" i="88"/>
  <c r="Y119" i="88"/>
  <c r="X119" i="88"/>
  <c r="Y137" i="88"/>
  <c r="X137" i="88"/>
  <c r="BC68" i="88"/>
  <c r="Y74" i="88"/>
  <c r="W76" i="88"/>
  <c r="BC76" i="88"/>
  <c r="BO76" i="88" s="1"/>
  <c r="BN78" i="88"/>
  <c r="BO78" i="88" s="1"/>
  <c r="Y84" i="88"/>
  <c r="BN87" i="88"/>
  <c r="BO87" i="88" s="1"/>
  <c r="AN92" i="88"/>
  <c r="BJ94" i="88"/>
  <c r="BH98" i="88"/>
  <c r="BK99" i="88"/>
  <c r="BD100" i="88"/>
  <c r="BL100" i="88"/>
  <c r="BB103" i="88"/>
  <c r="BO113" i="88"/>
  <c r="BE119" i="88"/>
  <c r="BO119" i="88" s="1"/>
  <c r="BB119" i="88"/>
  <c r="BB94" i="88"/>
  <c r="BN104" i="88"/>
  <c r="BO104" i="88" s="1"/>
  <c r="W104" i="88"/>
  <c r="AN104" i="88"/>
  <c r="BO109" i="88"/>
  <c r="Y116" i="88"/>
  <c r="X116" i="88"/>
  <c r="Y133" i="88"/>
  <c r="X133" i="88"/>
  <c r="BD141" i="88"/>
  <c r="Y75" i="88"/>
  <c r="AN78" i="88"/>
  <c r="Y79" i="88"/>
  <c r="AN87" i="88"/>
  <c r="Y88" i="88"/>
  <c r="BO95" i="88"/>
  <c r="BB99" i="88"/>
  <c r="AN100" i="88"/>
  <c r="Y115" i="88"/>
  <c r="X115" i="88"/>
  <c r="BO117" i="88"/>
  <c r="Y147" i="88"/>
  <c r="X147" i="88"/>
  <c r="BB61" i="88"/>
  <c r="BF85" i="88"/>
  <c r="BO85" i="88" s="1"/>
  <c r="AN98" i="88"/>
  <c r="BC99" i="88"/>
  <c r="BB100" i="88"/>
  <c r="BD102" i="88"/>
  <c r="Y110" i="88"/>
  <c r="X110" i="88"/>
  <c r="BO114" i="88"/>
  <c r="Y129" i="88"/>
  <c r="X129" i="88"/>
  <c r="BO150" i="88"/>
  <c r="AN71" i="88"/>
  <c r="W105" i="88"/>
  <c r="AN105" i="88"/>
  <c r="BO108" i="88"/>
  <c r="BO111" i="88"/>
  <c r="BC94" i="88"/>
  <c r="BC98" i="88"/>
  <c r="BB105" i="88"/>
  <c r="BF118" i="88"/>
  <c r="BB118" i="88"/>
  <c r="BB122" i="88"/>
  <c r="Y125" i="88"/>
  <c r="X125" i="88"/>
  <c r="BO126" i="88"/>
  <c r="BO128" i="88"/>
  <c r="AN112" i="88"/>
  <c r="BH112" i="88"/>
  <c r="X139" i="88"/>
  <c r="X144" i="88"/>
  <c r="X148" i="88"/>
  <c r="BF120" i="88"/>
  <c r="BO120" i="88" s="1"/>
  <c r="Y139" i="88"/>
  <c r="BB141" i="88"/>
  <c r="Y144" i="88"/>
  <c r="Y148" i="88"/>
  <c r="BB140" i="88"/>
  <c r="W8" i="88" l="1"/>
  <c r="Y35" i="88"/>
  <c r="BO118" i="88"/>
  <c r="BO40" i="88"/>
  <c r="W32" i="88"/>
  <c r="Y32" i="88" s="1"/>
  <c r="BO34" i="88"/>
  <c r="W89" i="88"/>
  <c r="BO103" i="88"/>
  <c r="BO105" i="88"/>
  <c r="BO41" i="88"/>
  <c r="Y47" i="88"/>
  <c r="Z47" i="88" s="1"/>
  <c r="BO25" i="88"/>
  <c r="W31" i="88"/>
  <c r="Y31" i="88" s="1"/>
  <c r="W12" i="88"/>
  <c r="Y12" i="88" s="1"/>
  <c r="AL99" i="88"/>
  <c r="AM99" i="88" s="1"/>
  <c r="BS92" i="88"/>
  <c r="BO112" i="88"/>
  <c r="BO102" i="88"/>
  <c r="X18" i="88"/>
  <c r="Z18" i="88" s="1"/>
  <c r="BS24" i="88"/>
  <c r="BO141" i="88"/>
  <c r="BO26" i="88"/>
  <c r="BS2" i="88"/>
  <c r="BS37" i="88"/>
  <c r="BS9" i="88"/>
  <c r="W92" i="88"/>
  <c r="BS94" i="88"/>
  <c r="BS59" i="88"/>
  <c r="W44" i="88"/>
  <c r="BS30" i="88"/>
  <c r="BR152" i="88"/>
  <c r="BS3" i="88"/>
  <c r="BS41" i="88"/>
  <c r="BS39" i="88"/>
  <c r="BS100" i="88"/>
  <c r="W34" i="88"/>
  <c r="Y34" i="88" s="1"/>
  <c r="BS34" i="88"/>
  <c r="W3" i="88"/>
  <c r="X3" i="88" s="1"/>
  <c r="W26" i="88"/>
  <c r="BS26" i="88"/>
  <c r="W122" i="88"/>
  <c r="Y122" i="88" s="1"/>
  <c r="BS122" i="88"/>
  <c r="W87" i="88"/>
  <c r="Y87" i="88" s="1"/>
  <c r="BS87" i="88"/>
  <c r="W68" i="88"/>
  <c r="X68" i="88" s="1"/>
  <c r="BS68" i="88"/>
  <c r="W11" i="88"/>
  <c r="Y11" i="88" s="1"/>
  <c r="BS11" i="88"/>
  <c r="W39" i="88"/>
  <c r="Y39" i="88" s="1"/>
  <c r="W29" i="88"/>
  <c r="Y29" i="88" s="1"/>
  <c r="BS29" i="88"/>
  <c r="W25" i="88"/>
  <c r="X25" i="88" s="1"/>
  <c r="BS25" i="88"/>
  <c r="W43" i="88"/>
  <c r="X43" i="88" s="1"/>
  <c r="BS43" i="88"/>
  <c r="W112" i="88"/>
  <c r="W5" i="88"/>
  <c r="Y5" i="88" s="1"/>
  <c r="BS5" i="88"/>
  <c r="W78" i="88"/>
  <c r="Y78" i="88" s="1"/>
  <c r="BS78" i="88"/>
  <c r="W67" i="88"/>
  <c r="Y67" i="88" s="1"/>
  <c r="BS67" i="88"/>
  <c r="W23" i="88"/>
  <c r="Y23" i="88" s="1"/>
  <c r="BS23" i="88"/>
  <c r="W71" i="88"/>
  <c r="X71" i="88" s="1"/>
  <c r="BS71" i="88"/>
  <c r="X97" i="88"/>
  <c r="Z97" i="88" s="1"/>
  <c r="BO92" i="88"/>
  <c r="X56" i="88"/>
  <c r="Z56" i="88" s="1"/>
  <c r="BO30" i="88"/>
  <c r="Z88" i="88"/>
  <c r="X14" i="88"/>
  <c r="Z14" i="88" s="1"/>
  <c r="Y53" i="88"/>
  <c r="Z53" i="88" s="1"/>
  <c r="BO9" i="88"/>
  <c r="AI38" i="88"/>
  <c r="AJ38" i="88" s="1"/>
  <c r="AK38" i="88" s="1"/>
  <c r="AL38" i="88" s="1"/>
  <c r="AM38" i="88" s="1"/>
  <c r="Z95" i="88"/>
  <c r="X41" i="88"/>
  <c r="Z41" i="88" s="1"/>
  <c r="X117" i="88"/>
  <c r="Z117" i="88" s="1"/>
  <c r="X146" i="88"/>
  <c r="Z146" i="88" s="1"/>
  <c r="Y19" i="88"/>
  <c r="Z19" i="88" s="1"/>
  <c r="AV38" i="88"/>
  <c r="BI38" i="88" s="1"/>
  <c r="BI152" i="88" s="1"/>
  <c r="BQ38" i="88"/>
  <c r="W40" i="88"/>
  <c r="X40" i="88" s="1"/>
  <c r="Z35" i="88"/>
  <c r="BO122" i="88"/>
  <c r="BH38" i="88"/>
  <c r="BH152" i="88" s="1"/>
  <c r="AH152" i="88"/>
  <c r="AU152" i="88"/>
  <c r="BO82" i="88"/>
  <c r="BO39" i="88"/>
  <c r="BO42" i="88"/>
  <c r="BO68" i="88"/>
  <c r="X60" i="88"/>
  <c r="BO59" i="88"/>
  <c r="Y60" i="88"/>
  <c r="BO37" i="88"/>
  <c r="Z79" i="88"/>
  <c r="X91" i="88"/>
  <c r="Z125" i="88"/>
  <c r="Z55" i="88"/>
  <c r="Z74" i="88"/>
  <c r="BO29" i="88"/>
  <c r="BO98" i="88"/>
  <c r="BO23" i="88"/>
  <c r="Z75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Z48" i="88"/>
  <c r="Z13" i="88"/>
  <c r="Z96" i="88"/>
  <c r="Z66" i="88"/>
  <c r="Z15" i="88"/>
  <c r="Z142" i="88"/>
  <c r="Z45" i="88"/>
  <c r="Z101" i="88"/>
  <c r="Z110" i="88"/>
  <c r="Z58" i="88"/>
  <c r="Z27" i="88"/>
  <c r="Z20" i="88"/>
  <c r="BO100" i="88"/>
  <c r="Z145" i="88"/>
  <c r="Z72" i="88"/>
  <c r="Z138" i="88"/>
  <c r="Z83" i="88"/>
  <c r="Z52" i="88"/>
  <c r="Y113" i="88"/>
  <c r="X113" i="88"/>
  <c r="Z134" i="88"/>
  <c r="Z115" i="88"/>
  <c r="BO12" i="88"/>
  <c r="Z111" i="88"/>
  <c r="Z126" i="88"/>
  <c r="BO94" i="88"/>
  <c r="Z69" i="88"/>
  <c r="Z33" i="88"/>
  <c r="Y127" i="88"/>
  <c r="X127" i="88"/>
  <c r="Y136" i="88"/>
  <c r="X136" i="88"/>
  <c r="X108" i="88"/>
  <c r="Y108" i="88"/>
  <c r="Z116" i="88"/>
  <c r="Z90" i="88"/>
  <c r="Z77" i="88"/>
  <c r="Z64" i="88"/>
  <c r="Z62" i="88"/>
  <c r="Y28" i="88"/>
  <c r="X28" i="88"/>
  <c r="BG152" i="88"/>
  <c r="Y37" i="88"/>
  <c r="X37" i="88"/>
  <c r="Z10" i="88"/>
  <c r="Y102" i="88"/>
  <c r="X102" i="88"/>
  <c r="Y36" i="88"/>
  <c r="X36" i="88"/>
  <c r="Z65" i="88"/>
  <c r="Y82" i="88"/>
  <c r="X82" i="88"/>
  <c r="Y51" i="88"/>
  <c r="X51" i="88"/>
  <c r="X118" i="88"/>
  <c r="Y118" i="88"/>
  <c r="Y150" i="88"/>
  <c r="X150" i="88"/>
  <c r="Y103" i="88"/>
  <c r="X103" i="88"/>
  <c r="BF152" i="88"/>
  <c r="X114" i="88"/>
  <c r="Y114" i="88"/>
  <c r="Z147" i="88"/>
  <c r="Z133" i="88"/>
  <c r="Z137" i="88"/>
  <c r="Z63" i="88"/>
  <c r="Y61" i="88"/>
  <c r="X61" i="88"/>
  <c r="Z70" i="88"/>
  <c r="X57" i="88"/>
  <c r="Y57" i="88"/>
  <c r="Z73" i="88"/>
  <c r="Z86" i="88"/>
  <c r="BE152" i="88"/>
  <c r="Z7" i="88"/>
  <c r="Y42" i="88"/>
  <c r="X42" i="88"/>
  <c r="X32" i="88"/>
  <c r="Z144" i="88"/>
  <c r="Y93" i="88"/>
  <c r="X93" i="88"/>
  <c r="Y98" i="88"/>
  <c r="X98" i="88"/>
  <c r="Y4" i="88"/>
  <c r="X4" i="88"/>
  <c r="Y9" i="88"/>
  <c r="X9" i="88"/>
  <c r="Z148" i="88"/>
  <c r="Y106" i="88"/>
  <c r="X106" i="88"/>
  <c r="Z139" i="88"/>
  <c r="Y109" i="88"/>
  <c r="X109" i="88"/>
  <c r="Z46" i="88"/>
  <c r="Z49" i="88"/>
  <c r="BD152" i="88"/>
  <c r="BC152" i="88"/>
  <c r="BO2" i="88"/>
  <c r="Z16" i="88"/>
  <c r="Y141" i="88"/>
  <c r="X141" i="88"/>
  <c r="Y121" i="88"/>
  <c r="X121" i="88"/>
  <c r="Y140" i="88"/>
  <c r="X140" i="88"/>
  <c r="Y124" i="88"/>
  <c r="X124" i="88"/>
  <c r="Y107" i="88"/>
  <c r="X107" i="88"/>
  <c r="Y85" i="88"/>
  <c r="X85" i="88"/>
  <c r="Y128" i="88"/>
  <c r="X128" i="88"/>
  <c r="Z81" i="88"/>
  <c r="X30" i="88"/>
  <c r="Y30" i="88"/>
  <c r="X22" i="88"/>
  <c r="Y22" i="88"/>
  <c r="Z6" i="88"/>
  <c r="BO3" i="88"/>
  <c r="Y123" i="88"/>
  <c r="X123" i="88"/>
  <c r="Y135" i="88"/>
  <c r="X135" i="88"/>
  <c r="Y131" i="88"/>
  <c r="X131" i="88"/>
  <c r="Y132" i="88"/>
  <c r="X132" i="88"/>
  <c r="Z143" i="88"/>
  <c r="Y94" i="88"/>
  <c r="X94" i="88"/>
  <c r="Z50" i="88"/>
  <c r="BO11" i="88"/>
  <c r="X31" i="88" l="1"/>
  <c r="X67" i="88"/>
  <c r="Y68" i="88"/>
  <c r="X12" i="88"/>
  <c r="AL152" i="88"/>
  <c r="BM99" i="88"/>
  <c r="X29" i="88"/>
  <c r="Z29" i="88" s="1"/>
  <c r="X78" i="88"/>
  <c r="Z78" i="88" s="1"/>
  <c r="X34" i="88"/>
  <c r="Z34" i="88" s="1"/>
  <c r="Y25" i="88"/>
  <c r="Z25" i="88" s="1"/>
  <c r="Y3" i="88"/>
  <c r="Z3" i="88" s="1"/>
  <c r="X11" i="88"/>
  <c r="Z11" i="88" s="1"/>
  <c r="X23" i="88"/>
  <c r="Z23" i="88" s="1"/>
  <c r="Y43" i="88"/>
  <c r="Z43" i="88" s="1"/>
  <c r="AI152" i="88"/>
  <c r="X87" i="88"/>
  <c r="Z87" i="88" s="1"/>
  <c r="X5" i="88"/>
  <c r="Z5" i="88" s="1"/>
  <c r="Y71" i="88"/>
  <c r="Z71" i="88" s="1"/>
  <c r="X122" i="88"/>
  <c r="Z122" i="88" s="1"/>
  <c r="X39" i="88"/>
  <c r="Z39" i="88" s="1"/>
  <c r="BQ152" i="88"/>
  <c r="AO38" i="88"/>
  <c r="AN38" i="88"/>
  <c r="AK152" i="88"/>
  <c r="AJ152" i="88"/>
  <c r="Y40" i="88"/>
  <c r="Z40" i="88" s="1"/>
  <c r="AO99" i="88"/>
  <c r="AW38" i="88"/>
  <c r="AV152" i="88"/>
  <c r="Z91" i="88"/>
  <c r="Z60" i="88"/>
  <c r="Z132" i="88"/>
  <c r="Z135" i="88"/>
  <c r="Z140" i="88"/>
  <c r="Z93" i="88"/>
  <c r="Z32" i="88"/>
  <c r="Z31" i="88"/>
  <c r="Z103" i="88"/>
  <c r="Z136" i="88"/>
  <c r="Z68" i="88"/>
  <c r="Z114" i="88"/>
  <c r="Z113" i="88"/>
  <c r="Z128" i="88"/>
  <c r="Z106" i="88"/>
  <c r="Z82" i="88"/>
  <c r="Z85" i="88"/>
  <c r="Z36" i="88"/>
  <c r="Z28" i="88"/>
  <c r="Z94" i="88"/>
  <c r="Z124" i="88"/>
  <c r="Z121" i="88"/>
  <c r="Z98" i="88"/>
  <c r="Z127" i="88"/>
  <c r="Y24" i="88"/>
  <c r="X24" i="88"/>
  <c r="X112" i="88"/>
  <c r="Y112" i="88"/>
  <c r="Z102" i="88"/>
  <c r="Z37" i="88"/>
  <c r="Y100" i="88"/>
  <c r="X100" i="88"/>
  <c r="Z61" i="88"/>
  <c r="Z150" i="88"/>
  <c r="Y8" i="88"/>
  <c r="X8" i="88"/>
  <c r="X104" i="88"/>
  <c r="Y104" i="88"/>
  <c r="Z109" i="88"/>
  <c r="Z4" i="88"/>
  <c r="Y89" i="88"/>
  <c r="X89" i="88"/>
  <c r="Z57" i="88"/>
  <c r="Y26" i="88"/>
  <c r="X26" i="88"/>
  <c r="Y105" i="88"/>
  <c r="X105" i="88"/>
  <c r="Y59" i="88"/>
  <c r="X59" i="88"/>
  <c r="Y2" i="88"/>
  <c r="X2" i="88"/>
  <c r="Y44" i="88"/>
  <c r="X44" i="88"/>
  <c r="Z67" i="88"/>
  <c r="Z118" i="88"/>
  <c r="Z131" i="88"/>
  <c r="Z22" i="88"/>
  <c r="Z107" i="88"/>
  <c r="BN99" i="88"/>
  <c r="AM152" i="88"/>
  <c r="AN99" i="88"/>
  <c r="Y76" i="88"/>
  <c r="X76" i="88"/>
  <c r="Z12" i="88"/>
  <c r="Z123" i="88"/>
  <c r="Z30" i="88"/>
  <c r="Z141" i="88"/>
  <c r="Y92" i="88"/>
  <c r="X92" i="88"/>
  <c r="Z9" i="88"/>
  <c r="Z42" i="88"/>
  <c r="Z51" i="88"/>
  <c r="Z108" i="88"/>
  <c r="BO99" i="88" l="1"/>
  <c r="AN152" i="88"/>
  <c r="W38" i="88"/>
  <c r="BS38" i="88"/>
  <c r="W99" i="88"/>
  <c r="X99" i="88" s="1"/>
  <c r="BS99" i="88"/>
  <c r="AO152" i="88"/>
  <c r="AW152" i="88"/>
  <c r="BJ38" i="88"/>
  <c r="BJ152" i="88" s="1"/>
  <c r="AX38" i="88"/>
  <c r="Z76" i="88"/>
  <c r="Z44" i="88"/>
  <c r="Z100" i="88"/>
  <c r="Z92" i="88"/>
  <c r="Z26" i="88"/>
  <c r="Z24" i="88"/>
  <c r="Z89" i="88"/>
  <c r="Z105" i="88"/>
  <c r="Z59" i="88"/>
  <c r="Z8" i="88"/>
  <c r="Z112" i="88"/>
  <c r="Z104" i="88"/>
  <c r="Z2" i="88"/>
  <c r="AN8" i="87"/>
  <c r="AO8" i="87"/>
  <c r="BB8" i="87"/>
  <c r="AR8" i="87"/>
  <c r="Y99" i="88" l="1"/>
  <c r="BS152" i="88"/>
  <c r="W152" i="88"/>
  <c r="Y38" i="88"/>
  <c r="Y152" i="88" s="1"/>
  <c r="X38" i="88"/>
  <c r="AX152" i="88"/>
  <c r="AY38" i="88"/>
  <c r="BK38" i="88"/>
  <c r="BK152" i="88" s="1"/>
  <c r="Z99" i="88"/>
  <c r="Z38" i="88" l="1"/>
  <c r="Z152" i="88" s="1"/>
  <c r="X152" i="88"/>
  <c r="AY152" i="88"/>
  <c r="BL38" i="88"/>
  <c r="BL152" i="88" s="1"/>
  <c r="AZ38" i="88"/>
  <c r="AZ152" i="88" l="1"/>
  <c r="BM38" i="88"/>
  <c r="BA38" i="88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BN38" i="88" l="1"/>
  <c r="BN152" i="88" s="1"/>
  <c r="BA152" i="88"/>
  <c r="BB38" i="88"/>
  <c r="BB152" i="88" s="1"/>
  <c r="BM152" i="88"/>
  <c r="BO38" i="88"/>
  <c r="BO152" i="88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<sst xmlns="http://schemas.openxmlformats.org/spreadsheetml/2006/main" count="3840" uniqueCount="777">
  <si>
    <t>Transaction Type</t>
  </si>
  <si>
    <t>(Multiple Items)</t>
  </si>
  <si>
    <t>Overall YTD Results</t>
  </si>
  <si>
    <t>2026 Final Approved Budget</t>
  </si>
  <si>
    <t>Category</t>
  </si>
  <si>
    <t>Sum of 2026 Final Budget</t>
  </si>
  <si>
    <t>Sum of 2026 (Actuals + Forecast)</t>
  </si>
  <si>
    <t>Sum of 2026 Risk</t>
  </si>
  <si>
    <t>Sum of 2026 Opportunity</t>
  </si>
  <si>
    <t>Sum of 2026 Risk/(Opportunity)</t>
  </si>
  <si>
    <t>FPC</t>
  </si>
  <si>
    <t>Hardware</t>
  </si>
  <si>
    <t>Infrastructure</t>
  </si>
  <si>
    <t>Labor/ T&amp;M</t>
  </si>
  <si>
    <t>MS</t>
  </si>
  <si>
    <t>OOE</t>
  </si>
  <si>
    <t>Software</t>
  </si>
  <si>
    <t>Grand Total</t>
  </si>
  <si>
    <t>Sub-Category1</t>
  </si>
  <si>
    <t>Row Labels</t>
  </si>
  <si>
    <t>Dan Royer</t>
  </si>
  <si>
    <t>Danny Borkowski</t>
  </si>
  <si>
    <t>Devang Shah</t>
  </si>
  <si>
    <t>Erik Wynkoop</t>
  </si>
  <si>
    <t>John Spencer</t>
  </si>
  <si>
    <t>Melissa Tumminia</t>
  </si>
  <si>
    <t>N/A</t>
  </si>
  <si>
    <t xml:space="preserve">$ in Millions </t>
  </si>
  <si>
    <t>Domain Level YTD Results</t>
  </si>
  <si>
    <t>Values</t>
  </si>
  <si>
    <t>Domain Owner</t>
  </si>
  <si>
    <t>YTD Actuals</t>
  </si>
  <si>
    <t>Spend Category</t>
  </si>
  <si>
    <t>D365 Legal Vendor name</t>
  </si>
  <si>
    <t>2026 Final Budget</t>
  </si>
  <si>
    <t>Actuals (Jan-May)</t>
  </si>
  <si>
    <t>Forecast (Jun - Dec)</t>
  </si>
  <si>
    <t>2026 (Actuals + Forecast)</t>
  </si>
  <si>
    <t>2026 Risk/(Opportunity)</t>
  </si>
  <si>
    <t>Notes - Risk/Opportunity</t>
  </si>
  <si>
    <t>Risk/Opportunity Type</t>
  </si>
  <si>
    <t>Coforge DPA NA Inc.</t>
  </si>
  <si>
    <t>$21K Opportunity: L1/L2 COE BoW 2026 - unutilized funds for new initiatives planned in 2026. Will be offset against equal risk.
Driver: Unutilized funds for planned initiatives.As per Leon's instruction.</t>
  </si>
  <si>
    <t>Soft Opportunity</t>
  </si>
  <si>
    <t>Indus Valley Partners Corporation</t>
  </si>
  <si>
    <t xml:space="preserve">$115K Opportunity:
• IVP Implementation saving on contract (Budget $1.34M vs Actual $960K)
Driver: Contract savings </t>
  </si>
  <si>
    <t>Hard Opportunity</t>
  </si>
  <si>
    <t>Dark Green Font</t>
  </si>
  <si>
    <t>Dark Green Fill, white font</t>
  </si>
  <si>
    <t>Dan Royer Total</t>
  </si>
  <si>
    <t>Hard Risk</t>
  </si>
  <si>
    <t>Dark Red Font</t>
  </si>
  <si>
    <t>Dark Red Fill, white font</t>
  </si>
  <si>
    <t>2026 PH</t>
  </si>
  <si>
    <t>On track. Budget $150K = Net Position $150K.
Driver: Tracking to plan.</t>
  </si>
  <si>
    <t>Neutral</t>
  </si>
  <si>
    <t>Light Green Font</t>
  </si>
  <si>
    <t>Light Green Fill, white font</t>
  </si>
  <si>
    <t>Finastra Technology, Inc</t>
  </si>
  <si>
    <t>On track. No budget allocated, no spend expected.
Driver: Tracking to plan.</t>
  </si>
  <si>
    <t>Soft Risk</t>
  </si>
  <si>
    <t>Light Red Font</t>
  </si>
  <si>
    <t>Light Red Fill, white font</t>
  </si>
  <si>
    <t>On track. Budget $120K = Net Position $120K.
Driver: Tracking to plan.</t>
  </si>
  <si>
    <t>MARKIT NORTH AMERICA, INC.</t>
  </si>
  <si>
    <t>$206K Opportunity: Markit BoW 2026 - unutilized funds for WSO initiatives planned in 2026 as per Leon's instruction. Will be offset against risk in future.
Driver: Non committed funds planned for WSO</t>
  </si>
  <si>
    <t>Devang Shah Total</t>
  </si>
  <si>
    <t>Erik Wynkoop Total</t>
  </si>
  <si>
    <t>On track. Minor variance ($642). Budget $642 vs Net Position $0.
Driver: Tracking to plan.</t>
  </si>
  <si>
    <t>Melissa Tumminia Total</t>
  </si>
  <si>
    <t>FPC Total</t>
  </si>
  <si>
    <t>SHI International Corp</t>
  </si>
  <si>
    <t>CDW DIRECT LLC</t>
  </si>
  <si>
    <t>$66K Risk: Unbudgeted 2026 laptops ($75K committed spend per Danny) partially offset by favorable variance on other hardware -$9k Budget $34k v/s Actual+FC $25K
Driver: Unbudgeted hardware purchases.</t>
  </si>
  <si>
    <t>$8K Risk: Budget $82K vs Net Position $89K.
YTD actuals $28K + Forecast $61K = Net Position $89K, which is $8K over budget.
Driver: Unfavorable variance to budget.</t>
  </si>
  <si>
    <t>Danny Borkowski Total</t>
  </si>
  <si>
    <t>Hardware Total</t>
  </si>
  <si>
    <t>AT&amp;T Corp</t>
  </si>
  <si>
    <t>On track. Minor variance ($797). Budget $36K vs Net Position $37K.
Driver: Tracking to plan.</t>
  </si>
  <si>
    <t>Beanfield Technologies, Inc.</t>
  </si>
  <si>
    <t>On track. Minor variance ($105). Budget $4K vs Net Position $4K.
Driver: Tracking to plan.</t>
  </si>
  <si>
    <t>Bell Mobility Inc.</t>
  </si>
  <si>
    <t>On track. Budget $3K = Net Position $3K.
Driver: Tracking to plan.</t>
  </si>
  <si>
    <t>$14K Opportunity: Budget $174K vs Net Position $160K.
YTD actuals $66K + Forecast $94K = Net Position $160K, which is $14K under budget.
Driver: Favorable budget vs actual variance.</t>
  </si>
  <si>
    <t>Cisco Systems, Inc.</t>
  </si>
  <si>
    <t>$1.7K Opportunity: Webex service cancelled in Dec'25 - Budget $1.7K, no 2026 spend expected.
Driver: Service cancellation generating savings.</t>
  </si>
  <si>
    <t>Cogent Canada, Inc.</t>
  </si>
  <si>
    <t>On track. Minor variance ($203). Budget $7K vs Net Position $7K.
Driver: Tracking to plan.</t>
  </si>
  <si>
    <t>COGENT COMMUNICATIONS, INC</t>
  </si>
  <si>
    <t>On track. Minor variance ($398). Budget $35K vs Net Position $36K.
Driver: Tracking to plan.</t>
  </si>
  <si>
    <t>j2 Cloud Services, Inc.</t>
  </si>
  <si>
    <t>On track. Minor variance ($646). Budget $19K vs Net Position $20K.
Driver: Tracking to plan.</t>
  </si>
  <si>
    <t>LEVEL 3 COMMUNICATIONS</t>
  </si>
  <si>
    <t>On track. Minor variance ($604). Budget $25K vs Net Position $25K.
Driver: Tracking to plan.</t>
  </si>
  <si>
    <t>LoopUp</t>
  </si>
  <si>
    <t>On track. Minor variance ($820). Budget $35K vs Net Position $34K.
Driver: Tracking to plan.</t>
  </si>
  <si>
    <t>Microsoft Corporation</t>
  </si>
  <si>
    <t>On track. Budget $7.50M = Net Position $7.50M.
Driver: Tracking to plan.</t>
  </si>
  <si>
    <t>Other</t>
  </si>
  <si>
    <t>On track. Budget $53K = Net Position $53K.
Driver: Tracking to plan.</t>
  </si>
  <si>
    <t>SaferKid, Inc. (FirmScribe)</t>
  </si>
  <si>
    <t>On track. Minor variance ($150). Budget $3K vs Net Position $3K.
Driver: Tracking to plan.</t>
  </si>
  <si>
    <t>On track. Minor variance ($140). Budget $0 vs Net Position $140.
Driver: Tracking to plan.</t>
  </si>
  <si>
    <t>Verizon Wireless Services LLC</t>
  </si>
  <si>
    <t>$28K Opportunity: Wireless costs tracking favorable to budget. Budget $421K v/s Actual + Forecast $392K
Driver: Favorable budget vs actual variance.</t>
  </si>
  <si>
    <t>Zoom Video Communications, Inc.</t>
  </si>
  <si>
    <t>On track. Budget $16K = Net Position $16K.
Driver: Tracking to plan.</t>
  </si>
  <si>
    <t>Amazon Capital Services, Inc.</t>
  </si>
  <si>
    <t>On track. Budget $292 = Net Position $292.
Driver: Tracking to plan.</t>
  </si>
  <si>
    <t>General Office Expense - Refer to Concur</t>
  </si>
  <si>
    <t>Infrastructure Total</t>
  </si>
  <si>
    <t>Andersen Tax Holdings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</si>
  <si>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</si>
  <si>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$157K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</si>
  <si>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On track. Budget $2.04M = Net Position $2.04M.
Driver: Tracking to plan.</t>
  </si>
  <si>
    <t>Intelligent Business Platforms LLC</t>
  </si>
  <si>
    <t>$111K Opportunity: Budget $1.54M vs Net Position $1.43M.
YTD actuals $823K + Forecast $607K = Net Position $1.43M, which is $111K under budget.
Driver: Unbudgeted H2 extension.</t>
  </si>
  <si>
    <t>TBC - PH</t>
  </si>
  <si>
    <t>$80K - Network engineer consultant T&amp;M
Placeholder as per Leon's instructions
Driver: additional resource</t>
  </si>
  <si>
    <t>$57K Opportunity: Budget $414K vs Net Position $357K. Saving on resource replacement (Piyush $96K offset by Arif's risk $38K)
Driver: Favorable variance from resource allocation.Offset by $80K additonal resource hire</t>
  </si>
  <si>
    <t>$336K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</si>
  <si>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</si>
  <si>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$11K Opportunity: T&amp;M (1 resources) - YTD actuals tracking below forecast due to resource time off/holidays.
Driver: Resource time off/holiday driving favorable variance.</t>
  </si>
  <si>
    <t>On track. Minor variance ($243). Budget $364K vs Net Position $364K.
Driver: Tracking to plan.</t>
  </si>
  <si>
    <t>$5K Opportunity: T&amp;M (1 resources) - YTD actuals tracking below forecast due to resource time off/holidays.
Driver: Resource time off/holiday driving favorable variance.</t>
  </si>
  <si>
    <t>Cognizant Worldwide Limited</t>
  </si>
  <si>
    <t>$5K Opportunity: Cognizant T&amp;M (4 resources) - YTD actuals tracking ~10% below forecast due to resource time off/holidays.
Driver: Resource time off/holiday driving favorable variance.</t>
  </si>
  <si>
    <t>Labor/ T&amp;M Total</t>
  </si>
  <si>
    <t>On track. Budget $1.45M = Net Position $1.45M.
Driver: Tracking to plan.</t>
  </si>
  <si>
    <t>On track. Budget $277K = Net Position $277K.
Driver: Tracking to plan.</t>
  </si>
  <si>
    <t>Virteva LLC</t>
  </si>
  <si>
    <t>$73K Opportunity: Budget $190K vs Contract $180K. Revised contract at $5,950/mo (Previously $15K/mo) tracking favorable.
Driver: Contract favorable vs budget.</t>
  </si>
  <si>
    <t>NewRocket, LLC</t>
  </si>
  <si>
    <t>$4K Opportunity: NewRocket ServiceNow MS - Budget $179K vs FC $174K tracking favorable.
Driver: Favorable budget vs actual variance.</t>
  </si>
  <si>
    <t>Archetype Consulting, Inc.</t>
  </si>
  <si>
    <t>On track. Budget $100K = Net Position $100K.
Driver: Tracking to plan.</t>
  </si>
  <si>
    <t>$52K Risk: Budget $735K vs Net Position $787K.
Billed in advance for future months 
Driver: Unbudgeted resource additions.</t>
  </si>
  <si>
    <t>BWise Internal Control Inc.</t>
  </si>
  <si>
    <t>On track. BWise prepaid tracking to budget - minor $391 favorable variance.
Driver: Tracking to plan.</t>
  </si>
  <si>
    <t>MS Total</t>
  </si>
  <si>
    <t>ASX Benchmarks PTY limited</t>
  </si>
  <si>
    <t>$574 Risk: Minor actual over budget variance due to AUD currency fluctuation.
Driver: Currency variance.</t>
  </si>
  <si>
    <t>Bloomberg Finance L.P.</t>
  </si>
  <si>
    <t>$2K Opportunity: Subscription costs tracking below budget.
Driver: Favorable budget vs actual variance.</t>
  </si>
  <si>
    <t>ICE Benchmark Administration Ltd</t>
  </si>
  <si>
    <t>$400 Opportunity: Subscription tracking below budget.
Driver: Favorable budget vs actual variance.</t>
  </si>
  <si>
    <t>Norske Finansielle Referanser AS</t>
  </si>
  <si>
    <t>$17K Risk: New vendor cost not budgeted (Refinitiv data source requirement).
Driver: Unbudgeted new vendor.</t>
  </si>
  <si>
    <t>THOMSON REUTERS MARKETS LLC</t>
  </si>
  <si>
    <t>On track. Subscription tracking to budget - minor $495 variance.
Driver: Tracking to plan.</t>
  </si>
  <si>
    <t>TSX Inc.</t>
  </si>
  <si>
    <t>On track. Budget $25K = Net Position $25K.
Driver: Tracking to plan.</t>
  </si>
  <si>
    <t>PitchBook Data, Inc.</t>
  </si>
  <si>
    <t>On track. Budget $12K = Net Position $12K.
Driver: Tracking to plan.</t>
  </si>
  <si>
    <t>Fitch Solutions, Inc.</t>
  </si>
  <si>
    <t>On track. Budget $359 = Net Position $359.
Driver: Tracking to plan.</t>
  </si>
  <si>
    <t>John Spencer Total</t>
  </si>
  <si>
    <t>City of Chicago</t>
  </si>
  <si>
    <t>On track. Budget $236K = Net Position $236K.
Driver: Tracking to plan.</t>
  </si>
  <si>
    <t>New York State Department of Taxation and Finance</t>
  </si>
  <si>
    <t>On track. Budget $142K = Net Position $142K.
Driver: Tracking to plan.</t>
  </si>
  <si>
    <t>Nterone Corporation</t>
  </si>
  <si>
    <t>On track. Budget $17K = Net Position $17K.
Driver: Tracking to plan.</t>
  </si>
  <si>
    <t>T&amp;E - Refer to Concur</t>
  </si>
  <si>
    <t>$50K Opportunity: Budget $259K vs Net Position $209K.
YTD actuals $84K + Forecast $126K = Net Position $209K, which is $50K under budget.
Driver: Budget buffer.</t>
  </si>
  <si>
    <t>Amortization/Multiple</t>
  </si>
  <si>
    <t>On track. Budget $1.44M = Net Position $1.44M.
Driver: Tracking to plan.</t>
  </si>
  <si>
    <t>N/A Total</t>
  </si>
  <si>
    <t>OOE Total</t>
  </si>
  <si>
    <t>Alation Inc.</t>
  </si>
  <si>
    <t>$63K Opportunity: Alation prepaid - Budget $192K vs Actuals $171K ($22K savings) + $43K timing variance on prepaid recognition (Jan-Mar 2027).
Driver: Prepaid/timing variance.</t>
  </si>
  <si>
    <t>Cloud Navigators LLC</t>
  </si>
  <si>
    <t>On track. Budget $10K = Net Position $10K.
Driver: Tracking to plan.</t>
  </si>
  <si>
    <t>Cloud Software Group (formally Tibco)</t>
  </si>
  <si>
    <t>On track. Budget $140K = Net Position $140K.
Driver: Tracking to plan.</t>
  </si>
  <si>
    <t>$5K Opportunity: UiPath license favorable - Budget $101K vs $96K actual.
Driver: Favorable license cost vs budget.</t>
  </si>
  <si>
    <t>Datadog, Inc.</t>
  </si>
  <si>
    <t>On track. Minor variance ($593). Budget $118K vs Net Position $118K.
Driver: Tracking to plan.</t>
  </si>
  <si>
    <t>On track. Budget $1.41M = Net Position $1.41M.
Driver: Tracking to plan.</t>
  </si>
  <si>
    <t>SALESFORCE COM INC</t>
  </si>
  <si>
    <t>$2K Risk: Salesforce - Budget $52K vs FC $54K. Minor overspend on licensing.
Driver: Minor budget variance.</t>
  </si>
  <si>
    <t>On track. Budget $216K = Net Position $216K.
Driver: Tracking to plan.</t>
  </si>
  <si>
    <t>$1K Risk: Budget $1.34M vs Net Position $1.34M.
YTD actuals $13K + Forecast $1.33M = Net Position $1.34M, which is $1K over budget.
Driver: Tracking to plan.</t>
  </si>
  <si>
    <t>DigiCert, Inc.</t>
  </si>
  <si>
    <t>On track. Budget $5K = Net Position $5K.
Driver: Tracking to plan.</t>
  </si>
  <si>
    <t>Lucid Software, Inc.</t>
  </si>
  <si>
    <t>$2K Risk: Budget $28K vs Net Position $30K.
YTD actuals $28K already exceeds full-year budget. Additional forecast $2K adds to overage.
Driver: Tracking to plan.</t>
  </si>
  <si>
    <t>$325K Risk: Microsoft D365 F&amp;O/CRM - true-up costs higher than budgeted. Renewed 6/1/26 with anniversary date true-up.
Driver: True-up costs exceeding budget.</t>
  </si>
  <si>
    <t>Monday.com Ltd</t>
  </si>
  <si>
    <t>$2K Opportunity: Monday.com favorable savings
Driver: Prepaid/timing variance.</t>
  </si>
  <si>
    <t>$101K Risk: Additional ServiceNow licenses ($101K) absorbed by IT - was to be charged to Cybersecurity per Danny's email, but IT now bears the cost.
Driver: Cost absorption from Cybersecurity budget.</t>
  </si>
  <si>
    <t>SonarSource SA</t>
  </si>
  <si>
    <t>VPMA Global Services LLC</t>
  </si>
  <si>
    <t>On track. Budget $62K = Net Position $62K.
Driver: Tracking to plan.</t>
  </si>
  <si>
    <t>Allvue Systems, LLC</t>
  </si>
  <si>
    <t>$86K Risk: CPI increase + tax component not budgeted in original estimate.
Driver: CPI increase and tax not budgeted.</t>
  </si>
  <si>
    <t>CME Group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</si>
  <si>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</si>
  <si>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</si>
  <si>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G Treasury SS, LLC</t>
  </si>
  <si>
    <t>$41K Risk: Unbudgeted Solvexia Bank Reconciliation ImplementationFees
Driver: Unplanned cost</t>
  </si>
  <si>
    <t>HSO Enterprise Solutions LLC</t>
  </si>
  <si>
    <t>$600 Opportunity: Minor favorable spend.
Driver: Favorable budget vs actual variance.</t>
  </si>
  <si>
    <t>On track. Budget $116K = Net Position $116K.
Driver: Tracking to plan.</t>
  </si>
  <si>
    <t>Macabacus, Inc.</t>
  </si>
  <si>
    <t>On track. Minor variance ($442). Budget $3K vs Net Position $3K.
Driver: Tracking to plan.</t>
  </si>
  <si>
    <t>$114K Opportunity: Budget $3.50M vs Net Position $3.39M.
Web cost budgeted for full year, migration from web to hosting from September. To be offset by risk in FPC category
Driver: Overusage chargeback from prior year.</t>
  </si>
  <si>
    <t>OneStream Software, LLC</t>
  </si>
  <si>
    <t>$14K Opportunity: Budget vs actuals favorable (prepaid).
Driver: Favorable budget vs actual variance.</t>
  </si>
  <si>
    <t>Oracle America, Inc.</t>
  </si>
  <si>
    <t>On track. Budget $8K = Net Position $8K.
Driver: Tracking to plan.</t>
  </si>
  <si>
    <t>PactFi Inc.</t>
  </si>
  <si>
    <t>$133K Risk: Contract $544K vs $411K POC budget. To be capitalized in Q2.
Driver: Contract exceeds POC budget.</t>
  </si>
  <si>
    <t>Inogic Tech India Private Limited</t>
  </si>
  <si>
    <t>On track. Budget $1K = Net Position $1K.
Driver: Tracking to plan.</t>
  </si>
  <si>
    <t>Siemens Industry Software, Inc.</t>
  </si>
  <si>
    <t>On track. Budget $39K = Net Position $39K.
Driver: Tracking to plan.</t>
  </si>
  <si>
    <t>SS&amp;C GIDS, Inc.</t>
  </si>
  <si>
    <t>On track. Budget $175K = Net Position $175K.
Driver: Tracking to plan.</t>
  </si>
  <si>
    <t>Broadridge Output  Solutions</t>
  </si>
  <si>
    <t>On track. Budget $1.21M = Net Position $1.21M.
Driver: Tracking to plan.</t>
  </si>
  <si>
    <t>FinDox Inc.</t>
  </si>
  <si>
    <t>On track. Budget $239K = Net Position $239K.
Driver: Tracking to plan.</t>
  </si>
  <si>
    <t>Sky Road</t>
  </si>
  <si>
    <t>On track. Budget $160K = Net Position $160K.
Driver: Tracking to plan.</t>
  </si>
  <si>
    <t>SuperTrader, Inc.</t>
  </si>
  <si>
    <t>On track. Budget $187K = Net Position $188K.
Driver: Tracking to plan.</t>
  </si>
  <si>
    <t>BroadVantage</t>
  </si>
  <si>
    <t>On track. Budget $50K = Net Position $50K.
Driver: Tracking to plan.</t>
  </si>
  <si>
    <t>$2K Opportunity: Budget $99K vs Net Position $97K.
YTD actuals $49K + Forecast $49K = Net Position $97K, which is $2K under budget.
Driver: Tracking to plan.</t>
  </si>
  <si>
    <t>ClickTime.com Inc.</t>
  </si>
  <si>
    <t>On track. Budget $33K = Net Position $33K.
Driver: Tracking to plan.</t>
  </si>
  <si>
    <t>CloudFlare</t>
  </si>
  <si>
    <t>Equisolve, Inc.</t>
  </si>
  <si>
    <t>On track. Budget $49K = Net Position $49K.
Driver: Tracking to plan.</t>
  </si>
  <si>
    <t>Incloud, LLC</t>
  </si>
  <si>
    <t>On track. Budget $90K = Net Position $90K.
Driver: Tracking to plan.</t>
  </si>
  <si>
    <t>Litera</t>
  </si>
  <si>
    <t>OpenAI, L.L.C. (“OpenAI”)</t>
  </si>
  <si>
    <t>$13K Risk: Unbudgeted Tax
Driver: Minor budget variance.</t>
  </si>
  <si>
    <t>RFPIO INC. (Responsive)</t>
  </si>
  <si>
    <t>$3K Opportunity: Actuals below budget.
Driver: Favorable budget vs actual variance.</t>
  </si>
  <si>
    <t>Seismic Software Inc.</t>
  </si>
  <si>
    <t>On track. Budget $139K = Net Position $139K.
Driver: Tracking to plan.</t>
  </si>
  <si>
    <t>Smarsh Inc.</t>
  </si>
  <si>
    <t>On track. Budget $70K = Net Position $70K.
Driver: Tracking to plan.</t>
  </si>
  <si>
    <t>Workday, Inc.</t>
  </si>
  <si>
    <t>On track. Budget $441K = Net Position $441K.
Driver: Tracking to plan.</t>
  </si>
  <si>
    <t>Software Total</t>
  </si>
  <si>
    <t>Sum of Jan-Jun Actuals</t>
  </si>
  <si>
    <t>Sum of Forecast Jul-Dec</t>
  </si>
  <si>
    <t>Labor</t>
  </si>
  <si>
    <t>Non-Labor</t>
  </si>
  <si>
    <t>Concur</t>
  </si>
  <si>
    <t>PH - Other</t>
  </si>
  <si>
    <t>PH-TBC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</si>
  <si>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</si>
  <si>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</si>
  <si>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</si>
  <si>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</si>
  <si>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</si>
  <si>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</si>
  <si>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</si>
  <si>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</si>
  <si>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</si>
  <si>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</si>
  <si>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</si>
  <si>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</si>
  <si>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</si>
  <si>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</si>
  <si>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</si>
  <si>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</si>
  <si>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Opportunity</t>
  </si>
  <si>
    <t>2026 Risk</t>
  </si>
  <si>
    <t>Notes</t>
  </si>
  <si>
    <t>Jan FC</t>
  </si>
  <si>
    <t>Feb FC</t>
  </si>
  <si>
    <t>Mar FC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</si>
  <si>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</si>
  <si>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</si>
  <si>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</si>
  <si>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</si>
  <si>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</si>
  <si>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</si>
  <si>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</si>
  <si>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</si>
  <si>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</si>
  <si>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Total - FC</t>
  </si>
  <si>
    <t>Jul-Dec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</si>
  <si>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</si>
  <si>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</si>
  <si>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</si>
  <si>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</si>
  <si>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</si>
  <si>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</si>
  <si>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</si>
  <si>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</si>
  <si>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</si>
  <si>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</si>
  <si>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</si>
  <si>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</si>
  <si>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Total Actuals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</si>
  <si>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</si>
  <si>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</si>
  <si>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</si>
  <si>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</si>
  <si>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</si>
  <si>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</si>
  <si>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</si>
  <si>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</si>
  <si>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</si>
  <si>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</si>
  <si>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</si>
  <si>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</si>
  <si>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</si>
  <si>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Notes - Swati</t>
  </si>
  <si>
    <t>Jan-Jun Actuals</t>
  </si>
  <si>
    <t>Pending Jan-Jun</t>
  </si>
  <si>
    <t>Forecast Jul-Dec</t>
  </si>
  <si>
    <t>Non-Comitted</t>
  </si>
  <si>
    <t>Contract</t>
  </si>
  <si>
    <t>Microsoft D365 F&amp;O and CRM</t>
  </si>
  <si>
    <t>Prj000350</t>
  </si>
  <si>
    <t>Support - Infrastructure for Tech</t>
  </si>
  <si>
    <t>Infrastructure Services, Controls &amp; User Enablement</t>
  </si>
  <si>
    <t>CRM Lic</t>
  </si>
  <si>
    <t>Information Technology</t>
  </si>
  <si>
    <t>Software - Licenses</t>
  </si>
  <si>
    <t>Annual Prepaid</t>
  </si>
  <si>
    <t>Renewed 6/1/25, anniversary date true-up-CRM (Prepaid)</t>
  </si>
  <si>
    <t>F&amp;O Lic</t>
  </si>
  <si>
    <t>Renewed 6/1/25, anniversary date true-up-F&amp;O (Prepaid)</t>
  </si>
  <si>
    <t>event driven</t>
  </si>
  <si>
    <t>Prj000266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</si>
  <si>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</si>
  <si>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</si>
  <si>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</si>
  <si>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</si>
  <si>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</si>
  <si>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</si>
  <si>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</si>
  <si>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>$100K not to be utilised as per Leon's instructions, CHANGE</t>
  </si>
  <si>
    <t>Concur project reimbursement cost can't be predicted, hence buffer kept in Dec. Estimated H2 is $147500</t>
  </si>
  <si>
    <t>Prj000344</t>
  </si>
  <si>
    <t>Support - Prod support for Finance Applications</t>
  </si>
  <si>
    <t>Finance &amp; Treasury Technology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</si>
  <si>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</si>
  <si>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</si>
  <si>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</si>
  <si>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</si>
  <si>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</si>
  <si>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</si>
  <si>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Budget v/s Actuals, additional work for April'26 invoiced in May</t>
  </si>
  <si>
    <t>Control M</t>
  </si>
  <si>
    <t>Annual Expensed</t>
  </si>
  <si>
    <t>Managed Service - Core</t>
  </si>
  <si>
    <t>Support Services</t>
  </si>
  <si>
    <t>Potential Opportunity</t>
  </si>
  <si>
    <t>Potential Opp.</t>
  </si>
  <si>
    <t>Prj000603</t>
  </si>
  <si>
    <t>Implement - Cash Matching Recon Solution</t>
  </si>
  <si>
    <t>Solvexia Bank Reconciliation ImplementationFees</t>
  </si>
  <si>
    <t>New risk, unbudgeted - cash matching Gtreausry</t>
  </si>
  <si>
    <t>LevPro</t>
  </si>
  <si>
    <t>Prj000290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</si>
  <si>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</si>
  <si>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</si>
  <si>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</si>
  <si>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</si>
  <si>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</si>
  <si>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</si>
  <si>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This cost is not fixed and will be fluctuating per month,</t>
  </si>
  <si>
    <t>Managed Service - Network</t>
  </si>
  <si>
    <t>Network Managed Services (Network Operation Centre (NOC))</t>
  </si>
  <si>
    <t>Budget v/s Actuals, revised rate as per new contract, ad hoc 240/hr charge for engeenering support part of contract</t>
  </si>
  <si>
    <t>MS Network</t>
  </si>
  <si>
    <t xml:space="preserve">  </t>
  </si>
  <si>
    <t>Budget v/s Actuals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</si>
  <si>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</si>
  <si>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</si>
  <si>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</si>
  <si>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</si>
  <si>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</si>
  <si>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</si>
  <si>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</si>
  <si>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</si>
  <si>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</si>
  <si>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Prj000381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</si>
  <si>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</si>
  <si>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</si>
  <si>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</si>
  <si>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</si>
  <si>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</si>
  <si>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</si>
  <si>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Prj000426</t>
  </si>
  <si>
    <t>Implement - Minor Enhancements for Sales</t>
  </si>
  <si>
    <t>Asset Management Technology &amp; Data Services</t>
  </si>
  <si>
    <t>2 Yrs yr1 11845 (paid in 2025) &amp; yr2 12200 (to be paid in 2026)</t>
  </si>
  <si>
    <t>Sales VAT Tax</t>
  </si>
  <si>
    <t>HST &amp; sales VAT tax</t>
  </si>
  <si>
    <t>Sales Tax VAT</t>
  </si>
  <si>
    <t>Sales Tax Expense</t>
  </si>
  <si>
    <t>Parked for 2026 Sales Tax</t>
  </si>
  <si>
    <t>Nterone</t>
  </si>
  <si>
    <t>Training/Seminars/Conference Spend</t>
  </si>
  <si>
    <t>External Training</t>
  </si>
  <si>
    <t>Prj000403</t>
  </si>
  <si>
    <t>Support - L2 CoE Management for Tech Horizontals</t>
  </si>
  <si>
    <t>Tech Shared Services</t>
  </si>
  <si>
    <t>L2 SOW FPC</t>
  </si>
  <si>
    <t>L2 SOW FPC, CHANGE</t>
  </si>
  <si>
    <t>L2 DBA resource starting July 1 to expand coverage</t>
  </si>
  <si>
    <t>T&amp;M</t>
  </si>
  <si>
    <t/>
  </si>
  <si>
    <t>D365 CRM</t>
  </si>
  <si>
    <t>RTB- T&amp;M</t>
  </si>
  <si>
    <t>Budget v/s Actuals, allocations are based on capacity planning forecast</t>
  </si>
  <si>
    <t>1Rivet</t>
  </si>
  <si>
    <t>Support SOW + Desktop Support- T&amp;M, QA is not part of our budget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</si>
  <si>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</si>
  <si>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</si>
  <si>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Crossfuze</t>
  </si>
  <si>
    <t>Prj000467</t>
  </si>
  <si>
    <t>Support - Enterprise Tech Helpdesk</t>
  </si>
  <si>
    <t>Revised contract - $5950/pm from June previously $15K/pm, new contract aligns more with cost as per actual consumption</t>
  </si>
  <si>
    <t>Prj000404</t>
  </si>
  <si>
    <t>Support - QA CoE Management for Tech Horizontals</t>
  </si>
  <si>
    <t>QA SOW FPC</t>
  </si>
  <si>
    <t>QA SOW FPC - [KA - Feb23] - Updated forecast from Mar to Dec based on the new contract that superseeded the original one, CHANGE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</si>
  <si>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</t>
  </si>
  <si>
    <t>T&amp;M - [KA - Feb 23] - Forcast updated from Feb to Dec, based on Raymond's exit. This T&amp;M forecast is adjusted in the new QA contract. Adjusted monthly rate starting Apr based on Shanky's exit</t>
  </si>
  <si>
    <t>Raymonds exit gave 26k T&amp;M oppurtunity since Feb but QA resources were hired at same cost, QA book work reallocation from L1/L2 support per new QA contract that superseded original.</t>
  </si>
  <si>
    <t>Opp offset with 1Rivet risk (Swati replacinf Shanky) + Budget v/s Actuals</t>
  </si>
  <si>
    <t>New UAT hired, New 2026 BoW utilised, WSO</t>
  </si>
  <si>
    <t>New UAT lead Anand, WSO placeholder utilised</t>
  </si>
  <si>
    <t>Centry CLO</t>
  </si>
  <si>
    <t>License</t>
  </si>
  <si>
    <t>Software - Core</t>
  </si>
  <si>
    <t>Quarterly Prepaid</t>
  </si>
  <si>
    <t>Quarterly Prepaid, Manor park license fees unbudgeted</t>
  </si>
  <si>
    <t>Budget v/s Actuals, ends this year will be renewed next year for half the cost of this year</t>
  </si>
  <si>
    <t>LIQ</t>
  </si>
  <si>
    <t>Prj000469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</si>
  <si>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</si>
  <si>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</si>
  <si>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</si>
  <si>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</si>
  <si>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Sales tax unbudgeted + actual over budget estimated</t>
  </si>
  <si>
    <t>IVP</t>
  </si>
  <si>
    <t>Prj000458</t>
  </si>
  <si>
    <t>Support - Data Analytics Office</t>
  </si>
  <si>
    <t>Enterprise Architecture, Data Analytics &amp; AI</t>
  </si>
  <si>
    <t>Polaris/EDM/SecMast Core</t>
  </si>
  <si>
    <t>IVP EDM, Polaris, Security Master Year 3 SaaS Fees/ Production License Fee + Annual Consulting Fee for IVP EDM, Polaris, Security Master-Prepaid</t>
  </si>
  <si>
    <t>Prj000548</t>
  </si>
  <si>
    <t>Implement - Reporting for Internal Audit</t>
  </si>
  <si>
    <t>Polaris/EDM/SecMast Hosting</t>
  </si>
  <si>
    <t>Polaris/EDM/SecMast- Prod. &amp; UAT Hosting Fee-Prepaid till Jun2026, to be renewed post Jun2026</t>
  </si>
  <si>
    <t>Polaris/EDM/SecMast- Disaster Recovery Hosting Fee-Prepaid till Apr2027, to be renewed post Apr2027</t>
  </si>
  <si>
    <t>Prj000446</t>
  </si>
  <si>
    <t>Implement - Minor Enhancements for Enterprise Apps</t>
  </si>
  <si>
    <t>Workday</t>
  </si>
  <si>
    <t>Misposting PREPAID in 2025; paid $419,687/- in Mar2025. Renewed as Prepaid in Mar 2026.-Added opportunity in Dec for extra support work as rec. my Melissa</t>
  </si>
  <si>
    <t>Extra added in Dec for extra support work requested by Melissa</t>
  </si>
  <si>
    <t>Monthly Incremental</t>
  </si>
  <si>
    <t>Monthly Incremental - Potential Opportunity-Monthly Incremental - Potential Opportunity</t>
  </si>
  <si>
    <t>Fluctuation per month, Dec has buffer</t>
  </si>
  <si>
    <t>Prj000342</t>
  </si>
  <si>
    <t>Support - Site Reliability Engineering for Tech</t>
  </si>
  <si>
    <t>MS Cloud</t>
  </si>
  <si>
    <t>Managed Service - Cloud</t>
  </si>
  <si>
    <t>3 YR $16MM Commitment;
Potential Incremental spend for Project Evolution-MS Cloud</t>
  </si>
  <si>
    <t>Fluctuation per month, Risk adjusted in Dec</t>
  </si>
  <si>
    <t>SAI360</t>
  </si>
  <si>
    <t>Software License</t>
  </si>
  <si>
    <t>Prepaid-Risk Management - Enterprise+Internal Audit - Enterprise+Internal Controls - Enterprise</t>
  </si>
  <si>
    <t>Budget v/s actuals, Actual invoice less then budgeted</t>
  </si>
  <si>
    <t>CDW (b)</t>
  </si>
  <si>
    <t>NCE M365 Jan - Dec Mthly Invoice</t>
  </si>
  <si>
    <t>NCE M365 E5</t>
  </si>
  <si>
    <t>Microsoft 365 E5 &amp; Teams Room Pro, Jan has invoices received late in July for 2025</t>
  </si>
  <si>
    <t>Proofpoint</t>
  </si>
  <si>
    <t>Proofpoint Sftwr, paid in 2025. To be renewed in Q3/Q4 2026</t>
  </si>
  <si>
    <t>proofpoint patrol for organisation</t>
  </si>
  <si>
    <t>CDW Microsoft (a)</t>
  </si>
  <si>
    <t>Syskit Point</t>
  </si>
  <si>
    <t>Syskit Point Sftwr</t>
  </si>
  <si>
    <t>Prj000358</t>
  </si>
  <si>
    <t>Support - Security Operations for Cybersecurity</t>
  </si>
  <si>
    <t>Misc Other Software - New Joiners-Potential Opp</t>
  </si>
  <si>
    <t>Cloud Navigator</t>
  </si>
  <si>
    <t>IAM Cloud – Cloud Drive Mapper Corporate 300 users - 1 year</t>
  </si>
  <si>
    <t>Maybe an opportunity unless any further contract pending</t>
  </si>
  <si>
    <t>FinDox is now Octus</t>
  </si>
  <si>
    <t>FinDox Core</t>
  </si>
  <si>
    <t>Annual Software</t>
  </si>
  <si>
    <t>Total contract - 342k IT cost 232k recharge to Liquid Credit 109k</t>
  </si>
  <si>
    <t>Saving on budget v/s actual, prepaid cost of 232k expected for 12 months. Kindly spread for 9 months, total 342k our cost 232k, 109k is of liquid credit team</t>
  </si>
  <si>
    <t>AKA Enterprises</t>
  </si>
  <si>
    <t>Ontra</t>
  </si>
  <si>
    <t>Ontra / Insight Funds</t>
  </si>
  <si>
    <t>Prepaid in 2025-confirm if IT is taking this cost in 2026</t>
  </si>
  <si>
    <t>Recon, this annual cost was projected at 96K but actuals cost was 101k since over threshold it is spread over 12 months as prepaid from May'26-Apr'26 in accounting records</t>
  </si>
  <si>
    <t>Prepaid, to be deferred</t>
  </si>
  <si>
    <t>ExpMgr Hositng</t>
  </si>
  <si>
    <t>ExpMgr</t>
  </si>
  <si>
    <t>Navigate</t>
  </si>
  <si>
    <t>Maplytics</t>
  </si>
  <si>
    <t>Prj000427</t>
  </si>
  <si>
    <t>Implement - Minor Enhancements for Marketing</t>
  </si>
  <si>
    <t>Lucid Software</t>
  </si>
  <si>
    <t>Prj000410</t>
  </si>
  <si>
    <t>Support - Tech Enablement 2026</t>
  </si>
  <si>
    <t>Lucidscale Team / Suite</t>
  </si>
  <si>
    <t xml:space="preserve">  Lucid Suite</t>
  </si>
  <si>
    <t xml:space="preserve">  Lucid Suite and Cloud Accelerator</t>
  </si>
  <si>
    <t>Unbudgeted tax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</si>
  <si>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</si>
  <si>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</si>
  <si>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</si>
  <si>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</si>
  <si>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</si>
  <si>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</si>
  <si>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Renewed 6/1/25, anniversary date true-up-Entpr Lic (Prepaid)</t>
  </si>
  <si>
    <t>Monday.com</t>
  </si>
  <si>
    <t>Management Enterprise 600 Seats</t>
  </si>
  <si>
    <t>Paid as Prepaid in 2025; to be renewed in 2026-Paid as Prepaid in 2025; to be renewed in 2026</t>
  </si>
  <si>
    <t>ServiceNow Liac</t>
  </si>
  <si>
    <t>ServiceNow Agile Team + Various</t>
  </si>
  <si>
    <t>Software License 1</t>
  </si>
  <si>
    <t>Prepaid in 2025; to be renewed in Dec 2026-Prepaid in 2025; to be renewed in Dec 2026</t>
  </si>
  <si>
    <t>This was to be charged back to Cyber, but now tech has to bear the cost. Danny's email is proof</t>
  </si>
  <si>
    <t>ServiceNow Security Operations Enterprise - VR NRUSCINV-000450</t>
  </si>
  <si>
    <t>Amount per Invoice</t>
  </si>
  <si>
    <t>Paid for 2025 in Dec 2024, need to renew in 2026-Paid for 2025 in Dec 2024, need to renew in 2026</t>
  </si>
  <si>
    <t>Strategic Portfolio Management (SPM) Pro</t>
  </si>
  <si>
    <t>Software License 3</t>
  </si>
  <si>
    <t>Strategic Portfolio Management (SPM) Pro, paid in Dec2025, to be renewed in Dec2026-Strategic Portfolio Management (SPM) Pro, paid in Dec2025, to be renewed in Dec2026</t>
  </si>
  <si>
    <t>Oracle</t>
  </si>
  <si>
    <t xml:space="preserve">Oracle Java </t>
  </si>
  <si>
    <t>LIQ Java</t>
  </si>
  <si>
    <t>Responsive</t>
  </si>
  <si>
    <t>Salesforce</t>
  </si>
  <si>
    <t>Tableau Creator (5) + Viewer (40) + Explorer (10)</t>
  </si>
  <si>
    <t>SAAS Lics</t>
  </si>
  <si>
    <t>Mendix</t>
  </si>
  <si>
    <t>Wealth Distribution Tool (Vendor TBD)</t>
  </si>
  <si>
    <t>Walletshare Alts</t>
  </si>
  <si>
    <t>Walletshare renews Sep2026, Set as Prepaid in 2025-Walletshare renews Sep2026, Set as Prepaid in 2025</t>
  </si>
  <si>
    <t>Sonarsource</t>
  </si>
  <si>
    <t>SHI</t>
  </si>
  <si>
    <t>Quest Software &amp; Maintenance</t>
  </si>
  <si>
    <t>Quest Software- One Identity-Cost of Quest Sofware for 2 years - material diff if we renew for 1 vs 2 yrs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</si>
  <si>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</si>
  <si>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</si>
  <si>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</si>
  <si>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</si>
  <si>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</si>
  <si>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</si>
  <si>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</si>
  <si>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</si>
  <si>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UiPath Sftwr-UiPath Sftwr</t>
  </si>
  <si>
    <t>Smarsh</t>
  </si>
  <si>
    <t>Levpro</t>
  </si>
  <si>
    <t>estimated</t>
  </si>
  <si>
    <t>Software (Prepaid)</t>
  </si>
  <si>
    <t>Digicert</t>
  </si>
  <si>
    <t>DataDog</t>
  </si>
  <si>
    <t>Sftwr- Potential Risk to look for</t>
  </si>
  <si>
    <t>Budget v/s actuals</t>
  </si>
  <si>
    <t>Sftwr- Mis-posting Prepaid</t>
  </si>
  <si>
    <t>ClickTime</t>
  </si>
  <si>
    <t>Renewed/ paid in Dec2025, to be renewed in Dec2026-Renewed/ paid in Dec2025, to be renewed in Dec2026</t>
  </si>
  <si>
    <t>15% - Chicago Personal Property Lease Transaction Tax (PPLTT)</t>
  </si>
  <si>
    <t>Think-Cell</t>
  </si>
  <si>
    <t>Think-cell parnership</t>
  </si>
  <si>
    <t>Think Cell</t>
  </si>
  <si>
    <t>Thinkcell renewal higher than budgted</t>
  </si>
  <si>
    <t>TIBCO Spotfire</t>
  </si>
  <si>
    <t>Spotfire</t>
  </si>
  <si>
    <t>Production</t>
  </si>
  <si>
    <t>Paid as prepaid in 2025, to be renewed in Aug/Sep 2026</t>
  </si>
  <si>
    <t>Potential Opp.- we moved to Equisolve to host our website</t>
  </si>
  <si>
    <t>Litera Compare Desktop</t>
  </si>
  <si>
    <t>Alation</t>
  </si>
  <si>
    <t>Contract is Apr-Mar Budegetd 26 - 191K v/s Actual 172K</t>
  </si>
  <si>
    <t>$43K is prepaid for Jan-Mar 2027, actual saving is $19K budet vs actuals</t>
  </si>
  <si>
    <t>BoardVantage</t>
  </si>
  <si>
    <t>Software for Board of Directors - Potential Opportunity - No activity in 2025 as well</t>
  </si>
  <si>
    <t>Modelling fees</t>
  </si>
  <si>
    <t>No cost noted in Mar &amp; Apr</t>
  </si>
  <si>
    <t>TBC with Danny</t>
  </si>
  <si>
    <t>Comprised of 7 different invoices - SmartNet, Prisma and PA until Jul'25; New Price effective Aug'25 for 5 yr contract
5 years starting Aug is only Prisma and PA. No SmartNet.</t>
  </si>
  <si>
    <t>Polaris/EDM/SecMast Core l2</t>
  </si>
  <si>
    <t>Managed Services</t>
  </si>
  <si>
    <t>IVP L2 Tech MS</t>
  </si>
  <si>
    <t>Budget v/s Actuals, incremental recon hosting fees CPI -5.3% since May</t>
  </si>
  <si>
    <t>Data MS</t>
  </si>
  <si>
    <t>Data Managed Srvc</t>
  </si>
  <si>
    <t>Fees for additional security for the month of Apr'26 in June invoice</t>
  </si>
  <si>
    <t>Errouneously paid by BDC CC -32K, Incremental spend 20K-LoungeLizard budget transferred to Equisolve</t>
  </si>
  <si>
    <t>Addditional work - Site Refresh in March $9.9K &amp; Form modification in April $195</t>
  </si>
  <si>
    <t>S&amp;P Global</t>
  </si>
  <si>
    <t>RISK AUM-Potential Dec. Opp WSO</t>
  </si>
  <si>
    <t>WSO Web service + Orion CLO + Levpro implementation $10k in March</t>
  </si>
  <si>
    <t>MS Core, Co-pilot, Azure-Prepaid, renewed in June at $687K 1 year</t>
  </si>
  <si>
    <t>Renewal at $687K from June26-May-27, paid upfront</t>
  </si>
  <si>
    <t>Infra Svcs &amp; User Enblt Tech</t>
  </si>
  <si>
    <t>Prj Mgmt T&amp;M</t>
  </si>
  <si>
    <t>T&amp;M IVP Mgmt (TOM)- Rahul &amp; Vaibhav + 2</t>
  </si>
  <si>
    <t>Budgeted only for 2 headcount, actual contract was signed for 4 headcounts</t>
  </si>
  <si>
    <t>Prj000472</t>
  </si>
  <si>
    <t>Implement - Build Pipes from CORE Systems to IVP</t>
  </si>
  <si>
    <t>Polaris/EDM/SecMast Core Implementation</t>
  </si>
  <si>
    <t>RTB- FPC</t>
  </si>
  <si>
    <t>FPC- IVP Implementation Post Contract - Capitalizable-160K per month from Jan to June 2026 - Capitalizable</t>
  </si>
  <si>
    <t>Y</t>
  </si>
  <si>
    <t>Intellibus</t>
  </si>
  <si>
    <t>CTB- T&amp;M</t>
  </si>
  <si>
    <t>Consulting</t>
  </si>
  <si>
    <t>Consulting Change the Business</t>
  </si>
  <si>
    <t>T&amp;M - Intellibus</t>
  </si>
  <si>
    <t>FPC TBD Dependent on Investor Reporting Integration into Seismic - Prepaid</t>
  </si>
  <si>
    <t>Capitalization</t>
  </si>
  <si>
    <t>Software Capitalization</t>
  </si>
  <si>
    <t>CTB- FPC</t>
  </si>
  <si>
    <t>Software Cap</t>
  </si>
  <si>
    <t>Management cap on Capitalized Software</t>
  </si>
  <si>
    <t>Capitalisation target</t>
  </si>
  <si>
    <t>Amortization</t>
  </si>
  <si>
    <t>Hosting Agreement Amortization</t>
  </si>
  <si>
    <t>Amortization - Capitalized costs for hosting arrangements</t>
  </si>
  <si>
    <t>Amortisation expense relating to pre-2025 capitalised costs was missed from budget. We recommend offsetting this gap against a placeholder., CHANGE</t>
  </si>
  <si>
    <t>All the amortization lines have been merged to one, source is capitalization schedule shared by Darlene. This risk could be setoff againt PH and any other opp on YTD</t>
  </si>
  <si>
    <t>PactFi Annual Platform Fee</t>
  </si>
  <si>
    <t>Year 1 of 3: 1/26/26 to 1/25/27 - Capitalizable</t>
  </si>
  <si>
    <t>ACC Business</t>
  </si>
  <si>
    <t>Network</t>
  </si>
  <si>
    <t>We are trying to get the invoices from vendor, incorporate new contract</t>
  </si>
  <si>
    <t>In CAD</t>
  </si>
  <si>
    <t>Office Exp / Supplies / Misc Software</t>
  </si>
  <si>
    <t>Office Exp / Supplies / Misc Software/ Printing/ Photocopying/ Stationery</t>
  </si>
  <si>
    <t>AI Budget reclass pending</t>
  </si>
  <si>
    <t>Claude purchased by Danny for AI Initiative $6495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</si>
  <si>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</si>
  <si>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</si>
  <si>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</si>
  <si>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</si>
  <si>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</si>
  <si>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Webex service  has been cancelled in Dec'25, confirmed by Danny</t>
  </si>
  <si>
    <t>in AUD</t>
  </si>
  <si>
    <t>LSEG / Refinitive</t>
  </si>
  <si>
    <t>Market Data</t>
  </si>
  <si>
    <t>Hardware - Desktop Equipment</t>
  </si>
  <si>
    <t>Budget v/s Actuals, Techsmith renewal for 1 year included in April</t>
  </si>
  <si>
    <t>Papercut SaaS Maintenance</t>
  </si>
  <si>
    <t>Not part of original budget; risk added, category updated from software to hardware since laptop purchase, Unplanned expansion not budgeted by HR and Tech, CHANGE</t>
  </si>
  <si>
    <t>Surface laptop 7, Logitech keyboard and Mouse, Starlite Cable, Monitor unbudgeted, 3 laptops to be charged back to Private Credit</t>
  </si>
  <si>
    <t>Variable Monthly Usage</t>
  </si>
  <si>
    <t>Variable Monthly Usage - Not budgeted</t>
  </si>
  <si>
    <t>Hard Risk, unbudgeted</t>
  </si>
  <si>
    <t>CHANGE</t>
  </si>
  <si>
    <t>Prj000228</t>
  </si>
  <si>
    <t>Implement - Portfolio Optimization Tool for LC</t>
  </si>
  <si>
    <t>Capitalizable</t>
  </si>
  <si>
    <t>Prj000556</t>
  </si>
  <si>
    <t>Implement - QA CoE to Additional Platforms</t>
  </si>
  <si>
    <t>New 2026 BoW</t>
  </si>
  <si>
    <t>New 2026 BoW, CHANGE</t>
  </si>
  <si>
    <t>Utilised as per instruction from Leon</t>
  </si>
  <si>
    <t>Prj000353</t>
  </si>
  <si>
    <t>Implement - L1/L2 CoE for Additional Platforms</t>
  </si>
  <si>
    <t>Placeholder funds for new initiatives have been forecasted as per Leon's instruction for utilisation and potential opportunities</t>
  </si>
  <si>
    <t>Prj000489</t>
  </si>
  <si>
    <t>Implement - Strategic Modules for LIQ</t>
  </si>
  <si>
    <t>New 2026 BoW (Capitalizable)</t>
  </si>
  <si>
    <t>Prj000482</t>
  </si>
  <si>
    <t>Implement - WSO Own Instance (AM)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</si>
  <si>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</si>
  <si>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</si>
  <si>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</si>
  <si>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</si>
  <si>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WSO Migration – IVP Apps Integration, New 2026 BoW utilised</t>
  </si>
  <si>
    <t>New FPC &amp; T&amp;M contract with IVP for WSO Migration, we have allocated unutilised funds from Markit to this contract and not considered this as risk</t>
  </si>
  <si>
    <t>Prj000211</t>
  </si>
  <si>
    <t>Implement - WSO Balance Sheet Mig &amp; Reporting</t>
  </si>
  <si>
    <t>New 2026 BoW (Capitalizable)  Full opportunity as per Leon</t>
  </si>
  <si>
    <t>Prj000477</t>
  </si>
  <si>
    <t>Implement - Odyssey Reporting &amp; Exception Mgmt</t>
  </si>
  <si>
    <t>New FPC BOW</t>
  </si>
  <si>
    <t>New 2026 BoW (Capitalizable), CHANGE</t>
  </si>
  <si>
    <t>New 2026 BoW full opportunity as per Leon</t>
  </si>
  <si>
    <t>Prj000447</t>
  </si>
  <si>
    <t>Implement - Minor Enhancements SNOW - Phase 2</t>
  </si>
  <si>
    <t>ServiceNow</t>
  </si>
  <si>
    <t>Monthly SOW</t>
  </si>
  <si>
    <t>Prj000476</t>
  </si>
  <si>
    <t>Implement - Reporting to Support DGC</t>
  </si>
  <si>
    <t>Tableau Licenses</t>
  </si>
  <si>
    <t>Paid till Mar2026, might need till 03/2027- Capitalizable</t>
  </si>
  <si>
    <t>Prj000402</t>
  </si>
  <si>
    <t>Implement - Minor Enhancements for Data Services</t>
  </si>
  <si>
    <t>Prj000278</t>
  </si>
  <si>
    <t>Implement - Fund Acctn Modules to Support BS Transition</t>
  </si>
  <si>
    <t>Prj000296</t>
  </si>
  <si>
    <t>Support - PMO Governance &amp; Reporting Activities</t>
  </si>
  <si>
    <t>Unbudgeted tax, new 2026 bow utilised</t>
  </si>
  <si>
    <t>ChatGPT Enterprise - 250 License| 500 credits / seat / month Period: Jun 18, 2026 - Jun 17, 2027</t>
  </si>
  <si>
    <t>T&amp;M- Implementing CoE for L1/L2 Platforms, new 2026 bow, offset with amortisation, CHANGE</t>
  </si>
  <si>
    <t>Changed from T&amp;M to FPC as per Shanky's KT, March billing to decide final Opp/Risk</t>
  </si>
  <si>
    <t>New 2026 BoW (batch orchestraion work)</t>
  </si>
  <si>
    <t>2026 Laptops - Danny- Risk</t>
  </si>
  <si>
    <t>New laptops, unbudgeted</t>
  </si>
  <si>
    <t>BMS</t>
  </si>
  <si>
    <t>Prepaid 2026</t>
  </si>
  <si>
    <t>OneStream</t>
  </si>
  <si>
    <t>S&amp;P Global/ WSO</t>
  </si>
  <si>
    <t>WSO Web Services - Subs/ WSO Web/AUM/SubVar- Potential Risk</t>
  </si>
  <si>
    <t>Unbudgeted risk for 2025 AUM Overusage to be charged back to Operations $232,488/-</t>
  </si>
  <si>
    <t>T&amp;M-T&amp;M</t>
  </si>
  <si>
    <t>T&amp;M- H2-2026 Risk unbudgeted extension, CHANGE</t>
  </si>
  <si>
    <t>Contract expected to extend in second half of 2026, unbudgeted</t>
  </si>
  <si>
    <t>Renaissance, H2 unbudgeted extension</t>
  </si>
  <si>
    <t>Contract expected to extend in second half of 2026, unbudgeted.  Viabhav-0 .5 Rahul-0 .5 Vedang, + 2 Offshore FTE</t>
  </si>
  <si>
    <t>Hard Opportunity- Variance from OneStream Budget vs IT Budget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</si>
  <si>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</si>
  <si>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Swati Yadav</t>
  </si>
  <si>
    <t>Cost to be setoff with Coforge (Swati replacing Shanky)</t>
  </si>
  <si>
    <t>Danny's extra 1Rivet HC - Risk</t>
  </si>
  <si>
    <t>Extra resource requested by Danny from 1Rivet to replace Acenture resources, unbudgeted (Arif Inamdar)</t>
  </si>
  <si>
    <t>Nore</t>
  </si>
  <si>
    <t>Prj000469-Support - Prod Support for Ops Apps</t>
  </si>
  <si>
    <t>FX - EURO</t>
  </si>
  <si>
    <t>Nore is data source provider for Refinitive - not part of initial budget</t>
  </si>
  <si>
    <t>80K - Network engineer consultant T&amp;M
, CHANGE</t>
  </si>
  <si>
    <t>This was not part of initial budget</t>
  </si>
  <si>
    <t>Unbudgeted, New risk - CME Group SOFR License, $1K per month charge back expected from</t>
  </si>
  <si>
    <t>SUBTOTAL</t>
  </si>
  <si>
    <t>2026 Net Position</t>
  </si>
  <si>
    <t>May-Dec FC</t>
  </si>
  <si>
    <t>Budget</t>
  </si>
  <si>
    <t>AI Initiatives</t>
  </si>
  <si>
    <t>Prj000599</t>
  </si>
  <si>
    <t>Implement - Antares AI Capabilities</t>
  </si>
  <si>
    <t>Capco</t>
  </si>
  <si>
    <t>Milestone</t>
  </si>
  <si>
    <t>May includes travel expense for workshop</t>
  </si>
  <si>
    <t xml:space="preserve">Nimble Gravity </t>
  </si>
  <si>
    <t>MS -Core</t>
  </si>
  <si>
    <t>Milestone - FPC</t>
  </si>
  <si>
    <t>Nimble Gravity cost is $0 to Antares because the full $84.4K project is funded by End Customer Investment Funds (Microsoft program)</t>
  </si>
  <si>
    <t>Graphwise or GraphDB</t>
  </si>
  <si>
    <t>Graph DB</t>
  </si>
  <si>
    <t>POC</t>
  </si>
  <si>
    <t>Contract is of 3 years with different amounts each year, POC for 4 months so no cost</t>
  </si>
  <si>
    <t>1 year prepaid</t>
  </si>
  <si>
    <t>Metaphacts</t>
  </si>
  <si>
    <t>Platform Fees</t>
  </si>
  <si>
    <t>First 5 months: MVP / pilot phase, Then: converts into full 3-year subscription</t>
  </si>
  <si>
    <t>$200K is 1 year</t>
  </si>
  <si>
    <t>Figma</t>
  </si>
  <si>
    <t>Quarter Expense</t>
  </si>
  <si>
    <t>Figma Platform – Enterprise Subscription</t>
  </si>
  <si>
    <t>Anthropic</t>
  </si>
  <si>
    <t>Claude</t>
  </si>
  <si>
    <t>Contract pending</t>
  </si>
  <si>
    <t>Balance left</t>
  </si>
  <si>
    <t>(All)</t>
  </si>
  <si>
    <t>Coforge</t>
  </si>
  <si>
    <t>Arun Prasad Bhuvanendran</t>
  </si>
  <si>
    <t>Anand Yerramsetty</t>
  </si>
  <si>
    <t>(blank)</t>
  </si>
  <si>
    <t>Vivek Singla</t>
  </si>
  <si>
    <t>Prj000281</t>
  </si>
  <si>
    <t>Prj000478</t>
  </si>
  <si>
    <t>Manpreet Kaur</t>
  </si>
  <si>
    <t>Prj000326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</si>
</sst>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  <numFmt numFmtId="168" formatCode="&quot;$&quot;#,##0.00"/>
  </numFmts>
  <fonts count="2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98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164" fontId="0" fillId="0" borderId="0" xfId="1" applyNumberFormat="1" applyFont="1"/>
    <xf numFmtId="0" fontId="0" fillId="0" borderId="0" xfId="0" applyAlignment="1">
      <alignment wrapText="1"/>
    </xf>
    <xf numFmtId="0" fontId="0" fillId="0" borderId="0" xfId="0" pivotButton="1" applyAlignment="1">
      <alignment wrapText="1"/>
    </xf>
    <xf numFmtId="164" fontId="3" fillId="3" borderId="1" xfId="0" applyNumberFormat="1" applyFont="1" applyFill="1" applyBorder="1" applyAlignment="1">
      <alignment wrapText="1"/>
    </xf>
    <xf numFmtId="6" fontId="8" fillId="11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166" fontId="0" fillId="0" borderId="0" xfId="0" applyNumberFormat="1" applyAlignment="1">
      <alignment wrapText="1"/>
    </xf>
    <xf numFmtId="6" fontId="0" fillId="0" borderId="0" xfId="0" applyNumberFormat="1" applyAlignment="1">
      <alignment wrapText="1"/>
    </xf>
    <xf numFmtId="0" fontId="11" fillId="2" borderId="0" xfId="0" applyFont="1" applyFill="1" applyAlignment="1">
      <alignment horizontal="left" wrapText="1"/>
    </xf>
    <xf numFmtId="44" fontId="11" fillId="2" borderId="0" xfId="2" applyFont="1" applyFill="1" applyAlignment="1">
      <alignment wrapText="1"/>
    </xf>
    <xf numFmtId="44" fontId="12" fillId="2" borderId="0" xfId="2" applyFont="1" applyFill="1" applyAlignment="1">
      <alignment wrapText="1"/>
    </xf>
    <xf numFmtId="44" fontId="0" fillId="0" borderId="0" xfId="2" applyFont="1" applyAlignment="1">
      <alignment wrapText="1"/>
    </xf>
    <xf numFmtId="0" fontId="0" fillId="0" borderId="0" xfId="0" pivotButton="1" applyAlignment="1">
      <alignment horizontal="center" vertical="center" wrapText="1"/>
    </xf>
    <xf numFmtId="167" fontId="0" fillId="0" borderId="0" xfId="0" applyNumberFormat="1" applyAlignment="1">
      <alignment wrapText="1"/>
    </xf>
    <xf numFmtId="44" fontId="0" fillId="0" borderId="0" xfId="0" applyNumberFormat="1" applyAlignment="1">
      <alignment wrapText="1"/>
    </xf>
    <xf numFmtId="164" fontId="0" fillId="15" borderId="0" xfId="0" applyNumberFormat="1" applyFill="1"/>
    <xf numFmtId="168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20" xfId="0" applyFont="1" applyBorder="1"/>
    <xf numFmtId="0" fontId="24" fillId="0" borderId="21" xfId="0" applyFont="1" applyBorder="1"/>
    <xf numFmtId="0" fontId="24" fillId="0" borderId="0" xfId="0" applyFont="1"/>
    <xf numFmtId="0" fontId="24" fillId="0" borderId="22" xfId="0" applyFont="1" applyBorder="1"/>
    <xf numFmtId="0" fontId="24" fillId="0" borderId="23" xfId="0" applyFont="1" applyBorder="1"/>
    <xf numFmtId="0" fontId="24" fillId="0" borderId="24" xfId="0" applyFont="1" applyBorder="1"/>
    <xf numFmtId="167" fontId="0" fillId="0" borderId="0" xfId="2" applyNumberFormat="1" applyFont="1" applyAlignment="1">
      <alignment horizontal="center" vertical="center" wrapText="1"/>
    </xf>
    <xf numFmtId="0" fontId="13" fillId="17" borderId="0" xfId="0" applyFont="1" applyFill="1" applyAlignment="1">
      <alignment horizontal="center" vertical="center" wrapText="1"/>
    </xf>
    <xf numFmtId="43" fontId="13" fillId="17" borderId="0" xfId="1" applyFont="1" applyFill="1" applyAlignment="1">
      <alignment horizontal="center" vertical="center" wrapText="1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380">
    <dxf>
      <font>
        <b/>
        <i val="0"/>
        <color theme="0"/>
      </font>
      <fill>
        <patternFill>
          <bgColor rgb="FFFF0000"/>
        </patternFill>
      </fill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6" formatCode="&quot;$&quot;#,##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25.669895023151" createdVersion="8" refreshedVersion="8" minRefreshableVersion="3" recordCount="149" xr:uid="{14834CBE-76E0-4F7D-A076-F066E6A489B9}">
  <cacheSource type="worksheet">
    <worksheetSource name="Financials20263"/>
  </cacheSource>
  <cacheFields count="72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Other" u="1"/>
        <s v="T&amp;E - Refer to Concur" u="1"/>
        <s v="General Office Expense - Refer to Concur" u="1"/>
      </sharedItems>
    </cacheField>
    <cacheField name="DBA / AKA / Passthrough" numFmtId="0">
      <sharedItems containsBlank="1" count="52">
        <s v="Microsoft D365 F&amp;O and CRM"/>
        <s v="T&amp;E - Refer to Concur"/>
        <m/>
        <s v="Control M"/>
        <s v="LevPro"/>
        <s v="Lumen"/>
        <s v="Other"/>
        <s v="Sales VAT Tax"/>
        <s v="Nterone"/>
        <s v="1Rivet"/>
        <s v="Crossfuze"/>
        <s v="LIQ"/>
        <s v="IVP"/>
        <s v="SAI360"/>
        <s v="CDW (b)"/>
        <s v="CDW Microsoft (a)"/>
        <s v="Cloud Navigator"/>
        <s v="FinDox is now Octus"/>
        <s v="AKA Enterprises"/>
        <s v="Ontra"/>
        <s v="Maplytics"/>
        <s v="Lucid Software"/>
        <s v="Macabacus"/>
        <s v="TBD could be CDW Microsoft (a)"/>
        <s v="Monday.com"/>
        <s v="ServiceNow Liac"/>
        <s v="Oracle"/>
        <s v="Responsive"/>
        <s v="Salesforce"/>
        <s v="Mendix"/>
        <s v="Wealth Distribution Tool (Vendor TBD)"/>
        <s v="Sonarsource"/>
        <s v="SHI"/>
        <s v="Coforge UI Path"/>
        <s v="Smarsh"/>
        <s v="Digicert"/>
        <s v="DataDog"/>
        <s v="ClickTime"/>
        <s v="Think-Cell"/>
        <s v="TIBCO Spotfire"/>
        <s v="CloudFlare"/>
        <s v="Litera"/>
        <s v="Alation"/>
        <s v="BoardVantage"/>
        <s v="S&amp;P Global"/>
        <s v="Intellibus"/>
        <s v="ACC Business"/>
        <s v="General Office Expense - Refer to Concur"/>
        <s v="LSEG / Refinitive"/>
        <s v="OneStream"/>
        <s v="S&amp;P Global/ WSO"/>
        <s v="Nore"/>
      </sharedItems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 count="4">
        <s v="Non-Labor"/>
        <s v="Labor"/>
        <s v="Capitalization"/>
        <s v="Amortization"/>
      </sharedItems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500000.0800000001"/>
    </cacheField>
    <cacheField name="2026 Opportunity" numFmtId="166">
      <sharedItems containsSemiMixedTypes="0" containsString="0" containsNumber="1" minValue="-336504" maxValue="0"/>
    </cacheField>
    <cacheField name="2026 Risk" numFmtId="166">
      <sharedItems containsSemiMixedTypes="0" containsString="0" containsNumber="1" minValue="0" maxValue="456079.36999999918"/>
    </cacheField>
    <cacheField name="2026 Risk/(Opportunity)" numFmtId="166">
      <sharedItems containsSemiMixedTypes="0" containsString="0" containsNumber="1" minValue="-336504" maxValue="456079.36999999918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67411"/>
    </cacheField>
    <cacheField name="Jul-Dec FC" numFmtId="166">
      <sharedItems containsSemiMixedTypes="0" containsString="0" containsNumber="1" minValue="-1999999.9999999998" maxValue="371741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655020.52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32500" maxValue="68155.81"/>
    </cacheField>
    <cacheField name="Feb Opp./Risk" numFmtId="166">
      <sharedItems containsSemiMixedTypes="0" containsString="0" containsNumber="1" minValue="-32500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32320" maxValue="31824"/>
    </cacheField>
    <cacheField name="May Opp./Risk" numFmtId="166">
      <sharedItems containsSemiMixedTypes="0" containsString="0" containsNumber="1" minValue="-48042" maxValue="50309.000000000015"/>
    </cacheField>
    <cacheField name="Jun Opp./Risk" numFmtId="166">
      <sharedItems containsSemiMixedTypes="0" containsString="0" containsNumber="1" minValue="-183156.23333333331" maxValue="52000"/>
    </cacheField>
    <cacheField name="Jul Opp./Risk" numFmtId="166">
      <sharedItems containsSemiMixedTypes="0" containsString="0" containsNumber="1" minValue="-624426.15" maxValue="4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3684248.07" maxValue="68155.81"/>
    </cacheField>
    <cacheField name="Notes - Swati" numFmtId="0">
      <sharedItems containsBlank="1" longText="1"/>
    </cacheField>
    <cacheField name="Jan-Jun Actuals" numFmtId="166">
      <sharedItems containsSemiMixedTypes="0" containsString="0" containsNumber="1" minValue="-1999999.9999999998" maxValue="3782589.08"/>
    </cacheField>
    <cacheField name="Pending Jan-Jun" numFmtId="166">
      <sharedItems containsSemiMixedTypes="0" containsString="0" containsNumber="1" minValue="0" maxValue="183156.23333333331"/>
    </cacheField>
    <cacheField name="Forecast Jul-Dec" numFmtId="166">
      <sharedItems containsSemiMixedTypes="0" containsString="0" containsNumber="1" minValue="-1999999.9999999998" maxValue="3717411"/>
    </cacheField>
    <cacheField name="Non-Comitted" numFmtId="166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x v="0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x v="0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189408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31568"/>
    <n v="220976"/>
    <m/>
  </r>
  <r>
    <x v="0"/>
    <x v="0"/>
    <x v="0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x v="0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28"/>
    <n v="0"/>
    <n v="94923.733333333279"/>
    <n v="94923.733333333279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70863.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28477.200000000001"/>
    <n v="199340.40000000002"/>
    <m/>
  </r>
  <r>
    <x v="1"/>
    <x v="1"/>
    <x v="1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vel &amp; Entertainment Expense"/>
    <s v="T&amp;E (Multiple)"/>
    <s v="Refer to Concur"/>
    <n v="211257"/>
    <n v="259449"/>
    <n v="259449"/>
    <n v="259448.65999999997"/>
    <n v="-0.34000000002561137"/>
    <n v="0"/>
    <n v="-0.34000000002561137"/>
    <s v="$100K not to be utilised as per Leon's instructions, CHANGE"/>
    <n v="11185.549999999997"/>
    <n v="7399.97"/>
    <n v="16129.190000000002"/>
    <n v="25262"/>
    <n v="23681.14"/>
    <n v="19437.810000000001"/>
    <m/>
    <m/>
    <m/>
    <m/>
    <m/>
    <n v="156353"/>
    <n v="259448.66"/>
    <n v="156353"/>
    <n v="11185.549999999997"/>
    <n v="7399.97"/>
    <n v="16129.190000000002"/>
    <n v="25262"/>
    <n v="23681.14"/>
    <n v="19437.810000000001"/>
    <m/>
    <m/>
    <m/>
    <m/>
    <m/>
    <m/>
    <n v="103095.66"/>
    <n v="0"/>
    <n v="0"/>
    <n v="0"/>
    <n v="0"/>
    <n v="0"/>
    <n v="0"/>
    <n v="0"/>
    <n v="0"/>
    <n v="0"/>
    <n v="0"/>
    <n v="0"/>
    <n v="-156353"/>
    <n v="-156353"/>
    <s v="Concur project reimbursement cost can't be predicted, hence buffer kept in Dec. Estimated H2 is $147500"/>
    <n v="103095.66"/>
    <n v="0"/>
    <n v="156353"/>
    <m/>
  </r>
  <r>
    <x v="0"/>
    <x v="2"/>
    <x v="2"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x v="1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45585"/>
    <n v="7600"/>
    <n v="7600"/>
    <n v="8675"/>
    <n v="7600"/>
    <n v="15340"/>
    <n v="7600"/>
    <n v="7600"/>
    <m/>
    <m/>
    <m/>
    <m/>
    <m/>
    <n v="62015"/>
    <n v="0"/>
    <n v="0"/>
    <n v="1075"/>
    <n v="0"/>
    <n v="7740"/>
    <n v="0"/>
    <n v="0"/>
    <n v="-7600"/>
    <n v="-7600"/>
    <n v="-7600"/>
    <n v="-7600"/>
    <n v="-7585"/>
    <n v="-29170"/>
    <s v="Budget v/s Actuals, additional work for April'26 invoiced in May"/>
    <n v="54415"/>
    <n v="0"/>
    <n v="45585"/>
    <m/>
  </r>
  <r>
    <x v="0"/>
    <x v="3"/>
    <x v="3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x v="0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m/>
  </r>
  <r>
    <x v="0"/>
    <x v="4"/>
    <x v="2"/>
    <x v="2"/>
    <s v="Support - Prod support for Finance Applications"/>
    <s v="Finance &amp; Treasury Technology"/>
    <x v="2"/>
    <s v="NA"/>
    <s v="NA"/>
    <m/>
    <s v="Prj000344-Support - Prod support for Finance Applications"/>
    <x v="0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m/>
  </r>
  <r>
    <x v="0"/>
    <x v="4"/>
    <x v="2"/>
    <x v="3"/>
    <s v="Implement - Cash Matching Recon Solution"/>
    <s v="Finance &amp; Treasury Technology"/>
    <x v="2"/>
    <d v="2026-04-08T00:00:00"/>
    <d v="2027-04-07T00:00:00"/>
    <m/>
    <s v="Prj000603-Implement - Cash Matching Recon Solution"/>
    <x v="0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m/>
  </r>
  <r>
    <x v="0"/>
    <x v="5"/>
    <x v="4"/>
    <x v="4"/>
    <s v="Support - Asset Management Applications"/>
    <s v="Asset Management Tech"/>
    <x v="3"/>
    <s v="Monthly"/>
    <s v="Monthly"/>
    <m/>
    <s v="Prj000290-Support - Asset Management Applications"/>
    <x v="0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4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4000"/>
    <n v="38500"/>
    <m/>
  </r>
  <r>
    <x v="0"/>
    <x v="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237545.39"/>
    <n v="180000"/>
    <n v="174375"/>
    <n v="160380.84000000003"/>
    <n v="-13994.159999999974"/>
    <n v="0"/>
    <n v="-13994.159999999974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94350"/>
    <n v="11005.14"/>
    <n v="11005.14"/>
    <n v="11005.14"/>
    <n v="11005.14"/>
    <n v="11005.14"/>
    <n v="11005.14"/>
    <m/>
    <m/>
    <m/>
    <m/>
    <m/>
    <m/>
    <n v="66030.84"/>
    <n v="-3994.8600000000006"/>
    <n v="-3994.8600000000006"/>
    <n v="-3994.8600000000006"/>
    <n v="-3994.8600000000006"/>
    <n v="-3994.8600000000006"/>
    <n v="-4719.8600000000006"/>
    <n v="-15725"/>
    <n v="-15725"/>
    <n v="-15725"/>
    <n v="-15725"/>
    <n v="-15725"/>
    <n v="-15725"/>
    <n v="-119044.16"/>
    <s v="Budget v/s Actuals, revised rate as per new contract, ad hoc 240/hr charge for engeenering support part of contract"/>
    <n v="66030.84"/>
    <n v="0"/>
    <n v="94350"/>
    <m/>
  </r>
  <r>
    <x v="0"/>
    <x v="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12.259999999995"/>
    <n v="0"/>
    <n v="398.25999999999476"/>
    <n v="398.25999999999476"/>
    <s v="  "/>
    <n v="2943"/>
    <n v="2943"/>
    <n v="2943"/>
    <n v="2943"/>
    <n v="2943"/>
    <n v="2943"/>
    <n v="2943"/>
    <n v="2943"/>
    <n v="2943"/>
    <n v="2943"/>
    <n v="2943"/>
    <n v="2941"/>
    <n v="35314"/>
    <n v="17656"/>
    <n v="2802.71"/>
    <n v="2802.71"/>
    <n v="2802.71"/>
    <n v="3742.71"/>
    <n v="2952.71"/>
    <n v="2952.71"/>
    <n v="2952.71"/>
    <m/>
    <m/>
    <m/>
    <m/>
    <m/>
    <n v="21008.969999999998"/>
    <n v="-140.28999999999996"/>
    <n v="-140.28999999999996"/>
    <n v="-140.28999999999996"/>
    <n v="799.71"/>
    <n v="9.7100000000000364"/>
    <n v="9.7100000000000364"/>
    <n v="9.7100000000000364"/>
    <n v="-2943"/>
    <n v="-2943"/>
    <n v="-2943"/>
    <n v="-2943"/>
    <n v="-2941"/>
    <n v="-14305.029999999999"/>
    <s v="Budget v/s Actuals"/>
    <n v="18056.259999999998"/>
    <n v="0"/>
    <n v="17656"/>
    <m/>
  </r>
  <r>
    <x v="0"/>
    <x v="8"/>
    <x v="5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835.47"/>
    <n v="-603.52999999999884"/>
    <n v="0"/>
    <n v="-603.52999999999884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2719.499999999998"/>
    <n v="2019.14"/>
    <n v="2019.24"/>
    <n v="2019.24"/>
    <n v="2019.45"/>
    <n v="2019.45"/>
    <n v="2019.45"/>
    <n v="2019.55"/>
    <m/>
    <m/>
    <m/>
    <m/>
    <m/>
    <n v="14135.52"/>
    <n v="-100.77666666666642"/>
    <n v="-100.67666666666651"/>
    <n v="-100.67666666666651"/>
    <n v="-100.46666666666647"/>
    <n v="-100.46666666666647"/>
    <n v="-100.46666666666647"/>
    <n v="-100.36666666666656"/>
    <n v="-2119.9166666666665"/>
    <n v="-2119.9166666666665"/>
    <n v="-2119.9166666666665"/>
    <n v="-2119.9166666666665"/>
    <n v="-2119.9166666666665"/>
    <n v="-11303.479999999996"/>
    <s v="Budget v/s Actuals"/>
    <n v="12115.970000000001"/>
    <n v="0"/>
    <n v="12719.499999999998"/>
    <m/>
  </r>
  <r>
    <x v="0"/>
    <x v="9"/>
    <x v="2"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x v="0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1431.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1431.5"/>
    <n v="2863"/>
    <m/>
  </r>
  <r>
    <x v="0"/>
    <x v="10"/>
    <x v="2"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x v="0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m/>
  </r>
  <r>
    <x v="2"/>
    <x v="11"/>
    <x v="6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m/>
  </r>
  <r>
    <x v="0"/>
    <x v="12"/>
    <x v="2"/>
    <x v="5"/>
    <s v="Support - Prod Support for Credit Apps"/>
    <s v="Credit Technology"/>
    <x v="2"/>
    <s v="Monthly"/>
    <s v="Monthly"/>
    <m/>
    <s v="Prj000381-Support - Prod Support for Credit Apps"/>
    <x v="0"/>
    <x v="1"/>
    <s v="OOE"/>
    <s v="Subscriptions"/>
    <s v="Subscription Services"/>
    <s v="Subscription Services"/>
    <s v="Office Expense"/>
    <s v="Monthly Expensed"/>
    <n v="13064.939999999999"/>
    <n v="14886"/>
    <n v="14886"/>
    <n v="13065.04"/>
    <n v="-1820.9599999999991"/>
    <n v="0"/>
    <n v="-1820.9599999999991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6532.56"/>
    <n v="1088.76"/>
    <n v="1088.74"/>
    <n v="1088.76"/>
    <n v="1088.74"/>
    <n v="1088.74"/>
    <n v="1088.74"/>
    <m/>
    <m/>
    <m/>
    <m/>
    <m/>
    <m/>
    <n v="6532.48"/>
    <n v="0"/>
    <n v="-1.999999999998181E-2"/>
    <n v="0"/>
    <n v="-1.999999999998181E-2"/>
    <n v="-1.999999999998181E-2"/>
    <n v="-1.999999999998181E-2"/>
    <n v="-1088.76"/>
    <n v="-1088.76"/>
    <n v="-1088.76"/>
    <n v="-1088.76"/>
    <n v="-1088.76"/>
    <n v="-1088.76"/>
    <n v="-6532.64"/>
    <s v="Budget v/s Actuals"/>
    <n v="6532.48"/>
    <n v="0"/>
    <n v="6532.56"/>
    <m/>
  </r>
  <r>
    <x v="0"/>
    <x v="13"/>
    <x v="2"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x v="0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m/>
  </r>
  <r>
    <x v="1"/>
    <x v="14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m/>
  </r>
  <r>
    <x v="1"/>
    <x v="15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m/>
  </r>
  <r>
    <x v="1"/>
    <x v="16"/>
    <x v="8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m/>
  </r>
  <r>
    <x v="0"/>
    <x v="17"/>
    <x v="2"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x v="1"/>
    <x v="2"/>
    <s v="RTB- MS"/>
    <s v="L2 SOW FPC"/>
    <s v="Information Technology"/>
    <s v="Managed Service - Core"/>
    <s v="Managed Service - Core"/>
    <s v="Monthly Expensed"/>
    <n v="1357227"/>
    <n v="1359552"/>
    <n v="1454747"/>
    <n v="1454747"/>
    <n v="0"/>
    <n v="0"/>
    <n v="0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756970"/>
    <n v="113296"/>
    <n v="113296"/>
    <n v="113296"/>
    <n v="116743"/>
    <n v="120956"/>
    <n v="120190"/>
    <m/>
    <m/>
    <m/>
    <m/>
    <m/>
    <m/>
    <n v="697777"/>
    <n v="0"/>
    <n v="0"/>
    <n v="0"/>
    <n v="0"/>
    <n v="0"/>
    <n v="0"/>
    <n v="-120190"/>
    <n v="-127356"/>
    <n v="-127356"/>
    <n v="-127356"/>
    <n v="-127356"/>
    <n v="-127356"/>
    <n v="-756970"/>
    <s v="L2 DBA resource starting July 1 to expand coverage"/>
    <n v="697777"/>
    <n v="0"/>
    <n v="756970"/>
    <m/>
  </r>
  <r>
    <x v="0"/>
    <x v="18"/>
    <x v="2"/>
    <x v="8"/>
    <s v="T&amp;M"/>
    <s v=""/>
    <x v="1"/>
    <d v="2026-01-01T00:00:00"/>
    <d v="2026-12-31T00:00:00"/>
    <s v="D365 CRM"/>
    <s v="T&amp;M-T&amp;M"/>
    <x v="1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956"/>
    <n v="-4924"/>
    <n v="0"/>
    <n v="-4924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09440"/>
    <n v="16128"/>
    <n v="16464"/>
    <n v="16588"/>
    <n v="19104"/>
    <n v="17608"/>
    <n v="18624"/>
    <m/>
    <m/>
    <m/>
    <m/>
    <m/>
    <m/>
    <n v="104516"/>
    <n v="-2112"/>
    <n v="-1776"/>
    <n v="-1652"/>
    <n v="864"/>
    <n v="-632"/>
    <n v="384"/>
    <n v="-18240"/>
    <n v="-18240"/>
    <n v="-18240"/>
    <n v="-18240"/>
    <n v="-18240"/>
    <n v="-18240"/>
    <n v="-114364"/>
    <s v="Budget v/s Actuals, allocations are based on capacity planning forecast"/>
    <n v="104516"/>
    <n v="0"/>
    <n v="109440"/>
    <m/>
  </r>
  <r>
    <x v="0"/>
    <x v="19"/>
    <x v="9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71904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119840"/>
    <n v="838880"/>
    <m/>
  </r>
  <r>
    <x v="0"/>
    <x v="19"/>
    <x v="9"/>
    <x v="8"/>
    <s v="T&amp;M"/>
    <s v=""/>
    <x v="0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3632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22720"/>
    <n v="159040"/>
    <m/>
  </r>
  <r>
    <x v="0"/>
    <x v="19"/>
    <x v="9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53704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104440"/>
    <n v="641480"/>
    <m/>
  </r>
  <r>
    <x v="0"/>
    <x v="19"/>
    <x v="9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4592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24320"/>
    <n v="170240"/>
    <m/>
  </r>
  <r>
    <x v="0"/>
    <x v="20"/>
    <x v="10"/>
    <x v="9"/>
    <s v="Support - Enterprise Tech Helpdesk"/>
    <s v="Tech Shared Services"/>
    <x v="5"/>
    <s v="Monthly"/>
    <s v="Monthly"/>
    <m/>
    <s v="Prj000467-Support - Enterprise Tech Helpdesk"/>
    <x v="1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3570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80950"/>
    <n v="0"/>
    <n v="35700"/>
    <m/>
  </r>
  <r>
    <x v="0"/>
    <x v="17"/>
    <x v="2"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x v="1"/>
    <x v="2"/>
    <s v="RTB- MS"/>
    <s v="QA SOW FPC"/>
    <s v="Outsourced"/>
    <s v="Run the Business Contractors and Outsource Services"/>
    <s v="RTB Expenses - Contractor"/>
    <s v="Monthly Expensed"/>
    <n v="780191"/>
    <n v="345000"/>
    <n v="735000"/>
    <n v="787000"/>
    <n v="0"/>
    <n v="52000"/>
    <n v="52000"/>
    <s v="QA SOW FPC - [KA - Feb23] - Updated forecast from Mar to Dec based on the new contract that superseeded the original one, CHANGE"/>
    <n v="61250"/>
    <n v="61250"/>
    <n v="41750"/>
    <n v="54750"/>
    <n v="54750"/>
    <n v="54750"/>
    <n v="67750"/>
    <n v="80750"/>
    <n v="80750"/>
    <n v="80750"/>
    <n v="80750"/>
    <n v="80750"/>
    <n v="800000"/>
    <n v="471500"/>
    <n v="28750"/>
    <n v="28750"/>
    <n v="41750"/>
    <n v="54750"/>
    <n v="54750"/>
    <n v="106750"/>
    <m/>
    <m/>
    <m/>
    <m/>
    <m/>
    <m/>
    <n v="315500"/>
    <n v="-32500"/>
    <n v="-32500"/>
    <n v="0"/>
    <n v="0"/>
    <n v="0"/>
    <n v="52000"/>
    <n v="-67750"/>
    <n v="-80750"/>
    <n v="-80750"/>
    <n v="-80750"/>
    <n v="-80750"/>
    <n v="-80750"/>
    <n v="-4845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"/>
    <n v="315500"/>
    <n v="0"/>
    <n v="471500"/>
    <m/>
  </r>
  <r>
    <x v="0"/>
    <x v="17"/>
    <x v="2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60443.91999999993"/>
    <n v="0"/>
    <n v="157243.91999999993"/>
    <n v="15724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01600"/>
    <n v="56960.56"/>
    <n v="89522.8"/>
    <n v="106520.55999999998"/>
    <n v="36960"/>
    <n v="33600"/>
    <n v="35280"/>
    <m/>
    <m/>
    <m/>
    <m/>
    <m/>
    <m/>
    <n v="358843.92"/>
    <n v="23360.559999999998"/>
    <n v="55922.8"/>
    <n v="72920.559999999983"/>
    <n v="3360"/>
    <n v="0"/>
    <n v="1680"/>
    <n v="-33600"/>
    <n v="-33600"/>
    <n v="-33600"/>
    <n v="-33600"/>
    <n v="-33600"/>
    <n v="-33600"/>
    <n v="-44356.080000000016"/>
    <s v="Budget v/s Actuals, allocations are based on capacity planning forecast"/>
    <n v="358843.92"/>
    <n v="0"/>
    <n v="201600"/>
    <m/>
  </r>
  <r>
    <x v="0"/>
    <x v="17"/>
    <x v="2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26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21000"/>
    <n v="147000"/>
    <m/>
  </r>
  <r>
    <x v="0"/>
    <x v="17"/>
    <x v="2"/>
    <x v="8"/>
    <s v="T&amp;M"/>
    <s v=""/>
    <x v="4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353000"/>
    <n v="313600"/>
    <n v="-39400"/>
    <n v="0"/>
    <n v="-39400"/>
    <s v="T&amp;M - [KA - Feb 23] - Forcast updated from Feb to Dec, based on Raymond's exit. This T&amp;M forecast is adjusted in the new QA contract. Adjusted monthly rate starting Apr based on Shanky's exit"/>
    <n v="29416.666666666668"/>
    <n v="24000"/>
    <n v="24000"/>
    <n v="24000"/>
    <n v="24000"/>
    <n v="24000"/>
    <n v="24000"/>
    <n v="24000"/>
    <n v="24000"/>
    <n v="24000"/>
    <n v="24000"/>
    <n v="24000"/>
    <n v="293416.66666666669"/>
    <n v="144000"/>
    <n v="44800"/>
    <n v="22800"/>
    <n v="26400"/>
    <n v="26400"/>
    <n v="24000"/>
    <n v="25200"/>
    <m/>
    <m/>
    <m/>
    <m/>
    <m/>
    <m/>
    <n v="169600"/>
    <n v="15383.333333333332"/>
    <n v="-1200"/>
    <n v="2400"/>
    <n v="2400"/>
    <n v="0"/>
    <n v="1200"/>
    <n v="-24000"/>
    <n v="-24000"/>
    <n v="-24000"/>
    <n v="-24000"/>
    <n v="-24000"/>
    <n v="-24000"/>
    <n v="-123816.66666666667"/>
    <s v="Raymonds exit gave 26k T&amp;M oppurtunity since Feb but QA resources were hired at same cost, QA book work reallocation from L1/L2 support per new QA contract that superseded original."/>
    <n v="169600"/>
    <n v="0"/>
    <n v="144000"/>
    <m/>
  </r>
  <r>
    <x v="0"/>
    <x v="17"/>
    <x v="2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89280"/>
    <n v="84448"/>
    <n v="-4832"/>
    <n v="0"/>
    <n v="-4832"/>
    <s v="T&amp;M - [KA - Feb 23] - Forcast updated from Feb to Dec, based on Raymond's exit. This T&amp;M forecast is adjusted in the new QA contract. Adjusted monthly rate starting Apr based on Shanky's exit"/>
    <n v="7440"/>
    <n v="13440"/>
    <n v="13440"/>
    <n v="5440"/>
    <n v="5440"/>
    <n v="5440"/>
    <n v="5440"/>
    <n v="5440"/>
    <n v="5440"/>
    <n v="5440"/>
    <n v="5440"/>
    <n v="5440"/>
    <n v="83280"/>
    <n v="32640"/>
    <n v="11152"/>
    <n v="11296"/>
    <n v="13584"/>
    <n v="4624"/>
    <n v="5440"/>
    <n v="5712"/>
    <m/>
    <m/>
    <m/>
    <m/>
    <m/>
    <m/>
    <n v="51808"/>
    <n v="3712"/>
    <n v="-2144"/>
    <n v="144"/>
    <n v="-816"/>
    <n v="0"/>
    <n v="272"/>
    <n v="-5440"/>
    <n v="-5440"/>
    <n v="-5440"/>
    <n v="-5440"/>
    <n v="-5440"/>
    <n v="-5440"/>
    <n v="-31472"/>
    <s v="Opp offset with 1Rivet risk (Swati replacinf Shanky) + Budget v/s Actuals"/>
    <n v="51808"/>
    <n v="0"/>
    <n v="32640"/>
    <m/>
  </r>
  <r>
    <x v="0"/>
    <x v="17"/>
    <x v="2"/>
    <x v="8"/>
    <s v="T&amp;M"/>
    <s v=""/>
    <x v="4"/>
    <d v="2026-05-15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12880"/>
    <n v="-17520"/>
    <n v="0"/>
    <n v="-17520"/>
    <s v="New UAT hired, New 2026 BoW utilised, WSO"/>
    <m/>
    <m/>
    <m/>
    <m/>
    <n v="15360"/>
    <n v="30720"/>
    <n v="30720"/>
    <n v="30720"/>
    <n v="30720"/>
    <n v="30720"/>
    <n v="30720"/>
    <n v="30720"/>
    <n v="230400"/>
    <n v="184320"/>
    <m/>
    <m/>
    <m/>
    <m/>
    <n v="8640"/>
    <n v="19920"/>
    <m/>
    <m/>
    <m/>
    <m/>
    <m/>
    <m/>
    <n v="28560"/>
    <n v="0"/>
    <n v="0"/>
    <n v="0"/>
    <n v="0"/>
    <n v="-6720"/>
    <n v="-10800"/>
    <n v="-30720"/>
    <n v="-30720"/>
    <n v="-30720"/>
    <n v="-30720"/>
    <n v="-30720"/>
    <n v="-30720"/>
    <n v="-201840"/>
    <s v="New UAT lead Anand, WSO placeholder utilised"/>
    <n v="28560"/>
    <n v="0"/>
    <n v="184320"/>
    <m/>
  </r>
  <r>
    <x v="0"/>
    <x v="21"/>
    <x v="2"/>
    <x v="4"/>
    <s v="Support - Asset Management Applications"/>
    <s v="Asset Management Tech"/>
    <x v="3"/>
    <d v="2021-12-15T00:00:00"/>
    <d v="2026-12-14T00:00:00"/>
    <s v="Centry CLO"/>
    <s v="Prj000290-Support - Asset Management Applications"/>
    <x v="0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366693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724850.64000000013"/>
    <n v="0"/>
    <n v="366693"/>
    <m/>
  </r>
  <r>
    <x v="0"/>
    <x v="22"/>
    <x v="11"/>
    <x v="11"/>
    <s v="Support - Prod Support for Ops Apps"/>
    <s v="Operations Technology"/>
    <x v="2"/>
    <d v="2026-01-15T00:00:00"/>
    <d v="2027-01-14T00:00:00"/>
    <s v="LIQ - Loan IQ"/>
    <s v="Prj000469-Support - Prod Support for Ops Apps"/>
    <x v="0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002659.7799999998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2070815.5899999999"/>
    <n v="0"/>
    <n v="2002659.7799999998"/>
    <m/>
  </r>
  <r>
    <x v="0"/>
    <x v="23"/>
    <x v="12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x v="0"/>
    <x v="0"/>
    <s v="Software"/>
    <s v="Software"/>
    <s v="Information Technology"/>
    <s v="Software - Core"/>
    <s v="Software - Core"/>
    <s v="Annual Prepaid"/>
    <n v="889688"/>
    <n v="1051185.52165"/>
    <n v="1051185.52165"/>
    <n v="1051185.8999999999"/>
    <n v="0"/>
    <n v="0.37834999989718199"/>
    <n v="0.378349999897181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n v="215776"/>
    <n v="1051185.8999999999"/>
    <n v="541229.96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-215776"/>
    <n v="-215776"/>
    <s v="Budget v/s Actuals"/>
    <n v="509955.94"/>
    <n v="0"/>
    <n v="541229.96"/>
    <m/>
  </r>
  <r>
    <x v="0"/>
    <x v="23"/>
    <x v="12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x v="0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00000.00000000001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100000.00000000001"/>
    <n v="0"/>
    <n v="100000.00000000001"/>
    <m/>
  </r>
  <r>
    <x v="0"/>
    <x v="23"/>
    <x v="12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x v="0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0000.00000000000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50000.000000000007"/>
    <n v="0"/>
    <n v="50000.000000000007"/>
    <m/>
  </r>
  <r>
    <x v="0"/>
    <x v="24"/>
    <x v="2"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x v="0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12"/>
    <n v="-0.34999999991850927"/>
    <n v="0"/>
    <n v="-0.34999999991850927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295734.20000000007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44936.80000000002"/>
    <n v="0"/>
    <n v="295734.20000000007"/>
    <m/>
  </r>
  <r>
    <x v="0"/>
    <x v="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0"/>
    <s v="Software"/>
    <s v="Monthly Incremental"/>
    <s v="Information Technology"/>
    <s v="Software - Licenses"/>
    <s v="Software - Licenses"/>
    <s v="Monthly Expensed"/>
    <n v="12685"/>
    <n v="15000"/>
    <n v="15000"/>
    <n v="14999.64"/>
    <n v="-0.36000000000058208"/>
    <n v="0"/>
    <n v="-0.36000000000058208"/>
    <s v="Monthly Incremental - Potential Opportunity-Monthly Incremental - Potential Opportunity"/>
    <m/>
    <m/>
    <n v="696.32"/>
    <n v="1966.08"/>
    <n v="1966.08"/>
    <n v="1966.08"/>
    <n v="1966.08"/>
    <m/>
    <m/>
    <m/>
    <m/>
    <n v="6439"/>
    <n v="14999.64"/>
    <n v="8405.08"/>
    <m/>
    <m/>
    <n v="696.32"/>
    <n v="1966.08"/>
    <n v="1966.08"/>
    <n v="1966.08"/>
    <n v="1966.08"/>
    <m/>
    <m/>
    <m/>
    <m/>
    <m/>
    <n v="8560.64"/>
    <n v="0"/>
    <n v="0"/>
    <n v="0"/>
    <n v="0"/>
    <n v="0"/>
    <n v="0"/>
    <n v="0"/>
    <n v="0"/>
    <n v="0"/>
    <n v="0"/>
    <n v="0"/>
    <n v="-6439"/>
    <n v="-6439"/>
    <s v="Fluctuation per month, Dec has buffer"/>
    <n v="6594.5599999999995"/>
    <n v="0"/>
    <n v="8405.08"/>
    <m/>
  </r>
  <r>
    <x v="0"/>
    <x v="0"/>
    <x v="2"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x v="0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500000.0800000001"/>
    <n v="0"/>
    <n v="8.0000000074505806E-2"/>
    <n v="8.0000000074505806E-2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592411"/>
    <n v="7467411"/>
    <n v="3717411"/>
    <n v="660370.4"/>
    <n v="603859.57000000007"/>
    <n v="627545.69000000006"/>
    <n v="602395.04999999993"/>
    <n v="633397.85"/>
    <n v="655020.52"/>
    <n v="573.85"/>
    <m/>
    <m/>
    <m/>
    <m/>
    <m/>
    <n v="3783162.93"/>
    <n v="35370.400000000023"/>
    <n v="-21140.429999999935"/>
    <n v="2545.6900000000605"/>
    <n v="-22604.95000000007"/>
    <n v="8397.8499999999767"/>
    <n v="30020.520000000019"/>
    <n v="-624426.15"/>
    <n v="-625000"/>
    <n v="-625000"/>
    <n v="-625000"/>
    <n v="-625000"/>
    <n v="-592411"/>
    <n v="-3684248.07"/>
    <s v="Fluctuation per month, Risk adjusted in Dec"/>
    <n v="3782589.08"/>
    <n v="0"/>
    <n v="3717411"/>
    <m/>
  </r>
  <r>
    <x v="0"/>
    <x v="25"/>
    <x v="13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x v="0"/>
    <x v="0"/>
    <s v="Software"/>
    <s v="Software License"/>
    <s v="Information Technology"/>
    <s v="Software - Licenses"/>
    <s v="Software - Licenses"/>
    <s v="Annual Prepaid"/>
    <n v="40500"/>
    <n v="99225"/>
    <n v="99225"/>
    <n v="97200"/>
    <n v="-2025"/>
    <n v="0"/>
    <n v="-2025"/>
    <s v="Prepaid-Risk Management - Enterprise+Internal Audit - Enterprise+Internal Controls - Enterprise"/>
    <n v="8100"/>
    <n v="8100"/>
    <n v="8100"/>
    <n v="8100"/>
    <n v="8100"/>
    <n v="8100"/>
    <n v="8100"/>
    <n v="8100"/>
    <n v="8100"/>
    <n v="8100"/>
    <n v="8100"/>
    <n v="8100"/>
    <n v="97200"/>
    <n v="48600"/>
    <n v="8100"/>
    <n v="8100"/>
    <n v="8100"/>
    <n v="8100"/>
    <n v="8100"/>
    <n v="8100"/>
    <n v="8100"/>
    <n v="8100"/>
    <n v="8100"/>
    <n v="8100"/>
    <n v="8100"/>
    <n v="8100"/>
    <n v="97200"/>
    <n v="0"/>
    <n v="0"/>
    <n v="0"/>
    <n v="0"/>
    <n v="0"/>
    <n v="0"/>
    <n v="0"/>
    <n v="0"/>
    <n v="0"/>
    <n v="0"/>
    <n v="0"/>
    <n v="0"/>
    <n v="0"/>
    <s v="Budget v/s actuals, Actual invoice less then budgeted"/>
    <n v="48600"/>
    <n v="0"/>
    <n v="48600"/>
    <m/>
  </r>
  <r>
    <x v="0"/>
    <x v="6"/>
    <x v="14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x v="0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8342.561749999993"/>
    <n v="0"/>
    <n v="1392.8387499999808"/>
    <n v="1392.8387499999808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4922.810250000002"/>
    <n v="102657.74250000002"/>
    <n v="71151.861499999999"/>
    <n v="2233.6800000000003"/>
    <n v="1681.7600000000002"/>
    <n v="840.88000000000011"/>
    <m/>
    <n v="840.88000000000011"/>
    <n v="4347.6899999999996"/>
    <m/>
    <m/>
    <m/>
    <m/>
    <m/>
    <m/>
    <n v="9944.89"/>
    <n v="1392.8000000000002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4922.810250000002"/>
    <n v="-92712.852500000008"/>
    <s v="Microsoft 365 E5 &amp; Teams Room Pro, Jan has invoices received late in July for 2025"/>
    <n v="9944.89"/>
    <n v="7245.8102500000014"/>
    <n v="78397.671749999994"/>
    <m/>
  </r>
  <r>
    <x v="0"/>
    <x v="6"/>
    <x v="14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x v="0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m/>
  </r>
  <r>
    <x v="0"/>
    <x v="6"/>
    <x v="15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x v="0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m/>
  </r>
  <r>
    <x v="0"/>
    <x v="6"/>
    <x v="15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x v="0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m/>
  </r>
  <r>
    <x v="0"/>
    <x v="26"/>
    <x v="16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5280"/>
    <n v="5280"/>
    <m/>
  </r>
  <r>
    <x v="0"/>
    <x v="27"/>
    <x v="17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x v="0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8926.24"/>
    <n v="0"/>
    <n v="28.377499999973224"/>
    <n v="28.377499999973224"/>
    <s v="Total contract - 342k IT cost 232k recharge to Liquid Credit 109k"/>
    <m/>
    <m/>
    <m/>
    <m/>
    <n v="232868.65"/>
    <m/>
    <m/>
    <m/>
    <m/>
    <m/>
    <m/>
    <m/>
    <n v="232868.65"/>
    <n v="0"/>
    <m/>
    <m/>
    <m/>
    <m/>
    <n v="238926.24"/>
    <m/>
    <m/>
    <m/>
    <m/>
    <m/>
    <m/>
    <m/>
    <n v="238926.24"/>
    <n v="0"/>
    <n v="0"/>
    <n v="0"/>
    <n v="0"/>
    <n v="6057.5899999999965"/>
    <n v="0"/>
    <n v="0"/>
    <n v="0"/>
    <n v="0"/>
    <n v="0"/>
    <n v="0"/>
    <n v="0"/>
    <n v="6057.5899999999965"/>
    <s v="Saving on budget v/s actual, prepaid cost of 232k expected for 12 months. Kindly spread for 9 months, total 342k our cost 232k, 109k is of liquid credit team"/>
    <n v="238926.24"/>
    <n v="0"/>
    <n v="0"/>
    <m/>
  </r>
  <r>
    <x v="0"/>
    <x v="28"/>
    <x v="18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x v="0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m/>
  </r>
  <r>
    <x v="0"/>
    <x v="29"/>
    <x v="19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m/>
  </r>
  <r>
    <x v="0"/>
    <x v="23"/>
    <x v="12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80119"/>
    <n v="96543"/>
    <n v="101291"/>
    <n v="101291"/>
    <n v="0"/>
    <n v="0"/>
    <n v="0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m/>
  </r>
  <r>
    <x v="0"/>
    <x v="23"/>
    <x v="12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m/>
  </r>
  <r>
    <x v="0"/>
    <x v="23"/>
    <x v="12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x v="0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m/>
  </r>
  <r>
    <x v="0"/>
    <x v="30"/>
    <x v="20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x v="0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m/>
  </r>
  <r>
    <x v="0"/>
    <x v="31"/>
    <x v="21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m/>
  </r>
  <r>
    <x v="0"/>
    <x v="31"/>
    <x v="21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24823.59"/>
    <n v="26064.769500000002"/>
    <n v="26064.769500000002"/>
    <n v="28087.82"/>
    <n v="0"/>
    <n v="2023.0504999999976"/>
    <n v="2023.0504999999976"/>
    <s v="  Lucid Suite and Cloud Accelerator"/>
    <m/>
    <m/>
    <m/>
    <m/>
    <m/>
    <n v="26065"/>
    <m/>
    <m/>
    <m/>
    <m/>
    <m/>
    <m/>
    <n v="26065"/>
    <n v="0"/>
    <m/>
    <m/>
    <m/>
    <m/>
    <m/>
    <n v="28087.82"/>
    <m/>
    <m/>
    <m/>
    <m/>
    <m/>
    <m/>
    <n v="28087.82"/>
    <n v="0"/>
    <n v="0"/>
    <n v="0"/>
    <n v="0"/>
    <n v="0"/>
    <n v="2022.8199999999997"/>
    <n v="0"/>
    <n v="0"/>
    <n v="0"/>
    <n v="0"/>
    <n v="0"/>
    <n v="0"/>
    <n v="2022.8199999999997"/>
    <s v="Unbudgeted tax"/>
    <n v="28087.82"/>
    <n v="0"/>
    <n v="0"/>
    <m/>
  </r>
  <r>
    <x v="0"/>
    <x v="32"/>
    <x v="22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x v="0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m/>
  </r>
  <r>
    <x v="0"/>
    <x v="32"/>
    <x v="22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x v="0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m/>
  </r>
  <r>
    <x v="0"/>
    <x v="0"/>
    <x v="23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x v="0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098937.3999999999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183156.23333333331"/>
    <n v="1282093.6333333333"/>
    <m/>
  </r>
  <r>
    <x v="0"/>
    <x v="33"/>
    <x v="24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x v="0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55250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50416.66666666666"/>
    <n v="0"/>
    <n v="155250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x v="0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09854.97916666663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51825.97499999995"/>
    <n v="0"/>
    <n v="209854.97916666663"/>
    <m/>
  </r>
  <r>
    <x v="0"/>
    <x v="34"/>
    <x v="25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x v="0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x v="0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m/>
  </r>
  <r>
    <x v="0"/>
    <x v="35"/>
    <x v="26"/>
    <x v="11"/>
    <s v="Support - Prod Support for Ops Apps"/>
    <s v="Operations Technology"/>
    <x v="2"/>
    <d v="2024-03-11T00:00:00"/>
    <d v="2025-03-10T00:00:00"/>
    <s v="Oracle Java "/>
    <s v="Prj000469-Support - Prod Support for Ops Apps"/>
    <x v="0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m/>
  </r>
  <r>
    <x v="0"/>
    <x v="36"/>
    <x v="27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m/>
  </r>
  <r>
    <x v="0"/>
    <x v="37"/>
    <x v="28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x v="0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m/>
  </r>
  <r>
    <x v="0"/>
    <x v="38"/>
    <x v="29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x v="0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m/>
  </r>
  <r>
    <x v="0"/>
    <x v="39"/>
    <x v="30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x v="0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87412.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87412.5"/>
    <n v="0"/>
    <n v="87412.5"/>
    <m/>
  </r>
  <r>
    <x v="0"/>
    <x v="40"/>
    <x v="31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x v="0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m/>
  </r>
  <r>
    <x v="0"/>
    <x v="41"/>
    <x v="32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x v="0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41"/>
    <x v="32"/>
    <x v="9"/>
    <s v="Support - Enterprise Tech Helpdesk"/>
    <s v="Tech Shared Services"/>
    <x v="5"/>
    <d v="2025-10-30T00:00:00"/>
    <d v="2026-10-29T00:00:00"/>
    <s v="Adobe"/>
    <s v="Prj000467-Support - Enterprise Tech Helpdesk"/>
    <x v="0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m/>
  </r>
  <r>
    <x v="0"/>
    <x v="41"/>
    <x v="32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x v="0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m/>
  </r>
  <r>
    <x v="0"/>
    <x v="41"/>
    <x v="32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x v="0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m/>
  </r>
  <r>
    <x v="0"/>
    <x v="17"/>
    <x v="33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x v="0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m/>
  </r>
  <r>
    <x v="0"/>
    <x v="42"/>
    <x v="34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71433.45"/>
    <n v="70432.698000000004"/>
    <n v="70432.698000000004"/>
    <n v="70432.217999999993"/>
    <n v="-0.48000000001047738"/>
    <n v="0"/>
    <n v="-0.48000000001047738"/>
    <m/>
    <n v="200"/>
    <n v="200"/>
    <n v="200"/>
    <n v="200"/>
    <n v="200"/>
    <n v="200"/>
    <n v="200"/>
    <n v="200"/>
    <n v="200"/>
    <n v="200"/>
    <n v="200"/>
    <n v="68368.698000000004"/>
    <n v="70568.698000000004"/>
    <n v="69368.698000000004"/>
    <n v="161.13999999999999"/>
    <n v="161.13999999999999"/>
    <n v="185.31"/>
    <n v="185.31"/>
    <n v="185.31"/>
    <n v="185.31"/>
    <m/>
    <m/>
    <m/>
    <m/>
    <m/>
    <m/>
    <n v="1063.52"/>
    <n v="-38.860000000000014"/>
    <n v="-38.860000000000014"/>
    <n v="-14.689999999999998"/>
    <n v="-14.689999999999998"/>
    <n v="-14.689999999999998"/>
    <n v="-14.689999999999998"/>
    <n v="-200"/>
    <n v="-200"/>
    <n v="-200"/>
    <n v="-200"/>
    <n v="-200"/>
    <n v="-68368.698000000004"/>
    <n v="-69505.178"/>
    <m/>
    <n v="1063.52"/>
    <n v="0"/>
    <n v="69368.698000000004"/>
    <m/>
  </r>
  <r>
    <x v="0"/>
    <x v="5"/>
    <x v="4"/>
    <x v="4"/>
    <s v="Support - Asset Management Applications"/>
    <s v="Asset Management Tech"/>
    <x v="3"/>
    <d v="2025-06-23T00:00:00"/>
    <d v="2026-06-23T00:00:00"/>
    <s v="Levpro"/>
    <s v="Prj000290-Support - Asset Management Applications"/>
    <x v="0"/>
    <x v="0"/>
    <s v="Software"/>
    <s v="estimated"/>
    <s v="Information Technology"/>
    <s v="Software - Licenses"/>
    <s v="Software - Licenses"/>
    <s v="Annual Prepaid"/>
    <n v="75833"/>
    <n v="133245.90000000002"/>
    <n v="145499.9"/>
    <n v="145500"/>
    <n v="0"/>
    <n v="0.10000000000582077"/>
    <n v="0.10000000000582077"/>
    <s v="Software (Prepaid)"/>
    <n v="10832.650000000003"/>
    <n v="10832.650000000003"/>
    <n v="10832.650000000003"/>
    <n v="10832.650000000003"/>
    <n v="10832.650000000003"/>
    <n v="10832.650000000003"/>
    <n v="13416.666666666666"/>
    <n v="13416.666666666666"/>
    <n v="13416.666666666666"/>
    <n v="13416.666666666666"/>
    <n v="13416.666666666666"/>
    <n v="13416.666666666666"/>
    <n v="145495.90000000002"/>
    <n v="80500"/>
    <n v="10833.333333333334"/>
    <n v="10833.333333333334"/>
    <n v="10833.333333333334"/>
    <n v="10833.333333333334"/>
    <n v="10833.333333333334"/>
    <n v="10833.333333333334"/>
    <n v="13416.666666666666"/>
    <n v="13416.666666666666"/>
    <n v="13416.666666666666"/>
    <n v="13416.666666666666"/>
    <n v="13416.666666666666"/>
    <n v="13416.666666666666"/>
    <n v="145500"/>
    <n v="0.68333333333066548"/>
    <n v="0.68333333333066548"/>
    <n v="0.68333333333066548"/>
    <n v="0.68333333333066548"/>
    <n v="0.68333333333066548"/>
    <n v="0.68333333333066548"/>
    <n v="0"/>
    <n v="0"/>
    <n v="0"/>
    <n v="0"/>
    <n v="0"/>
    <n v="0"/>
    <n v="4.0999999999839929"/>
    <m/>
    <n v="65000.000000000007"/>
    <n v="0"/>
    <n v="80500"/>
    <m/>
  </r>
  <r>
    <x v="0"/>
    <x v="43"/>
    <x v="35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x v="0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m/>
  </r>
  <r>
    <x v="0"/>
    <x v="44"/>
    <x v="36"/>
    <x v="7"/>
    <s v="Support - L2 CoE Management for Tech Horizontals"/>
    <s v="Tech Shared Services"/>
    <x v="5"/>
    <s v="Monthly"/>
    <s v="Monthly"/>
    <m/>
    <s v="Prj000403-Support - L2 CoE Management for Tech Horizontals"/>
    <x v="0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882.11"/>
    <n v="0"/>
    <n v="593.35450000000128"/>
    <n v="593.35450000000128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1286.75"/>
    <n v="8984.74"/>
    <n v="2271.65"/>
    <n v="745.2"/>
    <n v="763.08999999999992"/>
    <n v="1260.81"/>
    <n v="1569.87"/>
    <m/>
    <m/>
    <m/>
    <m/>
    <m/>
    <m/>
    <n v="15595.36"/>
    <n v="0"/>
    <n v="0"/>
    <n v="-254.79999999999995"/>
    <n v="-236.91000000000008"/>
    <n v="260.80999999999995"/>
    <n v="569.86999999999989"/>
    <n v="-1000"/>
    <n v="-2190.75"/>
    <n v="-2190.75"/>
    <n v="-2190.75"/>
    <n v="-2190.75"/>
    <n v="-1523.75"/>
    <n v="-10947.78"/>
    <s v="Budget v/s Actuals"/>
    <n v="15595.36"/>
    <n v="0"/>
    <n v="11286.75"/>
    <m/>
  </r>
  <r>
    <x v="0"/>
    <x v="44"/>
    <x v="36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m/>
  </r>
  <r>
    <x v="0"/>
    <x v="45"/>
    <x v="37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x v="0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m/>
  </r>
  <r>
    <x v="0"/>
    <x v="6"/>
    <x v="38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x v="0"/>
    <x v="0"/>
    <s v="Software"/>
    <m/>
    <s v="Information Technology"/>
    <s v="Software - Licenses"/>
    <s v="Software - Licenses"/>
    <s v="Annual Expensed"/>
    <n v="2393"/>
    <n v="2512"/>
    <n v="8137"/>
    <n v="8136.97"/>
    <n v="-2.9999999999745341E-2"/>
    <n v="0"/>
    <n v="-2.9999999999745341E-2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m/>
  </r>
  <r>
    <x v="0"/>
    <x v="46"/>
    <x v="39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x v="0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69842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69842"/>
    <n v="0"/>
    <n v="69842"/>
    <m/>
  </r>
  <r>
    <x v="0"/>
    <x v="47"/>
    <x v="40"/>
    <x v="14"/>
    <s v="Implement - Minor Enhancements for Enterprise Apps"/>
    <s v="Cos, PMO &amp; Enterprise Technology"/>
    <x v="1"/>
    <s v="Monthly"/>
    <s v="Monthly"/>
    <m/>
    <s v="Prj000446-Implement - Minor Enhancements for Enterprise Apps"/>
    <x v="0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m/>
  </r>
  <r>
    <x v="0"/>
    <x v="48"/>
    <x v="41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x v="0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m/>
  </r>
  <r>
    <x v="0"/>
    <x v="49"/>
    <x v="42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x v="0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85510.005000000005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42755.002500000002"/>
    <n v="0"/>
    <n v="85510.005000000005"/>
    <m/>
  </r>
  <r>
    <x v="0"/>
    <x v="50"/>
    <x v="43"/>
    <x v="14"/>
    <s v="Implement - Minor Enhancements for Enterprise Apps"/>
    <s v="Cos, PMO &amp; Enterprise Technology"/>
    <x v="1"/>
    <s v="NA"/>
    <s v="NA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m/>
  </r>
  <r>
    <x v="0"/>
    <x v="21"/>
    <x v="2"/>
    <x v="4"/>
    <s v="Support - Asset Management Applications"/>
    <s v="Asset Management Tech"/>
    <x v="3"/>
    <s v="NA"/>
    <s v="NA"/>
    <m/>
    <s v="Prj000290-Support - Asset Management Applications"/>
    <x v="0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m/>
  </r>
  <r>
    <x v="0"/>
    <x v="25"/>
    <x v="13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x v="0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m/>
  </r>
  <r>
    <x v="0"/>
    <x v="6"/>
    <x v="2"/>
    <x v="0"/>
    <s v="Support - Infrastructure for Tech"/>
    <s v="Infrastructure Services, Controls &amp; User Enablement"/>
    <x v="0"/>
    <s v="TBC with Danny"/>
    <s v="TBC with Danny"/>
    <m/>
    <s v="Prj000350-Support - Infrastructure for Tech"/>
    <x v="0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m/>
  </r>
  <r>
    <x v="0"/>
    <x v="23"/>
    <x v="12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222842"/>
    <n v="195584.34"/>
    <n v="191940.34"/>
    <n v="191940"/>
    <n v="-0.33999999999650754"/>
    <n v="0"/>
    <n v="-0.33999999999650754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97608"/>
    <n v="15449"/>
    <n v="15449"/>
    <n v="15449"/>
    <n v="15449"/>
    <n v="16268"/>
    <m/>
    <n v="16268"/>
    <m/>
    <m/>
    <m/>
    <m/>
    <m/>
    <n v="94332"/>
    <n v="0"/>
    <n v="0"/>
    <n v="0"/>
    <n v="0"/>
    <n v="0"/>
    <n v="-16268"/>
    <n v="0"/>
    <n v="-16268"/>
    <n v="-16268"/>
    <n v="-16268"/>
    <n v="-16268"/>
    <n v="-16268"/>
    <n v="-97608"/>
    <s v="Budget v/s Actuals, incremental recon hosting fees CPI -5.3% since May"/>
    <n v="78064"/>
    <n v="16268"/>
    <n v="113876"/>
    <m/>
  </r>
  <r>
    <x v="0"/>
    <x v="23"/>
    <x v="12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9620"/>
    <n v="83870"/>
    <n v="43370"/>
    <n v="6750"/>
    <n v="6750"/>
    <n v="6750"/>
    <n v="6750"/>
    <n v="6750"/>
    <n v="8335"/>
    <n v="6750"/>
    <m/>
    <m/>
    <m/>
    <m/>
    <m/>
    <n v="48835"/>
    <n v="0"/>
    <n v="0"/>
    <n v="0"/>
    <n v="0"/>
    <n v="0"/>
    <n v="1585"/>
    <n v="0"/>
    <n v="-6750"/>
    <n v="-6750"/>
    <n v="-6750"/>
    <n v="-6750"/>
    <n v="-9620"/>
    <n v="-35035"/>
    <s v="Fees for additional security for the month of Apr'26 in June invoice"/>
    <n v="42085"/>
    <n v="0"/>
    <n v="43370"/>
    <m/>
  </r>
  <r>
    <x v="0"/>
    <x v="51"/>
    <x v="2"/>
    <x v="14"/>
    <s v="Implement - Minor Enhancements for Enterprise Apps"/>
    <s v="Cos, PMO &amp; Enterprise Technology"/>
    <x v="1"/>
    <m/>
    <m/>
    <m/>
    <s v="Prj000446-Implement - Minor Enhancements for Enterprise Apps"/>
    <x v="0"/>
    <x v="0"/>
    <s v="Software"/>
    <m/>
    <s v="Information Technology"/>
    <s v="Managed Service - Core"/>
    <s v="Managed Service - Core"/>
    <s v="Monthly Expensed"/>
    <n v="46598.93"/>
    <n v="48934"/>
    <n v="48934"/>
    <n v="48931"/>
    <n v="-3"/>
    <n v="0"/>
    <n v="-3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39037"/>
    <n v="4704"/>
    <n v="999"/>
    <n v="999"/>
    <n v="1194"/>
    <n v="999"/>
    <n v="999"/>
    <n v="999"/>
    <m/>
    <m/>
    <m/>
    <m/>
    <m/>
    <n v="10893"/>
    <n v="2"/>
    <n v="-1"/>
    <n v="-1"/>
    <n v="-1"/>
    <n v="-1"/>
    <n v="-1"/>
    <n v="-1"/>
    <n v="-1000"/>
    <n v="-1000"/>
    <n v="-1000"/>
    <n v="-1000"/>
    <n v="-34037"/>
    <n v="-38041"/>
    <s v="Addditional work - Site Refresh in March $9.9K &amp; Form modification in April $195"/>
    <n v="9894"/>
    <n v="0"/>
    <n v="39037"/>
    <m/>
  </r>
  <r>
    <x v="0"/>
    <x v="52"/>
    <x v="44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3"/>
    <n v="-114166.66666666698"/>
    <n v="0"/>
    <n v="-114166.66666666698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1842462.40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543370.93"/>
    <n v="0"/>
    <n v="1842462.4033333336"/>
    <m/>
  </r>
  <r>
    <x v="0"/>
    <x v="0"/>
    <x v="2"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x v="0"/>
    <x v="0"/>
    <s v="Software"/>
    <s v="Managed Services"/>
    <s v="Information Technology"/>
    <s v="Managed Service - Core"/>
    <s v="Support Services"/>
    <s v="Annual Prepaid"/>
    <n v="588000"/>
    <n v="596913"/>
    <n v="596913"/>
    <n v="642692.01333333331"/>
    <n v="0"/>
    <n v="45779.013333333307"/>
    <n v="45779.013333333307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343736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98956.01333333337"/>
    <n v="0"/>
    <n v="343736"/>
    <m/>
  </r>
  <r>
    <x v="0"/>
    <x v="23"/>
    <x v="12"/>
    <x v="8"/>
    <s v="T&amp;M"/>
    <s v="Infra Svcs &amp; User Enblt Tech"/>
    <x v="5"/>
    <d v="2026-01-01T00:00:00"/>
    <d v="2026-06-30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433000"/>
    <n v="216000"/>
    <n v="483600"/>
    <n v="483600"/>
    <n v="0"/>
    <n v="0"/>
    <n v="0"/>
    <s v="T&amp;M IVP Mgmt (TOM)- Rahul &amp; Vaibhav + 2"/>
    <n v="88000"/>
    <n v="88000"/>
    <n v="88000"/>
    <n v="88000"/>
    <n v="88000"/>
    <n v="88000"/>
    <m/>
    <m/>
    <m/>
    <m/>
    <m/>
    <m/>
    <n v="528000"/>
    <n v="0"/>
    <n v="73000"/>
    <n v="70200"/>
    <n v="87200"/>
    <n v="82000"/>
    <n v="83200"/>
    <m/>
    <m/>
    <m/>
    <m/>
    <m/>
    <m/>
    <m/>
    <n v="395600"/>
    <n v="-15000"/>
    <n v="-17800"/>
    <n v="-800"/>
    <n v="-6000"/>
    <n v="-4800"/>
    <n v="-88000"/>
    <n v="0"/>
    <n v="0"/>
    <n v="0"/>
    <n v="0"/>
    <n v="0"/>
    <n v="0"/>
    <n v="-132400"/>
    <s v="Budgeted only for 2 headcount, actual contract was signed for 4 headcounts"/>
    <n v="395600"/>
    <n v="88000"/>
    <n v="88000"/>
    <m/>
  </r>
  <r>
    <x v="0"/>
    <x v="23"/>
    <x v="12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x v="1"/>
    <x v="5"/>
    <s v="RTB- FPC"/>
    <m/>
    <s v="Information Technology"/>
    <s v="Managed Service - Core"/>
    <s v="RTB Expenses - Contractor"/>
    <s v="Monthly Expensed"/>
    <n v="1612673"/>
    <n v="1344000"/>
    <n v="1075296"/>
    <n v="960000"/>
    <n v="-115296"/>
    <n v="0"/>
    <n v="-115296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0"/>
    <n v="160000"/>
    <n v="160000"/>
    <n v="160000"/>
    <n v="160000"/>
    <n v="160000"/>
    <n v="160000"/>
    <m/>
    <m/>
    <m/>
    <m/>
    <m/>
    <m/>
    <n v="960000"/>
    <n v="0"/>
    <n v="0"/>
    <n v="0"/>
    <n v="0"/>
    <n v="0"/>
    <n v="0"/>
    <n v="0"/>
    <n v="0"/>
    <n v="0"/>
    <n v="0"/>
    <n v="0"/>
    <n v="0"/>
    <n v="0"/>
    <s v="Budget v/s Actuals"/>
    <n v="960000"/>
    <n v="0"/>
    <n v="0"/>
    <s v="Y"/>
  </r>
  <r>
    <x v="0"/>
    <x v="3"/>
    <x v="3"/>
    <x v="0"/>
    <s v="Support - Infrastructure for Tech"/>
    <s v="Infrastructure Services, Controls &amp; User Enablement"/>
    <x v="0"/>
    <s v="NA"/>
    <s v="NA"/>
    <m/>
    <s v="Prj000350-Support - Infrastructure for Tech"/>
    <x v="0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m/>
  </r>
  <r>
    <x v="0"/>
    <x v="53"/>
    <x v="45"/>
    <x v="8"/>
    <s v="T&amp;M"/>
    <s v="Infra Svcs &amp; User Enblt Tech"/>
    <x v="5"/>
    <d v="2026-01-01T00:00:00"/>
    <d v="2026-06-30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1877896"/>
    <n v="932960"/>
    <n v="940800"/>
    <n v="823464"/>
    <n v="-117336"/>
    <n v="0"/>
    <n v="-117336"/>
    <s v="T&amp;M - Intellibus"/>
    <n v="156800"/>
    <n v="156800"/>
    <n v="156800"/>
    <n v="156800"/>
    <n v="156800"/>
    <n v="156800"/>
    <m/>
    <m/>
    <m/>
    <m/>
    <m/>
    <m/>
    <n v="940800"/>
    <n v="0"/>
    <n v="153008"/>
    <n v="138848"/>
    <n v="154496"/>
    <n v="165338"/>
    <n v="108758"/>
    <n v="103016"/>
    <m/>
    <m/>
    <m/>
    <m/>
    <m/>
    <m/>
    <n v="823464"/>
    <n v="-3792"/>
    <n v="-17952"/>
    <n v="-2304"/>
    <n v="8538"/>
    <n v="-48042"/>
    <n v="-53784"/>
    <n v="0"/>
    <n v="0"/>
    <n v="0"/>
    <n v="0"/>
    <n v="0"/>
    <n v="0"/>
    <n v="-117336"/>
    <s v="Budget v/s Actuals, allocations are based on capacity planning forecast"/>
    <n v="823464"/>
    <n v="0"/>
    <n v="0"/>
    <m/>
  </r>
  <r>
    <x v="0"/>
    <x v="54"/>
    <x v="2"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x v="0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70655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68376"/>
    <n v="0"/>
    <n v="70655.666666666672"/>
    <m/>
  </r>
  <r>
    <x v="3"/>
    <x v="55"/>
    <x v="2"/>
    <x v="20"/>
    <s v="N/A"/>
    <s v="N/A"/>
    <x v="6"/>
    <m/>
    <m/>
    <m/>
    <s v="N/A-N/A"/>
    <x v="2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1999999.9999999998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999999.9999999998"/>
    <n v="0"/>
    <n v="-1999999.9999999998"/>
    <m/>
  </r>
  <r>
    <x v="4"/>
    <x v="56"/>
    <x v="2"/>
    <x v="21"/>
    <s v="N/A"/>
    <s v="N/A"/>
    <x v="6"/>
    <s v="N/A"/>
    <s v="N/A"/>
    <s v="N/A"/>
    <s v="Amortization-N/A"/>
    <x v="3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720973.30500000017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720973.30500000017"/>
    <n v="0"/>
    <n v="720973.30500000017"/>
    <m/>
  </r>
  <r>
    <x v="0"/>
    <x v="57"/>
    <x v="2"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x v="0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272187.5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72187.5"/>
    <n v="0"/>
    <n v="272187.5"/>
    <m/>
  </r>
  <r>
    <x v="0"/>
    <x v="58"/>
    <x v="46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18172.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9086.25"/>
    <n v="27258.75"/>
    <m/>
  </r>
  <r>
    <x v="0"/>
    <x v="59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4028"/>
    <n v="4230"/>
    <n v="4230"/>
    <n v="4335.47"/>
    <n v="0"/>
    <n v="105.47000000000025"/>
    <n v="105.47000000000025"/>
    <m/>
    <n v="353"/>
    <n v="353"/>
    <n v="353"/>
    <n v="353"/>
    <n v="353"/>
    <n v="353"/>
    <n v="353"/>
    <n v="353"/>
    <n v="353"/>
    <n v="353"/>
    <n v="353"/>
    <n v="347"/>
    <n v="4230"/>
    <n v="2112"/>
    <n v="370.83"/>
    <n v="375.95"/>
    <n v="371.55"/>
    <n v="371.55"/>
    <n v="372.33"/>
    <n v="361.26"/>
    <n v="372"/>
    <m/>
    <m/>
    <m/>
    <m/>
    <m/>
    <n v="2595.4699999999998"/>
    <n v="17.829999999999984"/>
    <n v="22.949999999999989"/>
    <n v="18.550000000000011"/>
    <n v="18.550000000000011"/>
    <n v="19.329999999999984"/>
    <n v="8.2599999999999909"/>
    <n v="19"/>
    <n v="-353"/>
    <n v="-353"/>
    <n v="-353"/>
    <n v="-353"/>
    <n v="-347"/>
    <n v="-1634.53"/>
    <m/>
    <n v="2223.4699999999998"/>
    <n v="0"/>
    <n v="2112"/>
    <m/>
  </r>
  <r>
    <x v="0"/>
    <x v="6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6.3300000000008"/>
    <n v="0"/>
    <n v="203.33000000000084"/>
    <n v="203.33000000000084"/>
    <s v="In CAD"/>
    <n v="587"/>
    <n v="587"/>
    <n v="587"/>
    <n v="587"/>
    <n v="587"/>
    <n v="587"/>
    <n v="587"/>
    <n v="587"/>
    <n v="587"/>
    <n v="587"/>
    <n v="587"/>
    <n v="586"/>
    <n v="7043"/>
    <n v="3521"/>
    <n v="620.09"/>
    <n v="628.66"/>
    <n v="628.89"/>
    <n v="614.59"/>
    <n v="604.1"/>
    <n v="629"/>
    <n v="629"/>
    <m/>
    <m/>
    <m/>
    <m/>
    <m/>
    <n v="4354.33"/>
    <n v="33.090000000000032"/>
    <n v="41.659999999999968"/>
    <n v="41.889999999999986"/>
    <n v="27.590000000000032"/>
    <n v="17.100000000000023"/>
    <n v="42"/>
    <n v="42"/>
    <n v="-587"/>
    <n v="-587"/>
    <n v="-587"/>
    <n v="-587"/>
    <n v="-586"/>
    <n v="-2688.67"/>
    <s v="Budget v/s Actuals"/>
    <n v="3725.33"/>
    <n v="0"/>
    <n v="3521"/>
    <m/>
  </r>
  <r>
    <x v="2"/>
    <x v="61"/>
    <x v="2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m/>
  </r>
  <r>
    <x v="1"/>
    <x v="1"/>
    <x v="47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900.31"/>
    <n v="0"/>
    <n v="0.30999999999994543"/>
    <n v="0.30999999999994543"/>
    <s v="AI Budget reclass pending"/>
    <m/>
    <n v="17"/>
    <m/>
    <n v="506"/>
    <n v="1390.01"/>
    <n v="43.56"/>
    <m/>
    <m/>
    <m/>
    <m/>
    <m/>
    <n v="944"/>
    <n v="2900.5699999999997"/>
    <n v="944"/>
    <m/>
    <n v="16.739999999999998"/>
    <m/>
    <n v="506"/>
    <n v="1390.01"/>
    <n v="43.56"/>
    <m/>
    <m/>
    <m/>
    <m/>
    <m/>
    <m/>
    <n v="1956.31"/>
    <n v="0"/>
    <n v="-0.26000000000000156"/>
    <n v="0"/>
    <n v="0"/>
    <n v="0"/>
    <n v="0"/>
    <n v="0"/>
    <n v="0"/>
    <n v="0"/>
    <n v="0"/>
    <n v="0"/>
    <n v="-944"/>
    <n v="-944.26"/>
    <s v="Claude purchased by Danny for AI Initiative $6495"/>
    <n v="1956.31"/>
    <n v="0"/>
    <n v="944"/>
    <m/>
  </r>
  <r>
    <x v="0"/>
    <x v="62"/>
    <x v="2"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x v="0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m/>
  </r>
  <r>
    <x v="0"/>
    <x v="63"/>
    <x v="2"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x v="0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m/>
  </r>
  <r>
    <x v="2"/>
    <x v="64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m/>
  </r>
  <r>
    <x v="2"/>
    <x v="65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98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3000"/>
    <n v="12829"/>
    <m/>
  </r>
  <r>
    <x v="2"/>
    <x v="6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32897.4"/>
    <n v="34537"/>
    <n v="34537"/>
    <n v="33717.200000000004"/>
    <n v="-819.79999999999563"/>
    <n v="0"/>
    <n v="-819.79999999999563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17268.5"/>
    <n v="2741.45"/>
    <n v="2741.45"/>
    <n v="2741.45"/>
    <n v="2741.45"/>
    <n v="2741.45"/>
    <n v="2741.45"/>
    <m/>
    <m/>
    <m/>
    <m/>
    <m/>
    <m/>
    <n v="16448.7"/>
    <n v="-136.63333333333367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18088.300000000003"/>
    <s v="Budget v/s Actuals"/>
    <n v="16448.7"/>
    <n v="0"/>
    <n v="17268.5"/>
    <m/>
  </r>
  <r>
    <x v="2"/>
    <x v="6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392871.25999999995"/>
    <n v="-28841.815000000119"/>
    <n v="0"/>
    <n v="-28841.815000000119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15029.5"/>
    <n v="30215.78"/>
    <n v="35893.14"/>
    <n v="28032.44"/>
    <n v="28434.67"/>
    <n v="27143.73"/>
    <n v="28122"/>
    <m/>
    <m/>
    <m/>
    <m/>
    <m/>
    <m/>
    <n v="177841.76"/>
    <n v="0"/>
    <n v="0"/>
    <n v="-7111.1433333333371"/>
    <n v="-6708.9133333333375"/>
    <n v="-7999.8533333333362"/>
    <n v="-7021.5833333333358"/>
    <n v="-35143.583333333336"/>
    <n v="-35143.583333333336"/>
    <n v="-35143.583333333336"/>
    <n v="-35143.583333333336"/>
    <n v="-35143.583333333336"/>
    <n v="-39311.583333333299"/>
    <n v="-243870.99333333335"/>
    <m/>
    <n v="177841.76"/>
    <n v="0"/>
    <n v="215029.5"/>
    <m/>
  </r>
  <r>
    <x v="0"/>
    <x v="68"/>
    <x v="2"/>
    <x v="11"/>
    <s v="Support - Prod Support for Ops Apps"/>
    <s v="Operations Technology"/>
    <x v="2"/>
    <d v="2026-01-01T00:00:00"/>
    <d v="2026-12-31T00:00:00"/>
    <m/>
    <s v="Prj000469-Support - Prod Support for Ops Apps"/>
    <x v="0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m/>
  </r>
  <r>
    <x v="0"/>
    <x v="69"/>
    <x v="2"/>
    <x v="4"/>
    <s v="Support - Asset Management Applications"/>
    <s v="Asset Management Tech"/>
    <x v="3"/>
    <m/>
    <m/>
    <m/>
    <s v="Prj000290-Support - Asset Management Applications"/>
    <x v="0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m/>
  </r>
  <r>
    <x v="0"/>
    <x v="70"/>
    <x v="48"/>
    <x v="11"/>
    <s v="Support - Prod Support for Ops Apps"/>
    <s v="Operations Technology"/>
    <x v="2"/>
    <m/>
    <m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m/>
  </r>
  <r>
    <x v="0"/>
    <x v="71"/>
    <x v="2"/>
    <x v="11"/>
    <s v="Support - Prod Support for Ops Apps"/>
    <s v="Operations Technology"/>
    <x v="2"/>
    <d v="2025-11-01T00:00:00"/>
    <d v="2026-10-31T00:00:00"/>
    <m/>
    <s v="Prj000469-Support - Prod Support for Ops Apps"/>
    <x v="0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m/>
  </r>
  <r>
    <x v="2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17323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5774.333333333333"/>
    <n v="23097.333333333332"/>
    <m/>
  </r>
  <r>
    <x v="0"/>
    <x v="41"/>
    <x v="32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81590"/>
    <n v="81590.33"/>
    <n v="0"/>
    <n v="0.33000000000174623"/>
    <n v="0.33000000000174623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53127"/>
    <n v="53127"/>
    <n v="53127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53127"/>
    <n v="-24663.67"/>
    <s v="Surface laptop 7, Logitech keyboard and Mouse, Starlite Cable, Monitor unbudgeted, 3 laptops to be charged back to Private Credit"/>
    <n v="28463.33"/>
    <n v="0"/>
    <n v="53127"/>
    <m/>
  </r>
  <r>
    <x v="0"/>
    <x v="41"/>
    <x v="32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x v="0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m/>
  </r>
  <r>
    <x v="2"/>
    <x v="41"/>
    <x v="32"/>
    <x v="9"/>
    <s v="Support - Enterprise Tech Helpdesk"/>
    <s v="Tech Shared Services"/>
    <x v="5"/>
    <s v="NA"/>
    <s v="NA"/>
    <m/>
    <s v="Prj000467-Support - Enterprise Tech Helpdesk"/>
    <x v="0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72"/>
    <x v="2"/>
    <x v="22"/>
    <s v="Implement - Portfolio Optimization Tool for LC"/>
    <s v="Asset Management Tech"/>
    <x v="3"/>
    <d v="2025-10-01T00:00:00"/>
    <d v="2026-09-30T00:00:00"/>
    <m/>
    <s v="Prj000228-Implement - Portfolio Optimization Tool for LC"/>
    <x v="0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850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75000"/>
    <n v="0"/>
    <n v="85000"/>
    <m/>
  </r>
  <r>
    <x v="0"/>
    <x v="17"/>
    <x v="2"/>
    <x v="23"/>
    <s v="Implement - QA CoE to Additional Platforms"/>
    <s v="Tech Shared Services"/>
    <x v="4"/>
    <m/>
    <m/>
    <m/>
    <s v="Prj000556-Implement - QA CoE to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0"/>
    <n v="0"/>
    <n v="0"/>
    <n v="0"/>
    <n v="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tilised as per instruction from Leon"/>
    <n v="0"/>
    <n v="0"/>
    <n v="0"/>
    <s v="Y"/>
  </r>
  <r>
    <x v="0"/>
    <x v="17"/>
    <x v="2"/>
    <x v="24"/>
    <s v="Implement - L1/L2 CoE for Additional Platforms"/>
    <s v="Tech Shared Services"/>
    <x v="5"/>
    <m/>
    <m/>
    <m/>
    <s v="Prj000353-Implement - L1/L2 CoE for Additional Platforms"/>
    <x v="1"/>
    <x v="2"/>
    <s v="RTB- MS"/>
    <m/>
    <s v="Outsourced"/>
    <s v="Run the Business Contractors and Outsource Services"/>
    <s v="RTB Expenses - Contractor"/>
    <s v="New 2026 BoW"/>
    <n v="0"/>
    <n v="165000"/>
    <n v="0"/>
    <n v="0"/>
    <n v="0"/>
    <n v="0"/>
    <n v="0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2"/>
    <x v="11"/>
    <x v="25"/>
    <s v="Implement - Strategic Modules for LIQ"/>
    <s v="Operations Technology"/>
    <x v="2"/>
    <m/>
    <m/>
    <m/>
    <s v="Prj000489-Implement - Strategic Modules for LIQ"/>
    <x v="1"/>
    <x v="5"/>
    <s v="RTB- FPC"/>
    <m/>
    <s v="Information Technology"/>
    <s v="Managed Service - Core"/>
    <s v="RTB Expenses - Contractor"/>
    <s v="New 2026 BoW"/>
    <n v="0"/>
    <n v="50000"/>
    <n v="0"/>
    <n v="0"/>
    <n v="0"/>
    <n v="0"/>
    <n v="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m/>
  </r>
  <r>
    <x v="0"/>
    <x v="23"/>
    <x v="2"/>
    <x v="26"/>
    <s v="Implement - WSO Own Instance (AM)"/>
    <s v="Operations Technology"/>
    <x v="2"/>
    <d v="2026-05-15T00:00:00"/>
    <d v="2026-07-31T00:00:00"/>
    <m/>
    <s v="Prj000482-Implement - WSO Own Instance (AM)"/>
    <x v="1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40000"/>
    <m/>
    <m/>
    <m/>
    <m/>
    <n v="40000"/>
    <m/>
    <m/>
    <m/>
    <m/>
    <m/>
    <m/>
    <m/>
    <n v="40000"/>
    <n v="0"/>
    <n v="0"/>
    <n v="0"/>
    <n v="0"/>
    <n v="0"/>
    <n v="-40000"/>
    <n v="-40000"/>
    <n v="0"/>
    <n v="0"/>
    <n v="0"/>
    <n v="0"/>
    <n v="0"/>
    <n v="-80000"/>
    <s v="New FPC &amp; T&amp;M contract with IVP for WSO Migration, we have allocated unutilised funds from Markit to this contract and not considered this as risk"/>
    <n v="40000"/>
    <n v="40000"/>
    <n v="80000"/>
    <m/>
  </r>
  <r>
    <x v="0"/>
    <x v="52"/>
    <x v="44"/>
    <x v="27"/>
    <s v="Implement - WSO Balance Sheet Mig &amp; Reporting"/>
    <s v="Operations Technology"/>
    <x v="2"/>
    <m/>
    <m/>
    <m/>
    <s v="Prj000211-Implement - WSO Balance Sheet Mig &amp; Reporting"/>
    <x v="1"/>
    <x v="5"/>
    <s v="RTB- FPC"/>
    <m/>
    <s v="Information Technology"/>
    <s v="Managed Service - Core"/>
    <s v="RTB Expenses - Contractor"/>
    <s v="New 2026 BoW"/>
    <m/>
    <n v="500000"/>
    <n v="0"/>
    <n v="0"/>
    <n v="0"/>
    <n v="0"/>
    <n v="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23"/>
    <x v="12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x v="1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3"/>
    <x v="12"/>
    <x v="13"/>
    <s v="Implement - Reporting for Internal Audit"/>
    <s v="Enterprise Architecture, Data Analytics &amp; AI"/>
    <x v="5"/>
    <m/>
    <m/>
    <s v="New FPC BOW"/>
    <s v="Prj000548-Implement - Reporting for Internal Audit"/>
    <x v="1"/>
    <x v="5"/>
    <s v="RTB- FPC"/>
    <m/>
    <s v="Outsourced"/>
    <s v="Run the Business Contractors and Outsource Services"/>
    <s v="RTB Expenses - Contractor"/>
    <s v="New 2026 BoW"/>
    <n v="0"/>
    <n v="500000"/>
    <n v="0"/>
    <n v="0"/>
    <n v="0"/>
    <n v="0"/>
    <n v="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34"/>
    <x v="25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x v="1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0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74169.56"/>
    <n v="0"/>
    <n v="0"/>
    <m/>
  </r>
  <r>
    <x v="0"/>
    <x v="37"/>
    <x v="28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x v="0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m/>
  </r>
  <r>
    <x v="0"/>
    <x v="23"/>
    <x v="12"/>
    <x v="31"/>
    <s v="Implement - Minor Enhancements for Data Services"/>
    <s v="Asset Management Technology &amp; Data Services"/>
    <x v="4"/>
    <m/>
    <m/>
    <m/>
    <s v="Prj000402-Implement - Minor Enhancements for Data Services"/>
    <x v="1"/>
    <x v="2"/>
    <s v="RTB- MS"/>
    <m/>
    <s v="Outsourced"/>
    <s v="Run the Business Contractors and Outsource Services"/>
    <s v="RTB Expenses - Contractor"/>
    <s v="New 2026 BoW"/>
    <n v="0"/>
    <n v="100000"/>
    <n v="0"/>
    <n v="0"/>
    <n v="0"/>
    <n v="0"/>
    <n v="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73"/>
    <x v="2"/>
    <x v="32"/>
    <s v="Implement - Fund Acctn Modules to Support BS Transition"/>
    <s v="Finance &amp; Treasury Technology"/>
    <x v="2"/>
    <m/>
    <m/>
    <m/>
    <s v="Prj000278-Implement - Fund Acctn Modules to Support BS Transition"/>
    <x v="1"/>
    <x v="5"/>
    <s v="CTB- FPC"/>
    <m/>
    <s v="Consulting"/>
    <s v="Consulting Change the Business"/>
    <s v="CTB Expenses - Consulting"/>
    <s v="New 2026 BoW"/>
    <n v="0"/>
    <n v="250000"/>
    <n v="150000"/>
    <n v="150000"/>
    <n v="0"/>
    <n v="0"/>
    <n v="0"/>
    <s v="New 2026 BoW (Capitalizable)"/>
    <m/>
    <m/>
    <m/>
    <m/>
    <m/>
    <m/>
    <m/>
    <n v="3500"/>
    <m/>
    <m/>
    <m/>
    <n v="1465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-3500"/>
    <n v="0"/>
    <n v="0"/>
    <n v="0"/>
    <n v="-146500"/>
    <n v="-150000"/>
    <s v="Placeholder funds for new initiatives have been forecasted as per Leon's instruction for utilisation and potential opportunities"/>
    <n v="0"/>
    <n v="0"/>
    <n v="150000"/>
    <s v="Y"/>
  </r>
  <r>
    <x v="0"/>
    <x v="74"/>
    <x v="2"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x v="0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n v="113850"/>
    <m/>
    <m/>
    <m/>
    <m/>
    <m/>
    <m/>
    <n v="113850"/>
    <n v="0"/>
    <m/>
    <m/>
    <m/>
    <m/>
    <m/>
    <n v="113850"/>
    <m/>
    <m/>
    <m/>
    <m/>
    <m/>
    <m/>
    <n v="113850"/>
    <n v="0"/>
    <n v="0"/>
    <n v="0"/>
    <n v="0"/>
    <n v="0"/>
    <n v="0"/>
    <n v="0"/>
    <n v="0"/>
    <n v="0"/>
    <n v="0"/>
    <n v="0"/>
    <n v="0"/>
    <n v="0"/>
    <s v="ChatGPT Enterprise - 250 License| 500 credits / seat / month Period: Jun 18, 2026 - Jun 17, 2027"/>
    <n v="113850"/>
    <n v="0"/>
    <n v="0"/>
    <m/>
  </r>
  <r>
    <x v="0"/>
    <x v="17"/>
    <x v="2"/>
    <x v="24"/>
    <s v="Implement - L1/L2 CoE for Additional Platforms"/>
    <s v="Tech Shared Services"/>
    <x v="5"/>
    <d v="2026-01-01T00:00:00"/>
    <d v="2026-03-31T00:00:00"/>
    <m/>
    <s v="Prj000353-Implement - L1/L2 CoE for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21276"/>
    <n v="0"/>
    <n v="-21276"/>
    <n v="0"/>
    <n v="-21276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s v="Y"/>
  </r>
  <r>
    <x v="0"/>
    <x v="17"/>
    <x v="2"/>
    <x v="33"/>
    <s v="Support - PMO Governance &amp; Reporting Activities"/>
    <s v="Cos, PMO &amp; Enterprise Technology"/>
    <x v="1"/>
    <m/>
    <m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ew 2026 BoW"/>
    <n v="0"/>
    <n v="100000"/>
    <n v="0"/>
    <n v="0"/>
    <n v="0"/>
    <n v="0"/>
    <n v="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m/>
  </r>
  <r>
    <x v="0"/>
    <x v="75"/>
    <x v="2"/>
    <x v="5"/>
    <s v="Support - Prod Support for Credit Apps"/>
    <s v="Credit Technology"/>
    <x v="2"/>
    <d v="2026-01-01T00:00:00"/>
    <d v="2026-12-31T00:00:00"/>
    <s v="BMS"/>
    <s v="Prj000381-Support - Prod Support for Credit Apps"/>
    <x v="0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932336.0099999998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932336.00999999989"/>
    <n v="0"/>
    <n v="932336.00999999989"/>
    <m/>
  </r>
  <r>
    <x v="0"/>
    <x v="76"/>
    <x v="49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x v="0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42164.185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42164.185"/>
    <n v="0"/>
    <n v="142164.185"/>
    <m/>
  </r>
  <r>
    <x v="0"/>
    <x v="52"/>
    <x v="50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Annual Expensed"/>
    <n v="0"/>
    <n v="0"/>
    <n v="0"/>
    <n v="0"/>
    <n v="0"/>
    <n v="0"/>
    <n v="0"/>
    <s v="WSO Web Services - Subs/ WSO Web/AUM/SubVar- Potential Risk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 $232,488/-"/>
    <n v="0"/>
    <n v="0"/>
    <n v="0"/>
    <m/>
  </r>
  <r>
    <x v="0"/>
    <x v="53"/>
    <x v="45"/>
    <x v="8"/>
    <s v="T&amp;M"/>
    <s v="Infra Svcs &amp; User Enblt Tech"/>
    <x v="5"/>
    <d v="2026-07-01T00:00:00"/>
    <d v="2026-12-31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m/>
  </r>
  <r>
    <x v="0"/>
    <x v="23"/>
    <x v="12"/>
    <x v="8"/>
    <s v="T&amp;M"/>
    <s v="Infra Svcs &amp; User Enblt Tech"/>
    <x v="5"/>
    <d v="2026-07-01T00:00:00"/>
    <d v="2026-12-31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1557600"/>
    <n v="1557600"/>
    <n v="0"/>
    <n v="0"/>
    <n v="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m/>
  </r>
  <r>
    <x v="0"/>
    <x v="73"/>
    <x v="2"/>
    <x v="33"/>
    <s v="Support - PMO Governance &amp; Reporting Activities"/>
    <s v="Cos, PMO &amp; Enterprise Technology"/>
    <x v="1"/>
    <s v="NA"/>
    <s v="NA"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A"/>
    <n v="0"/>
    <n v="0"/>
    <n v="642"/>
    <n v="0"/>
    <n v="-642"/>
    <n v="0"/>
    <n v="-642"/>
    <s v="Hard Opportunity- Variance from OneStream Budget vs IT Budget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0"/>
    <m/>
  </r>
  <r>
    <x v="0"/>
    <x v="19"/>
    <x v="9"/>
    <x v="8"/>
    <s v="T&amp;M"/>
    <s v=""/>
    <x v="1"/>
    <d v="2026-03-16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72000"/>
    <n v="69325"/>
    <n v="-2675"/>
    <n v="0"/>
    <n v="-2675"/>
    <s v="Swati Yadav"/>
    <m/>
    <m/>
    <n v="3760"/>
    <n v="7520"/>
    <n v="7520"/>
    <n v="7520"/>
    <n v="7520"/>
    <n v="7520"/>
    <n v="7520"/>
    <n v="7520"/>
    <n v="7520"/>
    <n v="7520"/>
    <n v="71440"/>
    <n v="4512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11280"/>
    <n v="56400"/>
    <m/>
  </r>
  <r>
    <x v="0"/>
    <x v="19"/>
    <x v="9"/>
    <x v="8"/>
    <s v="T&amp;M"/>
    <s v=""/>
    <x v="0"/>
    <d v="2026-02-04T00:00:00"/>
    <d v="2026-07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752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7520"/>
    <n v="15040"/>
    <m/>
  </r>
  <r>
    <x v="0"/>
    <x v="77"/>
    <x v="51"/>
    <x v="11"/>
    <s v="Support - Prod Support for Ops Apps"/>
    <s v="Operations Technology"/>
    <x v="2"/>
    <d v="2026-03-01T00:00:00"/>
    <d v="2026-12-31T00:00:00"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0"/>
    <n v="0"/>
    <n v="0"/>
    <n v="17623.03"/>
    <n v="0"/>
    <n v="17623.03"/>
    <n v="17623.03"/>
    <s v="FX - EURO"/>
    <m/>
    <m/>
    <m/>
    <n v="15208"/>
    <m/>
    <m/>
    <m/>
    <m/>
    <m/>
    <m/>
    <m/>
    <m/>
    <n v="15208"/>
    <n v="0"/>
    <m/>
    <m/>
    <m/>
    <n v="17623.03"/>
    <m/>
    <m/>
    <m/>
    <m/>
    <m/>
    <m/>
    <m/>
    <m/>
    <n v="17623.03"/>
    <n v="0"/>
    <n v="0"/>
    <n v="0"/>
    <n v="2415.0299999999988"/>
    <n v="0"/>
    <n v="0"/>
    <n v="0"/>
    <n v="0"/>
    <n v="0"/>
    <n v="0"/>
    <n v="0"/>
    <n v="0"/>
    <n v="2415.0299999999988"/>
    <s v="Nore is data source provider for Refinitive - not part of initial budget"/>
    <n v="17623.03"/>
    <n v="0"/>
    <n v="0"/>
    <m/>
  </r>
  <r>
    <x v="0"/>
    <x v="78"/>
    <x v="2"/>
    <x v="8"/>
    <s v="T&amp;M"/>
    <m/>
    <x v="0"/>
    <m/>
    <m/>
    <m/>
    <s v="T&amp;M-T&amp;M"/>
    <x v="1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m/>
  </r>
  <r>
    <x v="0"/>
    <x v="79"/>
    <x v="2"/>
    <x v="11"/>
    <s v="Support - Prod Support for Ops Apps"/>
    <s v="Operations Technology"/>
    <x v="2"/>
    <d v="2025-12-01T00:00:00"/>
    <d v="2026-12-31T00:00:00"/>
    <s v="LIQ"/>
    <s v="Prj000469-Support - Prod Support for Ops Apps"/>
    <x v="0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7">
    <format dxfId="373">
      <pivotArea outline="0" collapsedLevelsAreSubtotals="1" fieldPosition="0"/>
    </format>
    <format dxfId="374">
      <pivotArea type="all" dataOnly="0" outline="0" fieldPosition="0"/>
    </format>
    <format dxfId="375">
      <pivotArea outline="0" collapsedLevelsAreSubtotals="1" fieldPosition="0"/>
    </format>
    <format dxfId="376">
      <pivotArea field="6" type="button" dataOnly="0" labelOnly="1" outline="0" axis="axisRow" fieldPosition="0"/>
    </format>
    <format dxfId="377">
      <pivotArea dataOnly="0" labelOnly="1" fieldPosition="0">
        <references count="1">
          <reference field="6" count="0"/>
        </references>
      </pivotArea>
    </format>
    <format dxfId="378">
      <pivotArea dataOnly="0" labelOnly="1" grandRow="1" outline="0" fieldPosition="0"/>
    </format>
    <format dxfId="3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2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sd="0" x="5"/>
        <item sd="0" x="0"/>
        <item sd="0" x="2"/>
        <item sd="0" x="4"/>
        <item sd="0" x="3"/>
        <item sd="0" x="1"/>
        <item sd="0" x="6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Risk/(Opportunity)" fld="25" baseField="0" baseItem="0" numFmtId="166"/>
  </dataFields>
  <formats count="17">
    <format dxfId="356">
      <pivotArea outline="0" collapsedLevelsAreSubtotals="1" fieldPosition="0"/>
    </format>
    <format dxfId="357">
      <pivotArea type="all" dataOnly="0" outline="0" fieldPosition="0"/>
    </format>
    <format dxfId="358">
      <pivotArea outline="0" collapsedLevelsAreSubtotals="1" fieldPosition="0"/>
    </format>
    <format dxfId="359">
      <pivotArea type="origin" dataOnly="0" labelOnly="1" outline="0" fieldPosition="0"/>
    </format>
    <format dxfId="360">
      <pivotArea field="-2" type="button" dataOnly="0" labelOnly="1" outline="0" axis="axisCol" fieldPosition="0"/>
    </format>
    <format dxfId="361">
      <pivotArea type="topRight" dataOnly="0" labelOnly="1" outline="0" fieldPosition="0"/>
    </format>
    <format dxfId="362">
      <pivotArea field="6" type="button" dataOnly="0" labelOnly="1" outline="0" axis="axisRow" fieldPosition="0"/>
    </format>
    <format dxfId="363">
      <pivotArea field="12" type="button" dataOnly="0" labelOnly="1" outline="0" axis="axisRow" fieldPosition="1"/>
    </format>
    <format dxfId="364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365">
      <pivotArea dataOnly="0" labelOnly="1" grandRow="1" outline="0" fieldPosition="0"/>
    </format>
    <format dxfId="3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7">
      <pivotArea field="6" type="button" dataOnly="0" labelOnly="1" outline="0" axis="axisRow" fieldPosition="0"/>
    </format>
    <format dxfId="368">
      <pivotArea field="12" type="button" dataOnly="0" labelOnly="1" outline="0" axis="axisRow" fieldPosition="1"/>
    </format>
    <format dxfId="3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0">
      <pivotArea field="6" type="button" dataOnly="0" labelOnly="1" outline="0" axis="axisRow" fieldPosition="0"/>
    </format>
    <format dxfId="371">
      <pivotArea field="12" type="button" dataOnly="0" labelOnly="1" outline="0" axis="axisRow" fieldPosition="1"/>
    </format>
    <format dxfId="37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2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showAll="0"/>
    <pivotField numFmtId="166"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11">
    <format dxfId="345">
      <pivotArea outline="0" collapsedLevelsAreSubtotals="1" fieldPosition="0"/>
    </format>
    <format dxfId="346">
      <pivotArea type="all" dataOnly="0" outline="0" fieldPosition="0"/>
    </format>
    <format dxfId="347">
      <pivotArea outline="0" collapsedLevelsAreSubtotals="1" fieldPosition="0"/>
    </format>
    <format dxfId="348">
      <pivotArea field="12" type="button" dataOnly="0" labelOnly="1" outline="0" axis="axisRow" fieldPosition="0"/>
    </format>
    <format dxfId="349">
      <pivotArea dataOnly="0" labelOnly="1" fieldPosition="0">
        <references count="1">
          <reference field="12" count="7">
            <x v="1"/>
            <x v="2"/>
            <x v="3"/>
            <x v="4"/>
            <x v="5"/>
            <x v="6"/>
            <x v="7"/>
          </reference>
        </references>
      </pivotArea>
    </format>
    <format dxfId="350">
      <pivotArea dataOnly="0" labelOnly="1" grandRow="1" outline="0" fieldPosition="0"/>
    </format>
    <format dxfId="35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52">
      <pivotArea field="12" type="button" dataOnly="0" labelOnly="1" outline="0" axis="axisRow" fieldPosition="0"/>
    </format>
    <format dxfId="3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354">
      <pivotArea field="12" type="button" dataOnly="0" labelOnly="1" outline="0" axis="axisRow" fieldPosition="0"/>
    </format>
    <format dxfId="355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194AD-3EAC-4A7C-8FDC-CB6265A0EBB1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260" firstHeaderRow="0" firstDataRow="1" firstDataCol="1" rowPageCount="1" colPageCount="1"/>
  <pivotFields count="72">
    <pivotField axis="axisPage" multipleItemSelectionAllowed="1" showAll="0">
      <items count="6">
        <item h="1" x="4"/>
        <item h="1" x="3"/>
        <item x="0"/>
        <item x="1"/>
        <item x="2"/>
        <item t="default"/>
      </items>
    </pivotField>
    <pivotField axis="axisRow" showAll="0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1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11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1"/>
        <item x="0"/>
        <item t="default"/>
      </items>
    </pivotField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dataField="1" numFmtId="166" showAll="0"/>
    <pivotField numFmtId="166" showAll="0"/>
    <pivotField dataField="1" numFmtId="166" showAll="0"/>
    <pivotField showAll="0"/>
  </pivotFields>
  <rowFields count="3">
    <field x="1"/>
    <field x="11"/>
    <field x="12"/>
  </rowFields>
  <rowItems count="256">
    <i>
      <x/>
    </i>
    <i r="1">
      <x v="2"/>
    </i>
    <i r="2">
      <x v="1"/>
    </i>
    <i>
      <x v="1"/>
    </i>
    <i r="1">
      <x v="3"/>
    </i>
    <i r="2">
      <x v="7"/>
    </i>
    <i>
      <x v="2"/>
    </i>
    <i r="1">
      <x v="3"/>
    </i>
    <i r="2">
      <x v="7"/>
    </i>
    <i>
      <x v="3"/>
    </i>
    <i r="1">
      <x v="3"/>
    </i>
    <i r="2">
      <x v="3"/>
    </i>
    <i>
      <x v="5"/>
    </i>
    <i r="1">
      <x v="2"/>
    </i>
    <i r="2">
      <x v="4"/>
    </i>
    <i>
      <x v="6"/>
    </i>
    <i r="1">
      <x v="2"/>
    </i>
    <i r="2">
      <x v="5"/>
    </i>
    <i>
      <x v="7"/>
    </i>
    <i r="1">
      <x v="3"/>
    </i>
    <i r="2">
      <x v="6"/>
    </i>
    <i>
      <x v="8"/>
    </i>
    <i r="1">
      <x v="3"/>
    </i>
    <i r="2">
      <x v="3"/>
    </i>
    <i>
      <x v="9"/>
    </i>
    <i r="1">
      <x v="3"/>
    </i>
    <i r="2">
      <x v="3"/>
    </i>
    <i>
      <x v="10"/>
    </i>
    <i r="1">
      <x v="3"/>
    </i>
    <i r="2">
      <x v="3"/>
    </i>
    <i>
      <x v="11"/>
    </i>
    <i r="1">
      <x v="3"/>
    </i>
    <i r="2">
      <x v="6"/>
    </i>
    <i>
      <x v="12"/>
    </i>
    <i r="1">
      <x v="3"/>
    </i>
    <i r="2">
      <x v="7"/>
    </i>
    <i>
      <x v="13"/>
    </i>
    <i r="1">
      <x v="3"/>
    </i>
    <i r="2">
      <x v="7"/>
    </i>
    <i>
      <x v="14"/>
    </i>
    <i r="1">
      <x v="3"/>
    </i>
    <i r="2">
      <x v="5"/>
    </i>
    <i r="2">
      <x v="7"/>
    </i>
    <i>
      <x v="15"/>
    </i>
    <i r="1">
      <x v="3"/>
    </i>
    <i r="2">
      <x v="2"/>
    </i>
    <i r="2">
      <x v="3"/>
    </i>
    <i r="2">
      <x v="7"/>
    </i>
    <i>
      <x v="16"/>
    </i>
    <i r="1">
      <x v="3"/>
    </i>
    <i r="2">
      <x v="3"/>
    </i>
    <i>
      <x v="17"/>
    </i>
    <i r="1">
      <x v="3"/>
    </i>
    <i r="2">
      <x v="6"/>
    </i>
    <i>
      <x v="18"/>
    </i>
    <i r="1">
      <x v="3"/>
    </i>
    <i r="2">
      <x v="7"/>
    </i>
    <i>
      <x v="19"/>
    </i>
    <i r="1">
      <x v="3"/>
    </i>
    <i r="2">
      <x v="7"/>
    </i>
    <i>
      <x v="20"/>
    </i>
    <i r="1">
      <x v="3"/>
    </i>
    <i r="2">
      <x v="7"/>
    </i>
    <i>
      <x v="21"/>
    </i>
    <i r="1">
      <x v="3"/>
    </i>
    <i r="2">
      <x v="7"/>
    </i>
    <i>
      <x v="22"/>
    </i>
    <i r="1">
      <x v="3"/>
    </i>
    <i r="2">
      <x v="7"/>
    </i>
    <i>
      <x v="23"/>
    </i>
    <i r="1">
      <x v="2"/>
    </i>
    <i r="2">
      <x v="1"/>
    </i>
    <i r="2">
      <x v="4"/>
    </i>
    <i r="2">
      <x v="5"/>
    </i>
    <i r="1">
      <x v="3"/>
    </i>
    <i r="2">
      <x v="7"/>
    </i>
    <i>
      <x v="24"/>
    </i>
    <i r="1">
      <x v="3"/>
    </i>
    <i r="2">
      <x v="3"/>
    </i>
    <i>
      <x v="25"/>
    </i>
    <i r="1">
      <x v="3"/>
    </i>
    <i r="2">
      <x v="3"/>
    </i>
    <i>
      <x v="26"/>
    </i>
    <i r="1">
      <x v="2"/>
    </i>
    <i r="2">
      <x v="4"/>
    </i>
    <i>
      <x v="27"/>
    </i>
    <i r="1">
      <x v="3"/>
    </i>
    <i r="2">
      <x v="3"/>
    </i>
    <i r="2">
      <x v="6"/>
    </i>
    <i>
      <x v="28"/>
    </i>
    <i r="1">
      <x v="3"/>
    </i>
    <i r="2">
      <x v="7"/>
    </i>
    <i>
      <x v="29"/>
    </i>
    <i r="1">
      <x v="3"/>
    </i>
    <i r="2">
      <x v="7"/>
    </i>
    <i>
      <x v="30"/>
    </i>
    <i r="1">
      <x v="3"/>
    </i>
    <i r="2">
      <x v="7"/>
    </i>
    <i>
      <x v="31"/>
    </i>
    <i r="1">
      <x v="2"/>
    </i>
    <i r="2">
      <x v="1"/>
    </i>
    <i r="1">
      <x v="3"/>
    </i>
    <i r="2">
      <x v="7"/>
    </i>
    <i>
      <x v="32"/>
    </i>
    <i r="1">
      <x v="3"/>
    </i>
    <i r="2">
      <x v="7"/>
    </i>
    <i>
      <x v="33"/>
    </i>
    <i r="1">
      <x v="3"/>
    </i>
    <i r="2">
      <x v="6"/>
    </i>
    <i>
      <x v="34"/>
    </i>
    <i r="1">
      <x v="3"/>
    </i>
    <i r="2">
      <x v="7"/>
    </i>
    <i>
      <x v="36"/>
    </i>
    <i r="1">
      <x v="3"/>
    </i>
    <i r="2">
      <x v="7"/>
    </i>
    <i>
      <x v="37"/>
    </i>
    <i r="1">
      <x v="3"/>
    </i>
    <i r="2">
      <x v="6"/>
    </i>
    <i>
      <x v="38"/>
    </i>
    <i r="1">
      <x v="3"/>
    </i>
    <i r="2">
      <x v="7"/>
    </i>
    <i>
      <x v="39"/>
    </i>
    <i r="1">
      <x v="2"/>
    </i>
    <i r="2">
      <x v="1"/>
    </i>
    <i r="2">
      <x v="4"/>
    </i>
    <i r="2">
      <x v="5"/>
    </i>
    <i r="1">
      <x v="3"/>
    </i>
    <i r="2">
      <x v="7"/>
    </i>
    <i>
      <x v="40"/>
    </i>
    <i r="1">
      <x v="3"/>
    </i>
    <i r="2">
      <x v="7"/>
    </i>
    <i>
      <x v="41"/>
    </i>
    <i r="1">
      <x v="2"/>
    </i>
    <i r="2">
      <x v="4"/>
    </i>
    <i>
      <x v="42"/>
    </i>
    <i r="1">
      <x v="3"/>
    </i>
    <i r="2">
      <x v="3"/>
    </i>
    <i>
      <x v="43"/>
    </i>
    <i r="1">
      <x v="3"/>
    </i>
    <i r="2">
      <x v="3"/>
    </i>
    <i>
      <x v="44"/>
    </i>
    <i r="1">
      <x v="3"/>
    </i>
    <i r="2">
      <x v="7"/>
    </i>
    <i>
      <x v="45"/>
    </i>
    <i r="1">
      <x v="3"/>
    </i>
    <i r="2">
      <x v="3"/>
    </i>
    <i>
      <x v="46"/>
    </i>
    <i r="1">
      <x v="3"/>
    </i>
    <i r="2">
      <x v="7"/>
    </i>
    <i>
      <x v="47"/>
    </i>
    <i r="1">
      <x v="3"/>
    </i>
    <i r="2">
      <x v="7"/>
    </i>
    <i>
      <x v="48"/>
    </i>
    <i r="1">
      <x v="2"/>
    </i>
    <i r="2">
      <x v="1"/>
    </i>
    <i r="1">
      <x v="3"/>
    </i>
    <i r="2">
      <x v="7"/>
    </i>
    <i>
      <x v="49"/>
    </i>
    <i r="1">
      <x v="3"/>
    </i>
    <i r="2">
      <x v="3"/>
    </i>
    <i r="2">
      <x v="7"/>
    </i>
    <i>
      <x v="50"/>
    </i>
    <i r="1">
      <x v="3"/>
    </i>
    <i r="2">
      <x v="7"/>
    </i>
    <i>
      <x v="51"/>
    </i>
    <i r="1">
      <x v="3"/>
    </i>
    <i r="2">
      <x v="6"/>
    </i>
    <i>
      <x v="52"/>
    </i>
    <i r="1">
      <x v="2"/>
    </i>
    <i r="2">
      <x v="5"/>
    </i>
    <i r="1">
      <x v="3"/>
    </i>
    <i r="2">
      <x v="7"/>
    </i>
    <i>
      <x v="53"/>
    </i>
    <i r="1">
      <x v="3"/>
    </i>
    <i r="2">
      <x v="6"/>
    </i>
    <i>
      <x v="54"/>
    </i>
    <i r="1">
      <x v="3"/>
    </i>
    <i r="2">
      <x v="6"/>
    </i>
    <i>
      <x v="55"/>
    </i>
    <i r="1">
      <x v="3"/>
    </i>
    <i r="2">
      <x v="7"/>
    </i>
    <i>
      <x v="56"/>
    </i>
    <i r="1">
      <x v="3"/>
    </i>
    <i r="2">
      <x v="7"/>
    </i>
    <i>
      <x v="57"/>
    </i>
    <i r="1">
      <x v="3"/>
    </i>
    <i r="2">
      <x v="7"/>
    </i>
    <i>
      <x v="59"/>
    </i>
    <i r="1">
      <x v="3"/>
    </i>
    <i r="2">
      <x v="7"/>
    </i>
    <i>
      <x v="60"/>
    </i>
    <i r="1">
      <x v="3"/>
    </i>
    <i r="2">
      <x v="3"/>
    </i>
    <i>
      <x v="61"/>
    </i>
    <i r="1">
      <x v="2"/>
    </i>
    <i r="2">
      <x v="4"/>
    </i>
    <i>
      <x v="62"/>
    </i>
    <i r="1">
      <x v="3"/>
    </i>
    <i r="2">
      <x v="6"/>
    </i>
    <i>
      <x v="63"/>
    </i>
    <i r="1">
      <x v="3"/>
    </i>
    <i r="2">
      <x v="7"/>
    </i>
    <i>
      <x v="64"/>
    </i>
    <i r="1">
      <x v="3"/>
    </i>
    <i r="2">
      <x v="3"/>
    </i>
    <i>
      <x v="65"/>
    </i>
    <i r="1">
      <x v="3"/>
    </i>
    <i r="2">
      <x v="7"/>
    </i>
    <i>
      <x v="66"/>
    </i>
    <i r="1">
      <x v="3"/>
    </i>
    <i r="2">
      <x v="7"/>
    </i>
    <i>
      <x v="67"/>
    </i>
    <i r="1">
      <x v="3"/>
    </i>
    <i r="2">
      <x v="2"/>
    </i>
    <i r="2">
      <x v="3"/>
    </i>
    <i r="2">
      <x v="7"/>
    </i>
    <i>
      <x v="68"/>
    </i>
    <i r="1">
      <x v="3"/>
    </i>
    <i r="2">
      <x v="7"/>
    </i>
    <i>
      <x v="69"/>
    </i>
    <i r="1">
      <x v="3"/>
    </i>
    <i r="2">
      <x v="7"/>
    </i>
    <i>
      <x v="70"/>
    </i>
    <i r="1">
      <x v="3"/>
    </i>
    <i r="2">
      <x v="7"/>
    </i>
    <i>
      <x v="72"/>
    </i>
    <i r="1">
      <x v="3"/>
    </i>
    <i r="2">
      <x v="7"/>
    </i>
    <i>
      <x v="73"/>
    </i>
    <i r="1">
      <x v="3"/>
    </i>
    <i r="2">
      <x v="7"/>
    </i>
    <i>
      <x v="74"/>
    </i>
    <i r="1">
      <x v="3"/>
    </i>
    <i r="2">
      <x v="7"/>
    </i>
    <i>
      <x v="76"/>
    </i>
    <i r="1">
      <x v="3"/>
    </i>
    <i r="2">
      <x v="6"/>
    </i>
    <i>
      <x v="77"/>
    </i>
    <i r="1">
      <x v="3"/>
    </i>
    <i r="2">
      <x v="6"/>
    </i>
    <i>
      <x v="78"/>
    </i>
    <i r="1">
      <x v="3"/>
    </i>
    <i r="2">
      <x v="3"/>
    </i>
    <i>
      <x v="79"/>
    </i>
    <i r="1">
      <x v="2"/>
    </i>
    <i r="2">
      <x v="5"/>
    </i>
    <i>
      <x v="80"/>
    </i>
    <i r="1">
      <x v="3"/>
    </i>
    <i r="2">
      <x v="7"/>
    </i>
    <i>
      <x v="81"/>
    </i>
    <i r="1">
      <x v="3"/>
    </i>
    <i r="2">
      <x v="7"/>
    </i>
    <i>
      <x v="82"/>
    </i>
    <i r="1">
      <x v="3"/>
    </i>
    <i r="2"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0" hier="-1"/>
  </pageFields>
  <dataFields count="7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252">
    <format dxfId="93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94">
      <pivotArea collapsedLevelsAreSubtotals="1" fieldPosition="0">
        <references count="2">
          <reference field="4294967294" count="1" selected="0">
            <x v="0"/>
          </reference>
          <reference field="1" count="5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9"/>
            <x v="60"/>
          </reference>
        </references>
      </pivotArea>
    </format>
    <format dxfId="95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1" count="1">
            <x v="2"/>
          </reference>
        </references>
      </pivotArea>
    </format>
    <format dxfId="9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98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1" count="1">
            <x v="3"/>
          </reference>
        </references>
      </pivotArea>
    </format>
    <format dxfId="10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1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1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1" count="1">
            <x v="3"/>
          </reference>
        </references>
      </pivotArea>
    </format>
    <format dxfId="10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4">
      <pivotArea collapsedLevelsAreSubtotals="1" fieldPosition="0">
        <references count="2">
          <reference field="4294967294" count="1" selected="0">
            <x v="0"/>
          </reference>
          <reference field="1" count="1">
            <x v="3"/>
          </reference>
        </references>
      </pivotArea>
    </format>
    <format dxfId="1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1" count="1">
            <x v="3"/>
          </reference>
        </references>
      </pivotArea>
    </format>
    <format dxfId="10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07">
      <pivotArea collapsedLevelsAreSubtotals="1" fieldPosition="0">
        <references count="2">
          <reference field="4294967294" count="1" selected="0">
            <x v="0"/>
          </reference>
          <reference field="1" count="1">
            <x v="4"/>
          </reference>
        </references>
      </pivotArea>
    </format>
    <format dxfId="1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1" count="1">
            <x v="0"/>
          </reference>
        </references>
      </pivotArea>
    </format>
    <format dxfId="10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11" count="1" selected="0">
            <x v="0"/>
          </reference>
          <reference field="12" count="1">
            <x v="6"/>
          </reference>
        </references>
      </pivotArea>
    </format>
    <format dxfId="110">
      <pivotArea collapsedLevelsAreSubtotals="1" fieldPosition="0">
        <references count="2">
          <reference field="4294967294" count="1" selected="0">
            <x v="0"/>
          </reference>
          <reference field="1" count="1">
            <x v="5"/>
          </reference>
        </references>
      </pivotArea>
    </format>
    <format dxfId="1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11" count="1">
            <x v="2"/>
          </reference>
        </references>
      </pivotArea>
    </format>
    <format dxfId="11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13">
      <pivotArea collapsedLevelsAreSubtotals="1" fieldPosition="0">
        <references count="2">
          <reference field="4294967294" count="1" selected="0">
            <x v="0"/>
          </reference>
          <reference field="1" count="1">
            <x v="6"/>
          </reference>
        </references>
      </pivotArea>
    </format>
    <format dxfId="1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11" count="1">
            <x v="2"/>
          </reference>
        </references>
      </pivotArea>
    </format>
    <format dxfId="11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116">
      <pivotArea collapsedLevelsAreSubtotals="1" fieldPosition="0">
        <references count="2">
          <reference field="4294967294" count="1" selected="0">
            <x v="0"/>
          </reference>
          <reference field="1" count="1">
            <x v="7"/>
          </reference>
        </references>
      </pivotArea>
    </format>
    <format dxfId="1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11" count="1">
            <x v="3"/>
          </reference>
        </references>
      </pivotArea>
    </format>
    <format dxfId="11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19">
      <pivotArea collapsedLevelsAreSubtotals="1" fieldPosition="0">
        <references count="2">
          <reference field="4294967294" count="1" selected="0">
            <x v="0"/>
          </reference>
          <reference field="1" count="1">
            <x v="8"/>
          </reference>
        </references>
      </pivotArea>
    </format>
    <format dxfId="1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11" count="1">
            <x v="3"/>
          </reference>
        </references>
      </pivotArea>
    </format>
    <format dxfId="1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22">
      <pivotArea collapsedLevelsAreSubtotals="1" fieldPosition="0">
        <references count="2">
          <reference field="4294967294" count="1" selected="0">
            <x v="0"/>
          </reference>
          <reference field="1" count="1">
            <x v="9"/>
          </reference>
        </references>
      </pivotArea>
    </format>
    <format dxfId="1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11" count="1">
            <x v="3"/>
          </reference>
        </references>
      </pivotArea>
    </format>
    <format dxfId="12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9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25">
      <pivotArea collapsedLevelsAreSubtotals="1" fieldPosition="0">
        <references count="2">
          <reference field="4294967294" count="1" selected="0">
            <x v="0"/>
          </reference>
          <reference field="1" count="1">
            <x v="10"/>
          </reference>
        </references>
      </pivotArea>
    </format>
    <format dxfId="1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11" count="1">
            <x v="3"/>
          </reference>
        </references>
      </pivotArea>
    </format>
    <format dxfId="12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28">
      <pivotArea collapsedLevelsAreSubtotals="1" fieldPosition="0">
        <references count="2">
          <reference field="4294967294" count="1" selected="0">
            <x v="0"/>
          </reference>
          <reference field="1" count="1">
            <x v="11"/>
          </reference>
        </references>
      </pivotArea>
    </format>
    <format dxfId="1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11" count="1">
            <x v="3"/>
          </reference>
        </references>
      </pivotArea>
    </format>
    <format dxfId="13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31">
      <pivotArea collapsedLevelsAreSubtotals="1" fieldPosition="0">
        <references count="2">
          <reference field="4294967294" count="1" selected="0">
            <x v="0"/>
          </reference>
          <reference field="1" count="1">
            <x v="12"/>
          </reference>
        </references>
      </pivotArea>
    </format>
    <format dxfId="1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11" count="1">
            <x v="3"/>
          </reference>
        </references>
      </pivotArea>
    </format>
    <format dxfId="13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4">
      <pivotArea collapsedLevelsAreSubtotals="1" fieldPosition="0">
        <references count="2">
          <reference field="4294967294" count="1" selected="0">
            <x v="0"/>
          </reference>
          <reference field="1" count="1">
            <x v="13"/>
          </reference>
        </references>
      </pivotArea>
    </format>
    <format dxfId="1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11" count="1">
            <x v="3"/>
          </reference>
        </references>
      </pivotArea>
    </format>
    <format dxfId="13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7">
      <pivotArea collapsedLevelsAreSubtotals="1" fieldPosition="0">
        <references count="2">
          <reference field="4294967294" count="1" selected="0">
            <x v="0"/>
          </reference>
          <reference field="1" count="1">
            <x v="14"/>
          </reference>
        </references>
      </pivotArea>
    </format>
    <format dxfId="1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11" count="1">
            <x v="3"/>
          </reference>
        </references>
      </pivotArea>
    </format>
    <format dxfId="13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4"/>
          </reference>
          <reference field="11" count="1" selected="0">
            <x v="3"/>
          </reference>
          <reference field="12" count="2">
            <x v="5"/>
            <x v="7"/>
          </reference>
        </references>
      </pivotArea>
    </format>
    <format dxfId="140">
      <pivotArea collapsedLevelsAreSubtotals="1" fieldPosition="0">
        <references count="2">
          <reference field="4294967294" count="1" selected="0">
            <x v="0"/>
          </reference>
          <reference field="1" count="1">
            <x v="15"/>
          </reference>
        </references>
      </pivotArea>
    </format>
    <format dxfId="1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5"/>
          </reference>
          <reference field="11" count="1">
            <x v="3"/>
          </reference>
        </references>
      </pivotArea>
    </format>
    <format dxfId="14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5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143">
      <pivotArea collapsedLevelsAreSubtotals="1" fieldPosition="0">
        <references count="2">
          <reference field="4294967294" count="1" selected="0">
            <x v="0"/>
          </reference>
          <reference field="1" count="1">
            <x v="16"/>
          </reference>
        </references>
      </pivotArea>
    </format>
    <format dxfId="1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6"/>
          </reference>
          <reference field="11" count="1">
            <x v="3"/>
          </reference>
        </references>
      </pivotArea>
    </format>
    <format dxfId="14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6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46">
      <pivotArea collapsedLevelsAreSubtotals="1" fieldPosition="0">
        <references count="2">
          <reference field="4294967294" count="1" selected="0">
            <x v="0"/>
          </reference>
          <reference field="1" count="1">
            <x v="17"/>
          </reference>
        </references>
      </pivotArea>
    </format>
    <format dxfId="1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7"/>
          </reference>
          <reference field="11" count="1">
            <x v="3"/>
          </reference>
        </references>
      </pivotArea>
    </format>
    <format dxfId="14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49">
      <pivotArea collapsedLevelsAreSubtotals="1" fieldPosition="0">
        <references count="2">
          <reference field="4294967294" count="1" selected="0">
            <x v="0"/>
          </reference>
          <reference field="1" count="1">
            <x v="18"/>
          </reference>
        </references>
      </pivotArea>
    </format>
    <format dxfId="1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8"/>
          </reference>
          <reference field="11" count="1">
            <x v="3"/>
          </reference>
        </references>
      </pivotArea>
    </format>
    <format dxfId="15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2">
      <pivotArea collapsedLevelsAreSubtotals="1" fieldPosition="0">
        <references count="2">
          <reference field="4294967294" count="1" selected="0">
            <x v="0"/>
          </reference>
          <reference field="1" count="1">
            <x v="19"/>
          </reference>
        </references>
      </pivotArea>
    </format>
    <format dxfId="1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9"/>
          </reference>
          <reference field="11" count="1">
            <x v="3"/>
          </reference>
        </references>
      </pivotArea>
    </format>
    <format dxfId="15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5">
      <pivotArea collapsedLevelsAreSubtotals="1" fieldPosition="0">
        <references count="2">
          <reference field="4294967294" count="1" selected="0">
            <x v="0"/>
          </reference>
          <reference field="1" count="1">
            <x v="20"/>
          </reference>
        </references>
      </pivotArea>
    </format>
    <format dxfId="1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0"/>
          </reference>
          <reference field="11" count="1">
            <x v="3"/>
          </reference>
        </references>
      </pivotArea>
    </format>
    <format dxfId="15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8">
      <pivotArea collapsedLevelsAreSubtotals="1" fieldPosition="0">
        <references count="2">
          <reference field="4294967294" count="1" selected="0">
            <x v="0"/>
          </reference>
          <reference field="1" count="1">
            <x v="21"/>
          </reference>
        </references>
      </pivotArea>
    </format>
    <format dxfId="1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1"/>
          </reference>
          <reference field="11" count="1">
            <x v="3"/>
          </reference>
        </references>
      </pivotArea>
    </format>
    <format dxfId="16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1">
      <pivotArea collapsedLevelsAreSubtotals="1" fieldPosition="0">
        <references count="2">
          <reference field="4294967294" count="1" selected="0">
            <x v="0"/>
          </reference>
          <reference field="1" count="1">
            <x v="22"/>
          </reference>
        </references>
      </pivotArea>
    </format>
    <format dxfId="1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2"/>
          </reference>
          <reference field="11" count="1">
            <x v="3"/>
          </reference>
        </references>
      </pivotArea>
    </format>
    <format dxfId="1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4">
      <pivotArea collapsedLevelsAreSubtotals="1" fieldPosition="0">
        <references count="2">
          <reference field="4294967294" count="1" selected="0">
            <x v="0"/>
          </reference>
          <reference field="1" count="1">
            <x v="23"/>
          </reference>
        </references>
      </pivotArea>
    </format>
    <format dxfId="1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2"/>
          </reference>
        </references>
      </pivotArea>
    </format>
    <format dxfId="1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3"/>
          </reference>
        </references>
      </pivotArea>
    </format>
    <format dxfId="16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9">
      <pivotArea collapsedLevelsAreSubtotals="1" fieldPosition="0">
        <references count="2">
          <reference field="4294967294" count="1" selected="0">
            <x v="0"/>
          </reference>
          <reference field="1" count="1">
            <x v="24"/>
          </reference>
        </references>
      </pivotArea>
    </format>
    <format dxfId="1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4"/>
          </reference>
          <reference field="11" count="1">
            <x v="3"/>
          </reference>
        </references>
      </pivotArea>
    </format>
    <format dxfId="17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72">
      <pivotArea collapsedLevelsAreSubtotals="1" fieldPosition="0">
        <references count="2">
          <reference field="4294967294" count="1" selected="0">
            <x v="0"/>
          </reference>
          <reference field="1" count="1">
            <x v="25"/>
          </reference>
        </references>
      </pivotArea>
    </format>
    <format dxfId="1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5"/>
          </reference>
          <reference field="11" count="1">
            <x v="3"/>
          </reference>
        </references>
      </pivotArea>
    </format>
    <format dxfId="17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75">
      <pivotArea collapsedLevelsAreSubtotals="1" fieldPosition="0">
        <references count="2">
          <reference field="4294967294" count="1" selected="0">
            <x v="0"/>
          </reference>
          <reference field="1" count="1">
            <x v="26"/>
          </reference>
        </references>
      </pivotArea>
    </format>
    <format dxfId="1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6"/>
          </reference>
          <reference field="11" count="1">
            <x v="2"/>
          </reference>
        </references>
      </pivotArea>
    </format>
    <format dxfId="17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6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78">
      <pivotArea collapsedLevelsAreSubtotals="1" fieldPosition="0">
        <references count="2">
          <reference field="4294967294" count="1" selected="0">
            <x v="0"/>
          </reference>
          <reference field="1" count="1">
            <x v="27"/>
          </reference>
        </references>
      </pivotArea>
    </format>
    <format dxfId="1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7"/>
          </reference>
          <reference field="11" count="1">
            <x v="3"/>
          </reference>
        </references>
      </pivotArea>
    </format>
    <format dxfId="18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7"/>
          </reference>
          <reference field="11" count="1" selected="0">
            <x v="3"/>
          </reference>
          <reference field="12" count="2">
            <x v="3"/>
            <x v="6"/>
          </reference>
        </references>
      </pivotArea>
    </format>
    <format dxfId="181">
      <pivotArea collapsedLevelsAreSubtotals="1" fieldPosition="0">
        <references count="2">
          <reference field="4294967294" count="1" selected="0">
            <x v="0"/>
          </reference>
          <reference field="1" count="1">
            <x v="28"/>
          </reference>
        </references>
      </pivotArea>
    </format>
    <format dxfId="1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8"/>
          </reference>
          <reference field="11" count="1">
            <x v="3"/>
          </reference>
        </references>
      </pivotArea>
    </format>
    <format dxfId="18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4">
      <pivotArea collapsedLevelsAreSubtotals="1" fieldPosition="0">
        <references count="2">
          <reference field="4294967294" count="1" selected="0">
            <x v="0"/>
          </reference>
          <reference field="1" count="1">
            <x v="29"/>
          </reference>
        </references>
      </pivotArea>
    </format>
    <format dxfId="1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9"/>
          </reference>
          <reference field="11" count="1">
            <x v="3"/>
          </reference>
        </references>
      </pivotArea>
    </format>
    <format dxfId="18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7">
      <pivotArea collapsedLevelsAreSubtotals="1" fieldPosition="0">
        <references count="2">
          <reference field="4294967294" count="1" selected="0">
            <x v="0"/>
          </reference>
          <reference field="1" count="1">
            <x v="30"/>
          </reference>
        </references>
      </pivotArea>
    </format>
    <format dxfId="1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0"/>
          </reference>
          <reference field="11" count="1">
            <x v="3"/>
          </reference>
        </references>
      </pivotArea>
    </format>
    <format dxfId="18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0">
      <pivotArea collapsedLevelsAreSubtotals="1" fieldPosition="0">
        <references count="2">
          <reference field="4294967294" count="1" selected="0">
            <x v="0"/>
          </reference>
          <reference field="1" count="1">
            <x v="31"/>
          </reference>
        </references>
      </pivotArea>
    </format>
    <format dxfId="19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2"/>
          </reference>
        </references>
      </pivotArea>
    </format>
    <format dxfId="19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3"/>
          </reference>
        </references>
      </pivotArea>
    </format>
    <format dxfId="19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5">
      <pivotArea collapsedLevelsAreSubtotals="1" fieldPosition="0">
        <references count="2">
          <reference field="4294967294" count="1" selected="0">
            <x v="0"/>
          </reference>
          <reference field="1" count="1">
            <x v="32"/>
          </reference>
        </references>
      </pivotArea>
    </format>
    <format dxfId="1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2"/>
          </reference>
          <reference field="11" count="1">
            <x v="3"/>
          </reference>
        </references>
      </pivotArea>
    </format>
    <format dxfId="19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8">
      <pivotArea collapsedLevelsAreSubtotals="1" fieldPosition="0">
        <references count="2">
          <reference field="4294967294" count="1" selected="0">
            <x v="0"/>
          </reference>
          <reference field="1" count="1">
            <x v="33"/>
          </reference>
        </references>
      </pivotArea>
    </format>
    <format dxfId="1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3"/>
          </reference>
          <reference field="11" count="1">
            <x v="3"/>
          </reference>
        </references>
      </pivotArea>
    </format>
    <format dxfId="20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01">
      <pivotArea collapsedLevelsAreSubtotals="1" fieldPosition="0">
        <references count="2">
          <reference field="4294967294" count="1" selected="0">
            <x v="0"/>
          </reference>
          <reference field="1" count="1">
            <x v="34"/>
          </reference>
        </references>
      </pivotArea>
    </format>
    <format dxfId="2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4"/>
          </reference>
          <reference field="11" count="1">
            <x v="3"/>
          </reference>
        </references>
      </pivotArea>
    </format>
    <format dxfId="20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4">
      <pivotArea collapsedLevelsAreSubtotals="1" fieldPosition="0">
        <references count="2">
          <reference field="4294967294" count="1" selected="0">
            <x v="0"/>
          </reference>
          <reference field="1" count="1">
            <x v="36"/>
          </reference>
        </references>
      </pivotArea>
    </format>
    <format dxfId="2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6"/>
          </reference>
          <reference field="11" count="1">
            <x v="3"/>
          </reference>
        </references>
      </pivotArea>
    </format>
    <format dxfId="20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7">
      <pivotArea collapsedLevelsAreSubtotals="1" fieldPosition="0">
        <references count="2">
          <reference field="4294967294" count="1" selected="0">
            <x v="0"/>
          </reference>
          <reference field="1" count="1">
            <x v="37"/>
          </reference>
        </references>
      </pivotArea>
    </format>
    <format dxfId="2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7"/>
          </reference>
          <reference field="11" count="1">
            <x v="3"/>
          </reference>
        </references>
      </pivotArea>
    </format>
    <format dxfId="20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10">
      <pivotArea collapsedLevelsAreSubtotals="1" fieldPosition="0">
        <references count="2">
          <reference field="4294967294" count="1" selected="0">
            <x v="0"/>
          </reference>
          <reference field="1" count="1">
            <x v="38"/>
          </reference>
        </references>
      </pivotArea>
    </format>
    <format dxfId="2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8"/>
          </reference>
          <reference field="11" count="1">
            <x v="3"/>
          </reference>
        </references>
      </pivotArea>
    </format>
    <format dxfId="21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3">
      <pivotArea collapsedLevelsAreSubtotals="1" fieldPosition="0">
        <references count="2">
          <reference field="4294967294" count="1" selected="0">
            <x v="0"/>
          </reference>
          <reference field="1" count="1">
            <x v="39"/>
          </reference>
        </references>
      </pivotArea>
    </format>
    <format dxfId="2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2"/>
          </reference>
        </references>
      </pivotArea>
    </format>
    <format dxfId="21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2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3"/>
          </reference>
        </references>
      </pivotArea>
    </format>
    <format dxfId="2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8">
      <pivotArea collapsedLevelsAreSubtotals="1" fieldPosition="0">
        <references count="2">
          <reference field="4294967294" count="1" selected="0">
            <x v="0"/>
          </reference>
          <reference field="1" count="1">
            <x v="40"/>
          </reference>
        </references>
      </pivotArea>
    </format>
    <format dxfId="2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0"/>
          </reference>
          <reference field="11" count="1">
            <x v="3"/>
          </reference>
        </references>
      </pivotArea>
    </format>
    <format dxfId="2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1">
      <pivotArea collapsedLevelsAreSubtotals="1" fieldPosition="0">
        <references count="2">
          <reference field="4294967294" count="1" selected="0">
            <x v="0"/>
          </reference>
          <reference field="1" count="1">
            <x v="41"/>
          </reference>
        </references>
      </pivotArea>
    </format>
    <format dxfId="2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1"/>
          </reference>
          <reference field="11" count="1">
            <x v="2"/>
          </reference>
        </references>
      </pivotArea>
    </format>
    <format dxfId="2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224">
      <pivotArea collapsedLevelsAreSubtotals="1" fieldPosition="0">
        <references count="2">
          <reference field="4294967294" count="1" selected="0">
            <x v="0"/>
          </reference>
          <reference field="1" count="1">
            <x v="42"/>
          </reference>
        </references>
      </pivotArea>
    </format>
    <format dxfId="2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2"/>
          </reference>
          <reference field="11" count="1">
            <x v="3"/>
          </reference>
        </references>
      </pivotArea>
    </format>
    <format dxfId="2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2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27">
      <pivotArea collapsedLevelsAreSubtotals="1" fieldPosition="0">
        <references count="2">
          <reference field="4294967294" count="1" selected="0">
            <x v="0"/>
          </reference>
          <reference field="1" count="1">
            <x v="43"/>
          </reference>
        </references>
      </pivotArea>
    </format>
    <format dxfId="2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3"/>
          </reference>
          <reference field="11" count="1">
            <x v="3"/>
          </reference>
        </references>
      </pivotArea>
    </format>
    <format dxfId="2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30">
      <pivotArea collapsedLevelsAreSubtotals="1" fieldPosition="0">
        <references count="2">
          <reference field="4294967294" count="1" selected="0">
            <x v="0"/>
          </reference>
          <reference field="1" count="1">
            <x v="44"/>
          </reference>
        </references>
      </pivotArea>
    </format>
    <format dxfId="2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4"/>
          </reference>
          <reference field="11" count="1">
            <x v="3"/>
          </reference>
        </references>
      </pivotArea>
    </format>
    <format dxfId="2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33">
      <pivotArea collapsedLevelsAreSubtotals="1" fieldPosition="0">
        <references count="2">
          <reference field="4294967294" count="1" selected="0">
            <x v="0"/>
          </reference>
          <reference field="1" count="1">
            <x v="45"/>
          </reference>
        </references>
      </pivotArea>
    </format>
    <format dxfId="2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5"/>
          </reference>
          <reference field="11" count="1">
            <x v="3"/>
          </reference>
        </references>
      </pivotArea>
    </format>
    <format dxfId="2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36">
      <pivotArea collapsedLevelsAreSubtotals="1" fieldPosition="0">
        <references count="2">
          <reference field="4294967294" count="1" selected="0">
            <x v="0"/>
          </reference>
          <reference field="1" count="1">
            <x v="46"/>
          </reference>
        </references>
      </pivotArea>
    </format>
    <format dxfId="2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6"/>
          </reference>
          <reference field="11" count="1">
            <x v="3"/>
          </reference>
        </references>
      </pivotArea>
    </format>
    <format dxfId="2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39">
      <pivotArea collapsedLevelsAreSubtotals="1" fieldPosition="0">
        <references count="2">
          <reference field="4294967294" count="1" selected="0">
            <x v="0"/>
          </reference>
          <reference field="1" count="1">
            <x v="47"/>
          </reference>
        </references>
      </pivotArea>
    </format>
    <format dxfId="2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7"/>
          </reference>
          <reference field="11" count="1">
            <x v="3"/>
          </reference>
        </references>
      </pivotArea>
    </format>
    <format dxfId="24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42">
      <pivotArea collapsedLevelsAreSubtotals="1" fieldPosition="0">
        <references count="2">
          <reference field="4294967294" count="1" selected="0">
            <x v="0"/>
          </reference>
          <reference field="1" count="1">
            <x v="48"/>
          </reference>
        </references>
      </pivotArea>
    </format>
    <format dxfId="2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2"/>
          </reference>
        </references>
      </pivotArea>
    </format>
    <format dxfId="24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2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3"/>
          </reference>
        </references>
      </pivotArea>
    </format>
    <format dxfId="2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47">
      <pivotArea collapsedLevelsAreSubtotals="1" fieldPosition="0">
        <references count="2">
          <reference field="4294967294" count="1" selected="0">
            <x v="0"/>
          </reference>
          <reference field="1" count="1">
            <x v="49"/>
          </reference>
        </references>
      </pivotArea>
    </format>
    <format dxfId="2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9"/>
          </reference>
          <reference field="11" count="1">
            <x v="3"/>
          </reference>
        </references>
      </pivotArea>
    </format>
    <format dxfId="24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9"/>
          </reference>
          <reference field="11" count="1" selected="0">
            <x v="3"/>
          </reference>
          <reference field="12" count="2">
            <x v="3"/>
            <x v="7"/>
          </reference>
        </references>
      </pivotArea>
    </format>
    <format dxfId="250">
      <pivotArea collapsedLevelsAreSubtotals="1" fieldPosition="0">
        <references count="2">
          <reference field="4294967294" count="1" selected="0">
            <x v="0"/>
          </reference>
          <reference field="1" count="1">
            <x v="50"/>
          </reference>
        </references>
      </pivotArea>
    </format>
    <format dxfId="2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0"/>
          </reference>
          <reference field="11" count="1">
            <x v="3"/>
          </reference>
        </references>
      </pivotArea>
    </format>
    <format dxfId="25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3">
      <pivotArea collapsedLevelsAreSubtotals="1" fieldPosition="0">
        <references count="2">
          <reference field="4294967294" count="1" selected="0">
            <x v="0"/>
          </reference>
          <reference field="1" count="1">
            <x v="51"/>
          </reference>
        </references>
      </pivotArea>
    </format>
    <format dxfId="2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1"/>
          </reference>
          <reference field="11" count="1">
            <x v="3"/>
          </reference>
        </references>
      </pivotArea>
    </format>
    <format dxfId="25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56">
      <pivotArea collapsedLevelsAreSubtotals="1" fieldPosition="0">
        <references count="2">
          <reference field="4294967294" count="1" selected="0">
            <x v="0"/>
          </reference>
          <reference field="1" count="1">
            <x v="52"/>
          </reference>
        </references>
      </pivotArea>
    </format>
    <format dxfId="2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2"/>
          </reference>
        </references>
      </pivotArea>
    </format>
    <format dxfId="25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2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3"/>
          </reference>
        </references>
      </pivotArea>
    </format>
    <format dxfId="26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61">
      <pivotArea collapsedLevelsAreSubtotals="1" fieldPosition="0">
        <references count="2">
          <reference field="4294967294" count="1" selected="0">
            <x v="0"/>
          </reference>
          <reference field="1" count="1">
            <x v="53"/>
          </reference>
        </references>
      </pivotArea>
    </format>
    <format dxfId="2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3"/>
          </reference>
          <reference field="11" count="1">
            <x v="3"/>
          </reference>
        </references>
      </pivotArea>
    </format>
    <format dxfId="2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64">
      <pivotArea collapsedLevelsAreSubtotals="1" fieldPosition="0">
        <references count="2">
          <reference field="4294967294" count="1" selected="0">
            <x v="0"/>
          </reference>
          <reference field="1" count="1">
            <x v="54"/>
          </reference>
        </references>
      </pivotArea>
    </format>
    <format dxfId="2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4"/>
          </reference>
          <reference field="11" count="1">
            <x v="3"/>
          </reference>
        </references>
      </pivotArea>
    </format>
    <format dxfId="2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4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67">
      <pivotArea collapsedLevelsAreSubtotals="1" fieldPosition="0">
        <references count="2">
          <reference field="4294967294" count="1" selected="0">
            <x v="0"/>
          </reference>
          <reference field="1" count="1">
            <x v="55"/>
          </reference>
        </references>
      </pivotArea>
    </format>
    <format dxfId="2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5"/>
          </reference>
          <reference field="11" count="1">
            <x v="3"/>
          </reference>
        </references>
      </pivotArea>
    </format>
    <format dxfId="26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70">
      <pivotArea collapsedLevelsAreSubtotals="1" fieldPosition="0">
        <references count="2">
          <reference field="4294967294" count="1" selected="0">
            <x v="0"/>
          </reference>
          <reference field="1" count="1">
            <x v="56"/>
          </reference>
        </references>
      </pivotArea>
    </format>
    <format dxfId="2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6"/>
          </reference>
          <reference field="11" count="1">
            <x v="3"/>
          </reference>
        </references>
      </pivotArea>
    </format>
    <format dxfId="27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73">
      <pivotArea collapsedLevelsAreSubtotals="1" fieldPosition="0">
        <references count="2">
          <reference field="4294967294" count="1" selected="0">
            <x v="0"/>
          </reference>
          <reference field="1" count="1">
            <x v="57"/>
          </reference>
        </references>
      </pivotArea>
    </format>
    <format dxfId="27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7"/>
          </reference>
          <reference field="11" count="1">
            <x v="3"/>
          </reference>
        </references>
      </pivotArea>
    </format>
    <format dxfId="27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76">
      <pivotArea collapsedLevelsAreSubtotals="1" fieldPosition="0">
        <references count="2">
          <reference field="4294967294" count="1" selected="0">
            <x v="0"/>
          </reference>
          <reference field="1" count="1">
            <x v="59"/>
          </reference>
        </references>
      </pivotArea>
    </format>
    <format dxfId="27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9"/>
          </reference>
          <reference field="11" count="1">
            <x v="3"/>
          </reference>
        </references>
      </pivotArea>
    </format>
    <format dxfId="27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79">
      <pivotArea collapsedLevelsAreSubtotals="1" fieldPosition="0">
        <references count="2">
          <reference field="4294967294" count="1" selected="0">
            <x v="0"/>
          </reference>
          <reference field="1" count="1">
            <x v="60"/>
          </reference>
        </references>
      </pivotArea>
    </format>
    <format dxfId="28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0"/>
          </reference>
          <reference field="11" count="1">
            <x v="3"/>
          </reference>
        </references>
      </pivotArea>
    </format>
    <format dxfId="28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82">
      <pivotArea collapsedLevelsAreSubtotals="1" fieldPosition="0">
        <references count="2">
          <reference field="4294967294" count="1" selected="0">
            <x v="0"/>
          </reference>
          <reference field="1" count="1">
            <x v="61"/>
          </reference>
        </references>
      </pivotArea>
    </format>
    <format dxfId="28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1"/>
          </reference>
          <reference field="11" count="1">
            <x v="2"/>
          </reference>
        </references>
      </pivotArea>
    </format>
    <format dxfId="28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285">
      <pivotArea collapsedLevelsAreSubtotals="1" fieldPosition="0">
        <references count="2">
          <reference field="4294967294" count="1" selected="0">
            <x v="0"/>
          </reference>
          <reference field="1" count="1">
            <x v="62"/>
          </reference>
        </references>
      </pivotArea>
    </format>
    <format dxfId="28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2"/>
          </reference>
          <reference field="11" count="1">
            <x v="3"/>
          </reference>
        </references>
      </pivotArea>
    </format>
    <format dxfId="28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2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88">
      <pivotArea collapsedLevelsAreSubtotals="1" fieldPosition="0">
        <references count="2">
          <reference field="4294967294" count="1" selected="0">
            <x v="0"/>
          </reference>
          <reference field="1" count="1">
            <x v="63"/>
          </reference>
        </references>
      </pivotArea>
    </format>
    <format dxfId="28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3"/>
          </reference>
          <reference field="11" count="1">
            <x v="3"/>
          </reference>
        </references>
      </pivotArea>
    </format>
    <format dxfId="29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91">
      <pivotArea collapsedLevelsAreSubtotals="1" fieldPosition="0">
        <references count="2">
          <reference field="4294967294" count="1" selected="0">
            <x v="0"/>
          </reference>
          <reference field="1" count="1">
            <x v="64"/>
          </reference>
        </references>
      </pivotArea>
    </format>
    <format dxfId="29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4"/>
          </reference>
          <reference field="11" count="1">
            <x v="3"/>
          </reference>
        </references>
      </pivotArea>
    </format>
    <format dxfId="29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94">
      <pivotArea collapsedLevelsAreSubtotals="1" fieldPosition="0">
        <references count="2">
          <reference field="4294967294" count="1" selected="0">
            <x v="0"/>
          </reference>
          <reference field="1" count="1">
            <x v="65"/>
          </reference>
        </references>
      </pivotArea>
    </format>
    <format dxfId="29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5"/>
          </reference>
          <reference field="11" count="1">
            <x v="3"/>
          </reference>
        </references>
      </pivotArea>
    </format>
    <format dxfId="29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97">
      <pivotArea collapsedLevelsAreSubtotals="1" fieldPosition="0">
        <references count="2">
          <reference field="4294967294" count="1" selected="0">
            <x v="0"/>
          </reference>
          <reference field="1" count="1">
            <x v="66"/>
          </reference>
        </references>
      </pivotArea>
    </format>
    <format dxfId="2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6"/>
          </reference>
          <reference field="11" count="1">
            <x v="3"/>
          </reference>
        </references>
      </pivotArea>
    </format>
    <format dxfId="29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00">
      <pivotArea collapsedLevelsAreSubtotals="1" fieldPosition="0">
        <references count="2">
          <reference field="4294967294" count="1" selected="0">
            <x v="0"/>
          </reference>
          <reference field="1" count="1">
            <x v="67"/>
          </reference>
        </references>
      </pivotArea>
    </format>
    <format dxfId="3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7"/>
          </reference>
          <reference field="11" count="1">
            <x v="3"/>
          </reference>
        </references>
      </pivotArea>
    </format>
    <format dxfId="30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7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303">
      <pivotArea collapsedLevelsAreSubtotals="1" fieldPosition="0">
        <references count="2">
          <reference field="4294967294" count="1" selected="0">
            <x v="0"/>
          </reference>
          <reference field="1" count="1">
            <x v="68"/>
          </reference>
        </references>
      </pivotArea>
    </format>
    <format dxfId="3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8"/>
          </reference>
          <reference field="11" count="1">
            <x v="3"/>
          </reference>
        </references>
      </pivotArea>
    </format>
    <format dxfId="30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06">
      <pivotArea collapsedLevelsAreSubtotals="1" fieldPosition="0">
        <references count="2">
          <reference field="4294967294" count="1" selected="0">
            <x v="0"/>
          </reference>
          <reference field="1" count="1">
            <x v="69"/>
          </reference>
        </references>
      </pivotArea>
    </format>
    <format dxfId="3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9"/>
          </reference>
          <reference field="11" count="1">
            <x v="3"/>
          </reference>
        </references>
      </pivotArea>
    </format>
    <format dxfId="30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09">
      <pivotArea collapsedLevelsAreSubtotals="1" fieldPosition="0">
        <references count="2">
          <reference field="4294967294" count="1" selected="0">
            <x v="0"/>
          </reference>
          <reference field="1" count="1">
            <x v="70"/>
          </reference>
        </references>
      </pivotArea>
    </format>
    <format dxfId="3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0"/>
          </reference>
          <reference field="11" count="1">
            <x v="3"/>
          </reference>
        </references>
      </pivotArea>
    </format>
    <format dxfId="3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12">
      <pivotArea collapsedLevelsAreSubtotals="1" fieldPosition="0">
        <references count="2">
          <reference field="4294967294" count="1" selected="0">
            <x v="0"/>
          </reference>
          <reference field="1" count="1">
            <x v="71"/>
          </reference>
        </references>
      </pivotArea>
    </format>
    <format dxfId="3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1"/>
          </reference>
          <reference field="11" count="1">
            <x v="1"/>
          </reference>
        </references>
      </pivotArea>
    </format>
    <format dxfId="3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1"/>
          </reference>
          <reference field="11" count="1" selected="0">
            <x v="1"/>
          </reference>
          <reference field="12" count="1">
            <x v="0"/>
          </reference>
        </references>
      </pivotArea>
    </format>
    <format dxfId="315">
      <pivotArea collapsedLevelsAreSubtotals="1" fieldPosition="0">
        <references count="2">
          <reference field="4294967294" count="1" selected="0">
            <x v="0"/>
          </reference>
          <reference field="1" count="1">
            <x v="72"/>
          </reference>
        </references>
      </pivotArea>
    </format>
    <format dxfId="3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2"/>
          </reference>
          <reference field="11" count="1">
            <x v="3"/>
          </reference>
        </references>
      </pivotArea>
    </format>
    <format dxfId="3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18">
      <pivotArea collapsedLevelsAreSubtotals="1" fieldPosition="0">
        <references count="2">
          <reference field="4294967294" count="1" selected="0">
            <x v="0"/>
          </reference>
          <reference field="1" count="1">
            <x v="73"/>
          </reference>
        </references>
      </pivotArea>
    </format>
    <format dxfId="3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3"/>
          </reference>
          <reference field="11" count="1">
            <x v="3"/>
          </reference>
        </references>
      </pivotArea>
    </format>
    <format dxfId="3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21">
      <pivotArea collapsedLevelsAreSubtotals="1" fieldPosition="0">
        <references count="2">
          <reference field="4294967294" count="1" selected="0">
            <x v="0"/>
          </reference>
          <reference field="1" count="1">
            <x v="74"/>
          </reference>
        </references>
      </pivotArea>
    </format>
    <format dxfId="3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4"/>
          </reference>
          <reference field="11" count="1">
            <x v="3"/>
          </reference>
        </references>
      </pivotArea>
    </format>
    <format dxfId="3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24">
      <pivotArea collapsedLevelsAreSubtotals="1" fieldPosition="0">
        <references count="2">
          <reference field="4294967294" count="1" selected="0">
            <x v="0"/>
          </reference>
          <reference field="1" count="1">
            <x v="76"/>
          </reference>
        </references>
      </pivotArea>
    </format>
    <format dxfId="3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6"/>
          </reference>
          <reference field="11" count="1">
            <x v="3"/>
          </reference>
        </references>
      </pivotArea>
    </format>
    <format dxfId="3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6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327">
      <pivotArea collapsedLevelsAreSubtotals="1" fieldPosition="0">
        <references count="2">
          <reference field="4294967294" count="1" selected="0">
            <x v="0"/>
          </reference>
          <reference field="1" count="1">
            <x v="77"/>
          </reference>
        </references>
      </pivotArea>
    </format>
    <format dxfId="3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7"/>
          </reference>
          <reference field="11" count="1">
            <x v="3"/>
          </reference>
        </references>
      </pivotArea>
    </format>
    <format dxfId="3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330">
      <pivotArea collapsedLevelsAreSubtotals="1" fieldPosition="0">
        <references count="2">
          <reference field="4294967294" count="1" selected="0">
            <x v="0"/>
          </reference>
          <reference field="1" count="1">
            <x v="78"/>
          </reference>
        </references>
      </pivotArea>
    </format>
    <format dxfId="3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8"/>
          </reference>
          <reference field="11" count="1">
            <x v="3"/>
          </reference>
        </references>
      </pivotArea>
    </format>
    <format dxfId="3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33">
      <pivotArea collapsedLevelsAreSubtotals="1" fieldPosition="0">
        <references count="2">
          <reference field="4294967294" count="1" selected="0">
            <x v="0"/>
          </reference>
          <reference field="1" count="1">
            <x v="79"/>
          </reference>
        </references>
      </pivotArea>
    </format>
    <format dxfId="3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9"/>
          </reference>
          <reference field="11" count="1">
            <x v="2"/>
          </reference>
        </references>
      </pivotArea>
    </format>
    <format dxfId="3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9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336">
      <pivotArea collapsedLevelsAreSubtotals="1" fieldPosition="0">
        <references count="2">
          <reference field="4294967294" count="1" selected="0">
            <x v="0"/>
          </reference>
          <reference field="1" count="1">
            <x v="80"/>
          </reference>
        </references>
      </pivotArea>
    </format>
    <format dxfId="3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0"/>
          </reference>
          <reference field="11" count="1">
            <x v="3"/>
          </reference>
        </references>
      </pivotArea>
    </format>
    <format dxfId="3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39">
      <pivotArea collapsedLevelsAreSubtotals="1" fieldPosition="0">
        <references count="2">
          <reference field="4294967294" count="1" selected="0">
            <x v="0"/>
          </reference>
          <reference field="1" count="1">
            <x v="81"/>
          </reference>
        </references>
      </pivotArea>
    </format>
    <format dxfId="3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1"/>
          </reference>
          <reference field="11" count="1">
            <x v="3"/>
          </reference>
        </references>
      </pivotArea>
    </format>
    <format dxfId="34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42">
      <pivotArea collapsedLevelsAreSubtotals="1" fieldPosition="0">
        <references count="2">
          <reference field="4294967294" count="1" selected="0">
            <x v="0"/>
          </reference>
          <reference field="1" count="1">
            <x v="82"/>
          </reference>
        </references>
      </pivotArea>
    </format>
    <format dxfId="3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2"/>
          </reference>
          <reference field="11" count="1">
            <x v="3"/>
          </reference>
        </references>
      </pivotArea>
    </format>
    <format dxfId="34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2"/>
          </reference>
          <reference field="11" count="1" selected="0">
            <x v="3"/>
          </reference>
          <reference field="1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G93" firstHeaderRow="1" firstDataRow="2" firstDataCol="2" rowPageCount="2" colPageCount="1"/>
  <pivotFields count="72">
    <pivotField compact="0" outline="0" multipleItemSelectionAllowed="1" showAll="0" defaultSubtotal="0"/>
    <pivotField axis="axisPage" compact="0" outline="0" showAll="0" defaultSubtotal="0">
      <items count="83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x="1"/>
        <item x="11"/>
      </items>
    </pivotField>
    <pivotField axis="axisRow" compact="0" outline="0" showAll="0" defaultSubtotal="0">
      <items count="52">
        <item x="9"/>
        <item x="46"/>
        <item x="18"/>
        <item x="42"/>
        <item x="43"/>
        <item x="14"/>
        <item x="15"/>
        <item x="37"/>
        <item x="16"/>
        <item x="40"/>
        <item x="33"/>
        <item x="3"/>
        <item x="10"/>
        <item x="36"/>
        <item x="35"/>
        <item x="17"/>
        <item x="45"/>
        <item x="12"/>
        <item x="4"/>
        <item x="11"/>
        <item x="41"/>
        <item x="48"/>
        <item x="21"/>
        <item x="5"/>
        <item x="22"/>
        <item x="20"/>
        <item x="29"/>
        <item x="0"/>
        <item x="24"/>
        <item x="51"/>
        <item x="8"/>
        <item x="49"/>
        <item x="19"/>
        <item x="26"/>
        <item x="27"/>
        <item x="44"/>
        <item x="50"/>
        <item x="13"/>
        <item x="7"/>
        <item x="28"/>
        <item x="25"/>
        <item x="32"/>
        <item x="34"/>
        <item x="31"/>
        <item x="23"/>
        <item x="38"/>
        <item x="39"/>
        <item x="30"/>
        <item x="2"/>
        <item x="1"/>
        <item x="47"/>
        <item x="6"/>
      </items>
    </pivotField>
    <pivotField axis="axisRow" compact="0" outline="0" showAll="0" defaultSubtotal="0">
      <items count="34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8">
        <item h="1" sd="0" x="6"/>
        <item sd="0" x="5"/>
        <item sd="0" x="7"/>
        <item sd="0" x="3"/>
        <item sd="0" x="4"/>
        <item sd="0" x="2"/>
        <item sd="0" x="1"/>
        <item sd="0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ubtotalTop="0" showAll="0" defaultSubtotal="0"/>
    <pivotField dataField="1" compact="0" numFmtId="166" outline="0" subtotalTop="0" showAll="0" defaultSubtotal="0"/>
    <pivotField compact="0" outline="0" showAll="0" defaultSubtotal="0"/>
  </pivotFields>
  <rowFields count="2">
    <field x="3"/>
    <field x="2"/>
  </rowFields>
  <rowItems count="88">
    <i>
      <x/>
      <x v="48"/>
    </i>
    <i>
      <x v="2"/>
      <x v="35"/>
    </i>
    <i>
      <x v="3"/>
      <x v="48"/>
    </i>
    <i>
      <x v="4"/>
      <x v="7"/>
    </i>
    <i r="1">
      <x v="30"/>
    </i>
    <i r="1">
      <x v="38"/>
    </i>
    <i r="1">
      <x v="45"/>
    </i>
    <i r="1">
      <x v="48"/>
    </i>
    <i r="1">
      <x v="49"/>
    </i>
    <i r="1">
      <x v="50"/>
    </i>
    <i>
      <x v="5"/>
      <x v="48"/>
    </i>
    <i>
      <x v="6"/>
      <x v="15"/>
    </i>
    <i r="1">
      <x v="18"/>
    </i>
    <i r="1">
      <x v="48"/>
    </i>
    <i>
      <x v="7"/>
      <x v="48"/>
    </i>
    <i>
      <x v="8"/>
      <x v="6"/>
    </i>
    <i r="1">
      <x v="43"/>
    </i>
    <i r="1">
      <x v="48"/>
    </i>
    <i>
      <x v="9"/>
      <x v="2"/>
    </i>
    <i r="1">
      <x v="17"/>
    </i>
    <i r="1">
      <x v="24"/>
    </i>
    <i r="1">
      <x v="31"/>
    </i>
    <i r="1">
      <x v="48"/>
    </i>
    <i>
      <x v="10"/>
      <x v="1"/>
    </i>
    <i r="1">
      <x v="5"/>
    </i>
    <i r="1">
      <x v="11"/>
    </i>
    <i r="1">
      <x v="14"/>
    </i>
    <i r="1">
      <x v="23"/>
    </i>
    <i r="1">
      <x v="27"/>
    </i>
    <i r="1">
      <x v="40"/>
    </i>
    <i r="1">
      <x v="41"/>
    </i>
    <i r="1">
      <x v="44"/>
    </i>
    <i r="1">
      <x v="48"/>
    </i>
    <i r="1">
      <x v="51"/>
    </i>
    <i>
      <x v="11"/>
      <x v="48"/>
    </i>
    <i>
      <x v="12"/>
      <x v="6"/>
    </i>
    <i>
      <x v="13"/>
      <x v="48"/>
    </i>
    <i>
      <x v="14"/>
      <x v="17"/>
    </i>
    <i>
      <x v="15"/>
      <x v="8"/>
    </i>
    <i r="1">
      <x v="10"/>
    </i>
    <i r="1">
      <x v="13"/>
    </i>
    <i r="1">
      <x v="17"/>
    </i>
    <i r="1">
      <x v="48"/>
    </i>
    <i>
      <x v="16"/>
      <x v="48"/>
    </i>
    <i>
      <x v="17"/>
      <x v="22"/>
    </i>
    <i r="1">
      <x v="28"/>
    </i>
    <i>
      <x v="18"/>
      <x v="26"/>
    </i>
    <i r="1">
      <x v="47"/>
    </i>
    <i r="1">
      <x v="48"/>
    </i>
    <i>
      <x v="19"/>
      <x v="25"/>
    </i>
    <i>
      <x v="20"/>
      <x v="4"/>
    </i>
    <i r="1">
      <x v="9"/>
    </i>
    <i r="1">
      <x v="20"/>
    </i>
    <i r="1">
      <x v="32"/>
    </i>
    <i r="1">
      <x v="34"/>
    </i>
    <i r="1">
      <x v="37"/>
    </i>
    <i r="1">
      <x v="42"/>
    </i>
    <i r="1">
      <x v="48"/>
    </i>
    <i>
      <x v="21"/>
      <x v="40"/>
    </i>
    <i>
      <x v="22"/>
      <x v="3"/>
    </i>
    <i r="1">
      <x v="17"/>
    </i>
    <i r="1">
      <x v="39"/>
    </i>
    <i r="1">
      <x v="41"/>
    </i>
    <i r="1">
      <x v="46"/>
    </i>
    <i>
      <x v="23"/>
      <x v="12"/>
    </i>
    <i r="1">
      <x v="41"/>
    </i>
    <i>
      <x v="24"/>
      <x v="19"/>
    </i>
    <i r="1">
      <x v="21"/>
    </i>
    <i r="1">
      <x v="29"/>
    </i>
    <i r="1">
      <x v="33"/>
    </i>
    <i r="1">
      <x v="35"/>
    </i>
    <i r="1">
      <x v="36"/>
    </i>
    <i r="1">
      <x v="48"/>
    </i>
    <i>
      <x v="25"/>
      <x v="17"/>
    </i>
    <i>
      <x v="26"/>
      <x v="39"/>
    </i>
    <i>
      <x v="27"/>
      <x v="17"/>
    </i>
    <i>
      <x v="28"/>
      <x v="35"/>
    </i>
    <i r="1">
      <x v="48"/>
    </i>
    <i>
      <x v="29"/>
      <x v="19"/>
    </i>
    <i>
      <x v="30"/>
      <x v="17"/>
    </i>
    <i r="1">
      <x v="41"/>
    </i>
    <i>
      <x v="31"/>
      <x v="48"/>
    </i>
    <i>
      <x v="32"/>
      <x v="48"/>
    </i>
    <i>
      <x v="33"/>
      <x/>
    </i>
    <i r="1">
      <x v="16"/>
    </i>
    <i r="1">
      <x v="17"/>
    </i>
    <i r="1">
      <x v="4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12" hier="-1"/>
    <pageField fld="1" hier="-1"/>
  </pageFields>
  <dataFields count="5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/>
    <dataField name="Sum of 2026 Risk/(Opportunity)" fld="25" baseField="0" baseItem="0" numFmtId="166"/>
  </dataFields>
  <formats count="1">
    <format dxfId="9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T150" totalsRowShown="0" headerRowBorderDxfId="73" tableBorderDxfId="74">
  <autoFilter ref="A1:BT150" xr:uid="{A492086E-22C3-4E96-A6F5-F99E42618563}">
    <filterColumn colId="1">
      <filters>
        <filter val="FinDox Inc."/>
      </filters>
    </filterColumn>
  </autoFilter>
  <tableColumns count="72">
    <tableColumn id="1" xr3:uid="{242EDFF6-742E-412A-994F-DE5685E22BB0}" name="Transaction Type" dataDxfId="72"/>
    <tableColumn id="2" xr3:uid="{08616251-7DE6-4D23-92E4-2E85B1D94360}" name="D365 Legal Vendor name" dataDxfId="71"/>
    <tableColumn id="3" xr3:uid="{BD70789C-92D9-4A27-B8C3-E2607261E720}" name="DBA / AKA / Passthrough" dataDxfId="70"/>
    <tableColumn id="4" xr3:uid="{3918E27D-D871-43A2-9D6A-94FB14F654EC}" name="Project ID" dataDxfId="69"/>
    <tableColumn id="5" xr3:uid="{A028ADB0-AF1A-40E1-8A52-FF282B40DE64}" name="Project Name" dataDxfId="68"/>
    <tableColumn id="6" xr3:uid="{B4F67E57-8B0C-436C-BF42-2CAC2B8245C1}" name="Domain" dataDxfId="67"/>
    <tableColumn id="7" xr3:uid="{91E0CA19-9704-4FB2-9B82-EB394E89DF85}" name="Domain Owner" dataDxfId="66"/>
    <tableColumn id="9" xr3:uid="{090B133E-C581-4D72-9CCF-C2D174AB0F43}" name="Contract Start" dataDxfId="65"/>
    <tableColumn id="10" xr3:uid="{610CA386-C3EA-4064-9F45-507F0B25669D}" name="Contract End" dataDxfId="64"/>
    <tableColumn id="11" xr3:uid="{7A9CDD19-1472-4FAD-ACF7-98BC097996DE}" name="Application" dataDxfId="63"/>
    <tableColumn id="12" xr3:uid="{F6177E08-E03D-4CE8-A8C5-24F7F0CE38DF}" name="Project Details" dataDxfId="62">
      <calculatedColumnFormula>D2 &amp; "-" &amp;E2</calculatedColumnFormula>
    </tableColumn>
    <tableColumn id="13" xr3:uid="{F8731934-20F7-4424-BF3E-888C8F3E250E}" name="Category" dataDxfId="61"/>
    <tableColumn id="14" xr3:uid="{97F74ECF-D3E1-4544-B389-0D70673967E8}" name="Sub-Category1" dataDxfId="60"/>
    <tableColumn id="17" xr3:uid="{4C848037-D78D-42C1-A2C6-E6309704016E}" name="Sub-Category2" dataDxfId="59"/>
    <tableColumn id="21" xr3:uid="{0122725A-C30C-4CEE-B8D6-2422E3E10326}" name="Contract Type" dataDxfId="58"/>
    <tableColumn id="15" xr3:uid="{DCD4FDCF-43FF-4308-9293-62EA996620ED}" name="MGMT View Category (OneStream)" dataDxfId="57"/>
    <tableColumn id="18" xr3:uid="{658A4718-1DA7-4FBE-8992-7FAE7F4C7F49}" name="Onestream Account" dataDxfId="56"/>
    <tableColumn id="19" xr3:uid="{5267CF94-3623-462E-97AF-E18156B00053}" name="A/P Account Name" dataDxfId="55"/>
    <tableColumn id="20" xr3:uid="{5E0DC275-3907-45A6-9C4F-937BDB02153F}" name="Accounting Treatment" dataDxfId="54"/>
    <tableColumn id="22" xr3:uid="{16BEBE99-AC2A-471E-8FD9-AAE62FE8D83D}" name="2025 Actuals" dataDxfId="53"/>
    <tableColumn id="23" xr3:uid="{AB3393C9-D921-4085-AF5F-B7B623848FCC}" name="2026 Initial Budget" dataDxfId="52" dataCellStyle="Comma"/>
    <tableColumn id="25" xr3:uid="{BD95F986-B575-45C9-B565-3F5A5D25B661}" name="2026 Final Budget" dataDxfId="51" dataCellStyle="Comma"/>
    <tableColumn id="26" xr3:uid="{FE8AB3AA-8105-4CAA-9C84-BF99E639D702}" name="2026 (Actuals + Forecast)" dataDxfId="50" dataCellStyle="Comma">
      <calculatedColumnFormula>AO2+IF(ISBLANK(AP2),AB2,AP2)+IF(ISBLANK(AQ2),AC2,AQ2)+IF(ISBLANK(AR2),AD2,AR2)+IF(ISBLANK(AS2),AE2,AS2)+IF(ISBLANK(AT2),AF2,AT2)+IF(ISBLANK(AU2),AG2,AU2)</calculatedColumnFormula>
    </tableColumn>
    <tableColumn id="27" xr3:uid="{FD25F16C-2EAA-415A-9A5A-67EF55B9D97F}" name="2026 Opportunity" dataDxfId="49" dataCellStyle="Comma">
      <calculatedColumnFormula>IF(V2 &gt;= W2, V2 - W2, 0)*-1</calculatedColumnFormula>
    </tableColumn>
    <tableColumn id="28" xr3:uid="{3E8C9BC3-A36F-4429-ADF1-E2E31EDFB123}" name="2026 Risk" dataDxfId="48" dataCellStyle="Comma">
      <calculatedColumnFormula>IF(W2 &gt; V2, W2 - V2, 0)</calculatedColumnFormula>
    </tableColumn>
    <tableColumn id="16" xr3:uid="{A2223374-A086-4670-9148-44C5B80D2F38}" name="2026 Risk/(Opportunity)" dataDxfId="47" dataCellStyle="Comma">
      <calculatedColumnFormula>SUM(Financials20263[[#This Row],[2026 Opportunity]:[2026 Risk]])</calculatedColumnFormula>
    </tableColumn>
    <tableColumn id="29" xr3:uid="{9340939D-B61A-4867-A6FB-35598984DFC3}" name="Notes" dataDxfId="46"/>
    <tableColumn id="31" xr3:uid="{CAB5AFB6-CA5B-483A-9BAF-5761679A373B}" name="Jan FC" dataDxfId="45" dataCellStyle="Comma"/>
    <tableColumn id="32" xr3:uid="{5E6FFDA7-DF5F-495F-BC8D-D67F03329023}" name="Feb FC" dataDxfId="44" dataCellStyle="Comma"/>
    <tableColumn id="33" xr3:uid="{5058D119-6F17-43D3-AEF2-4F273CEBA31A}" name="Mar FC" dataDxfId="43" dataCellStyle="Comma"/>
    <tableColumn id="34" xr3:uid="{A3AC516B-B770-430E-B148-E1D3D9567FAD}" name="Apr FC" dataDxfId="42" dataCellStyle="Comma"/>
    <tableColumn id="35" xr3:uid="{ECEA33AD-45C5-4E82-A009-017E85D7DB44}" name="May FC" dataDxfId="41" dataCellStyle="Comma"/>
    <tableColumn id="36" xr3:uid="{E9DB8B47-323F-434B-807B-8748ED61ED34}" name="Jun FC" dataDxfId="40" dataCellStyle="Comma"/>
    <tableColumn id="37" xr3:uid="{6374D5F8-607B-41C2-B794-601F25EB418D}" name="Jul FC" dataDxfId="39" dataCellStyle="Comma"/>
    <tableColumn id="38" xr3:uid="{B4C16149-C9F0-45EC-B182-FD3B8B7429E0}" name="Aug FC" dataDxfId="38" dataCellStyle="Comma"/>
    <tableColumn id="39" xr3:uid="{26B14811-E5F5-4106-A54B-40DE00366D76}" name="Sep FC" dataDxfId="37" dataCellStyle="Comma"/>
    <tableColumn id="40" xr3:uid="{9E952692-1BDD-4D56-A183-37BF4A11F526}" name="Oct FC" dataDxfId="36" dataCellStyle="Comma"/>
    <tableColumn id="41" xr3:uid="{A049F4C1-34D3-4A29-86A7-C671D5C6D98B}" name="Nov FC" dataDxfId="35" dataCellStyle="Comma"/>
    <tableColumn id="42" xr3:uid="{5705BE95-DF6B-473B-8FA4-9E4226201603}" name="Dec FC" dataDxfId="34" dataCellStyle="Comma"/>
    <tableColumn id="74" xr3:uid="{9D40B7D4-7BAE-4A98-8145-9A222ED326B8}" name="Total - FC" dataDxfId="33" dataCellStyle="Comma">
      <calculatedColumnFormula>SUM(Financials20263[[#This Row],[Jan FC]:[Dec FC]])</calculatedColumnFormula>
    </tableColumn>
    <tableColumn id="43" xr3:uid="{91FD6C06-93AB-414D-9B76-887643EEED96}" name="Jul-Dec FC" dataDxfId="32" dataCellStyle="Comma">
      <calculatedColumnFormula>SUM(Financials20263[[#This Row],[Jul FC]:[Dec FC]])</calculatedColumnFormula>
    </tableColumn>
    <tableColumn id="56" xr3:uid="{F69A83C4-B9A3-4262-A8CB-8CE81864D5FA}" name="Jan AC" dataDxfId="31" dataCellStyle="Comma"/>
    <tableColumn id="55" xr3:uid="{1E9D6300-4AD1-4261-A1FF-6366DF423E92}" name="Feb AC" dataDxfId="30" dataCellStyle="Comma"/>
    <tableColumn id="54" xr3:uid="{13FFF1FD-26A1-4FD6-97E8-9386AB4AC43C}" name="Mar AC" dataDxfId="29" dataCellStyle="Comma"/>
    <tableColumn id="53" xr3:uid="{4528A9EB-DCC4-4768-9C74-B00744D89F2E}" name="Apr AC" dataDxfId="28" dataCellStyle="Comma"/>
    <tableColumn id="52" xr3:uid="{09BBCE26-5305-4845-8E95-2938F78951A1}" name="May AC" dataDxfId="27" dataCellStyle="Comma"/>
    <tableColumn id="51" xr3:uid="{B53E3A5E-4C7A-47F6-98EF-98D0339ED7EF}" name="Jun AC" dataDxfId="26" dataCellStyle="Comma"/>
    <tableColumn id="50" xr3:uid="{1B3A42E1-1A4A-4F02-AB85-F321F9298327}" name="Jul AC" dataDxfId="25" dataCellStyle="Comma"/>
    <tableColumn id="49" xr3:uid="{DB3FF538-4DFF-4E76-A4ED-65067E509D32}" name="Aug AC" dataDxfId="24" dataCellStyle="Comma"/>
    <tableColumn id="48" xr3:uid="{7811DD89-220A-4A96-BB76-DDA3AB708625}" name="Sep AC" dataDxfId="23" dataCellStyle="Comma"/>
    <tableColumn id="47" xr3:uid="{A17FFA7D-49AE-4866-91BB-54ABF4DBC444}" name="Oct AC" dataDxfId="22" dataCellStyle="Comma"/>
    <tableColumn id="46" xr3:uid="{41435EA0-FEC7-48B7-855E-47C16BC64CF6}" name="Nov AC" dataDxfId="21" dataCellStyle="Comma"/>
    <tableColumn id="30" xr3:uid="{A2239101-D3EE-49BD-BE0C-6704F209BED4}" name="Dec AC" dataDxfId="20" dataCellStyle="Comma"/>
    <tableColumn id="75" xr3:uid="{C6B2B2DB-BFC6-4CA1-A44B-AB1642CA5DF4}" name="Total Actuals" dataDxfId="19" dataCellStyle="Comma">
      <calculatedColumnFormula>SUM(Financials20263[[#This Row],[Jan AC]:[Dec AC]])</calculatedColumnFormula>
    </tableColumn>
    <tableColumn id="58" xr3:uid="{C27E561F-EC4E-4A83-860E-89EDAFD8273C}" name="Jan Opp/Risk" dataDxfId="18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17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16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15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14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13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12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11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10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9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8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7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6" dataCellStyle="Comma">
      <calculatedColumnFormula>SUM(Financials20263[[#This Row],[Jan Opp/Risk]:[Dec Opp./Risk]])</calculatedColumnFormula>
    </tableColumn>
    <tableColumn id="45" xr3:uid="{40E9183E-CE83-4399-9E89-734953B2AD7E}" name="Notes - Swati" dataDxfId="5" dataCellStyle="Comma"/>
    <tableColumn id="57" xr3:uid="{71A027C0-CE0B-44F4-9BEA-44F1E025C29C}" name="Jan-Jun Actuals" dataDxfId="4" dataCellStyle="Comma">
      <calculatedColumnFormula>SUM(Financials20263[[#This Row],[Jan AC]:[Jun AC]])</calculatedColumnFormula>
    </tableColumn>
    <tableColumn id="8" xr3:uid="{A4CDF58C-06B8-490E-851A-3E8597DB1ABC}" name="Pending Jan-Jun" dataDxfId="3">
      <calculatedColumnFormula>IF(OR(AP2="",AP2=0),AB2,0)+IF(OR(AQ2="",AQ2=0),AC2,0)+IF(OR(AR2="",AR2=0),AD2,0)+IF(OR(AS2="",AS2=0),AE2,0)+IF(OR(AT2="",AT2=0),AF2,0)+IF(OR(AU2="",AU2=0),AG2,0)</calculatedColumnFormula>
    </tableColumn>
    <tableColumn id="24" xr3:uid="{793354D9-A30A-4975-87DD-55AF941A43CF}" name="Forecast Jul-Dec" dataDxfId="2">
      <calculatedColumnFormula>Financials20263[[#This Row],[Jul-Dec FC]]+Financials20263[[#This Row],[Pending Jan-Jun]]</calculatedColumnFormula>
    </tableColumn>
    <tableColumn id="71" xr3:uid="{E2A7DC33-E1C7-4989-AFA3-667DE437DAE3}" name="Non-Comitte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workbookViewId="0"/>
  </sheetViews>
  <sheetFormatPr defaultColWidth="8.85546875" defaultRowHeight="14.45"/>
  <cols>
    <col min="1" max="1" width="14.5703125" style="170" bestFit="1" customWidth="1"/>
    <col min="2" max="2" width="20.42578125" style="170" bestFit="1" customWidth="1"/>
    <col min="3" max="3" width="23.85546875" style="170" bestFit="1" customWidth="1"/>
    <col min="4" max="4" width="12.85546875" style="170" bestFit="1" customWidth="1"/>
    <col min="5" max="5" width="21.7109375" style="170" bestFit="1" customWidth="1"/>
    <col min="6" max="6" width="27.28515625" style="170" bestFit="1" customWidth="1"/>
    <col min="7" max="7" width="4.28515625" style="170" customWidth="1"/>
    <col min="8" max="8" width="4.42578125" style="170" customWidth="1"/>
    <col min="9" max="9" width="3.7109375" style="170" customWidth="1"/>
    <col min="10" max="10" width="24.5703125" style="170" bestFit="1" customWidth="1"/>
    <col min="11" max="16384" width="8.85546875" style="170"/>
  </cols>
  <sheetData>
    <row r="1" spans="1:10" ht="29.25">
      <c r="A1" s="171" t="s">
        <v>0</v>
      </c>
      <c r="B1" s="170" t="s">
        <v>1</v>
      </c>
      <c r="C1" s="196" t="s">
        <v>2</v>
      </c>
      <c r="D1" s="196"/>
      <c r="E1" s="196"/>
      <c r="F1" s="196"/>
      <c r="J1" s="172" t="s">
        <v>3</v>
      </c>
    </row>
    <row r="2" spans="1:10">
      <c r="C2" s="196"/>
      <c r="D2" s="196"/>
      <c r="E2" s="196"/>
      <c r="F2" s="196"/>
      <c r="J2" s="173">
        <v>44788398</v>
      </c>
    </row>
    <row r="3" spans="1:10" ht="29.25">
      <c r="A3" s="181" t="s">
        <v>4</v>
      </c>
      <c r="B3" s="93" t="s">
        <v>5</v>
      </c>
      <c r="C3" s="93" t="s">
        <v>6</v>
      </c>
      <c r="D3" s="93" t="s">
        <v>7</v>
      </c>
      <c r="E3" s="93" t="s">
        <v>8</v>
      </c>
      <c r="F3" s="93" t="s">
        <v>9</v>
      </c>
      <c r="J3" s="195">
        <f>J2-B11</f>
        <v>4.385000467300415E-2</v>
      </c>
    </row>
    <row r="4" spans="1:10" ht="15">
      <c r="A4" s="174" t="s">
        <v>10</v>
      </c>
      <c r="B4" s="175">
        <v>1866814</v>
      </c>
      <c r="C4" s="175">
        <v>1523500</v>
      </c>
      <c r="D4" s="175">
        <v>129900</v>
      </c>
      <c r="E4" s="175">
        <v>-473214</v>
      </c>
      <c r="F4" s="175">
        <v>-343314</v>
      </c>
      <c r="J4" s="176"/>
    </row>
    <row r="5" spans="1:10" ht="15">
      <c r="A5" s="174" t="s">
        <v>11</v>
      </c>
      <c r="B5" s="175">
        <v>116236</v>
      </c>
      <c r="C5" s="175">
        <v>181932.18333333335</v>
      </c>
      <c r="D5" s="175">
        <v>75000.33</v>
      </c>
      <c r="E5" s="175">
        <v>-9304.1466666666638</v>
      </c>
      <c r="F5" s="175">
        <v>65696.183333333334</v>
      </c>
    </row>
    <row r="6" spans="1:10" ht="15">
      <c r="A6" s="174" t="s">
        <v>12</v>
      </c>
      <c r="B6" s="175">
        <v>8336990.0750000002</v>
      </c>
      <c r="C6" s="175">
        <v>8293197.2700000005</v>
      </c>
      <c r="D6" s="175">
        <v>2290.5000000000746</v>
      </c>
      <c r="E6" s="175">
        <v>-46083.305000000088</v>
      </c>
      <c r="F6" s="175">
        <v>-43792.805000000008</v>
      </c>
    </row>
    <row r="7" spans="1:10" ht="15">
      <c r="A7" s="174" t="s">
        <v>13</v>
      </c>
      <c r="B7" s="175">
        <v>8850040</v>
      </c>
      <c r="C7" s="175">
        <v>8548067.9199999999</v>
      </c>
      <c r="D7" s="175">
        <v>324746.91999999993</v>
      </c>
      <c r="E7" s="175">
        <v>-626719</v>
      </c>
      <c r="F7" s="175">
        <v>-301972.08000000007</v>
      </c>
    </row>
    <row r="8" spans="1:10" ht="15">
      <c r="A8" s="174" t="s">
        <v>14</v>
      </c>
      <c r="B8" s="175">
        <v>2968042.34</v>
      </c>
      <c r="C8" s="175">
        <v>2941970.81</v>
      </c>
      <c r="D8" s="175">
        <v>52000</v>
      </c>
      <c r="E8" s="175">
        <v>-78071.53</v>
      </c>
      <c r="F8" s="175">
        <v>-26071.53</v>
      </c>
    </row>
    <row r="9" spans="1:10" ht="15">
      <c r="A9" s="174" t="s">
        <v>15</v>
      </c>
      <c r="B9" s="175">
        <v>2229219</v>
      </c>
      <c r="C9" s="175">
        <v>2245702.04</v>
      </c>
      <c r="D9" s="175">
        <v>18704.729999999992</v>
      </c>
      <c r="E9" s="175">
        <v>-2221.6899999996895</v>
      </c>
      <c r="F9" s="175">
        <v>16483.040000000303</v>
      </c>
    </row>
    <row r="10" spans="1:10" ht="15">
      <c r="A10" s="174" t="s">
        <v>16</v>
      </c>
      <c r="B10" s="175">
        <v>20421056.54115</v>
      </c>
      <c r="C10" s="175">
        <v>21480673.534083337</v>
      </c>
      <c r="D10" s="175">
        <v>1264231.2139333321</v>
      </c>
      <c r="E10" s="175">
        <v>-204614.22100000046</v>
      </c>
      <c r="F10" s="175">
        <v>1059616.9929333318</v>
      </c>
    </row>
    <row r="11" spans="1:10" ht="15">
      <c r="A11" s="174" t="s">
        <v>17</v>
      </c>
      <c r="B11" s="175">
        <v>44788397.956149995</v>
      </c>
      <c r="C11" s="175">
        <v>45215043.757416666</v>
      </c>
      <c r="D11" s="175">
        <v>1866873.6939333321</v>
      </c>
      <c r="E11" s="175">
        <v>-1440227.8926666668</v>
      </c>
      <c r="F11" s="175">
        <v>426645.80126666534</v>
      </c>
    </row>
    <row r="13" spans="1:10" hidden="1">
      <c r="A13" s="171" t="s">
        <v>0</v>
      </c>
      <c r="B13" s="170" t="s">
        <v>1</v>
      </c>
      <c r="E13" s="175"/>
      <c r="F13" s="175"/>
    </row>
    <row r="14" spans="1:10" hidden="1">
      <c r="A14" s="171" t="s">
        <v>18</v>
      </c>
      <c r="B14" s="170" t="s">
        <v>1</v>
      </c>
    </row>
    <row r="15" spans="1:10" hidden="1"/>
    <row r="16" spans="1:10" ht="28.9" hidden="1">
      <c r="A16" s="171" t="s">
        <v>19</v>
      </c>
      <c r="B16" s="170" t="s">
        <v>7</v>
      </c>
      <c r="C16" s="170" t="s">
        <v>8</v>
      </c>
      <c r="D16" s="170" t="s">
        <v>5</v>
      </c>
    </row>
    <row r="17" spans="1:6" hidden="1">
      <c r="A17" s="174" t="s">
        <v>20</v>
      </c>
      <c r="B17" s="175">
        <v>2681147.5669999998</v>
      </c>
      <c r="C17" s="175">
        <v>-1445850.4541500001</v>
      </c>
      <c r="D17" s="175">
        <v>10007813.59715</v>
      </c>
    </row>
    <row r="18" spans="1:6" ht="28.9" hidden="1">
      <c r="A18" s="174" t="s">
        <v>21</v>
      </c>
      <c r="B18" s="175">
        <v>555481.20723333373</v>
      </c>
      <c r="C18" s="175">
        <v>-803621.83283333294</v>
      </c>
      <c r="D18" s="175">
        <v>14217853.790000001</v>
      </c>
    </row>
    <row r="19" spans="1:6" hidden="1">
      <c r="A19" s="174" t="s">
        <v>22</v>
      </c>
      <c r="B19" s="175">
        <v>1087555.4199999985</v>
      </c>
      <c r="C19" s="175">
        <v>-1280770.97</v>
      </c>
      <c r="D19" s="175">
        <v>13152468.5</v>
      </c>
    </row>
    <row r="20" spans="1:6" hidden="1">
      <c r="A20" s="174" t="s">
        <v>23</v>
      </c>
      <c r="B20" s="175">
        <v>247000.3</v>
      </c>
      <c r="C20" s="175">
        <v>-405360</v>
      </c>
      <c r="D20" s="175">
        <v>1752990.7</v>
      </c>
    </row>
    <row r="21" spans="1:6" hidden="1">
      <c r="A21" s="174" t="s">
        <v>24</v>
      </c>
      <c r="B21" s="175">
        <v>50312.124166666646</v>
      </c>
      <c r="C21" s="175">
        <v>-22969.722500000018</v>
      </c>
      <c r="D21" s="175">
        <v>1785617.7549999999</v>
      </c>
    </row>
    <row r="22" spans="1:6" ht="28.9" hidden="1">
      <c r="A22" s="174" t="s">
        <v>25</v>
      </c>
      <c r="B22" s="175">
        <v>94895.17</v>
      </c>
      <c r="C22" s="175">
        <v>-287727.46933333331</v>
      </c>
      <c r="D22" s="175">
        <v>2627635.6140000001</v>
      </c>
    </row>
    <row r="23" spans="1:6" hidden="1">
      <c r="A23" s="174" t="s">
        <v>26</v>
      </c>
      <c r="B23" s="175">
        <v>32669.254166666651</v>
      </c>
      <c r="C23" s="175">
        <v>0</v>
      </c>
      <c r="D23" s="175">
        <v>1244018</v>
      </c>
    </row>
    <row r="24" spans="1:6" hidden="1">
      <c r="A24" s="174" t="s">
        <v>17</v>
      </c>
      <c r="B24" s="175">
        <v>4749061.0425666645</v>
      </c>
      <c r="C24" s="175">
        <v>-4246300.4488166664</v>
      </c>
      <c r="D24" s="175">
        <v>44788397.95615001</v>
      </c>
    </row>
    <row r="25" spans="1:6">
      <c r="A25" s="177" t="s">
        <v>27</v>
      </c>
      <c r="B25" s="178">
        <f>B11/1000000</f>
        <v>44.788397956149993</v>
      </c>
      <c r="C25" s="179">
        <f t="shared" ref="C25:F25" si="0">C11/1000000</f>
        <v>45.215043757416666</v>
      </c>
      <c r="D25" s="179">
        <f t="shared" si="0"/>
        <v>1.8668736939333321</v>
      </c>
      <c r="E25" s="179">
        <f t="shared" si="0"/>
        <v>-1.4402278926666667</v>
      </c>
      <c r="F25" s="179">
        <f t="shared" si="0"/>
        <v>0.42664580126666535</v>
      </c>
    </row>
    <row r="26" spans="1:6">
      <c r="B26" s="180"/>
      <c r="C26" s="180"/>
      <c r="D26" s="180"/>
      <c r="E26" s="180"/>
      <c r="F26" s="180"/>
    </row>
    <row r="27" spans="1:6" ht="29.25">
      <c r="A27" s="171" t="s">
        <v>0</v>
      </c>
      <c r="B27" s="170" t="s">
        <v>1</v>
      </c>
      <c r="C27" s="197" t="s">
        <v>28</v>
      </c>
      <c r="D27" s="197"/>
      <c r="E27" s="197"/>
    </row>
    <row r="28" spans="1:6">
      <c r="C28" s="197"/>
      <c r="D28" s="197"/>
      <c r="E28" s="197"/>
    </row>
    <row r="29" spans="1:6" ht="15">
      <c r="C29" s="171" t="s">
        <v>29</v>
      </c>
    </row>
    <row r="30" spans="1:6" ht="29.25">
      <c r="A30" s="181" t="s">
        <v>30</v>
      </c>
      <c r="B30" s="181" t="s">
        <v>18</v>
      </c>
      <c r="C30" s="93" t="s">
        <v>5</v>
      </c>
      <c r="D30" s="93" t="s">
        <v>31</v>
      </c>
      <c r="E30" s="93" t="s">
        <v>9</v>
      </c>
    </row>
    <row r="31" spans="1:6" ht="15">
      <c r="A31" s="170" t="s">
        <v>20</v>
      </c>
      <c r="C31" s="182">
        <v>10680546.59715</v>
      </c>
      <c r="D31" s="182">
        <v>5519435.7241666662</v>
      </c>
      <c r="E31" s="182">
        <v>-189102.22715000028</v>
      </c>
    </row>
    <row r="32" spans="1:6" ht="29.25">
      <c r="A32" s="170" t="s">
        <v>21</v>
      </c>
      <c r="C32" s="182">
        <v>14293818.790000001</v>
      </c>
      <c r="D32" s="182">
        <v>6969640.2175000003</v>
      </c>
      <c r="E32" s="182">
        <v>466948.43941666681</v>
      </c>
    </row>
    <row r="33" spans="1:6" ht="15">
      <c r="A33" s="170" t="s">
        <v>22</v>
      </c>
      <c r="C33" s="182">
        <v>12507216.5</v>
      </c>
      <c r="D33" s="182">
        <v>9336947.6499999985</v>
      </c>
      <c r="E33" s="182">
        <v>156372.11333333157</v>
      </c>
    </row>
    <row r="34" spans="1:6" ht="15">
      <c r="A34" s="170" t="s">
        <v>23</v>
      </c>
      <c r="C34" s="182">
        <v>1545990.7</v>
      </c>
      <c r="D34" s="182">
        <v>648846.75</v>
      </c>
      <c r="E34" s="182">
        <v>-4919.7000000000044</v>
      </c>
    </row>
    <row r="35" spans="1:6" ht="15">
      <c r="A35" s="170" t="s">
        <v>24</v>
      </c>
      <c r="C35" s="182">
        <v>1797871.7549999999</v>
      </c>
      <c r="D35" s="182">
        <v>1234764.8800000001</v>
      </c>
      <c r="E35" s="182">
        <v>28.184999999997672</v>
      </c>
    </row>
    <row r="36" spans="1:6" ht="29.25">
      <c r="A36" s="170" t="s">
        <v>25</v>
      </c>
      <c r="C36" s="182">
        <v>2521006.6140000005</v>
      </c>
      <c r="D36" s="182">
        <v>1173017.6300000004</v>
      </c>
      <c r="E36" s="182">
        <v>-2680.6193333332867</v>
      </c>
    </row>
    <row r="37" spans="1:6" ht="15">
      <c r="A37" s="170" t="s">
        <v>17</v>
      </c>
      <c r="C37" s="182">
        <v>43346450.95615001</v>
      </c>
      <c r="D37" s="182">
        <v>24882652.851666663</v>
      </c>
      <c r="E37" s="182">
        <v>426646.19126666483</v>
      </c>
      <c r="F37" s="183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5772-FC1B-4EDE-860F-951491FC684A}">
  <sheetPr>
    <tabColor theme="5" tint="0.79998168889431442"/>
  </sheetPr>
  <dimension ref="A1:O153"/>
  <sheetViews>
    <sheetView workbookViewId="0">
      <pane xSplit="3" ySplit="1" topLeftCell="G117" activePane="bottomRight" state="frozen"/>
      <selection pane="bottomRight" activeCell="C121" sqref="C121"/>
      <selection pane="bottomLeft" activeCell="A2" sqref="A2"/>
      <selection pane="topRight" activeCell="D1" sqref="D1"/>
    </sheetView>
  </sheetViews>
  <sheetFormatPr defaultRowHeight="14.45" outlineLevelRow="2"/>
  <cols>
    <col min="1" max="1" width="18.5703125" customWidth="1"/>
    <col min="2" max="2" width="22.28515625" customWidth="1"/>
    <col min="3" max="3" width="37" customWidth="1"/>
    <col min="4" max="7" width="20.28515625" customWidth="1"/>
    <col min="8" max="8" width="22.28515625" customWidth="1"/>
    <col min="9" max="9" width="74.140625" style="93" customWidth="1"/>
    <col min="10" max="10" width="27.7109375" style="92" customWidth="1"/>
    <col min="13" max="15" width="0" hidden="1" customWidth="1"/>
  </cols>
  <sheetData>
    <row r="1" spans="1:15" ht="28.9">
      <c r="A1" s="136" t="s">
        <v>32</v>
      </c>
      <c r="B1" s="137" t="s">
        <v>30</v>
      </c>
      <c r="C1" s="137" t="s">
        <v>33</v>
      </c>
      <c r="D1" s="137" t="s">
        <v>34</v>
      </c>
      <c r="E1" s="137" t="s">
        <v>35</v>
      </c>
      <c r="F1" s="137" t="s">
        <v>36</v>
      </c>
      <c r="G1" s="138" t="s">
        <v>37</v>
      </c>
      <c r="H1" s="137" t="s">
        <v>38</v>
      </c>
      <c r="I1" s="138" t="s">
        <v>39</v>
      </c>
      <c r="J1" s="139" t="s">
        <v>40</v>
      </c>
    </row>
    <row r="2" spans="1:15" ht="43.15" outlineLevel="2">
      <c r="A2" s="140" t="s">
        <v>10</v>
      </c>
      <c r="B2" s="141" t="s">
        <v>20</v>
      </c>
      <c r="C2" s="141" t="s">
        <v>41</v>
      </c>
      <c r="D2" s="142">
        <v>21276</v>
      </c>
      <c r="E2" s="142">
        <v>0</v>
      </c>
      <c r="F2" s="142">
        <v>0</v>
      </c>
      <c r="G2" s="142">
        <f>E2+F2</f>
        <v>0</v>
      </c>
      <c r="H2" s="142">
        <f>G2-D2</f>
        <v>-21276</v>
      </c>
      <c r="I2" s="143" t="s">
        <v>42</v>
      </c>
      <c r="J2" s="144" t="s">
        <v>43</v>
      </c>
      <c r="M2" s="139" t="s">
        <v>40</v>
      </c>
      <c r="N2" s="138" t="s">
        <v>39</v>
      </c>
      <c r="O2" s="139" t="s">
        <v>40</v>
      </c>
    </row>
    <row r="3" spans="1:15" ht="43.15" outlineLevel="2">
      <c r="A3" s="140" t="s">
        <v>10</v>
      </c>
      <c r="B3" s="141" t="s">
        <v>20</v>
      </c>
      <c r="C3" s="141" t="s">
        <v>44</v>
      </c>
      <c r="D3" s="142">
        <v>1075296</v>
      </c>
      <c r="E3" s="142">
        <v>960000</v>
      </c>
      <c r="F3" s="142">
        <v>0</v>
      </c>
      <c r="G3" s="142">
        <f t="shared" ref="G3:G66" si="0">E3+F3</f>
        <v>960000</v>
      </c>
      <c r="H3" s="142">
        <f t="shared" ref="H3:H66" si="1">G3-D3</f>
        <v>-115296</v>
      </c>
      <c r="I3" s="145" t="s">
        <v>45</v>
      </c>
      <c r="J3" s="144" t="s">
        <v>46</v>
      </c>
      <c r="M3" t="s">
        <v>46</v>
      </c>
      <c r="N3" t="s">
        <v>47</v>
      </c>
      <c r="O3" t="s">
        <v>48</v>
      </c>
    </row>
    <row r="4" spans="1:15" outlineLevel="1">
      <c r="A4" s="146" t="s">
        <v>10</v>
      </c>
      <c r="B4" s="147" t="s">
        <v>49</v>
      </c>
      <c r="C4" s="147"/>
      <c r="D4" s="148">
        <f>SUM(D2:D3)</f>
        <v>1096572</v>
      </c>
      <c r="E4" s="148">
        <f>SUM(E2:E3)</f>
        <v>960000</v>
      </c>
      <c r="F4" s="148">
        <f>SUM(F2:F3)</f>
        <v>0</v>
      </c>
      <c r="G4" s="148">
        <f t="shared" si="0"/>
        <v>960000</v>
      </c>
      <c r="H4" s="148">
        <f t="shared" si="1"/>
        <v>-136572</v>
      </c>
      <c r="I4" s="149"/>
      <c r="J4" s="150"/>
      <c r="M4" t="s">
        <v>50</v>
      </c>
      <c r="N4" t="s">
        <v>51</v>
      </c>
      <c r="O4" t="s">
        <v>52</v>
      </c>
    </row>
    <row r="5" spans="1:15" ht="28.9" outlineLevel="2">
      <c r="A5" s="140" t="s">
        <v>10</v>
      </c>
      <c r="B5" s="141" t="s">
        <v>22</v>
      </c>
      <c r="C5" s="141" t="s">
        <v>53</v>
      </c>
      <c r="D5" s="142">
        <v>150000</v>
      </c>
      <c r="E5" s="142">
        <v>0</v>
      </c>
      <c r="F5" s="142">
        <v>150000</v>
      </c>
      <c r="G5" s="148">
        <f t="shared" si="0"/>
        <v>150000</v>
      </c>
      <c r="H5" s="148">
        <f t="shared" si="1"/>
        <v>0</v>
      </c>
      <c r="I5" s="145" t="s">
        <v>54</v>
      </c>
      <c r="J5" s="144" t="s">
        <v>55</v>
      </c>
      <c r="M5" t="s">
        <v>43</v>
      </c>
      <c r="N5" t="s">
        <v>56</v>
      </c>
      <c r="O5" t="s">
        <v>57</v>
      </c>
    </row>
    <row r="6" spans="1:15" ht="28.9" outlineLevel="2">
      <c r="A6" s="140" t="s">
        <v>10</v>
      </c>
      <c r="B6" s="141" t="s">
        <v>22</v>
      </c>
      <c r="C6" s="141" t="s">
        <v>58</v>
      </c>
      <c r="D6" s="142">
        <v>0</v>
      </c>
      <c r="E6" s="142">
        <v>0</v>
      </c>
      <c r="F6" s="142">
        <v>0</v>
      </c>
      <c r="G6" s="148">
        <f t="shared" si="0"/>
        <v>0</v>
      </c>
      <c r="H6" s="148">
        <f t="shared" si="1"/>
        <v>0</v>
      </c>
      <c r="I6" s="145" t="s">
        <v>59</v>
      </c>
      <c r="J6" s="144" t="s">
        <v>55</v>
      </c>
      <c r="M6" t="s">
        <v>60</v>
      </c>
      <c r="N6" t="s">
        <v>61</v>
      </c>
      <c r="O6" t="s">
        <v>62</v>
      </c>
    </row>
    <row r="7" spans="1:15" ht="28.9" outlineLevel="2">
      <c r="A7" s="140" t="s">
        <v>10</v>
      </c>
      <c r="B7" s="141" t="s">
        <v>22</v>
      </c>
      <c r="C7" s="141" t="s">
        <v>44</v>
      </c>
      <c r="D7" s="142">
        <v>120000</v>
      </c>
      <c r="E7" s="142">
        <v>40000</v>
      </c>
      <c r="F7" s="142">
        <v>80000</v>
      </c>
      <c r="G7" s="148">
        <f t="shared" si="0"/>
        <v>120000</v>
      </c>
      <c r="H7" s="148">
        <f t="shared" si="1"/>
        <v>0</v>
      </c>
      <c r="I7" s="151" t="s">
        <v>63</v>
      </c>
      <c r="J7" s="152" t="s">
        <v>55</v>
      </c>
    </row>
    <row r="8" spans="1:15" ht="43.15" outlineLevel="2">
      <c r="A8" s="140" t="s">
        <v>10</v>
      </c>
      <c r="B8" s="141" t="s">
        <v>22</v>
      </c>
      <c r="C8" s="141" t="s">
        <v>64</v>
      </c>
      <c r="D8" s="142">
        <v>499600</v>
      </c>
      <c r="E8" s="142">
        <v>10000</v>
      </c>
      <c r="F8" s="142">
        <v>283500</v>
      </c>
      <c r="G8" s="148">
        <f t="shared" si="0"/>
        <v>293500</v>
      </c>
      <c r="H8" s="148">
        <f t="shared" si="1"/>
        <v>-206100</v>
      </c>
      <c r="I8" s="145" t="s">
        <v>65</v>
      </c>
      <c r="J8" s="144" t="s">
        <v>43</v>
      </c>
    </row>
    <row r="9" spans="1:15" outlineLevel="1">
      <c r="A9" s="146" t="s">
        <v>10</v>
      </c>
      <c r="B9" s="147" t="s">
        <v>66</v>
      </c>
      <c r="C9" s="147"/>
      <c r="D9" s="148">
        <f>SUM(D5:D8)</f>
        <v>769600</v>
      </c>
      <c r="E9" s="148">
        <f>SUM(E5:E8)</f>
        <v>50000</v>
      </c>
      <c r="F9" s="148">
        <f>SUM(F5:F8)</f>
        <v>513500</v>
      </c>
      <c r="G9" s="148">
        <f t="shared" si="0"/>
        <v>563500</v>
      </c>
      <c r="H9" s="148">
        <f t="shared" si="1"/>
        <v>-206100</v>
      </c>
      <c r="I9" s="149"/>
      <c r="J9" s="150"/>
    </row>
    <row r="10" spans="1:15" ht="28.9" outlineLevel="2">
      <c r="A10" s="140" t="s">
        <v>10</v>
      </c>
      <c r="B10" s="141" t="s">
        <v>23</v>
      </c>
      <c r="C10" s="141" t="s">
        <v>41</v>
      </c>
      <c r="D10" s="142">
        <v>0</v>
      </c>
      <c r="E10" s="142">
        <v>0</v>
      </c>
      <c r="F10" s="142">
        <v>0</v>
      </c>
      <c r="G10" s="148">
        <f t="shared" si="0"/>
        <v>0</v>
      </c>
      <c r="H10" s="148">
        <f t="shared" si="1"/>
        <v>0</v>
      </c>
      <c r="I10" s="145" t="s">
        <v>59</v>
      </c>
      <c r="J10" s="144" t="s">
        <v>55</v>
      </c>
    </row>
    <row r="11" spans="1:15" outlineLevel="1">
      <c r="A11" s="146" t="s">
        <v>10</v>
      </c>
      <c r="B11" s="147" t="s">
        <v>67</v>
      </c>
      <c r="C11" s="147"/>
      <c r="D11" s="148">
        <f>SUM(D10:D10)</f>
        <v>0</v>
      </c>
      <c r="E11" s="148">
        <f>SUM(E10:E10)</f>
        <v>0</v>
      </c>
      <c r="F11" s="148">
        <f>SUM(F10:F10)</f>
        <v>0</v>
      </c>
      <c r="G11" s="148">
        <f t="shared" si="0"/>
        <v>0</v>
      </c>
      <c r="H11" s="148">
        <f t="shared" si="1"/>
        <v>0</v>
      </c>
      <c r="I11" s="149"/>
      <c r="J11" s="150"/>
    </row>
    <row r="12" spans="1:15" ht="28.9" outlineLevel="2">
      <c r="A12" s="140" t="s">
        <v>10</v>
      </c>
      <c r="B12" s="141" t="s">
        <v>25</v>
      </c>
      <c r="C12" s="141" t="s">
        <v>53</v>
      </c>
      <c r="D12" s="142">
        <v>642</v>
      </c>
      <c r="E12" s="142">
        <v>0</v>
      </c>
      <c r="F12" s="142">
        <v>0</v>
      </c>
      <c r="G12" s="148">
        <f t="shared" si="0"/>
        <v>0</v>
      </c>
      <c r="H12" s="148">
        <f t="shared" si="1"/>
        <v>-642</v>
      </c>
      <c r="I12" s="151" t="s">
        <v>68</v>
      </c>
      <c r="J12" s="152" t="s">
        <v>55</v>
      </c>
    </row>
    <row r="13" spans="1:15" ht="28.9" outlineLevel="2">
      <c r="A13" s="140" t="s">
        <v>10</v>
      </c>
      <c r="B13" s="141" t="s">
        <v>25</v>
      </c>
      <c r="C13" s="141" t="s">
        <v>41</v>
      </c>
      <c r="D13" s="142">
        <v>0</v>
      </c>
      <c r="E13" s="142">
        <v>0</v>
      </c>
      <c r="F13" s="142">
        <v>0</v>
      </c>
      <c r="G13" s="148">
        <f t="shared" si="0"/>
        <v>0</v>
      </c>
      <c r="H13" s="148">
        <f t="shared" si="1"/>
        <v>0</v>
      </c>
      <c r="I13" s="145" t="s">
        <v>59</v>
      </c>
      <c r="J13" s="144" t="s">
        <v>55</v>
      </c>
    </row>
    <row r="14" spans="1:15" outlineLevel="1">
      <c r="A14" s="146" t="s">
        <v>10</v>
      </c>
      <c r="B14" s="147" t="s">
        <v>69</v>
      </c>
      <c r="C14" s="147"/>
      <c r="D14" s="148">
        <f>SUM(D12:D13)</f>
        <v>642</v>
      </c>
      <c r="E14" s="148">
        <f>SUM(E12:E13)</f>
        <v>0</v>
      </c>
      <c r="F14" s="148">
        <f>SUM(F12:F13)</f>
        <v>0</v>
      </c>
      <c r="G14" s="148">
        <f t="shared" si="0"/>
        <v>0</v>
      </c>
      <c r="H14" s="148">
        <f t="shared" si="1"/>
        <v>-642</v>
      </c>
      <c r="I14" s="149"/>
      <c r="J14" s="150"/>
    </row>
    <row r="15" spans="1:15">
      <c r="A15" s="153" t="s">
        <v>70</v>
      </c>
      <c r="B15" s="154"/>
      <c r="C15" s="154"/>
      <c r="D15" s="155">
        <f>SUM(D4,D9,D11,D14)</f>
        <v>1866814</v>
      </c>
      <c r="E15" s="155">
        <f>SUM(E4,E9,E11,E14)</f>
        <v>1010000</v>
      </c>
      <c r="F15" s="155">
        <f>SUM(F4,F9,F11,F14)</f>
        <v>513500</v>
      </c>
      <c r="G15" s="155">
        <f t="shared" si="0"/>
        <v>1523500</v>
      </c>
      <c r="H15" s="155">
        <f t="shared" si="1"/>
        <v>-343314</v>
      </c>
      <c r="I15" s="149"/>
      <c r="J15" s="150"/>
    </row>
    <row r="16" spans="1:15" ht="28.9" outlineLevel="2">
      <c r="A16" s="140" t="s">
        <v>11</v>
      </c>
      <c r="B16" s="141" t="s">
        <v>20</v>
      </c>
      <c r="C16" s="141" t="s">
        <v>71</v>
      </c>
      <c r="D16" s="142">
        <v>0</v>
      </c>
      <c r="E16" s="142">
        <v>0</v>
      </c>
      <c r="F16" s="142">
        <v>0</v>
      </c>
      <c r="G16" s="148">
        <f t="shared" si="0"/>
        <v>0</v>
      </c>
      <c r="H16" s="148">
        <f t="shared" si="1"/>
        <v>0</v>
      </c>
      <c r="I16" s="151" t="s">
        <v>59</v>
      </c>
      <c r="J16" s="152" t="s">
        <v>55</v>
      </c>
    </row>
    <row r="17" spans="1:10" outlineLevel="1">
      <c r="A17" s="146" t="s">
        <v>11</v>
      </c>
      <c r="B17" s="147" t="s">
        <v>49</v>
      </c>
      <c r="C17" s="147"/>
      <c r="D17" s="148">
        <f>SUM(D16:D16)</f>
        <v>0</v>
      </c>
      <c r="E17" s="148">
        <f>SUM(E16:E16)</f>
        <v>0</v>
      </c>
      <c r="F17" s="148">
        <f>SUM(F16:F16)</f>
        <v>0</v>
      </c>
      <c r="G17" s="148">
        <f t="shared" si="0"/>
        <v>0</v>
      </c>
      <c r="H17" s="148">
        <f t="shared" si="1"/>
        <v>0</v>
      </c>
      <c r="I17" s="149"/>
      <c r="J17" s="150"/>
    </row>
    <row r="18" spans="1:10" ht="43.15" outlineLevel="2">
      <c r="A18" s="140" t="s">
        <v>11</v>
      </c>
      <c r="B18" s="141" t="s">
        <v>21</v>
      </c>
      <c r="C18" s="141" t="s">
        <v>72</v>
      </c>
      <c r="D18" s="142">
        <v>34646</v>
      </c>
      <c r="E18" s="142">
        <v>2244.52</v>
      </c>
      <c r="F18" s="142">
        <v>98097.333333333299</v>
      </c>
      <c r="G18" s="148">
        <f t="shared" si="0"/>
        <v>100341.8533333333</v>
      </c>
      <c r="H18" s="148">
        <f t="shared" si="1"/>
        <v>65695.853333333303</v>
      </c>
      <c r="I18" s="156" t="s">
        <v>73</v>
      </c>
      <c r="J18" s="157" t="s">
        <v>50</v>
      </c>
    </row>
    <row r="19" spans="1:10" ht="43.15" outlineLevel="2">
      <c r="A19" s="140" t="s">
        <v>11</v>
      </c>
      <c r="B19" s="141" t="s">
        <v>21</v>
      </c>
      <c r="C19" s="141" t="s">
        <v>71</v>
      </c>
      <c r="D19" s="142">
        <v>81590</v>
      </c>
      <c r="E19" s="142">
        <v>28463.33</v>
      </c>
      <c r="F19" s="142">
        <v>53127</v>
      </c>
      <c r="G19" s="148">
        <f t="shared" si="0"/>
        <v>81590.33</v>
      </c>
      <c r="H19" s="148">
        <f t="shared" si="1"/>
        <v>0.33000000000174623</v>
      </c>
      <c r="I19" s="156" t="s">
        <v>74</v>
      </c>
      <c r="J19" s="157" t="s">
        <v>60</v>
      </c>
    </row>
    <row r="20" spans="1:10" outlineLevel="1">
      <c r="A20" s="146" t="s">
        <v>11</v>
      </c>
      <c r="B20" s="147" t="s">
        <v>75</v>
      </c>
      <c r="C20" s="147"/>
      <c r="D20" s="148">
        <f>SUM(D18:D19)</f>
        <v>116236</v>
      </c>
      <c r="E20" s="148">
        <f>SUM(E18:E19)</f>
        <v>30707.850000000002</v>
      </c>
      <c r="F20" s="148">
        <f>SUM(F18:F19)</f>
        <v>151224.33333333331</v>
      </c>
      <c r="G20" s="148">
        <f t="shared" si="0"/>
        <v>181932.18333333332</v>
      </c>
      <c r="H20" s="148">
        <f t="shared" si="1"/>
        <v>65696.18333333332</v>
      </c>
      <c r="I20" s="149"/>
      <c r="J20" s="150"/>
    </row>
    <row r="21" spans="1:10">
      <c r="A21" s="153" t="s">
        <v>76</v>
      </c>
      <c r="B21" s="154"/>
      <c r="C21" s="154"/>
      <c r="D21" s="155">
        <f>SUM(D17,D20)</f>
        <v>116236</v>
      </c>
      <c r="E21" s="155">
        <f>SUM(E17,E20)</f>
        <v>30707.850000000002</v>
      </c>
      <c r="F21" s="155">
        <f>SUM(F17,F20)</f>
        <v>151224.33333333331</v>
      </c>
      <c r="G21" s="155">
        <f t="shared" si="0"/>
        <v>181932.18333333332</v>
      </c>
      <c r="H21" s="155">
        <f t="shared" si="1"/>
        <v>65696.18333333332</v>
      </c>
      <c r="I21" s="149"/>
      <c r="J21" s="150"/>
    </row>
    <row r="22" spans="1:10" ht="28.9" outlineLevel="2">
      <c r="A22" s="140" t="s">
        <v>12</v>
      </c>
      <c r="B22" s="141" t="s">
        <v>21</v>
      </c>
      <c r="C22" s="141" t="s">
        <v>77</v>
      </c>
      <c r="D22" s="142">
        <v>36345</v>
      </c>
      <c r="E22" s="142">
        <v>9883.3799999999992</v>
      </c>
      <c r="F22" s="142">
        <v>27258.75</v>
      </c>
      <c r="G22" s="148">
        <f t="shared" si="0"/>
        <v>37142.129999999997</v>
      </c>
      <c r="H22" s="148">
        <f t="shared" si="1"/>
        <v>797.12999999999738</v>
      </c>
      <c r="I22" s="151" t="s">
        <v>78</v>
      </c>
      <c r="J22" s="152" t="s">
        <v>55</v>
      </c>
    </row>
    <row r="23" spans="1:10" ht="28.9" outlineLevel="2">
      <c r="A23" s="140" t="s">
        <v>12</v>
      </c>
      <c r="B23" s="141" t="s">
        <v>21</v>
      </c>
      <c r="C23" s="141" t="s">
        <v>79</v>
      </c>
      <c r="D23" s="142">
        <v>4230</v>
      </c>
      <c r="E23" s="142">
        <v>2223.4699999999998</v>
      </c>
      <c r="F23" s="142">
        <v>2112</v>
      </c>
      <c r="G23" s="148">
        <f t="shared" si="0"/>
        <v>4335.4699999999993</v>
      </c>
      <c r="H23" s="148">
        <f t="shared" si="1"/>
        <v>105.46999999999935</v>
      </c>
      <c r="I23" s="151" t="s">
        <v>80</v>
      </c>
      <c r="J23" s="152" t="s">
        <v>55</v>
      </c>
    </row>
    <row r="24" spans="1:10" ht="28.9" outlineLevel="2">
      <c r="A24" s="140" t="s">
        <v>12</v>
      </c>
      <c r="B24" s="141" t="s">
        <v>21</v>
      </c>
      <c r="C24" s="141" t="s">
        <v>81</v>
      </c>
      <c r="D24" s="142">
        <v>2863</v>
      </c>
      <c r="E24" s="142">
        <v>0</v>
      </c>
      <c r="F24" s="142">
        <v>2863</v>
      </c>
      <c r="G24" s="148">
        <f t="shared" si="0"/>
        <v>2863</v>
      </c>
      <c r="H24" s="148">
        <f t="shared" si="1"/>
        <v>0</v>
      </c>
      <c r="I24" s="151" t="s">
        <v>82</v>
      </c>
      <c r="J24" s="152" t="s">
        <v>55</v>
      </c>
    </row>
    <row r="25" spans="1:10" ht="43.15" outlineLevel="2">
      <c r="A25" s="140" t="s">
        <v>12</v>
      </c>
      <c r="B25" s="141" t="s">
        <v>21</v>
      </c>
      <c r="C25" s="141" t="s">
        <v>72</v>
      </c>
      <c r="D25" s="142">
        <v>174375</v>
      </c>
      <c r="E25" s="142">
        <v>66030.84</v>
      </c>
      <c r="F25" s="142">
        <v>94350</v>
      </c>
      <c r="G25" s="148">
        <f t="shared" si="0"/>
        <v>160380.84</v>
      </c>
      <c r="H25" s="148">
        <f t="shared" si="1"/>
        <v>-13994.160000000003</v>
      </c>
      <c r="I25" s="145" t="s">
        <v>83</v>
      </c>
      <c r="J25" s="144" t="s">
        <v>43</v>
      </c>
    </row>
    <row r="26" spans="1:10" ht="43.15" outlineLevel="2">
      <c r="A26" s="140" t="s">
        <v>12</v>
      </c>
      <c r="B26" s="141" t="s">
        <v>21</v>
      </c>
      <c r="C26" s="141" t="s">
        <v>84</v>
      </c>
      <c r="D26" s="142">
        <v>1674</v>
      </c>
      <c r="E26" s="142">
        <v>0</v>
      </c>
      <c r="F26" s="142">
        <v>0</v>
      </c>
      <c r="G26" s="148">
        <f t="shared" si="0"/>
        <v>0</v>
      </c>
      <c r="H26" s="148">
        <f t="shared" si="1"/>
        <v>-1674</v>
      </c>
      <c r="I26" s="145" t="s">
        <v>85</v>
      </c>
      <c r="J26" s="144" t="s">
        <v>46</v>
      </c>
    </row>
    <row r="27" spans="1:10" ht="28.9" outlineLevel="2">
      <c r="A27" s="140" t="s">
        <v>12</v>
      </c>
      <c r="B27" s="141" t="s">
        <v>21</v>
      </c>
      <c r="C27" s="141" t="s">
        <v>86</v>
      </c>
      <c r="D27" s="142">
        <v>7043</v>
      </c>
      <c r="E27" s="142">
        <v>3725.33</v>
      </c>
      <c r="F27" s="142">
        <v>3521</v>
      </c>
      <c r="G27" s="148">
        <f t="shared" si="0"/>
        <v>7246.33</v>
      </c>
      <c r="H27" s="148">
        <f t="shared" si="1"/>
        <v>203.32999999999993</v>
      </c>
      <c r="I27" s="151" t="s">
        <v>87</v>
      </c>
      <c r="J27" s="152" t="s">
        <v>55</v>
      </c>
    </row>
    <row r="28" spans="1:10" ht="28.9" outlineLevel="2">
      <c r="A28" s="140" t="s">
        <v>12</v>
      </c>
      <c r="B28" s="141" t="s">
        <v>21</v>
      </c>
      <c r="C28" s="141" t="s">
        <v>88</v>
      </c>
      <c r="D28" s="142">
        <v>35314</v>
      </c>
      <c r="E28" s="142">
        <v>18056.259999999998</v>
      </c>
      <c r="F28" s="142">
        <v>17656</v>
      </c>
      <c r="G28" s="148">
        <f t="shared" si="0"/>
        <v>35712.259999999995</v>
      </c>
      <c r="H28" s="148">
        <f t="shared" si="1"/>
        <v>398.25999999999476</v>
      </c>
      <c r="I28" s="151" t="s">
        <v>89</v>
      </c>
      <c r="J28" s="152" t="s">
        <v>55</v>
      </c>
    </row>
    <row r="29" spans="1:10" ht="28.9" outlineLevel="2">
      <c r="A29" s="140" t="s">
        <v>12</v>
      </c>
      <c r="B29" s="141" t="s">
        <v>21</v>
      </c>
      <c r="C29" s="141" t="s">
        <v>90</v>
      </c>
      <c r="D29" s="142">
        <v>18865</v>
      </c>
      <c r="E29" s="142">
        <v>6681.98</v>
      </c>
      <c r="F29" s="142">
        <v>12829</v>
      </c>
      <c r="G29" s="148">
        <f t="shared" si="0"/>
        <v>19510.98</v>
      </c>
      <c r="H29" s="148">
        <f t="shared" si="1"/>
        <v>645.97999999999956</v>
      </c>
      <c r="I29" s="151" t="s">
        <v>91</v>
      </c>
      <c r="J29" s="152" t="s">
        <v>55</v>
      </c>
    </row>
    <row r="30" spans="1:10" ht="28.9" outlineLevel="2">
      <c r="A30" s="140" t="s">
        <v>12</v>
      </c>
      <c r="B30" s="141" t="s">
        <v>21</v>
      </c>
      <c r="C30" s="141" t="s">
        <v>92</v>
      </c>
      <c r="D30" s="142">
        <v>25439</v>
      </c>
      <c r="E30" s="142">
        <v>12115.97</v>
      </c>
      <c r="F30" s="142">
        <v>12719.5</v>
      </c>
      <c r="G30" s="148">
        <f t="shared" si="0"/>
        <v>24835.47</v>
      </c>
      <c r="H30" s="148">
        <f t="shared" si="1"/>
        <v>-603.52999999999884</v>
      </c>
      <c r="I30" s="151" t="s">
        <v>93</v>
      </c>
      <c r="J30" s="152" t="s">
        <v>55</v>
      </c>
    </row>
    <row r="31" spans="1:10" ht="28.9" outlineLevel="2">
      <c r="A31" s="140" t="s">
        <v>12</v>
      </c>
      <c r="B31" s="141" t="s">
        <v>21</v>
      </c>
      <c r="C31" s="141" t="s">
        <v>94</v>
      </c>
      <c r="D31" s="142">
        <v>34537</v>
      </c>
      <c r="E31" s="142">
        <v>16448.7</v>
      </c>
      <c r="F31" s="142">
        <v>17268.5</v>
      </c>
      <c r="G31" s="148">
        <f t="shared" si="0"/>
        <v>33717.199999999997</v>
      </c>
      <c r="H31" s="148">
        <f t="shared" si="1"/>
        <v>-819.80000000000291</v>
      </c>
      <c r="I31" s="151" t="s">
        <v>95</v>
      </c>
      <c r="J31" s="152" t="s">
        <v>55</v>
      </c>
    </row>
    <row r="32" spans="1:10" ht="28.9" outlineLevel="2">
      <c r="A32" s="140" t="s">
        <v>12</v>
      </c>
      <c r="B32" s="141" t="s">
        <v>21</v>
      </c>
      <c r="C32" s="141" t="s">
        <v>96</v>
      </c>
      <c r="D32" s="142">
        <v>7500000</v>
      </c>
      <c r="E32" s="142">
        <v>3782589.08</v>
      </c>
      <c r="F32" s="142">
        <v>3717411</v>
      </c>
      <c r="G32" s="148">
        <f t="shared" si="0"/>
        <v>7500000.0800000001</v>
      </c>
      <c r="H32" s="148">
        <f t="shared" si="1"/>
        <v>8.0000000074505806E-2</v>
      </c>
      <c r="I32" s="151" t="s">
        <v>97</v>
      </c>
      <c r="J32" s="152" t="s">
        <v>55</v>
      </c>
    </row>
    <row r="33" spans="1:10" ht="28.9" outlineLevel="2">
      <c r="A33" s="140" t="s">
        <v>12</v>
      </c>
      <c r="B33" s="141" t="s">
        <v>21</v>
      </c>
      <c r="C33" s="141" t="s">
        <v>98</v>
      </c>
      <c r="D33" s="142">
        <v>52500</v>
      </c>
      <c r="E33" s="142">
        <v>0</v>
      </c>
      <c r="F33" s="142">
        <v>52500</v>
      </c>
      <c r="G33" s="148">
        <f t="shared" si="0"/>
        <v>52500</v>
      </c>
      <c r="H33" s="148">
        <f t="shared" si="1"/>
        <v>0</v>
      </c>
      <c r="I33" s="151" t="s">
        <v>99</v>
      </c>
      <c r="J33" s="152" t="s">
        <v>55</v>
      </c>
    </row>
    <row r="34" spans="1:10" ht="28.9" outlineLevel="2">
      <c r="A34" s="140" t="s">
        <v>12</v>
      </c>
      <c r="B34" s="141" t="s">
        <v>21</v>
      </c>
      <c r="C34" s="141" t="s">
        <v>100</v>
      </c>
      <c r="D34" s="142">
        <v>3150</v>
      </c>
      <c r="E34" s="142">
        <v>3000</v>
      </c>
      <c r="F34" s="142">
        <v>0</v>
      </c>
      <c r="G34" s="148">
        <f t="shared" si="0"/>
        <v>3000</v>
      </c>
      <c r="H34" s="148">
        <f t="shared" si="1"/>
        <v>-150</v>
      </c>
      <c r="I34" s="151" t="s">
        <v>101</v>
      </c>
      <c r="J34" s="152" t="s">
        <v>55</v>
      </c>
    </row>
    <row r="35" spans="1:10" ht="28.9" outlineLevel="2">
      <c r="A35" s="140" t="s">
        <v>12</v>
      </c>
      <c r="B35" s="141" t="s">
        <v>21</v>
      </c>
      <c r="C35" s="141" t="s">
        <v>71</v>
      </c>
      <c r="D35" s="142">
        <v>0</v>
      </c>
      <c r="E35" s="142">
        <v>139.94</v>
      </c>
      <c r="F35" s="142">
        <v>0</v>
      </c>
      <c r="G35" s="148">
        <f t="shared" si="0"/>
        <v>139.94</v>
      </c>
      <c r="H35" s="148">
        <f t="shared" si="1"/>
        <v>139.94</v>
      </c>
      <c r="I35" s="151" t="s">
        <v>102</v>
      </c>
      <c r="J35" s="152" t="s">
        <v>55</v>
      </c>
    </row>
    <row r="36" spans="1:10" ht="43.15" outlineLevel="2">
      <c r="A36" s="140" t="s">
        <v>12</v>
      </c>
      <c r="B36" s="141" t="s">
        <v>21</v>
      </c>
      <c r="C36" s="141" t="s">
        <v>103</v>
      </c>
      <c r="D36" s="142">
        <v>421713.07500000001</v>
      </c>
      <c r="E36" s="142">
        <v>177841.76</v>
      </c>
      <c r="F36" s="142">
        <v>215029.5</v>
      </c>
      <c r="G36" s="148">
        <f t="shared" si="0"/>
        <v>392871.26</v>
      </c>
      <c r="H36" s="148">
        <f t="shared" si="1"/>
        <v>-28841.815000000002</v>
      </c>
      <c r="I36" s="145" t="s">
        <v>104</v>
      </c>
      <c r="J36" s="144" t="s">
        <v>43</v>
      </c>
    </row>
    <row r="37" spans="1:10" ht="28.9" outlineLevel="2">
      <c r="A37" s="140" t="s">
        <v>12</v>
      </c>
      <c r="B37" s="141" t="s">
        <v>21</v>
      </c>
      <c r="C37" s="141" t="s">
        <v>105</v>
      </c>
      <c r="D37" s="142">
        <v>15750</v>
      </c>
      <c r="E37" s="142">
        <v>0</v>
      </c>
      <c r="F37" s="142">
        <v>15750</v>
      </c>
      <c r="G37" s="148">
        <f t="shared" si="0"/>
        <v>15750</v>
      </c>
      <c r="H37" s="148">
        <f t="shared" si="1"/>
        <v>0</v>
      </c>
      <c r="I37" s="151" t="s">
        <v>106</v>
      </c>
      <c r="J37" s="152" t="s">
        <v>55</v>
      </c>
    </row>
    <row r="38" spans="1:10" outlineLevel="1">
      <c r="A38" s="146" t="s">
        <v>12</v>
      </c>
      <c r="B38" s="147" t="s">
        <v>75</v>
      </c>
      <c r="C38" s="147"/>
      <c r="D38" s="148">
        <f>SUM(D22:D37)</f>
        <v>8333798.0750000002</v>
      </c>
      <c r="E38" s="148">
        <f>SUM(E22:E37)</f>
        <v>4098736.71</v>
      </c>
      <c r="F38" s="148">
        <f>SUM(F22:F37)</f>
        <v>4191268.25</v>
      </c>
      <c r="G38" s="148">
        <f t="shared" si="0"/>
        <v>8290004.96</v>
      </c>
      <c r="H38" s="148">
        <f t="shared" si="1"/>
        <v>-43793.115000000224</v>
      </c>
      <c r="I38" s="149"/>
      <c r="J38" s="150"/>
    </row>
    <row r="39" spans="1:10" ht="28.9" outlineLevel="2">
      <c r="A39" s="140" t="s">
        <v>12</v>
      </c>
      <c r="B39" s="141" t="s">
        <v>25</v>
      </c>
      <c r="C39" s="141" t="s">
        <v>107</v>
      </c>
      <c r="D39" s="142">
        <v>292</v>
      </c>
      <c r="E39" s="142">
        <v>0</v>
      </c>
      <c r="F39" s="142">
        <v>292</v>
      </c>
      <c r="G39" s="148">
        <f t="shared" si="0"/>
        <v>292</v>
      </c>
      <c r="H39" s="148">
        <f t="shared" si="1"/>
        <v>0</v>
      </c>
      <c r="I39" s="151" t="s">
        <v>108</v>
      </c>
      <c r="J39" s="152" t="s">
        <v>55</v>
      </c>
    </row>
    <row r="40" spans="1:10" ht="28.9" outlineLevel="2">
      <c r="A40" s="140" t="s">
        <v>12</v>
      </c>
      <c r="B40" s="141" t="s">
        <v>25</v>
      </c>
      <c r="C40" s="141" t="s">
        <v>109</v>
      </c>
      <c r="D40" s="142">
        <v>2900</v>
      </c>
      <c r="E40" s="142">
        <v>1912.75</v>
      </c>
      <c r="F40" s="142">
        <v>987</v>
      </c>
      <c r="G40" s="148">
        <f t="shared" si="0"/>
        <v>2899.75</v>
      </c>
      <c r="H40" s="148">
        <f t="shared" si="1"/>
        <v>-0.25</v>
      </c>
      <c r="I40" s="151" t="s">
        <v>82</v>
      </c>
      <c r="J40" s="152" t="s">
        <v>55</v>
      </c>
    </row>
    <row r="41" spans="1:10" outlineLevel="1">
      <c r="A41" s="146" t="s">
        <v>12</v>
      </c>
      <c r="B41" s="147" t="s">
        <v>69</v>
      </c>
      <c r="C41" s="147"/>
      <c r="D41" s="148">
        <f>SUM(D39:D40)</f>
        <v>3192</v>
      </c>
      <c r="E41" s="148">
        <f>SUM(E39:E40)</f>
        <v>1912.75</v>
      </c>
      <c r="F41" s="148">
        <f>SUM(F39:F40)</f>
        <v>1279</v>
      </c>
      <c r="G41" s="148">
        <f t="shared" si="0"/>
        <v>3191.75</v>
      </c>
      <c r="H41" s="148">
        <f t="shared" si="1"/>
        <v>-0.25</v>
      </c>
      <c r="I41" s="149"/>
      <c r="J41" s="150"/>
    </row>
    <row r="42" spans="1:10">
      <c r="A42" s="153" t="s">
        <v>110</v>
      </c>
      <c r="B42" s="154"/>
      <c r="C42" s="154"/>
      <c r="D42" s="155">
        <f>SUM(D38,D41)</f>
        <v>8336990.0750000002</v>
      </c>
      <c r="E42" s="155">
        <f>SUM(E38,E41)</f>
        <v>4100649.46</v>
      </c>
      <c r="F42" s="155">
        <f>SUM(F38,F41)</f>
        <v>4192547.25</v>
      </c>
      <c r="G42" s="155">
        <f t="shared" si="0"/>
        <v>8293196.71</v>
      </c>
      <c r="H42" s="155">
        <f t="shared" si="1"/>
        <v>-43793.365000000224</v>
      </c>
      <c r="I42" s="149"/>
      <c r="J42" s="150"/>
    </row>
    <row r="43" spans="1:10" ht="57.6" outlineLevel="2">
      <c r="A43" s="140" t="s">
        <v>13</v>
      </c>
      <c r="B43" s="141" t="s">
        <v>20</v>
      </c>
      <c r="C43" s="141" t="s">
        <v>111</v>
      </c>
      <c r="D43" s="142">
        <v>1438080</v>
      </c>
      <c r="E43" s="142">
        <v>638729</v>
      </c>
      <c r="F43" s="142">
        <v>838880</v>
      </c>
      <c r="G43" s="148">
        <f t="shared" si="0"/>
        <v>1477609</v>
      </c>
      <c r="H43" s="148">
        <f t="shared" si="1"/>
        <v>39529</v>
      </c>
      <c r="I43" s="145" t="s">
        <v>112</v>
      </c>
      <c r="J43" s="144" t="s">
        <v>50</v>
      </c>
    </row>
    <row r="44" spans="1:10" ht="72" outlineLevel="2">
      <c r="A44" s="140" t="s">
        <v>13</v>
      </c>
      <c r="B44" s="141" t="s">
        <v>20</v>
      </c>
      <c r="C44" s="141" t="s">
        <v>41</v>
      </c>
      <c r="D44" s="142">
        <v>403200</v>
      </c>
      <c r="E44" s="142">
        <v>358843.92</v>
      </c>
      <c r="F44" s="142">
        <v>201600</v>
      </c>
      <c r="G44" s="148">
        <f t="shared" si="0"/>
        <v>560443.91999999993</v>
      </c>
      <c r="H44" s="148">
        <f t="shared" si="1"/>
        <v>157243.91999999993</v>
      </c>
      <c r="I44" s="95" t="s">
        <v>113</v>
      </c>
      <c r="J44" s="158" t="s">
        <v>50</v>
      </c>
    </row>
    <row r="45" spans="1:10" ht="28.9" outlineLevel="2">
      <c r="A45" s="140" t="s">
        <v>13</v>
      </c>
      <c r="B45" s="141" t="s">
        <v>20</v>
      </c>
      <c r="C45" s="141" t="s">
        <v>44</v>
      </c>
      <c r="D45" s="142">
        <v>2041200</v>
      </c>
      <c r="E45" s="142">
        <v>395600</v>
      </c>
      <c r="F45" s="142">
        <v>1645600</v>
      </c>
      <c r="G45" s="148">
        <f t="shared" si="0"/>
        <v>2041200</v>
      </c>
      <c r="H45" s="148">
        <f t="shared" si="1"/>
        <v>0</v>
      </c>
      <c r="I45" s="156" t="s">
        <v>114</v>
      </c>
      <c r="J45" s="157" t="s">
        <v>55</v>
      </c>
    </row>
    <row r="46" spans="1:10" ht="43.15" outlineLevel="2">
      <c r="A46" s="140" t="s">
        <v>13</v>
      </c>
      <c r="B46" s="141" t="s">
        <v>20</v>
      </c>
      <c r="C46" s="141" t="s">
        <v>115</v>
      </c>
      <c r="D46" s="142">
        <v>1540800</v>
      </c>
      <c r="E46" s="142">
        <v>823464</v>
      </c>
      <c r="F46" s="142">
        <v>606720</v>
      </c>
      <c r="G46" s="148">
        <f t="shared" si="0"/>
        <v>1430184</v>
      </c>
      <c r="H46" s="148">
        <f t="shared" si="1"/>
        <v>-110616</v>
      </c>
      <c r="I46" s="156" t="s">
        <v>116</v>
      </c>
      <c r="J46" s="157" t="s">
        <v>43</v>
      </c>
    </row>
    <row r="47" spans="1:10" outlineLevel="1">
      <c r="A47" s="146" t="s">
        <v>13</v>
      </c>
      <c r="B47" s="147" t="s">
        <v>49</v>
      </c>
      <c r="C47" s="147"/>
      <c r="D47" s="148">
        <f>SUM(D43:D46)</f>
        <v>5423280</v>
      </c>
      <c r="E47" s="148">
        <f>SUM(E43:E46)</f>
        <v>2216636.92</v>
      </c>
      <c r="F47" s="148">
        <f>SUM(F43:F46)</f>
        <v>3292800</v>
      </c>
      <c r="G47" s="148">
        <f t="shared" si="0"/>
        <v>5509436.9199999999</v>
      </c>
      <c r="H47" s="148">
        <f t="shared" si="1"/>
        <v>86156.919999999925</v>
      </c>
      <c r="I47" s="149"/>
      <c r="J47" s="150"/>
    </row>
    <row r="48" spans="1:10" ht="43.15" outlineLevel="2">
      <c r="A48" s="140" t="s">
        <v>13</v>
      </c>
      <c r="B48" s="141" t="s">
        <v>21</v>
      </c>
      <c r="C48" s="141" t="s">
        <v>117</v>
      </c>
      <c r="D48" s="142">
        <v>0</v>
      </c>
      <c r="E48" s="142">
        <v>0</v>
      </c>
      <c r="F48" s="142">
        <v>80000</v>
      </c>
      <c r="G48" s="142">
        <f t="shared" si="0"/>
        <v>80000</v>
      </c>
      <c r="H48" s="142">
        <f t="shared" si="1"/>
        <v>80000</v>
      </c>
      <c r="I48" s="149" t="s">
        <v>118</v>
      </c>
      <c r="J48" s="144" t="s">
        <v>50</v>
      </c>
    </row>
    <row r="49" spans="1:10" ht="43.15" outlineLevel="2">
      <c r="A49" s="140" t="s">
        <v>13</v>
      </c>
      <c r="B49" s="141" t="s">
        <v>21</v>
      </c>
      <c r="C49" s="141" t="s">
        <v>111</v>
      </c>
      <c r="D49" s="142">
        <v>414080</v>
      </c>
      <c r="E49" s="142">
        <v>182644</v>
      </c>
      <c r="F49" s="142">
        <v>174080</v>
      </c>
      <c r="G49" s="148">
        <f t="shared" si="0"/>
        <v>356724</v>
      </c>
      <c r="H49" s="148">
        <f t="shared" si="1"/>
        <v>-57356</v>
      </c>
      <c r="I49" s="145" t="s">
        <v>119</v>
      </c>
      <c r="J49" s="144" t="s">
        <v>43</v>
      </c>
    </row>
    <row r="50" spans="1:10" outlineLevel="1">
      <c r="A50" s="146" t="s">
        <v>13</v>
      </c>
      <c r="B50" s="147" t="s">
        <v>75</v>
      </c>
      <c r="C50" s="147"/>
      <c r="D50" s="148">
        <f>SUM(D48:D49)</f>
        <v>414080</v>
      </c>
      <c r="E50" s="148">
        <f t="shared" ref="E50:H50" si="2">SUM(E48:E49)</f>
        <v>182644</v>
      </c>
      <c r="F50" s="148">
        <f t="shared" si="2"/>
        <v>254080</v>
      </c>
      <c r="G50" s="148">
        <f t="shared" si="2"/>
        <v>436724</v>
      </c>
      <c r="H50" s="148">
        <f t="shared" si="2"/>
        <v>22644</v>
      </c>
      <c r="I50" s="149"/>
      <c r="J50" s="150"/>
    </row>
    <row r="51" spans="1:10" ht="72" outlineLevel="2">
      <c r="A51" s="140" t="s">
        <v>13</v>
      </c>
      <c r="B51" s="141" t="s">
        <v>22</v>
      </c>
      <c r="C51" s="141" t="s">
        <v>111</v>
      </c>
      <c r="D51" s="142">
        <v>1505280</v>
      </c>
      <c r="E51" s="142">
        <v>527296</v>
      </c>
      <c r="F51" s="142">
        <v>641480</v>
      </c>
      <c r="G51" s="148">
        <f t="shared" si="0"/>
        <v>1168776</v>
      </c>
      <c r="H51" s="148">
        <f t="shared" si="1"/>
        <v>-336504</v>
      </c>
      <c r="I51" s="145" t="s">
        <v>120</v>
      </c>
      <c r="J51" s="144" t="s">
        <v>43</v>
      </c>
    </row>
    <row r="52" spans="1:10" ht="43.15" outlineLevel="2">
      <c r="A52" s="140" t="s">
        <v>13</v>
      </c>
      <c r="B52" s="141" t="s">
        <v>22</v>
      </c>
      <c r="C52" s="141" t="s">
        <v>41</v>
      </c>
      <c r="D52" s="142">
        <v>252000</v>
      </c>
      <c r="E52" s="142">
        <v>97650</v>
      </c>
      <c r="F52" s="142">
        <v>147000</v>
      </c>
      <c r="G52" s="148">
        <f t="shared" si="0"/>
        <v>244650</v>
      </c>
      <c r="H52" s="148">
        <f t="shared" si="1"/>
        <v>-7350</v>
      </c>
      <c r="I52" s="145" t="s">
        <v>121</v>
      </c>
      <c r="J52" s="144" t="s">
        <v>43</v>
      </c>
    </row>
    <row r="53" spans="1:10" outlineLevel="1">
      <c r="A53" s="146" t="s">
        <v>13</v>
      </c>
      <c r="B53" s="147" t="s">
        <v>66</v>
      </c>
      <c r="C53" s="147"/>
      <c r="D53" s="148">
        <f>SUM(D51:D52)</f>
        <v>1757280</v>
      </c>
      <c r="E53" s="148">
        <f>SUM(E51:E52)</f>
        <v>624946</v>
      </c>
      <c r="F53" s="148">
        <f>SUM(F51:F52)</f>
        <v>788480</v>
      </c>
      <c r="G53" s="148">
        <f t="shared" si="0"/>
        <v>1413426</v>
      </c>
      <c r="H53" s="148">
        <f t="shared" si="1"/>
        <v>-343854</v>
      </c>
      <c r="I53" s="149"/>
      <c r="J53" s="150"/>
    </row>
    <row r="54" spans="1:10" ht="43.15" outlineLevel="2">
      <c r="A54" s="140" t="s">
        <v>13</v>
      </c>
      <c r="B54" s="141" t="s">
        <v>23</v>
      </c>
      <c r="C54" s="141" t="s">
        <v>41</v>
      </c>
      <c r="D54" s="142">
        <v>583400</v>
      </c>
      <c r="E54" s="142">
        <v>198160</v>
      </c>
      <c r="F54" s="142">
        <v>374400</v>
      </c>
      <c r="G54" s="148">
        <f t="shared" si="0"/>
        <v>572560</v>
      </c>
      <c r="H54" s="148">
        <f t="shared" si="1"/>
        <v>-10840</v>
      </c>
      <c r="I54" s="145" t="s">
        <v>122</v>
      </c>
      <c r="J54" s="144" t="s">
        <v>43</v>
      </c>
    </row>
    <row r="55" spans="1:10" outlineLevel="1">
      <c r="A55" s="146" t="s">
        <v>13</v>
      </c>
      <c r="B55" s="147" t="s">
        <v>67</v>
      </c>
      <c r="C55" s="147"/>
      <c r="D55" s="148">
        <f>SUM(D54:D54)</f>
        <v>583400</v>
      </c>
      <c r="E55" s="148">
        <f>SUM(E54:E54)</f>
        <v>198160</v>
      </c>
      <c r="F55" s="148">
        <f>SUM(F54:F54)</f>
        <v>374400</v>
      </c>
      <c r="G55" s="148">
        <f t="shared" si="0"/>
        <v>572560</v>
      </c>
      <c r="H55" s="148">
        <f t="shared" si="1"/>
        <v>-10840</v>
      </c>
      <c r="I55" s="149"/>
      <c r="J55" s="150"/>
    </row>
    <row r="56" spans="1:10" ht="28.9" outlineLevel="2">
      <c r="A56" s="140" t="s">
        <v>13</v>
      </c>
      <c r="B56" s="141" t="s">
        <v>25</v>
      </c>
      <c r="C56" s="141" t="s">
        <v>111</v>
      </c>
      <c r="D56" s="142">
        <v>363840</v>
      </c>
      <c r="E56" s="142">
        <v>136957</v>
      </c>
      <c r="F56" s="142">
        <v>226640</v>
      </c>
      <c r="G56" s="148">
        <f t="shared" si="0"/>
        <v>363597</v>
      </c>
      <c r="H56" s="148">
        <f t="shared" si="1"/>
        <v>-243</v>
      </c>
      <c r="I56" s="156" t="s">
        <v>123</v>
      </c>
      <c r="J56" s="157" t="s">
        <v>55</v>
      </c>
    </row>
    <row r="57" spans="1:10" ht="43.15" outlineLevel="2">
      <c r="A57" s="140" t="s">
        <v>13</v>
      </c>
      <c r="B57" s="141" t="s">
        <v>25</v>
      </c>
      <c r="C57" s="141" t="s">
        <v>41</v>
      </c>
      <c r="D57" s="142">
        <v>89280</v>
      </c>
      <c r="E57" s="142">
        <v>51808</v>
      </c>
      <c r="F57" s="142">
        <v>32640</v>
      </c>
      <c r="G57" s="148">
        <f t="shared" si="0"/>
        <v>84448</v>
      </c>
      <c r="H57" s="148">
        <f t="shared" si="1"/>
        <v>-4832</v>
      </c>
      <c r="I57" s="145" t="s">
        <v>124</v>
      </c>
      <c r="J57" s="144" t="s">
        <v>43</v>
      </c>
    </row>
    <row r="58" spans="1:10" ht="43.15" outlineLevel="2">
      <c r="A58" s="140" t="s">
        <v>13</v>
      </c>
      <c r="B58" s="141" t="s">
        <v>25</v>
      </c>
      <c r="C58" s="141" t="s">
        <v>125</v>
      </c>
      <c r="D58" s="142">
        <v>218880</v>
      </c>
      <c r="E58" s="142">
        <v>104516</v>
      </c>
      <c r="F58" s="142">
        <v>109440</v>
      </c>
      <c r="G58" s="148">
        <f t="shared" si="0"/>
        <v>213956</v>
      </c>
      <c r="H58" s="148">
        <f t="shared" si="1"/>
        <v>-4924</v>
      </c>
      <c r="I58" s="145" t="s">
        <v>126</v>
      </c>
      <c r="J58" s="144" t="s">
        <v>43</v>
      </c>
    </row>
    <row r="59" spans="1:10" outlineLevel="1">
      <c r="A59" s="146" t="s">
        <v>13</v>
      </c>
      <c r="B59" s="147" t="s">
        <v>69</v>
      </c>
      <c r="C59" s="147"/>
      <c r="D59" s="148">
        <f>SUM(D56:D58)</f>
        <v>672000</v>
      </c>
      <c r="E59" s="148">
        <f>SUM(E56:E58)</f>
        <v>293281</v>
      </c>
      <c r="F59" s="148">
        <f>SUM(F56:F58)</f>
        <v>368720</v>
      </c>
      <c r="G59" s="148">
        <f t="shared" si="0"/>
        <v>662001</v>
      </c>
      <c r="H59" s="148">
        <f t="shared" si="1"/>
        <v>-9999</v>
      </c>
      <c r="I59" s="149"/>
      <c r="J59" s="150"/>
    </row>
    <row r="60" spans="1:10">
      <c r="A60" s="153" t="s">
        <v>127</v>
      </c>
      <c r="B60" s="154"/>
      <c r="C60" s="154"/>
      <c r="D60" s="155">
        <f>SUM(D47,D50,D53,D55,D59)</f>
        <v>8850040</v>
      </c>
      <c r="E60" s="155">
        <f>SUM(E47,E50,E53,E55,E59)</f>
        <v>3515667.92</v>
      </c>
      <c r="F60" s="155">
        <f>SUM(F47,F50,F53,F55,F59)</f>
        <v>5078480</v>
      </c>
      <c r="G60" s="155">
        <f t="shared" si="0"/>
        <v>8594147.9199999999</v>
      </c>
      <c r="H60" s="155">
        <f t="shared" si="1"/>
        <v>-255892.08000000007</v>
      </c>
      <c r="I60" s="149"/>
      <c r="J60" s="150"/>
    </row>
    <row r="61" spans="1:10" ht="28.9" outlineLevel="2">
      <c r="A61" s="140" t="s">
        <v>14</v>
      </c>
      <c r="B61" s="141" t="s">
        <v>20</v>
      </c>
      <c r="C61" s="141" t="s">
        <v>41</v>
      </c>
      <c r="D61" s="142">
        <v>1454747</v>
      </c>
      <c r="E61" s="142">
        <v>697777</v>
      </c>
      <c r="F61" s="142">
        <v>756970</v>
      </c>
      <c r="G61" s="148">
        <f t="shared" si="0"/>
        <v>1454747</v>
      </c>
      <c r="H61" s="148">
        <f t="shared" si="1"/>
        <v>0</v>
      </c>
      <c r="I61" s="159" t="s">
        <v>128</v>
      </c>
      <c r="J61" s="158" t="s">
        <v>55</v>
      </c>
    </row>
    <row r="62" spans="1:10" ht="28.9" outlineLevel="2">
      <c r="A62" s="140" t="s">
        <v>14</v>
      </c>
      <c r="B62" s="141" t="s">
        <v>20</v>
      </c>
      <c r="C62" s="141" t="s">
        <v>44</v>
      </c>
      <c r="D62" s="142">
        <v>277395.34000000003</v>
      </c>
      <c r="E62" s="142">
        <v>120149</v>
      </c>
      <c r="F62" s="142">
        <v>157246</v>
      </c>
      <c r="G62" s="148">
        <f t="shared" si="0"/>
        <v>277395</v>
      </c>
      <c r="H62" s="148">
        <f t="shared" si="1"/>
        <v>-0.34000000002561137</v>
      </c>
      <c r="I62" s="145" t="s">
        <v>129</v>
      </c>
      <c r="J62" s="144" t="s">
        <v>55</v>
      </c>
    </row>
    <row r="63" spans="1:10" ht="43.15" outlineLevel="2">
      <c r="A63" s="140" t="s">
        <v>14</v>
      </c>
      <c r="B63" s="141" t="s">
        <v>20</v>
      </c>
      <c r="C63" s="141" t="s">
        <v>130</v>
      </c>
      <c r="D63" s="142">
        <v>190000</v>
      </c>
      <c r="E63" s="142">
        <v>80950</v>
      </c>
      <c r="F63" s="142">
        <v>35700</v>
      </c>
      <c r="G63" s="148">
        <f t="shared" si="0"/>
        <v>116650</v>
      </c>
      <c r="H63" s="148">
        <f t="shared" si="1"/>
        <v>-73350</v>
      </c>
      <c r="I63" s="145" t="s">
        <v>131</v>
      </c>
      <c r="J63" s="144" t="s">
        <v>46</v>
      </c>
    </row>
    <row r="64" spans="1:10" outlineLevel="1">
      <c r="A64" s="146" t="s">
        <v>14</v>
      </c>
      <c r="B64" s="147" t="s">
        <v>49</v>
      </c>
      <c r="C64" s="147"/>
      <c r="D64" s="148">
        <f>SUM(D61:D63)</f>
        <v>1922142.34</v>
      </c>
      <c r="E64" s="148">
        <f>SUM(E61:E63)</f>
        <v>898876</v>
      </c>
      <c r="F64" s="148">
        <f>SUM(F61:F63)</f>
        <v>949916</v>
      </c>
      <c r="G64" s="148">
        <f t="shared" si="0"/>
        <v>1848792</v>
      </c>
      <c r="H64" s="148">
        <f t="shared" si="1"/>
        <v>-73350.340000000084</v>
      </c>
      <c r="I64" s="149"/>
      <c r="J64" s="150"/>
    </row>
    <row r="65" spans="1:10" ht="43.15" outlineLevel="2">
      <c r="A65" s="140" t="s">
        <v>14</v>
      </c>
      <c r="B65" s="141" t="s">
        <v>21</v>
      </c>
      <c r="C65" s="141" t="s">
        <v>132</v>
      </c>
      <c r="D65" s="142">
        <v>178500</v>
      </c>
      <c r="E65" s="142">
        <v>174169.56</v>
      </c>
      <c r="F65" s="142">
        <v>0</v>
      </c>
      <c r="G65" s="148">
        <f t="shared" si="0"/>
        <v>174169.56</v>
      </c>
      <c r="H65" s="148">
        <f t="shared" si="1"/>
        <v>-4330.4400000000023</v>
      </c>
      <c r="I65" s="145" t="s">
        <v>133</v>
      </c>
      <c r="J65" s="144" t="s">
        <v>43</v>
      </c>
    </row>
    <row r="66" spans="1:10" outlineLevel="1">
      <c r="A66" s="146" t="s">
        <v>14</v>
      </c>
      <c r="B66" s="147" t="s">
        <v>75</v>
      </c>
      <c r="C66" s="147"/>
      <c r="D66" s="148">
        <f>SUM(D65:D65)</f>
        <v>178500</v>
      </c>
      <c r="E66" s="148">
        <f>SUM(E65:E65)</f>
        <v>174169.56</v>
      </c>
      <c r="F66" s="148">
        <f>SUM(F65:F65)</f>
        <v>0</v>
      </c>
      <c r="G66" s="148">
        <f t="shared" si="0"/>
        <v>174169.56</v>
      </c>
      <c r="H66" s="148">
        <f t="shared" si="1"/>
        <v>-4330.4400000000023</v>
      </c>
      <c r="I66" s="149"/>
      <c r="J66" s="150"/>
    </row>
    <row r="67" spans="1:10" ht="28.9" outlineLevel="2">
      <c r="A67" s="140" t="s">
        <v>14</v>
      </c>
      <c r="B67" s="141" t="s">
        <v>22</v>
      </c>
      <c r="C67" s="141" t="s">
        <v>134</v>
      </c>
      <c r="D67" s="142">
        <v>100000</v>
      </c>
      <c r="E67" s="142">
        <v>54415</v>
      </c>
      <c r="F67" s="142">
        <v>45585</v>
      </c>
      <c r="G67" s="148">
        <f t="shared" ref="G67:G130" si="3">E67+F67</f>
        <v>100000</v>
      </c>
      <c r="H67" s="148">
        <f t="shared" ref="H67:H130" si="4">G67-D67</f>
        <v>0</v>
      </c>
      <c r="I67" s="151" t="s">
        <v>135</v>
      </c>
      <c r="J67" s="152" t="s">
        <v>55</v>
      </c>
    </row>
    <row r="68" spans="1:10" outlineLevel="1">
      <c r="A68" s="146" t="s">
        <v>14</v>
      </c>
      <c r="B68" s="147" t="s">
        <v>66</v>
      </c>
      <c r="C68" s="147"/>
      <c r="D68" s="148">
        <f>SUM(D67:D67)</f>
        <v>100000</v>
      </c>
      <c r="E68" s="148">
        <f>SUM(E67:E67)</f>
        <v>54415</v>
      </c>
      <c r="F68" s="148">
        <f>SUM(F67:F67)</f>
        <v>45585</v>
      </c>
      <c r="G68" s="148">
        <f t="shared" si="3"/>
        <v>100000</v>
      </c>
      <c r="H68" s="148">
        <f t="shared" si="4"/>
        <v>0</v>
      </c>
      <c r="I68" s="149"/>
      <c r="J68" s="150"/>
    </row>
    <row r="69" spans="1:10" ht="43.15" outlineLevel="2">
      <c r="A69" s="140" t="s">
        <v>14</v>
      </c>
      <c r="B69" s="141" t="s">
        <v>23</v>
      </c>
      <c r="C69" s="141" t="s">
        <v>41</v>
      </c>
      <c r="D69" s="142">
        <v>735000</v>
      </c>
      <c r="E69" s="142">
        <v>315500</v>
      </c>
      <c r="F69" s="142">
        <v>471500</v>
      </c>
      <c r="G69" s="148">
        <f t="shared" si="3"/>
        <v>787000</v>
      </c>
      <c r="H69" s="148">
        <f t="shared" si="4"/>
        <v>52000</v>
      </c>
      <c r="I69" s="96" t="s">
        <v>136</v>
      </c>
      <c r="J69" s="158" t="s">
        <v>50</v>
      </c>
    </row>
    <row r="70" spans="1:10" ht="28.9" outlineLevel="2">
      <c r="A70" s="140" t="s">
        <v>14</v>
      </c>
      <c r="B70" s="141" t="s">
        <v>23</v>
      </c>
      <c r="C70" s="141" t="s">
        <v>44</v>
      </c>
      <c r="D70" s="142">
        <v>0</v>
      </c>
      <c r="E70" s="142">
        <v>0</v>
      </c>
      <c r="F70" s="142">
        <v>0</v>
      </c>
      <c r="G70" s="148">
        <f t="shared" si="3"/>
        <v>0</v>
      </c>
      <c r="H70" s="148">
        <f t="shared" si="4"/>
        <v>0</v>
      </c>
      <c r="I70" s="151" t="s">
        <v>59</v>
      </c>
      <c r="J70" s="152" t="s">
        <v>55</v>
      </c>
    </row>
    <row r="71" spans="1:10" outlineLevel="1">
      <c r="A71" s="146" t="s">
        <v>14</v>
      </c>
      <c r="B71" s="147" t="s">
        <v>67</v>
      </c>
      <c r="C71" s="147"/>
      <c r="D71" s="148">
        <f>SUM(D69:D70)</f>
        <v>735000</v>
      </c>
      <c r="E71" s="148">
        <f>SUM(E69:E70)</f>
        <v>315500</v>
      </c>
      <c r="F71" s="148">
        <f>SUM(F69:F70)</f>
        <v>471500</v>
      </c>
      <c r="G71" s="148">
        <f t="shared" si="3"/>
        <v>787000</v>
      </c>
      <c r="H71" s="148">
        <f t="shared" si="4"/>
        <v>52000</v>
      </c>
      <c r="I71" s="149"/>
      <c r="J71" s="150"/>
    </row>
    <row r="72" spans="1:10" ht="28.9" outlineLevel="2">
      <c r="A72" s="140" t="s">
        <v>14</v>
      </c>
      <c r="B72" s="141" t="s">
        <v>25</v>
      </c>
      <c r="C72" s="141" t="s">
        <v>137</v>
      </c>
      <c r="D72" s="142">
        <v>32400</v>
      </c>
      <c r="E72" s="142">
        <v>32009.25</v>
      </c>
      <c r="F72" s="142">
        <v>0</v>
      </c>
      <c r="G72" s="148">
        <f t="shared" si="3"/>
        <v>32009.25</v>
      </c>
      <c r="H72" s="148">
        <f t="shared" si="4"/>
        <v>-390.75</v>
      </c>
      <c r="I72" s="151" t="s">
        <v>138</v>
      </c>
      <c r="J72" s="152" t="s">
        <v>46</v>
      </c>
    </row>
    <row r="73" spans="1:10" outlineLevel="1">
      <c r="A73" s="146" t="s">
        <v>14</v>
      </c>
      <c r="B73" s="147" t="s">
        <v>69</v>
      </c>
      <c r="C73" s="147"/>
      <c r="D73" s="148">
        <f>SUM(D72:D72)</f>
        <v>32400</v>
      </c>
      <c r="E73" s="148">
        <f>SUM(E72:E72)</f>
        <v>32009.25</v>
      </c>
      <c r="F73" s="148">
        <f>SUM(F72:F72)</f>
        <v>0</v>
      </c>
      <c r="G73" s="148">
        <f t="shared" si="3"/>
        <v>32009.25</v>
      </c>
      <c r="H73" s="148">
        <f t="shared" si="4"/>
        <v>-390.75</v>
      </c>
      <c r="I73" s="149"/>
      <c r="J73" s="150"/>
    </row>
    <row r="74" spans="1:10">
      <c r="A74" s="153" t="s">
        <v>139</v>
      </c>
      <c r="B74" s="154"/>
      <c r="C74" s="154"/>
      <c r="D74" s="155">
        <f>SUM(D64,D66,D68,D71,D73)</f>
        <v>2968042.34</v>
      </c>
      <c r="E74" s="155">
        <f>SUM(E64,E66,E68,E71,E73)</f>
        <v>1474969.81</v>
      </c>
      <c r="F74" s="155">
        <f>SUM(F64,F66,F68,F71,F73)</f>
        <v>1467001</v>
      </c>
      <c r="G74" s="155">
        <f t="shared" si="3"/>
        <v>2941970.81</v>
      </c>
      <c r="H74" s="155">
        <f t="shared" si="4"/>
        <v>-26071.529999999795</v>
      </c>
      <c r="I74" s="149"/>
      <c r="J74" s="150"/>
    </row>
    <row r="75" spans="1:10" ht="28.9" outlineLevel="2">
      <c r="A75" s="140" t="s">
        <v>15</v>
      </c>
      <c r="B75" s="141" t="s">
        <v>22</v>
      </c>
      <c r="C75" s="141" t="s">
        <v>140</v>
      </c>
      <c r="D75" s="142">
        <v>4409</v>
      </c>
      <c r="E75" s="142">
        <v>4982.8</v>
      </c>
      <c r="F75" s="142">
        <v>0</v>
      </c>
      <c r="G75" s="148">
        <f t="shared" si="3"/>
        <v>4982.8</v>
      </c>
      <c r="H75" s="148">
        <f t="shared" si="4"/>
        <v>573.80000000000018</v>
      </c>
      <c r="I75" s="151" t="s">
        <v>141</v>
      </c>
      <c r="J75" s="152" t="s">
        <v>60</v>
      </c>
    </row>
    <row r="76" spans="1:10" ht="28.9" outlineLevel="2">
      <c r="A76" s="140" t="s">
        <v>15</v>
      </c>
      <c r="B76" s="141" t="s">
        <v>22</v>
      </c>
      <c r="C76" s="141" t="s">
        <v>142</v>
      </c>
      <c r="D76" s="142">
        <v>14886</v>
      </c>
      <c r="E76" s="142">
        <v>6532.48</v>
      </c>
      <c r="F76" s="142">
        <v>6532.56</v>
      </c>
      <c r="G76" s="148">
        <f t="shared" si="3"/>
        <v>13065.04</v>
      </c>
      <c r="H76" s="148">
        <f t="shared" si="4"/>
        <v>-1820.9599999999991</v>
      </c>
      <c r="I76" s="145" t="s">
        <v>143</v>
      </c>
      <c r="J76" s="144" t="s">
        <v>43</v>
      </c>
    </row>
    <row r="77" spans="1:10" ht="28.9" outlineLevel="2">
      <c r="A77" s="140" t="s">
        <v>15</v>
      </c>
      <c r="B77" s="141" t="s">
        <v>22</v>
      </c>
      <c r="C77" s="141" t="s">
        <v>144</v>
      </c>
      <c r="D77" s="142">
        <v>8400</v>
      </c>
      <c r="E77" s="142">
        <v>8000</v>
      </c>
      <c r="F77" s="142">
        <v>0</v>
      </c>
      <c r="G77" s="148">
        <f t="shared" si="3"/>
        <v>8000</v>
      </c>
      <c r="H77" s="148">
        <f t="shared" si="4"/>
        <v>-400</v>
      </c>
      <c r="I77" s="151" t="s">
        <v>145</v>
      </c>
      <c r="J77" s="144" t="s">
        <v>43</v>
      </c>
    </row>
    <row r="78" spans="1:10" ht="28.9" outlineLevel="2">
      <c r="A78" s="140" t="s">
        <v>15</v>
      </c>
      <c r="B78" s="141" t="s">
        <v>22</v>
      </c>
      <c r="C78" s="141" t="s">
        <v>146</v>
      </c>
      <c r="D78" s="142">
        <v>0</v>
      </c>
      <c r="E78" s="142">
        <v>17623.03</v>
      </c>
      <c r="F78" s="142">
        <v>0</v>
      </c>
      <c r="G78" s="148">
        <f t="shared" si="3"/>
        <v>17623.03</v>
      </c>
      <c r="H78" s="148">
        <f t="shared" si="4"/>
        <v>17623.03</v>
      </c>
      <c r="I78" s="156" t="s">
        <v>147</v>
      </c>
      <c r="J78" s="157" t="s">
        <v>50</v>
      </c>
    </row>
    <row r="79" spans="1:10" ht="28.9" outlineLevel="2">
      <c r="A79" s="140" t="s">
        <v>15</v>
      </c>
      <c r="B79" s="141" t="s">
        <v>22</v>
      </c>
      <c r="C79" s="141" t="s">
        <v>148</v>
      </c>
      <c r="D79" s="142">
        <v>67470</v>
      </c>
      <c r="E79" s="142">
        <v>34242.9</v>
      </c>
      <c r="F79" s="142">
        <v>33735</v>
      </c>
      <c r="G79" s="148">
        <f t="shared" si="3"/>
        <v>67977.899999999994</v>
      </c>
      <c r="H79" s="148">
        <f t="shared" si="4"/>
        <v>507.89999999999418</v>
      </c>
      <c r="I79" s="151" t="s">
        <v>149</v>
      </c>
      <c r="J79" s="152" t="s">
        <v>60</v>
      </c>
    </row>
    <row r="80" spans="1:10" ht="28.9" outlineLevel="2">
      <c r="A80" s="140" t="s">
        <v>15</v>
      </c>
      <c r="B80" s="141" t="s">
        <v>22</v>
      </c>
      <c r="C80" s="141" t="s">
        <v>150</v>
      </c>
      <c r="D80" s="142">
        <v>25000</v>
      </c>
      <c r="E80" s="142">
        <v>0</v>
      </c>
      <c r="F80" s="142">
        <v>25000</v>
      </c>
      <c r="G80" s="148">
        <f t="shared" si="3"/>
        <v>25000</v>
      </c>
      <c r="H80" s="148">
        <f t="shared" si="4"/>
        <v>0</v>
      </c>
      <c r="I80" s="151" t="s">
        <v>151</v>
      </c>
      <c r="J80" s="152" t="s">
        <v>55</v>
      </c>
    </row>
    <row r="81" spans="1:10" outlineLevel="1">
      <c r="A81" s="146" t="s">
        <v>15</v>
      </c>
      <c r="B81" s="147" t="s">
        <v>66</v>
      </c>
      <c r="C81" s="147"/>
      <c r="D81" s="148">
        <f>SUM(D75:D80)</f>
        <v>120165</v>
      </c>
      <c r="E81" s="148">
        <f>SUM(E75:E80)</f>
        <v>71381.209999999992</v>
      </c>
      <c r="F81" s="148">
        <f>SUM(F75:F80)</f>
        <v>65267.56</v>
      </c>
      <c r="G81" s="148">
        <f t="shared" si="3"/>
        <v>136648.76999999999</v>
      </c>
      <c r="H81" s="148">
        <f t="shared" si="4"/>
        <v>16483.76999999999</v>
      </c>
      <c r="I81" s="149"/>
      <c r="J81" s="150"/>
    </row>
    <row r="82" spans="1:10" ht="28.9" outlineLevel="2">
      <c r="A82" s="140" t="s">
        <v>15</v>
      </c>
      <c r="B82" s="141" t="s">
        <v>23</v>
      </c>
      <c r="C82" s="141" t="s">
        <v>152</v>
      </c>
      <c r="D82" s="142">
        <v>12200</v>
      </c>
      <c r="E82" s="142">
        <v>0</v>
      </c>
      <c r="F82" s="142">
        <v>12200</v>
      </c>
      <c r="G82" s="148">
        <f t="shared" si="3"/>
        <v>12200</v>
      </c>
      <c r="H82" s="148">
        <f t="shared" si="4"/>
        <v>0</v>
      </c>
      <c r="I82" s="151" t="s">
        <v>153</v>
      </c>
      <c r="J82" s="152" t="s">
        <v>55</v>
      </c>
    </row>
    <row r="83" spans="1:10" outlineLevel="1">
      <c r="A83" s="146" t="s">
        <v>15</v>
      </c>
      <c r="B83" s="147" t="s">
        <v>67</v>
      </c>
      <c r="C83" s="147"/>
      <c r="D83" s="148">
        <f>SUM(D82:D82)</f>
        <v>12200</v>
      </c>
      <c r="E83" s="148">
        <f>SUM(E82:E82)</f>
        <v>0</v>
      </c>
      <c r="F83" s="148">
        <f>SUM(F82:F82)</f>
        <v>12200</v>
      </c>
      <c r="G83" s="148">
        <f t="shared" si="3"/>
        <v>12200</v>
      </c>
      <c r="H83" s="148">
        <f t="shared" si="4"/>
        <v>0</v>
      </c>
      <c r="I83" s="149"/>
      <c r="J83" s="150"/>
    </row>
    <row r="84" spans="1:10" ht="28.9" outlineLevel="2">
      <c r="A84" s="140" t="s">
        <v>15</v>
      </c>
      <c r="B84" s="141" t="s">
        <v>24</v>
      </c>
      <c r="C84" s="141" t="s">
        <v>154</v>
      </c>
      <c r="D84" s="142">
        <v>359</v>
      </c>
      <c r="E84" s="142">
        <v>0</v>
      </c>
      <c r="F84" s="142">
        <v>359</v>
      </c>
      <c r="G84" s="148">
        <f t="shared" si="3"/>
        <v>359</v>
      </c>
      <c r="H84" s="148">
        <f t="shared" si="4"/>
        <v>0</v>
      </c>
      <c r="I84" s="151" t="s">
        <v>155</v>
      </c>
      <c r="J84" s="152" t="s">
        <v>55</v>
      </c>
    </row>
    <row r="85" spans="1:10" outlineLevel="1">
      <c r="A85" s="146" t="s">
        <v>15</v>
      </c>
      <c r="B85" s="147" t="s">
        <v>156</v>
      </c>
      <c r="C85" s="147"/>
      <c r="D85" s="148">
        <f>SUM(D84:D84)</f>
        <v>359</v>
      </c>
      <c r="E85" s="148">
        <f>SUM(E84:E84)</f>
        <v>0</v>
      </c>
      <c r="F85" s="148">
        <f>SUM(F84:F84)</f>
        <v>359</v>
      </c>
      <c r="G85" s="148">
        <f t="shared" si="3"/>
        <v>359</v>
      </c>
      <c r="H85" s="148">
        <f t="shared" si="4"/>
        <v>0</v>
      </c>
      <c r="I85" s="149"/>
      <c r="J85" s="150"/>
    </row>
    <row r="86" spans="1:10" ht="28.9" outlineLevel="2">
      <c r="A86" s="140" t="s">
        <v>15</v>
      </c>
      <c r="B86" s="141" t="s">
        <v>25</v>
      </c>
      <c r="C86" s="141" t="s">
        <v>157</v>
      </c>
      <c r="D86" s="142">
        <v>236250</v>
      </c>
      <c r="E86" s="142">
        <v>0</v>
      </c>
      <c r="F86" s="142">
        <v>236250</v>
      </c>
      <c r="G86" s="148">
        <f t="shared" si="3"/>
        <v>236250</v>
      </c>
      <c r="H86" s="148">
        <f t="shared" si="4"/>
        <v>0</v>
      </c>
      <c r="I86" s="151" t="s">
        <v>158</v>
      </c>
      <c r="J86" s="152" t="s">
        <v>55</v>
      </c>
    </row>
    <row r="87" spans="1:10" ht="28.9" outlineLevel="2">
      <c r="A87" s="140" t="s">
        <v>15</v>
      </c>
      <c r="B87" s="141" t="s">
        <v>25</v>
      </c>
      <c r="C87" s="141" t="s">
        <v>159</v>
      </c>
      <c r="D87" s="142">
        <v>141750</v>
      </c>
      <c r="E87" s="142">
        <v>0</v>
      </c>
      <c r="F87" s="142">
        <v>141750</v>
      </c>
      <c r="G87" s="148">
        <f t="shared" si="3"/>
        <v>141750</v>
      </c>
      <c r="H87" s="148">
        <f t="shared" si="4"/>
        <v>0</v>
      </c>
      <c r="I87" s="151" t="s">
        <v>160</v>
      </c>
      <c r="J87" s="152" t="s">
        <v>55</v>
      </c>
    </row>
    <row r="88" spans="1:10" ht="28.9" outlineLevel="2">
      <c r="A88" s="140" t="s">
        <v>15</v>
      </c>
      <c r="B88" s="141" t="s">
        <v>25</v>
      </c>
      <c r="C88" s="141" t="s">
        <v>161</v>
      </c>
      <c r="D88" s="142">
        <v>17099</v>
      </c>
      <c r="E88" s="142">
        <v>0</v>
      </c>
      <c r="F88" s="142">
        <v>17099</v>
      </c>
      <c r="G88" s="148">
        <f t="shared" si="3"/>
        <v>17099</v>
      </c>
      <c r="H88" s="148">
        <f t="shared" si="4"/>
        <v>0</v>
      </c>
      <c r="I88" s="151" t="s">
        <v>162</v>
      </c>
      <c r="J88" s="152" t="s">
        <v>55</v>
      </c>
    </row>
    <row r="89" spans="1:10" ht="43.15" outlineLevel="2">
      <c r="A89" s="140" t="s">
        <v>15</v>
      </c>
      <c r="B89" s="141" t="s">
        <v>25</v>
      </c>
      <c r="C89" s="141" t="s">
        <v>163</v>
      </c>
      <c r="D89" s="142">
        <v>259449</v>
      </c>
      <c r="E89" s="142">
        <v>103095.66</v>
      </c>
      <c r="F89" s="142">
        <v>156353</v>
      </c>
      <c r="G89" s="148">
        <f t="shared" si="3"/>
        <v>259448.66</v>
      </c>
      <c r="H89" s="148">
        <f t="shared" si="4"/>
        <v>-0.33999999999650754</v>
      </c>
      <c r="I89" s="145" t="s">
        <v>164</v>
      </c>
      <c r="J89" s="144" t="s">
        <v>43</v>
      </c>
    </row>
    <row r="90" spans="1:10" outlineLevel="1">
      <c r="A90" s="146" t="s">
        <v>15</v>
      </c>
      <c r="B90" s="147" t="s">
        <v>69</v>
      </c>
      <c r="C90" s="147"/>
      <c r="D90" s="148">
        <f>SUM(D86:D89)</f>
        <v>654548</v>
      </c>
      <c r="E90" s="148">
        <f>SUM(E86:E89)</f>
        <v>103095.66</v>
      </c>
      <c r="F90" s="148">
        <f>SUM(F86:F89)</f>
        <v>551452</v>
      </c>
      <c r="G90" s="148">
        <f t="shared" si="3"/>
        <v>654547.66</v>
      </c>
      <c r="H90" s="148">
        <f t="shared" si="4"/>
        <v>-0.33999999996740371</v>
      </c>
      <c r="I90" s="149"/>
      <c r="J90" s="150"/>
    </row>
    <row r="91" spans="1:10" ht="28.9" outlineLevel="2">
      <c r="A91" s="140" t="s">
        <v>15</v>
      </c>
      <c r="B91" s="141" t="s">
        <v>26</v>
      </c>
      <c r="C91" s="141" t="s">
        <v>165</v>
      </c>
      <c r="D91" s="142">
        <v>1441947</v>
      </c>
      <c r="E91" s="142">
        <v>720973.30500000005</v>
      </c>
      <c r="F91" s="142">
        <v>720973.30500000005</v>
      </c>
      <c r="G91" s="148">
        <f t="shared" si="3"/>
        <v>1441946.61</v>
      </c>
      <c r="H91" s="148">
        <f t="shared" si="4"/>
        <v>-0.38999999989755452</v>
      </c>
      <c r="I91" s="159" t="s">
        <v>166</v>
      </c>
      <c r="J91" s="158" t="s">
        <v>55</v>
      </c>
    </row>
    <row r="92" spans="1:10" outlineLevel="1">
      <c r="A92" s="146" t="s">
        <v>15</v>
      </c>
      <c r="B92" s="147" t="s">
        <v>167</v>
      </c>
      <c r="C92" s="147"/>
      <c r="D92" s="148">
        <f>SUM(D91:D91)</f>
        <v>1441947</v>
      </c>
      <c r="E92" s="148">
        <f>SUM(E91:E91)</f>
        <v>720973.30500000005</v>
      </c>
      <c r="F92" s="148">
        <f>SUM(F91:F91)</f>
        <v>720973.30500000005</v>
      </c>
      <c r="G92" s="148">
        <f t="shared" si="3"/>
        <v>1441946.61</v>
      </c>
      <c r="H92" s="148">
        <f t="shared" si="4"/>
        <v>-0.38999999989755452</v>
      </c>
      <c r="I92" s="149"/>
      <c r="J92" s="150"/>
    </row>
    <row r="93" spans="1:10">
      <c r="A93" s="153" t="s">
        <v>168</v>
      </c>
      <c r="B93" s="154"/>
      <c r="C93" s="154"/>
      <c r="D93" s="155">
        <f>SUM(D81,D83,D85,D90,D92)</f>
        <v>2229219</v>
      </c>
      <c r="E93" s="155">
        <f>SUM(E81,E83,E85,E90,E92)</f>
        <v>895450.17500000005</v>
      </c>
      <c r="F93" s="155">
        <f>SUM(F81,F83,F85,F90,F92)</f>
        <v>1350251.8650000002</v>
      </c>
      <c r="G93" s="155">
        <f t="shared" si="3"/>
        <v>2245702.04</v>
      </c>
      <c r="H93" s="155">
        <f t="shared" si="4"/>
        <v>16483.040000000037</v>
      </c>
      <c r="I93" s="149"/>
      <c r="J93" s="150"/>
    </row>
    <row r="94" spans="1:10" ht="43.15" outlineLevel="2">
      <c r="A94" s="140" t="s">
        <v>16</v>
      </c>
      <c r="B94" s="141" t="s">
        <v>20</v>
      </c>
      <c r="C94" s="141" t="s">
        <v>169</v>
      </c>
      <c r="D94" s="142">
        <v>191646</v>
      </c>
      <c r="E94" s="142">
        <v>42755.002500000002</v>
      </c>
      <c r="F94" s="142">
        <v>85510.005000000005</v>
      </c>
      <c r="G94" s="148">
        <f t="shared" si="3"/>
        <v>128265.00750000001</v>
      </c>
      <c r="H94" s="148">
        <f t="shared" si="4"/>
        <v>-63380.992499999993</v>
      </c>
      <c r="I94" s="145" t="s">
        <v>170</v>
      </c>
      <c r="J94" s="144" t="s">
        <v>43</v>
      </c>
    </row>
    <row r="95" spans="1:10" ht="28.9" outlineLevel="2">
      <c r="A95" s="140" t="s">
        <v>16</v>
      </c>
      <c r="B95" s="141" t="s">
        <v>20</v>
      </c>
      <c r="C95" s="141" t="s">
        <v>171</v>
      </c>
      <c r="D95" s="142">
        <v>10080</v>
      </c>
      <c r="E95" s="142">
        <v>4800</v>
      </c>
      <c r="F95" s="142">
        <v>5280</v>
      </c>
      <c r="G95" s="148">
        <f t="shared" si="3"/>
        <v>10080</v>
      </c>
      <c r="H95" s="148">
        <f t="shared" si="4"/>
        <v>0</v>
      </c>
      <c r="I95" s="151" t="s">
        <v>172</v>
      </c>
      <c r="J95" s="152" t="s">
        <v>55</v>
      </c>
    </row>
    <row r="96" spans="1:10" ht="28.9" outlineLevel="2">
      <c r="A96" s="140" t="s">
        <v>16</v>
      </c>
      <c r="B96" s="141" t="s">
        <v>20</v>
      </c>
      <c r="C96" s="141" t="s">
        <v>173</v>
      </c>
      <c r="D96" s="142">
        <v>139684</v>
      </c>
      <c r="E96" s="142">
        <v>69842</v>
      </c>
      <c r="F96" s="142">
        <v>69842</v>
      </c>
      <c r="G96" s="148">
        <f t="shared" si="3"/>
        <v>139684</v>
      </c>
      <c r="H96" s="148">
        <f t="shared" si="4"/>
        <v>0</v>
      </c>
      <c r="I96" s="151" t="s">
        <v>174</v>
      </c>
      <c r="J96" s="152" t="s">
        <v>55</v>
      </c>
    </row>
    <row r="97" spans="1:10" ht="28.9" outlineLevel="2">
      <c r="A97" s="140" t="s">
        <v>16</v>
      </c>
      <c r="B97" s="141" t="s">
        <v>20</v>
      </c>
      <c r="C97" s="141" t="s">
        <v>41</v>
      </c>
      <c r="D97" s="142">
        <v>100844.1</v>
      </c>
      <c r="E97" s="142">
        <v>96041.64</v>
      </c>
      <c r="F97" s="142">
        <v>0</v>
      </c>
      <c r="G97" s="148">
        <f t="shared" si="3"/>
        <v>96041.64</v>
      </c>
      <c r="H97" s="148">
        <f t="shared" si="4"/>
        <v>-4802.4600000000064</v>
      </c>
      <c r="I97" s="145" t="s">
        <v>175</v>
      </c>
      <c r="J97" s="144" t="s">
        <v>46</v>
      </c>
    </row>
    <row r="98" spans="1:10" ht="28.9" outlineLevel="2">
      <c r="A98" s="140" t="s">
        <v>16</v>
      </c>
      <c r="B98" s="141" t="s">
        <v>20</v>
      </c>
      <c r="C98" s="141" t="s">
        <v>176</v>
      </c>
      <c r="D98" s="142">
        <v>117539.0055</v>
      </c>
      <c r="E98" s="142">
        <v>15595.36</v>
      </c>
      <c r="F98" s="142">
        <v>102536.75</v>
      </c>
      <c r="G98" s="148">
        <f t="shared" si="3"/>
        <v>118132.11</v>
      </c>
      <c r="H98" s="148">
        <f t="shared" si="4"/>
        <v>593.10450000000128</v>
      </c>
      <c r="I98" s="151" t="s">
        <v>177</v>
      </c>
      <c r="J98" s="158" t="s">
        <v>60</v>
      </c>
    </row>
    <row r="99" spans="1:10" ht="28.9" outlineLevel="2">
      <c r="A99" s="140" t="s">
        <v>16</v>
      </c>
      <c r="B99" s="141" t="s">
        <v>20</v>
      </c>
      <c r="C99" s="141" t="s">
        <v>44</v>
      </c>
      <c r="D99" s="142">
        <v>1410968.58415</v>
      </c>
      <c r="E99" s="142">
        <v>659955.93999999994</v>
      </c>
      <c r="F99" s="142">
        <v>751013.02249999996</v>
      </c>
      <c r="G99" s="148">
        <f t="shared" si="3"/>
        <v>1410968.9624999999</v>
      </c>
      <c r="H99" s="148">
        <f t="shared" si="4"/>
        <v>0.37834999989718199</v>
      </c>
      <c r="I99" s="145" t="s">
        <v>178</v>
      </c>
      <c r="J99" s="144" t="s">
        <v>55</v>
      </c>
    </row>
    <row r="100" spans="1:10" ht="28.9" outlineLevel="2">
      <c r="A100" s="140" t="s">
        <v>16</v>
      </c>
      <c r="B100" s="141" t="s">
        <v>20</v>
      </c>
      <c r="C100" s="141" t="s">
        <v>179</v>
      </c>
      <c r="D100" s="142">
        <v>51930.15</v>
      </c>
      <c r="E100" s="142">
        <v>46713</v>
      </c>
      <c r="F100" s="142">
        <v>7470</v>
      </c>
      <c r="G100" s="148">
        <f t="shared" si="3"/>
        <v>54183</v>
      </c>
      <c r="H100" s="148">
        <f t="shared" si="4"/>
        <v>2252.8499999999985</v>
      </c>
      <c r="I100" s="159" t="s">
        <v>180</v>
      </c>
      <c r="J100" s="158" t="s">
        <v>50</v>
      </c>
    </row>
    <row r="101" spans="1:10" ht="28.9" outlineLevel="2">
      <c r="A101" s="140" t="s">
        <v>16</v>
      </c>
      <c r="B101" s="141" t="s">
        <v>20</v>
      </c>
      <c r="C101" s="141" t="s">
        <v>71</v>
      </c>
      <c r="D101" s="142">
        <v>215860.41750000001</v>
      </c>
      <c r="E101" s="142">
        <v>957.23</v>
      </c>
      <c r="F101" s="142">
        <v>214903.5</v>
      </c>
      <c r="G101" s="148">
        <f t="shared" si="3"/>
        <v>215860.73</v>
      </c>
      <c r="H101" s="148">
        <f t="shared" si="4"/>
        <v>0.3125</v>
      </c>
      <c r="I101" s="151" t="s">
        <v>181</v>
      </c>
      <c r="J101" s="152" t="s">
        <v>55</v>
      </c>
    </row>
    <row r="102" spans="1:10" outlineLevel="1">
      <c r="A102" s="146" t="s">
        <v>16</v>
      </c>
      <c r="B102" s="147" t="s">
        <v>49</v>
      </c>
      <c r="C102" s="147"/>
      <c r="D102" s="148">
        <f>SUM(D94:D101)</f>
        <v>2238552.25715</v>
      </c>
      <c r="E102" s="148">
        <f>SUM(E94:E101)</f>
        <v>936660.17249999987</v>
      </c>
      <c r="F102" s="148">
        <f>SUM(F94:F101)</f>
        <v>1236555.2774999999</v>
      </c>
      <c r="G102" s="148">
        <f t="shared" si="3"/>
        <v>2173215.4499999997</v>
      </c>
      <c r="H102" s="148">
        <f t="shared" si="4"/>
        <v>-65336.807150000241</v>
      </c>
      <c r="I102" s="149"/>
      <c r="J102" s="150"/>
    </row>
    <row r="103" spans="1:10" ht="43.15" outlineLevel="2">
      <c r="A103" s="140" t="s">
        <v>16</v>
      </c>
      <c r="B103" s="141" t="s">
        <v>21</v>
      </c>
      <c r="C103" s="141" t="s">
        <v>72</v>
      </c>
      <c r="D103" s="142">
        <v>1338002.922</v>
      </c>
      <c r="E103" s="142">
        <v>13319.73</v>
      </c>
      <c r="F103" s="142">
        <v>1326076.12075</v>
      </c>
      <c r="G103" s="148">
        <f t="shared" si="3"/>
        <v>1339395.85075</v>
      </c>
      <c r="H103" s="148">
        <f t="shared" si="4"/>
        <v>1392.9287499999627</v>
      </c>
      <c r="I103" s="151" t="s">
        <v>182</v>
      </c>
      <c r="J103" s="152" t="s">
        <v>60</v>
      </c>
    </row>
    <row r="104" spans="1:10" ht="28.9" outlineLevel="2">
      <c r="A104" s="140" t="s">
        <v>16</v>
      </c>
      <c r="B104" s="141" t="s">
        <v>21</v>
      </c>
      <c r="C104" s="141" t="s">
        <v>183</v>
      </c>
      <c r="D104" s="142">
        <v>5250</v>
      </c>
      <c r="E104" s="142">
        <v>0</v>
      </c>
      <c r="F104" s="142">
        <v>5250</v>
      </c>
      <c r="G104" s="148">
        <f t="shared" si="3"/>
        <v>5250</v>
      </c>
      <c r="H104" s="148">
        <f t="shared" si="4"/>
        <v>0</v>
      </c>
      <c r="I104" s="151" t="s">
        <v>184</v>
      </c>
      <c r="J104" s="152" t="s">
        <v>55</v>
      </c>
    </row>
    <row r="105" spans="1:10" ht="57.6" outlineLevel="2">
      <c r="A105" s="140" t="s">
        <v>16</v>
      </c>
      <c r="B105" s="141" t="s">
        <v>21</v>
      </c>
      <c r="C105" s="141" t="s">
        <v>185</v>
      </c>
      <c r="D105" s="142">
        <v>27790.5285</v>
      </c>
      <c r="E105" s="142">
        <v>28087.82</v>
      </c>
      <c r="F105" s="142">
        <v>1726</v>
      </c>
      <c r="G105" s="148">
        <f t="shared" si="3"/>
        <v>29813.82</v>
      </c>
      <c r="H105" s="148">
        <f t="shared" si="4"/>
        <v>2023.2914999999994</v>
      </c>
      <c r="I105" s="151" t="s">
        <v>186</v>
      </c>
      <c r="J105" s="152" t="s">
        <v>60</v>
      </c>
    </row>
    <row r="106" spans="1:10" ht="43.15" outlineLevel="2">
      <c r="A106" s="140" t="s">
        <v>16</v>
      </c>
      <c r="B106" s="141" t="s">
        <v>21</v>
      </c>
      <c r="C106" s="141" t="s">
        <v>96</v>
      </c>
      <c r="D106" s="142">
        <v>3052298</v>
      </c>
      <c r="E106" s="142">
        <v>1322377.65666667</v>
      </c>
      <c r="F106" s="142">
        <v>2054551.11333333</v>
      </c>
      <c r="G106" s="148">
        <f t="shared" si="3"/>
        <v>3376928.77</v>
      </c>
      <c r="H106" s="148">
        <f t="shared" si="4"/>
        <v>324630.77</v>
      </c>
      <c r="I106" s="159" t="s">
        <v>187</v>
      </c>
      <c r="J106" s="157" t="s">
        <v>50</v>
      </c>
    </row>
    <row r="107" spans="1:10" ht="28.9" outlineLevel="2">
      <c r="A107" s="140" t="s">
        <v>16</v>
      </c>
      <c r="B107" s="141" t="s">
        <v>21</v>
      </c>
      <c r="C107" s="141" t="s">
        <v>188</v>
      </c>
      <c r="D107" s="142">
        <v>307613.8</v>
      </c>
      <c r="E107" s="142">
        <v>150416.66666666701</v>
      </c>
      <c r="F107" s="142">
        <v>155250</v>
      </c>
      <c r="G107" s="148">
        <f t="shared" si="3"/>
        <v>305666.66666666698</v>
      </c>
      <c r="H107" s="148">
        <f t="shared" si="4"/>
        <v>-1947.1333333330113</v>
      </c>
      <c r="I107" s="145" t="s">
        <v>189</v>
      </c>
      <c r="J107" s="144" t="s">
        <v>46</v>
      </c>
    </row>
    <row r="108" spans="1:10" ht="43.15" outlineLevel="2">
      <c r="A108" s="140" t="s">
        <v>16</v>
      </c>
      <c r="B108" s="141" t="s">
        <v>21</v>
      </c>
      <c r="C108" s="141" t="s">
        <v>132</v>
      </c>
      <c r="D108" s="142">
        <v>453011.9645</v>
      </c>
      <c r="E108" s="142">
        <v>251825.97500000001</v>
      </c>
      <c r="F108" s="142">
        <v>301817.94366666698</v>
      </c>
      <c r="G108" s="148">
        <f t="shared" si="3"/>
        <v>553643.91866666696</v>
      </c>
      <c r="H108" s="148">
        <f t="shared" si="4"/>
        <v>100631.95416666695</v>
      </c>
      <c r="I108" s="156" t="s">
        <v>190</v>
      </c>
      <c r="J108" s="157" t="s">
        <v>60</v>
      </c>
    </row>
    <row r="109" spans="1:10" ht="28.9" outlineLevel="2">
      <c r="A109" s="140" t="s">
        <v>16</v>
      </c>
      <c r="B109" s="141" t="s">
        <v>21</v>
      </c>
      <c r="C109" s="141" t="s">
        <v>71</v>
      </c>
      <c r="D109" s="142">
        <v>0</v>
      </c>
      <c r="E109" s="142">
        <v>0</v>
      </c>
      <c r="F109" s="142">
        <v>0</v>
      </c>
      <c r="G109" s="148">
        <f t="shared" si="3"/>
        <v>0</v>
      </c>
      <c r="H109" s="148">
        <f t="shared" si="4"/>
        <v>0</v>
      </c>
      <c r="I109" s="151" t="s">
        <v>59</v>
      </c>
      <c r="J109" s="152" t="s">
        <v>55</v>
      </c>
    </row>
    <row r="110" spans="1:10" ht="28.9" outlineLevel="2">
      <c r="A110" s="140" t="s">
        <v>16</v>
      </c>
      <c r="B110" s="141" t="s">
        <v>21</v>
      </c>
      <c r="C110" s="141" t="s">
        <v>191</v>
      </c>
      <c r="D110" s="142">
        <v>5407.5</v>
      </c>
      <c r="E110" s="142">
        <v>0</v>
      </c>
      <c r="F110" s="142">
        <v>5407.5</v>
      </c>
      <c r="G110" s="148">
        <f t="shared" si="3"/>
        <v>5407.5</v>
      </c>
      <c r="H110" s="148">
        <f t="shared" si="4"/>
        <v>0</v>
      </c>
      <c r="I110" s="151" t="s">
        <v>184</v>
      </c>
      <c r="J110" s="152" t="s">
        <v>55</v>
      </c>
    </row>
    <row r="111" spans="1:10" ht="28.9" outlineLevel="2">
      <c r="A111" s="140" t="s">
        <v>16</v>
      </c>
      <c r="B111" s="141" t="s">
        <v>21</v>
      </c>
      <c r="C111" s="141" t="s">
        <v>192</v>
      </c>
      <c r="D111" s="142">
        <v>61830</v>
      </c>
      <c r="E111" s="142">
        <v>0</v>
      </c>
      <c r="F111" s="142">
        <v>61830</v>
      </c>
      <c r="G111" s="148">
        <f t="shared" si="3"/>
        <v>61830</v>
      </c>
      <c r="H111" s="148">
        <f t="shared" si="4"/>
        <v>0</v>
      </c>
      <c r="I111" s="151" t="s">
        <v>193</v>
      </c>
      <c r="J111" s="152" t="s">
        <v>55</v>
      </c>
    </row>
    <row r="112" spans="1:10" outlineLevel="1">
      <c r="A112" s="146" t="s">
        <v>16</v>
      </c>
      <c r="B112" s="147" t="s">
        <v>75</v>
      </c>
      <c r="C112" s="147"/>
      <c r="D112" s="148">
        <f>SUM(D103:D111)</f>
        <v>5251204.7149999999</v>
      </c>
      <c r="E112" s="148">
        <f>SUM(E103:E111)</f>
        <v>1766027.8483333371</v>
      </c>
      <c r="F112" s="148">
        <f>SUM(F103:F111)</f>
        <v>3911908.677749997</v>
      </c>
      <c r="G112" s="148">
        <f t="shared" si="3"/>
        <v>5677936.5260833343</v>
      </c>
      <c r="H112" s="148">
        <f t="shared" si="4"/>
        <v>426731.8110833345</v>
      </c>
      <c r="I112" s="149"/>
      <c r="J112" s="150"/>
    </row>
    <row r="113" spans="1:10" ht="28.9" outlineLevel="2">
      <c r="A113" s="140" t="s">
        <v>16</v>
      </c>
      <c r="B113" s="141" t="s">
        <v>22</v>
      </c>
      <c r="C113" s="141" t="s">
        <v>194</v>
      </c>
      <c r="D113" s="142">
        <v>1778445.9</v>
      </c>
      <c r="E113" s="142">
        <v>932336.01</v>
      </c>
      <c r="F113" s="142">
        <v>932336.01</v>
      </c>
      <c r="G113" s="148">
        <f t="shared" si="3"/>
        <v>1864672.02</v>
      </c>
      <c r="H113" s="148">
        <f t="shared" si="4"/>
        <v>86226.120000000112</v>
      </c>
      <c r="I113" s="156" t="s">
        <v>195</v>
      </c>
      <c r="J113" s="157" t="s">
        <v>50</v>
      </c>
    </row>
    <row r="114" spans="1:10" ht="28.9" outlineLevel="2">
      <c r="A114" s="140" t="s">
        <v>16</v>
      </c>
      <c r="B114" s="141" t="s">
        <v>22</v>
      </c>
      <c r="C114" s="141" t="s">
        <v>196</v>
      </c>
      <c r="D114" s="142">
        <v>0</v>
      </c>
      <c r="E114" s="142">
        <v>92000</v>
      </c>
      <c r="F114" s="142">
        <v>10000</v>
      </c>
      <c r="G114" s="148">
        <f t="shared" si="3"/>
        <v>102000</v>
      </c>
      <c r="H114" s="148">
        <f t="shared" si="4"/>
        <v>102000</v>
      </c>
      <c r="I114" s="156" t="s">
        <v>197</v>
      </c>
      <c r="J114" s="157" t="s">
        <v>50</v>
      </c>
    </row>
    <row r="115" spans="1:10" ht="43.15" outlineLevel="2">
      <c r="A115" s="140" t="s">
        <v>16</v>
      </c>
      <c r="B115" s="141" t="s">
        <v>22</v>
      </c>
      <c r="C115" s="141" t="s">
        <v>58</v>
      </c>
      <c r="D115" s="142">
        <v>3617396</v>
      </c>
      <c r="E115" s="142">
        <v>2070815.59</v>
      </c>
      <c r="F115" s="142">
        <v>2002659.78</v>
      </c>
      <c r="G115" s="148">
        <f t="shared" si="3"/>
        <v>4073475.37</v>
      </c>
      <c r="H115" s="148">
        <f t="shared" si="4"/>
        <v>456079.37000000011</v>
      </c>
      <c r="I115" s="156" t="s">
        <v>198</v>
      </c>
      <c r="J115" s="157" t="s">
        <v>50</v>
      </c>
    </row>
    <row r="116" spans="1:10" ht="28.9" outlineLevel="2">
      <c r="A116" s="140" t="s">
        <v>16</v>
      </c>
      <c r="B116" s="141" t="s">
        <v>22</v>
      </c>
      <c r="C116" s="141" t="s">
        <v>199</v>
      </c>
      <c r="D116" s="142">
        <v>14700</v>
      </c>
      <c r="E116" s="142">
        <v>9900</v>
      </c>
      <c r="F116" s="142">
        <v>46050</v>
      </c>
      <c r="G116" s="148">
        <f t="shared" si="3"/>
        <v>55950</v>
      </c>
      <c r="H116" s="148">
        <f t="shared" si="4"/>
        <v>41250</v>
      </c>
      <c r="I116" s="159" t="s">
        <v>200</v>
      </c>
      <c r="J116" s="158" t="s">
        <v>50</v>
      </c>
    </row>
    <row r="117" spans="1:10" ht="28.9" outlineLevel="2">
      <c r="A117" s="140" t="s">
        <v>16</v>
      </c>
      <c r="B117" s="141" t="s">
        <v>22</v>
      </c>
      <c r="C117" s="141" t="s">
        <v>201</v>
      </c>
      <c r="D117" s="142">
        <v>12600</v>
      </c>
      <c r="E117" s="142">
        <v>12000</v>
      </c>
      <c r="F117" s="142">
        <v>0</v>
      </c>
      <c r="G117" s="148">
        <f t="shared" si="3"/>
        <v>12000</v>
      </c>
      <c r="H117" s="148">
        <f t="shared" si="4"/>
        <v>-600</v>
      </c>
      <c r="I117" s="151" t="s">
        <v>202</v>
      </c>
      <c r="J117" s="152" t="s">
        <v>46</v>
      </c>
    </row>
    <row r="118" spans="1:10" ht="28.9" outlineLevel="2">
      <c r="A118" s="140" t="s">
        <v>16</v>
      </c>
      <c r="B118" s="141" t="s">
        <v>22</v>
      </c>
      <c r="C118" s="141" t="s">
        <v>44</v>
      </c>
      <c r="D118" s="142">
        <v>115751</v>
      </c>
      <c r="E118" s="142">
        <v>101291</v>
      </c>
      <c r="F118" s="142">
        <v>14460</v>
      </c>
      <c r="G118" s="148">
        <f t="shared" si="3"/>
        <v>115751</v>
      </c>
      <c r="H118" s="148">
        <f t="shared" si="4"/>
        <v>0</v>
      </c>
      <c r="I118" s="159" t="s">
        <v>203</v>
      </c>
      <c r="J118" s="158" t="s">
        <v>55</v>
      </c>
    </row>
    <row r="119" spans="1:10" ht="28.9" outlineLevel="2">
      <c r="A119" s="140" t="s">
        <v>16</v>
      </c>
      <c r="B119" s="141" t="s">
        <v>22</v>
      </c>
      <c r="C119" s="141" t="s">
        <v>204</v>
      </c>
      <c r="D119" s="142">
        <v>2751</v>
      </c>
      <c r="E119" s="142">
        <v>3192.75</v>
      </c>
      <c r="F119" s="142">
        <v>0</v>
      </c>
      <c r="G119" s="148">
        <f t="shared" si="3"/>
        <v>3192.75</v>
      </c>
      <c r="H119" s="148">
        <f t="shared" si="4"/>
        <v>441.75</v>
      </c>
      <c r="I119" s="151" t="s">
        <v>205</v>
      </c>
      <c r="J119" s="157" t="s">
        <v>60</v>
      </c>
    </row>
    <row r="120" spans="1:10" ht="57.6" outlineLevel="2">
      <c r="A120" s="140" t="s">
        <v>16</v>
      </c>
      <c r="B120" s="141" t="s">
        <v>22</v>
      </c>
      <c r="C120" s="141" t="s">
        <v>64</v>
      </c>
      <c r="D120" s="142">
        <v>3500000</v>
      </c>
      <c r="E120" s="142">
        <v>1543370.93</v>
      </c>
      <c r="F120" s="142">
        <v>1842462.4033333301</v>
      </c>
      <c r="G120" s="148">
        <f t="shared" si="3"/>
        <v>3385833.3333333302</v>
      </c>
      <c r="H120" s="148">
        <f t="shared" si="4"/>
        <v>-114166.66666666977</v>
      </c>
      <c r="I120" s="159" t="s">
        <v>206</v>
      </c>
      <c r="J120" s="158" t="s">
        <v>43</v>
      </c>
    </row>
    <row r="121" spans="1:10" ht="28.9" outlineLevel="2">
      <c r="A121" s="140" t="s">
        <v>16</v>
      </c>
      <c r="B121" s="141" t="s">
        <v>22</v>
      </c>
      <c r="C121" s="141" t="s">
        <v>207</v>
      </c>
      <c r="D121" s="142">
        <v>298544.40000000002</v>
      </c>
      <c r="E121" s="142">
        <v>142164.185</v>
      </c>
      <c r="F121" s="142">
        <v>142164.185</v>
      </c>
      <c r="G121" s="148">
        <f t="shared" si="3"/>
        <v>284328.37</v>
      </c>
      <c r="H121" s="148">
        <f t="shared" si="4"/>
        <v>-14216.030000000028</v>
      </c>
      <c r="I121" s="145" t="s">
        <v>208</v>
      </c>
      <c r="J121" s="144" t="s">
        <v>43</v>
      </c>
    </row>
    <row r="122" spans="1:10" ht="28.9" outlineLevel="2">
      <c r="A122" s="140" t="s">
        <v>16</v>
      </c>
      <c r="B122" s="141" t="s">
        <v>22</v>
      </c>
      <c r="C122" s="141" t="s">
        <v>209</v>
      </c>
      <c r="D122" s="142">
        <v>8435.7000000000007</v>
      </c>
      <c r="E122" s="142">
        <v>0</v>
      </c>
      <c r="F122" s="142">
        <v>8436</v>
      </c>
      <c r="G122" s="148">
        <f t="shared" si="3"/>
        <v>8436</v>
      </c>
      <c r="H122" s="148">
        <f t="shared" si="4"/>
        <v>0.2999999999992724</v>
      </c>
      <c r="I122" s="151" t="s">
        <v>210</v>
      </c>
      <c r="J122" s="152" t="s">
        <v>55</v>
      </c>
    </row>
    <row r="123" spans="1:10" ht="28.9" outlineLevel="2">
      <c r="A123" s="140" t="s">
        <v>16</v>
      </c>
      <c r="B123" s="141" t="s">
        <v>22</v>
      </c>
      <c r="C123" s="141" t="s">
        <v>211</v>
      </c>
      <c r="D123" s="142">
        <v>411547.5</v>
      </c>
      <c r="E123" s="142">
        <v>272187.5</v>
      </c>
      <c r="F123" s="142">
        <v>272187.5</v>
      </c>
      <c r="G123" s="148">
        <f t="shared" si="3"/>
        <v>544375</v>
      </c>
      <c r="H123" s="148">
        <f t="shared" si="4"/>
        <v>132827.5</v>
      </c>
      <c r="I123" s="156" t="s">
        <v>212</v>
      </c>
      <c r="J123" s="157" t="s">
        <v>60</v>
      </c>
    </row>
    <row r="124" spans="1:10" outlineLevel="1">
      <c r="A124" s="146" t="s">
        <v>16</v>
      </c>
      <c r="B124" s="147" t="s">
        <v>66</v>
      </c>
      <c r="C124" s="147"/>
      <c r="D124" s="148">
        <f>SUM(D113:D123)</f>
        <v>9760171.5</v>
      </c>
      <c r="E124" s="148">
        <f>SUM(E113:E123)</f>
        <v>5179257.9649999999</v>
      </c>
      <c r="F124" s="148">
        <f>SUM(F113:F123)</f>
        <v>5270755.8783333292</v>
      </c>
      <c r="G124" s="148">
        <f t="shared" si="3"/>
        <v>10450013.84333333</v>
      </c>
      <c r="H124" s="148">
        <f t="shared" si="4"/>
        <v>689842.34333333001</v>
      </c>
      <c r="I124" s="149"/>
      <c r="J124" s="150"/>
    </row>
    <row r="125" spans="1:10" ht="28.9" outlineLevel="2">
      <c r="A125" s="140" t="s">
        <v>16</v>
      </c>
      <c r="B125" s="141" t="s">
        <v>23</v>
      </c>
      <c r="C125" s="141" t="s">
        <v>213</v>
      </c>
      <c r="D125" s="142">
        <v>1260</v>
      </c>
      <c r="E125" s="142">
        <v>1260</v>
      </c>
      <c r="F125" s="142">
        <v>0</v>
      </c>
      <c r="G125" s="148">
        <f t="shared" si="3"/>
        <v>1260</v>
      </c>
      <c r="H125" s="148">
        <f t="shared" si="4"/>
        <v>0</v>
      </c>
      <c r="I125" s="151" t="s">
        <v>214</v>
      </c>
      <c r="J125" s="152" t="s">
        <v>55</v>
      </c>
    </row>
    <row r="126" spans="1:10" ht="28.9" outlineLevel="2">
      <c r="A126" s="140" t="s">
        <v>16</v>
      </c>
      <c r="B126" s="141" t="s">
        <v>23</v>
      </c>
      <c r="C126" s="141" t="s">
        <v>215</v>
      </c>
      <c r="D126" s="142">
        <v>39305.699999999997</v>
      </c>
      <c r="E126" s="142">
        <v>2808</v>
      </c>
      <c r="F126" s="142">
        <v>36498</v>
      </c>
      <c r="G126" s="148">
        <f t="shared" si="3"/>
        <v>39306</v>
      </c>
      <c r="H126" s="148">
        <f t="shared" si="4"/>
        <v>0.30000000000291038</v>
      </c>
      <c r="I126" s="151" t="s">
        <v>216</v>
      </c>
      <c r="J126" s="152" t="s">
        <v>55</v>
      </c>
    </row>
    <row r="127" spans="1:10" ht="28.9" outlineLevel="2">
      <c r="A127" s="140" t="s">
        <v>16</v>
      </c>
      <c r="B127" s="141" t="s">
        <v>23</v>
      </c>
      <c r="C127" s="141" t="s">
        <v>217</v>
      </c>
      <c r="D127" s="142">
        <v>174825</v>
      </c>
      <c r="E127" s="142">
        <v>87412.5</v>
      </c>
      <c r="F127" s="142">
        <v>87412.5</v>
      </c>
      <c r="G127" s="148">
        <f t="shared" si="3"/>
        <v>174825</v>
      </c>
      <c r="H127" s="148">
        <f t="shared" si="4"/>
        <v>0</v>
      </c>
      <c r="I127" s="151" t="s">
        <v>218</v>
      </c>
      <c r="J127" s="152" t="s">
        <v>55</v>
      </c>
    </row>
    <row r="128" spans="1:10" outlineLevel="1">
      <c r="A128" s="146" t="s">
        <v>16</v>
      </c>
      <c r="B128" s="147" t="s">
        <v>67</v>
      </c>
      <c r="C128" s="147"/>
      <c r="D128" s="148">
        <f>SUM(D125:D127)</f>
        <v>215390.7</v>
      </c>
      <c r="E128" s="148">
        <f>SUM(E125:E127)</f>
        <v>91480.5</v>
      </c>
      <c r="F128" s="148">
        <f>SUM(F125:F127)</f>
        <v>123910.5</v>
      </c>
      <c r="G128" s="148">
        <f t="shared" si="3"/>
        <v>215391</v>
      </c>
      <c r="H128" s="148">
        <f t="shared" si="4"/>
        <v>0.29999999998835847</v>
      </c>
      <c r="I128" s="149"/>
      <c r="J128" s="150"/>
    </row>
    <row r="129" spans="1:10" ht="28.9" outlineLevel="2">
      <c r="A129" s="140" t="s">
        <v>16</v>
      </c>
      <c r="B129" s="141" t="s">
        <v>24</v>
      </c>
      <c r="C129" s="141" t="s">
        <v>219</v>
      </c>
      <c r="D129" s="142">
        <v>1211114.9924999999</v>
      </c>
      <c r="E129" s="142">
        <v>734338.64</v>
      </c>
      <c r="F129" s="142">
        <v>476776.06</v>
      </c>
      <c r="G129" s="148">
        <f t="shared" si="3"/>
        <v>1211114.7</v>
      </c>
      <c r="H129" s="148">
        <f t="shared" si="4"/>
        <v>-0.29249999998137355</v>
      </c>
      <c r="I129" s="151" t="s">
        <v>220</v>
      </c>
      <c r="J129" s="152" t="s">
        <v>55</v>
      </c>
    </row>
    <row r="130" spans="1:10" ht="28.9" outlineLevel="2">
      <c r="A130" s="140" t="s">
        <v>16</v>
      </c>
      <c r="B130" s="141" t="s">
        <v>24</v>
      </c>
      <c r="C130" s="141" t="s">
        <v>221</v>
      </c>
      <c r="D130" s="142">
        <v>238897.86249999999</v>
      </c>
      <c r="E130" s="142">
        <v>238926.24</v>
      </c>
      <c r="F130" s="142">
        <v>0</v>
      </c>
      <c r="G130" s="148">
        <f t="shared" si="3"/>
        <v>238926.24</v>
      </c>
      <c r="H130" s="148">
        <f t="shared" si="4"/>
        <v>28.377500000002328</v>
      </c>
      <c r="I130" s="145" t="s">
        <v>222</v>
      </c>
      <c r="J130" s="144" t="s">
        <v>55</v>
      </c>
    </row>
    <row r="131" spans="1:10" ht="28.9" outlineLevel="2">
      <c r="A131" s="140" t="s">
        <v>16</v>
      </c>
      <c r="B131" s="141" t="s">
        <v>24</v>
      </c>
      <c r="C131" s="141" t="s">
        <v>223</v>
      </c>
      <c r="D131" s="142">
        <v>160000</v>
      </c>
      <c r="E131" s="142">
        <v>75000</v>
      </c>
      <c r="F131" s="142">
        <v>85000</v>
      </c>
      <c r="G131" s="148">
        <f t="shared" ref="G131:G148" si="5">E131+F131</f>
        <v>160000</v>
      </c>
      <c r="H131" s="148">
        <f t="shared" ref="H131:H148" si="6">G131-D131</f>
        <v>0</v>
      </c>
      <c r="I131" s="151" t="s">
        <v>224</v>
      </c>
      <c r="J131" s="152" t="s">
        <v>55</v>
      </c>
    </row>
    <row r="132" spans="1:10" ht="28.9" outlineLevel="2">
      <c r="A132" s="140" t="s">
        <v>16</v>
      </c>
      <c r="B132" s="141" t="s">
        <v>24</v>
      </c>
      <c r="C132" s="141" t="s">
        <v>225</v>
      </c>
      <c r="D132" s="142">
        <v>187499.9</v>
      </c>
      <c r="E132" s="142">
        <v>68500</v>
      </c>
      <c r="F132" s="142">
        <v>119000</v>
      </c>
      <c r="G132" s="148">
        <f t="shared" si="5"/>
        <v>187500</v>
      </c>
      <c r="H132" s="148">
        <f t="shared" si="6"/>
        <v>0.10000000000582077</v>
      </c>
      <c r="I132" s="145" t="s">
        <v>226</v>
      </c>
      <c r="J132" s="144" t="s">
        <v>55</v>
      </c>
    </row>
    <row r="133" spans="1:10" outlineLevel="1">
      <c r="A133" s="146" t="s">
        <v>16</v>
      </c>
      <c r="B133" s="147" t="s">
        <v>156</v>
      </c>
      <c r="C133" s="147"/>
      <c r="D133" s="148">
        <f>SUM(D129:D132)</f>
        <v>1797512.7549999999</v>
      </c>
      <c r="E133" s="148">
        <f>SUM(E129:E132)</f>
        <v>1116764.8799999999</v>
      </c>
      <c r="F133" s="148">
        <f>SUM(F129:F132)</f>
        <v>680776.06</v>
      </c>
      <c r="G133" s="148">
        <f t="shared" si="5"/>
        <v>1797540.94</v>
      </c>
      <c r="H133" s="148">
        <f t="shared" si="6"/>
        <v>28.185000000055879</v>
      </c>
      <c r="I133" s="149"/>
      <c r="J133" s="150"/>
    </row>
    <row r="134" spans="1:10" ht="28.9" outlineLevel="2">
      <c r="A134" s="140" t="s">
        <v>16</v>
      </c>
      <c r="B134" s="141" t="s">
        <v>25</v>
      </c>
      <c r="C134" s="141" t="s">
        <v>227</v>
      </c>
      <c r="D134" s="142">
        <v>50400</v>
      </c>
      <c r="E134" s="142">
        <v>0</v>
      </c>
      <c r="F134" s="142">
        <v>50400</v>
      </c>
      <c r="G134" s="148">
        <f t="shared" si="5"/>
        <v>50400</v>
      </c>
      <c r="H134" s="148">
        <f t="shared" si="6"/>
        <v>0</v>
      </c>
      <c r="I134" s="151" t="s">
        <v>228</v>
      </c>
      <c r="J134" s="152" t="s">
        <v>55</v>
      </c>
    </row>
    <row r="135" spans="1:10" ht="43.15" outlineLevel="2">
      <c r="A135" s="140" t="s">
        <v>16</v>
      </c>
      <c r="B135" s="141" t="s">
        <v>25</v>
      </c>
      <c r="C135" s="141" t="s">
        <v>137</v>
      </c>
      <c r="D135" s="142">
        <v>99225</v>
      </c>
      <c r="E135" s="142">
        <v>48600</v>
      </c>
      <c r="F135" s="142">
        <v>48600</v>
      </c>
      <c r="G135" s="148">
        <f t="shared" si="5"/>
        <v>97200</v>
      </c>
      <c r="H135" s="148">
        <f t="shared" si="6"/>
        <v>-2025</v>
      </c>
      <c r="I135" s="151" t="s">
        <v>229</v>
      </c>
      <c r="J135" s="152" t="s">
        <v>43</v>
      </c>
    </row>
    <row r="136" spans="1:10" ht="28.9" outlineLevel="2">
      <c r="A136" s="140" t="s">
        <v>16</v>
      </c>
      <c r="B136" s="141" t="s">
        <v>25</v>
      </c>
      <c r="C136" s="141" t="s">
        <v>72</v>
      </c>
      <c r="D136" s="142">
        <v>8137</v>
      </c>
      <c r="E136" s="142">
        <v>8136.97</v>
      </c>
      <c r="F136" s="142">
        <v>0</v>
      </c>
      <c r="G136" s="148">
        <f t="shared" si="5"/>
        <v>8136.97</v>
      </c>
      <c r="H136" s="148">
        <f t="shared" si="6"/>
        <v>-2.9999999999745341E-2</v>
      </c>
      <c r="I136" s="159" t="s">
        <v>210</v>
      </c>
      <c r="J136" s="158" t="s">
        <v>55</v>
      </c>
    </row>
    <row r="137" spans="1:10" ht="28.9" outlineLevel="2">
      <c r="A137" s="140" t="s">
        <v>16</v>
      </c>
      <c r="B137" s="141" t="s">
        <v>25</v>
      </c>
      <c r="C137" s="141" t="s">
        <v>230</v>
      </c>
      <c r="D137" s="142">
        <v>32760</v>
      </c>
      <c r="E137" s="142">
        <v>0</v>
      </c>
      <c r="F137" s="142">
        <v>32760</v>
      </c>
      <c r="G137" s="148">
        <f t="shared" si="5"/>
        <v>32760</v>
      </c>
      <c r="H137" s="148">
        <f t="shared" si="6"/>
        <v>0</v>
      </c>
      <c r="I137" s="151" t="s">
        <v>231</v>
      </c>
      <c r="J137" s="152" t="s">
        <v>55</v>
      </c>
    </row>
    <row r="138" spans="1:10" ht="28.9" outlineLevel="2">
      <c r="A138" s="140" t="s">
        <v>16</v>
      </c>
      <c r="B138" s="141" t="s">
        <v>25</v>
      </c>
      <c r="C138" s="141" t="s">
        <v>232</v>
      </c>
      <c r="D138" s="142">
        <v>3150</v>
      </c>
      <c r="E138" s="142">
        <v>0</v>
      </c>
      <c r="F138" s="142">
        <v>3150</v>
      </c>
      <c r="G138" s="148">
        <f t="shared" si="5"/>
        <v>3150</v>
      </c>
      <c r="H138" s="148">
        <f t="shared" si="6"/>
        <v>0</v>
      </c>
      <c r="I138" s="151" t="s">
        <v>82</v>
      </c>
      <c r="J138" s="152" t="s">
        <v>55</v>
      </c>
    </row>
    <row r="139" spans="1:10" ht="28.9" outlineLevel="2">
      <c r="A139" s="140" t="s">
        <v>16</v>
      </c>
      <c r="B139" s="141" t="s">
        <v>25</v>
      </c>
      <c r="C139" s="141" t="s">
        <v>233</v>
      </c>
      <c r="D139" s="142">
        <v>48934</v>
      </c>
      <c r="E139" s="142">
        <v>9894</v>
      </c>
      <c r="F139" s="142">
        <v>39037</v>
      </c>
      <c r="G139" s="148">
        <f t="shared" si="5"/>
        <v>48931</v>
      </c>
      <c r="H139" s="148">
        <f t="shared" si="6"/>
        <v>-3</v>
      </c>
      <c r="I139" s="151" t="s">
        <v>234</v>
      </c>
      <c r="J139" s="152" t="s">
        <v>55</v>
      </c>
    </row>
    <row r="140" spans="1:10" ht="28.9" outlineLevel="2">
      <c r="A140" s="140" t="s">
        <v>16</v>
      </c>
      <c r="B140" s="141" t="s">
        <v>25</v>
      </c>
      <c r="C140" s="141" t="s">
        <v>235</v>
      </c>
      <c r="D140" s="142">
        <v>90000</v>
      </c>
      <c r="E140" s="142">
        <v>0</v>
      </c>
      <c r="F140" s="142">
        <v>90000</v>
      </c>
      <c r="G140" s="148">
        <f t="shared" si="5"/>
        <v>90000</v>
      </c>
      <c r="H140" s="148">
        <f t="shared" si="6"/>
        <v>0</v>
      </c>
      <c r="I140" s="151" t="s">
        <v>236</v>
      </c>
      <c r="J140" s="152" t="s">
        <v>55</v>
      </c>
    </row>
    <row r="141" spans="1:10" ht="28.9" outlineLevel="2">
      <c r="A141" s="140" t="s">
        <v>16</v>
      </c>
      <c r="B141" s="141" t="s">
        <v>25</v>
      </c>
      <c r="C141" s="141" t="s">
        <v>237</v>
      </c>
      <c r="D141" s="142">
        <v>2594.5500000000002</v>
      </c>
      <c r="E141" s="142">
        <v>0</v>
      </c>
      <c r="F141" s="142">
        <v>2595</v>
      </c>
      <c r="G141" s="148">
        <f t="shared" si="5"/>
        <v>2595</v>
      </c>
      <c r="H141" s="148">
        <f t="shared" si="6"/>
        <v>0.4499999999998181</v>
      </c>
      <c r="I141" s="151" t="s">
        <v>82</v>
      </c>
      <c r="J141" s="152" t="s">
        <v>55</v>
      </c>
    </row>
    <row r="142" spans="1:10" ht="28.9" outlineLevel="2">
      <c r="A142" s="140" t="s">
        <v>16</v>
      </c>
      <c r="B142" s="141" t="s">
        <v>25</v>
      </c>
      <c r="C142" s="141" t="s">
        <v>238</v>
      </c>
      <c r="D142" s="142">
        <v>100000</v>
      </c>
      <c r="E142" s="142">
        <v>113850</v>
      </c>
      <c r="F142" s="142">
        <v>0</v>
      </c>
      <c r="G142" s="148">
        <f t="shared" si="5"/>
        <v>113850</v>
      </c>
      <c r="H142" s="148">
        <f t="shared" si="6"/>
        <v>13850</v>
      </c>
      <c r="I142" s="159" t="s">
        <v>239</v>
      </c>
      <c r="J142" s="158" t="s">
        <v>60</v>
      </c>
    </row>
    <row r="143" spans="1:10" ht="28.9" outlineLevel="2">
      <c r="A143" s="140" t="s">
        <v>16</v>
      </c>
      <c r="B143" s="141" t="s">
        <v>25</v>
      </c>
      <c r="C143" s="141" t="s">
        <v>240</v>
      </c>
      <c r="D143" s="142">
        <v>72888.816000000006</v>
      </c>
      <c r="E143" s="142">
        <v>69417.919999999998</v>
      </c>
      <c r="F143" s="142">
        <v>0</v>
      </c>
      <c r="G143" s="148">
        <f t="shared" si="5"/>
        <v>69417.919999999998</v>
      </c>
      <c r="H143" s="148">
        <f t="shared" si="6"/>
        <v>-3470.8960000000079</v>
      </c>
      <c r="I143" s="145" t="s">
        <v>241</v>
      </c>
      <c r="J143" s="144" t="s">
        <v>43</v>
      </c>
    </row>
    <row r="144" spans="1:10" ht="28.9" outlineLevel="2">
      <c r="A144" s="140" t="s">
        <v>16</v>
      </c>
      <c r="B144" s="141" t="s">
        <v>25</v>
      </c>
      <c r="C144" s="141" t="s">
        <v>242</v>
      </c>
      <c r="D144" s="142">
        <v>139031.20000000001</v>
      </c>
      <c r="E144" s="142">
        <v>68376</v>
      </c>
      <c r="F144" s="142">
        <v>70655.666666666701</v>
      </c>
      <c r="G144" s="148">
        <f t="shared" si="5"/>
        <v>139031.66666666669</v>
      </c>
      <c r="H144" s="148">
        <f t="shared" si="6"/>
        <v>0.46666666667442769</v>
      </c>
      <c r="I144" s="151" t="s">
        <v>243</v>
      </c>
      <c r="J144" s="152" t="s">
        <v>55</v>
      </c>
    </row>
    <row r="145" spans="1:10" ht="28.9" outlineLevel="2">
      <c r="A145" s="140" t="s">
        <v>16</v>
      </c>
      <c r="B145" s="141" t="s">
        <v>25</v>
      </c>
      <c r="C145" s="141" t="s">
        <v>244</v>
      </c>
      <c r="D145" s="142">
        <v>70432.698000000004</v>
      </c>
      <c r="E145" s="142">
        <v>1063.52</v>
      </c>
      <c r="F145" s="142">
        <v>69368.698000000004</v>
      </c>
      <c r="G145" s="148">
        <f t="shared" si="5"/>
        <v>70432.218000000008</v>
      </c>
      <c r="H145" s="148">
        <f t="shared" si="6"/>
        <v>-0.47999999999592546</v>
      </c>
      <c r="I145" s="151" t="s">
        <v>245</v>
      </c>
      <c r="J145" s="152" t="s">
        <v>55</v>
      </c>
    </row>
    <row r="146" spans="1:10" ht="28.9" outlineLevel="2">
      <c r="A146" s="140" t="s">
        <v>16</v>
      </c>
      <c r="B146" s="141" t="s">
        <v>25</v>
      </c>
      <c r="C146" s="141" t="s">
        <v>246</v>
      </c>
      <c r="D146" s="142">
        <v>440671.35</v>
      </c>
      <c r="E146" s="142">
        <v>144936.79999999999</v>
      </c>
      <c r="F146" s="142">
        <v>295734.2</v>
      </c>
      <c r="G146" s="148">
        <f t="shared" si="5"/>
        <v>440671</v>
      </c>
      <c r="H146" s="148">
        <f t="shared" si="6"/>
        <v>-0.34999999997671694</v>
      </c>
      <c r="I146" s="151" t="s">
        <v>247</v>
      </c>
      <c r="J146" s="152" t="s">
        <v>55</v>
      </c>
    </row>
    <row r="147" spans="1:10" outlineLevel="1">
      <c r="A147" s="146" t="s">
        <v>16</v>
      </c>
      <c r="B147" s="147" t="s">
        <v>69</v>
      </c>
      <c r="C147" s="147"/>
      <c r="D147" s="148">
        <f>SUM(D134:D146)</f>
        <v>1158224.6140000001</v>
      </c>
      <c r="E147" s="148">
        <f>SUM(E134:E146)</f>
        <v>464275.21</v>
      </c>
      <c r="F147" s="148">
        <f>SUM(F134:F146)</f>
        <v>702300.56466666679</v>
      </c>
      <c r="G147" s="148">
        <f t="shared" si="5"/>
        <v>1166575.7746666668</v>
      </c>
      <c r="H147" s="148">
        <f t="shared" si="6"/>
        <v>8351.1606666666921</v>
      </c>
      <c r="I147" s="149"/>
      <c r="J147" s="150"/>
    </row>
    <row r="148" spans="1:10">
      <c r="A148" s="160" t="s">
        <v>248</v>
      </c>
      <c r="B148" s="161"/>
      <c r="C148" s="161"/>
      <c r="D148" s="162">
        <f>SUM(D102,D112,D124,D128,D133,D147)</f>
        <v>20421056.541149996</v>
      </c>
      <c r="E148" s="162">
        <f>SUM(E102,E112,E124,E128,E133,E147)</f>
        <v>9554466.5758333374</v>
      </c>
      <c r="F148" s="162">
        <f>SUM(F102,F112,F124,F128,F133,F147)</f>
        <v>11926206.958249992</v>
      </c>
      <c r="G148" s="155">
        <f t="shared" si="5"/>
        <v>21480673.534083329</v>
      </c>
      <c r="H148" s="155">
        <f t="shared" si="6"/>
        <v>1059616.9929333329</v>
      </c>
      <c r="I148" s="163"/>
      <c r="J148" s="164"/>
    </row>
    <row r="150" spans="1:10">
      <c r="D150" s="165">
        <f>SUM(D148,D93,D74,D60,D42,D21,D15)</f>
        <v>44788397.956149995</v>
      </c>
      <c r="E150" s="165">
        <f t="shared" ref="E150:H150" si="7">SUM(E148,E93,E74,E60,E42,E21,E15)</f>
        <v>20581911.790833339</v>
      </c>
      <c r="F150" s="165">
        <f t="shared" si="7"/>
        <v>24679211.406583324</v>
      </c>
      <c r="G150" s="165">
        <f t="shared" si="7"/>
        <v>45261123.197416656</v>
      </c>
      <c r="H150" s="165">
        <f t="shared" si="7"/>
        <v>472725.24126666621</v>
      </c>
    </row>
    <row r="152" spans="1:10">
      <c r="B152" s="166"/>
    </row>
    <row r="153" spans="1:10">
      <c r="B153" s="166"/>
    </row>
  </sheetData>
  <autoFilter ref="A1:O153" xr:uid="{D1E03DB6-5375-4A68-B640-A8140BFCB75E}"/>
  <conditionalFormatting sqref="I2:I43">
    <cfRule type="expression" dxfId="91" priority="129">
      <formula>$J2="Hard Opportunity"</formula>
    </cfRule>
    <cfRule type="expression" dxfId="90" priority="130">
      <formula>$J2="Hard Risk"</formula>
    </cfRule>
    <cfRule type="expression" dxfId="89" priority="131">
      <formula>$J2="Soft Opportunity"</formula>
    </cfRule>
    <cfRule type="expression" dxfId="88" priority="132">
      <formula>$J2="Soft Risk"</formula>
    </cfRule>
  </conditionalFormatting>
  <conditionalFormatting sqref="I45:I68">
    <cfRule type="expression" dxfId="87" priority="105">
      <formula>$J45="Hard Opportunity"</formula>
    </cfRule>
    <cfRule type="expression" dxfId="86" priority="106">
      <formula>$J45="Hard Risk"</formula>
    </cfRule>
    <cfRule type="expression" dxfId="85" priority="107">
      <formula>$J45="Soft Opportunity"</formula>
    </cfRule>
    <cfRule type="expression" dxfId="84" priority="108">
      <formula>$J45="Soft Risk"</formula>
    </cfRule>
  </conditionalFormatting>
  <conditionalFormatting sqref="I70:I150">
    <cfRule type="expression" dxfId="83" priority="1">
      <formula>$J70="Hard Opportunity"</formula>
    </cfRule>
    <cfRule type="expression" dxfId="82" priority="2">
      <formula>$J70="Hard Risk"</formula>
    </cfRule>
    <cfRule type="expression" dxfId="81" priority="3">
      <formula>$J70="Soft Opportunity"</formula>
    </cfRule>
    <cfRule type="expression" dxfId="80" priority="4">
      <formula>$J70="Soft Risk"</formula>
    </cfRule>
  </conditionalFormatting>
  <conditionalFormatting sqref="J2:J150">
    <cfRule type="expression" dxfId="79" priority="17">
      <formula>$J2="Hard Opportunity"</formula>
    </cfRule>
    <cfRule type="expression" dxfId="78" priority="18">
      <formula>$J2="Hard Risk"</formula>
    </cfRule>
    <cfRule type="expression" dxfId="77" priority="19">
      <formula>$J2="Soft Opportunity"</formula>
    </cfRule>
    <cfRule type="expression" dxfId="76" priority="20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08117-6477-45F6-A59C-46C9B35206F3}">
  <sheetPr>
    <tabColor theme="9" tint="0.79998168889431442"/>
  </sheetPr>
  <dimension ref="A2:H260"/>
  <sheetViews>
    <sheetView showGridLines="0" workbookViewId="0">
      <selection activeCell="C14" sqref="C14"/>
    </sheetView>
  </sheetViews>
  <sheetFormatPr defaultRowHeight="14.45"/>
  <cols>
    <col min="1" max="1" width="49.85546875" bestFit="1" customWidth="1"/>
    <col min="2" max="2" width="23.85546875" bestFit="1" customWidth="1"/>
    <col min="3" max="3" width="21.7109375" bestFit="1" customWidth="1"/>
    <col min="4" max="4" width="22.85546875" bestFit="1" customWidth="1"/>
    <col min="5" max="5" width="30.7109375" bestFit="1" customWidth="1"/>
    <col min="6" max="6" width="16.28515625" bestFit="1" customWidth="1"/>
    <col min="7" max="7" width="23.42578125" bestFit="1" customWidth="1"/>
    <col min="8" max="8" width="29.42578125" bestFit="1" customWidth="1"/>
    <col min="9" max="9" width="5" bestFit="1" customWidth="1"/>
    <col min="10" max="10" width="9" bestFit="1" customWidth="1"/>
    <col min="11" max="11" width="5" bestFit="1" customWidth="1"/>
    <col min="12" max="12" width="8" bestFit="1" customWidth="1"/>
    <col min="13" max="18" width="5" bestFit="1" customWidth="1"/>
    <col min="19" max="19" width="7" bestFit="1" customWidth="1"/>
    <col min="20" max="22" width="5" bestFit="1" customWidth="1"/>
    <col min="23" max="23" width="7" bestFit="1" customWidth="1"/>
    <col min="24" max="37" width="6" bestFit="1" customWidth="1"/>
    <col min="38" max="39" width="11" bestFit="1" customWidth="1"/>
    <col min="40" max="41" width="6" bestFit="1" customWidth="1"/>
    <col min="42" max="42" width="10" bestFit="1" customWidth="1"/>
    <col min="43" max="47" width="6" bestFit="1" customWidth="1"/>
    <col min="48" max="48" width="8" bestFit="1" customWidth="1"/>
    <col min="49" max="50" width="6" bestFit="1" customWidth="1"/>
    <col min="51" max="51" width="9" bestFit="1" customWidth="1"/>
    <col min="52" max="52" width="8" bestFit="1" customWidth="1"/>
    <col min="53" max="57" width="6" bestFit="1" customWidth="1"/>
    <col min="58" max="59" width="11" bestFit="1" customWidth="1"/>
    <col min="60" max="60" width="6" bestFit="1" customWidth="1"/>
    <col min="61" max="61" width="8" bestFit="1" customWidth="1"/>
    <col min="62" max="64" width="6" bestFit="1" customWidth="1"/>
    <col min="65" max="66" width="10" bestFit="1" customWidth="1"/>
    <col min="67" max="68" width="6" bestFit="1" customWidth="1"/>
    <col min="69" max="69" width="10" bestFit="1" customWidth="1"/>
    <col min="70" max="70" width="6" bestFit="1" customWidth="1"/>
    <col min="71" max="71" width="9" bestFit="1" customWidth="1"/>
    <col min="72" max="72" width="6" bestFit="1" customWidth="1"/>
    <col min="73" max="73" width="11" bestFit="1" customWidth="1"/>
    <col min="74" max="74" width="6" bestFit="1" customWidth="1"/>
    <col min="75" max="75" width="7" bestFit="1" customWidth="1"/>
    <col min="76" max="76" width="9" bestFit="1" customWidth="1"/>
    <col min="77" max="77" width="10" bestFit="1" customWidth="1"/>
    <col min="78" max="78" width="7" bestFit="1" customWidth="1"/>
    <col min="79" max="80" width="9" bestFit="1" customWidth="1"/>
    <col min="81" max="91" width="7" bestFit="1" customWidth="1"/>
    <col min="92" max="92" width="10" bestFit="1" customWidth="1"/>
    <col min="93" max="97" width="7" bestFit="1" customWidth="1"/>
    <col min="98" max="98" width="12" bestFit="1" customWidth="1"/>
    <col min="99" max="102" width="7" bestFit="1" customWidth="1"/>
    <col min="103" max="104" width="9" bestFit="1" customWidth="1"/>
    <col min="105" max="109" width="7" bestFit="1" customWidth="1"/>
    <col min="110" max="110" width="9" bestFit="1" customWidth="1"/>
    <col min="111" max="111" width="7" bestFit="1" customWidth="1"/>
    <col min="112" max="112" width="11" bestFit="1" customWidth="1"/>
    <col min="113" max="113" width="10" bestFit="1" customWidth="1"/>
    <col min="114" max="117" width="7" bestFit="1" customWidth="1"/>
    <col min="118" max="119" width="12" bestFit="1" customWidth="1"/>
    <col min="120" max="120" width="11" bestFit="1" customWidth="1"/>
    <col min="121" max="125" width="8" bestFit="1" customWidth="1"/>
    <col min="126" max="126" width="10" bestFit="1" customWidth="1"/>
    <col min="127" max="130" width="8" bestFit="1" customWidth="1"/>
    <col min="131" max="131" width="7" bestFit="1" customWidth="1"/>
    <col min="132" max="132" width="10.5703125" bestFit="1" customWidth="1"/>
  </cols>
  <sheetData>
    <row r="2" spans="1:8">
      <c r="A2" s="8" t="s">
        <v>0</v>
      </c>
      <c r="B2" t="s">
        <v>1</v>
      </c>
    </row>
    <row r="4" spans="1:8">
      <c r="A4" s="8" t="s">
        <v>19</v>
      </c>
      <c r="B4" t="s">
        <v>5</v>
      </c>
      <c r="C4" t="s">
        <v>249</v>
      </c>
      <c r="D4" t="s">
        <v>250</v>
      </c>
      <c r="E4" t="s">
        <v>6</v>
      </c>
      <c r="F4" t="s">
        <v>7</v>
      </c>
      <c r="G4" t="s">
        <v>8</v>
      </c>
      <c r="H4" t="s">
        <v>9</v>
      </c>
    </row>
    <row r="5" spans="1:8">
      <c r="A5" s="9" t="s">
        <v>53</v>
      </c>
      <c r="B5" s="185">
        <v>150642</v>
      </c>
      <c r="C5" s="6">
        <v>0</v>
      </c>
      <c r="D5" s="6">
        <v>150000</v>
      </c>
      <c r="E5" s="6">
        <v>150000</v>
      </c>
      <c r="F5" s="6">
        <v>0</v>
      </c>
      <c r="G5" s="6">
        <v>-642</v>
      </c>
      <c r="H5" s="6">
        <v>-642</v>
      </c>
    </row>
    <row r="6" spans="1:8">
      <c r="A6" s="187" t="s">
        <v>251</v>
      </c>
      <c r="B6" s="185">
        <v>150642</v>
      </c>
      <c r="C6" s="6">
        <v>0</v>
      </c>
      <c r="D6" s="6">
        <v>150000</v>
      </c>
      <c r="E6" s="6">
        <v>150000</v>
      </c>
      <c r="F6" s="6">
        <v>0</v>
      </c>
      <c r="G6" s="6">
        <v>-642</v>
      </c>
      <c r="H6" s="6">
        <v>-642</v>
      </c>
    </row>
    <row r="7" spans="1:8">
      <c r="A7" s="186" t="s">
        <v>10</v>
      </c>
      <c r="B7" s="185">
        <v>150642</v>
      </c>
      <c r="C7" s="6">
        <v>0</v>
      </c>
      <c r="D7" s="6">
        <v>150000</v>
      </c>
      <c r="E7" s="6">
        <v>150000</v>
      </c>
      <c r="F7" s="6">
        <v>0</v>
      </c>
      <c r="G7" s="6">
        <v>-642</v>
      </c>
      <c r="H7" s="6">
        <v>-642</v>
      </c>
    </row>
    <row r="8" spans="1:8">
      <c r="A8" s="9" t="s">
        <v>169</v>
      </c>
      <c r="B8" s="185">
        <v>191646</v>
      </c>
      <c r="C8" s="6">
        <v>42755.002500000002</v>
      </c>
      <c r="D8" s="6">
        <v>85510.005000000005</v>
      </c>
      <c r="E8" s="6">
        <v>128265.00749999999</v>
      </c>
      <c r="F8" s="6">
        <v>0</v>
      </c>
      <c r="G8" s="6">
        <v>-63380.992500000008</v>
      </c>
      <c r="H8" s="6">
        <v>-63380.992500000008</v>
      </c>
    </row>
    <row r="9" spans="1:8">
      <c r="A9" s="187" t="s">
        <v>252</v>
      </c>
      <c r="B9" s="185">
        <v>191646</v>
      </c>
      <c r="C9" s="6">
        <v>42755.002500000002</v>
      </c>
      <c r="D9" s="6">
        <v>85510.005000000005</v>
      </c>
      <c r="E9" s="6">
        <v>128265.00749999999</v>
      </c>
      <c r="F9" s="6">
        <v>0</v>
      </c>
      <c r="G9" s="6">
        <v>-63380.992500000008</v>
      </c>
      <c r="H9" s="6">
        <v>-63380.992500000008</v>
      </c>
    </row>
    <row r="10" spans="1:8">
      <c r="A10" s="186" t="s">
        <v>16</v>
      </c>
      <c r="B10" s="185">
        <v>191646</v>
      </c>
      <c r="C10" s="6">
        <v>42755.002500000002</v>
      </c>
      <c r="D10" s="6">
        <v>85510.005000000005</v>
      </c>
      <c r="E10" s="6">
        <v>128265.00749999999</v>
      </c>
      <c r="F10" s="6">
        <v>0</v>
      </c>
      <c r="G10" s="6">
        <v>-63380.992500000008</v>
      </c>
      <c r="H10" s="6">
        <v>-63380.992500000008</v>
      </c>
    </row>
    <row r="11" spans="1:8">
      <c r="A11" s="9" t="s">
        <v>194</v>
      </c>
      <c r="B11" s="185">
        <v>1778445.9000000001</v>
      </c>
      <c r="C11" s="6">
        <v>932336.00999999989</v>
      </c>
      <c r="D11" s="6">
        <v>932336.00999999989</v>
      </c>
      <c r="E11" s="6">
        <v>1864672.0199999998</v>
      </c>
      <c r="F11" s="6">
        <v>86226.119999999646</v>
      </c>
      <c r="G11" s="6">
        <v>0</v>
      </c>
      <c r="H11" s="6">
        <v>86226.119999999646</v>
      </c>
    </row>
    <row r="12" spans="1:8">
      <c r="A12" s="187" t="s">
        <v>252</v>
      </c>
      <c r="B12" s="185">
        <v>1778445.9000000001</v>
      </c>
      <c r="C12" s="6">
        <v>932336.00999999989</v>
      </c>
      <c r="D12" s="6">
        <v>932336.00999999989</v>
      </c>
      <c r="E12" s="6">
        <v>1864672.0199999998</v>
      </c>
      <c r="F12" s="6">
        <v>86226.119999999646</v>
      </c>
      <c r="G12" s="6">
        <v>0</v>
      </c>
      <c r="H12" s="6">
        <v>86226.119999999646</v>
      </c>
    </row>
    <row r="13" spans="1:8">
      <c r="A13" s="186" t="s">
        <v>16</v>
      </c>
      <c r="B13" s="185">
        <v>1778445.9000000001</v>
      </c>
      <c r="C13" s="6">
        <v>932336.00999999989</v>
      </c>
      <c r="D13" s="6">
        <v>932336.00999999989</v>
      </c>
      <c r="E13" s="6">
        <v>1864672.0199999998</v>
      </c>
      <c r="F13" s="6">
        <v>86226.119999999646</v>
      </c>
      <c r="G13" s="6">
        <v>0</v>
      </c>
      <c r="H13" s="6">
        <v>86226.119999999646</v>
      </c>
    </row>
    <row r="14" spans="1:8">
      <c r="A14" s="9" t="s">
        <v>107</v>
      </c>
      <c r="B14" s="185">
        <v>292</v>
      </c>
      <c r="C14" s="6">
        <v>0</v>
      </c>
      <c r="D14" s="6">
        <v>292</v>
      </c>
      <c r="E14" s="6">
        <v>292</v>
      </c>
      <c r="F14" s="6">
        <v>0</v>
      </c>
      <c r="G14" s="6">
        <v>0</v>
      </c>
      <c r="H14" s="6">
        <v>0</v>
      </c>
    </row>
    <row r="15" spans="1:8">
      <c r="A15" s="187" t="s">
        <v>252</v>
      </c>
      <c r="B15" s="185">
        <v>292</v>
      </c>
      <c r="C15" s="6">
        <v>0</v>
      </c>
      <c r="D15" s="6">
        <v>292</v>
      </c>
      <c r="E15" s="6">
        <v>292</v>
      </c>
      <c r="F15" s="6">
        <v>0</v>
      </c>
      <c r="G15" s="6">
        <v>0</v>
      </c>
      <c r="H15" s="6">
        <v>0</v>
      </c>
    </row>
    <row r="16" spans="1:8">
      <c r="A16" s="186" t="s">
        <v>12</v>
      </c>
      <c r="B16" s="185">
        <v>292</v>
      </c>
      <c r="C16" s="6">
        <v>0</v>
      </c>
      <c r="D16" s="6">
        <v>292</v>
      </c>
      <c r="E16" s="6">
        <v>292</v>
      </c>
      <c r="F16" s="6">
        <v>0</v>
      </c>
      <c r="G16" s="6">
        <v>0</v>
      </c>
      <c r="H16" s="6">
        <v>0</v>
      </c>
    </row>
    <row r="17" spans="1:8">
      <c r="A17" s="9" t="s">
        <v>111</v>
      </c>
      <c r="B17" s="185">
        <v>3721280</v>
      </c>
      <c r="C17" s="6">
        <v>1485626</v>
      </c>
      <c r="D17" s="6">
        <v>1881080</v>
      </c>
      <c r="E17" s="6">
        <v>3366706</v>
      </c>
      <c r="F17" s="6">
        <v>80783</v>
      </c>
      <c r="G17" s="6">
        <v>-435357</v>
      </c>
      <c r="H17" s="6">
        <v>-354574</v>
      </c>
    </row>
    <row r="18" spans="1:8">
      <c r="A18" s="187" t="s">
        <v>251</v>
      </c>
      <c r="B18" s="185">
        <v>3721280</v>
      </c>
      <c r="C18" s="6">
        <v>1485626</v>
      </c>
      <c r="D18" s="6">
        <v>1881080</v>
      </c>
      <c r="E18" s="6">
        <v>3366706</v>
      </c>
      <c r="F18" s="6">
        <v>80783</v>
      </c>
      <c r="G18" s="6">
        <v>-435357</v>
      </c>
      <c r="H18" s="6">
        <v>-354574</v>
      </c>
    </row>
    <row r="19" spans="1:8">
      <c r="A19" s="186" t="s">
        <v>13</v>
      </c>
      <c r="B19" s="185">
        <v>3721280</v>
      </c>
      <c r="C19" s="6">
        <v>1485626</v>
      </c>
      <c r="D19" s="6">
        <v>1881080</v>
      </c>
      <c r="E19" s="6">
        <v>3366706</v>
      </c>
      <c r="F19" s="6">
        <v>80783</v>
      </c>
      <c r="G19" s="6">
        <v>-435357</v>
      </c>
      <c r="H19" s="6">
        <v>-354574</v>
      </c>
    </row>
    <row r="20" spans="1:8">
      <c r="A20" s="9" t="s">
        <v>134</v>
      </c>
      <c r="B20" s="185">
        <v>100000</v>
      </c>
      <c r="C20" s="6">
        <v>54415</v>
      </c>
      <c r="D20" s="6">
        <v>45585</v>
      </c>
      <c r="E20" s="6">
        <v>100000</v>
      </c>
      <c r="F20" s="6">
        <v>0</v>
      </c>
      <c r="G20" s="6">
        <v>0</v>
      </c>
      <c r="H20" s="6">
        <v>0</v>
      </c>
    </row>
    <row r="21" spans="1:8">
      <c r="A21" s="187" t="s">
        <v>251</v>
      </c>
      <c r="B21" s="185">
        <v>100000</v>
      </c>
      <c r="C21" s="6">
        <v>54415</v>
      </c>
      <c r="D21" s="6">
        <v>45585</v>
      </c>
      <c r="E21" s="6">
        <v>100000</v>
      </c>
      <c r="F21" s="6">
        <v>0</v>
      </c>
      <c r="G21" s="6">
        <v>0</v>
      </c>
      <c r="H21" s="6">
        <v>0</v>
      </c>
    </row>
    <row r="22" spans="1:8">
      <c r="A22" s="186" t="s">
        <v>14</v>
      </c>
      <c r="B22" s="185">
        <v>100000</v>
      </c>
      <c r="C22" s="6">
        <v>54415</v>
      </c>
      <c r="D22" s="6">
        <v>45585</v>
      </c>
      <c r="E22" s="6">
        <v>100000</v>
      </c>
      <c r="F22" s="6">
        <v>0</v>
      </c>
      <c r="G22" s="6">
        <v>0</v>
      </c>
      <c r="H22" s="6">
        <v>0</v>
      </c>
    </row>
    <row r="23" spans="1:8">
      <c r="A23" s="9" t="s">
        <v>140</v>
      </c>
      <c r="B23" s="185">
        <v>4409</v>
      </c>
      <c r="C23" s="6">
        <v>4982.8</v>
      </c>
      <c r="D23" s="6">
        <v>0</v>
      </c>
      <c r="E23" s="6">
        <v>4982.8</v>
      </c>
      <c r="F23" s="6">
        <v>573.80000000000018</v>
      </c>
      <c r="G23" s="6">
        <v>0</v>
      </c>
      <c r="H23" s="6">
        <v>573.80000000000018</v>
      </c>
    </row>
    <row r="24" spans="1:8">
      <c r="A24" s="187" t="s">
        <v>252</v>
      </c>
      <c r="B24" s="185">
        <v>4409</v>
      </c>
      <c r="C24" s="6">
        <v>4982.8</v>
      </c>
      <c r="D24" s="6">
        <v>0</v>
      </c>
      <c r="E24" s="6">
        <v>4982.8</v>
      </c>
      <c r="F24" s="6">
        <v>573.80000000000018</v>
      </c>
      <c r="G24" s="6">
        <v>0</v>
      </c>
      <c r="H24" s="6">
        <v>573.80000000000018</v>
      </c>
    </row>
    <row r="25" spans="1:8">
      <c r="A25" s="186" t="s">
        <v>15</v>
      </c>
      <c r="B25" s="185">
        <v>4409</v>
      </c>
      <c r="C25" s="6">
        <v>4982.8</v>
      </c>
      <c r="D25" s="6">
        <v>0</v>
      </c>
      <c r="E25" s="6">
        <v>4982.8</v>
      </c>
      <c r="F25" s="6">
        <v>573.80000000000018</v>
      </c>
      <c r="G25" s="6">
        <v>0</v>
      </c>
      <c r="H25" s="6">
        <v>573.80000000000018</v>
      </c>
    </row>
    <row r="26" spans="1:8">
      <c r="A26" s="9" t="s">
        <v>77</v>
      </c>
      <c r="B26" s="185">
        <v>36345</v>
      </c>
      <c r="C26" s="6">
        <v>9883.380000000001</v>
      </c>
      <c r="D26" s="6">
        <v>27258.75</v>
      </c>
      <c r="E26" s="6">
        <v>37142.130000000005</v>
      </c>
      <c r="F26" s="6">
        <v>797.13000000000466</v>
      </c>
      <c r="G26" s="6">
        <v>0</v>
      </c>
      <c r="H26" s="6">
        <v>797.13000000000466</v>
      </c>
    </row>
    <row r="27" spans="1:8">
      <c r="A27" s="187" t="s">
        <v>252</v>
      </c>
      <c r="B27" s="185">
        <v>36345</v>
      </c>
      <c r="C27" s="6">
        <v>9883.380000000001</v>
      </c>
      <c r="D27" s="6">
        <v>27258.75</v>
      </c>
      <c r="E27" s="6">
        <v>37142.130000000005</v>
      </c>
      <c r="F27" s="6">
        <v>797.13000000000466</v>
      </c>
      <c r="G27" s="6">
        <v>0</v>
      </c>
      <c r="H27" s="6">
        <v>797.13000000000466</v>
      </c>
    </row>
    <row r="28" spans="1:8">
      <c r="A28" s="186" t="s">
        <v>12</v>
      </c>
      <c r="B28" s="185">
        <v>36345</v>
      </c>
      <c r="C28" s="6">
        <v>9883.380000000001</v>
      </c>
      <c r="D28" s="6">
        <v>27258.75</v>
      </c>
      <c r="E28" s="6">
        <v>37142.130000000005</v>
      </c>
      <c r="F28" s="6">
        <v>797.13000000000466</v>
      </c>
      <c r="G28" s="6">
        <v>0</v>
      </c>
      <c r="H28" s="6">
        <v>797.13000000000466</v>
      </c>
    </row>
    <row r="29" spans="1:8">
      <c r="A29" s="9" t="s">
        <v>79</v>
      </c>
      <c r="B29" s="185">
        <v>4230</v>
      </c>
      <c r="C29" s="6">
        <v>2223.4699999999998</v>
      </c>
      <c r="D29" s="6">
        <v>2112</v>
      </c>
      <c r="E29" s="6">
        <v>4335.47</v>
      </c>
      <c r="F29" s="6">
        <v>105.47000000000025</v>
      </c>
      <c r="G29" s="6">
        <v>0</v>
      </c>
      <c r="H29" s="6">
        <v>105.47000000000025</v>
      </c>
    </row>
    <row r="30" spans="1:8">
      <c r="A30" s="187" t="s">
        <v>252</v>
      </c>
      <c r="B30" s="185">
        <v>4230</v>
      </c>
      <c r="C30" s="6">
        <v>2223.4699999999998</v>
      </c>
      <c r="D30" s="6">
        <v>2112</v>
      </c>
      <c r="E30" s="6">
        <v>4335.47</v>
      </c>
      <c r="F30" s="6">
        <v>105.47000000000025</v>
      </c>
      <c r="G30" s="6">
        <v>0</v>
      </c>
      <c r="H30" s="6">
        <v>105.47000000000025</v>
      </c>
    </row>
    <row r="31" spans="1:8">
      <c r="A31" s="186" t="s">
        <v>12</v>
      </c>
      <c r="B31" s="185">
        <v>4230</v>
      </c>
      <c r="C31" s="6">
        <v>2223.4699999999998</v>
      </c>
      <c r="D31" s="6">
        <v>2112</v>
      </c>
      <c r="E31" s="6">
        <v>4335.47</v>
      </c>
      <c r="F31" s="6">
        <v>105.47000000000025</v>
      </c>
      <c r="G31" s="6">
        <v>0</v>
      </c>
      <c r="H31" s="6">
        <v>105.47000000000025</v>
      </c>
    </row>
    <row r="32" spans="1:8">
      <c r="A32" s="9" t="s">
        <v>81</v>
      </c>
      <c r="B32" s="185">
        <v>2863</v>
      </c>
      <c r="C32" s="6">
        <v>0</v>
      </c>
      <c r="D32" s="6">
        <v>2863</v>
      </c>
      <c r="E32" s="6">
        <v>2863</v>
      </c>
      <c r="F32" s="6">
        <v>0</v>
      </c>
      <c r="G32" s="6">
        <v>0</v>
      </c>
      <c r="H32" s="6">
        <v>0</v>
      </c>
    </row>
    <row r="33" spans="1:8">
      <c r="A33" s="187" t="s">
        <v>252</v>
      </c>
      <c r="B33" s="185">
        <v>2863</v>
      </c>
      <c r="C33" s="6">
        <v>0</v>
      </c>
      <c r="D33" s="6">
        <v>2863</v>
      </c>
      <c r="E33" s="6">
        <v>2863</v>
      </c>
      <c r="F33" s="6">
        <v>0</v>
      </c>
      <c r="G33" s="6">
        <v>0</v>
      </c>
      <c r="H33" s="6">
        <v>0</v>
      </c>
    </row>
    <row r="34" spans="1:8">
      <c r="A34" s="186" t="s">
        <v>12</v>
      </c>
      <c r="B34" s="185">
        <v>2863</v>
      </c>
      <c r="C34" s="6">
        <v>0</v>
      </c>
      <c r="D34" s="6">
        <v>2863</v>
      </c>
      <c r="E34" s="6">
        <v>2863</v>
      </c>
      <c r="F34" s="6">
        <v>0</v>
      </c>
      <c r="G34" s="6">
        <v>0</v>
      </c>
      <c r="H34" s="6">
        <v>0</v>
      </c>
    </row>
    <row r="35" spans="1:8">
      <c r="A35" s="9" t="s">
        <v>142</v>
      </c>
      <c r="B35" s="185">
        <v>14886</v>
      </c>
      <c r="C35" s="6">
        <v>6532.48</v>
      </c>
      <c r="D35" s="6">
        <v>6532.56</v>
      </c>
      <c r="E35" s="6">
        <v>13065.04</v>
      </c>
      <c r="F35" s="6">
        <v>0</v>
      </c>
      <c r="G35" s="6">
        <v>-1820.9599999999991</v>
      </c>
      <c r="H35" s="6">
        <v>-1820.9599999999991</v>
      </c>
    </row>
    <row r="36" spans="1:8">
      <c r="A36" s="187" t="s">
        <v>252</v>
      </c>
      <c r="B36" s="185">
        <v>14886</v>
      </c>
      <c r="C36" s="6">
        <v>6532.48</v>
      </c>
      <c r="D36" s="6">
        <v>6532.56</v>
      </c>
      <c r="E36" s="6">
        <v>13065.04</v>
      </c>
      <c r="F36" s="6">
        <v>0</v>
      </c>
      <c r="G36" s="6">
        <v>-1820.9599999999991</v>
      </c>
      <c r="H36" s="6">
        <v>-1820.9599999999991</v>
      </c>
    </row>
    <row r="37" spans="1:8">
      <c r="A37" s="186" t="s">
        <v>15</v>
      </c>
      <c r="B37" s="185">
        <v>14886</v>
      </c>
      <c r="C37" s="6">
        <v>6532.48</v>
      </c>
      <c r="D37" s="6">
        <v>6532.56</v>
      </c>
      <c r="E37" s="6">
        <v>13065.04</v>
      </c>
      <c r="F37" s="6">
        <v>0</v>
      </c>
      <c r="G37" s="6">
        <v>-1820.9599999999991</v>
      </c>
      <c r="H37" s="6">
        <v>-1820.9599999999991</v>
      </c>
    </row>
    <row r="38" spans="1:8">
      <c r="A38" s="9" t="s">
        <v>219</v>
      </c>
      <c r="B38" s="185">
        <v>1211114.9924999999</v>
      </c>
      <c r="C38" s="6">
        <v>734338.64000000013</v>
      </c>
      <c r="D38" s="6">
        <v>476776.06</v>
      </c>
      <c r="E38" s="6">
        <v>1211114.7</v>
      </c>
      <c r="F38" s="6">
        <v>0</v>
      </c>
      <c r="G38" s="6">
        <v>-0.29249999998137355</v>
      </c>
      <c r="H38" s="6">
        <v>-0.29249999998137355</v>
      </c>
    </row>
    <row r="39" spans="1:8">
      <c r="A39" s="187" t="s">
        <v>252</v>
      </c>
      <c r="B39" s="185">
        <v>1211114.9924999999</v>
      </c>
      <c r="C39" s="6">
        <v>734338.64000000013</v>
      </c>
      <c r="D39" s="6">
        <v>476776.06</v>
      </c>
      <c r="E39" s="6">
        <v>1211114.7</v>
      </c>
      <c r="F39" s="6">
        <v>0</v>
      </c>
      <c r="G39" s="6">
        <v>-0.29249999998137355</v>
      </c>
      <c r="H39" s="6">
        <v>-0.29249999998137355</v>
      </c>
    </row>
    <row r="40" spans="1:8">
      <c r="A40" s="186" t="s">
        <v>16</v>
      </c>
      <c r="B40" s="185">
        <v>1211114.9924999999</v>
      </c>
      <c r="C40" s="6">
        <v>734338.64000000013</v>
      </c>
      <c r="D40" s="6">
        <v>476776.06</v>
      </c>
      <c r="E40" s="6">
        <v>1211114.7</v>
      </c>
      <c r="F40" s="6">
        <v>0</v>
      </c>
      <c r="G40" s="6">
        <v>-0.29249999998137355</v>
      </c>
      <c r="H40" s="6">
        <v>-0.29249999998137355</v>
      </c>
    </row>
    <row r="41" spans="1:8">
      <c r="A41" s="9" t="s">
        <v>227</v>
      </c>
      <c r="B41" s="185">
        <v>50400</v>
      </c>
      <c r="C41" s="6">
        <v>0</v>
      </c>
      <c r="D41" s="6">
        <v>50400</v>
      </c>
      <c r="E41" s="6">
        <v>50400</v>
      </c>
      <c r="F41" s="6">
        <v>0</v>
      </c>
      <c r="G41" s="6">
        <v>0</v>
      </c>
      <c r="H41" s="6">
        <v>0</v>
      </c>
    </row>
    <row r="42" spans="1:8">
      <c r="A42" s="187" t="s">
        <v>252</v>
      </c>
      <c r="B42" s="185">
        <v>50400</v>
      </c>
      <c r="C42" s="6">
        <v>0</v>
      </c>
      <c r="D42" s="6">
        <v>50400</v>
      </c>
      <c r="E42" s="6">
        <v>50400</v>
      </c>
      <c r="F42" s="6">
        <v>0</v>
      </c>
      <c r="G42" s="6">
        <v>0</v>
      </c>
      <c r="H42" s="6">
        <v>0</v>
      </c>
    </row>
    <row r="43" spans="1:8">
      <c r="A43" s="186" t="s">
        <v>16</v>
      </c>
      <c r="B43" s="185">
        <v>50400</v>
      </c>
      <c r="C43" s="6">
        <v>0</v>
      </c>
      <c r="D43" s="6">
        <v>50400</v>
      </c>
      <c r="E43" s="6">
        <v>50400</v>
      </c>
      <c r="F43" s="6">
        <v>0</v>
      </c>
      <c r="G43" s="6">
        <v>0</v>
      </c>
      <c r="H43" s="6">
        <v>0</v>
      </c>
    </row>
    <row r="44" spans="1:8">
      <c r="A44" s="9" t="s">
        <v>137</v>
      </c>
      <c r="B44" s="185">
        <v>131625</v>
      </c>
      <c r="C44" s="6">
        <v>80609.25</v>
      </c>
      <c r="D44" s="6">
        <v>48600</v>
      </c>
      <c r="E44" s="6">
        <v>129209.25</v>
      </c>
      <c r="F44" s="6">
        <v>0</v>
      </c>
      <c r="G44" s="6">
        <v>-2415.75</v>
      </c>
      <c r="H44" s="6">
        <v>-2415.75</v>
      </c>
    </row>
    <row r="45" spans="1:8">
      <c r="A45" s="187" t="s">
        <v>252</v>
      </c>
      <c r="B45" s="185">
        <v>131625</v>
      </c>
      <c r="C45" s="6">
        <v>80609.25</v>
      </c>
      <c r="D45" s="6">
        <v>48600</v>
      </c>
      <c r="E45" s="6">
        <v>129209.25</v>
      </c>
      <c r="F45" s="6">
        <v>0</v>
      </c>
      <c r="G45" s="6">
        <v>-2415.75</v>
      </c>
      <c r="H45" s="6">
        <v>-2415.75</v>
      </c>
    </row>
    <row r="46" spans="1:8">
      <c r="A46" s="186" t="s">
        <v>14</v>
      </c>
      <c r="B46" s="185">
        <v>32400</v>
      </c>
      <c r="C46" s="6">
        <v>32009.25</v>
      </c>
      <c r="D46" s="6">
        <v>0</v>
      </c>
      <c r="E46" s="6">
        <v>32009.25</v>
      </c>
      <c r="F46" s="6">
        <v>0</v>
      </c>
      <c r="G46" s="6">
        <v>-390.75</v>
      </c>
      <c r="H46" s="6">
        <v>-390.75</v>
      </c>
    </row>
    <row r="47" spans="1:8">
      <c r="A47" s="186" t="s">
        <v>16</v>
      </c>
      <c r="B47" s="185">
        <v>99225</v>
      </c>
      <c r="C47" s="6">
        <v>48600</v>
      </c>
      <c r="D47" s="6">
        <v>48600</v>
      </c>
      <c r="E47" s="6">
        <v>97200</v>
      </c>
      <c r="F47" s="6">
        <v>0</v>
      </c>
      <c r="G47" s="6">
        <v>-2025</v>
      </c>
      <c r="H47" s="6">
        <v>-2025</v>
      </c>
    </row>
    <row r="48" spans="1:8">
      <c r="A48" s="9" t="s">
        <v>72</v>
      </c>
      <c r="B48" s="185">
        <v>1555160.9220000003</v>
      </c>
      <c r="C48" s="6">
        <v>89732.06</v>
      </c>
      <c r="D48" s="6">
        <v>1518523.4540833333</v>
      </c>
      <c r="E48" s="6">
        <v>1608255.5140833335</v>
      </c>
      <c r="F48" s="6">
        <v>76393.208749999991</v>
      </c>
      <c r="G48" s="6">
        <v>-23298.616666666665</v>
      </c>
      <c r="H48" s="6">
        <v>53094.592083333315</v>
      </c>
    </row>
    <row r="49" spans="1:8">
      <c r="A49" s="187" t="s">
        <v>252</v>
      </c>
      <c r="B49" s="185">
        <v>1555160.9220000003</v>
      </c>
      <c r="C49" s="6">
        <v>89732.06</v>
      </c>
      <c r="D49" s="6">
        <v>1518523.4540833333</v>
      </c>
      <c r="E49" s="6">
        <v>1608255.5140833335</v>
      </c>
      <c r="F49" s="6">
        <v>76393.208749999991</v>
      </c>
      <c r="G49" s="6">
        <v>-23298.616666666665</v>
      </c>
      <c r="H49" s="6">
        <v>53094.592083333315</v>
      </c>
    </row>
    <row r="50" spans="1:8">
      <c r="A50" s="186" t="s">
        <v>11</v>
      </c>
      <c r="B50" s="185">
        <v>34646</v>
      </c>
      <c r="C50" s="6">
        <v>2244.52</v>
      </c>
      <c r="D50" s="6">
        <v>98097.333333333328</v>
      </c>
      <c r="E50" s="6">
        <v>100341.85333333333</v>
      </c>
      <c r="F50" s="6">
        <v>75000</v>
      </c>
      <c r="G50" s="6">
        <v>-9304.1466666666638</v>
      </c>
      <c r="H50" s="6">
        <v>65695.853333333333</v>
      </c>
    </row>
    <row r="51" spans="1:8">
      <c r="A51" s="186" t="s">
        <v>12</v>
      </c>
      <c r="B51" s="185">
        <v>174375</v>
      </c>
      <c r="C51" s="6">
        <v>66030.84</v>
      </c>
      <c r="D51" s="6">
        <v>94350</v>
      </c>
      <c r="E51" s="6">
        <v>160380.84000000003</v>
      </c>
      <c r="F51" s="6">
        <v>0</v>
      </c>
      <c r="G51" s="6">
        <v>-13994.159999999974</v>
      </c>
      <c r="H51" s="6">
        <v>-13994.159999999974</v>
      </c>
    </row>
    <row r="52" spans="1:8">
      <c r="A52" s="186" t="s">
        <v>16</v>
      </c>
      <c r="B52" s="185">
        <v>1346139.9220000003</v>
      </c>
      <c r="C52" s="6">
        <v>21456.699999999997</v>
      </c>
      <c r="D52" s="6">
        <v>1326076.12075</v>
      </c>
      <c r="E52" s="6">
        <v>1347532.8207500002</v>
      </c>
      <c r="F52" s="6">
        <v>1393.2087499999834</v>
      </c>
      <c r="G52" s="6">
        <v>-0.31000000002768502</v>
      </c>
      <c r="H52" s="6">
        <v>1392.8987499999557</v>
      </c>
    </row>
    <row r="53" spans="1:8">
      <c r="A53" s="9" t="s">
        <v>84</v>
      </c>
      <c r="B53" s="185">
        <v>1674</v>
      </c>
      <c r="C53" s="6">
        <v>0</v>
      </c>
      <c r="D53" s="6">
        <v>0</v>
      </c>
      <c r="E53" s="6">
        <v>0</v>
      </c>
      <c r="F53" s="6">
        <v>0</v>
      </c>
      <c r="G53" s="6">
        <v>-1674</v>
      </c>
      <c r="H53" s="6">
        <v>-1674</v>
      </c>
    </row>
    <row r="54" spans="1:8">
      <c r="A54" s="187" t="s">
        <v>252</v>
      </c>
      <c r="B54" s="185">
        <v>1674</v>
      </c>
      <c r="C54" s="6">
        <v>0</v>
      </c>
      <c r="D54" s="6">
        <v>0</v>
      </c>
      <c r="E54" s="6">
        <v>0</v>
      </c>
      <c r="F54" s="6">
        <v>0</v>
      </c>
      <c r="G54" s="6">
        <v>-1674</v>
      </c>
      <c r="H54" s="6">
        <v>-1674</v>
      </c>
    </row>
    <row r="55" spans="1:8">
      <c r="A55" s="186" t="s">
        <v>12</v>
      </c>
      <c r="B55" s="185">
        <v>1674</v>
      </c>
      <c r="C55" s="6">
        <v>0</v>
      </c>
      <c r="D55" s="6">
        <v>0</v>
      </c>
      <c r="E55" s="6">
        <v>0</v>
      </c>
      <c r="F55" s="6">
        <v>0</v>
      </c>
      <c r="G55" s="6">
        <v>-1674</v>
      </c>
      <c r="H55" s="6">
        <v>-1674</v>
      </c>
    </row>
    <row r="56" spans="1:8">
      <c r="A56" s="9" t="s">
        <v>157</v>
      </c>
      <c r="B56" s="185">
        <v>236250</v>
      </c>
      <c r="C56" s="6">
        <v>0</v>
      </c>
      <c r="D56" s="6">
        <v>236250</v>
      </c>
      <c r="E56" s="6">
        <v>236250</v>
      </c>
      <c r="F56" s="6">
        <v>0</v>
      </c>
      <c r="G56" s="6">
        <v>0</v>
      </c>
      <c r="H56" s="6">
        <v>0</v>
      </c>
    </row>
    <row r="57" spans="1:8">
      <c r="A57" s="187" t="s">
        <v>252</v>
      </c>
      <c r="B57" s="185">
        <v>236250</v>
      </c>
      <c r="C57" s="6">
        <v>0</v>
      </c>
      <c r="D57" s="6">
        <v>236250</v>
      </c>
      <c r="E57" s="6">
        <v>236250</v>
      </c>
      <c r="F57" s="6">
        <v>0</v>
      </c>
      <c r="G57" s="6">
        <v>0</v>
      </c>
      <c r="H57" s="6">
        <v>0</v>
      </c>
    </row>
    <row r="58" spans="1:8">
      <c r="A58" s="186" t="s">
        <v>15</v>
      </c>
      <c r="B58" s="185">
        <v>236250</v>
      </c>
      <c r="C58" s="6">
        <v>0</v>
      </c>
      <c r="D58" s="6">
        <v>236250</v>
      </c>
      <c r="E58" s="6">
        <v>236250</v>
      </c>
      <c r="F58" s="6">
        <v>0</v>
      </c>
      <c r="G58" s="6">
        <v>0</v>
      </c>
      <c r="H58" s="6">
        <v>0</v>
      </c>
    </row>
    <row r="59" spans="1:8">
      <c r="A59" s="9" t="s">
        <v>230</v>
      </c>
      <c r="B59" s="185">
        <v>32760</v>
      </c>
      <c r="C59" s="6">
        <v>0</v>
      </c>
      <c r="D59" s="6">
        <v>32760</v>
      </c>
      <c r="E59" s="6">
        <v>32760</v>
      </c>
      <c r="F59" s="6">
        <v>0</v>
      </c>
      <c r="G59" s="6">
        <v>0</v>
      </c>
      <c r="H59" s="6">
        <v>0</v>
      </c>
    </row>
    <row r="60" spans="1:8">
      <c r="A60" s="187" t="s">
        <v>252</v>
      </c>
      <c r="B60" s="185">
        <v>32760</v>
      </c>
      <c r="C60" s="6">
        <v>0</v>
      </c>
      <c r="D60" s="6">
        <v>32760</v>
      </c>
      <c r="E60" s="6">
        <v>32760</v>
      </c>
      <c r="F60" s="6">
        <v>0</v>
      </c>
      <c r="G60" s="6">
        <v>0</v>
      </c>
      <c r="H60" s="6">
        <v>0</v>
      </c>
    </row>
    <row r="61" spans="1:8">
      <c r="A61" s="186" t="s">
        <v>16</v>
      </c>
      <c r="B61" s="185">
        <v>32760</v>
      </c>
      <c r="C61" s="6">
        <v>0</v>
      </c>
      <c r="D61" s="6">
        <v>32760</v>
      </c>
      <c r="E61" s="6">
        <v>32760</v>
      </c>
      <c r="F61" s="6">
        <v>0</v>
      </c>
      <c r="G61" s="6">
        <v>0</v>
      </c>
      <c r="H61" s="6">
        <v>0</v>
      </c>
    </row>
    <row r="62" spans="1:8">
      <c r="A62" s="9" t="s">
        <v>171</v>
      </c>
      <c r="B62" s="185">
        <v>10080</v>
      </c>
      <c r="C62" s="6">
        <v>4800</v>
      </c>
      <c r="D62" s="6">
        <v>5280</v>
      </c>
      <c r="E62" s="6">
        <v>10080</v>
      </c>
      <c r="F62" s="6">
        <v>0</v>
      </c>
      <c r="G62" s="6">
        <v>0</v>
      </c>
      <c r="H62" s="6">
        <v>0</v>
      </c>
    </row>
    <row r="63" spans="1:8">
      <c r="A63" s="187" t="s">
        <v>252</v>
      </c>
      <c r="B63" s="185">
        <v>10080</v>
      </c>
      <c r="C63" s="6">
        <v>4800</v>
      </c>
      <c r="D63" s="6">
        <v>5280</v>
      </c>
      <c r="E63" s="6">
        <v>10080</v>
      </c>
      <c r="F63" s="6">
        <v>0</v>
      </c>
      <c r="G63" s="6">
        <v>0</v>
      </c>
      <c r="H63" s="6">
        <v>0</v>
      </c>
    </row>
    <row r="64" spans="1:8">
      <c r="A64" s="186" t="s">
        <v>16</v>
      </c>
      <c r="B64" s="185">
        <v>10080</v>
      </c>
      <c r="C64" s="6">
        <v>4800</v>
      </c>
      <c r="D64" s="6">
        <v>5280</v>
      </c>
      <c r="E64" s="6">
        <v>10080</v>
      </c>
      <c r="F64" s="6">
        <v>0</v>
      </c>
      <c r="G64" s="6">
        <v>0</v>
      </c>
      <c r="H64" s="6">
        <v>0</v>
      </c>
    </row>
    <row r="65" spans="1:8">
      <c r="A65" s="9" t="s">
        <v>173</v>
      </c>
      <c r="B65" s="185">
        <v>139684</v>
      </c>
      <c r="C65" s="6">
        <v>69842</v>
      </c>
      <c r="D65" s="6">
        <v>69842</v>
      </c>
      <c r="E65" s="6">
        <v>139683.99999999997</v>
      </c>
      <c r="F65" s="6">
        <v>0</v>
      </c>
      <c r="G65" s="6">
        <v>-2.9103830456733704E-11</v>
      </c>
      <c r="H65" s="6">
        <v>-2.9103830456733704E-11</v>
      </c>
    </row>
    <row r="66" spans="1:8">
      <c r="A66" s="187" t="s">
        <v>252</v>
      </c>
      <c r="B66" s="185">
        <v>139684</v>
      </c>
      <c r="C66" s="6">
        <v>69842</v>
      </c>
      <c r="D66" s="6">
        <v>69842</v>
      </c>
      <c r="E66" s="6">
        <v>139683.99999999997</v>
      </c>
      <c r="F66" s="6">
        <v>0</v>
      </c>
      <c r="G66" s="6">
        <v>-2.9103830456733704E-11</v>
      </c>
      <c r="H66" s="6">
        <v>-2.9103830456733704E-11</v>
      </c>
    </row>
    <row r="67" spans="1:8">
      <c r="A67" s="186" t="s">
        <v>16</v>
      </c>
      <c r="B67" s="185">
        <v>139684</v>
      </c>
      <c r="C67" s="6">
        <v>69842</v>
      </c>
      <c r="D67" s="6">
        <v>69842</v>
      </c>
      <c r="E67" s="6">
        <v>139683.99999999997</v>
      </c>
      <c r="F67" s="6">
        <v>0</v>
      </c>
      <c r="G67" s="6">
        <v>-2.9103830456733704E-11</v>
      </c>
      <c r="H67" s="6">
        <v>-2.9103830456733704E-11</v>
      </c>
    </row>
    <row r="68" spans="1:8">
      <c r="A68" s="9" t="s">
        <v>232</v>
      </c>
      <c r="B68" s="185">
        <v>3150</v>
      </c>
      <c r="C68" s="6">
        <v>0</v>
      </c>
      <c r="D68" s="6">
        <v>3150</v>
      </c>
      <c r="E68" s="6">
        <v>3150</v>
      </c>
      <c r="F68" s="6">
        <v>0</v>
      </c>
      <c r="G68" s="6">
        <v>0</v>
      </c>
      <c r="H68" s="6">
        <v>0</v>
      </c>
    </row>
    <row r="69" spans="1:8">
      <c r="A69" s="187" t="s">
        <v>252</v>
      </c>
      <c r="B69" s="185">
        <v>3150</v>
      </c>
      <c r="C69" s="6">
        <v>0</v>
      </c>
      <c r="D69" s="6">
        <v>3150</v>
      </c>
      <c r="E69" s="6">
        <v>3150</v>
      </c>
      <c r="F69" s="6">
        <v>0</v>
      </c>
      <c r="G69" s="6">
        <v>0</v>
      </c>
      <c r="H69" s="6">
        <v>0</v>
      </c>
    </row>
    <row r="70" spans="1:8">
      <c r="A70" s="186" t="s">
        <v>16</v>
      </c>
      <c r="B70" s="185">
        <v>3150</v>
      </c>
      <c r="C70" s="6">
        <v>0</v>
      </c>
      <c r="D70" s="6">
        <v>3150</v>
      </c>
      <c r="E70" s="6">
        <v>3150</v>
      </c>
      <c r="F70" s="6">
        <v>0</v>
      </c>
      <c r="G70" s="6">
        <v>0</v>
      </c>
      <c r="H70" s="6">
        <v>0</v>
      </c>
    </row>
    <row r="71" spans="1:8">
      <c r="A71" s="9" t="s">
        <v>196</v>
      </c>
      <c r="B71" s="185">
        <v>0</v>
      </c>
      <c r="C71" s="6">
        <v>92000</v>
      </c>
      <c r="D71" s="6">
        <v>10000</v>
      </c>
      <c r="E71" s="6">
        <v>102000</v>
      </c>
      <c r="F71" s="6">
        <v>102000</v>
      </c>
      <c r="G71" s="6">
        <v>0</v>
      </c>
      <c r="H71" s="6">
        <v>102000</v>
      </c>
    </row>
    <row r="72" spans="1:8">
      <c r="A72" s="187" t="s">
        <v>252</v>
      </c>
      <c r="B72" s="185">
        <v>0</v>
      </c>
      <c r="C72" s="6">
        <v>92000</v>
      </c>
      <c r="D72" s="6">
        <v>10000</v>
      </c>
      <c r="E72" s="6">
        <v>102000</v>
      </c>
      <c r="F72" s="6">
        <v>102000</v>
      </c>
      <c r="G72" s="6">
        <v>0</v>
      </c>
      <c r="H72" s="6">
        <v>102000</v>
      </c>
    </row>
    <row r="73" spans="1:8">
      <c r="A73" s="186" t="s">
        <v>16</v>
      </c>
      <c r="B73" s="185">
        <v>0</v>
      </c>
      <c r="C73" s="6">
        <v>92000</v>
      </c>
      <c r="D73" s="6">
        <v>10000</v>
      </c>
      <c r="E73" s="6">
        <v>102000</v>
      </c>
      <c r="F73" s="6">
        <v>102000</v>
      </c>
      <c r="G73" s="6">
        <v>0</v>
      </c>
      <c r="H73" s="6">
        <v>102000</v>
      </c>
    </row>
    <row r="74" spans="1:8">
      <c r="A74" s="9" t="s">
        <v>41</v>
      </c>
      <c r="B74" s="185">
        <v>3639747.1</v>
      </c>
      <c r="C74" s="6">
        <v>1815780.5599999998</v>
      </c>
      <c r="D74" s="6">
        <v>1938030</v>
      </c>
      <c r="E74" s="6">
        <v>3753810.56</v>
      </c>
      <c r="F74" s="6">
        <v>209243.91999999993</v>
      </c>
      <c r="G74" s="6">
        <v>-95180.46</v>
      </c>
      <c r="H74" s="6">
        <v>114063.45999999992</v>
      </c>
    </row>
    <row r="75" spans="1:8">
      <c r="A75" s="187" t="s">
        <v>251</v>
      </c>
      <c r="B75" s="185">
        <v>3538903</v>
      </c>
      <c r="C75" s="6">
        <v>1719738.92</v>
      </c>
      <c r="D75" s="6">
        <v>1938030</v>
      </c>
      <c r="E75" s="6">
        <v>3657768.92</v>
      </c>
      <c r="F75" s="6">
        <v>209243.91999999993</v>
      </c>
      <c r="G75" s="6">
        <v>-90378</v>
      </c>
      <c r="H75" s="6">
        <v>118865.91999999993</v>
      </c>
    </row>
    <row r="76" spans="1:8">
      <c r="A76" s="186" t="s">
        <v>10</v>
      </c>
      <c r="B76" s="185">
        <v>21276</v>
      </c>
      <c r="C76" s="6">
        <v>0</v>
      </c>
      <c r="D76" s="6">
        <v>0</v>
      </c>
      <c r="E76" s="6">
        <v>0</v>
      </c>
      <c r="F76" s="6">
        <v>0</v>
      </c>
      <c r="G76" s="6">
        <v>-21276</v>
      </c>
      <c r="H76" s="6">
        <v>-21276</v>
      </c>
    </row>
    <row r="77" spans="1:8">
      <c r="A77" s="186" t="s">
        <v>13</v>
      </c>
      <c r="B77" s="185">
        <v>1327880</v>
      </c>
      <c r="C77" s="6">
        <v>706461.91999999993</v>
      </c>
      <c r="D77" s="6">
        <v>709560</v>
      </c>
      <c r="E77" s="6">
        <v>1416021.92</v>
      </c>
      <c r="F77" s="6">
        <v>157243.91999999993</v>
      </c>
      <c r="G77" s="6">
        <v>-69102</v>
      </c>
      <c r="H77" s="6">
        <v>88141.919999999925</v>
      </c>
    </row>
    <row r="78" spans="1:8">
      <c r="A78" s="186" t="s">
        <v>14</v>
      </c>
      <c r="B78" s="185">
        <v>2189747</v>
      </c>
      <c r="C78" s="6">
        <v>1013277</v>
      </c>
      <c r="D78" s="6">
        <v>1228470</v>
      </c>
      <c r="E78" s="6">
        <v>2241747</v>
      </c>
      <c r="F78" s="6">
        <v>52000</v>
      </c>
      <c r="G78" s="6">
        <v>0</v>
      </c>
      <c r="H78" s="6">
        <v>52000</v>
      </c>
    </row>
    <row r="79" spans="1:8">
      <c r="A79" s="187" t="s">
        <v>252</v>
      </c>
      <c r="B79" s="185">
        <v>100844.1</v>
      </c>
      <c r="C79" s="6">
        <v>96041.64</v>
      </c>
      <c r="D79" s="6">
        <v>0</v>
      </c>
      <c r="E79" s="6">
        <v>96041.64</v>
      </c>
      <c r="F79" s="6">
        <v>0</v>
      </c>
      <c r="G79" s="6">
        <v>-4802.4600000000064</v>
      </c>
      <c r="H79" s="6">
        <v>-4802.4600000000064</v>
      </c>
    </row>
    <row r="80" spans="1:8">
      <c r="A80" s="186" t="s">
        <v>16</v>
      </c>
      <c r="B80" s="185">
        <v>100844.1</v>
      </c>
      <c r="C80" s="6">
        <v>96041.64</v>
      </c>
      <c r="D80" s="6">
        <v>0</v>
      </c>
      <c r="E80" s="6">
        <v>96041.64</v>
      </c>
      <c r="F80" s="6">
        <v>0</v>
      </c>
      <c r="G80" s="6">
        <v>-4802.4600000000064</v>
      </c>
      <c r="H80" s="6">
        <v>-4802.4600000000064</v>
      </c>
    </row>
    <row r="81" spans="1:8">
      <c r="A81" s="9" t="s">
        <v>86</v>
      </c>
      <c r="B81" s="185">
        <v>7043</v>
      </c>
      <c r="C81" s="6">
        <v>3725.33</v>
      </c>
      <c r="D81" s="6">
        <v>3521</v>
      </c>
      <c r="E81" s="6">
        <v>7246.3300000000008</v>
      </c>
      <c r="F81" s="6">
        <v>203.33000000000084</v>
      </c>
      <c r="G81" s="6">
        <v>0</v>
      </c>
      <c r="H81" s="6">
        <v>203.33000000000084</v>
      </c>
    </row>
    <row r="82" spans="1:8">
      <c r="A82" s="187" t="s">
        <v>252</v>
      </c>
      <c r="B82" s="185">
        <v>7043</v>
      </c>
      <c r="C82" s="6">
        <v>3725.33</v>
      </c>
      <c r="D82" s="6">
        <v>3521</v>
      </c>
      <c r="E82" s="6">
        <v>7246.3300000000008</v>
      </c>
      <c r="F82" s="6">
        <v>203.33000000000084</v>
      </c>
      <c r="G82" s="6">
        <v>0</v>
      </c>
      <c r="H82" s="6">
        <v>203.33000000000084</v>
      </c>
    </row>
    <row r="83" spans="1:8">
      <c r="A83" s="186" t="s">
        <v>12</v>
      </c>
      <c r="B83" s="185">
        <v>7043</v>
      </c>
      <c r="C83" s="6">
        <v>3725.33</v>
      </c>
      <c r="D83" s="6">
        <v>3521</v>
      </c>
      <c r="E83" s="6">
        <v>7246.3300000000008</v>
      </c>
      <c r="F83" s="6">
        <v>203.33000000000084</v>
      </c>
      <c r="G83" s="6">
        <v>0</v>
      </c>
      <c r="H83" s="6">
        <v>203.33000000000084</v>
      </c>
    </row>
    <row r="84" spans="1:8">
      <c r="A84" s="9" t="s">
        <v>88</v>
      </c>
      <c r="B84" s="185">
        <v>35314</v>
      </c>
      <c r="C84" s="6">
        <v>18056.259999999998</v>
      </c>
      <c r="D84" s="6">
        <v>17656</v>
      </c>
      <c r="E84" s="6">
        <v>35712.259999999995</v>
      </c>
      <c r="F84" s="6">
        <v>398.25999999999476</v>
      </c>
      <c r="G84" s="6">
        <v>0</v>
      </c>
      <c r="H84" s="6">
        <v>398.25999999999476</v>
      </c>
    </row>
    <row r="85" spans="1:8">
      <c r="A85" s="187" t="s">
        <v>252</v>
      </c>
      <c r="B85" s="185">
        <v>35314</v>
      </c>
      <c r="C85" s="6">
        <v>18056.259999999998</v>
      </c>
      <c r="D85" s="6">
        <v>17656</v>
      </c>
      <c r="E85" s="6">
        <v>35712.259999999995</v>
      </c>
      <c r="F85" s="6">
        <v>398.25999999999476</v>
      </c>
      <c r="G85" s="6">
        <v>0</v>
      </c>
      <c r="H85" s="6">
        <v>398.25999999999476</v>
      </c>
    </row>
    <row r="86" spans="1:8">
      <c r="A86" s="186" t="s">
        <v>12</v>
      </c>
      <c r="B86" s="185">
        <v>35314</v>
      </c>
      <c r="C86" s="6">
        <v>18056.259999999998</v>
      </c>
      <c r="D86" s="6">
        <v>17656</v>
      </c>
      <c r="E86" s="6">
        <v>35712.259999999995</v>
      </c>
      <c r="F86" s="6">
        <v>398.25999999999476</v>
      </c>
      <c r="G86" s="6">
        <v>0</v>
      </c>
      <c r="H86" s="6">
        <v>398.25999999999476</v>
      </c>
    </row>
    <row r="87" spans="1:8">
      <c r="A87" s="9" t="s">
        <v>125</v>
      </c>
      <c r="B87" s="185">
        <v>218880</v>
      </c>
      <c r="C87" s="6">
        <v>104516</v>
      </c>
      <c r="D87" s="6">
        <v>109440</v>
      </c>
      <c r="E87" s="6">
        <v>213956</v>
      </c>
      <c r="F87" s="6">
        <v>0</v>
      </c>
      <c r="G87" s="6">
        <v>-4924</v>
      </c>
      <c r="H87" s="6">
        <v>-4924</v>
      </c>
    </row>
    <row r="88" spans="1:8">
      <c r="A88" s="187" t="s">
        <v>251</v>
      </c>
      <c r="B88" s="185">
        <v>218880</v>
      </c>
      <c r="C88" s="6">
        <v>104516</v>
      </c>
      <c r="D88" s="6">
        <v>109440</v>
      </c>
      <c r="E88" s="6">
        <v>213956</v>
      </c>
      <c r="F88" s="6">
        <v>0</v>
      </c>
      <c r="G88" s="6">
        <v>-4924</v>
      </c>
      <c r="H88" s="6">
        <v>-4924</v>
      </c>
    </row>
    <row r="89" spans="1:8">
      <c r="A89" s="186" t="s">
        <v>13</v>
      </c>
      <c r="B89" s="185">
        <v>218880</v>
      </c>
      <c r="C89" s="6">
        <v>104516</v>
      </c>
      <c r="D89" s="6">
        <v>109440</v>
      </c>
      <c r="E89" s="6">
        <v>213956</v>
      </c>
      <c r="F89" s="6">
        <v>0</v>
      </c>
      <c r="G89" s="6">
        <v>-4924</v>
      </c>
      <c r="H89" s="6">
        <v>-4924</v>
      </c>
    </row>
    <row r="90" spans="1:8">
      <c r="A90" s="9" t="s">
        <v>253</v>
      </c>
      <c r="B90" s="185">
        <v>262349</v>
      </c>
      <c r="C90" s="6">
        <v>105051.97</v>
      </c>
      <c r="D90" s="6">
        <v>157297</v>
      </c>
      <c r="E90" s="6">
        <v>262348.96999999997</v>
      </c>
      <c r="F90" s="6">
        <v>0.30999999999994543</v>
      </c>
      <c r="G90" s="6">
        <v>-0.34000000002561137</v>
      </c>
      <c r="H90" s="6">
        <v>-3.000000002566594E-2</v>
      </c>
    </row>
    <row r="91" spans="1:8">
      <c r="A91" s="187" t="s">
        <v>252</v>
      </c>
      <c r="B91" s="185">
        <v>262349</v>
      </c>
      <c r="C91" s="6">
        <v>105051.97</v>
      </c>
      <c r="D91" s="6">
        <v>157297</v>
      </c>
      <c r="E91" s="6">
        <v>262348.96999999997</v>
      </c>
      <c r="F91" s="6">
        <v>0.30999999999994543</v>
      </c>
      <c r="G91" s="6">
        <v>-0.34000000002561137</v>
      </c>
      <c r="H91" s="6">
        <v>-3.000000002566594E-2</v>
      </c>
    </row>
    <row r="92" spans="1:8">
      <c r="A92" s="186" t="s">
        <v>12</v>
      </c>
      <c r="B92" s="185">
        <v>2900</v>
      </c>
      <c r="C92" s="6">
        <v>1956.31</v>
      </c>
      <c r="D92" s="6">
        <v>944</v>
      </c>
      <c r="E92" s="6">
        <v>2900.31</v>
      </c>
      <c r="F92" s="6">
        <v>0.30999999999994543</v>
      </c>
      <c r="G92" s="6">
        <v>0</v>
      </c>
      <c r="H92" s="6">
        <v>0.30999999999994543</v>
      </c>
    </row>
    <row r="93" spans="1:8">
      <c r="A93" s="186" t="s">
        <v>15</v>
      </c>
      <c r="B93" s="185">
        <v>259449</v>
      </c>
      <c r="C93" s="6">
        <v>103095.66</v>
      </c>
      <c r="D93" s="6">
        <v>156353</v>
      </c>
      <c r="E93" s="6">
        <v>259448.65999999997</v>
      </c>
      <c r="F93" s="6">
        <v>0</v>
      </c>
      <c r="G93" s="6">
        <v>-0.34000000002561137</v>
      </c>
      <c r="H93" s="6">
        <v>-0.34000000002561137</v>
      </c>
    </row>
    <row r="94" spans="1:8">
      <c r="A94" s="9" t="s">
        <v>176</v>
      </c>
      <c r="B94" s="185">
        <v>117539.0055</v>
      </c>
      <c r="C94" s="6">
        <v>15595.36</v>
      </c>
      <c r="D94" s="6">
        <v>102536.75</v>
      </c>
      <c r="E94" s="6">
        <v>118132.11</v>
      </c>
      <c r="F94" s="6">
        <v>593.35450000000128</v>
      </c>
      <c r="G94" s="6">
        <v>-0.25</v>
      </c>
      <c r="H94" s="6">
        <v>593.10450000000128</v>
      </c>
    </row>
    <row r="95" spans="1:8">
      <c r="A95" s="187" t="s">
        <v>252</v>
      </c>
      <c r="B95" s="185">
        <v>117539.0055</v>
      </c>
      <c r="C95" s="6">
        <v>15595.36</v>
      </c>
      <c r="D95" s="6">
        <v>102536.75</v>
      </c>
      <c r="E95" s="6">
        <v>118132.11</v>
      </c>
      <c r="F95" s="6">
        <v>593.35450000000128</v>
      </c>
      <c r="G95" s="6">
        <v>-0.25</v>
      </c>
      <c r="H95" s="6">
        <v>593.10450000000128</v>
      </c>
    </row>
    <row r="96" spans="1:8">
      <c r="A96" s="186" t="s">
        <v>16</v>
      </c>
      <c r="B96" s="185">
        <v>117539.0055</v>
      </c>
      <c r="C96" s="6">
        <v>15595.36</v>
      </c>
      <c r="D96" s="6">
        <v>102536.75</v>
      </c>
      <c r="E96" s="6">
        <v>118132.11</v>
      </c>
      <c r="F96" s="6">
        <v>593.35450000000128</v>
      </c>
      <c r="G96" s="6">
        <v>-0.25</v>
      </c>
      <c r="H96" s="6">
        <v>593.10450000000128</v>
      </c>
    </row>
    <row r="97" spans="1:8">
      <c r="A97" s="9" t="s">
        <v>183</v>
      </c>
      <c r="B97" s="185">
        <v>5250</v>
      </c>
      <c r="C97" s="6">
        <v>0</v>
      </c>
      <c r="D97" s="6">
        <v>5250</v>
      </c>
      <c r="E97" s="6">
        <v>5250</v>
      </c>
      <c r="F97" s="6">
        <v>0</v>
      </c>
      <c r="G97" s="6">
        <v>0</v>
      </c>
      <c r="H97" s="6">
        <v>0</v>
      </c>
    </row>
    <row r="98" spans="1:8">
      <c r="A98" s="187" t="s">
        <v>252</v>
      </c>
      <c r="B98" s="185">
        <v>5250</v>
      </c>
      <c r="C98" s="6">
        <v>0</v>
      </c>
      <c r="D98" s="6">
        <v>5250</v>
      </c>
      <c r="E98" s="6">
        <v>5250</v>
      </c>
      <c r="F98" s="6">
        <v>0</v>
      </c>
      <c r="G98" s="6">
        <v>0</v>
      </c>
      <c r="H98" s="6">
        <v>0</v>
      </c>
    </row>
    <row r="99" spans="1:8">
      <c r="A99" s="186" t="s">
        <v>16</v>
      </c>
      <c r="B99" s="185">
        <v>5250</v>
      </c>
      <c r="C99" s="6">
        <v>0</v>
      </c>
      <c r="D99" s="6">
        <v>5250</v>
      </c>
      <c r="E99" s="6">
        <v>5250</v>
      </c>
      <c r="F99" s="6">
        <v>0</v>
      </c>
      <c r="G99" s="6">
        <v>0</v>
      </c>
      <c r="H99" s="6">
        <v>0</v>
      </c>
    </row>
    <row r="100" spans="1:8">
      <c r="A100" s="9" t="s">
        <v>233</v>
      </c>
      <c r="B100" s="185">
        <v>48934</v>
      </c>
      <c r="C100" s="6">
        <v>9894</v>
      </c>
      <c r="D100" s="6">
        <v>39037</v>
      </c>
      <c r="E100" s="6">
        <v>48931</v>
      </c>
      <c r="F100" s="6">
        <v>0</v>
      </c>
      <c r="G100" s="6">
        <v>-3</v>
      </c>
      <c r="H100" s="6">
        <v>-3</v>
      </c>
    </row>
    <row r="101" spans="1:8">
      <c r="A101" s="187" t="s">
        <v>252</v>
      </c>
      <c r="B101" s="185">
        <v>48934</v>
      </c>
      <c r="C101" s="6">
        <v>9894</v>
      </c>
      <c r="D101" s="6">
        <v>39037</v>
      </c>
      <c r="E101" s="6">
        <v>48931</v>
      </c>
      <c r="F101" s="6">
        <v>0</v>
      </c>
      <c r="G101" s="6">
        <v>-3</v>
      </c>
      <c r="H101" s="6">
        <v>-3</v>
      </c>
    </row>
    <row r="102" spans="1:8">
      <c r="A102" s="186" t="s">
        <v>16</v>
      </c>
      <c r="B102" s="185">
        <v>48934</v>
      </c>
      <c r="C102" s="6">
        <v>9894</v>
      </c>
      <c r="D102" s="6">
        <v>39037</v>
      </c>
      <c r="E102" s="6">
        <v>48931</v>
      </c>
      <c r="F102" s="6">
        <v>0</v>
      </c>
      <c r="G102" s="6">
        <v>-3</v>
      </c>
      <c r="H102" s="6">
        <v>-3</v>
      </c>
    </row>
    <row r="103" spans="1:8">
      <c r="A103" s="9" t="s">
        <v>58</v>
      </c>
      <c r="B103" s="185">
        <v>3617396</v>
      </c>
      <c r="C103" s="6">
        <v>2070815.5899999999</v>
      </c>
      <c r="D103" s="6">
        <v>2002659.7799999998</v>
      </c>
      <c r="E103" s="6">
        <v>4073475.3699999992</v>
      </c>
      <c r="F103" s="6">
        <v>456079.36999999918</v>
      </c>
      <c r="G103" s="6">
        <v>0</v>
      </c>
      <c r="H103" s="6">
        <v>456079.36999999918</v>
      </c>
    </row>
    <row r="104" spans="1:8">
      <c r="A104" s="187" t="s">
        <v>251</v>
      </c>
      <c r="B104" s="185">
        <v>0</v>
      </c>
      <c r="C104" s="6">
        <v>0</v>
      </c>
      <c r="D104" s="6">
        <v>0</v>
      </c>
      <c r="E104" s="6">
        <v>0</v>
      </c>
      <c r="F104" s="6">
        <v>0</v>
      </c>
      <c r="G104" s="6">
        <v>0</v>
      </c>
      <c r="H104" s="6">
        <v>0</v>
      </c>
    </row>
    <row r="105" spans="1:8">
      <c r="A105" s="186" t="s">
        <v>10</v>
      </c>
      <c r="B105" s="185">
        <v>0</v>
      </c>
      <c r="C105" s="6">
        <v>0</v>
      </c>
      <c r="D105" s="6">
        <v>0</v>
      </c>
      <c r="E105" s="6">
        <v>0</v>
      </c>
      <c r="F105" s="6">
        <v>0</v>
      </c>
      <c r="G105" s="6">
        <v>0</v>
      </c>
      <c r="H105" s="6">
        <v>0</v>
      </c>
    </row>
    <row r="106" spans="1:8">
      <c r="A106" s="187" t="s">
        <v>252</v>
      </c>
      <c r="B106" s="185">
        <v>3617396</v>
      </c>
      <c r="C106" s="6">
        <v>2070815.5899999999</v>
      </c>
      <c r="D106" s="6">
        <v>2002659.7799999998</v>
      </c>
      <c r="E106" s="6">
        <v>4073475.3699999992</v>
      </c>
      <c r="F106" s="6">
        <v>456079.36999999918</v>
      </c>
      <c r="G106" s="6">
        <v>0</v>
      </c>
      <c r="H106" s="6">
        <v>456079.36999999918</v>
      </c>
    </row>
    <row r="107" spans="1:8">
      <c r="A107" s="186" t="s">
        <v>16</v>
      </c>
      <c r="B107" s="185">
        <v>3617396</v>
      </c>
      <c r="C107" s="6">
        <v>2070815.5899999999</v>
      </c>
      <c r="D107" s="6">
        <v>2002659.7799999998</v>
      </c>
      <c r="E107" s="6">
        <v>4073475.3699999992</v>
      </c>
      <c r="F107" s="6">
        <v>456079.36999999918</v>
      </c>
      <c r="G107" s="6">
        <v>0</v>
      </c>
      <c r="H107" s="6">
        <v>456079.36999999918</v>
      </c>
    </row>
    <row r="108" spans="1:8">
      <c r="A108" s="9" t="s">
        <v>221</v>
      </c>
      <c r="B108" s="185">
        <v>238897.86250000002</v>
      </c>
      <c r="C108" s="6">
        <v>238926.24</v>
      </c>
      <c r="D108" s="6">
        <v>0</v>
      </c>
      <c r="E108" s="6">
        <v>238926.24</v>
      </c>
      <c r="F108" s="6">
        <v>28.377499999973224</v>
      </c>
      <c r="G108" s="6">
        <v>0</v>
      </c>
      <c r="H108" s="6">
        <v>28.377499999973224</v>
      </c>
    </row>
    <row r="109" spans="1:8">
      <c r="A109" s="187" t="s">
        <v>252</v>
      </c>
      <c r="B109" s="185">
        <v>238897.86250000002</v>
      </c>
      <c r="C109" s="6">
        <v>238926.24</v>
      </c>
      <c r="D109" s="6">
        <v>0</v>
      </c>
      <c r="E109" s="6">
        <v>238926.24</v>
      </c>
      <c r="F109" s="6">
        <v>28.377499999973224</v>
      </c>
      <c r="G109" s="6">
        <v>0</v>
      </c>
      <c r="H109" s="6">
        <v>28.377499999973224</v>
      </c>
    </row>
    <row r="110" spans="1:8">
      <c r="A110" s="186" t="s">
        <v>16</v>
      </c>
      <c r="B110" s="185">
        <v>238897.86250000002</v>
      </c>
      <c r="C110" s="6">
        <v>238926.24</v>
      </c>
      <c r="D110" s="6">
        <v>0</v>
      </c>
      <c r="E110" s="6">
        <v>238926.24</v>
      </c>
      <c r="F110" s="6">
        <v>28.377499999973224</v>
      </c>
      <c r="G110" s="6">
        <v>0</v>
      </c>
      <c r="H110" s="6">
        <v>28.377499999973224</v>
      </c>
    </row>
    <row r="111" spans="1:8">
      <c r="A111" s="9" t="s">
        <v>154</v>
      </c>
      <c r="B111" s="185">
        <v>359</v>
      </c>
      <c r="C111" s="6">
        <v>0</v>
      </c>
      <c r="D111" s="6">
        <v>359</v>
      </c>
      <c r="E111" s="6">
        <v>359</v>
      </c>
      <c r="F111" s="6">
        <v>0</v>
      </c>
      <c r="G111" s="6">
        <v>0</v>
      </c>
      <c r="H111" s="6">
        <v>0</v>
      </c>
    </row>
    <row r="112" spans="1:8">
      <c r="A112" s="187" t="s">
        <v>252</v>
      </c>
      <c r="B112" s="185">
        <v>359</v>
      </c>
      <c r="C112" s="6">
        <v>0</v>
      </c>
      <c r="D112" s="6">
        <v>359</v>
      </c>
      <c r="E112" s="6">
        <v>359</v>
      </c>
      <c r="F112" s="6">
        <v>0</v>
      </c>
      <c r="G112" s="6">
        <v>0</v>
      </c>
      <c r="H112" s="6">
        <v>0</v>
      </c>
    </row>
    <row r="113" spans="1:8">
      <c r="A113" s="186" t="s">
        <v>15</v>
      </c>
      <c r="B113" s="185">
        <v>359</v>
      </c>
      <c r="C113" s="6">
        <v>0</v>
      </c>
      <c r="D113" s="6">
        <v>359</v>
      </c>
      <c r="E113" s="6">
        <v>359</v>
      </c>
      <c r="F113" s="6">
        <v>0</v>
      </c>
      <c r="G113" s="6">
        <v>0</v>
      </c>
      <c r="H113" s="6">
        <v>0</v>
      </c>
    </row>
    <row r="114" spans="1:8">
      <c r="A114" s="9" t="s">
        <v>199</v>
      </c>
      <c r="B114" s="185">
        <v>14700</v>
      </c>
      <c r="C114" s="6">
        <v>9900</v>
      </c>
      <c r="D114" s="6">
        <v>46050</v>
      </c>
      <c r="E114" s="6">
        <v>55950</v>
      </c>
      <c r="F114" s="6">
        <v>41250</v>
      </c>
      <c r="G114" s="6">
        <v>0</v>
      </c>
      <c r="H114" s="6">
        <v>41250</v>
      </c>
    </row>
    <row r="115" spans="1:8">
      <c r="A115" s="187" t="s">
        <v>252</v>
      </c>
      <c r="B115" s="185">
        <v>14700</v>
      </c>
      <c r="C115" s="6">
        <v>9900</v>
      </c>
      <c r="D115" s="6">
        <v>46050</v>
      </c>
      <c r="E115" s="6">
        <v>55950</v>
      </c>
      <c r="F115" s="6">
        <v>41250</v>
      </c>
      <c r="G115" s="6">
        <v>0</v>
      </c>
      <c r="H115" s="6">
        <v>41250</v>
      </c>
    </row>
    <row r="116" spans="1:8">
      <c r="A116" s="186" t="s">
        <v>16</v>
      </c>
      <c r="B116" s="185">
        <v>14700</v>
      </c>
      <c r="C116" s="6">
        <v>9900</v>
      </c>
      <c r="D116" s="6">
        <v>46050</v>
      </c>
      <c r="E116" s="6">
        <v>55950</v>
      </c>
      <c r="F116" s="6">
        <v>41250</v>
      </c>
      <c r="G116" s="6">
        <v>0</v>
      </c>
      <c r="H116" s="6">
        <v>41250</v>
      </c>
    </row>
    <row r="117" spans="1:8">
      <c r="A117" s="9" t="s">
        <v>201</v>
      </c>
      <c r="B117" s="185">
        <v>12600</v>
      </c>
      <c r="C117" s="6">
        <v>12000</v>
      </c>
      <c r="D117" s="6">
        <v>0</v>
      </c>
      <c r="E117" s="6">
        <v>12000</v>
      </c>
      <c r="F117" s="6">
        <v>0</v>
      </c>
      <c r="G117" s="6">
        <v>-600</v>
      </c>
      <c r="H117" s="6">
        <v>-600</v>
      </c>
    </row>
    <row r="118" spans="1:8">
      <c r="A118" s="187" t="s">
        <v>252</v>
      </c>
      <c r="B118" s="185">
        <v>12600</v>
      </c>
      <c r="C118" s="6">
        <v>12000</v>
      </c>
      <c r="D118" s="6">
        <v>0</v>
      </c>
      <c r="E118" s="6">
        <v>12000</v>
      </c>
      <c r="F118" s="6">
        <v>0</v>
      </c>
      <c r="G118" s="6">
        <v>-600</v>
      </c>
      <c r="H118" s="6">
        <v>-600</v>
      </c>
    </row>
    <row r="119" spans="1:8">
      <c r="A119" s="186" t="s">
        <v>16</v>
      </c>
      <c r="B119" s="185">
        <v>12600</v>
      </c>
      <c r="C119" s="6">
        <v>12000</v>
      </c>
      <c r="D119" s="6">
        <v>0</v>
      </c>
      <c r="E119" s="6">
        <v>12000</v>
      </c>
      <c r="F119" s="6">
        <v>0</v>
      </c>
      <c r="G119" s="6">
        <v>-600</v>
      </c>
      <c r="H119" s="6">
        <v>-600</v>
      </c>
    </row>
    <row r="120" spans="1:8">
      <c r="A120" s="9" t="s">
        <v>144</v>
      </c>
      <c r="B120" s="185">
        <v>8400</v>
      </c>
      <c r="C120" s="6">
        <v>8000</v>
      </c>
      <c r="D120" s="6">
        <v>0</v>
      </c>
      <c r="E120" s="6">
        <v>8000</v>
      </c>
      <c r="F120" s="6">
        <v>0</v>
      </c>
      <c r="G120" s="6">
        <v>-400</v>
      </c>
      <c r="H120" s="6">
        <v>-400</v>
      </c>
    </row>
    <row r="121" spans="1:8">
      <c r="A121" s="187" t="s">
        <v>252</v>
      </c>
      <c r="B121" s="185">
        <v>8400</v>
      </c>
      <c r="C121" s="6">
        <v>8000</v>
      </c>
      <c r="D121" s="6">
        <v>0</v>
      </c>
      <c r="E121" s="6">
        <v>8000</v>
      </c>
      <c r="F121" s="6">
        <v>0</v>
      </c>
      <c r="G121" s="6">
        <v>-400</v>
      </c>
      <c r="H121" s="6">
        <v>-400</v>
      </c>
    </row>
    <row r="122" spans="1:8">
      <c r="A122" s="186" t="s">
        <v>15</v>
      </c>
      <c r="B122" s="185">
        <v>8400</v>
      </c>
      <c r="C122" s="6">
        <v>8000</v>
      </c>
      <c r="D122" s="6">
        <v>0</v>
      </c>
      <c r="E122" s="6">
        <v>8000</v>
      </c>
      <c r="F122" s="6">
        <v>0</v>
      </c>
      <c r="G122" s="6">
        <v>-400</v>
      </c>
      <c r="H122" s="6">
        <v>-400</v>
      </c>
    </row>
    <row r="123" spans="1:8">
      <c r="A123" s="9" t="s">
        <v>235</v>
      </c>
      <c r="B123" s="185">
        <v>90000</v>
      </c>
      <c r="C123" s="6">
        <v>0</v>
      </c>
      <c r="D123" s="6">
        <v>90000</v>
      </c>
      <c r="E123" s="6">
        <v>90000</v>
      </c>
      <c r="F123" s="6">
        <v>0</v>
      </c>
      <c r="G123" s="6">
        <v>0</v>
      </c>
      <c r="H123" s="6">
        <v>0</v>
      </c>
    </row>
    <row r="124" spans="1:8">
      <c r="A124" s="187" t="s">
        <v>252</v>
      </c>
      <c r="B124" s="185">
        <v>90000</v>
      </c>
      <c r="C124" s="6">
        <v>0</v>
      </c>
      <c r="D124" s="6">
        <v>90000</v>
      </c>
      <c r="E124" s="6">
        <v>90000</v>
      </c>
      <c r="F124" s="6">
        <v>0</v>
      </c>
      <c r="G124" s="6">
        <v>0</v>
      </c>
      <c r="H124" s="6">
        <v>0</v>
      </c>
    </row>
    <row r="125" spans="1:8">
      <c r="A125" s="186" t="s">
        <v>16</v>
      </c>
      <c r="B125" s="185">
        <v>90000</v>
      </c>
      <c r="C125" s="6">
        <v>0</v>
      </c>
      <c r="D125" s="6">
        <v>90000</v>
      </c>
      <c r="E125" s="6">
        <v>90000</v>
      </c>
      <c r="F125" s="6">
        <v>0</v>
      </c>
      <c r="G125" s="6">
        <v>0</v>
      </c>
      <c r="H125" s="6">
        <v>0</v>
      </c>
    </row>
    <row r="126" spans="1:8">
      <c r="A126" s="9" t="s">
        <v>44</v>
      </c>
      <c r="B126" s="185">
        <v>5040610.9241499994</v>
      </c>
      <c r="C126" s="6">
        <v>2276995.94</v>
      </c>
      <c r="D126" s="6">
        <v>2648319.0225</v>
      </c>
      <c r="E126" s="6">
        <v>4925314.9625000004</v>
      </c>
      <c r="F126" s="6">
        <v>0.37834999989718199</v>
      </c>
      <c r="G126" s="6">
        <v>-115296.34000000004</v>
      </c>
      <c r="H126" s="6">
        <v>-115295.96165000014</v>
      </c>
    </row>
    <row r="127" spans="1:8">
      <c r="A127" s="187" t="s">
        <v>251</v>
      </c>
      <c r="B127" s="185">
        <v>3513891.34</v>
      </c>
      <c r="C127" s="6">
        <v>1515749</v>
      </c>
      <c r="D127" s="6">
        <v>1882846</v>
      </c>
      <c r="E127" s="6">
        <v>3398595</v>
      </c>
      <c r="F127" s="6">
        <v>0</v>
      </c>
      <c r="G127" s="6">
        <v>-115296.34</v>
      </c>
      <c r="H127" s="6">
        <v>-115296.34</v>
      </c>
    </row>
    <row r="128" spans="1:8">
      <c r="A128" s="186" t="s">
        <v>10</v>
      </c>
      <c r="B128" s="185">
        <v>1195296</v>
      </c>
      <c r="C128" s="6">
        <v>1000000</v>
      </c>
      <c r="D128" s="6">
        <v>80000</v>
      </c>
      <c r="E128" s="6">
        <v>1080000</v>
      </c>
      <c r="F128" s="6">
        <v>0</v>
      </c>
      <c r="G128" s="6">
        <v>-115296</v>
      </c>
      <c r="H128" s="6">
        <v>-115296</v>
      </c>
    </row>
    <row r="129" spans="1:8">
      <c r="A129" s="186" t="s">
        <v>13</v>
      </c>
      <c r="B129" s="185">
        <v>2041200</v>
      </c>
      <c r="C129" s="6">
        <v>395600</v>
      </c>
      <c r="D129" s="6">
        <v>1645600</v>
      </c>
      <c r="E129" s="6">
        <v>2041200</v>
      </c>
      <c r="F129" s="6">
        <v>0</v>
      </c>
      <c r="G129" s="6">
        <v>0</v>
      </c>
      <c r="H129" s="6">
        <v>0</v>
      </c>
    </row>
    <row r="130" spans="1:8">
      <c r="A130" s="186" t="s">
        <v>14</v>
      </c>
      <c r="B130" s="185">
        <v>277395.33999999997</v>
      </c>
      <c r="C130" s="6">
        <v>120149</v>
      </c>
      <c r="D130" s="6">
        <v>157246</v>
      </c>
      <c r="E130" s="6">
        <v>277395</v>
      </c>
      <c r="F130" s="6">
        <v>0</v>
      </c>
      <c r="G130" s="6">
        <v>-0.33999999999650754</v>
      </c>
      <c r="H130" s="6">
        <v>-0.33999999999650754</v>
      </c>
    </row>
    <row r="131" spans="1:8">
      <c r="A131" s="187" t="s">
        <v>252</v>
      </c>
      <c r="B131" s="185">
        <v>1526719.58415</v>
      </c>
      <c r="C131" s="6">
        <v>761246.94000000006</v>
      </c>
      <c r="D131" s="6">
        <v>765473.02249999996</v>
      </c>
      <c r="E131" s="6">
        <v>1526719.9624999999</v>
      </c>
      <c r="F131" s="6">
        <v>0.37834999989718199</v>
      </c>
      <c r="G131" s="6">
        <v>-4.3655745685100555E-11</v>
      </c>
      <c r="H131" s="6">
        <v>0.37834999985352624</v>
      </c>
    </row>
    <row r="132" spans="1:8">
      <c r="A132" s="186" t="s">
        <v>16</v>
      </c>
      <c r="B132" s="185">
        <v>1526719.58415</v>
      </c>
      <c r="C132" s="6">
        <v>761246.94000000006</v>
      </c>
      <c r="D132" s="6">
        <v>765473.02249999996</v>
      </c>
      <c r="E132" s="6">
        <v>1526719.9624999999</v>
      </c>
      <c r="F132" s="6">
        <v>0.37834999989718199</v>
      </c>
      <c r="G132" s="6">
        <v>-4.3655745685100555E-11</v>
      </c>
      <c r="H132" s="6">
        <v>0.37834999985352624</v>
      </c>
    </row>
    <row r="133" spans="1:8">
      <c r="A133" s="9" t="s">
        <v>213</v>
      </c>
      <c r="B133" s="185">
        <v>1260</v>
      </c>
      <c r="C133" s="6">
        <v>1260</v>
      </c>
      <c r="D133" s="6">
        <v>0</v>
      </c>
      <c r="E133" s="6">
        <v>1260</v>
      </c>
      <c r="F133" s="6">
        <v>0</v>
      </c>
      <c r="G133" s="6">
        <v>0</v>
      </c>
      <c r="H133" s="6">
        <v>0</v>
      </c>
    </row>
    <row r="134" spans="1:8">
      <c r="A134" s="187" t="s">
        <v>252</v>
      </c>
      <c r="B134" s="185">
        <v>1260</v>
      </c>
      <c r="C134" s="6">
        <v>1260</v>
      </c>
      <c r="D134" s="6">
        <v>0</v>
      </c>
      <c r="E134" s="6">
        <v>1260</v>
      </c>
      <c r="F134" s="6">
        <v>0</v>
      </c>
      <c r="G134" s="6">
        <v>0</v>
      </c>
      <c r="H134" s="6">
        <v>0</v>
      </c>
    </row>
    <row r="135" spans="1:8">
      <c r="A135" s="186" t="s">
        <v>16</v>
      </c>
      <c r="B135" s="185">
        <v>1260</v>
      </c>
      <c r="C135" s="6">
        <v>1260</v>
      </c>
      <c r="D135" s="6">
        <v>0</v>
      </c>
      <c r="E135" s="6">
        <v>1260</v>
      </c>
      <c r="F135" s="6">
        <v>0</v>
      </c>
      <c r="G135" s="6">
        <v>0</v>
      </c>
      <c r="H135" s="6">
        <v>0</v>
      </c>
    </row>
    <row r="136" spans="1:8">
      <c r="A136" s="9" t="s">
        <v>115</v>
      </c>
      <c r="B136" s="185">
        <v>1540800</v>
      </c>
      <c r="C136" s="6">
        <v>823464</v>
      </c>
      <c r="D136" s="6">
        <v>606720</v>
      </c>
      <c r="E136" s="6">
        <v>1430184</v>
      </c>
      <c r="F136" s="6">
        <v>6720</v>
      </c>
      <c r="G136" s="6">
        <v>-117336</v>
      </c>
      <c r="H136" s="6">
        <v>-110616</v>
      </c>
    </row>
    <row r="137" spans="1:8">
      <c r="A137" s="187" t="s">
        <v>251</v>
      </c>
      <c r="B137" s="185">
        <v>1540800</v>
      </c>
      <c r="C137" s="6">
        <v>823464</v>
      </c>
      <c r="D137" s="6">
        <v>606720</v>
      </c>
      <c r="E137" s="6">
        <v>1430184</v>
      </c>
      <c r="F137" s="6">
        <v>6720</v>
      </c>
      <c r="G137" s="6">
        <v>-117336</v>
      </c>
      <c r="H137" s="6">
        <v>-110616</v>
      </c>
    </row>
    <row r="138" spans="1:8">
      <c r="A138" s="186" t="s">
        <v>13</v>
      </c>
      <c r="B138" s="185">
        <v>1540800</v>
      </c>
      <c r="C138" s="6">
        <v>823464</v>
      </c>
      <c r="D138" s="6">
        <v>606720</v>
      </c>
      <c r="E138" s="6">
        <v>1430184</v>
      </c>
      <c r="F138" s="6">
        <v>6720</v>
      </c>
      <c r="G138" s="6">
        <v>-117336</v>
      </c>
      <c r="H138" s="6">
        <v>-110616</v>
      </c>
    </row>
    <row r="139" spans="1:8">
      <c r="A139" s="9" t="s">
        <v>90</v>
      </c>
      <c r="B139" s="185">
        <v>18865</v>
      </c>
      <c r="C139" s="6">
        <v>6681.98</v>
      </c>
      <c r="D139" s="6">
        <v>12829</v>
      </c>
      <c r="E139" s="6">
        <v>19510.98</v>
      </c>
      <c r="F139" s="6">
        <v>645.97999999999956</v>
      </c>
      <c r="G139" s="6">
        <v>0</v>
      </c>
      <c r="H139" s="6">
        <v>645.97999999999956</v>
      </c>
    </row>
    <row r="140" spans="1:8">
      <c r="A140" s="187" t="s">
        <v>252</v>
      </c>
      <c r="B140" s="185">
        <v>18865</v>
      </c>
      <c r="C140" s="6">
        <v>6681.98</v>
      </c>
      <c r="D140" s="6">
        <v>12829</v>
      </c>
      <c r="E140" s="6">
        <v>19510.98</v>
      </c>
      <c r="F140" s="6">
        <v>645.97999999999956</v>
      </c>
      <c r="G140" s="6">
        <v>0</v>
      </c>
      <c r="H140" s="6">
        <v>645.97999999999956</v>
      </c>
    </row>
    <row r="141" spans="1:8">
      <c r="A141" s="186" t="s">
        <v>12</v>
      </c>
      <c r="B141" s="185">
        <v>18865</v>
      </c>
      <c r="C141" s="6">
        <v>6681.98</v>
      </c>
      <c r="D141" s="6">
        <v>12829</v>
      </c>
      <c r="E141" s="6">
        <v>19510.98</v>
      </c>
      <c r="F141" s="6">
        <v>645.97999999999956</v>
      </c>
      <c r="G141" s="6">
        <v>0</v>
      </c>
      <c r="H141" s="6">
        <v>645.97999999999956</v>
      </c>
    </row>
    <row r="142" spans="1:8">
      <c r="A142" s="9" t="s">
        <v>92</v>
      </c>
      <c r="B142" s="185">
        <v>25439</v>
      </c>
      <c r="C142" s="6">
        <v>12115.970000000001</v>
      </c>
      <c r="D142" s="6">
        <v>12719.499999999998</v>
      </c>
      <c r="E142" s="6">
        <v>24835.47</v>
      </c>
      <c r="F142" s="6">
        <v>0</v>
      </c>
      <c r="G142" s="6">
        <v>-603.52999999999884</v>
      </c>
      <c r="H142" s="6">
        <v>-603.52999999999884</v>
      </c>
    </row>
    <row r="143" spans="1:8">
      <c r="A143" s="187" t="s">
        <v>252</v>
      </c>
      <c r="B143" s="185">
        <v>25439</v>
      </c>
      <c r="C143" s="6">
        <v>12115.970000000001</v>
      </c>
      <c r="D143" s="6">
        <v>12719.499999999998</v>
      </c>
      <c r="E143" s="6">
        <v>24835.47</v>
      </c>
      <c r="F143" s="6">
        <v>0</v>
      </c>
      <c r="G143" s="6">
        <v>-603.52999999999884</v>
      </c>
      <c r="H143" s="6">
        <v>-603.52999999999884</v>
      </c>
    </row>
    <row r="144" spans="1:8">
      <c r="A144" s="186" t="s">
        <v>12</v>
      </c>
      <c r="B144" s="185">
        <v>25439</v>
      </c>
      <c r="C144" s="6">
        <v>12115.970000000001</v>
      </c>
      <c r="D144" s="6">
        <v>12719.499999999998</v>
      </c>
      <c r="E144" s="6">
        <v>24835.47</v>
      </c>
      <c r="F144" s="6">
        <v>0</v>
      </c>
      <c r="G144" s="6">
        <v>-603.52999999999884</v>
      </c>
      <c r="H144" s="6">
        <v>-603.52999999999884</v>
      </c>
    </row>
    <row r="145" spans="1:8">
      <c r="A145" s="9" t="s">
        <v>237</v>
      </c>
      <c r="B145" s="185">
        <v>2594.5500000000002</v>
      </c>
      <c r="C145" s="6">
        <v>0</v>
      </c>
      <c r="D145" s="6">
        <v>2595</v>
      </c>
      <c r="E145" s="6">
        <v>2595</v>
      </c>
      <c r="F145" s="6">
        <v>0.4499999999998181</v>
      </c>
      <c r="G145" s="6">
        <v>0</v>
      </c>
      <c r="H145" s="6">
        <v>0.4499999999998181</v>
      </c>
    </row>
    <row r="146" spans="1:8">
      <c r="A146" s="187" t="s">
        <v>252</v>
      </c>
      <c r="B146" s="185">
        <v>2594.5500000000002</v>
      </c>
      <c r="C146" s="6">
        <v>0</v>
      </c>
      <c r="D146" s="6">
        <v>2595</v>
      </c>
      <c r="E146" s="6">
        <v>2595</v>
      </c>
      <c r="F146" s="6">
        <v>0.4499999999998181</v>
      </c>
      <c r="G146" s="6">
        <v>0</v>
      </c>
      <c r="H146" s="6">
        <v>0.4499999999998181</v>
      </c>
    </row>
    <row r="147" spans="1:8">
      <c r="A147" s="186" t="s">
        <v>16</v>
      </c>
      <c r="B147" s="185">
        <v>2594.5500000000002</v>
      </c>
      <c r="C147" s="6">
        <v>0</v>
      </c>
      <c r="D147" s="6">
        <v>2595</v>
      </c>
      <c r="E147" s="6">
        <v>2595</v>
      </c>
      <c r="F147" s="6">
        <v>0.4499999999998181</v>
      </c>
      <c r="G147" s="6">
        <v>0</v>
      </c>
      <c r="H147" s="6">
        <v>0.4499999999998181</v>
      </c>
    </row>
    <row r="148" spans="1:8">
      <c r="A148" s="9" t="s">
        <v>94</v>
      </c>
      <c r="B148" s="185">
        <v>34537</v>
      </c>
      <c r="C148" s="6">
        <v>16448.7</v>
      </c>
      <c r="D148" s="6">
        <v>17268.5</v>
      </c>
      <c r="E148" s="6">
        <v>33717.200000000004</v>
      </c>
      <c r="F148" s="6">
        <v>0</v>
      </c>
      <c r="G148" s="6">
        <v>-819.79999999999563</v>
      </c>
      <c r="H148" s="6">
        <v>-819.79999999999563</v>
      </c>
    </row>
    <row r="149" spans="1:8">
      <c r="A149" s="187" t="s">
        <v>252</v>
      </c>
      <c r="B149" s="185">
        <v>34537</v>
      </c>
      <c r="C149" s="6">
        <v>16448.7</v>
      </c>
      <c r="D149" s="6">
        <v>17268.5</v>
      </c>
      <c r="E149" s="6">
        <v>33717.200000000004</v>
      </c>
      <c r="F149" s="6">
        <v>0</v>
      </c>
      <c r="G149" s="6">
        <v>-819.79999999999563</v>
      </c>
      <c r="H149" s="6">
        <v>-819.79999999999563</v>
      </c>
    </row>
    <row r="150" spans="1:8">
      <c r="A150" s="186" t="s">
        <v>12</v>
      </c>
      <c r="B150" s="185">
        <v>34537</v>
      </c>
      <c r="C150" s="6">
        <v>16448.7</v>
      </c>
      <c r="D150" s="6">
        <v>17268.5</v>
      </c>
      <c r="E150" s="6">
        <v>33717.200000000004</v>
      </c>
      <c r="F150" s="6">
        <v>0</v>
      </c>
      <c r="G150" s="6">
        <v>-819.79999999999563</v>
      </c>
      <c r="H150" s="6">
        <v>-819.79999999999563</v>
      </c>
    </row>
    <row r="151" spans="1:8">
      <c r="A151" s="9" t="s">
        <v>185</v>
      </c>
      <c r="B151" s="185">
        <v>27790.5285</v>
      </c>
      <c r="C151" s="6">
        <v>28087.82</v>
      </c>
      <c r="D151" s="6">
        <v>1726</v>
      </c>
      <c r="E151" s="6">
        <v>29813.82</v>
      </c>
      <c r="F151" s="6">
        <v>2023.2914999999975</v>
      </c>
      <c r="G151" s="6">
        <v>0</v>
      </c>
      <c r="H151" s="6">
        <v>2023.2914999999975</v>
      </c>
    </row>
    <row r="152" spans="1:8">
      <c r="A152" s="187" t="s">
        <v>252</v>
      </c>
      <c r="B152" s="185">
        <v>27790.5285</v>
      </c>
      <c r="C152" s="6">
        <v>28087.82</v>
      </c>
      <c r="D152" s="6">
        <v>1726</v>
      </c>
      <c r="E152" s="6">
        <v>29813.82</v>
      </c>
      <c r="F152" s="6">
        <v>2023.2914999999975</v>
      </c>
      <c r="G152" s="6">
        <v>0</v>
      </c>
      <c r="H152" s="6">
        <v>2023.2914999999975</v>
      </c>
    </row>
    <row r="153" spans="1:8">
      <c r="A153" s="186" t="s">
        <v>16</v>
      </c>
      <c r="B153" s="185">
        <v>27790.5285</v>
      </c>
      <c r="C153" s="6">
        <v>28087.82</v>
      </c>
      <c r="D153" s="6">
        <v>1726</v>
      </c>
      <c r="E153" s="6">
        <v>29813.82</v>
      </c>
      <c r="F153" s="6">
        <v>2023.2914999999975</v>
      </c>
      <c r="G153" s="6">
        <v>0</v>
      </c>
      <c r="H153" s="6">
        <v>2023.2914999999975</v>
      </c>
    </row>
    <row r="154" spans="1:8">
      <c r="A154" s="9" t="s">
        <v>204</v>
      </c>
      <c r="B154" s="185">
        <v>2751</v>
      </c>
      <c r="C154" s="6">
        <v>3192.75</v>
      </c>
      <c r="D154" s="6">
        <v>0</v>
      </c>
      <c r="E154" s="6">
        <v>3192.75</v>
      </c>
      <c r="F154" s="6">
        <v>441.74999999999977</v>
      </c>
      <c r="G154" s="6">
        <v>0</v>
      </c>
      <c r="H154" s="6">
        <v>441.74999999999977</v>
      </c>
    </row>
    <row r="155" spans="1:8">
      <c r="A155" s="187" t="s">
        <v>252</v>
      </c>
      <c r="B155" s="185">
        <v>2751</v>
      </c>
      <c r="C155" s="6">
        <v>3192.75</v>
      </c>
      <c r="D155" s="6">
        <v>0</v>
      </c>
      <c r="E155" s="6">
        <v>3192.75</v>
      </c>
      <c r="F155" s="6">
        <v>441.74999999999977</v>
      </c>
      <c r="G155" s="6">
        <v>0</v>
      </c>
      <c r="H155" s="6">
        <v>441.74999999999977</v>
      </c>
    </row>
    <row r="156" spans="1:8">
      <c r="A156" s="186" t="s">
        <v>16</v>
      </c>
      <c r="B156" s="185">
        <v>2751</v>
      </c>
      <c r="C156" s="6">
        <v>3192.75</v>
      </c>
      <c r="D156" s="6">
        <v>0</v>
      </c>
      <c r="E156" s="6">
        <v>3192.75</v>
      </c>
      <c r="F156" s="6">
        <v>441.74999999999977</v>
      </c>
      <c r="G156" s="6">
        <v>0</v>
      </c>
      <c r="H156" s="6">
        <v>441.74999999999977</v>
      </c>
    </row>
    <row r="157" spans="1:8">
      <c r="A157" s="9" t="s">
        <v>64</v>
      </c>
      <c r="B157" s="185">
        <v>3999600</v>
      </c>
      <c r="C157" s="6">
        <v>1553370.93</v>
      </c>
      <c r="D157" s="6">
        <v>2125962.4033333333</v>
      </c>
      <c r="E157" s="6">
        <v>3679333.333333333</v>
      </c>
      <c r="F157" s="6">
        <v>129900</v>
      </c>
      <c r="G157" s="6">
        <v>-450166.66666666698</v>
      </c>
      <c r="H157" s="6">
        <v>-320266.66666666698</v>
      </c>
    </row>
    <row r="158" spans="1:8">
      <c r="A158" s="187" t="s">
        <v>251</v>
      </c>
      <c r="B158" s="185">
        <v>499600</v>
      </c>
      <c r="C158" s="6">
        <v>10000</v>
      </c>
      <c r="D158" s="6">
        <v>283500</v>
      </c>
      <c r="E158" s="6">
        <v>293500</v>
      </c>
      <c r="F158" s="6">
        <v>129900</v>
      </c>
      <c r="G158" s="6">
        <v>-336000</v>
      </c>
      <c r="H158" s="6">
        <v>-206100</v>
      </c>
    </row>
    <row r="159" spans="1:8">
      <c r="A159" s="186" t="s">
        <v>10</v>
      </c>
      <c r="B159" s="185">
        <v>499600</v>
      </c>
      <c r="C159" s="6">
        <v>10000</v>
      </c>
      <c r="D159" s="6">
        <v>283500</v>
      </c>
      <c r="E159" s="6">
        <v>293500</v>
      </c>
      <c r="F159" s="6">
        <v>129900</v>
      </c>
      <c r="G159" s="6">
        <v>-336000</v>
      </c>
      <c r="H159" s="6">
        <v>-206100</v>
      </c>
    </row>
    <row r="160" spans="1:8">
      <c r="A160" s="187" t="s">
        <v>252</v>
      </c>
      <c r="B160" s="185">
        <v>3500000</v>
      </c>
      <c r="C160" s="6">
        <v>1543370.93</v>
      </c>
      <c r="D160" s="6">
        <v>1842462.4033333336</v>
      </c>
      <c r="E160" s="6">
        <v>3385833.333333333</v>
      </c>
      <c r="F160" s="6">
        <v>0</v>
      </c>
      <c r="G160" s="6">
        <v>-114166.66666666698</v>
      </c>
      <c r="H160" s="6">
        <v>-114166.66666666698</v>
      </c>
    </row>
    <row r="161" spans="1:8">
      <c r="A161" s="186" t="s">
        <v>16</v>
      </c>
      <c r="B161" s="185">
        <v>3500000</v>
      </c>
      <c r="C161" s="6">
        <v>1543370.93</v>
      </c>
      <c r="D161" s="6">
        <v>1842462.4033333336</v>
      </c>
      <c r="E161" s="6">
        <v>3385833.333333333</v>
      </c>
      <c r="F161" s="6">
        <v>0</v>
      </c>
      <c r="G161" s="6">
        <v>-114166.66666666698</v>
      </c>
      <c r="H161" s="6">
        <v>-114166.66666666698</v>
      </c>
    </row>
    <row r="162" spans="1:8">
      <c r="A162" s="9" t="s">
        <v>96</v>
      </c>
      <c r="B162" s="185">
        <v>10552298</v>
      </c>
      <c r="C162" s="6">
        <v>5104966.7366666663</v>
      </c>
      <c r="D162" s="6">
        <v>5771962.1133333333</v>
      </c>
      <c r="E162" s="6">
        <v>10876928.85</v>
      </c>
      <c r="F162" s="6">
        <v>324631.21000000031</v>
      </c>
      <c r="G162" s="6">
        <v>-0.36000000000058208</v>
      </c>
      <c r="H162" s="6">
        <v>324630.85000000033</v>
      </c>
    </row>
    <row r="163" spans="1:8">
      <c r="A163" s="187" t="s">
        <v>252</v>
      </c>
      <c r="B163" s="185">
        <v>10552298</v>
      </c>
      <c r="C163" s="6">
        <v>5104966.7366666663</v>
      </c>
      <c r="D163" s="6">
        <v>5771962.1133333333</v>
      </c>
      <c r="E163" s="6">
        <v>10876928.85</v>
      </c>
      <c r="F163" s="6">
        <v>324631.21000000031</v>
      </c>
      <c r="G163" s="6">
        <v>-0.36000000000058208</v>
      </c>
      <c r="H163" s="6">
        <v>324630.85000000033</v>
      </c>
    </row>
    <row r="164" spans="1:8">
      <c r="A164" s="186" t="s">
        <v>12</v>
      </c>
      <c r="B164" s="185">
        <v>7500000</v>
      </c>
      <c r="C164" s="6">
        <v>3782589.08</v>
      </c>
      <c r="D164" s="6">
        <v>3717411</v>
      </c>
      <c r="E164" s="6">
        <v>7500000.0800000001</v>
      </c>
      <c r="F164" s="6">
        <v>8.0000000074505806E-2</v>
      </c>
      <c r="G164" s="6">
        <v>0</v>
      </c>
      <c r="H164" s="6">
        <v>8.0000000074505806E-2</v>
      </c>
    </row>
    <row r="165" spans="1:8">
      <c r="A165" s="186" t="s">
        <v>16</v>
      </c>
      <c r="B165" s="185">
        <v>3052298</v>
      </c>
      <c r="C165" s="6">
        <v>1322377.6566666667</v>
      </c>
      <c r="D165" s="6">
        <v>2054551.1133333333</v>
      </c>
      <c r="E165" s="6">
        <v>3376928.77</v>
      </c>
      <c r="F165" s="6">
        <v>324631.13000000024</v>
      </c>
      <c r="G165" s="6">
        <v>-0.36000000000058208</v>
      </c>
      <c r="H165" s="6">
        <v>324630.77000000025</v>
      </c>
    </row>
    <row r="166" spans="1:8">
      <c r="A166" s="9" t="s">
        <v>188</v>
      </c>
      <c r="B166" s="185">
        <v>307613.80000000005</v>
      </c>
      <c r="C166" s="6">
        <v>150416.66666666666</v>
      </c>
      <c r="D166" s="6">
        <v>155250</v>
      </c>
      <c r="E166" s="6">
        <v>305666.66666666669</v>
      </c>
      <c r="F166" s="6">
        <v>0</v>
      </c>
      <c r="G166" s="6">
        <v>-1947.1333333333605</v>
      </c>
      <c r="H166" s="6">
        <v>-1947.1333333333605</v>
      </c>
    </row>
    <row r="167" spans="1:8">
      <c r="A167" s="187" t="s">
        <v>252</v>
      </c>
      <c r="B167" s="185">
        <v>307613.80000000005</v>
      </c>
      <c r="C167" s="6">
        <v>150416.66666666666</v>
      </c>
      <c r="D167" s="6">
        <v>155250</v>
      </c>
      <c r="E167" s="6">
        <v>305666.66666666669</v>
      </c>
      <c r="F167" s="6">
        <v>0</v>
      </c>
      <c r="G167" s="6">
        <v>-1947.1333333333605</v>
      </c>
      <c r="H167" s="6">
        <v>-1947.1333333333605</v>
      </c>
    </row>
    <row r="168" spans="1:8">
      <c r="A168" s="186" t="s">
        <v>16</v>
      </c>
      <c r="B168" s="185">
        <v>307613.80000000005</v>
      </c>
      <c r="C168" s="6">
        <v>150416.66666666666</v>
      </c>
      <c r="D168" s="6">
        <v>155250</v>
      </c>
      <c r="E168" s="6">
        <v>305666.66666666669</v>
      </c>
      <c r="F168" s="6">
        <v>0</v>
      </c>
      <c r="G168" s="6">
        <v>-1947.1333333333605</v>
      </c>
      <c r="H168" s="6">
        <v>-1947.1333333333605</v>
      </c>
    </row>
    <row r="169" spans="1:8">
      <c r="A169" s="9" t="s">
        <v>159</v>
      </c>
      <c r="B169" s="185">
        <v>141750</v>
      </c>
      <c r="C169" s="6">
        <v>0</v>
      </c>
      <c r="D169" s="6">
        <v>141750</v>
      </c>
      <c r="E169" s="6">
        <v>141750</v>
      </c>
      <c r="F169" s="6">
        <v>0</v>
      </c>
      <c r="G169" s="6">
        <v>0</v>
      </c>
      <c r="H169" s="6">
        <v>0</v>
      </c>
    </row>
    <row r="170" spans="1:8">
      <c r="A170" s="187" t="s">
        <v>252</v>
      </c>
      <c r="B170" s="185">
        <v>141750</v>
      </c>
      <c r="C170" s="6">
        <v>0</v>
      </c>
      <c r="D170" s="6">
        <v>141750</v>
      </c>
      <c r="E170" s="6">
        <v>141750</v>
      </c>
      <c r="F170" s="6">
        <v>0</v>
      </c>
      <c r="G170" s="6">
        <v>0</v>
      </c>
      <c r="H170" s="6">
        <v>0</v>
      </c>
    </row>
    <row r="171" spans="1:8">
      <c r="A171" s="186" t="s">
        <v>15</v>
      </c>
      <c r="B171" s="185">
        <v>141750</v>
      </c>
      <c r="C171" s="6">
        <v>0</v>
      </c>
      <c r="D171" s="6">
        <v>141750</v>
      </c>
      <c r="E171" s="6">
        <v>141750</v>
      </c>
      <c r="F171" s="6">
        <v>0</v>
      </c>
      <c r="G171" s="6">
        <v>0</v>
      </c>
      <c r="H171" s="6">
        <v>0</v>
      </c>
    </row>
    <row r="172" spans="1:8">
      <c r="A172" s="9" t="s">
        <v>132</v>
      </c>
      <c r="B172" s="185">
        <v>631511.9645</v>
      </c>
      <c r="C172" s="6">
        <v>425995.53499999992</v>
      </c>
      <c r="D172" s="6">
        <v>301817.94366666663</v>
      </c>
      <c r="E172" s="6">
        <v>727813.47866666666</v>
      </c>
      <c r="F172" s="6">
        <v>100631.95416666666</v>
      </c>
      <c r="G172" s="6">
        <v>-4330.4400000000023</v>
      </c>
      <c r="H172" s="6">
        <v>96301.51416666666</v>
      </c>
    </row>
    <row r="173" spans="1:8">
      <c r="A173" s="187" t="s">
        <v>251</v>
      </c>
      <c r="B173" s="185">
        <v>178500</v>
      </c>
      <c r="C173" s="6">
        <v>174169.56</v>
      </c>
      <c r="D173" s="6">
        <v>0</v>
      </c>
      <c r="E173" s="6">
        <v>174169.56</v>
      </c>
      <c r="F173" s="6">
        <v>0</v>
      </c>
      <c r="G173" s="6">
        <v>-4330.4400000000023</v>
      </c>
      <c r="H173" s="6">
        <v>-4330.4400000000023</v>
      </c>
    </row>
    <row r="174" spans="1:8">
      <c r="A174" s="186" t="s">
        <v>14</v>
      </c>
      <c r="B174" s="185">
        <v>178500</v>
      </c>
      <c r="C174" s="6">
        <v>174169.56</v>
      </c>
      <c r="D174" s="6">
        <v>0</v>
      </c>
      <c r="E174" s="6">
        <v>174169.56</v>
      </c>
      <c r="F174" s="6">
        <v>0</v>
      </c>
      <c r="G174" s="6">
        <v>-4330.4400000000023</v>
      </c>
      <c r="H174" s="6">
        <v>-4330.4400000000023</v>
      </c>
    </row>
    <row r="175" spans="1:8">
      <c r="A175" s="187" t="s">
        <v>252</v>
      </c>
      <c r="B175" s="185">
        <v>453011.9645</v>
      </c>
      <c r="C175" s="6">
        <v>251825.97499999995</v>
      </c>
      <c r="D175" s="6">
        <v>301817.94366666663</v>
      </c>
      <c r="E175" s="6">
        <v>553643.91866666661</v>
      </c>
      <c r="F175" s="6">
        <v>100631.95416666666</v>
      </c>
      <c r="G175" s="6">
        <v>0</v>
      </c>
      <c r="H175" s="6">
        <v>100631.95416666666</v>
      </c>
    </row>
    <row r="176" spans="1:8">
      <c r="A176" s="186" t="s">
        <v>16</v>
      </c>
      <c r="B176" s="185">
        <v>453011.9645</v>
      </c>
      <c r="C176" s="6">
        <v>251825.97499999995</v>
      </c>
      <c r="D176" s="6">
        <v>301817.94366666663</v>
      </c>
      <c r="E176" s="6">
        <v>553643.91866666661</v>
      </c>
      <c r="F176" s="6">
        <v>100631.95416666666</v>
      </c>
      <c r="G176" s="6">
        <v>0</v>
      </c>
      <c r="H176" s="6">
        <v>100631.95416666666</v>
      </c>
    </row>
    <row r="177" spans="1:8">
      <c r="A177" s="9" t="s">
        <v>146</v>
      </c>
      <c r="B177" s="185">
        <v>0</v>
      </c>
      <c r="C177" s="6">
        <v>17623.03</v>
      </c>
      <c r="D177" s="6">
        <v>0</v>
      </c>
      <c r="E177" s="6">
        <v>17623.03</v>
      </c>
      <c r="F177" s="6">
        <v>17623.03</v>
      </c>
      <c r="G177" s="6">
        <v>0</v>
      </c>
      <c r="H177" s="6">
        <v>17623.03</v>
      </c>
    </row>
    <row r="178" spans="1:8">
      <c r="A178" s="187" t="s">
        <v>252</v>
      </c>
      <c r="B178" s="185">
        <v>0</v>
      </c>
      <c r="C178" s="6">
        <v>17623.03</v>
      </c>
      <c r="D178" s="6">
        <v>0</v>
      </c>
      <c r="E178" s="6">
        <v>17623.03</v>
      </c>
      <c r="F178" s="6">
        <v>17623.03</v>
      </c>
      <c r="G178" s="6">
        <v>0</v>
      </c>
      <c r="H178" s="6">
        <v>17623.03</v>
      </c>
    </row>
    <row r="179" spans="1:8">
      <c r="A179" s="186" t="s">
        <v>15</v>
      </c>
      <c r="B179" s="185">
        <v>0</v>
      </c>
      <c r="C179" s="6">
        <v>17623.03</v>
      </c>
      <c r="D179" s="6">
        <v>0</v>
      </c>
      <c r="E179" s="6">
        <v>17623.03</v>
      </c>
      <c r="F179" s="6">
        <v>17623.03</v>
      </c>
      <c r="G179" s="6">
        <v>0</v>
      </c>
      <c r="H179" s="6">
        <v>17623.03</v>
      </c>
    </row>
    <row r="180" spans="1:8">
      <c r="A180" s="9" t="s">
        <v>161</v>
      </c>
      <c r="B180" s="185">
        <v>17099</v>
      </c>
      <c r="C180" s="6">
        <v>0</v>
      </c>
      <c r="D180" s="6">
        <v>17099</v>
      </c>
      <c r="E180" s="6">
        <v>17099</v>
      </c>
      <c r="F180" s="6">
        <v>0</v>
      </c>
      <c r="G180" s="6">
        <v>0</v>
      </c>
      <c r="H180" s="6">
        <v>0</v>
      </c>
    </row>
    <row r="181" spans="1:8">
      <c r="A181" s="187" t="s">
        <v>252</v>
      </c>
      <c r="B181" s="185">
        <v>17099</v>
      </c>
      <c r="C181" s="6">
        <v>0</v>
      </c>
      <c r="D181" s="6">
        <v>17099</v>
      </c>
      <c r="E181" s="6">
        <v>17099</v>
      </c>
      <c r="F181" s="6">
        <v>0</v>
      </c>
      <c r="G181" s="6">
        <v>0</v>
      </c>
      <c r="H181" s="6">
        <v>0</v>
      </c>
    </row>
    <row r="182" spans="1:8">
      <c r="A182" s="186" t="s">
        <v>15</v>
      </c>
      <c r="B182" s="185">
        <v>17099</v>
      </c>
      <c r="C182" s="6">
        <v>0</v>
      </c>
      <c r="D182" s="6">
        <v>17099</v>
      </c>
      <c r="E182" s="6">
        <v>17099</v>
      </c>
      <c r="F182" s="6">
        <v>0</v>
      </c>
      <c r="G182" s="6">
        <v>0</v>
      </c>
      <c r="H182" s="6">
        <v>0</v>
      </c>
    </row>
    <row r="183" spans="1:8">
      <c r="A183" s="9" t="s">
        <v>207</v>
      </c>
      <c r="B183" s="185">
        <v>298544.40000000002</v>
      </c>
      <c r="C183" s="6">
        <v>142164.185</v>
      </c>
      <c r="D183" s="6">
        <v>142164.185</v>
      </c>
      <c r="E183" s="6">
        <v>284328.36999999994</v>
      </c>
      <c r="F183" s="6">
        <v>0</v>
      </c>
      <c r="G183" s="6">
        <v>-14216.030000000086</v>
      </c>
      <c r="H183" s="6">
        <v>-14216.030000000086</v>
      </c>
    </row>
    <row r="184" spans="1:8">
      <c r="A184" s="187" t="s">
        <v>252</v>
      </c>
      <c r="B184" s="185">
        <v>298544.40000000002</v>
      </c>
      <c r="C184" s="6">
        <v>142164.185</v>
      </c>
      <c r="D184" s="6">
        <v>142164.185</v>
      </c>
      <c r="E184" s="6">
        <v>284328.36999999994</v>
      </c>
      <c r="F184" s="6">
        <v>0</v>
      </c>
      <c r="G184" s="6">
        <v>-14216.030000000086</v>
      </c>
      <c r="H184" s="6">
        <v>-14216.030000000086</v>
      </c>
    </row>
    <row r="185" spans="1:8">
      <c r="A185" s="186" t="s">
        <v>16</v>
      </c>
      <c r="B185" s="185">
        <v>298544.40000000002</v>
      </c>
      <c r="C185" s="6">
        <v>142164.185</v>
      </c>
      <c r="D185" s="6">
        <v>142164.185</v>
      </c>
      <c r="E185" s="6">
        <v>284328.36999999994</v>
      </c>
      <c r="F185" s="6">
        <v>0</v>
      </c>
      <c r="G185" s="6">
        <v>-14216.030000000086</v>
      </c>
      <c r="H185" s="6">
        <v>-14216.030000000086</v>
      </c>
    </row>
    <row r="186" spans="1:8">
      <c r="A186" s="9" t="s">
        <v>238</v>
      </c>
      <c r="B186" s="185">
        <v>100000</v>
      </c>
      <c r="C186" s="6">
        <v>113850</v>
      </c>
      <c r="D186" s="6">
        <v>0</v>
      </c>
      <c r="E186" s="6">
        <v>113850</v>
      </c>
      <c r="F186" s="6">
        <v>13850</v>
      </c>
      <c r="G186" s="6">
        <v>0</v>
      </c>
      <c r="H186" s="6">
        <v>13850</v>
      </c>
    </row>
    <row r="187" spans="1:8">
      <c r="A187" s="187" t="s">
        <v>252</v>
      </c>
      <c r="B187" s="185">
        <v>100000</v>
      </c>
      <c r="C187" s="6">
        <v>113850</v>
      </c>
      <c r="D187" s="6">
        <v>0</v>
      </c>
      <c r="E187" s="6">
        <v>113850</v>
      </c>
      <c r="F187" s="6">
        <v>13850</v>
      </c>
      <c r="G187" s="6">
        <v>0</v>
      </c>
      <c r="H187" s="6">
        <v>13850</v>
      </c>
    </row>
    <row r="188" spans="1:8">
      <c r="A188" s="186" t="s">
        <v>16</v>
      </c>
      <c r="B188" s="185">
        <v>100000</v>
      </c>
      <c r="C188" s="6">
        <v>113850</v>
      </c>
      <c r="D188" s="6">
        <v>0</v>
      </c>
      <c r="E188" s="6">
        <v>113850</v>
      </c>
      <c r="F188" s="6">
        <v>13850</v>
      </c>
      <c r="G188" s="6">
        <v>0</v>
      </c>
      <c r="H188" s="6">
        <v>13850</v>
      </c>
    </row>
    <row r="189" spans="1:8">
      <c r="A189" s="9" t="s">
        <v>209</v>
      </c>
      <c r="B189" s="185">
        <v>8435.7000000000007</v>
      </c>
      <c r="C189" s="6">
        <v>0</v>
      </c>
      <c r="D189" s="6">
        <v>8436</v>
      </c>
      <c r="E189" s="6">
        <v>8436</v>
      </c>
      <c r="F189" s="6">
        <v>0.2999999999992724</v>
      </c>
      <c r="G189" s="6">
        <v>0</v>
      </c>
      <c r="H189" s="6">
        <v>0.2999999999992724</v>
      </c>
    </row>
    <row r="190" spans="1:8">
      <c r="A190" s="187" t="s">
        <v>252</v>
      </c>
      <c r="B190" s="185">
        <v>8435.7000000000007</v>
      </c>
      <c r="C190" s="6">
        <v>0</v>
      </c>
      <c r="D190" s="6">
        <v>8436</v>
      </c>
      <c r="E190" s="6">
        <v>8436</v>
      </c>
      <c r="F190" s="6">
        <v>0.2999999999992724</v>
      </c>
      <c r="G190" s="6">
        <v>0</v>
      </c>
      <c r="H190" s="6">
        <v>0.2999999999992724</v>
      </c>
    </row>
    <row r="191" spans="1:8">
      <c r="A191" s="186" t="s">
        <v>16</v>
      </c>
      <c r="B191" s="185">
        <v>8435.7000000000007</v>
      </c>
      <c r="C191" s="6">
        <v>0</v>
      </c>
      <c r="D191" s="6">
        <v>8436</v>
      </c>
      <c r="E191" s="6">
        <v>8436</v>
      </c>
      <c r="F191" s="6">
        <v>0.2999999999992724</v>
      </c>
      <c r="G191" s="6">
        <v>0</v>
      </c>
      <c r="H191" s="6">
        <v>0.2999999999992724</v>
      </c>
    </row>
    <row r="192" spans="1:8">
      <c r="A192" s="9" t="s">
        <v>211</v>
      </c>
      <c r="B192" s="185">
        <v>411547.5</v>
      </c>
      <c r="C192" s="6">
        <v>272187.5</v>
      </c>
      <c r="D192" s="6">
        <v>272187.5</v>
      </c>
      <c r="E192" s="6">
        <v>544374.99999999988</v>
      </c>
      <c r="F192" s="6">
        <v>132827.49999999988</v>
      </c>
      <c r="G192" s="6">
        <v>0</v>
      </c>
      <c r="H192" s="6">
        <v>132827.49999999988</v>
      </c>
    </row>
    <row r="193" spans="1:8">
      <c r="A193" s="187" t="s">
        <v>252</v>
      </c>
      <c r="B193" s="185">
        <v>411547.5</v>
      </c>
      <c r="C193" s="6">
        <v>272187.5</v>
      </c>
      <c r="D193" s="6">
        <v>272187.5</v>
      </c>
      <c r="E193" s="6">
        <v>544374.99999999988</v>
      </c>
      <c r="F193" s="6">
        <v>132827.49999999988</v>
      </c>
      <c r="G193" s="6">
        <v>0</v>
      </c>
      <c r="H193" s="6">
        <v>132827.49999999988</v>
      </c>
    </row>
    <row r="194" spans="1:8">
      <c r="A194" s="186" t="s">
        <v>16</v>
      </c>
      <c r="B194" s="185">
        <v>411547.5</v>
      </c>
      <c r="C194" s="6">
        <v>272187.5</v>
      </c>
      <c r="D194" s="6">
        <v>272187.5</v>
      </c>
      <c r="E194" s="6">
        <v>544374.99999999988</v>
      </c>
      <c r="F194" s="6">
        <v>132827.49999999988</v>
      </c>
      <c r="G194" s="6">
        <v>0</v>
      </c>
      <c r="H194" s="6">
        <v>132827.49999999988</v>
      </c>
    </row>
    <row r="195" spans="1:8">
      <c r="A195" s="9" t="s">
        <v>254</v>
      </c>
      <c r="B195" s="185">
        <v>52500</v>
      </c>
      <c r="C195" s="6">
        <v>0</v>
      </c>
      <c r="D195" s="6">
        <v>52500</v>
      </c>
      <c r="E195" s="6">
        <v>52500</v>
      </c>
      <c r="F195" s="6">
        <v>0</v>
      </c>
      <c r="G195" s="6">
        <v>0</v>
      </c>
      <c r="H195" s="6">
        <v>0</v>
      </c>
    </row>
    <row r="196" spans="1:8">
      <c r="A196" s="187" t="s">
        <v>252</v>
      </c>
      <c r="B196" s="185">
        <v>52500</v>
      </c>
      <c r="C196" s="6">
        <v>0</v>
      </c>
      <c r="D196" s="6">
        <v>52500</v>
      </c>
      <c r="E196" s="6">
        <v>52500</v>
      </c>
      <c r="F196" s="6">
        <v>0</v>
      </c>
      <c r="G196" s="6">
        <v>0</v>
      </c>
      <c r="H196" s="6">
        <v>0</v>
      </c>
    </row>
    <row r="197" spans="1:8">
      <c r="A197" s="186" t="s">
        <v>12</v>
      </c>
      <c r="B197" s="185">
        <v>52500</v>
      </c>
      <c r="C197" s="6">
        <v>0</v>
      </c>
      <c r="D197" s="6">
        <v>52500</v>
      </c>
      <c r="E197" s="6">
        <v>52500</v>
      </c>
      <c r="F197" s="6">
        <v>0</v>
      </c>
      <c r="G197" s="6">
        <v>0</v>
      </c>
      <c r="H197" s="6">
        <v>0</v>
      </c>
    </row>
    <row r="198" spans="1:8">
      <c r="A198" s="9" t="s">
        <v>255</v>
      </c>
      <c r="B198" s="185"/>
      <c r="C198" s="6">
        <v>0</v>
      </c>
      <c r="D198" s="6">
        <v>80000</v>
      </c>
      <c r="E198" s="6">
        <v>80000</v>
      </c>
      <c r="F198" s="6">
        <v>80000</v>
      </c>
      <c r="G198" s="6">
        <v>0</v>
      </c>
      <c r="H198" s="6">
        <v>80000</v>
      </c>
    </row>
    <row r="199" spans="1:8">
      <c r="A199" s="187" t="s">
        <v>251</v>
      </c>
      <c r="B199" s="185"/>
      <c r="C199" s="6">
        <v>0</v>
      </c>
      <c r="D199" s="6">
        <v>80000</v>
      </c>
      <c r="E199" s="6">
        <v>80000</v>
      </c>
      <c r="F199" s="6">
        <v>80000</v>
      </c>
      <c r="G199" s="6">
        <v>0</v>
      </c>
      <c r="H199" s="6">
        <v>80000</v>
      </c>
    </row>
    <row r="200" spans="1:8">
      <c r="A200" s="186" t="s">
        <v>13</v>
      </c>
      <c r="B200" s="185"/>
      <c r="C200" s="6">
        <v>0</v>
      </c>
      <c r="D200" s="6">
        <v>80000</v>
      </c>
      <c r="E200" s="6">
        <v>80000</v>
      </c>
      <c r="F200" s="6">
        <v>80000</v>
      </c>
      <c r="G200" s="6">
        <v>0</v>
      </c>
      <c r="H200" s="6">
        <v>80000</v>
      </c>
    </row>
    <row r="201" spans="1:8">
      <c r="A201" s="9" t="s">
        <v>152</v>
      </c>
      <c r="B201" s="185">
        <v>12200</v>
      </c>
      <c r="C201" s="6">
        <v>0</v>
      </c>
      <c r="D201" s="6">
        <v>12200</v>
      </c>
      <c r="E201" s="6">
        <v>12200</v>
      </c>
      <c r="F201" s="6">
        <v>0</v>
      </c>
      <c r="G201" s="6">
        <v>0</v>
      </c>
      <c r="H201" s="6">
        <v>0</v>
      </c>
    </row>
    <row r="202" spans="1:8">
      <c r="A202" s="187" t="s">
        <v>252</v>
      </c>
      <c r="B202" s="185">
        <v>12200</v>
      </c>
      <c r="C202" s="6">
        <v>0</v>
      </c>
      <c r="D202" s="6">
        <v>12200</v>
      </c>
      <c r="E202" s="6">
        <v>12200</v>
      </c>
      <c r="F202" s="6">
        <v>0</v>
      </c>
      <c r="G202" s="6">
        <v>0</v>
      </c>
      <c r="H202" s="6">
        <v>0</v>
      </c>
    </row>
    <row r="203" spans="1:8">
      <c r="A203" s="186" t="s">
        <v>15</v>
      </c>
      <c r="B203" s="185">
        <v>12200</v>
      </c>
      <c r="C203" s="6">
        <v>0</v>
      </c>
      <c r="D203" s="6">
        <v>12200</v>
      </c>
      <c r="E203" s="6">
        <v>12200</v>
      </c>
      <c r="F203" s="6">
        <v>0</v>
      </c>
      <c r="G203" s="6">
        <v>0</v>
      </c>
      <c r="H203" s="6">
        <v>0</v>
      </c>
    </row>
    <row r="204" spans="1:8">
      <c r="A204" s="9" t="s">
        <v>240</v>
      </c>
      <c r="B204" s="185">
        <v>72888.816000000006</v>
      </c>
      <c r="C204" s="6">
        <v>69417.919999999998</v>
      </c>
      <c r="D204" s="6">
        <v>0</v>
      </c>
      <c r="E204" s="6">
        <v>69417.919999999998</v>
      </c>
      <c r="F204" s="6">
        <v>0</v>
      </c>
      <c r="G204" s="6">
        <v>-3470.8960000000079</v>
      </c>
      <c r="H204" s="6">
        <v>-3470.8960000000079</v>
      </c>
    </row>
    <row r="205" spans="1:8">
      <c r="A205" s="187" t="s">
        <v>252</v>
      </c>
      <c r="B205" s="185">
        <v>72888.816000000006</v>
      </c>
      <c r="C205" s="6">
        <v>69417.919999999998</v>
      </c>
      <c r="D205" s="6">
        <v>0</v>
      </c>
      <c r="E205" s="6">
        <v>69417.919999999998</v>
      </c>
      <c r="F205" s="6">
        <v>0</v>
      </c>
      <c r="G205" s="6">
        <v>-3470.8960000000079</v>
      </c>
      <c r="H205" s="6">
        <v>-3470.8960000000079</v>
      </c>
    </row>
    <row r="206" spans="1:8">
      <c r="A206" s="186" t="s">
        <v>16</v>
      </c>
      <c r="B206" s="185">
        <v>72888.816000000006</v>
      </c>
      <c r="C206" s="6">
        <v>69417.919999999998</v>
      </c>
      <c r="D206" s="6">
        <v>0</v>
      </c>
      <c r="E206" s="6">
        <v>69417.919999999998</v>
      </c>
      <c r="F206" s="6">
        <v>0</v>
      </c>
      <c r="G206" s="6">
        <v>-3470.8960000000079</v>
      </c>
      <c r="H206" s="6">
        <v>-3470.8960000000079</v>
      </c>
    </row>
    <row r="207" spans="1:8">
      <c r="A207" s="9" t="s">
        <v>100</v>
      </c>
      <c r="B207" s="185">
        <v>3150</v>
      </c>
      <c r="C207" s="6">
        <v>3000</v>
      </c>
      <c r="D207" s="6">
        <v>0</v>
      </c>
      <c r="E207" s="6">
        <v>3000</v>
      </c>
      <c r="F207" s="6">
        <v>0</v>
      </c>
      <c r="G207" s="6">
        <v>-150</v>
      </c>
      <c r="H207" s="6">
        <v>-150</v>
      </c>
    </row>
    <row r="208" spans="1:8">
      <c r="A208" s="187" t="s">
        <v>252</v>
      </c>
      <c r="B208" s="185">
        <v>3150</v>
      </c>
      <c r="C208" s="6">
        <v>3000</v>
      </c>
      <c r="D208" s="6">
        <v>0</v>
      </c>
      <c r="E208" s="6">
        <v>3000</v>
      </c>
      <c r="F208" s="6">
        <v>0</v>
      </c>
      <c r="G208" s="6">
        <v>-150</v>
      </c>
      <c r="H208" s="6">
        <v>-150</v>
      </c>
    </row>
    <row r="209" spans="1:8">
      <c r="A209" s="186" t="s">
        <v>12</v>
      </c>
      <c r="B209" s="185">
        <v>3150</v>
      </c>
      <c r="C209" s="6">
        <v>3000</v>
      </c>
      <c r="D209" s="6">
        <v>0</v>
      </c>
      <c r="E209" s="6">
        <v>3000</v>
      </c>
      <c r="F209" s="6">
        <v>0</v>
      </c>
      <c r="G209" s="6">
        <v>-150</v>
      </c>
      <c r="H209" s="6">
        <v>-150</v>
      </c>
    </row>
    <row r="210" spans="1:8">
      <c r="A210" s="9" t="s">
        <v>179</v>
      </c>
      <c r="B210" s="185">
        <v>51930.15</v>
      </c>
      <c r="C210" s="6">
        <v>46713</v>
      </c>
      <c r="D210" s="6">
        <v>7470</v>
      </c>
      <c r="E210" s="6">
        <v>54183</v>
      </c>
      <c r="F210" s="6">
        <v>2252.8499999999985</v>
      </c>
      <c r="G210" s="6">
        <v>0</v>
      </c>
      <c r="H210" s="6">
        <v>2252.8499999999985</v>
      </c>
    </row>
    <row r="211" spans="1:8">
      <c r="A211" s="187" t="s">
        <v>252</v>
      </c>
      <c r="B211" s="185">
        <v>51930.15</v>
      </c>
      <c r="C211" s="6">
        <v>46713</v>
      </c>
      <c r="D211" s="6">
        <v>7470</v>
      </c>
      <c r="E211" s="6">
        <v>54183</v>
      </c>
      <c r="F211" s="6">
        <v>2252.8499999999985</v>
      </c>
      <c r="G211" s="6">
        <v>0</v>
      </c>
      <c r="H211" s="6">
        <v>2252.8499999999985</v>
      </c>
    </row>
    <row r="212" spans="1:8">
      <c r="A212" s="186" t="s">
        <v>16</v>
      </c>
      <c r="B212" s="185">
        <v>51930.15</v>
      </c>
      <c r="C212" s="6">
        <v>46713</v>
      </c>
      <c r="D212" s="6">
        <v>7470</v>
      </c>
      <c r="E212" s="6">
        <v>54183</v>
      </c>
      <c r="F212" s="6">
        <v>2252.8499999999985</v>
      </c>
      <c r="G212" s="6">
        <v>0</v>
      </c>
      <c r="H212" s="6">
        <v>2252.8499999999985</v>
      </c>
    </row>
    <row r="213" spans="1:8">
      <c r="A213" s="9" t="s">
        <v>242</v>
      </c>
      <c r="B213" s="185">
        <v>139031.20000000001</v>
      </c>
      <c r="C213" s="6">
        <v>68376</v>
      </c>
      <c r="D213" s="6">
        <v>70655.666666666672</v>
      </c>
      <c r="E213" s="6">
        <v>139031.66666666669</v>
      </c>
      <c r="F213" s="6">
        <v>0.46666666667442769</v>
      </c>
      <c r="G213" s="6">
        <v>0</v>
      </c>
      <c r="H213" s="6">
        <v>0.46666666667442769</v>
      </c>
    </row>
    <row r="214" spans="1:8">
      <c r="A214" s="187" t="s">
        <v>252</v>
      </c>
      <c r="B214" s="185">
        <v>139031.20000000001</v>
      </c>
      <c r="C214" s="6">
        <v>68376</v>
      </c>
      <c r="D214" s="6">
        <v>70655.666666666672</v>
      </c>
      <c r="E214" s="6">
        <v>139031.66666666669</v>
      </c>
      <c r="F214" s="6">
        <v>0.46666666667442769</v>
      </c>
      <c r="G214" s="6">
        <v>0</v>
      </c>
      <c r="H214" s="6">
        <v>0.46666666667442769</v>
      </c>
    </row>
    <row r="215" spans="1:8">
      <c r="A215" s="186" t="s">
        <v>16</v>
      </c>
      <c r="B215" s="185">
        <v>139031.20000000001</v>
      </c>
      <c r="C215" s="6">
        <v>68376</v>
      </c>
      <c r="D215" s="6">
        <v>70655.666666666672</v>
      </c>
      <c r="E215" s="6">
        <v>139031.66666666669</v>
      </c>
      <c r="F215" s="6">
        <v>0.46666666667442769</v>
      </c>
      <c r="G215" s="6">
        <v>0</v>
      </c>
      <c r="H215" s="6">
        <v>0.46666666667442769</v>
      </c>
    </row>
    <row r="216" spans="1:8">
      <c r="A216" s="9" t="s">
        <v>71</v>
      </c>
      <c r="B216" s="185">
        <v>297450.41749999998</v>
      </c>
      <c r="C216" s="6">
        <v>29560.5</v>
      </c>
      <c r="D216" s="6">
        <v>268030.5</v>
      </c>
      <c r="E216" s="6">
        <v>297591</v>
      </c>
      <c r="F216" s="6">
        <v>140.58250000000174</v>
      </c>
      <c r="G216" s="6">
        <v>0</v>
      </c>
      <c r="H216" s="6">
        <v>140.58250000000174</v>
      </c>
    </row>
    <row r="217" spans="1:8">
      <c r="A217" s="187" t="s">
        <v>252</v>
      </c>
      <c r="B217" s="185">
        <v>297450.41749999998</v>
      </c>
      <c r="C217" s="6">
        <v>29560.5</v>
      </c>
      <c r="D217" s="6">
        <v>268030.5</v>
      </c>
      <c r="E217" s="6">
        <v>297591</v>
      </c>
      <c r="F217" s="6">
        <v>140.58250000000174</v>
      </c>
      <c r="G217" s="6">
        <v>0</v>
      </c>
      <c r="H217" s="6">
        <v>140.58250000000174</v>
      </c>
    </row>
    <row r="218" spans="1:8">
      <c r="A218" s="186" t="s">
        <v>11</v>
      </c>
      <c r="B218" s="185">
        <v>81590</v>
      </c>
      <c r="C218" s="6">
        <v>28463.33</v>
      </c>
      <c r="D218" s="6">
        <v>53127</v>
      </c>
      <c r="E218" s="6">
        <v>81590.33</v>
      </c>
      <c r="F218" s="6">
        <v>0.33000000000174623</v>
      </c>
      <c r="G218" s="6">
        <v>0</v>
      </c>
      <c r="H218" s="6">
        <v>0.33000000000174623</v>
      </c>
    </row>
    <row r="219" spans="1:8">
      <c r="A219" s="186" t="s">
        <v>12</v>
      </c>
      <c r="B219" s="185">
        <v>0</v>
      </c>
      <c r="C219" s="6">
        <v>139.94</v>
      </c>
      <c r="D219" s="6">
        <v>0</v>
      </c>
      <c r="E219" s="6">
        <v>139.94</v>
      </c>
      <c r="F219" s="6">
        <v>139.94</v>
      </c>
      <c r="G219" s="6">
        <v>0</v>
      </c>
      <c r="H219" s="6">
        <v>139.94</v>
      </c>
    </row>
    <row r="220" spans="1:8">
      <c r="A220" s="186" t="s">
        <v>16</v>
      </c>
      <c r="B220" s="185">
        <v>215860.41749999998</v>
      </c>
      <c r="C220" s="6">
        <v>957.23</v>
      </c>
      <c r="D220" s="6">
        <v>214903.5</v>
      </c>
      <c r="E220" s="6">
        <v>215860.72999999998</v>
      </c>
      <c r="F220" s="6">
        <v>0.3125</v>
      </c>
      <c r="G220" s="6">
        <v>0</v>
      </c>
      <c r="H220" s="6">
        <v>0.3125</v>
      </c>
    </row>
    <row r="221" spans="1:8">
      <c r="A221" s="9" t="s">
        <v>215</v>
      </c>
      <c r="B221" s="185">
        <v>39305.700000000004</v>
      </c>
      <c r="C221" s="6">
        <v>2808</v>
      </c>
      <c r="D221" s="6">
        <v>36498</v>
      </c>
      <c r="E221" s="6">
        <v>39306</v>
      </c>
      <c r="F221" s="6">
        <v>0.29999999999563443</v>
      </c>
      <c r="G221" s="6">
        <v>0</v>
      </c>
      <c r="H221" s="6">
        <v>0.29999999999563443</v>
      </c>
    </row>
    <row r="222" spans="1:8">
      <c r="A222" s="187" t="s">
        <v>252</v>
      </c>
      <c r="B222" s="185">
        <v>39305.700000000004</v>
      </c>
      <c r="C222" s="6">
        <v>2808</v>
      </c>
      <c r="D222" s="6">
        <v>36498</v>
      </c>
      <c r="E222" s="6">
        <v>39306</v>
      </c>
      <c r="F222" s="6">
        <v>0.29999999999563443</v>
      </c>
      <c r="G222" s="6">
        <v>0</v>
      </c>
      <c r="H222" s="6">
        <v>0.29999999999563443</v>
      </c>
    </row>
    <row r="223" spans="1:8">
      <c r="A223" s="186" t="s">
        <v>16</v>
      </c>
      <c r="B223" s="185">
        <v>39305.700000000004</v>
      </c>
      <c r="C223" s="6">
        <v>2808</v>
      </c>
      <c r="D223" s="6">
        <v>36498</v>
      </c>
      <c r="E223" s="6">
        <v>39306</v>
      </c>
      <c r="F223" s="6">
        <v>0.29999999999563443</v>
      </c>
      <c r="G223" s="6">
        <v>0</v>
      </c>
      <c r="H223" s="6">
        <v>0.29999999999563443</v>
      </c>
    </row>
    <row r="224" spans="1:8">
      <c r="A224" s="9" t="s">
        <v>223</v>
      </c>
      <c r="B224" s="185">
        <v>160000</v>
      </c>
      <c r="C224" s="6">
        <v>75000</v>
      </c>
      <c r="D224" s="6">
        <v>85000</v>
      </c>
      <c r="E224" s="6">
        <v>160000</v>
      </c>
      <c r="F224" s="6">
        <v>0</v>
      </c>
      <c r="G224" s="6">
        <v>0</v>
      </c>
      <c r="H224" s="6">
        <v>0</v>
      </c>
    </row>
    <row r="225" spans="1:8">
      <c r="A225" s="187" t="s">
        <v>252</v>
      </c>
      <c r="B225" s="185">
        <v>160000</v>
      </c>
      <c r="C225" s="6">
        <v>75000</v>
      </c>
      <c r="D225" s="6">
        <v>85000</v>
      </c>
      <c r="E225" s="6">
        <v>160000</v>
      </c>
      <c r="F225" s="6">
        <v>0</v>
      </c>
      <c r="G225" s="6">
        <v>0</v>
      </c>
      <c r="H225" s="6">
        <v>0</v>
      </c>
    </row>
    <row r="226" spans="1:8">
      <c r="A226" s="186" t="s">
        <v>16</v>
      </c>
      <c r="B226" s="185">
        <v>160000</v>
      </c>
      <c r="C226" s="6">
        <v>75000</v>
      </c>
      <c r="D226" s="6">
        <v>85000</v>
      </c>
      <c r="E226" s="6">
        <v>160000</v>
      </c>
      <c r="F226" s="6">
        <v>0</v>
      </c>
      <c r="G226" s="6">
        <v>0</v>
      </c>
      <c r="H226" s="6">
        <v>0</v>
      </c>
    </row>
    <row r="227" spans="1:8">
      <c r="A227" s="9" t="s">
        <v>244</v>
      </c>
      <c r="B227" s="185">
        <v>70432.698000000004</v>
      </c>
      <c r="C227" s="6">
        <v>1063.52</v>
      </c>
      <c r="D227" s="6">
        <v>69368.698000000004</v>
      </c>
      <c r="E227" s="6">
        <v>70432.217999999993</v>
      </c>
      <c r="F227" s="6">
        <v>0</v>
      </c>
      <c r="G227" s="6">
        <v>-0.48000000001047738</v>
      </c>
      <c r="H227" s="6">
        <v>-0.48000000001047738</v>
      </c>
    </row>
    <row r="228" spans="1:8">
      <c r="A228" s="187" t="s">
        <v>252</v>
      </c>
      <c r="B228" s="185">
        <v>70432.698000000004</v>
      </c>
      <c r="C228" s="6">
        <v>1063.52</v>
      </c>
      <c r="D228" s="6">
        <v>69368.698000000004</v>
      </c>
      <c r="E228" s="6">
        <v>70432.217999999993</v>
      </c>
      <c r="F228" s="6">
        <v>0</v>
      </c>
      <c r="G228" s="6">
        <v>-0.48000000001047738</v>
      </c>
      <c r="H228" s="6">
        <v>-0.48000000001047738</v>
      </c>
    </row>
    <row r="229" spans="1:8">
      <c r="A229" s="186" t="s">
        <v>16</v>
      </c>
      <c r="B229" s="185">
        <v>70432.698000000004</v>
      </c>
      <c r="C229" s="6">
        <v>1063.52</v>
      </c>
      <c r="D229" s="6">
        <v>69368.698000000004</v>
      </c>
      <c r="E229" s="6">
        <v>70432.217999999993</v>
      </c>
      <c r="F229" s="6">
        <v>0</v>
      </c>
      <c r="G229" s="6">
        <v>-0.48000000001047738</v>
      </c>
      <c r="H229" s="6">
        <v>-0.48000000001047738</v>
      </c>
    </row>
    <row r="230" spans="1:8">
      <c r="A230" s="9" t="s">
        <v>191</v>
      </c>
      <c r="B230" s="185">
        <v>5407.5</v>
      </c>
      <c r="C230" s="6">
        <v>0</v>
      </c>
      <c r="D230" s="6">
        <v>5407.5</v>
      </c>
      <c r="E230" s="6">
        <v>5407.5</v>
      </c>
      <c r="F230" s="6">
        <v>0</v>
      </c>
      <c r="G230" s="6">
        <v>0</v>
      </c>
      <c r="H230" s="6">
        <v>0</v>
      </c>
    </row>
    <row r="231" spans="1:8">
      <c r="A231" s="187" t="s">
        <v>252</v>
      </c>
      <c r="B231" s="185">
        <v>5407.5</v>
      </c>
      <c r="C231" s="6">
        <v>0</v>
      </c>
      <c r="D231" s="6">
        <v>5407.5</v>
      </c>
      <c r="E231" s="6">
        <v>5407.5</v>
      </c>
      <c r="F231" s="6">
        <v>0</v>
      </c>
      <c r="G231" s="6">
        <v>0</v>
      </c>
      <c r="H231" s="6">
        <v>0</v>
      </c>
    </row>
    <row r="232" spans="1:8">
      <c r="A232" s="186" t="s">
        <v>16</v>
      </c>
      <c r="B232" s="185">
        <v>5407.5</v>
      </c>
      <c r="C232" s="6">
        <v>0</v>
      </c>
      <c r="D232" s="6">
        <v>5407.5</v>
      </c>
      <c r="E232" s="6">
        <v>5407.5</v>
      </c>
      <c r="F232" s="6">
        <v>0</v>
      </c>
      <c r="G232" s="6">
        <v>0</v>
      </c>
      <c r="H232" s="6">
        <v>0</v>
      </c>
    </row>
    <row r="233" spans="1:8">
      <c r="A233" s="9" t="s">
        <v>217</v>
      </c>
      <c r="B233" s="185">
        <v>174825</v>
      </c>
      <c r="C233" s="6">
        <v>87412.5</v>
      </c>
      <c r="D233" s="6">
        <v>87412.5</v>
      </c>
      <c r="E233" s="6">
        <v>174825</v>
      </c>
      <c r="F233" s="6">
        <v>0</v>
      </c>
      <c r="G233" s="6">
        <v>0</v>
      </c>
      <c r="H233" s="6">
        <v>0</v>
      </c>
    </row>
    <row r="234" spans="1:8">
      <c r="A234" s="187" t="s">
        <v>252</v>
      </c>
      <c r="B234" s="185">
        <v>174825</v>
      </c>
      <c r="C234" s="6">
        <v>87412.5</v>
      </c>
      <c r="D234" s="6">
        <v>87412.5</v>
      </c>
      <c r="E234" s="6">
        <v>174825</v>
      </c>
      <c r="F234" s="6">
        <v>0</v>
      </c>
      <c r="G234" s="6">
        <v>0</v>
      </c>
      <c r="H234" s="6">
        <v>0</v>
      </c>
    </row>
    <row r="235" spans="1:8">
      <c r="A235" s="186" t="s">
        <v>16</v>
      </c>
      <c r="B235" s="185">
        <v>174825</v>
      </c>
      <c r="C235" s="6">
        <v>87412.5</v>
      </c>
      <c r="D235" s="6">
        <v>87412.5</v>
      </c>
      <c r="E235" s="6">
        <v>174825</v>
      </c>
      <c r="F235" s="6">
        <v>0</v>
      </c>
      <c r="G235" s="6">
        <v>0</v>
      </c>
      <c r="H235" s="6">
        <v>0</v>
      </c>
    </row>
    <row r="236" spans="1:8">
      <c r="A236" s="9" t="s">
        <v>225</v>
      </c>
      <c r="B236" s="185">
        <v>187499.9</v>
      </c>
      <c r="C236" s="6">
        <v>68500</v>
      </c>
      <c r="D236" s="6">
        <v>119000</v>
      </c>
      <c r="E236" s="6">
        <v>187500</v>
      </c>
      <c r="F236" s="6">
        <v>0.10000000000582077</v>
      </c>
      <c r="G236" s="6">
        <v>0</v>
      </c>
      <c r="H236" s="6">
        <v>0.10000000000582077</v>
      </c>
    </row>
    <row r="237" spans="1:8">
      <c r="A237" s="187" t="s">
        <v>252</v>
      </c>
      <c r="B237" s="185">
        <v>187499.9</v>
      </c>
      <c r="C237" s="6">
        <v>68500</v>
      </c>
      <c r="D237" s="6">
        <v>119000</v>
      </c>
      <c r="E237" s="6">
        <v>187500</v>
      </c>
      <c r="F237" s="6">
        <v>0.10000000000582077</v>
      </c>
      <c r="G237" s="6">
        <v>0</v>
      </c>
      <c r="H237" s="6">
        <v>0.10000000000582077</v>
      </c>
    </row>
    <row r="238" spans="1:8">
      <c r="A238" s="186" t="s">
        <v>16</v>
      </c>
      <c r="B238" s="185">
        <v>187499.9</v>
      </c>
      <c r="C238" s="6">
        <v>68500</v>
      </c>
      <c r="D238" s="6">
        <v>119000</v>
      </c>
      <c r="E238" s="6">
        <v>187500</v>
      </c>
      <c r="F238" s="6">
        <v>0.10000000000582077</v>
      </c>
      <c r="G238" s="6">
        <v>0</v>
      </c>
      <c r="H238" s="6">
        <v>0.10000000000582077</v>
      </c>
    </row>
    <row r="239" spans="1:8">
      <c r="A239" s="9" t="s">
        <v>148</v>
      </c>
      <c r="B239" s="185">
        <v>67470</v>
      </c>
      <c r="C239" s="6">
        <v>34242.9</v>
      </c>
      <c r="D239" s="6">
        <v>33735</v>
      </c>
      <c r="E239" s="6">
        <v>67977.899999999994</v>
      </c>
      <c r="F239" s="6">
        <v>507.89999999999418</v>
      </c>
      <c r="G239" s="6">
        <v>0</v>
      </c>
      <c r="H239" s="6">
        <v>507.89999999999418</v>
      </c>
    </row>
    <row r="240" spans="1:8">
      <c r="A240" s="187" t="s">
        <v>252</v>
      </c>
      <c r="B240" s="185">
        <v>67470</v>
      </c>
      <c r="C240" s="6">
        <v>34242.9</v>
      </c>
      <c r="D240" s="6">
        <v>33735</v>
      </c>
      <c r="E240" s="6">
        <v>67977.899999999994</v>
      </c>
      <c r="F240" s="6">
        <v>507.89999999999418</v>
      </c>
      <c r="G240" s="6">
        <v>0</v>
      </c>
      <c r="H240" s="6">
        <v>507.89999999999418</v>
      </c>
    </row>
    <row r="241" spans="1:8">
      <c r="A241" s="186" t="s">
        <v>15</v>
      </c>
      <c r="B241" s="185">
        <v>67470</v>
      </c>
      <c r="C241" s="6">
        <v>34242.9</v>
      </c>
      <c r="D241" s="6">
        <v>33735</v>
      </c>
      <c r="E241" s="6">
        <v>67977.899999999994</v>
      </c>
      <c r="F241" s="6">
        <v>507.89999999999418</v>
      </c>
      <c r="G241" s="6">
        <v>0</v>
      </c>
      <c r="H241" s="6">
        <v>507.89999999999418</v>
      </c>
    </row>
    <row r="242" spans="1:8">
      <c r="A242" s="9" t="s">
        <v>150</v>
      </c>
      <c r="B242" s="185">
        <v>25000</v>
      </c>
      <c r="C242" s="6">
        <v>0</v>
      </c>
      <c r="D242" s="6">
        <v>25000</v>
      </c>
      <c r="E242" s="6">
        <v>25000</v>
      </c>
      <c r="F242" s="6">
        <v>0</v>
      </c>
      <c r="G242" s="6">
        <v>0</v>
      </c>
      <c r="H242" s="6">
        <v>0</v>
      </c>
    </row>
    <row r="243" spans="1:8">
      <c r="A243" s="187" t="s">
        <v>252</v>
      </c>
      <c r="B243" s="185">
        <v>25000</v>
      </c>
      <c r="C243" s="6">
        <v>0</v>
      </c>
      <c r="D243" s="6">
        <v>25000</v>
      </c>
      <c r="E243" s="6">
        <v>25000</v>
      </c>
      <c r="F243" s="6">
        <v>0</v>
      </c>
      <c r="G243" s="6">
        <v>0</v>
      </c>
      <c r="H243" s="6">
        <v>0</v>
      </c>
    </row>
    <row r="244" spans="1:8">
      <c r="A244" s="186" t="s">
        <v>15</v>
      </c>
      <c r="B244" s="185">
        <v>25000</v>
      </c>
      <c r="C244" s="6">
        <v>0</v>
      </c>
      <c r="D244" s="6">
        <v>25000</v>
      </c>
      <c r="E244" s="6">
        <v>25000</v>
      </c>
      <c r="F244" s="6">
        <v>0</v>
      </c>
      <c r="G244" s="6">
        <v>0</v>
      </c>
      <c r="H244" s="6">
        <v>0</v>
      </c>
    </row>
    <row r="245" spans="1:8">
      <c r="A245" s="9" t="s">
        <v>103</v>
      </c>
      <c r="B245" s="185">
        <v>421713.07500000007</v>
      </c>
      <c r="C245" s="6">
        <v>177841.76</v>
      </c>
      <c r="D245" s="6">
        <v>215029.5</v>
      </c>
      <c r="E245" s="6">
        <v>392871.25999999995</v>
      </c>
      <c r="F245" s="6">
        <v>0</v>
      </c>
      <c r="G245" s="6">
        <v>-28841.815000000119</v>
      </c>
      <c r="H245" s="6">
        <v>-28841.815000000119</v>
      </c>
    </row>
    <row r="246" spans="1:8">
      <c r="A246" s="187" t="s">
        <v>252</v>
      </c>
      <c r="B246" s="185">
        <v>421713.07500000007</v>
      </c>
      <c r="C246" s="6">
        <v>177841.76</v>
      </c>
      <c r="D246" s="6">
        <v>215029.5</v>
      </c>
      <c r="E246" s="6">
        <v>392871.25999999995</v>
      </c>
      <c r="F246" s="6">
        <v>0</v>
      </c>
      <c r="G246" s="6">
        <v>-28841.815000000119</v>
      </c>
      <c r="H246" s="6">
        <v>-28841.815000000119</v>
      </c>
    </row>
    <row r="247" spans="1:8">
      <c r="A247" s="186" t="s">
        <v>12</v>
      </c>
      <c r="B247" s="185">
        <v>421713.07500000007</v>
      </c>
      <c r="C247" s="6">
        <v>177841.76</v>
      </c>
      <c r="D247" s="6">
        <v>215029.5</v>
      </c>
      <c r="E247" s="6">
        <v>392871.25999999995</v>
      </c>
      <c r="F247" s="6">
        <v>0</v>
      </c>
      <c r="G247" s="6">
        <v>-28841.815000000119</v>
      </c>
      <c r="H247" s="6">
        <v>-28841.815000000119</v>
      </c>
    </row>
    <row r="248" spans="1:8">
      <c r="A248" s="9" t="s">
        <v>130</v>
      </c>
      <c r="B248" s="185">
        <v>190000</v>
      </c>
      <c r="C248" s="6">
        <v>80950</v>
      </c>
      <c r="D248" s="6">
        <v>35700</v>
      </c>
      <c r="E248" s="6">
        <v>116650</v>
      </c>
      <c r="F248" s="6">
        <v>0</v>
      </c>
      <c r="G248" s="6">
        <v>-73350</v>
      </c>
      <c r="H248" s="6">
        <v>-73350</v>
      </c>
    </row>
    <row r="249" spans="1:8">
      <c r="A249" s="187" t="s">
        <v>251</v>
      </c>
      <c r="B249" s="185">
        <v>190000</v>
      </c>
      <c r="C249" s="6">
        <v>80950</v>
      </c>
      <c r="D249" s="6">
        <v>35700</v>
      </c>
      <c r="E249" s="6">
        <v>116650</v>
      </c>
      <c r="F249" s="6">
        <v>0</v>
      </c>
      <c r="G249" s="6">
        <v>-73350</v>
      </c>
      <c r="H249" s="6">
        <v>-73350</v>
      </c>
    </row>
    <row r="250" spans="1:8">
      <c r="A250" s="186" t="s">
        <v>14</v>
      </c>
      <c r="B250" s="185">
        <v>190000</v>
      </c>
      <c r="C250" s="6">
        <v>80950</v>
      </c>
      <c r="D250" s="6">
        <v>35700</v>
      </c>
      <c r="E250" s="6">
        <v>116650</v>
      </c>
      <c r="F250" s="6">
        <v>0</v>
      </c>
      <c r="G250" s="6">
        <v>-73350</v>
      </c>
      <c r="H250" s="6">
        <v>-73350</v>
      </c>
    </row>
    <row r="251" spans="1:8">
      <c r="A251" s="9" t="s">
        <v>192</v>
      </c>
      <c r="B251" s="185">
        <v>61830</v>
      </c>
      <c r="C251" s="6">
        <v>0</v>
      </c>
      <c r="D251" s="6">
        <v>61830</v>
      </c>
      <c r="E251" s="6">
        <v>61830</v>
      </c>
      <c r="F251" s="6">
        <v>0</v>
      </c>
      <c r="G251" s="6">
        <v>0</v>
      </c>
      <c r="H251" s="6">
        <v>0</v>
      </c>
    </row>
    <row r="252" spans="1:8">
      <c r="A252" s="187" t="s">
        <v>252</v>
      </c>
      <c r="B252" s="185">
        <v>61830</v>
      </c>
      <c r="C252" s="6">
        <v>0</v>
      </c>
      <c r="D252" s="6">
        <v>61830</v>
      </c>
      <c r="E252" s="6">
        <v>61830</v>
      </c>
      <c r="F252" s="6">
        <v>0</v>
      </c>
      <c r="G252" s="6">
        <v>0</v>
      </c>
      <c r="H252" s="6">
        <v>0</v>
      </c>
    </row>
    <row r="253" spans="1:8">
      <c r="A253" s="186" t="s">
        <v>16</v>
      </c>
      <c r="B253" s="185">
        <v>61830</v>
      </c>
      <c r="C253" s="6">
        <v>0</v>
      </c>
      <c r="D253" s="6">
        <v>61830</v>
      </c>
      <c r="E253" s="6">
        <v>61830</v>
      </c>
      <c r="F253" s="6">
        <v>0</v>
      </c>
      <c r="G253" s="6">
        <v>0</v>
      </c>
      <c r="H253" s="6">
        <v>0</v>
      </c>
    </row>
    <row r="254" spans="1:8">
      <c r="A254" s="9" t="s">
        <v>246</v>
      </c>
      <c r="B254" s="185">
        <v>440671.35000000003</v>
      </c>
      <c r="C254" s="6">
        <v>144936.80000000002</v>
      </c>
      <c r="D254" s="6">
        <v>295734.20000000007</v>
      </c>
      <c r="E254" s="6">
        <v>440671.00000000012</v>
      </c>
      <c r="F254" s="6">
        <v>0</v>
      </c>
      <c r="G254" s="6">
        <v>-0.34999999991850927</v>
      </c>
      <c r="H254" s="6">
        <v>-0.34999999991850927</v>
      </c>
    </row>
    <row r="255" spans="1:8">
      <c r="A255" s="187" t="s">
        <v>252</v>
      </c>
      <c r="B255" s="185">
        <v>440671.35000000003</v>
      </c>
      <c r="C255" s="6">
        <v>144936.80000000002</v>
      </c>
      <c r="D255" s="6">
        <v>295734.20000000007</v>
      </c>
      <c r="E255" s="6">
        <v>440671.00000000012</v>
      </c>
      <c r="F255" s="6">
        <v>0</v>
      </c>
      <c r="G255" s="6">
        <v>-0.34999999991850927</v>
      </c>
      <c r="H255" s="6">
        <v>-0.34999999991850927</v>
      </c>
    </row>
    <row r="256" spans="1:8">
      <c r="A256" s="186" t="s">
        <v>16</v>
      </c>
      <c r="B256" s="185">
        <v>440671.35000000003</v>
      </c>
      <c r="C256" s="6">
        <v>144936.80000000002</v>
      </c>
      <c r="D256" s="6">
        <v>295734.20000000007</v>
      </c>
      <c r="E256" s="6">
        <v>440671.00000000012</v>
      </c>
      <c r="F256" s="6">
        <v>0</v>
      </c>
      <c r="G256" s="6">
        <v>-0.34999999991850927</v>
      </c>
      <c r="H256" s="6">
        <v>-0.34999999991850927</v>
      </c>
    </row>
    <row r="257" spans="1:8">
      <c r="A257" s="9" t="s">
        <v>105</v>
      </c>
      <c r="B257" s="185">
        <v>15750</v>
      </c>
      <c r="C257" s="6">
        <v>0</v>
      </c>
      <c r="D257" s="6">
        <v>15750</v>
      </c>
      <c r="E257" s="6">
        <v>15750</v>
      </c>
      <c r="F257" s="6">
        <v>0</v>
      </c>
      <c r="G257" s="6">
        <v>0</v>
      </c>
      <c r="H257" s="6">
        <v>0</v>
      </c>
    </row>
    <row r="258" spans="1:8">
      <c r="A258" s="187" t="s">
        <v>252</v>
      </c>
      <c r="B258" s="185">
        <v>15750</v>
      </c>
      <c r="C258" s="6">
        <v>0</v>
      </c>
      <c r="D258" s="6">
        <v>15750</v>
      </c>
      <c r="E258" s="6">
        <v>15750</v>
      </c>
      <c r="F258" s="6">
        <v>0</v>
      </c>
      <c r="G258" s="6">
        <v>0</v>
      </c>
      <c r="H258" s="6">
        <v>0</v>
      </c>
    </row>
    <row r="259" spans="1:8">
      <c r="A259" s="186" t="s">
        <v>12</v>
      </c>
      <c r="B259" s="185">
        <v>15750</v>
      </c>
      <c r="C259" s="6">
        <v>0</v>
      </c>
      <c r="D259" s="6">
        <v>15750</v>
      </c>
      <c r="E259" s="6">
        <v>15750</v>
      </c>
      <c r="F259" s="6">
        <v>0</v>
      </c>
      <c r="G259" s="6">
        <v>0</v>
      </c>
      <c r="H259" s="6">
        <v>0</v>
      </c>
    </row>
    <row r="260" spans="1:8">
      <c r="A260" s="9" t="s">
        <v>17</v>
      </c>
      <c r="B260" s="6">
        <v>43346450.95615001</v>
      </c>
      <c r="C260" s="6">
        <v>19860982.045833338</v>
      </c>
      <c r="D260" s="6">
        <v>23912115.101583332</v>
      </c>
      <c r="E260" s="6">
        <v>43773097.147416651</v>
      </c>
      <c r="F260" s="6">
        <v>1866873.6939333326</v>
      </c>
      <c r="G260" s="6">
        <v>-1440227.5026666669</v>
      </c>
      <c r="H260" s="6">
        <v>426646.19126666489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V169"/>
  <sheetViews>
    <sheetView zoomScaleNormal="100" workbookViewId="0">
      <pane xSplit="2" ySplit="1" topLeftCell="Y48" activePane="bottomRight" state="frozen"/>
      <selection pane="bottomRight" activeCell="AT48" sqref="AT48"/>
      <selection pane="bottomLeft" activeCell="A2" sqref="A2"/>
      <selection pane="topRight" activeCell="C1" sqref="C1"/>
    </sheetView>
  </sheetViews>
  <sheetFormatPr defaultColWidth="8.85546875" defaultRowHeight="14.45"/>
  <cols>
    <col min="1" max="1" width="19.42578125" bestFit="1" customWidth="1"/>
    <col min="2" max="2" width="42.7109375" bestFit="1" customWidth="1"/>
    <col min="3" max="3" width="32.7109375" customWidth="1"/>
    <col min="4" max="4" width="13.5703125" style="9" customWidth="1"/>
    <col min="5" max="5" width="51.140625" customWidth="1"/>
    <col min="6" max="6" width="22.28515625" customWidth="1"/>
    <col min="7" max="7" width="17.7109375" style="9" customWidth="1"/>
    <col min="8" max="8" width="17.140625" style="13" customWidth="1"/>
    <col min="9" max="9" width="16.140625" style="13" customWidth="1"/>
    <col min="10" max="10" width="12.5703125" customWidth="1"/>
    <col min="11" max="11" width="56.28515625" customWidth="1"/>
    <col min="12" max="12" width="12.7109375" customWidth="1"/>
    <col min="13" max="14" width="17.7109375" customWidth="1"/>
    <col min="15" max="15" width="18.28515625" customWidth="1"/>
    <col min="16" max="16" width="34.28515625" customWidth="1"/>
    <col min="17" max="17" width="44.85546875" customWidth="1"/>
    <col min="18" max="18" width="29.140625" customWidth="1"/>
    <col min="19" max="19" width="20.42578125" customWidth="1"/>
    <col min="20" max="20" width="16.140625" customWidth="1"/>
    <col min="21" max="21" width="21" customWidth="1"/>
    <col min="22" max="22" width="20.28515625" style="6" customWidth="1"/>
    <col min="23" max="23" width="26.5703125" style="6" customWidth="1"/>
    <col min="24" max="24" width="19.85546875" style="6" customWidth="1"/>
    <col min="25" max="25" width="13.28515625" style="6" customWidth="1"/>
    <col min="26" max="26" width="21.140625" style="6" customWidth="1"/>
    <col min="27" max="27" width="26.7109375" style="6" customWidth="1"/>
    <col min="28" max="28" width="13.42578125" style="6" customWidth="1"/>
    <col min="29" max="29" width="13.5703125" style="6" customWidth="1"/>
    <col min="30" max="30" width="13.7109375" style="6" customWidth="1"/>
    <col min="31" max="32" width="13.85546875" style="6" customWidth="1"/>
    <col min="33" max="34" width="13.85546875" customWidth="1"/>
    <col min="35" max="42" width="13.85546875" style="6" customWidth="1"/>
    <col min="43" max="43" width="11.28515625" style="6" customWidth="1"/>
    <col min="44" max="44" width="15.140625" style="6" customWidth="1"/>
    <col min="45" max="54" width="15" style="6" customWidth="1"/>
    <col min="55" max="56" width="15" style="6" hidden="1" customWidth="1"/>
    <col min="57" max="57" width="20.7109375" style="6" hidden="1" customWidth="1"/>
    <col min="58" max="58" width="18" style="6" hidden="1" customWidth="1"/>
    <col min="59" max="60" width="13.85546875" style="6" hidden="1" customWidth="1"/>
    <col min="61" max="67" width="13.85546875" hidden="1" customWidth="1"/>
    <col min="68" max="68" width="27.28515625" customWidth="1"/>
    <col min="69" max="69" width="18.28515625" bestFit="1" customWidth="1"/>
    <col min="70" max="70" width="13.5703125" bestFit="1" customWidth="1"/>
    <col min="71" max="71" width="19.28515625" bestFit="1" customWidth="1"/>
    <col min="72" max="74" width="10.140625" bestFit="1" customWidth="1"/>
    <col min="75" max="75" width="11.140625" bestFit="1" customWidth="1"/>
  </cols>
  <sheetData>
    <row r="1" spans="1:74" s="16" customFormat="1">
      <c r="A1" s="21" t="s">
        <v>0</v>
      </c>
      <c r="B1" s="21" t="s">
        <v>33</v>
      </c>
      <c r="C1" s="21" t="s">
        <v>256</v>
      </c>
      <c r="D1" s="21" t="s">
        <v>257</v>
      </c>
      <c r="E1" s="21" t="s">
        <v>258</v>
      </c>
      <c r="F1" s="21" t="s">
        <v>259</v>
      </c>
      <c r="G1" s="21" t="s">
        <v>30</v>
      </c>
      <c r="H1" s="22" t="s">
        <v>260</v>
      </c>
      <c r="I1" s="22" t="s">
        <v>261</v>
      </c>
      <c r="J1" s="22" t="s">
        <v>262</v>
      </c>
      <c r="K1" s="21" t="s">
        <v>263</v>
      </c>
      <c r="L1" s="21" t="s">
        <v>4</v>
      </c>
      <c r="M1" s="21" t="s">
        <v>18</v>
      </c>
      <c r="N1" s="21" t="s">
        <v>264</v>
      </c>
      <c r="O1" s="23" t="s">
        <v>265</v>
      </c>
      <c r="P1" s="21" t="s">
        <v>266</v>
      </c>
      <c r="Q1" s="21" t="s">
        <v>267</v>
      </c>
      <c r="R1" s="21" t="s">
        <v>268</v>
      </c>
      <c r="S1" s="21" t="s">
        <v>269</v>
      </c>
      <c r="T1" s="23" t="s">
        <v>270</v>
      </c>
      <c r="U1" s="24" t="s">
        <v>271</v>
      </c>
      <c r="V1" s="24" t="s">
        <v>34</v>
      </c>
      <c r="W1" s="24" t="s">
        <v>37</v>
      </c>
      <c r="X1" s="26" t="s">
        <v>272</v>
      </c>
      <c r="Y1" s="25" t="s">
        <v>273</v>
      </c>
      <c r="Z1" s="25" t="s">
        <v>38</v>
      </c>
      <c r="AA1" s="27" t="s">
        <v>274</v>
      </c>
      <c r="AB1" s="24" t="s">
        <v>275</v>
      </c>
      <c r="AC1" s="24" t="s">
        <v>276</v>
      </c>
      <c r="AD1" s="24" t="s">
        <v>277</v>
      </c>
      <c r="AE1" s="24" t="s">
        <v>278</v>
      </c>
      <c r="AF1" s="23" t="s">
        <v>279</v>
      </c>
      <c r="AG1" s="23" t="s">
        <v>280</v>
      </c>
      <c r="AH1" s="23" t="s">
        <v>281</v>
      </c>
      <c r="AI1" s="23" t="s">
        <v>282</v>
      </c>
      <c r="AJ1" s="23" t="s">
        <v>283</v>
      </c>
      <c r="AK1" s="23" t="s">
        <v>284</v>
      </c>
      <c r="AL1" s="23" t="s">
        <v>285</v>
      </c>
      <c r="AM1" s="23" t="s">
        <v>286</v>
      </c>
      <c r="AN1" s="23" t="s">
        <v>287</v>
      </c>
      <c r="AO1" s="28" t="s">
        <v>288</v>
      </c>
      <c r="AP1" s="64" t="s">
        <v>289</v>
      </c>
      <c r="AQ1" s="64" t="s">
        <v>290</v>
      </c>
      <c r="AR1" s="64" t="s">
        <v>291</v>
      </c>
      <c r="AS1" s="64" t="s">
        <v>292</v>
      </c>
      <c r="AT1" s="65" t="s">
        <v>293</v>
      </c>
      <c r="AU1" s="65" t="s">
        <v>294</v>
      </c>
      <c r="AV1" s="65" t="s">
        <v>295</v>
      </c>
      <c r="AW1" s="65" t="s">
        <v>296</v>
      </c>
      <c r="AX1" s="65" t="s">
        <v>297</v>
      </c>
      <c r="AY1" s="65" t="s">
        <v>298</v>
      </c>
      <c r="AZ1" s="65" t="s">
        <v>299</v>
      </c>
      <c r="BA1" s="65" t="s">
        <v>300</v>
      </c>
      <c r="BB1" s="73" t="s">
        <v>301</v>
      </c>
      <c r="BC1" s="67" t="s">
        <v>302</v>
      </c>
      <c r="BD1" s="67" t="s">
        <v>303</v>
      </c>
      <c r="BE1" s="67" t="s">
        <v>304</v>
      </c>
      <c r="BF1" s="67" t="s">
        <v>305</v>
      </c>
      <c r="BG1" s="68" t="s">
        <v>306</v>
      </c>
      <c r="BH1" s="68" t="s">
        <v>307</v>
      </c>
      <c r="BI1" s="68" t="s">
        <v>308</v>
      </c>
      <c r="BJ1" s="68" t="s">
        <v>309</v>
      </c>
      <c r="BK1" s="68" t="s">
        <v>310</v>
      </c>
      <c r="BL1" s="68" t="s">
        <v>311</v>
      </c>
      <c r="BM1" s="68" t="s">
        <v>312</v>
      </c>
      <c r="BN1" s="69" t="s">
        <v>313</v>
      </c>
      <c r="BO1" s="69" t="s">
        <v>314</v>
      </c>
      <c r="BP1" s="29" t="s">
        <v>315</v>
      </c>
      <c r="BQ1" s="45" t="s">
        <v>316</v>
      </c>
      <c r="BR1" s="45" t="s">
        <v>317</v>
      </c>
      <c r="BS1" s="45" t="s">
        <v>318</v>
      </c>
      <c r="BT1" s="45" t="s">
        <v>319</v>
      </c>
    </row>
    <row r="2" spans="1:74" hidden="1">
      <c r="A2" s="20" t="s">
        <v>320</v>
      </c>
      <c r="B2" s="19" t="s">
        <v>96</v>
      </c>
      <c r="C2" s="19" t="s">
        <v>321</v>
      </c>
      <c r="D2" s="10" t="s">
        <v>322</v>
      </c>
      <c r="E2" s="7" t="s">
        <v>323</v>
      </c>
      <c r="F2" s="3" t="s">
        <v>324</v>
      </c>
      <c r="G2" s="3" t="s">
        <v>21</v>
      </c>
      <c r="H2" s="4">
        <v>45809</v>
      </c>
      <c r="I2" s="4">
        <v>46904</v>
      </c>
      <c r="J2" s="19" t="s">
        <v>325</v>
      </c>
      <c r="K2" s="3" t="str">
        <f t="shared" ref="K2:K65" si="0">D2 &amp; "-" &amp;E2</f>
        <v>Prj000350-Support - Infrastructure for Tech</v>
      </c>
      <c r="L2" s="19" t="s">
        <v>252</v>
      </c>
      <c r="M2" s="19" t="s">
        <v>16</v>
      </c>
      <c r="N2" s="19" t="s">
        <v>16</v>
      </c>
      <c r="O2" s="19" t="s">
        <v>325</v>
      </c>
      <c r="P2" s="19" t="s">
        <v>326</v>
      </c>
      <c r="Q2" s="19" t="s">
        <v>327</v>
      </c>
      <c r="R2" s="19" t="s">
        <v>327</v>
      </c>
      <c r="S2" s="19" t="s">
        <v>328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AO2+IF(ISBLANK(AP2),AB2,AP2)+IF(ISBLANK(AQ2),AC2,AQ2)+IF(ISBLANK(AR2),AD2,AR2)+IF(ISBLANK(AS2),AE2,AS2)+IF(ISBLANK(AT2),AF2,AT2)+IF(ISBLANK(AU2),AG2,AU2)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329</v>
      </c>
      <c r="AB2" s="46">
        <f>361000/12</f>
        <v>30083.333333333332</v>
      </c>
      <c r="AC2" s="46">
        <f t="shared" ref="AC2:AF2" si="3">361000/12</f>
        <v>30083.333333333332</v>
      </c>
      <c r="AD2" s="46">
        <f t="shared" si="3"/>
        <v>30083.333333333332</v>
      </c>
      <c r="AE2" s="46">
        <f t="shared" si="3"/>
        <v>30083.333333333332</v>
      </c>
      <c r="AF2" s="46">
        <f t="shared" si="3"/>
        <v>30083.333333333332</v>
      </c>
      <c r="AG2" s="46">
        <f>378816/12</f>
        <v>31568</v>
      </c>
      <c r="AH2" s="46">
        <f t="shared" ref="AH2:AM2" si="4">378816/12</f>
        <v>31568</v>
      </c>
      <c r="AI2" s="46">
        <f t="shared" si="4"/>
        <v>31568</v>
      </c>
      <c r="AJ2" s="46">
        <f t="shared" si="4"/>
        <v>31568</v>
      </c>
      <c r="AK2" s="46">
        <f t="shared" si="4"/>
        <v>31568</v>
      </c>
      <c r="AL2" s="46">
        <f t="shared" si="4"/>
        <v>31568</v>
      </c>
      <c r="AM2" s="46">
        <f t="shared" si="4"/>
        <v>31568</v>
      </c>
      <c r="AN2" s="46">
        <f>SUM(Financials20263[[#This Row],[Jan FC]:[Dec FC]])</f>
        <v>371392.66666666663</v>
      </c>
      <c r="AO2" s="15">
        <f>SUM(Financials20263[[#This Row],[Jul FC]:[Dec FC]])</f>
        <v>189408</v>
      </c>
      <c r="AP2" s="55">
        <f>361000/12</f>
        <v>30083.333333333332</v>
      </c>
      <c r="AQ2" s="55">
        <f t="shared" ref="AQ2:AT2" si="5">361000/12</f>
        <v>30083.333333333332</v>
      </c>
      <c r="AR2" s="55">
        <f t="shared" si="5"/>
        <v>30083.333333333332</v>
      </c>
      <c r="AS2" s="55">
        <f t="shared" si="5"/>
        <v>30083.333333333332</v>
      </c>
      <c r="AT2" s="55">
        <f t="shared" si="5"/>
        <v>30083.333333333332</v>
      </c>
      <c r="AU2" s="55"/>
      <c r="AV2" s="55"/>
      <c r="AW2" s="55"/>
      <c r="AX2" s="55"/>
      <c r="AY2" s="55"/>
      <c r="AZ2" s="55"/>
      <c r="BA2" s="55"/>
      <c r="BB2" s="74">
        <f>SUM(Financials20263[[#This Row],[Jan AC]:[Dec AC]])</f>
        <v>150416.66666666666</v>
      </c>
      <c r="BC2" s="66">
        <f>Financials20263[[#This Row],[Jan AC]]-Financials20263[[#This Row],[Jan FC]]</f>
        <v>0</v>
      </c>
      <c r="BD2" s="66">
        <f>Financials20263[[#This Row],[Feb AC]]-Financials20263[[#This Row],[Feb FC]]</f>
        <v>0</v>
      </c>
      <c r="BE2" s="66">
        <f>Financials20263[[#This Row],[Mar AC]]-Financials20263[[#This Row],[Mar FC]]</f>
        <v>0</v>
      </c>
      <c r="BF2" s="66">
        <f>Financials20263[[#This Row],[Apr AC]]-Financials20263[[#This Row],[Apr FC]]</f>
        <v>0</v>
      </c>
      <c r="BG2" s="66">
        <f>Financials20263[[#This Row],[May AC]]-Financials20263[[#This Row],[May FC]]</f>
        <v>0</v>
      </c>
      <c r="BH2" s="66">
        <f>Financials20263[[#This Row],[Jun AC]]-Financials20263[[#This Row],[Jun FC]]</f>
        <v>-31568</v>
      </c>
      <c r="BI2" s="66">
        <f>Financials20263[[#This Row],[Jul AC]]-Financials20263[[#This Row],[Jul FC]]</f>
        <v>-31568</v>
      </c>
      <c r="BJ2" s="66">
        <f>Financials20263[[#This Row],[Aug AC]]-Financials20263[[#This Row],[Aug FC]]</f>
        <v>-31568</v>
      </c>
      <c r="BK2" s="66">
        <f>Financials20263[[#This Row],[Sep AC]]-Financials20263[[#This Row],[Sep FC]]</f>
        <v>-31568</v>
      </c>
      <c r="BL2" s="66">
        <f>Financials20263[[#This Row],[Oct AC]]-Financials20263[[#This Row],[Oct FC]]</f>
        <v>-31568</v>
      </c>
      <c r="BM2" s="66">
        <f>Financials20263[[#This Row],[Nov AC]]-Financials20263[[#This Row],[Nov FC]]</f>
        <v>-31568</v>
      </c>
      <c r="BN2" s="66">
        <f>Financials20263[[#This Row],[Dec AC]]-Financials20263[[#This Row],[Dec FC]]</f>
        <v>-31568</v>
      </c>
      <c r="BO2" s="66">
        <f>SUM(Financials20263[[#This Row],[Jan Opp/Risk]:[Dec Opp./Risk]])</f>
        <v>-220976</v>
      </c>
      <c r="BP2" s="81"/>
      <c r="BQ2" s="44">
        <f>SUM(Financials20263[[#This Row],[Jan AC]:[Jun AC]])</f>
        <v>150416.66666666666</v>
      </c>
      <c r="BR2" s="15">
        <f t="shared" ref="BR2:BR33" si="6">IF(OR(AP2="",AP2=0),AB2,0)+IF(OR(AQ2="",AQ2=0),AC2,0)+IF(OR(AR2="",AR2=0),AD2,0)+IF(OR(AS2="",AS2=0),AE2,0)+IF(OR(AT2="",AT2=0),AF2,0)+IF(OR(AU2="",AU2=0),AG2,0)</f>
        <v>31568</v>
      </c>
      <c r="BS2" s="6">
        <f>Financials20263[[#This Row],[Jul-Dec FC]]+Financials20263[[#This Row],[Pending Jan-Jun]]</f>
        <v>220976</v>
      </c>
      <c r="BT2" s="6"/>
      <c r="BU2" s="6"/>
      <c r="BV2" s="6"/>
    </row>
    <row r="3" spans="1:74" hidden="1">
      <c r="A3" s="20" t="s">
        <v>320</v>
      </c>
      <c r="B3" s="19" t="s">
        <v>96</v>
      </c>
      <c r="C3" s="19" t="s">
        <v>321</v>
      </c>
      <c r="D3" s="10" t="s">
        <v>322</v>
      </c>
      <c r="E3" s="7" t="s">
        <v>323</v>
      </c>
      <c r="F3" s="3" t="s">
        <v>324</v>
      </c>
      <c r="G3" s="3" t="s">
        <v>21</v>
      </c>
      <c r="H3" s="4">
        <v>45809</v>
      </c>
      <c r="I3" s="4">
        <v>46904</v>
      </c>
      <c r="J3" s="19" t="s">
        <v>330</v>
      </c>
      <c r="K3" s="3" t="str">
        <f t="shared" si="0"/>
        <v>Prj000350-Support - Infrastructure for Tech</v>
      </c>
      <c r="L3" s="19" t="s">
        <v>252</v>
      </c>
      <c r="M3" s="19" t="s">
        <v>16</v>
      </c>
      <c r="N3" s="19" t="s">
        <v>16</v>
      </c>
      <c r="O3" s="19" t="s">
        <v>330</v>
      </c>
      <c r="P3" s="19" t="s">
        <v>326</v>
      </c>
      <c r="Q3" s="19" t="s">
        <v>327</v>
      </c>
      <c r="R3" s="19" t="s">
        <v>327</v>
      </c>
      <c r="S3" s="19" t="s">
        <v>328</v>
      </c>
      <c r="T3" s="5">
        <v>104417</v>
      </c>
      <c r="U3" s="15">
        <v>179000</v>
      </c>
      <c r="V3" s="15">
        <v>179000</v>
      </c>
      <c r="W3" s="15">
        <f t="shared" si="1"/>
        <v>273923.73333333328</v>
      </c>
      <c r="X3" s="15">
        <f t="shared" ref="X3:X70" si="7">IF(V3 &gt;= W3, V3 - W3, 0)*-1</f>
        <v>0</v>
      </c>
      <c r="Y3" s="15">
        <f t="shared" si="2"/>
        <v>94923.733333333279</v>
      </c>
      <c r="Z3" s="15">
        <f>SUM(Financials20263[[#This Row],[2026 Opportunity]:[2026 Risk]])</f>
        <v>94923.733333333279</v>
      </c>
      <c r="AA3" s="3" t="s">
        <v>331</v>
      </c>
      <c r="AB3" s="47">
        <f>179000/12</f>
        <v>14916.666666666666</v>
      </c>
      <c r="AC3" s="47">
        <f t="shared" ref="AC3:AF3" si="8">179000/12</f>
        <v>14916.666666666666</v>
      </c>
      <c r="AD3" s="47">
        <f t="shared" si="8"/>
        <v>14916.666666666666</v>
      </c>
      <c r="AE3" s="47">
        <f t="shared" si="8"/>
        <v>14916.666666666666</v>
      </c>
      <c r="AF3" s="47">
        <f t="shared" si="8"/>
        <v>14916.666666666666</v>
      </c>
      <c r="AG3" s="47">
        <f>341726.4/12</f>
        <v>28477.200000000001</v>
      </c>
      <c r="AH3" s="47">
        <f t="shared" ref="AH3:AM3" si="9">341726.4/12</f>
        <v>28477.200000000001</v>
      </c>
      <c r="AI3" s="47">
        <f t="shared" si="9"/>
        <v>28477.200000000001</v>
      </c>
      <c r="AJ3" s="47">
        <f t="shared" si="9"/>
        <v>28477.200000000001</v>
      </c>
      <c r="AK3" s="47">
        <f t="shared" si="9"/>
        <v>28477.200000000001</v>
      </c>
      <c r="AL3" s="47">
        <f t="shared" si="9"/>
        <v>28477.200000000001</v>
      </c>
      <c r="AM3" s="47">
        <f t="shared" si="9"/>
        <v>28477.200000000001</v>
      </c>
      <c r="AN3" s="47">
        <f>SUM(Financials20263[[#This Row],[Jan FC]:[Dec FC]])</f>
        <v>273923.7333333334</v>
      </c>
      <c r="AO3" s="15">
        <f>SUM(Financials20263[[#This Row],[Jul FC]:[Dec FC]])</f>
        <v>170863.2</v>
      </c>
      <c r="AP3" s="56">
        <f>179000/12</f>
        <v>14916.666666666666</v>
      </c>
      <c r="AQ3" s="56">
        <f t="shared" ref="AQ3:AT3" si="10">179000/12</f>
        <v>14916.666666666666</v>
      </c>
      <c r="AR3" s="56">
        <f t="shared" si="10"/>
        <v>14916.666666666666</v>
      </c>
      <c r="AS3" s="56">
        <f t="shared" si="10"/>
        <v>14916.666666666666</v>
      </c>
      <c r="AT3" s="56">
        <f t="shared" si="10"/>
        <v>14916.666666666666</v>
      </c>
      <c r="AU3" s="56"/>
      <c r="AV3" s="56"/>
      <c r="AW3" s="56"/>
      <c r="AX3" s="56"/>
      <c r="AY3" s="56"/>
      <c r="AZ3" s="56"/>
      <c r="BA3" s="56"/>
      <c r="BB3" s="75">
        <f>SUM(Financials20263[[#This Row],[Jan AC]:[Dec AC]])</f>
        <v>74583.333333333328</v>
      </c>
      <c r="BC3" s="66">
        <f>Financials20263[[#This Row],[Jan AC]]-Financials20263[[#This Row],[Jan FC]]</f>
        <v>0</v>
      </c>
      <c r="BD3" s="66">
        <f>Financials20263[[#This Row],[Feb AC]]-Financials20263[[#This Row],[Feb FC]]</f>
        <v>0</v>
      </c>
      <c r="BE3" s="66">
        <f>Financials20263[[#This Row],[Mar AC]]-Financials20263[[#This Row],[Mar FC]]</f>
        <v>0</v>
      </c>
      <c r="BF3" s="66">
        <f>Financials20263[[#This Row],[Apr AC]]-Financials20263[[#This Row],[Apr FC]]</f>
        <v>0</v>
      </c>
      <c r="BG3" s="66">
        <f>Financials20263[[#This Row],[May AC]]-Financials20263[[#This Row],[May FC]]</f>
        <v>0</v>
      </c>
      <c r="BH3" s="66">
        <f>Financials20263[[#This Row],[Jun AC]]-Financials20263[[#This Row],[Jun FC]]</f>
        <v>-28477.200000000001</v>
      </c>
      <c r="BI3" s="66">
        <f>Financials20263[[#This Row],[Jul AC]]-Financials20263[[#This Row],[Jul FC]]</f>
        <v>-28477.200000000001</v>
      </c>
      <c r="BJ3" s="66">
        <f>Financials20263[[#This Row],[Aug AC]]-Financials20263[[#This Row],[Aug FC]]</f>
        <v>-28477.200000000001</v>
      </c>
      <c r="BK3" s="66">
        <f>Financials20263[[#This Row],[Sep AC]]-Financials20263[[#This Row],[Sep FC]]</f>
        <v>-28477.200000000001</v>
      </c>
      <c r="BL3" s="66">
        <f>Financials20263[[#This Row],[Oct AC]]-Financials20263[[#This Row],[Oct FC]]</f>
        <v>-28477.200000000001</v>
      </c>
      <c r="BM3" s="66">
        <f>Financials20263[[#This Row],[Nov AC]]-Financials20263[[#This Row],[Nov FC]]</f>
        <v>-28477.200000000001</v>
      </c>
      <c r="BN3" s="66">
        <f>Financials20263[[#This Row],[Dec AC]]-Financials20263[[#This Row],[Dec FC]]</f>
        <v>-28477.200000000001</v>
      </c>
      <c r="BO3" s="66">
        <f>SUM(Financials20263[[#This Row],[Jan Opp/Risk]:[Dec Opp./Risk]])</f>
        <v>-199340.40000000002</v>
      </c>
      <c r="BP3" s="81"/>
      <c r="BQ3" s="44">
        <f>SUM(Financials20263[[#This Row],[Jan AC]:[Jun AC]])</f>
        <v>74583.333333333328</v>
      </c>
      <c r="BR3" s="6">
        <f t="shared" si="6"/>
        <v>28477.200000000001</v>
      </c>
      <c r="BS3" s="6">
        <f>Financials20263[[#This Row],[Jul-Dec FC]]+Financials20263[[#This Row],[Pending Jan-Jun]]</f>
        <v>199340.40000000002</v>
      </c>
      <c r="BT3" s="6"/>
      <c r="BU3" s="6"/>
      <c r="BV3" s="6"/>
    </row>
    <row r="4" spans="1:74" hidden="1">
      <c r="A4" s="20" t="s">
        <v>332</v>
      </c>
      <c r="B4" s="19" t="s">
        <v>253</v>
      </c>
      <c r="C4" s="19" t="s">
        <v>163</v>
      </c>
      <c r="D4" s="10" t="s">
        <v>333</v>
      </c>
      <c r="E4" s="7" t="s">
        <v>334</v>
      </c>
      <c r="F4" s="3" t="s">
        <v>335</v>
      </c>
      <c r="G4" s="3" t="s">
        <v>25</v>
      </c>
      <c r="H4" s="4" t="s">
        <v>336</v>
      </c>
      <c r="I4" s="4" t="s">
        <v>336</v>
      </c>
      <c r="J4" s="3"/>
      <c r="K4" s="3" t="str">
        <f t="shared" si="0"/>
        <v>Prj000266-Support - Internal Tech Workforce Activities</v>
      </c>
      <c r="L4" s="19" t="s">
        <v>252</v>
      </c>
      <c r="M4" s="19" t="s">
        <v>15</v>
      </c>
      <c r="N4" s="19" t="s">
        <v>15</v>
      </c>
      <c r="O4" s="19"/>
      <c r="P4" s="19" t="s">
        <v>337</v>
      </c>
      <c r="Q4" s="19" t="s">
        <v>338</v>
      </c>
      <c r="R4" s="19" t="s">
        <v>339</v>
      </c>
      <c r="S4" s="19" t="s">
        <v>340</v>
      </c>
      <c r="T4" s="5">
        <v>211257</v>
      </c>
      <c r="U4" s="15">
        <v>259449</v>
      </c>
      <c r="V4" s="15">
        <v>259449</v>
      </c>
      <c r="W4" s="15">
        <f t="shared" si="1"/>
        <v>259448.65999999997</v>
      </c>
      <c r="X4" s="15">
        <f t="shared" si="7"/>
        <v>-0.34000000002561137</v>
      </c>
      <c r="Y4" s="15">
        <f t="shared" si="2"/>
        <v>0</v>
      </c>
      <c r="Z4" s="15">
        <f>SUM(Financials20263[[#This Row],[2026 Opportunity]:[2026 Risk]])</f>
        <v>-0.34000000002561137</v>
      </c>
      <c r="AA4" s="14" t="s">
        <v>341</v>
      </c>
      <c r="AB4" s="47">
        <v>11185.549999999997</v>
      </c>
      <c r="AC4" s="47">
        <v>7399.97</v>
      </c>
      <c r="AD4" s="47">
        <v>16129.190000000002</v>
      </c>
      <c r="AE4" s="47">
        <v>25262</v>
      </c>
      <c r="AF4" s="47">
        <v>23681.14</v>
      </c>
      <c r="AG4" s="47">
        <v>19437.810000000001</v>
      </c>
      <c r="AH4" s="47"/>
      <c r="AI4" s="47"/>
      <c r="AJ4" s="47"/>
      <c r="AK4" s="47"/>
      <c r="AL4" s="47"/>
      <c r="AM4" s="43">
        <v>156353</v>
      </c>
      <c r="AN4" s="43">
        <f>SUM(Financials20263[[#This Row],[Jan FC]:[Dec FC]])</f>
        <v>259448.66</v>
      </c>
      <c r="AO4" s="15">
        <f>SUM(Financials20263[[#This Row],[Jul FC]:[Dec FC]])</f>
        <v>156353</v>
      </c>
      <c r="AP4" s="56">
        <v>11185.549999999997</v>
      </c>
      <c r="AQ4" s="56">
        <v>7399.97</v>
      </c>
      <c r="AR4" s="56">
        <v>16129.190000000002</v>
      </c>
      <c r="AS4" s="56">
        <v>25262</v>
      </c>
      <c r="AT4" s="56">
        <v>23681.14</v>
      </c>
      <c r="AU4" s="56">
        <v>19437.810000000001</v>
      </c>
      <c r="AV4" s="56"/>
      <c r="AW4" s="56"/>
      <c r="AX4" s="56"/>
      <c r="AY4" s="56"/>
      <c r="AZ4" s="56"/>
      <c r="BA4" s="56"/>
      <c r="BB4" s="75">
        <f>SUM(Financials20263[[#This Row],[Jan AC]:[Dec AC]])</f>
        <v>103095.66</v>
      </c>
      <c r="BC4" s="66">
        <f>Financials20263[[#This Row],[Jan AC]]-Financials20263[[#This Row],[Jan FC]]</f>
        <v>0</v>
      </c>
      <c r="BD4" s="66">
        <f>Financials20263[[#This Row],[Feb AC]]-Financials20263[[#This Row],[Feb FC]]</f>
        <v>0</v>
      </c>
      <c r="BE4" s="66">
        <f>Financials20263[[#This Row],[Mar AC]]-Financials20263[[#This Row],[Mar FC]]</f>
        <v>0</v>
      </c>
      <c r="BF4" s="66">
        <f>Financials20263[[#This Row],[Apr AC]]-Financials20263[[#This Row],[Apr FC]]</f>
        <v>0</v>
      </c>
      <c r="BG4" s="66">
        <f>Financials20263[[#This Row],[May AC]]-Financials20263[[#This Row],[May FC]]</f>
        <v>0</v>
      </c>
      <c r="BH4" s="66">
        <f>Financials20263[[#This Row],[Jun AC]]-Financials20263[[#This Row],[Jun FC]]</f>
        <v>0</v>
      </c>
      <c r="BI4" s="66">
        <f>Financials20263[[#This Row],[Jul AC]]-Financials20263[[#This Row],[Jul FC]]</f>
        <v>0</v>
      </c>
      <c r="BJ4" s="66">
        <f>Financials20263[[#This Row],[Aug AC]]-Financials20263[[#This Row],[Aug FC]]</f>
        <v>0</v>
      </c>
      <c r="BK4" s="66">
        <f>Financials20263[[#This Row],[Sep AC]]-Financials20263[[#This Row],[Sep FC]]</f>
        <v>0</v>
      </c>
      <c r="BL4" s="66">
        <f>Financials20263[[#This Row],[Oct AC]]-Financials20263[[#This Row],[Oct FC]]</f>
        <v>0</v>
      </c>
      <c r="BM4" s="66">
        <f>Financials20263[[#This Row],[Nov AC]]-Financials20263[[#This Row],[Nov FC]]</f>
        <v>0</v>
      </c>
      <c r="BN4" s="66">
        <f>Financials20263[[#This Row],[Dec AC]]-Financials20263[[#This Row],[Dec FC]]</f>
        <v>-156353</v>
      </c>
      <c r="BO4" s="66">
        <f>SUM(Financials20263[[#This Row],[Jan Opp/Risk]:[Dec Opp./Risk]])</f>
        <v>-156353</v>
      </c>
      <c r="BP4" s="82" t="s">
        <v>342</v>
      </c>
      <c r="BQ4" s="44">
        <f>SUM(Financials20263[[#This Row],[Jan AC]:[Jun AC]])</f>
        <v>103095.66</v>
      </c>
      <c r="BR4" s="6">
        <f t="shared" si="6"/>
        <v>0</v>
      </c>
      <c r="BS4" s="6">
        <f>Financials20263[[#This Row],[Jul-Dec FC]]+Financials20263[[#This Row],[Pending Jan-Jun]]</f>
        <v>156353</v>
      </c>
      <c r="BT4" s="6"/>
      <c r="BU4" s="6"/>
      <c r="BV4" s="6"/>
    </row>
    <row r="5" spans="1:74" hidden="1">
      <c r="A5" s="20" t="s">
        <v>320</v>
      </c>
      <c r="B5" s="19" t="s">
        <v>134</v>
      </c>
      <c r="C5" s="19"/>
      <c r="D5" s="10" t="s">
        <v>343</v>
      </c>
      <c r="E5" s="7" t="s">
        <v>344</v>
      </c>
      <c r="F5" s="3" t="s">
        <v>345</v>
      </c>
      <c r="G5" s="3" t="s">
        <v>22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19" t="s">
        <v>251</v>
      </c>
      <c r="M5" s="19" t="s">
        <v>14</v>
      </c>
      <c r="N5" s="19" t="s">
        <v>346</v>
      </c>
      <c r="O5" s="19" t="s">
        <v>10</v>
      </c>
      <c r="P5" s="19" t="s">
        <v>347</v>
      </c>
      <c r="Q5" s="19" t="s">
        <v>348</v>
      </c>
      <c r="R5" s="19" t="s">
        <v>349</v>
      </c>
      <c r="S5" s="19" t="s">
        <v>350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351</v>
      </c>
      <c r="AB5" s="47">
        <v>7600</v>
      </c>
      <c r="AC5" s="47">
        <v>7600</v>
      </c>
      <c r="AD5" s="47">
        <v>7600</v>
      </c>
      <c r="AE5" s="47">
        <v>7600</v>
      </c>
      <c r="AF5" s="47">
        <v>7600</v>
      </c>
      <c r="AG5" s="47">
        <v>7600</v>
      </c>
      <c r="AH5" s="47">
        <v>7600</v>
      </c>
      <c r="AI5" s="47">
        <v>7600</v>
      </c>
      <c r="AJ5" s="47">
        <v>7600</v>
      </c>
      <c r="AK5" s="47">
        <v>7600</v>
      </c>
      <c r="AL5" s="47">
        <v>7600</v>
      </c>
      <c r="AM5" s="43">
        <f>7600-15</f>
        <v>7585</v>
      </c>
      <c r="AN5" s="43">
        <f>SUM(Financials20263[[#This Row],[Jan FC]:[Dec FC]])</f>
        <v>91185</v>
      </c>
      <c r="AO5" s="15">
        <f>SUM(Financials20263[[#This Row],[Jul FC]:[Dec FC]])</f>
        <v>45585</v>
      </c>
      <c r="AP5" s="56">
        <v>7600</v>
      </c>
      <c r="AQ5" s="56">
        <v>7600</v>
      </c>
      <c r="AR5" s="56">
        <v>8675</v>
      </c>
      <c r="AS5" s="56">
        <v>7600</v>
      </c>
      <c r="AT5" s="56">
        <v>15340</v>
      </c>
      <c r="AU5" s="56">
        <v>7600</v>
      </c>
      <c r="AV5" s="56">
        <v>7600</v>
      </c>
      <c r="AW5" s="56"/>
      <c r="AX5" s="56"/>
      <c r="AY5" s="56"/>
      <c r="AZ5" s="56"/>
      <c r="BA5" s="56"/>
      <c r="BB5" s="75">
        <f>SUM(Financials20263[[#This Row],[Jan AC]:[Dec AC]])</f>
        <v>62015</v>
      </c>
      <c r="BC5" s="66">
        <f>Financials20263[[#This Row],[Jan AC]]-Financials20263[[#This Row],[Jan FC]]</f>
        <v>0</v>
      </c>
      <c r="BD5" s="66">
        <f>Financials20263[[#This Row],[Feb AC]]-Financials20263[[#This Row],[Feb FC]]</f>
        <v>0</v>
      </c>
      <c r="BE5" s="66">
        <f>Financials20263[[#This Row],[Mar AC]]-Financials20263[[#This Row],[Mar FC]]</f>
        <v>1075</v>
      </c>
      <c r="BF5" s="66">
        <f>Financials20263[[#This Row],[Apr AC]]-Financials20263[[#This Row],[Apr FC]]</f>
        <v>0</v>
      </c>
      <c r="BG5" s="66">
        <f>Financials20263[[#This Row],[May AC]]-Financials20263[[#This Row],[May FC]]</f>
        <v>7740</v>
      </c>
      <c r="BH5" s="66">
        <f>Financials20263[[#This Row],[Jun AC]]-Financials20263[[#This Row],[Jun FC]]</f>
        <v>0</v>
      </c>
      <c r="BI5" s="66">
        <f>Financials20263[[#This Row],[Jul AC]]-Financials20263[[#This Row],[Jul FC]]</f>
        <v>0</v>
      </c>
      <c r="BJ5" s="66">
        <f>Financials20263[[#This Row],[Aug AC]]-Financials20263[[#This Row],[Aug FC]]</f>
        <v>-7600</v>
      </c>
      <c r="BK5" s="66">
        <f>Financials20263[[#This Row],[Sep AC]]-Financials20263[[#This Row],[Sep FC]]</f>
        <v>-7600</v>
      </c>
      <c r="BL5" s="66">
        <f>Financials20263[[#This Row],[Oct AC]]-Financials20263[[#This Row],[Oct FC]]</f>
        <v>-7600</v>
      </c>
      <c r="BM5" s="66">
        <f>Financials20263[[#This Row],[Nov AC]]-Financials20263[[#This Row],[Nov FC]]</f>
        <v>-7600</v>
      </c>
      <c r="BN5" s="66">
        <f>Financials20263[[#This Row],[Dec AC]]-Financials20263[[#This Row],[Dec FC]]</f>
        <v>-7585</v>
      </c>
      <c r="BO5" s="66">
        <f>SUM(Financials20263[[#This Row],[Jan Opp/Risk]:[Dec Opp./Risk]])</f>
        <v>-29170</v>
      </c>
      <c r="BP5" s="83" t="s">
        <v>352</v>
      </c>
      <c r="BQ5" s="44">
        <f>SUM(Financials20263[[#This Row],[Jan AC]:[Jun AC]])</f>
        <v>54415</v>
      </c>
      <c r="BR5" s="6">
        <f t="shared" si="6"/>
        <v>0</v>
      </c>
      <c r="BS5" s="6">
        <f>Financials20263[[#This Row],[Jul-Dec FC]]+Financials20263[[#This Row],[Pending Jan-Jun]]</f>
        <v>45585</v>
      </c>
      <c r="BT5" s="6"/>
      <c r="BU5" s="6"/>
      <c r="BV5" s="6"/>
    </row>
    <row r="6" spans="1:74" hidden="1">
      <c r="A6" s="20" t="s">
        <v>320</v>
      </c>
      <c r="B6" s="19" t="s">
        <v>192</v>
      </c>
      <c r="C6" s="19" t="s">
        <v>353</v>
      </c>
      <c r="D6" s="10" t="s">
        <v>322</v>
      </c>
      <c r="E6" s="7" t="s">
        <v>323</v>
      </c>
      <c r="F6" s="3" t="s">
        <v>324</v>
      </c>
      <c r="G6" s="3" t="s">
        <v>21</v>
      </c>
      <c r="H6" s="4">
        <v>45853</v>
      </c>
      <c r="I6" s="4">
        <v>46217</v>
      </c>
      <c r="J6" s="3" t="s">
        <v>353</v>
      </c>
      <c r="K6" s="3" t="str">
        <f t="shared" si="0"/>
        <v>Prj000350-Support - Infrastructure for Tech</v>
      </c>
      <c r="L6" s="19" t="s">
        <v>252</v>
      </c>
      <c r="M6" s="19" t="s">
        <v>16</v>
      </c>
      <c r="N6" s="19" t="s">
        <v>16</v>
      </c>
      <c r="O6" s="19"/>
      <c r="P6" s="19" t="s">
        <v>326</v>
      </c>
      <c r="Q6" s="19" t="s">
        <v>327</v>
      </c>
      <c r="R6" s="19" t="s">
        <v>327</v>
      </c>
      <c r="S6" s="19" t="s">
        <v>354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47"/>
      <c r="AC6" s="47"/>
      <c r="AD6" s="47"/>
      <c r="AE6" s="47"/>
      <c r="AF6" s="46"/>
      <c r="AG6" s="46"/>
      <c r="AH6" s="47">
        <v>39512</v>
      </c>
      <c r="AI6" s="47"/>
      <c r="AJ6" s="47"/>
      <c r="AK6" s="47"/>
      <c r="AL6" s="46"/>
      <c r="AM6" s="46"/>
      <c r="AN6" s="46">
        <f>SUM(Financials20263[[#This Row],[Jan FC]:[Dec FC]])</f>
        <v>39512</v>
      </c>
      <c r="AO6" s="15">
        <f>SUM(Financials20263[[#This Row],[Jul FC]:[Dec FC]])</f>
        <v>39512</v>
      </c>
      <c r="AP6" s="56"/>
      <c r="AQ6" s="56"/>
      <c r="AR6" s="56"/>
      <c r="AS6" s="56"/>
      <c r="AT6" s="55"/>
      <c r="AU6" s="55"/>
      <c r="AV6" s="56"/>
      <c r="AW6" s="56"/>
      <c r="AX6" s="56"/>
      <c r="AY6" s="56"/>
      <c r="AZ6" s="55"/>
      <c r="BA6" s="55"/>
      <c r="BB6" s="74">
        <f>SUM(Financials20263[[#This Row],[Jan AC]:[Dec AC]])</f>
        <v>0</v>
      </c>
      <c r="BC6" s="66">
        <f>Financials20263[[#This Row],[Jan AC]]-Financials20263[[#This Row],[Jan FC]]</f>
        <v>0</v>
      </c>
      <c r="BD6" s="66">
        <f>Financials20263[[#This Row],[Feb AC]]-Financials20263[[#This Row],[Feb FC]]</f>
        <v>0</v>
      </c>
      <c r="BE6" s="66">
        <f>Financials20263[[#This Row],[Mar AC]]-Financials20263[[#This Row],[Mar FC]]</f>
        <v>0</v>
      </c>
      <c r="BF6" s="66">
        <f>Financials20263[[#This Row],[Apr AC]]-Financials20263[[#This Row],[Apr FC]]</f>
        <v>0</v>
      </c>
      <c r="BG6" s="66">
        <f>Financials20263[[#This Row],[May AC]]-Financials20263[[#This Row],[May FC]]</f>
        <v>0</v>
      </c>
      <c r="BH6" s="66">
        <f>Financials20263[[#This Row],[Jun AC]]-Financials20263[[#This Row],[Jun FC]]</f>
        <v>0</v>
      </c>
      <c r="BI6" s="66">
        <f>Financials20263[[#This Row],[Jul AC]]-Financials20263[[#This Row],[Jul FC]]</f>
        <v>-39512</v>
      </c>
      <c r="BJ6" s="66">
        <f>Financials20263[[#This Row],[Aug AC]]-Financials20263[[#This Row],[Aug FC]]</f>
        <v>0</v>
      </c>
      <c r="BK6" s="66">
        <f>Financials20263[[#This Row],[Sep AC]]-Financials20263[[#This Row],[Sep FC]]</f>
        <v>0</v>
      </c>
      <c r="BL6" s="66">
        <f>Financials20263[[#This Row],[Oct AC]]-Financials20263[[#This Row],[Oct FC]]</f>
        <v>0</v>
      </c>
      <c r="BM6" s="66">
        <f>Financials20263[[#This Row],[Nov AC]]-Financials20263[[#This Row],[Nov FC]]</f>
        <v>0</v>
      </c>
      <c r="BN6" s="66">
        <f>Financials20263[[#This Row],[Dec AC]]-Financials20263[[#This Row],[Dec FC]]</f>
        <v>0</v>
      </c>
      <c r="BO6" s="66">
        <f>SUM(Financials20263[[#This Row],[Jan Opp/Risk]:[Dec Opp./Risk]])</f>
        <v>-39512</v>
      </c>
      <c r="BP6" s="82"/>
      <c r="BQ6" s="44">
        <f>SUM(Financials20263[[#This Row],[Jan AC]:[Jun AC]])</f>
        <v>0</v>
      </c>
      <c r="BR6" s="6">
        <f t="shared" si="6"/>
        <v>0</v>
      </c>
      <c r="BS6" s="6">
        <f>Financials20263[[#This Row],[Jul-Dec FC]]+Financials20263[[#This Row],[Pending Jan-Jun]]</f>
        <v>39512</v>
      </c>
      <c r="BT6" s="6"/>
      <c r="BU6" s="6"/>
      <c r="BV6" s="6"/>
    </row>
    <row r="7" spans="1:74" s="18" customFormat="1" hidden="1">
      <c r="A7" s="20" t="s">
        <v>320</v>
      </c>
      <c r="B7" s="19" t="s">
        <v>199</v>
      </c>
      <c r="C7" s="19"/>
      <c r="D7" s="10" t="s">
        <v>343</v>
      </c>
      <c r="E7" s="7" t="s">
        <v>344</v>
      </c>
      <c r="F7" s="3" t="s">
        <v>345</v>
      </c>
      <c r="G7" s="3" t="s">
        <v>22</v>
      </c>
      <c r="H7" s="4" t="s">
        <v>336</v>
      </c>
      <c r="I7" s="4" t="s">
        <v>336</v>
      </c>
      <c r="J7" s="3"/>
      <c r="K7" s="3" t="str">
        <f t="shared" si="0"/>
        <v>Prj000344-Support - Prod support for Finance Applications</v>
      </c>
      <c r="L7" s="19" t="s">
        <v>252</v>
      </c>
      <c r="M7" s="19" t="s">
        <v>16</v>
      </c>
      <c r="N7" s="19" t="s">
        <v>16</v>
      </c>
      <c r="O7" s="19"/>
      <c r="P7" s="19" t="s">
        <v>326</v>
      </c>
      <c r="Q7" s="19" t="s">
        <v>355</v>
      </c>
      <c r="R7" s="19" t="s">
        <v>356</v>
      </c>
      <c r="S7" s="19" t="s">
        <v>357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358</v>
      </c>
      <c r="AB7" s="47"/>
      <c r="AC7" s="47"/>
      <c r="AD7" s="47"/>
      <c r="AE7" s="47"/>
      <c r="AF7" s="47"/>
      <c r="AG7" s="46"/>
      <c r="AH7" s="47"/>
      <c r="AI7" s="47"/>
      <c r="AJ7" s="47"/>
      <c r="AK7" s="47"/>
      <c r="AL7" s="46"/>
      <c r="AM7" s="46">
        <v>14700</v>
      </c>
      <c r="AN7" s="46">
        <f>SUM(Financials20263[[#This Row],[Jan FC]:[Dec FC]])</f>
        <v>14700</v>
      </c>
      <c r="AO7" s="15">
        <f>SUM(Financials20263[[#This Row],[Jul FC]:[Dec FC]])</f>
        <v>14700</v>
      </c>
      <c r="AP7" s="56"/>
      <c r="AQ7" s="56"/>
      <c r="AR7" s="56"/>
      <c r="AS7" s="56"/>
      <c r="AT7" s="56"/>
      <c r="AU7" s="55"/>
      <c r="AV7" s="56"/>
      <c r="AW7" s="56"/>
      <c r="AX7" s="56"/>
      <c r="AY7" s="56"/>
      <c r="AZ7" s="55"/>
      <c r="BA7" s="55"/>
      <c r="BB7" s="74">
        <f>SUM(Financials20263[[#This Row],[Jan AC]:[Dec AC]])</f>
        <v>0</v>
      </c>
      <c r="BC7" s="66">
        <f>Financials20263[[#This Row],[Jan AC]]-Financials20263[[#This Row],[Jan FC]]</f>
        <v>0</v>
      </c>
      <c r="BD7" s="66">
        <f>Financials20263[[#This Row],[Feb AC]]-Financials20263[[#This Row],[Feb FC]]</f>
        <v>0</v>
      </c>
      <c r="BE7" s="66">
        <f>Financials20263[[#This Row],[Mar AC]]-Financials20263[[#This Row],[Mar FC]]</f>
        <v>0</v>
      </c>
      <c r="BF7" s="66">
        <f>Financials20263[[#This Row],[Apr AC]]-Financials20263[[#This Row],[Apr FC]]</f>
        <v>0</v>
      </c>
      <c r="BG7" s="66">
        <f>Financials20263[[#This Row],[May AC]]-Financials20263[[#This Row],[May FC]]</f>
        <v>0</v>
      </c>
      <c r="BH7" s="66">
        <f>Financials20263[[#This Row],[Jun AC]]-Financials20263[[#This Row],[Jun FC]]</f>
        <v>0</v>
      </c>
      <c r="BI7" s="66">
        <f>Financials20263[[#This Row],[Jul AC]]-Financials20263[[#This Row],[Jul FC]]</f>
        <v>0</v>
      </c>
      <c r="BJ7" s="66">
        <f>Financials20263[[#This Row],[Aug AC]]-Financials20263[[#This Row],[Aug FC]]</f>
        <v>0</v>
      </c>
      <c r="BK7" s="66">
        <f>Financials20263[[#This Row],[Sep AC]]-Financials20263[[#This Row],[Sep FC]]</f>
        <v>0</v>
      </c>
      <c r="BL7" s="66">
        <f>Financials20263[[#This Row],[Oct AC]]-Financials20263[[#This Row],[Oct FC]]</f>
        <v>0</v>
      </c>
      <c r="BM7" s="66">
        <f>Financials20263[[#This Row],[Nov AC]]-Financials20263[[#This Row],[Nov FC]]</f>
        <v>0</v>
      </c>
      <c r="BN7" s="66">
        <f>Financials20263[[#This Row],[Dec AC]]-Financials20263[[#This Row],[Dec FC]]</f>
        <v>-14700</v>
      </c>
      <c r="BO7" s="66">
        <f>SUM(Financials20263[[#This Row],[Jan Opp/Risk]:[Dec Opp./Risk]])</f>
        <v>-14700</v>
      </c>
      <c r="BP7" s="82"/>
      <c r="BQ7" s="44">
        <f>SUM(Financials20263[[#This Row],[Jan AC]:[Jun AC]])</f>
        <v>0</v>
      </c>
      <c r="BR7" s="134">
        <f t="shared" si="6"/>
        <v>0</v>
      </c>
      <c r="BS7" s="6">
        <f>Financials20263[[#This Row],[Jul-Dec FC]]+Financials20263[[#This Row],[Pending Jan-Jun]]</f>
        <v>14700</v>
      </c>
      <c r="BT7" s="6"/>
      <c r="BU7" s="6"/>
      <c r="BV7" s="6"/>
    </row>
    <row r="8" spans="1:74" hidden="1">
      <c r="A8" s="20" t="s">
        <v>320</v>
      </c>
      <c r="B8" s="19" t="s">
        <v>199</v>
      </c>
      <c r="C8" s="19"/>
      <c r="D8" s="10" t="s">
        <v>359</v>
      </c>
      <c r="E8" s="7" t="s">
        <v>360</v>
      </c>
      <c r="F8" s="3" t="s">
        <v>345</v>
      </c>
      <c r="G8" s="3" t="s">
        <v>22</v>
      </c>
      <c r="H8" s="94">
        <v>46120</v>
      </c>
      <c r="I8" s="94">
        <v>46484</v>
      </c>
      <c r="J8" s="3"/>
      <c r="K8" s="3" t="str">
        <f t="shared" si="0"/>
        <v>Prj000603-Implement - Cash Matching Recon Solution</v>
      </c>
      <c r="L8" s="19" t="s">
        <v>252</v>
      </c>
      <c r="M8" s="19" t="s">
        <v>16</v>
      </c>
      <c r="N8" s="19" t="s">
        <v>16</v>
      </c>
      <c r="O8" s="19"/>
      <c r="P8" s="19" t="s">
        <v>326</v>
      </c>
      <c r="Q8" s="19" t="s">
        <v>355</v>
      </c>
      <c r="R8" s="19" t="s">
        <v>356</v>
      </c>
      <c r="S8" s="19" t="s">
        <v>354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361</v>
      </c>
      <c r="AB8" s="47"/>
      <c r="AC8" s="47"/>
      <c r="AD8" s="47"/>
      <c r="AE8" s="47">
        <v>7500</v>
      </c>
      <c r="AF8" s="47">
        <v>2400</v>
      </c>
      <c r="AG8" s="46"/>
      <c r="AH8" s="47"/>
      <c r="AI8" s="47"/>
      <c r="AJ8" s="47"/>
      <c r="AK8" s="47"/>
      <c r="AL8" s="46"/>
      <c r="AM8" s="101">
        <f>41250-7500-2400</f>
        <v>31350</v>
      </c>
      <c r="AN8" s="46">
        <f>SUM(Financials20263[[#This Row],[Jan FC]:[Dec FC]])</f>
        <v>41250</v>
      </c>
      <c r="AO8" s="15">
        <f>SUM(Financials20263[[#This Row],[Jul FC]:[Dec FC]])</f>
        <v>31350</v>
      </c>
      <c r="AP8" s="56"/>
      <c r="AQ8" s="56"/>
      <c r="AR8" s="56"/>
      <c r="AS8" s="56">
        <v>7500</v>
      </c>
      <c r="AT8" s="56">
        <v>2400</v>
      </c>
      <c r="AU8" s="55"/>
      <c r="AV8" s="56"/>
      <c r="AW8" s="56"/>
      <c r="AX8" s="56"/>
      <c r="AY8" s="56"/>
      <c r="AZ8" s="55"/>
      <c r="BA8" s="55"/>
      <c r="BB8" s="74">
        <f>SUM(Financials20263[[#This Row],[Jan AC]:[Dec AC]])</f>
        <v>9900</v>
      </c>
      <c r="BC8" s="66">
        <f>Financials20263[[#This Row],[Jan AC]]-Financials20263[[#This Row],[Jan FC]]</f>
        <v>0</v>
      </c>
      <c r="BD8" s="66">
        <f>Financials20263[[#This Row],[Feb AC]]-Financials20263[[#This Row],[Feb FC]]</f>
        <v>0</v>
      </c>
      <c r="BE8" s="66">
        <f>Financials20263[[#This Row],[Mar AC]]-Financials20263[[#This Row],[Mar FC]]</f>
        <v>0</v>
      </c>
      <c r="BF8" s="66">
        <f>Financials20263[[#This Row],[Apr AC]]-Financials20263[[#This Row],[Apr FC]]</f>
        <v>0</v>
      </c>
      <c r="BG8" s="66">
        <f>Financials20263[[#This Row],[May AC]]-Financials20263[[#This Row],[May FC]]</f>
        <v>0</v>
      </c>
      <c r="BH8" s="66">
        <f>Financials20263[[#This Row],[Jun AC]]-Financials20263[[#This Row],[Jun FC]]</f>
        <v>0</v>
      </c>
      <c r="BI8" s="66">
        <f>Financials20263[[#This Row],[Jul AC]]-Financials20263[[#This Row],[Jul FC]]</f>
        <v>0</v>
      </c>
      <c r="BJ8" s="66">
        <f>Financials20263[[#This Row],[Aug AC]]-Financials20263[[#This Row],[Aug FC]]</f>
        <v>0</v>
      </c>
      <c r="BK8" s="66">
        <f>Financials20263[[#This Row],[Sep AC]]-Financials20263[[#This Row],[Sep FC]]</f>
        <v>0</v>
      </c>
      <c r="BL8" s="66">
        <f>Financials20263[[#This Row],[Oct AC]]-Financials20263[[#This Row],[Oct FC]]</f>
        <v>0</v>
      </c>
      <c r="BM8" s="66">
        <f>Financials20263[[#This Row],[Nov AC]]-Financials20263[[#This Row],[Nov FC]]</f>
        <v>0</v>
      </c>
      <c r="BN8" s="66">
        <f>Financials20263[[#This Row],[Dec AC]]-Financials20263[[#This Row],[Dec FC]]</f>
        <v>-31350</v>
      </c>
      <c r="BO8" s="66">
        <f>SUM(Financials20263[[#This Row],[Jan Opp/Risk]:[Dec Opp./Risk]])</f>
        <v>-31350</v>
      </c>
      <c r="BP8" s="82" t="s">
        <v>362</v>
      </c>
      <c r="BQ8" s="44">
        <f>SUM(Financials20263[[#This Row],[Jan AC]:[Jun AC]])</f>
        <v>9900</v>
      </c>
      <c r="BR8" s="6">
        <f t="shared" si="6"/>
        <v>0</v>
      </c>
      <c r="BS8" s="6">
        <f>Financials20263[[#This Row],[Jul-Dec FC]]+Financials20263[[#This Row],[Pending Jan-Jun]]</f>
        <v>31350</v>
      </c>
      <c r="BT8" s="6"/>
      <c r="BU8" s="6"/>
      <c r="BV8" s="6"/>
    </row>
    <row r="9" spans="1:74" hidden="1">
      <c r="A9" s="20" t="s">
        <v>320</v>
      </c>
      <c r="B9" s="19" t="s">
        <v>225</v>
      </c>
      <c r="C9" s="19" t="s">
        <v>363</v>
      </c>
      <c r="D9" s="10" t="s">
        <v>364</v>
      </c>
      <c r="E9" s="7" t="s">
        <v>365</v>
      </c>
      <c r="F9" s="3" t="s">
        <v>366</v>
      </c>
      <c r="G9" s="3" t="s">
        <v>24</v>
      </c>
      <c r="H9" s="4" t="s">
        <v>367</v>
      </c>
      <c r="I9" s="4" t="s">
        <v>367</v>
      </c>
      <c r="J9" s="3"/>
      <c r="K9" s="3" t="str">
        <f t="shared" si="0"/>
        <v>Prj000290-Support - Asset Management Applications</v>
      </c>
      <c r="L9" s="19" t="s">
        <v>252</v>
      </c>
      <c r="M9" s="19" t="s">
        <v>16</v>
      </c>
      <c r="N9" s="19" t="s">
        <v>16</v>
      </c>
      <c r="O9" s="19" t="s">
        <v>10</v>
      </c>
      <c r="P9" s="19" t="s">
        <v>326</v>
      </c>
      <c r="Q9" s="19" t="s">
        <v>327</v>
      </c>
      <c r="R9" s="19" t="s">
        <v>368</v>
      </c>
      <c r="S9" s="19" t="s">
        <v>369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370</v>
      </c>
      <c r="AB9" s="47">
        <f t="shared" ref="AB9:AL9" si="11">42000/12</f>
        <v>3500</v>
      </c>
      <c r="AC9" s="47">
        <f t="shared" si="11"/>
        <v>3500</v>
      </c>
      <c r="AD9" s="47">
        <f t="shared" si="11"/>
        <v>3500</v>
      </c>
      <c r="AE9" s="47">
        <f t="shared" si="11"/>
        <v>3500</v>
      </c>
      <c r="AF9" s="47">
        <f t="shared" si="11"/>
        <v>3500</v>
      </c>
      <c r="AG9" s="47">
        <f t="shared" si="11"/>
        <v>3500</v>
      </c>
      <c r="AH9" s="47">
        <f t="shared" si="11"/>
        <v>3500</v>
      </c>
      <c r="AI9" s="47">
        <f t="shared" si="11"/>
        <v>3500</v>
      </c>
      <c r="AJ9" s="47">
        <f t="shared" si="11"/>
        <v>3500</v>
      </c>
      <c r="AK9" s="47">
        <f t="shared" si="11"/>
        <v>3500</v>
      </c>
      <c r="AL9" s="47">
        <f t="shared" si="11"/>
        <v>3500</v>
      </c>
      <c r="AM9" s="43">
        <v>7000</v>
      </c>
      <c r="AN9" s="43">
        <f>SUM(Financials20263[[#This Row],[Jan FC]:[Dec FC]])</f>
        <v>45500</v>
      </c>
      <c r="AO9" s="15">
        <f>SUM(Financials20263[[#This Row],[Jul FC]:[Dec FC]])</f>
        <v>24500</v>
      </c>
      <c r="AP9" s="56">
        <v>1000</v>
      </c>
      <c r="AQ9" s="56">
        <v>2500</v>
      </c>
      <c r="AR9" s="56"/>
      <c r="AS9" s="56"/>
      <c r="AT9" s="56"/>
      <c r="AU9" s="55"/>
      <c r="AV9" s="56"/>
      <c r="AW9" s="56"/>
      <c r="AX9" s="56"/>
      <c r="AY9" s="56"/>
      <c r="AZ9" s="55"/>
      <c r="BA9" s="55"/>
      <c r="BB9" s="74">
        <f>SUM(Financials20263[[#This Row],[Jan AC]:[Dec AC]])</f>
        <v>3500</v>
      </c>
      <c r="BC9" s="66">
        <f>Financials20263[[#This Row],[Jan AC]]-Financials20263[[#This Row],[Jan FC]]</f>
        <v>-2500</v>
      </c>
      <c r="BD9" s="66">
        <f>Financials20263[[#This Row],[Feb AC]]-Financials20263[[#This Row],[Feb FC]]</f>
        <v>-1000</v>
      </c>
      <c r="BE9" s="66">
        <f>Financials20263[[#This Row],[Mar AC]]-Financials20263[[#This Row],[Mar FC]]</f>
        <v>-3500</v>
      </c>
      <c r="BF9" s="66">
        <f>Financials20263[[#This Row],[Apr AC]]-Financials20263[[#This Row],[Apr FC]]</f>
        <v>-3500</v>
      </c>
      <c r="BG9" s="66">
        <f>Financials20263[[#This Row],[May AC]]-Financials20263[[#This Row],[May FC]]</f>
        <v>-3500</v>
      </c>
      <c r="BH9" s="66">
        <f>Financials20263[[#This Row],[Jun AC]]-Financials20263[[#This Row],[Jun FC]]</f>
        <v>-3500</v>
      </c>
      <c r="BI9" s="66">
        <f>Financials20263[[#This Row],[Jul AC]]-Financials20263[[#This Row],[Jul FC]]</f>
        <v>-3500</v>
      </c>
      <c r="BJ9" s="66">
        <f>Financials20263[[#This Row],[Aug AC]]-Financials20263[[#This Row],[Aug FC]]</f>
        <v>-3500</v>
      </c>
      <c r="BK9" s="66">
        <f>Financials20263[[#This Row],[Sep AC]]-Financials20263[[#This Row],[Sep FC]]</f>
        <v>-3500</v>
      </c>
      <c r="BL9" s="66">
        <f>Financials20263[[#This Row],[Oct AC]]-Financials20263[[#This Row],[Oct FC]]</f>
        <v>-3500</v>
      </c>
      <c r="BM9" s="66">
        <f>Financials20263[[#This Row],[Nov AC]]-Financials20263[[#This Row],[Nov FC]]</f>
        <v>-3500</v>
      </c>
      <c r="BN9" s="66">
        <f>Financials20263[[#This Row],[Dec AC]]-Financials20263[[#This Row],[Dec FC]]</f>
        <v>-7000</v>
      </c>
      <c r="BO9" s="66">
        <f>SUM(Financials20263[[#This Row],[Jan Opp/Risk]:[Dec Opp./Risk]])</f>
        <v>-42000</v>
      </c>
      <c r="BP9" s="82" t="s">
        <v>371</v>
      </c>
      <c r="BQ9" s="44">
        <f>SUM(Financials20263[[#This Row],[Jan AC]:[Jun AC]])</f>
        <v>3500</v>
      </c>
      <c r="BR9" s="6">
        <f t="shared" si="6"/>
        <v>14000</v>
      </c>
      <c r="BS9" s="6">
        <f>Financials20263[[#This Row],[Jul-Dec FC]]+Financials20263[[#This Row],[Pending Jan-Jun]]</f>
        <v>38500</v>
      </c>
      <c r="BT9" s="6"/>
      <c r="BU9" s="6"/>
      <c r="BV9" s="6"/>
    </row>
    <row r="10" spans="1:74" hidden="1">
      <c r="A10" s="20" t="s">
        <v>320</v>
      </c>
      <c r="B10" s="19" t="s">
        <v>72</v>
      </c>
      <c r="C10" s="19"/>
      <c r="D10" s="10" t="s">
        <v>322</v>
      </c>
      <c r="E10" s="7" t="s">
        <v>323</v>
      </c>
      <c r="F10" s="3" t="s">
        <v>324</v>
      </c>
      <c r="G10" s="3" t="s">
        <v>21</v>
      </c>
      <c r="H10" s="4" t="s">
        <v>367</v>
      </c>
      <c r="I10" s="4" t="s">
        <v>367</v>
      </c>
      <c r="J10" s="3"/>
      <c r="K10" s="3" t="str">
        <f t="shared" si="0"/>
        <v>Prj000350-Support - Infrastructure for Tech</v>
      </c>
      <c r="L10" s="19" t="s">
        <v>252</v>
      </c>
      <c r="M10" s="19" t="s">
        <v>12</v>
      </c>
      <c r="N10" s="19" t="s">
        <v>12</v>
      </c>
      <c r="O10" s="19"/>
      <c r="P10" s="19" t="s">
        <v>326</v>
      </c>
      <c r="Q10" s="19" t="s">
        <v>372</v>
      </c>
      <c r="R10" s="19" t="s">
        <v>372</v>
      </c>
      <c r="S10" s="19" t="s">
        <v>350</v>
      </c>
      <c r="T10" s="5">
        <v>237545.39</v>
      </c>
      <c r="U10" s="15">
        <v>180000</v>
      </c>
      <c r="V10" s="15">
        <f>180000-5625</f>
        <v>174375</v>
      </c>
      <c r="W10" s="15">
        <f t="shared" si="1"/>
        <v>160380.84000000003</v>
      </c>
      <c r="X10" s="15">
        <f t="shared" si="7"/>
        <v>-13994.159999999974</v>
      </c>
      <c r="Y10" s="15">
        <f t="shared" si="2"/>
        <v>0</v>
      </c>
      <c r="Z10" s="15">
        <f>SUM(Financials20263[[#This Row],[2026 Opportunity]:[2026 Risk]])</f>
        <v>-13994.159999999974</v>
      </c>
      <c r="AA10" s="3" t="s">
        <v>373</v>
      </c>
      <c r="AB10" s="47">
        <v>15000</v>
      </c>
      <c r="AC10" s="47">
        <v>15000</v>
      </c>
      <c r="AD10" s="47">
        <v>15000</v>
      </c>
      <c r="AE10" s="47">
        <v>15000</v>
      </c>
      <c r="AF10" s="47">
        <v>15000</v>
      </c>
      <c r="AG10" s="47">
        <v>15725</v>
      </c>
      <c r="AH10" s="47">
        <v>15725</v>
      </c>
      <c r="AI10" s="47">
        <v>15725</v>
      </c>
      <c r="AJ10" s="47">
        <v>15725</v>
      </c>
      <c r="AK10" s="47">
        <v>15725</v>
      </c>
      <c r="AL10" s="47">
        <v>15725</v>
      </c>
      <c r="AM10" s="47">
        <v>15725</v>
      </c>
      <c r="AN10" s="43">
        <f>SUM(Financials20263[[#This Row],[Jan FC]:[Dec FC]])</f>
        <v>185075</v>
      </c>
      <c r="AO10" s="15">
        <f>SUM(Financials20263[[#This Row],[Jul FC]:[Dec FC]])</f>
        <v>94350</v>
      </c>
      <c r="AP10" s="56">
        <v>11005.14</v>
      </c>
      <c r="AQ10" s="56">
        <v>11005.14</v>
      </c>
      <c r="AR10" s="56">
        <v>11005.14</v>
      </c>
      <c r="AS10" s="56">
        <v>11005.14</v>
      </c>
      <c r="AT10" s="56">
        <v>11005.14</v>
      </c>
      <c r="AU10" s="56">
        <v>11005.14</v>
      </c>
      <c r="AV10" s="56"/>
      <c r="AW10" s="56"/>
      <c r="AX10" s="56"/>
      <c r="AY10" s="56"/>
      <c r="AZ10" s="56"/>
      <c r="BA10" s="56"/>
      <c r="BB10" s="75">
        <f>SUM(Financials20263[[#This Row],[Jan AC]:[Dec AC]])</f>
        <v>66030.84</v>
      </c>
      <c r="BC10" s="66">
        <f>Financials20263[[#This Row],[Jan AC]]-Financials20263[[#This Row],[Jan FC]]</f>
        <v>-3994.8600000000006</v>
      </c>
      <c r="BD10" s="66">
        <f>Financials20263[[#This Row],[Feb AC]]-Financials20263[[#This Row],[Feb FC]]</f>
        <v>-3994.8600000000006</v>
      </c>
      <c r="BE10" s="66">
        <f>Financials20263[[#This Row],[Mar AC]]-Financials20263[[#This Row],[Mar FC]]</f>
        <v>-3994.8600000000006</v>
      </c>
      <c r="BF10" s="66">
        <f>Financials20263[[#This Row],[Apr AC]]-Financials20263[[#This Row],[Apr FC]]</f>
        <v>-3994.8600000000006</v>
      </c>
      <c r="BG10" s="66">
        <f>Financials20263[[#This Row],[May AC]]-Financials20263[[#This Row],[May FC]]</f>
        <v>-3994.8600000000006</v>
      </c>
      <c r="BH10" s="66">
        <f>Financials20263[[#This Row],[Jun AC]]-Financials20263[[#This Row],[Jun FC]]</f>
        <v>-4719.8600000000006</v>
      </c>
      <c r="BI10" s="66">
        <f>Financials20263[[#This Row],[Jul AC]]-Financials20263[[#This Row],[Jul FC]]</f>
        <v>-15725</v>
      </c>
      <c r="BJ10" s="66">
        <f>Financials20263[[#This Row],[Aug AC]]-Financials20263[[#This Row],[Aug FC]]</f>
        <v>-15725</v>
      </c>
      <c r="BK10" s="66">
        <f>Financials20263[[#This Row],[Sep AC]]-Financials20263[[#This Row],[Sep FC]]</f>
        <v>-15725</v>
      </c>
      <c r="BL10" s="66">
        <f>Financials20263[[#This Row],[Oct AC]]-Financials20263[[#This Row],[Oct FC]]</f>
        <v>-15725</v>
      </c>
      <c r="BM10" s="66">
        <f>Financials20263[[#This Row],[Nov AC]]-Financials20263[[#This Row],[Nov FC]]</f>
        <v>-15725</v>
      </c>
      <c r="BN10" s="66">
        <f>Financials20263[[#This Row],[Dec AC]]-Financials20263[[#This Row],[Dec FC]]</f>
        <v>-15725</v>
      </c>
      <c r="BO10" s="66">
        <f>SUM(Financials20263[[#This Row],[Jan Opp/Risk]:[Dec Opp./Risk]])</f>
        <v>-119044.16</v>
      </c>
      <c r="BP10" s="83" t="s">
        <v>374</v>
      </c>
      <c r="BQ10" s="44">
        <f>SUM(Financials20263[[#This Row],[Jan AC]:[Jun AC]])</f>
        <v>66030.84</v>
      </c>
      <c r="BR10" s="6">
        <f t="shared" si="6"/>
        <v>0</v>
      </c>
      <c r="BS10" s="6">
        <f>Financials20263[[#This Row],[Jul-Dec FC]]+Financials20263[[#This Row],[Pending Jan-Jun]]</f>
        <v>94350</v>
      </c>
      <c r="BT10" s="6"/>
      <c r="BU10" s="6"/>
      <c r="BV10" s="6"/>
    </row>
    <row r="11" spans="1:74" hidden="1">
      <c r="A11" s="20" t="s">
        <v>320</v>
      </c>
      <c r="B11" s="19" t="s">
        <v>88</v>
      </c>
      <c r="C11" s="19"/>
      <c r="D11" s="10" t="s">
        <v>322</v>
      </c>
      <c r="E11" s="7" t="s">
        <v>323</v>
      </c>
      <c r="F11" s="3" t="s">
        <v>324</v>
      </c>
      <c r="G11" s="3" t="s">
        <v>21</v>
      </c>
      <c r="H11" s="4" t="s">
        <v>367</v>
      </c>
      <c r="I11" s="4" t="s">
        <v>367</v>
      </c>
      <c r="J11" s="3"/>
      <c r="K11" s="3" t="str">
        <f t="shared" si="0"/>
        <v>Prj000350-Support - Infrastructure for Tech</v>
      </c>
      <c r="L11" s="19" t="s">
        <v>252</v>
      </c>
      <c r="M11" s="19" t="s">
        <v>12</v>
      </c>
      <c r="N11" s="19" t="s">
        <v>12</v>
      </c>
      <c r="O11" s="19" t="s">
        <v>375</v>
      </c>
      <c r="P11" s="19" t="s">
        <v>326</v>
      </c>
      <c r="Q11" s="19" t="s">
        <v>372</v>
      </c>
      <c r="R11" s="19" t="s">
        <v>372</v>
      </c>
      <c r="S11" s="19" t="s">
        <v>350</v>
      </c>
      <c r="T11" s="5">
        <v>32767</v>
      </c>
      <c r="U11" s="15">
        <v>35314</v>
      </c>
      <c r="V11" s="15">
        <v>35314</v>
      </c>
      <c r="W11" s="15">
        <f t="shared" si="1"/>
        <v>35712.259999999995</v>
      </c>
      <c r="X11" s="15">
        <f t="shared" si="7"/>
        <v>0</v>
      </c>
      <c r="Y11" s="15">
        <f t="shared" si="2"/>
        <v>398.25999999999476</v>
      </c>
      <c r="Z11" s="15">
        <f>SUM(Financials20263[[#This Row],[2026 Opportunity]:[2026 Risk]])</f>
        <v>398.25999999999476</v>
      </c>
      <c r="AA11" s="3" t="s">
        <v>376</v>
      </c>
      <c r="AB11" s="47">
        <v>2943</v>
      </c>
      <c r="AC11" s="47">
        <v>2943</v>
      </c>
      <c r="AD11" s="47">
        <v>2943</v>
      </c>
      <c r="AE11" s="47">
        <v>2943</v>
      </c>
      <c r="AF11" s="47">
        <v>2943</v>
      </c>
      <c r="AG11" s="47">
        <v>2943</v>
      </c>
      <c r="AH11" s="47">
        <v>2943</v>
      </c>
      <c r="AI11" s="47">
        <v>2943</v>
      </c>
      <c r="AJ11" s="47">
        <v>2943</v>
      </c>
      <c r="AK11" s="47">
        <v>2943</v>
      </c>
      <c r="AL11" s="47">
        <v>2943</v>
      </c>
      <c r="AM11" s="47">
        <f>2943-2</f>
        <v>2941</v>
      </c>
      <c r="AN11" s="43">
        <f>SUM(Financials20263[[#This Row],[Jan FC]:[Dec FC]])</f>
        <v>35314</v>
      </c>
      <c r="AO11" s="15">
        <f>SUM(Financials20263[[#This Row],[Jul FC]:[Dec FC]])</f>
        <v>17656</v>
      </c>
      <c r="AP11" s="56">
        <f>650+902.71+1250</f>
        <v>2802.71</v>
      </c>
      <c r="AQ11" s="56">
        <v>2802.71</v>
      </c>
      <c r="AR11" s="56">
        <v>2802.71</v>
      </c>
      <c r="AS11" s="56">
        <f>1300+1540+902.71</f>
        <v>3742.71</v>
      </c>
      <c r="AT11" s="56">
        <f>902.71+1300+750</f>
        <v>2952.71</v>
      </c>
      <c r="AU11" s="56">
        <f>1300+902.71+750</f>
        <v>2952.71</v>
      </c>
      <c r="AV11" s="56">
        <f>1300+902.71+750</f>
        <v>2952.71</v>
      </c>
      <c r="AW11" s="56"/>
      <c r="AX11" s="56"/>
      <c r="AY11" s="56"/>
      <c r="AZ11" s="56"/>
      <c r="BA11" s="56"/>
      <c r="BB11" s="75">
        <f>SUM(Financials20263[[#This Row],[Jan AC]:[Dec AC]])</f>
        <v>21008.969999999998</v>
      </c>
      <c r="BC11" s="66">
        <f>Financials20263[[#This Row],[Jan AC]]-Financials20263[[#This Row],[Jan FC]]</f>
        <v>-140.28999999999996</v>
      </c>
      <c r="BD11" s="66">
        <f>Financials20263[[#This Row],[Feb AC]]-Financials20263[[#This Row],[Feb FC]]</f>
        <v>-140.28999999999996</v>
      </c>
      <c r="BE11" s="66">
        <f>Financials20263[[#This Row],[Mar AC]]-Financials20263[[#This Row],[Mar FC]]</f>
        <v>-140.28999999999996</v>
      </c>
      <c r="BF11" s="66">
        <f>Financials20263[[#This Row],[Apr AC]]-Financials20263[[#This Row],[Apr FC]]</f>
        <v>799.71</v>
      </c>
      <c r="BG11" s="66">
        <f>Financials20263[[#This Row],[May AC]]-Financials20263[[#This Row],[May FC]]</f>
        <v>9.7100000000000364</v>
      </c>
      <c r="BH11" s="66">
        <f>Financials20263[[#This Row],[Jun AC]]-Financials20263[[#This Row],[Jun FC]]</f>
        <v>9.7100000000000364</v>
      </c>
      <c r="BI11" s="66">
        <f>Financials20263[[#This Row],[Jul AC]]-Financials20263[[#This Row],[Jul FC]]</f>
        <v>9.7100000000000364</v>
      </c>
      <c r="BJ11" s="66">
        <f>Financials20263[[#This Row],[Aug AC]]-Financials20263[[#This Row],[Aug FC]]</f>
        <v>-2943</v>
      </c>
      <c r="BK11" s="66">
        <f>Financials20263[[#This Row],[Sep AC]]-Financials20263[[#This Row],[Sep FC]]</f>
        <v>-2943</v>
      </c>
      <c r="BL11" s="66">
        <f>Financials20263[[#This Row],[Oct AC]]-Financials20263[[#This Row],[Oct FC]]</f>
        <v>-2943</v>
      </c>
      <c r="BM11" s="66">
        <f>Financials20263[[#This Row],[Nov AC]]-Financials20263[[#This Row],[Nov FC]]</f>
        <v>-2943</v>
      </c>
      <c r="BN11" s="66">
        <f>Financials20263[[#This Row],[Dec AC]]-Financials20263[[#This Row],[Dec FC]]</f>
        <v>-2941</v>
      </c>
      <c r="BO11" s="66">
        <f>SUM(Financials20263[[#This Row],[Jan Opp/Risk]:[Dec Opp./Risk]])</f>
        <v>-14305.029999999999</v>
      </c>
      <c r="BP11" s="82" t="s">
        <v>377</v>
      </c>
      <c r="BQ11" s="44">
        <f>SUM(Financials20263[[#This Row],[Jan AC]:[Jun AC]])</f>
        <v>18056.259999999998</v>
      </c>
      <c r="BR11" s="6">
        <f t="shared" si="6"/>
        <v>0</v>
      </c>
      <c r="BS11" s="6">
        <f>Financials20263[[#This Row],[Jul-Dec FC]]+Financials20263[[#This Row],[Pending Jan-Jun]]</f>
        <v>17656</v>
      </c>
      <c r="BT11" s="6"/>
      <c r="BU11" s="6"/>
      <c r="BV11" s="6"/>
    </row>
    <row r="12" spans="1:74" hidden="1">
      <c r="A12" s="20" t="s">
        <v>320</v>
      </c>
      <c r="B12" s="19" t="s">
        <v>92</v>
      </c>
      <c r="C12" s="19" t="s">
        <v>378</v>
      </c>
      <c r="D12" s="10" t="s">
        <v>322</v>
      </c>
      <c r="E12" s="7" t="s">
        <v>323</v>
      </c>
      <c r="F12" s="3" t="s">
        <v>324</v>
      </c>
      <c r="G12" s="3" t="s">
        <v>21</v>
      </c>
      <c r="H12" s="4" t="s">
        <v>367</v>
      </c>
      <c r="I12" s="4" t="s">
        <v>367</v>
      </c>
      <c r="J12" s="3"/>
      <c r="K12" s="3" t="str">
        <f t="shared" si="0"/>
        <v>Prj000350-Support - Infrastructure for Tech</v>
      </c>
      <c r="L12" s="19" t="s">
        <v>252</v>
      </c>
      <c r="M12" s="19" t="s">
        <v>12</v>
      </c>
      <c r="N12" s="19" t="s">
        <v>12</v>
      </c>
      <c r="O12" s="19" t="s">
        <v>375</v>
      </c>
      <c r="P12" s="19" t="s">
        <v>326</v>
      </c>
      <c r="Q12" s="19" t="s">
        <v>372</v>
      </c>
      <c r="R12" s="19" t="s">
        <v>372</v>
      </c>
      <c r="S12" s="19" t="s">
        <v>350</v>
      </c>
      <c r="T12" s="5">
        <v>23746</v>
      </c>
      <c r="U12" s="15">
        <v>25439</v>
      </c>
      <c r="V12" s="15">
        <v>25439</v>
      </c>
      <c r="W12" s="15">
        <f t="shared" si="1"/>
        <v>24835.47</v>
      </c>
      <c r="X12" s="15">
        <f t="shared" si="7"/>
        <v>-603.52999999999884</v>
      </c>
      <c r="Y12" s="15">
        <f t="shared" si="2"/>
        <v>0</v>
      </c>
      <c r="Z12" s="15">
        <f>SUM(Financials20263[[#This Row],[2026 Opportunity]:[2026 Risk]])</f>
        <v>-603.52999999999884</v>
      </c>
      <c r="AA12" s="3" t="s">
        <v>376</v>
      </c>
      <c r="AB12" s="47">
        <f>Financials20263[[#This Row],[2026 Final Budget]]/12</f>
        <v>2119.9166666666665</v>
      </c>
      <c r="AC12" s="47">
        <f>Financials20263[[#This Row],[2026 Final Budget]]/12</f>
        <v>2119.9166666666665</v>
      </c>
      <c r="AD12" s="47">
        <f>Financials20263[[#This Row],[2026 Final Budget]]/12</f>
        <v>2119.9166666666665</v>
      </c>
      <c r="AE12" s="47">
        <f>Financials20263[[#This Row],[2026 Final Budget]]/12</f>
        <v>2119.9166666666665</v>
      </c>
      <c r="AF12" s="47">
        <f>Financials20263[[#This Row],[2026 Final Budget]]/12</f>
        <v>2119.9166666666665</v>
      </c>
      <c r="AG12" s="47">
        <f>Financials20263[[#This Row],[2026 Final Budget]]/12</f>
        <v>2119.9166666666665</v>
      </c>
      <c r="AH12" s="47">
        <f>Financials20263[[#This Row],[2026 Final Budget]]/12</f>
        <v>2119.9166666666665</v>
      </c>
      <c r="AI12" s="47">
        <f>Financials20263[[#This Row],[2026 Final Budget]]/12</f>
        <v>2119.9166666666665</v>
      </c>
      <c r="AJ12" s="47">
        <f>Financials20263[[#This Row],[2026 Final Budget]]/12</f>
        <v>2119.9166666666665</v>
      </c>
      <c r="AK12" s="47">
        <f>Financials20263[[#This Row],[2026 Final Budget]]/12</f>
        <v>2119.9166666666665</v>
      </c>
      <c r="AL12" s="47">
        <f>Financials20263[[#This Row],[2026 Final Budget]]/12</f>
        <v>2119.9166666666665</v>
      </c>
      <c r="AM12" s="47">
        <f>Financials20263[[#This Row],[2026 Final Budget]]/12</f>
        <v>2119.9166666666665</v>
      </c>
      <c r="AN12" s="47">
        <f>SUM(Financials20263[[#This Row],[Jan FC]:[Dec FC]])</f>
        <v>25439.000000000004</v>
      </c>
      <c r="AO12" s="15">
        <f>SUM(Financials20263[[#This Row],[Jul FC]:[Dec FC]])</f>
        <v>12719.499999999998</v>
      </c>
      <c r="AP12" s="56">
        <v>2019.14</v>
      </c>
      <c r="AQ12" s="56">
        <v>2019.24</v>
      </c>
      <c r="AR12" s="56">
        <v>2019.24</v>
      </c>
      <c r="AS12" s="56">
        <v>2019.45</v>
      </c>
      <c r="AT12" s="56">
        <v>2019.45</v>
      </c>
      <c r="AU12" s="56">
        <v>2019.45</v>
      </c>
      <c r="AV12" s="56">
        <v>2019.55</v>
      </c>
      <c r="AW12" s="56"/>
      <c r="AX12" s="56"/>
      <c r="AY12" s="56"/>
      <c r="AZ12" s="56"/>
      <c r="BA12" s="56"/>
      <c r="BB12" s="75">
        <f>SUM(Financials20263[[#This Row],[Jan AC]:[Dec AC]])</f>
        <v>14135.52</v>
      </c>
      <c r="BC12" s="66">
        <f>Financials20263[[#This Row],[Jan AC]]-Financials20263[[#This Row],[Jan FC]]</f>
        <v>-100.77666666666642</v>
      </c>
      <c r="BD12" s="66">
        <f>Financials20263[[#This Row],[Feb AC]]-Financials20263[[#This Row],[Feb FC]]</f>
        <v>-100.67666666666651</v>
      </c>
      <c r="BE12" s="66">
        <f>Financials20263[[#This Row],[Mar AC]]-Financials20263[[#This Row],[Mar FC]]</f>
        <v>-100.67666666666651</v>
      </c>
      <c r="BF12" s="66">
        <f>Financials20263[[#This Row],[Apr AC]]-Financials20263[[#This Row],[Apr FC]]</f>
        <v>-100.46666666666647</v>
      </c>
      <c r="BG12" s="66">
        <f>Financials20263[[#This Row],[May AC]]-Financials20263[[#This Row],[May FC]]</f>
        <v>-100.46666666666647</v>
      </c>
      <c r="BH12" s="66">
        <f>Financials20263[[#This Row],[Jun AC]]-Financials20263[[#This Row],[Jun FC]]</f>
        <v>-100.46666666666647</v>
      </c>
      <c r="BI12" s="66">
        <f>Financials20263[[#This Row],[Jul AC]]-Financials20263[[#This Row],[Jul FC]]</f>
        <v>-100.36666666666656</v>
      </c>
      <c r="BJ12" s="66">
        <f>Financials20263[[#This Row],[Aug AC]]-Financials20263[[#This Row],[Aug FC]]</f>
        <v>-2119.9166666666665</v>
      </c>
      <c r="BK12" s="66">
        <f>Financials20263[[#This Row],[Sep AC]]-Financials20263[[#This Row],[Sep FC]]</f>
        <v>-2119.9166666666665</v>
      </c>
      <c r="BL12" s="66">
        <f>Financials20263[[#This Row],[Oct AC]]-Financials20263[[#This Row],[Oct FC]]</f>
        <v>-2119.9166666666665</v>
      </c>
      <c r="BM12" s="66">
        <f>Financials20263[[#This Row],[Nov AC]]-Financials20263[[#This Row],[Nov FC]]</f>
        <v>-2119.9166666666665</v>
      </c>
      <c r="BN12" s="66">
        <f>Financials20263[[#This Row],[Dec AC]]-Financials20263[[#This Row],[Dec FC]]</f>
        <v>-2119.9166666666665</v>
      </c>
      <c r="BO12" s="66">
        <f>SUM(Financials20263[[#This Row],[Jan Opp/Risk]:[Dec Opp./Risk]])</f>
        <v>-11303.479999999996</v>
      </c>
      <c r="BP12" s="82" t="s">
        <v>377</v>
      </c>
      <c r="BQ12" s="44">
        <f>SUM(Financials20263[[#This Row],[Jan AC]:[Jun AC]])</f>
        <v>12115.970000000001</v>
      </c>
      <c r="BR12" s="6">
        <f t="shared" si="6"/>
        <v>0</v>
      </c>
      <c r="BS12" s="6">
        <f>Financials20263[[#This Row],[Jul-Dec FC]]+Financials20263[[#This Row],[Pending Jan-Jun]]</f>
        <v>12719.499999999998</v>
      </c>
      <c r="BT12" s="6"/>
      <c r="BU12" s="6"/>
      <c r="BV12" s="6"/>
    </row>
    <row r="13" spans="1:74" hidden="1">
      <c r="A13" s="20" t="s">
        <v>320</v>
      </c>
      <c r="B13" s="19" t="s">
        <v>81</v>
      </c>
      <c r="C13" s="19"/>
      <c r="D13" s="10" t="s">
        <v>322</v>
      </c>
      <c r="E13" s="7" t="s">
        <v>323</v>
      </c>
      <c r="F13" s="3" t="s">
        <v>324</v>
      </c>
      <c r="G13" s="3" t="s">
        <v>21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19" t="s">
        <v>252</v>
      </c>
      <c r="M13" s="19" t="s">
        <v>12</v>
      </c>
      <c r="N13" s="19" t="s">
        <v>12</v>
      </c>
      <c r="O13" s="19" t="s">
        <v>379</v>
      </c>
      <c r="P13" s="19" t="s">
        <v>380</v>
      </c>
      <c r="Q13" s="19" t="s">
        <v>381</v>
      </c>
      <c r="R13" s="19" t="s">
        <v>382</v>
      </c>
      <c r="S13" s="19" t="s">
        <v>383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47"/>
      <c r="AC13" s="47"/>
      <c r="AD13" s="47">
        <v>715.75</v>
      </c>
      <c r="AE13" s="47"/>
      <c r="AF13" s="47"/>
      <c r="AG13" s="47">
        <v>715.75</v>
      </c>
      <c r="AH13" s="47"/>
      <c r="AI13" s="47"/>
      <c r="AJ13" s="47">
        <v>715.75</v>
      </c>
      <c r="AK13" s="47"/>
      <c r="AL13" s="47"/>
      <c r="AM13" s="47">
        <v>715.75</v>
      </c>
      <c r="AN13" s="47">
        <f>SUM(Financials20263[[#This Row],[Jan FC]:[Dec FC]])</f>
        <v>2863</v>
      </c>
      <c r="AO13" s="15">
        <f>SUM(Financials20263[[#This Row],[Jul FC]:[Dec FC]])</f>
        <v>1431.5</v>
      </c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75">
        <f>SUM(Financials20263[[#This Row],[Jan AC]:[Dec AC]])</f>
        <v>0</v>
      </c>
      <c r="BC13" s="66">
        <f>Financials20263[[#This Row],[Jan AC]]-Financials20263[[#This Row],[Jan FC]]</f>
        <v>0</v>
      </c>
      <c r="BD13" s="66">
        <f>Financials20263[[#This Row],[Feb AC]]-Financials20263[[#This Row],[Feb FC]]</f>
        <v>0</v>
      </c>
      <c r="BE13" s="66">
        <f>Financials20263[[#This Row],[Mar AC]]-Financials20263[[#This Row],[Mar FC]]</f>
        <v>-715.75</v>
      </c>
      <c r="BF13" s="66">
        <f>Financials20263[[#This Row],[Apr AC]]-Financials20263[[#This Row],[Apr FC]]</f>
        <v>0</v>
      </c>
      <c r="BG13" s="66">
        <f>Financials20263[[#This Row],[May AC]]-Financials20263[[#This Row],[May FC]]</f>
        <v>0</v>
      </c>
      <c r="BH13" s="66">
        <f>Financials20263[[#This Row],[Jun AC]]-Financials20263[[#This Row],[Jun FC]]</f>
        <v>-715.75</v>
      </c>
      <c r="BI13" s="66">
        <f>Financials20263[[#This Row],[Jul AC]]-Financials20263[[#This Row],[Jul FC]]</f>
        <v>0</v>
      </c>
      <c r="BJ13" s="66">
        <f>Financials20263[[#This Row],[Aug AC]]-Financials20263[[#This Row],[Aug FC]]</f>
        <v>0</v>
      </c>
      <c r="BK13" s="66">
        <f>Financials20263[[#This Row],[Sep AC]]-Financials20263[[#This Row],[Sep FC]]</f>
        <v>-715.75</v>
      </c>
      <c r="BL13" s="66">
        <f>Financials20263[[#This Row],[Oct AC]]-Financials20263[[#This Row],[Oct FC]]</f>
        <v>0</v>
      </c>
      <c r="BM13" s="66">
        <f>Financials20263[[#This Row],[Nov AC]]-Financials20263[[#This Row],[Nov FC]]</f>
        <v>0</v>
      </c>
      <c r="BN13" s="66">
        <f>Financials20263[[#This Row],[Dec AC]]-Financials20263[[#This Row],[Dec FC]]</f>
        <v>-715.75</v>
      </c>
      <c r="BO13" s="66">
        <f>SUM(Financials20263[[#This Row],[Jan Opp/Risk]:[Dec Opp./Risk]])</f>
        <v>-2863</v>
      </c>
      <c r="BP13" s="83"/>
      <c r="BQ13" s="44">
        <f>SUM(Financials20263[[#This Row],[Jan AC]:[Jun AC]])</f>
        <v>0</v>
      </c>
      <c r="BR13" s="6">
        <f t="shared" si="6"/>
        <v>1431.5</v>
      </c>
      <c r="BS13" s="6">
        <f>Financials20263[[#This Row],[Jul-Dec FC]]+Financials20263[[#This Row],[Pending Jan-Jun]]</f>
        <v>2863</v>
      </c>
      <c r="BT13" s="6"/>
      <c r="BU13" s="6"/>
      <c r="BV13" s="6"/>
    </row>
    <row r="14" spans="1:74" hidden="1">
      <c r="A14" s="20" t="s">
        <v>320</v>
      </c>
      <c r="B14" s="19" t="s">
        <v>105</v>
      </c>
      <c r="C14" s="19"/>
      <c r="D14" s="10" t="s">
        <v>322</v>
      </c>
      <c r="E14" s="7" t="s">
        <v>323</v>
      </c>
      <c r="F14" s="3" t="s">
        <v>324</v>
      </c>
      <c r="G14" s="3" t="s">
        <v>21</v>
      </c>
      <c r="H14" s="4">
        <v>45947</v>
      </c>
      <c r="I14" s="4">
        <v>46311</v>
      </c>
      <c r="J14" s="3" t="s">
        <v>384</v>
      </c>
      <c r="K14" s="3" t="str">
        <f t="shared" si="0"/>
        <v>Prj000350-Support - Infrastructure for Tech</v>
      </c>
      <c r="L14" s="19" t="s">
        <v>252</v>
      </c>
      <c r="M14" s="19" t="s">
        <v>12</v>
      </c>
      <c r="N14" s="19" t="s">
        <v>12</v>
      </c>
      <c r="O14" s="19"/>
      <c r="P14" s="19" t="s">
        <v>380</v>
      </c>
      <c r="Q14" s="19" t="s">
        <v>381</v>
      </c>
      <c r="R14" s="19" t="s">
        <v>382</v>
      </c>
      <c r="S14" s="19" t="s">
        <v>354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385</v>
      </c>
      <c r="AB14" s="47"/>
      <c r="AC14" s="47"/>
      <c r="AD14" s="47"/>
      <c r="AE14" s="47"/>
      <c r="AF14" s="47"/>
      <c r="AG14" s="47"/>
      <c r="AH14" s="47"/>
      <c r="AI14" s="47"/>
      <c r="AJ14" s="47"/>
      <c r="AK14" s="47">
        <v>15750</v>
      </c>
      <c r="AL14" s="47"/>
      <c r="AM14" s="47"/>
      <c r="AN14" s="47">
        <f>SUM(Financials20263[[#This Row],[Jan FC]:[Dec FC]])</f>
        <v>15750</v>
      </c>
      <c r="AO14" s="15">
        <f>SUM(Financials20263[[#This Row],[Jul FC]:[Dec FC]])</f>
        <v>15750</v>
      </c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75">
        <f>SUM(Financials20263[[#This Row],[Jan AC]:[Dec AC]])</f>
        <v>0</v>
      </c>
      <c r="BC14" s="66">
        <f>Financials20263[[#This Row],[Jan AC]]-Financials20263[[#This Row],[Jan FC]]</f>
        <v>0</v>
      </c>
      <c r="BD14" s="66">
        <f>Financials20263[[#This Row],[Feb AC]]-Financials20263[[#This Row],[Feb FC]]</f>
        <v>0</v>
      </c>
      <c r="BE14" s="66">
        <f>Financials20263[[#This Row],[Mar AC]]-Financials20263[[#This Row],[Mar FC]]</f>
        <v>0</v>
      </c>
      <c r="BF14" s="66">
        <f>Financials20263[[#This Row],[Apr AC]]-Financials20263[[#This Row],[Apr FC]]</f>
        <v>0</v>
      </c>
      <c r="BG14" s="66">
        <f>Financials20263[[#This Row],[May AC]]-Financials20263[[#This Row],[May FC]]</f>
        <v>0</v>
      </c>
      <c r="BH14" s="66">
        <f>Financials20263[[#This Row],[Jun AC]]-Financials20263[[#This Row],[Jun FC]]</f>
        <v>0</v>
      </c>
      <c r="BI14" s="66">
        <f>Financials20263[[#This Row],[Jul AC]]-Financials20263[[#This Row],[Jul FC]]</f>
        <v>0</v>
      </c>
      <c r="BJ14" s="66">
        <f>Financials20263[[#This Row],[Aug AC]]-Financials20263[[#This Row],[Aug FC]]</f>
        <v>0</v>
      </c>
      <c r="BK14" s="66">
        <f>Financials20263[[#This Row],[Sep AC]]-Financials20263[[#This Row],[Sep FC]]</f>
        <v>0</v>
      </c>
      <c r="BL14" s="66">
        <f>Financials20263[[#This Row],[Oct AC]]-Financials20263[[#This Row],[Oct FC]]</f>
        <v>-15750</v>
      </c>
      <c r="BM14" s="66">
        <f>Financials20263[[#This Row],[Nov AC]]-Financials20263[[#This Row],[Nov FC]]</f>
        <v>0</v>
      </c>
      <c r="BN14" s="66">
        <f>Financials20263[[#This Row],[Dec AC]]-Financials20263[[#This Row],[Dec FC]]</f>
        <v>0</v>
      </c>
      <c r="BO14" s="66">
        <f>SUM(Financials20263[[#This Row],[Jan Opp/Risk]:[Dec Opp./Risk]])</f>
        <v>-15750</v>
      </c>
      <c r="BP14" s="83"/>
      <c r="BQ14" s="44">
        <f>SUM(Financials20263[[#This Row],[Jan AC]:[Jun AC]])</f>
        <v>0</v>
      </c>
      <c r="BR14" s="6">
        <f t="shared" si="6"/>
        <v>0</v>
      </c>
      <c r="BS14" s="6">
        <f>Financials20263[[#This Row],[Jul-Dec FC]]+Financials20263[[#This Row],[Pending Jan-Jun]]</f>
        <v>15750</v>
      </c>
      <c r="BT14" s="6"/>
      <c r="BU14" s="6"/>
      <c r="BV14" s="6"/>
    </row>
    <row r="15" spans="1:74" hidden="1">
      <c r="A15" s="20" t="s">
        <v>386</v>
      </c>
      <c r="B15" s="19" t="s">
        <v>254</v>
      </c>
      <c r="C15" s="19" t="s">
        <v>98</v>
      </c>
      <c r="D15" s="10" t="s">
        <v>322</v>
      </c>
      <c r="E15" s="7" t="s">
        <v>323</v>
      </c>
      <c r="F15" s="3" t="s">
        <v>324</v>
      </c>
      <c r="G15" s="3" t="s">
        <v>21</v>
      </c>
      <c r="H15" s="4" t="s">
        <v>336</v>
      </c>
      <c r="I15" s="4" t="s">
        <v>336</v>
      </c>
      <c r="J15" s="3"/>
      <c r="K15" s="3" t="str">
        <f t="shared" si="0"/>
        <v>Prj000350-Support - Infrastructure for Tech</v>
      </c>
      <c r="L15" s="19" t="s">
        <v>252</v>
      </c>
      <c r="M15" s="19" t="s">
        <v>12</v>
      </c>
      <c r="N15" s="19" t="s">
        <v>12</v>
      </c>
      <c r="O15" s="19"/>
      <c r="P15" s="19" t="s">
        <v>380</v>
      </c>
      <c r="Q15" s="19" t="s">
        <v>381</v>
      </c>
      <c r="R15" s="19" t="s">
        <v>382</v>
      </c>
      <c r="S15" s="19" t="s">
        <v>357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46</v>
      </c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>
        <v>52500</v>
      </c>
      <c r="AN15" s="47">
        <f>SUM(Financials20263[[#This Row],[Jan FC]:[Dec FC]])</f>
        <v>52500</v>
      </c>
      <c r="AO15" s="15">
        <f>SUM(Financials20263[[#This Row],[Jul FC]:[Dec FC]])</f>
        <v>52500</v>
      </c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75">
        <f>SUM(Financials20263[[#This Row],[Jan AC]:[Dec AC]])</f>
        <v>0</v>
      </c>
      <c r="BC15" s="66">
        <f>Financials20263[[#This Row],[Jan AC]]-Financials20263[[#This Row],[Jan FC]]</f>
        <v>0</v>
      </c>
      <c r="BD15" s="66">
        <f>Financials20263[[#This Row],[Feb AC]]-Financials20263[[#This Row],[Feb FC]]</f>
        <v>0</v>
      </c>
      <c r="BE15" s="66">
        <f>Financials20263[[#This Row],[Mar AC]]-Financials20263[[#This Row],[Mar FC]]</f>
        <v>0</v>
      </c>
      <c r="BF15" s="66">
        <f>Financials20263[[#This Row],[Apr AC]]-Financials20263[[#This Row],[Apr FC]]</f>
        <v>0</v>
      </c>
      <c r="BG15" s="66">
        <f>Financials20263[[#This Row],[May AC]]-Financials20263[[#This Row],[May FC]]</f>
        <v>0</v>
      </c>
      <c r="BH15" s="66">
        <f>Financials20263[[#This Row],[Jun AC]]-Financials20263[[#This Row],[Jun FC]]</f>
        <v>0</v>
      </c>
      <c r="BI15" s="66">
        <f>Financials20263[[#This Row],[Jul AC]]-Financials20263[[#This Row],[Jul FC]]</f>
        <v>0</v>
      </c>
      <c r="BJ15" s="66">
        <f>Financials20263[[#This Row],[Aug AC]]-Financials20263[[#This Row],[Aug FC]]</f>
        <v>0</v>
      </c>
      <c r="BK15" s="66">
        <f>Financials20263[[#This Row],[Sep AC]]-Financials20263[[#This Row],[Sep FC]]</f>
        <v>0</v>
      </c>
      <c r="BL15" s="66">
        <f>Financials20263[[#This Row],[Oct AC]]-Financials20263[[#This Row],[Oct FC]]</f>
        <v>0</v>
      </c>
      <c r="BM15" s="66">
        <f>Financials20263[[#This Row],[Nov AC]]-Financials20263[[#This Row],[Nov FC]]</f>
        <v>0</v>
      </c>
      <c r="BN15" s="66">
        <f>Financials20263[[#This Row],[Dec AC]]-Financials20263[[#This Row],[Dec FC]]</f>
        <v>-52500</v>
      </c>
      <c r="BO15" s="66">
        <f>SUM(Financials20263[[#This Row],[Jan Opp/Risk]:[Dec Opp./Risk]])</f>
        <v>-52500</v>
      </c>
      <c r="BP15" s="83"/>
      <c r="BQ15" s="44">
        <f>SUM(Financials20263[[#This Row],[Jan AC]:[Jun AC]])</f>
        <v>0</v>
      </c>
      <c r="BR15" s="6">
        <f t="shared" si="6"/>
        <v>0</v>
      </c>
      <c r="BS15" s="6">
        <f>Financials20263[[#This Row],[Jul-Dec FC]]+Financials20263[[#This Row],[Pending Jan-Jun]]</f>
        <v>52500</v>
      </c>
      <c r="BT15" s="6"/>
      <c r="BU15" s="6"/>
      <c r="BV15" s="6"/>
    </row>
    <row r="16" spans="1:74" hidden="1">
      <c r="A16" s="20" t="s">
        <v>320</v>
      </c>
      <c r="B16" s="19" t="s">
        <v>142</v>
      </c>
      <c r="C16" s="19"/>
      <c r="D16" s="10" t="s">
        <v>387</v>
      </c>
      <c r="E16" s="7" t="s">
        <v>388</v>
      </c>
      <c r="F16" s="3" t="s">
        <v>389</v>
      </c>
      <c r="G16" s="3" t="s">
        <v>22</v>
      </c>
      <c r="H16" s="4" t="s">
        <v>367</v>
      </c>
      <c r="I16" s="4" t="s">
        <v>367</v>
      </c>
      <c r="J16" s="3"/>
      <c r="K16" s="3" t="str">
        <f t="shared" si="0"/>
        <v>Prj000381-Support - Prod Support for Credit Apps</v>
      </c>
      <c r="L16" s="19" t="s">
        <v>252</v>
      </c>
      <c r="M16" s="19" t="s">
        <v>15</v>
      </c>
      <c r="N16" s="19" t="s">
        <v>15</v>
      </c>
      <c r="O16" s="19" t="s">
        <v>390</v>
      </c>
      <c r="P16" s="19" t="s">
        <v>391</v>
      </c>
      <c r="Q16" s="19" t="s">
        <v>391</v>
      </c>
      <c r="R16" s="19" t="s">
        <v>392</v>
      </c>
      <c r="S16" s="19" t="s">
        <v>350</v>
      </c>
      <c r="T16" s="5">
        <v>13064.939999999999</v>
      </c>
      <c r="U16" s="15">
        <v>14886</v>
      </c>
      <c r="V16" s="15">
        <v>14886</v>
      </c>
      <c r="W16" s="15">
        <f t="shared" si="1"/>
        <v>13065.04</v>
      </c>
      <c r="X16" s="15">
        <f t="shared" si="7"/>
        <v>-1820.9599999999991</v>
      </c>
      <c r="Y16" s="15">
        <f t="shared" si="2"/>
        <v>0</v>
      </c>
      <c r="Z16" s="15">
        <f>SUM(Financials20263[[#This Row],[2026 Opportunity]:[2026 Risk]])</f>
        <v>-1820.9599999999991</v>
      </c>
      <c r="AA16" s="3" t="s">
        <v>393</v>
      </c>
      <c r="AB16" s="47">
        <v>1088.76</v>
      </c>
      <c r="AC16" s="47">
        <v>1088.76</v>
      </c>
      <c r="AD16" s="47">
        <v>1088.76</v>
      </c>
      <c r="AE16" s="47">
        <v>1088.76</v>
      </c>
      <c r="AF16" s="47">
        <v>1088.76</v>
      </c>
      <c r="AG16" s="47">
        <v>1088.76</v>
      </c>
      <c r="AH16" s="47">
        <v>1088.76</v>
      </c>
      <c r="AI16" s="47">
        <v>1088.76</v>
      </c>
      <c r="AJ16" s="47">
        <v>1088.76</v>
      </c>
      <c r="AK16" s="47">
        <v>1088.76</v>
      </c>
      <c r="AL16" s="47">
        <v>1088.76</v>
      </c>
      <c r="AM16" s="47">
        <v>1088.76</v>
      </c>
      <c r="AN16" s="43">
        <f>SUM(Financials20263[[#This Row],[Jan FC]:[Dec FC]])</f>
        <v>13065.12</v>
      </c>
      <c r="AO16" s="15">
        <f>SUM(Financials20263[[#This Row],[Jul FC]:[Dec FC]])</f>
        <v>6532.56</v>
      </c>
      <c r="AP16" s="56">
        <v>1088.76</v>
      </c>
      <c r="AQ16" s="56">
        <v>1088.74</v>
      </c>
      <c r="AR16" s="56">
        <v>1088.76</v>
      </c>
      <c r="AS16" s="56">
        <v>1088.74</v>
      </c>
      <c r="AT16" s="56">
        <v>1088.74</v>
      </c>
      <c r="AU16" s="56">
        <v>1088.74</v>
      </c>
      <c r="AV16" s="56"/>
      <c r="AW16" s="56"/>
      <c r="AX16" s="56"/>
      <c r="AY16" s="56"/>
      <c r="AZ16" s="56"/>
      <c r="BA16" s="56"/>
      <c r="BB16" s="75">
        <f>SUM(Financials20263[[#This Row],[Jan AC]:[Dec AC]])</f>
        <v>6532.48</v>
      </c>
      <c r="BC16" s="66">
        <f>Financials20263[[#This Row],[Jan AC]]-Financials20263[[#This Row],[Jan FC]]</f>
        <v>0</v>
      </c>
      <c r="BD16" s="66">
        <f>Financials20263[[#This Row],[Feb AC]]-Financials20263[[#This Row],[Feb FC]]</f>
        <v>-1.999999999998181E-2</v>
      </c>
      <c r="BE16" s="66">
        <f>Financials20263[[#This Row],[Mar AC]]-Financials20263[[#This Row],[Mar FC]]</f>
        <v>0</v>
      </c>
      <c r="BF16" s="66">
        <f>Financials20263[[#This Row],[Apr AC]]-Financials20263[[#This Row],[Apr FC]]</f>
        <v>-1.999999999998181E-2</v>
      </c>
      <c r="BG16" s="66">
        <f>Financials20263[[#This Row],[May AC]]-Financials20263[[#This Row],[May FC]]</f>
        <v>-1.999999999998181E-2</v>
      </c>
      <c r="BH16" s="66">
        <f>Financials20263[[#This Row],[Jun AC]]-Financials20263[[#This Row],[Jun FC]]</f>
        <v>-1.999999999998181E-2</v>
      </c>
      <c r="BI16" s="66">
        <f>Financials20263[[#This Row],[Jul AC]]-Financials20263[[#This Row],[Jul FC]]</f>
        <v>-1088.76</v>
      </c>
      <c r="BJ16" s="66">
        <f>Financials20263[[#This Row],[Aug AC]]-Financials20263[[#This Row],[Aug FC]]</f>
        <v>-1088.76</v>
      </c>
      <c r="BK16" s="66">
        <f>Financials20263[[#This Row],[Sep AC]]-Financials20263[[#This Row],[Sep FC]]</f>
        <v>-1088.76</v>
      </c>
      <c r="BL16" s="66">
        <f>Financials20263[[#This Row],[Oct AC]]-Financials20263[[#This Row],[Oct FC]]</f>
        <v>-1088.76</v>
      </c>
      <c r="BM16" s="66">
        <f>Financials20263[[#This Row],[Nov AC]]-Financials20263[[#This Row],[Nov FC]]</f>
        <v>-1088.76</v>
      </c>
      <c r="BN16" s="66">
        <f>Financials20263[[#This Row],[Dec AC]]-Financials20263[[#This Row],[Dec FC]]</f>
        <v>-1088.76</v>
      </c>
      <c r="BO16" s="66">
        <f>SUM(Financials20263[[#This Row],[Jan Opp/Risk]:[Dec Opp./Risk]])</f>
        <v>-6532.64</v>
      </c>
      <c r="BP16" s="82" t="s">
        <v>377</v>
      </c>
      <c r="BQ16" s="44">
        <f>SUM(Financials20263[[#This Row],[Jan AC]:[Jun AC]])</f>
        <v>6532.48</v>
      </c>
      <c r="BR16" s="6">
        <f t="shared" si="6"/>
        <v>0</v>
      </c>
      <c r="BS16" s="6">
        <f>Financials20263[[#This Row],[Jul-Dec FC]]+Financials20263[[#This Row],[Pending Jan-Jun]]</f>
        <v>6532.56</v>
      </c>
      <c r="BT16" s="6"/>
      <c r="BU16" s="6"/>
      <c r="BV16" s="6"/>
    </row>
    <row r="17" spans="1:74" hidden="1">
      <c r="A17" s="20" t="s">
        <v>320</v>
      </c>
      <c r="B17" s="19" t="s">
        <v>152</v>
      </c>
      <c r="C17" s="19"/>
      <c r="D17" s="10" t="s">
        <v>394</v>
      </c>
      <c r="E17" s="7" t="s">
        <v>395</v>
      </c>
      <c r="F17" s="3" t="s">
        <v>396</v>
      </c>
      <c r="G17" s="3" t="s">
        <v>23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19" t="s">
        <v>252</v>
      </c>
      <c r="M17" s="19" t="s">
        <v>15</v>
      </c>
      <c r="N17" s="19" t="s">
        <v>15</v>
      </c>
      <c r="O17" s="19"/>
      <c r="P17" s="19" t="s">
        <v>391</v>
      </c>
      <c r="Q17" s="19" t="s">
        <v>391</v>
      </c>
      <c r="R17" s="19" t="s">
        <v>392</v>
      </c>
      <c r="S17" s="19" t="s">
        <v>354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397</v>
      </c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>
        <v>12200</v>
      </c>
      <c r="AN17" s="47">
        <f>SUM(Financials20263[[#This Row],[Jan FC]:[Dec FC]])</f>
        <v>12200</v>
      </c>
      <c r="AO17" s="15">
        <f>SUM(Financials20263[[#This Row],[Jul FC]:[Dec FC]])</f>
        <v>12200</v>
      </c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75">
        <f>SUM(Financials20263[[#This Row],[Jan AC]:[Dec AC]])</f>
        <v>0</v>
      </c>
      <c r="BC17" s="66">
        <f>Financials20263[[#This Row],[Jan AC]]-Financials20263[[#This Row],[Jan FC]]</f>
        <v>0</v>
      </c>
      <c r="BD17" s="66">
        <f>Financials20263[[#This Row],[Feb AC]]-Financials20263[[#This Row],[Feb FC]]</f>
        <v>0</v>
      </c>
      <c r="BE17" s="66">
        <f>Financials20263[[#This Row],[Mar AC]]-Financials20263[[#This Row],[Mar FC]]</f>
        <v>0</v>
      </c>
      <c r="BF17" s="66">
        <f>Financials20263[[#This Row],[Apr AC]]-Financials20263[[#This Row],[Apr FC]]</f>
        <v>0</v>
      </c>
      <c r="BG17" s="66">
        <f>Financials20263[[#This Row],[May AC]]-Financials20263[[#This Row],[May FC]]</f>
        <v>0</v>
      </c>
      <c r="BH17" s="66">
        <f>Financials20263[[#This Row],[Jun AC]]-Financials20263[[#This Row],[Jun FC]]</f>
        <v>0</v>
      </c>
      <c r="BI17" s="66">
        <f>Financials20263[[#This Row],[Jul AC]]-Financials20263[[#This Row],[Jul FC]]</f>
        <v>0</v>
      </c>
      <c r="BJ17" s="66">
        <f>Financials20263[[#This Row],[Aug AC]]-Financials20263[[#This Row],[Aug FC]]</f>
        <v>0</v>
      </c>
      <c r="BK17" s="66">
        <f>Financials20263[[#This Row],[Sep AC]]-Financials20263[[#This Row],[Sep FC]]</f>
        <v>0</v>
      </c>
      <c r="BL17" s="66">
        <f>Financials20263[[#This Row],[Oct AC]]-Financials20263[[#This Row],[Oct FC]]</f>
        <v>0</v>
      </c>
      <c r="BM17" s="66">
        <f>Financials20263[[#This Row],[Nov AC]]-Financials20263[[#This Row],[Nov FC]]</f>
        <v>0</v>
      </c>
      <c r="BN17" s="66">
        <f>Financials20263[[#This Row],[Dec AC]]-Financials20263[[#This Row],[Dec FC]]</f>
        <v>-12200</v>
      </c>
      <c r="BO17" s="66">
        <f>SUM(Financials20263[[#This Row],[Jan Opp/Risk]:[Dec Opp./Risk]])</f>
        <v>-12200</v>
      </c>
      <c r="BP17" s="82"/>
      <c r="BQ17" s="44">
        <f>SUM(Financials20263[[#This Row],[Jan AC]:[Jun AC]])</f>
        <v>0</v>
      </c>
      <c r="BR17" s="6">
        <f t="shared" si="6"/>
        <v>0</v>
      </c>
      <c r="BS17" s="6">
        <f>Financials20263[[#This Row],[Jul-Dec FC]]+Financials20263[[#This Row],[Pending Jan-Jun]]</f>
        <v>12200</v>
      </c>
      <c r="BT17" s="6"/>
      <c r="BU17" s="6"/>
      <c r="BV17" s="6"/>
    </row>
    <row r="18" spans="1:74" hidden="1">
      <c r="A18" s="20" t="s">
        <v>332</v>
      </c>
      <c r="B18" s="19" t="s">
        <v>157</v>
      </c>
      <c r="C18" s="19" t="s">
        <v>398</v>
      </c>
      <c r="D18" s="10" t="s">
        <v>333</v>
      </c>
      <c r="E18" s="7" t="s">
        <v>334</v>
      </c>
      <c r="F18" s="3" t="s">
        <v>335</v>
      </c>
      <c r="G18" s="3" t="s">
        <v>25</v>
      </c>
      <c r="H18" s="4" t="s">
        <v>336</v>
      </c>
      <c r="I18" s="4" t="s">
        <v>336</v>
      </c>
      <c r="J18" s="3"/>
      <c r="K18" s="3" t="str">
        <f t="shared" si="0"/>
        <v>Prj000266-Support - Internal Tech Workforce Activities</v>
      </c>
      <c r="L18" s="19" t="s">
        <v>252</v>
      </c>
      <c r="M18" s="19" t="s">
        <v>15</v>
      </c>
      <c r="N18" s="19" t="s">
        <v>15</v>
      </c>
      <c r="O18" s="19"/>
      <c r="P18" s="19" t="s">
        <v>399</v>
      </c>
      <c r="Q18" s="19" t="s">
        <v>400</v>
      </c>
      <c r="R18" s="19" t="s">
        <v>401</v>
      </c>
      <c r="S18" s="19" t="s">
        <v>354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402</v>
      </c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>
        <v>236250</v>
      </c>
      <c r="AN18" s="47">
        <f>SUM(Financials20263[[#This Row],[Jan FC]:[Dec FC]])</f>
        <v>236250</v>
      </c>
      <c r="AO18" s="15">
        <f>SUM(Financials20263[[#This Row],[Jul FC]:[Dec FC]])</f>
        <v>236250</v>
      </c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75">
        <f>SUM(Financials20263[[#This Row],[Jan AC]:[Dec AC]])</f>
        <v>0</v>
      </c>
      <c r="BC18" s="66">
        <f>Financials20263[[#This Row],[Jan AC]]-Financials20263[[#This Row],[Jan FC]]</f>
        <v>0</v>
      </c>
      <c r="BD18" s="66">
        <f>Financials20263[[#This Row],[Feb AC]]-Financials20263[[#This Row],[Feb FC]]</f>
        <v>0</v>
      </c>
      <c r="BE18" s="66">
        <f>Financials20263[[#This Row],[Mar AC]]-Financials20263[[#This Row],[Mar FC]]</f>
        <v>0</v>
      </c>
      <c r="BF18" s="66">
        <f>Financials20263[[#This Row],[Apr AC]]-Financials20263[[#This Row],[Apr FC]]</f>
        <v>0</v>
      </c>
      <c r="BG18" s="66">
        <f>Financials20263[[#This Row],[May AC]]-Financials20263[[#This Row],[May FC]]</f>
        <v>0</v>
      </c>
      <c r="BH18" s="66">
        <f>Financials20263[[#This Row],[Jun AC]]-Financials20263[[#This Row],[Jun FC]]</f>
        <v>0</v>
      </c>
      <c r="BI18" s="66">
        <f>Financials20263[[#This Row],[Jul AC]]-Financials20263[[#This Row],[Jul FC]]</f>
        <v>0</v>
      </c>
      <c r="BJ18" s="66">
        <f>Financials20263[[#This Row],[Aug AC]]-Financials20263[[#This Row],[Aug FC]]</f>
        <v>0</v>
      </c>
      <c r="BK18" s="66">
        <f>Financials20263[[#This Row],[Sep AC]]-Financials20263[[#This Row],[Sep FC]]</f>
        <v>0</v>
      </c>
      <c r="BL18" s="66">
        <f>Financials20263[[#This Row],[Oct AC]]-Financials20263[[#This Row],[Oct FC]]</f>
        <v>0</v>
      </c>
      <c r="BM18" s="66">
        <f>Financials20263[[#This Row],[Nov AC]]-Financials20263[[#This Row],[Nov FC]]</f>
        <v>0</v>
      </c>
      <c r="BN18" s="66">
        <f>Financials20263[[#This Row],[Dec AC]]-Financials20263[[#This Row],[Dec FC]]</f>
        <v>-236250</v>
      </c>
      <c r="BO18" s="66">
        <f>SUM(Financials20263[[#This Row],[Jan Opp/Risk]:[Dec Opp./Risk]])</f>
        <v>-236250</v>
      </c>
      <c r="BP18" s="83"/>
      <c r="BQ18" s="44">
        <f>SUM(Financials20263[[#This Row],[Jan AC]:[Jun AC]])</f>
        <v>0</v>
      </c>
      <c r="BR18" s="6">
        <f t="shared" si="6"/>
        <v>0</v>
      </c>
      <c r="BS18" s="6">
        <f>Financials20263[[#This Row],[Jul-Dec FC]]+Financials20263[[#This Row],[Pending Jan-Jun]]</f>
        <v>236250</v>
      </c>
      <c r="BT18" s="6"/>
      <c r="BU18" s="6"/>
      <c r="BV18" s="6"/>
    </row>
    <row r="19" spans="1:74" hidden="1">
      <c r="A19" s="20" t="s">
        <v>332</v>
      </c>
      <c r="B19" t="s">
        <v>159</v>
      </c>
      <c r="C19" s="19" t="s">
        <v>398</v>
      </c>
      <c r="D19" s="10" t="s">
        <v>333</v>
      </c>
      <c r="E19" s="7" t="s">
        <v>334</v>
      </c>
      <c r="F19" s="3" t="s">
        <v>335</v>
      </c>
      <c r="G19" s="3" t="s">
        <v>25</v>
      </c>
      <c r="H19" s="4" t="s">
        <v>336</v>
      </c>
      <c r="I19" s="4" t="s">
        <v>336</v>
      </c>
      <c r="J19" s="3"/>
      <c r="K19" s="3" t="str">
        <f t="shared" si="0"/>
        <v>Prj000266-Support - Internal Tech Workforce Activities</v>
      </c>
      <c r="L19" s="19" t="s">
        <v>252</v>
      </c>
      <c r="M19" s="19" t="s">
        <v>15</v>
      </c>
      <c r="N19" s="19" t="s">
        <v>15</v>
      </c>
      <c r="O19" s="19"/>
      <c r="P19" s="19" t="s">
        <v>399</v>
      </c>
      <c r="Q19" s="19" t="s">
        <v>400</v>
      </c>
      <c r="R19" s="19" t="s">
        <v>401</v>
      </c>
      <c r="S19" s="19" t="s">
        <v>354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402</v>
      </c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>
        <v>141750</v>
      </c>
      <c r="AN19" s="47">
        <f>SUM(Financials20263[[#This Row],[Jan FC]:[Dec FC]])</f>
        <v>141750</v>
      </c>
      <c r="AO19" s="15">
        <f>SUM(Financials20263[[#This Row],[Jul FC]:[Dec FC]])</f>
        <v>141750</v>
      </c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75">
        <f>SUM(Financials20263[[#This Row],[Jan AC]:[Dec AC]])</f>
        <v>0</v>
      </c>
      <c r="BC19" s="66">
        <f>Financials20263[[#This Row],[Jan AC]]-Financials20263[[#This Row],[Jan FC]]</f>
        <v>0</v>
      </c>
      <c r="BD19" s="66">
        <f>Financials20263[[#This Row],[Feb AC]]-Financials20263[[#This Row],[Feb FC]]</f>
        <v>0</v>
      </c>
      <c r="BE19" s="66">
        <f>Financials20263[[#This Row],[Mar AC]]-Financials20263[[#This Row],[Mar FC]]</f>
        <v>0</v>
      </c>
      <c r="BF19" s="66">
        <f>Financials20263[[#This Row],[Apr AC]]-Financials20263[[#This Row],[Apr FC]]</f>
        <v>0</v>
      </c>
      <c r="BG19" s="66">
        <f>Financials20263[[#This Row],[May AC]]-Financials20263[[#This Row],[May FC]]</f>
        <v>0</v>
      </c>
      <c r="BH19" s="66">
        <f>Financials20263[[#This Row],[Jun AC]]-Financials20263[[#This Row],[Jun FC]]</f>
        <v>0</v>
      </c>
      <c r="BI19" s="66">
        <f>Financials20263[[#This Row],[Jul AC]]-Financials20263[[#This Row],[Jul FC]]</f>
        <v>0</v>
      </c>
      <c r="BJ19" s="66">
        <f>Financials20263[[#This Row],[Aug AC]]-Financials20263[[#This Row],[Aug FC]]</f>
        <v>0</v>
      </c>
      <c r="BK19" s="66">
        <f>Financials20263[[#This Row],[Sep AC]]-Financials20263[[#This Row],[Sep FC]]</f>
        <v>0</v>
      </c>
      <c r="BL19" s="66">
        <f>Financials20263[[#This Row],[Oct AC]]-Financials20263[[#This Row],[Oct FC]]</f>
        <v>0</v>
      </c>
      <c r="BM19" s="66">
        <f>Financials20263[[#This Row],[Nov AC]]-Financials20263[[#This Row],[Nov FC]]</f>
        <v>0</v>
      </c>
      <c r="BN19" s="66">
        <f>Financials20263[[#This Row],[Dec AC]]-Financials20263[[#This Row],[Dec FC]]</f>
        <v>-141750</v>
      </c>
      <c r="BO19" s="66">
        <f>SUM(Financials20263[[#This Row],[Jan Opp/Risk]:[Dec Opp./Risk]])</f>
        <v>-141750</v>
      </c>
      <c r="BP19" s="83"/>
      <c r="BQ19" s="44">
        <f>SUM(Financials20263[[#This Row],[Jan AC]:[Jun AC]])</f>
        <v>0</v>
      </c>
      <c r="BR19" s="6">
        <f t="shared" si="6"/>
        <v>0</v>
      </c>
      <c r="BS19" s="6">
        <f>Financials20263[[#This Row],[Jul-Dec FC]]+Financials20263[[#This Row],[Pending Jan-Jun]]</f>
        <v>141750</v>
      </c>
      <c r="BT19" s="6"/>
      <c r="BU19" s="6"/>
      <c r="BV19" s="6"/>
    </row>
    <row r="20" spans="1:74" hidden="1">
      <c r="A20" s="20" t="s">
        <v>332</v>
      </c>
      <c r="B20" s="19" t="s">
        <v>161</v>
      </c>
      <c r="C20" s="19" t="s">
        <v>403</v>
      </c>
      <c r="D20" s="10" t="s">
        <v>333</v>
      </c>
      <c r="E20" s="7" t="s">
        <v>334</v>
      </c>
      <c r="F20" s="3" t="s">
        <v>335</v>
      </c>
      <c r="G20" s="3" t="s">
        <v>25</v>
      </c>
      <c r="H20" s="4" t="s">
        <v>336</v>
      </c>
      <c r="I20" s="4" t="s">
        <v>336</v>
      </c>
      <c r="J20" s="3"/>
      <c r="K20" s="3" t="str">
        <f t="shared" si="0"/>
        <v>Prj000266-Support - Internal Tech Workforce Activities</v>
      </c>
      <c r="L20" s="19" t="s">
        <v>252</v>
      </c>
      <c r="M20" s="19" t="s">
        <v>15</v>
      </c>
      <c r="N20" s="19" t="s">
        <v>15</v>
      </c>
      <c r="O20" s="19"/>
      <c r="P20" s="19" t="s">
        <v>337</v>
      </c>
      <c r="Q20" s="19" t="s">
        <v>404</v>
      </c>
      <c r="R20" s="19" t="s">
        <v>405</v>
      </c>
      <c r="S20" s="19" t="s">
        <v>357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376</v>
      </c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>
        <v>17099</v>
      </c>
      <c r="AN20" s="47">
        <f>SUM(Financials20263[[#This Row],[Jan FC]:[Dec FC]])</f>
        <v>17099</v>
      </c>
      <c r="AO20" s="15">
        <f>SUM(Financials20263[[#This Row],[Jul FC]:[Dec FC]])</f>
        <v>17099</v>
      </c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75">
        <f>SUM(Financials20263[[#This Row],[Jan AC]:[Dec AC]])</f>
        <v>0</v>
      </c>
      <c r="BC20" s="66">
        <f>Financials20263[[#This Row],[Jan AC]]-Financials20263[[#This Row],[Jan FC]]</f>
        <v>0</v>
      </c>
      <c r="BD20" s="66">
        <f>Financials20263[[#This Row],[Feb AC]]-Financials20263[[#This Row],[Feb FC]]</f>
        <v>0</v>
      </c>
      <c r="BE20" s="66">
        <f>Financials20263[[#This Row],[Mar AC]]-Financials20263[[#This Row],[Mar FC]]</f>
        <v>0</v>
      </c>
      <c r="BF20" s="66">
        <f>Financials20263[[#This Row],[Apr AC]]-Financials20263[[#This Row],[Apr FC]]</f>
        <v>0</v>
      </c>
      <c r="BG20" s="66">
        <f>Financials20263[[#This Row],[May AC]]-Financials20263[[#This Row],[May FC]]</f>
        <v>0</v>
      </c>
      <c r="BH20" s="66">
        <f>Financials20263[[#This Row],[Jun AC]]-Financials20263[[#This Row],[Jun FC]]</f>
        <v>0</v>
      </c>
      <c r="BI20" s="66">
        <f>Financials20263[[#This Row],[Jul AC]]-Financials20263[[#This Row],[Jul FC]]</f>
        <v>0</v>
      </c>
      <c r="BJ20" s="66">
        <f>Financials20263[[#This Row],[Aug AC]]-Financials20263[[#This Row],[Aug FC]]</f>
        <v>0</v>
      </c>
      <c r="BK20" s="66">
        <f>Financials20263[[#This Row],[Sep AC]]-Financials20263[[#This Row],[Sep FC]]</f>
        <v>0</v>
      </c>
      <c r="BL20" s="66">
        <f>Financials20263[[#This Row],[Oct AC]]-Financials20263[[#This Row],[Oct FC]]</f>
        <v>0</v>
      </c>
      <c r="BM20" s="66">
        <f>Financials20263[[#This Row],[Nov AC]]-Financials20263[[#This Row],[Nov FC]]</f>
        <v>0</v>
      </c>
      <c r="BN20" s="66">
        <f>Financials20263[[#This Row],[Dec AC]]-Financials20263[[#This Row],[Dec FC]]</f>
        <v>-17099</v>
      </c>
      <c r="BO20" s="66">
        <f>SUM(Financials20263[[#This Row],[Jan Opp/Risk]:[Dec Opp./Risk]])</f>
        <v>-17099</v>
      </c>
      <c r="BP20" s="83"/>
      <c r="BQ20" s="44">
        <f>SUM(Financials20263[[#This Row],[Jan AC]:[Jun AC]])</f>
        <v>0</v>
      </c>
      <c r="BR20" s="6">
        <f t="shared" si="6"/>
        <v>0</v>
      </c>
      <c r="BS20" s="6">
        <f>Financials20263[[#This Row],[Jul-Dec FC]]+Financials20263[[#This Row],[Pending Jan-Jun]]</f>
        <v>17099</v>
      </c>
      <c r="BT20" s="6"/>
      <c r="BU20" s="6"/>
      <c r="BV20" s="6"/>
    </row>
    <row r="21" spans="1:74" hidden="1">
      <c r="A21" s="20" t="s">
        <v>320</v>
      </c>
      <c r="B21" s="19" t="s">
        <v>41</v>
      </c>
      <c r="C21" s="19"/>
      <c r="D21" s="10" t="s">
        <v>406</v>
      </c>
      <c r="E21" s="7" t="s">
        <v>407</v>
      </c>
      <c r="F21" s="3" t="s">
        <v>408</v>
      </c>
      <c r="G21" s="3" t="s">
        <v>20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19" t="s">
        <v>251</v>
      </c>
      <c r="M21" s="19" t="s">
        <v>14</v>
      </c>
      <c r="N21" s="19" t="s">
        <v>346</v>
      </c>
      <c r="O21" s="19" t="s">
        <v>409</v>
      </c>
      <c r="P21" s="19" t="s">
        <v>326</v>
      </c>
      <c r="Q21" s="19" t="s">
        <v>355</v>
      </c>
      <c r="R21" s="19" t="s">
        <v>355</v>
      </c>
      <c r="S21" s="19" t="s">
        <v>350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1454747</v>
      </c>
      <c r="X21" s="15">
        <f t="shared" si="7"/>
        <v>0</v>
      </c>
      <c r="Y21" s="15">
        <f t="shared" si="2"/>
        <v>0</v>
      </c>
      <c r="Z21" s="15">
        <f>SUM(Financials20263[[#This Row],[2026 Opportunity]:[2026 Risk]])</f>
        <v>0</v>
      </c>
      <c r="AA21" s="3" t="s">
        <v>410</v>
      </c>
      <c r="AB21" s="47">
        <v>113296</v>
      </c>
      <c r="AC21" s="47">
        <v>113296</v>
      </c>
      <c r="AD21" s="47">
        <v>113296</v>
      </c>
      <c r="AE21" s="47">
        <v>116743</v>
      </c>
      <c r="AF21" s="47">
        <v>120956</v>
      </c>
      <c r="AG21" s="47">
        <v>120190</v>
      </c>
      <c r="AH21" s="47">
        <v>120190</v>
      </c>
      <c r="AI21" s="47">
        <v>127356</v>
      </c>
      <c r="AJ21" s="47">
        <v>127356</v>
      </c>
      <c r="AK21" s="47">
        <v>127356</v>
      </c>
      <c r="AL21" s="47">
        <v>127356</v>
      </c>
      <c r="AM21" s="47">
        <v>127356</v>
      </c>
      <c r="AN21" s="47">
        <f>SUM(Financials20263[[#This Row],[Jan FC]:[Dec FC]])</f>
        <v>1454747</v>
      </c>
      <c r="AO21" s="15">
        <f>SUM(Financials20263[[#This Row],[Jul FC]:[Dec FC]])</f>
        <v>756970</v>
      </c>
      <c r="AP21" s="56">
        <v>113296</v>
      </c>
      <c r="AQ21" s="56">
        <v>113296</v>
      </c>
      <c r="AR21" s="56">
        <v>113296</v>
      </c>
      <c r="AS21" s="56">
        <f>113296+3447</f>
        <v>116743</v>
      </c>
      <c r="AT21" s="56">
        <f>113296+7660</f>
        <v>120956</v>
      </c>
      <c r="AU21" s="56">
        <f>113296+6894</f>
        <v>120190</v>
      </c>
      <c r="AV21" s="56"/>
      <c r="AW21" s="56"/>
      <c r="AX21" s="56"/>
      <c r="AY21" s="56"/>
      <c r="AZ21" s="56"/>
      <c r="BA21" s="56"/>
      <c r="BB21" s="75">
        <f>SUM(Financials20263[[#This Row],[Jan AC]:[Dec AC]])</f>
        <v>697777</v>
      </c>
      <c r="BC21" s="66">
        <f>Financials20263[[#This Row],[Jan AC]]-Financials20263[[#This Row],[Jan FC]]</f>
        <v>0</v>
      </c>
      <c r="BD21" s="66">
        <f>Financials20263[[#This Row],[Feb AC]]-Financials20263[[#This Row],[Feb FC]]</f>
        <v>0</v>
      </c>
      <c r="BE21" s="66">
        <f>Financials20263[[#This Row],[Mar AC]]-Financials20263[[#This Row],[Mar FC]]</f>
        <v>0</v>
      </c>
      <c r="BF21" s="66">
        <f>Financials20263[[#This Row],[Apr AC]]-Financials20263[[#This Row],[Apr FC]]</f>
        <v>0</v>
      </c>
      <c r="BG21" s="66">
        <f>Financials20263[[#This Row],[May AC]]-Financials20263[[#This Row],[May FC]]</f>
        <v>0</v>
      </c>
      <c r="BH21" s="66">
        <f>Financials20263[[#This Row],[Jun AC]]-Financials20263[[#This Row],[Jun FC]]</f>
        <v>0</v>
      </c>
      <c r="BI21" s="66">
        <f>Financials20263[[#This Row],[Jul AC]]-Financials20263[[#This Row],[Jul FC]]</f>
        <v>-120190</v>
      </c>
      <c r="BJ21" s="66">
        <f>Financials20263[[#This Row],[Aug AC]]-Financials20263[[#This Row],[Aug FC]]</f>
        <v>-127356</v>
      </c>
      <c r="BK21" s="66">
        <f>Financials20263[[#This Row],[Sep AC]]-Financials20263[[#This Row],[Sep FC]]</f>
        <v>-127356</v>
      </c>
      <c r="BL21" s="66">
        <f>Financials20263[[#This Row],[Oct AC]]-Financials20263[[#This Row],[Oct FC]]</f>
        <v>-127356</v>
      </c>
      <c r="BM21" s="66">
        <f>Financials20263[[#This Row],[Nov AC]]-Financials20263[[#This Row],[Nov FC]]</f>
        <v>-127356</v>
      </c>
      <c r="BN21" s="66">
        <f>Financials20263[[#This Row],[Dec AC]]-Financials20263[[#This Row],[Dec FC]]</f>
        <v>-127356</v>
      </c>
      <c r="BO21" s="66">
        <f>SUM(Financials20263[[#This Row],[Jan Opp/Risk]:[Dec Opp./Risk]])</f>
        <v>-756970</v>
      </c>
      <c r="BP21" s="84" t="s">
        <v>411</v>
      </c>
      <c r="BQ21" s="44">
        <f>SUM(Financials20263[[#This Row],[Jan AC]:[Jun AC]])</f>
        <v>697777</v>
      </c>
      <c r="BR21" s="6">
        <f t="shared" si="6"/>
        <v>0</v>
      </c>
      <c r="BS21" s="6">
        <f>Financials20263[[#This Row],[Jul-Dec FC]]+Financials20263[[#This Row],[Pending Jan-Jun]]</f>
        <v>756970</v>
      </c>
      <c r="BT21" s="6"/>
      <c r="BU21" s="6"/>
      <c r="BV21" s="6"/>
    </row>
    <row r="22" spans="1:74" hidden="1">
      <c r="A22" s="20" t="s">
        <v>320</v>
      </c>
      <c r="B22" s="19" t="s">
        <v>125</v>
      </c>
      <c r="C22" s="19"/>
      <c r="D22" s="10" t="s">
        <v>412</v>
      </c>
      <c r="E22" s="7" t="s">
        <v>412</v>
      </c>
      <c r="F22" s="3" t="s">
        <v>413</v>
      </c>
      <c r="G22" s="3" t="s">
        <v>25</v>
      </c>
      <c r="H22" s="4">
        <v>46023</v>
      </c>
      <c r="I22" s="4">
        <v>46387</v>
      </c>
      <c r="J22" s="3" t="s">
        <v>414</v>
      </c>
      <c r="K22" s="3" t="str">
        <f t="shared" si="0"/>
        <v>T&amp;M-T&amp;M</v>
      </c>
      <c r="L22" s="19" t="s">
        <v>251</v>
      </c>
      <c r="M22" s="19" t="s">
        <v>13</v>
      </c>
      <c r="N22" s="19" t="s">
        <v>415</v>
      </c>
      <c r="O22" s="19" t="s">
        <v>412</v>
      </c>
      <c r="P22" s="19" t="s">
        <v>347</v>
      </c>
      <c r="Q22" s="19" t="s">
        <v>348</v>
      </c>
      <c r="R22" s="19" t="s">
        <v>349</v>
      </c>
      <c r="S22" s="19" t="s">
        <v>350</v>
      </c>
      <c r="T22" s="5">
        <v>302712</v>
      </c>
      <c r="U22" s="15">
        <v>32832.000000000007</v>
      </c>
      <c r="V22" s="15">
        <v>218880</v>
      </c>
      <c r="W22" s="15">
        <f t="shared" si="1"/>
        <v>213956</v>
      </c>
      <c r="X22" s="15">
        <f t="shared" si="7"/>
        <v>-4924</v>
      </c>
      <c r="Y22" s="15">
        <f t="shared" si="2"/>
        <v>0</v>
      </c>
      <c r="Z22" s="15">
        <f>SUM(Financials20263[[#This Row],[2026 Opportunity]:[2026 Risk]])</f>
        <v>-4924</v>
      </c>
      <c r="AA22" s="3" t="s">
        <v>412</v>
      </c>
      <c r="AB22" s="47">
        <f>Financials20263[[#This Row],[2026 Final Budget]]/12</f>
        <v>18240</v>
      </c>
      <c r="AC22" s="47">
        <v>18240</v>
      </c>
      <c r="AD22" s="47">
        <v>18240</v>
      </c>
      <c r="AE22" s="47">
        <v>18240</v>
      </c>
      <c r="AF22" s="47">
        <v>18240</v>
      </c>
      <c r="AG22" s="47">
        <v>18240</v>
      </c>
      <c r="AH22" s="47">
        <v>18240</v>
      </c>
      <c r="AI22" s="47">
        <v>18240</v>
      </c>
      <c r="AJ22" s="47">
        <v>18240</v>
      </c>
      <c r="AK22" s="47">
        <v>18240</v>
      </c>
      <c r="AL22" s="47">
        <v>18240</v>
      </c>
      <c r="AM22" s="47">
        <v>18240</v>
      </c>
      <c r="AN22" s="47">
        <f>SUM(Financials20263[[#This Row],[Jan FC]:[Dec FC]])</f>
        <v>218880</v>
      </c>
      <c r="AO22" s="15">
        <f>SUM(Financials20263[[#This Row],[Jul FC]:[Dec FC]])</f>
        <v>109440</v>
      </c>
      <c r="AP22" s="56">
        <v>16128</v>
      </c>
      <c r="AQ22" s="56">
        <v>16464</v>
      </c>
      <c r="AR22" s="56">
        <v>16588</v>
      </c>
      <c r="AS22" s="56">
        <v>19104</v>
      </c>
      <c r="AT22" s="56">
        <v>17608</v>
      </c>
      <c r="AU22" s="56">
        <v>18624</v>
      </c>
      <c r="AV22" s="56"/>
      <c r="AW22" s="56"/>
      <c r="AX22" s="56"/>
      <c r="AY22" s="56"/>
      <c r="AZ22" s="56"/>
      <c r="BA22" s="56"/>
      <c r="BB22" s="75">
        <f>SUM(Financials20263[[#This Row],[Jan AC]:[Dec AC]])</f>
        <v>104516</v>
      </c>
      <c r="BC22" s="66">
        <f>Financials20263[[#This Row],[Jan AC]]-Financials20263[[#This Row],[Jan FC]]</f>
        <v>-2112</v>
      </c>
      <c r="BD22" s="66">
        <f>Financials20263[[#This Row],[Feb AC]]-Financials20263[[#This Row],[Feb FC]]</f>
        <v>-1776</v>
      </c>
      <c r="BE22" s="66">
        <f>Financials20263[[#This Row],[Mar AC]]-Financials20263[[#This Row],[Mar FC]]</f>
        <v>-1652</v>
      </c>
      <c r="BF22" s="66">
        <f>Financials20263[[#This Row],[Apr AC]]-Financials20263[[#This Row],[Apr FC]]</f>
        <v>864</v>
      </c>
      <c r="BG22" s="66">
        <f>Financials20263[[#This Row],[May AC]]-Financials20263[[#This Row],[May FC]]</f>
        <v>-632</v>
      </c>
      <c r="BH22" s="66">
        <f>Financials20263[[#This Row],[Jun AC]]-Financials20263[[#This Row],[Jun FC]]</f>
        <v>384</v>
      </c>
      <c r="BI22" s="66">
        <f>Financials20263[[#This Row],[Jul AC]]-Financials20263[[#This Row],[Jul FC]]</f>
        <v>-18240</v>
      </c>
      <c r="BJ22" s="66">
        <f>Financials20263[[#This Row],[Aug AC]]-Financials20263[[#This Row],[Aug FC]]</f>
        <v>-18240</v>
      </c>
      <c r="BK22" s="66">
        <f>Financials20263[[#This Row],[Sep AC]]-Financials20263[[#This Row],[Sep FC]]</f>
        <v>-18240</v>
      </c>
      <c r="BL22" s="66">
        <f>Financials20263[[#This Row],[Oct AC]]-Financials20263[[#This Row],[Oct FC]]</f>
        <v>-18240</v>
      </c>
      <c r="BM22" s="66">
        <f>Financials20263[[#This Row],[Nov AC]]-Financials20263[[#This Row],[Nov FC]]</f>
        <v>-18240</v>
      </c>
      <c r="BN22" s="66">
        <f>Financials20263[[#This Row],[Dec AC]]-Financials20263[[#This Row],[Dec FC]]</f>
        <v>-18240</v>
      </c>
      <c r="BO22" s="66">
        <f>SUM(Financials20263[[#This Row],[Jan Opp/Risk]:[Dec Opp./Risk]])</f>
        <v>-114364</v>
      </c>
      <c r="BP22" s="84" t="s">
        <v>416</v>
      </c>
      <c r="BQ22" s="44">
        <f>SUM(Financials20263[[#This Row],[Jan AC]:[Jun AC]])</f>
        <v>104516</v>
      </c>
      <c r="BR22" s="6">
        <f t="shared" si="6"/>
        <v>0</v>
      </c>
      <c r="BS22" s="6">
        <f>Financials20263[[#This Row],[Jul-Dec FC]]+Financials20263[[#This Row],[Pending Jan-Jun]]</f>
        <v>109440</v>
      </c>
      <c r="BT22" s="6"/>
      <c r="BU22" s="6"/>
      <c r="BV22" s="6"/>
    </row>
    <row r="23" spans="1:74" hidden="1">
      <c r="A23" s="20" t="s">
        <v>320</v>
      </c>
      <c r="B23" s="19" t="s">
        <v>111</v>
      </c>
      <c r="C23" s="19" t="s">
        <v>417</v>
      </c>
      <c r="D23" s="10" t="s">
        <v>412</v>
      </c>
      <c r="E23" s="7" t="s">
        <v>412</v>
      </c>
      <c r="F23" s="3" t="s">
        <v>413</v>
      </c>
      <c r="G23" s="3" t="s">
        <v>20</v>
      </c>
      <c r="H23" s="4">
        <v>46023</v>
      </c>
      <c r="I23" s="4">
        <v>46387</v>
      </c>
      <c r="J23" s="3"/>
      <c r="K23" s="3" t="str">
        <f t="shared" si="0"/>
        <v>T&amp;M-T&amp;M</v>
      </c>
      <c r="L23" s="19" t="s">
        <v>251</v>
      </c>
      <c r="M23" s="19" t="s">
        <v>13</v>
      </c>
      <c r="N23" s="19" t="s">
        <v>415</v>
      </c>
      <c r="O23" s="19" t="s">
        <v>412</v>
      </c>
      <c r="P23" s="19" t="s">
        <v>347</v>
      </c>
      <c r="Q23" s="19" t="s">
        <v>348</v>
      </c>
      <c r="R23" s="19" t="s">
        <v>349</v>
      </c>
      <c r="S23" s="19" t="s">
        <v>350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418</v>
      </c>
      <c r="AB23" s="47">
        <f>Financials20263[[#This Row],[2026 Final Budget]]/12</f>
        <v>119840</v>
      </c>
      <c r="AC23" s="47">
        <f>Financials20263[[#This Row],[2026 Final Budget]]/12</f>
        <v>119840</v>
      </c>
      <c r="AD23" s="47">
        <f>Financials20263[[#This Row],[2026 Final Budget]]/12</f>
        <v>119840</v>
      </c>
      <c r="AE23" s="47">
        <f>Financials20263[[#This Row],[2026 Final Budget]]/12</f>
        <v>119840</v>
      </c>
      <c r="AF23" s="47">
        <f>Financials20263[[#This Row],[2026 Final Budget]]/12</f>
        <v>119840</v>
      </c>
      <c r="AG23" s="47">
        <f>Financials20263[[#This Row],[2026 Final Budget]]/12</f>
        <v>119840</v>
      </c>
      <c r="AH23" s="47">
        <f>Financials20263[[#This Row],[2026 Final Budget]]/12</f>
        <v>119840</v>
      </c>
      <c r="AI23" s="47">
        <f>Financials20263[[#This Row],[2026 Final Budget]]/12</f>
        <v>119840</v>
      </c>
      <c r="AJ23" s="47">
        <f>Financials20263[[#This Row],[2026 Final Budget]]/12</f>
        <v>119840</v>
      </c>
      <c r="AK23" s="47">
        <f>Financials20263[[#This Row],[2026 Final Budget]]/12</f>
        <v>119840</v>
      </c>
      <c r="AL23" s="47">
        <f>Financials20263[[#This Row],[2026 Final Budget]]/12</f>
        <v>119840</v>
      </c>
      <c r="AM23" s="47">
        <f>Financials20263[[#This Row],[2026 Final Budget]]/12</f>
        <v>119840</v>
      </c>
      <c r="AN23" s="47">
        <f>SUM(Financials20263[[#This Row],[Jan FC]:[Dec FC]])</f>
        <v>1438080</v>
      </c>
      <c r="AO23" s="15">
        <f>SUM(Financials20263[[#This Row],[Jul FC]:[Dec FC]])</f>
        <v>719040</v>
      </c>
      <c r="AP23" s="57">
        <v>115160</v>
      </c>
      <c r="AQ23" s="56">
        <v>107611</v>
      </c>
      <c r="AR23" s="56">
        <v>124972</v>
      </c>
      <c r="AS23" s="56">
        <v>151664</v>
      </c>
      <c r="AT23" s="56">
        <v>139322</v>
      </c>
      <c r="AU23" s="56"/>
      <c r="AV23" s="56"/>
      <c r="AW23" s="56"/>
      <c r="AX23" s="56"/>
      <c r="AY23" s="56"/>
      <c r="AZ23" s="56"/>
      <c r="BA23" s="56"/>
      <c r="BB23" s="75">
        <f>SUM(Financials20263[[#This Row],[Jan AC]:[Dec AC]])</f>
        <v>638729</v>
      </c>
      <c r="BC23" s="66">
        <f>Financials20263[[#This Row],[Jan AC]]-Financials20263[[#This Row],[Jan FC]]</f>
        <v>-4680</v>
      </c>
      <c r="BD23" s="66">
        <f>Financials20263[[#This Row],[Feb AC]]-Financials20263[[#This Row],[Feb FC]]</f>
        <v>-12229</v>
      </c>
      <c r="BE23" s="66">
        <f>Financials20263[[#This Row],[Mar AC]]-Financials20263[[#This Row],[Mar FC]]</f>
        <v>5132</v>
      </c>
      <c r="BF23" s="66">
        <f>Financials20263[[#This Row],[Apr AC]]-Financials20263[[#This Row],[Apr FC]]</f>
        <v>31824</v>
      </c>
      <c r="BG23" s="66">
        <f>Financials20263[[#This Row],[May AC]]-Financials20263[[#This Row],[May FC]]</f>
        <v>19482</v>
      </c>
      <c r="BH23" s="66">
        <f>Financials20263[[#This Row],[Jun AC]]-Financials20263[[#This Row],[Jun FC]]</f>
        <v>-119840</v>
      </c>
      <c r="BI23" s="66">
        <f>Financials20263[[#This Row],[Jul AC]]-Financials20263[[#This Row],[Jul FC]]</f>
        <v>-119840</v>
      </c>
      <c r="BJ23" s="66">
        <f>Financials20263[[#This Row],[Aug AC]]-Financials20263[[#This Row],[Aug FC]]</f>
        <v>-119840</v>
      </c>
      <c r="BK23" s="66">
        <f>Financials20263[[#This Row],[Sep AC]]-Financials20263[[#This Row],[Sep FC]]</f>
        <v>-119840</v>
      </c>
      <c r="BL23" s="66">
        <f>Financials20263[[#This Row],[Oct AC]]-Financials20263[[#This Row],[Oct FC]]</f>
        <v>-119840</v>
      </c>
      <c r="BM23" s="66">
        <f>Financials20263[[#This Row],[Nov AC]]-Financials20263[[#This Row],[Nov FC]]</f>
        <v>-119840</v>
      </c>
      <c r="BN23" s="66">
        <f>Financials20263[[#This Row],[Dec AC]]-Financials20263[[#This Row],[Dec FC]]</f>
        <v>-119840</v>
      </c>
      <c r="BO23" s="66">
        <f>SUM(Financials20263[[#This Row],[Jan Opp/Risk]:[Dec Opp./Risk]])</f>
        <v>-799351</v>
      </c>
      <c r="BP23" s="84" t="s">
        <v>416</v>
      </c>
      <c r="BQ23" s="44">
        <f>SUM(Financials20263[[#This Row],[Jan AC]:[Jun AC]])</f>
        <v>638729</v>
      </c>
      <c r="BR23" s="6">
        <f t="shared" si="6"/>
        <v>119840</v>
      </c>
      <c r="BS23" s="6">
        <f>Financials20263[[#This Row],[Jul-Dec FC]]+Financials20263[[#This Row],[Pending Jan-Jun]]</f>
        <v>838880</v>
      </c>
      <c r="BT23" s="6"/>
      <c r="BU23" s="6"/>
      <c r="BV23" s="6"/>
    </row>
    <row r="24" spans="1:74" hidden="1">
      <c r="A24" s="20" t="s">
        <v>320</v>
      </c>
      <c r="B24" s="19" t="s">
        <v>111</v>
      </c>
      <c r="C24" s="19" t="s">
        <v>417</v>
      </c>
      <c r="D24" s="10" t="s">
        <v>412</v>
      </c>
      <c r="E24" s="7" t="s">
        <v>412</v>
      </c>
      <c r="F24" s="3" t="s">
        <v>413</v>
      </c>
      <c r="G24" s="3" t="s">
        <v>21</v>
      </c>
      <c r="H24" s="4">
        <v>46023</v>
      </c>
      <c r="I24" s="4">
        <v>46387</v>
      </c>
      <c r="J24" s="3"/>
      <c r="K24" s="3" t="str">
        <f t="shared" si="0"/>
        <v>T&amp;M-T&amp;M</v>
      </c>
      <c r="L24" s="19" t="s">
        <v>251</v>
      </c>
      <c r="M24" s="19" t="s">
        <v>13</v>
      </c>
      <c r="N24" s="19" t="s">
        <v>415</v>
      </c>
      <c r="O24" s="19" t="s">
        <v>412</v>
      </c>
      <c r="P24" s="19" t="s">
        <v>347</v>
      </c>
      <c r="Q24" s="19" t="s">
        <v>348</v>
      </c>
      <c r="R24" s="19" t="s">
        <v>349</v>
      </c>
      <c r="S24" s="19" t="s">
        <v>350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418</v>
      </c>
      <c r="AB24" s="48">
        <v>38560</v>
      </c>
      <c r="AC24" s="48">
        <v>38560</v>
      </c>
      <c r="AD24" s="48">
        <v>38560</v>
      </c>
      <c r="AE24" s="48">
        <v>38560</v>
      </c>
      <c r="AF24" s="48">
        <v>38560</v>
      </c>
      <c r="AG24" s="48">
        <f>38560-15840</f>
        <v>22720</v>
      </c>
      <c r="AH24" s="48">
        <f t="shared" ref="AH24:AM24" si="12">38560-15840</f>
        <v>22720</v>
      </c>
      <c r="AI24" s="48">
        <f t="shared" si="12"/>
        <v>22720</v>
      </c>
      <c r="AJ24" s="48">
        <f t="shared" si="12"/>
        <v>22720</v>
      </c>
      <c r="AK24" s="48">
        <f t="shared" si="12"/>
        <v>22720</v>
      </c>
      <c r="AL24" s="48">
        <f t="shared" si="12"/>
        <v>22720</v>
      </c>
      <c r="AM24" s="48">
        <f t="shared" si="12"/>
        <v>22720</v>
      </c>
      <c r="AN24" s="47">
        <f>SUM(Financials20263[[#This Row],[Jan FC]:[Dec FC]])</f>
        <v>351840</v>
      </c>
      <c r="AO24" s="15">
        <f>SUM(Financials20263[[#This Row],[Jul FC]:[Dec FC]])</f>
        <v>136320</v>
      </c>
      <c r="AP24" s="57">
        <v>30336</v>
      </c>
      <c r="AQ24" s="56">
        <v>27266</v>
      </c>
      <c r="AR24" s="56">
        <f>46080-7144</f>
        <v>38936</v>
      </c>
      <c r="AS24" s="56">
        <f>45396-8272</f>
        <v>37124</v>
      </c>
      <c r="AT24" s="56">
        <f>33566-8366</f>
        <v>25200</v>
      </c>
      <c r="AU24" s="56"/>
      <c r="AV24" s="56"/>
      <c r="AW24" s="56"/>
      <c r="AX24" s="56"/>
      <c r="AY24" s="56"/>
      <c r="AZ24" s="56"/>
      <c r="BA24" s="56"/>
      <c r="BB24" s="75">
        <f>SUM(Financials20263[[#This Row],[Jan AC]:[Dec AC]])</f>
        <v>158862</v>
      </c>
      <c r="BC24" s="66">
        <f>Financials20263[[#This Row],[Jan AC]]-Financials20263[[#This Row],[Jan FC]]</f>
        <v>-8224</v>
      </c>
      <c r="BD24" s="66">
        <f>Financials20263[[#This Row],[Feb AC]]-Financials20263[[#This Row],[Feb FC]]</f>
        <v>-11294</v>
      </c>
      <c r="BE24" s="66">
        <f>Financials20263[[#This Row],[Mar AC]]-Financials20263[[#This Row],[Mar FC]]</f>
        <v>376</v>
      </c>
      <c r="BF24" s="66">
        <f>Financials20263[[#This Row],[Apr AC]]-Financials20263[[#This Row],[Apr FC]]</f>
        <v>-1436</v>
      </c>
      <c r="BG24" s="66">
        <f>Financials20263[[#This Row],[May AC]]-Financials20263[[#This Row],[May FC]]</f>
        <v>-13360</v>
      </c>
      <c r="BH24" s="66">
        <f>Financials20263[[#This Row],[Jun AC]]-Financials20263[[#This Row],[Jun FC]]</f>
        <v>-22720</v>
      </c>
      <c r="BI24" s="66">
        <f>Financials20263[[#This Row],[Jul AC]]-Financials20263[[#This Row],[Jul FC]]</f>
        <v>-22720</v>
      </c>
      <c r="BJ24" s="66">
        <f>Financials20263[[#This Row],[Aug AC]]-Financials20263[[#This Row],[Aug FC]]</f>
        <v>-22720</v>
      </c>
      <c r="BK24" s="66">
        <f>Financials20263[[#This Row],[Sep AC]]-Financials20263[[#This Row],[Sep FC]]</f>
        <v>-22720</v>
      </c>
      <c r="BL24" s="66">
        <f>Financials20263[[#This Row],[Oct AC]]-Financials20263[[#This Row],[Oct FC]]</f>
        <v>-22720</v>
      </c>
      <c r="BM24" s="66">
        <f>Financials20263[[#This Row],[Nov AC]]-Financials20263[[#This Row],[Nov FC]]</f>
        <v>-22720</v>
      </c>
      <c r="BN24" s="66">
        <f>Financials20263[[#This Row],[Dec AC]]-Financials20263[[#This Row],[Dec FC]]</f>
        <v>-22720</v>
      </c>
      <c r="BO24" s="66">
        <f>SUM(Financials20263[[#This Row],[Jan Opp/Risk]:[Dec Opp./Risk]])</f>
        <v>-192978</v>
      </c>
      <c r="BP24" s="84" t="s">
        <v>419</v>
      </c>
      <c r="BQ24" s="44">
        <f>SUM(Financials20263[[#This Row],[Jan AC]:[Jun AC]])</f>
        <v>158862</v>
      </c>
      <c r="BR24" s="6">
        <f t="shared" si="6"/>
        <v>22720</v>
      </c>
      <c r="BS24" s="6">
        <f>Financials20263[[#This Row],[Jul-Dec FC]]+Financials20263[[#This Row],[Pending Jan-Jun]]</f>
        <v>159040</v>
      </c>
      <c r="BT24" s="6"/>
      <c r="BU24" s="6"/>
      <c r="BV24" s="6"/>
    </row>
    <row r="25" spans="1:74" hidden="1">
      <c r="A25" s="20" t="s">
        <v>320</v>
      </c>
      <c r="B25" s="19" t="s">
        <v>111</v>
      </c>
      <c r="C25" s="19" t="s">
        <v>417</v>
      </c>
      <c r="D25" s="10" t="s">
        <v>412</v>
      </c>
      <c r="E25" s="7" t="s">
        <v>412</v>
      </c>
      <c r="F25" s="3" t="s">
        <v>413</v>
      </c>
      <c r="G25" s="3" t="s">
        <v>22</v>
      </c>
      <c r="H25" s="4">
        <v>46023</v>
      </c>
      <c r="I25" s="4">
        <v>46387</v>
      </c>
      <c r="J25" s="3"/>
      <c r="K25" s="3" t="str">
        <f t="shared" si="0"/>
        <v>T&amp;M-T&amp;M</v>
      </c>
      <c r="L25" s="19" t="s">
        <v>251</v>
      </c>
      <c r="M25" s="19" t="s">
        <v>13</v>
      </c>
      <c r="N25" s="19" t="s">
        <v>415</v>
      </c>
      <c r="O25" s="19" t="s">
        <v>412</v>
      </c>
      <c r="P25" s="19" t="s">
        <v>347</v>
      </c>
      <c r="Q25" s="19" t="s">
        <v>348</v>
      </c>
      <c r="R25" s="19" t="s">
        <v>349</v>
      </c>
      <c r="S25" s="19" t="s">
        <v>350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418</v>
      </c>
      <c r="AB25" s="48">
        <f>Financials20263[[#This Row],[2026 Final Budget]]/12</f>
        <v>125440</v>
      </c>
      <c r="AC25" s="48">
        <f>Financials20263[[#This Row],[2026 Final Budget]]/12</f>
        <v>125440</v>
      </c>
      <c r="AD25" s="48">
        <f>Financials20263[[#This Row],[2026 Final Budget]]/12</f>
        <v>125440</v>
      </c>
      <c r="AE25" s="48">
        <f>Financials20263[[#This Row],[2026 Final Budget]]/12</f>
        <v>125440</v>
      </c>
      <c r="AF25" s="48">
        <f>Financials20263[[#This Row],[2026 Final Budget]]/12</f>
        <v>125440</v>
      </c>
      <c r="AG25" s="48">
        <f>(Financials20263[[#This Row],[2026 Final Budget]]/12)-21000</f>
        <v>104440</v>
      </c>
      <c r="AH25" s="48">
        <f>(Financials20263[[#This Row],[2026 Final Budget]]/12)-21000</f>
        <v>104440</v>
      </c>
      <c r="AI25" s="48">
        <f>(Financials20263[[#This Row],[2026 Final Budget]]/12)-21000-17920</f>
        <v>86520</v>
      </c>
      <c r="AJ25" s="48">
        <f>(Financials20263[[#This Row],[2026 Final Budget]]/12)-21000-17920</f>
        <v>86520</v>
      </c>
      <c r="AK25" s="48">
        <f>(Financials20263[[#This Row],[2026 Final Budget]]/12)-21000-17920</f>
        <v>86520</v>
      </c>
      <c r="AL25" s="48">
        <f>(Financials20263[[#This Row],[2026 Final Budget]]/12)-21000-17920</f>
        <v>86520</v>
      </c>
      <c r="AM25" s="48">
        <f>(Financials20263[[#This Row],[2026 Final Budget]]/12)-21000-17920</f>
        <v>86520</v>
      </c>
      <c r="AN25" s="47">
        <f>SUM(Financials20263[[#This Row],[Jan FC]:[Dec FC]])</f>
        <v>1268680</v>
      </c>
      <c r="AO25" s="15">
        <f>SUM(Financials20263[[#This Row],[Jul FC]:[Dec FC]])</f>
        <v>537040</v>
      </c>
      <c r="AP25" s="57">
        <v>108864</v>
      </c>
      <c r="AQ25" s="56">
        <v>104184</v>
      </c>
      <c r="AR25" s="56">
        <v>129488</v>
      </c>
      <c r="AS25" s="56">
        <v>93120</v>
      </c>
      <c r="AT25" s="56">
        <v>91640</v>
      </c>
      <c r="AU25" s="56"/>
      <c r="AV25" s="56"/>
      <c r="AW25" s="56"/>
      <c r="AX25" s="56"/>
      <c r="AY25" s="56"/>
      <c r="AZ25" s="56"/>
      <c r="BA25" s="56"/>
      <c r="BB25" s="75">
        <f>SUM(Financials20263[[#This Row],[Jan AC]:[Dec AC]])</f>
        <v>527296</v>
      </c>
      <c r="BC25" s="66">
        <f>Financials20263[[#This Row],[Jan AC]]-Financials20263[[#This Row],[Jan FC]]</f>
        <v>-16576</v>
      </c>
      <c r="BD25" s="66">
        <f>Financials20263[[#This Row],[Feb AC]]-Financials20263[[#This Row],[Feb FC]]</f>
        <v>-21256</v>
      </c>
      <c r="BE25" s="66">
        <f>Financials20263[[#This Row],[Mar AC]]-Financials20263[[#This Row],[Mar FC]]</f>
        <v>4048</v>
      </c>
      <c r="BF25" s="66">
        <f>Financials20263[[#This Row],[Apr AC]]-Financials20263[[#This Row],[Apr FC]]</f>
        <v>-32320</v>
      </c>
      <c r="BG25" s="66">
        <f>Financials20263[[#This Row],[May AC]]-Financials20263[[#This Row],[May FC]]</f>
        <v>-33800</v>
      </c>
      <c r="BH25" s="66">
        <f>Financials20263[[#This Row],[Jun AC]]-Financials20263[[#This Row],[Jun FC]]</f>
        <v>-104440</v>
      </c>
      <c r="BI25" s="66">
        <f>Financials20263[[#This Row],[Jul AC]]-Financials20263[[#This Row],[Jul FC]]</f>
        <v>-104440</v>
      </c>
      <c r="BJ25" s="66">
        <f>Financials20263[[#This Row],[Aug AC]]-Financials20263[[#This Row],[Aug FC]]</f>
        <v>-86520</v>
      </c>
      <c r="BK25" s="66">
        <f>Financials20263[[#This Row],[Sep AC]]-Financials20263[[#This Row],[Sep FC]]</f>
        <v>-86520</v>
      </c>
      <c r="BL25" s="66">
        <f>Financials20263[[#This Row],[Oct AC]]-Financials20263[[#This Row],[Oct FC]]</f>
        <v>-86520</v>
      </c>
      <c r="BM25" s="66">
        <f>Financials20263[[#This Row],[Nov AC]]-Financials20263[[#This Row],[Nov FC]]</f>
        <v>-86520</v>
      </c>
      <c r="BN25" s="66">
        <f>Financials20263[[#This Row],[Dec AC]]-Financials20263[[#This Row],[Dec FC]]</f>
        <v>-86520</v>
      </c>
      <c r="BO25" s="66">
        <f>SUM(Financials20263[[#This Row],[Jan Opp/Risk]:[Dec Opp./Risk]])</f>
        <v>-741384</v>
      </c>
      <c r="BP25" s="84" t="s">
        <v>420</v>
      </c>
      <c r="BQ25" s="44">
        <f>SUM(Financials20263[[#This Row],[Jan AC]:[Jun AC]])</f>
        <v>527296</v>
      </c>
      <c r="BR25" s="6">
        <f t="shared" si="6"/>
        <v>104440</v>
      </c>
      <c r="BS25" s="6">
        <f>Financials20263[[#This Row],[Jul-Dec FC]]+Financials20263[[#This Row],[Pending Jan-Jun]]</f>
        <v>641480</v>
      </c>
      <c r="BT25" s="6"/>
      <c r="BU25" s="6"/>
      <c r="BV25" s="6"/>
    </row>
    <row r="26" spans="1:74" hidden="1">
      <c r="A26" s="20" t="s">
        <v>320</v>
      </c>
      <c r="B26" s="19" t="s">
        <v>111</v>
      </c>
      <c r="C26" s="19" t="s">
        <v>417</v>
      </c>
      <c r="D26" s="10" t="s">
        <v>412</v>
      </c>
      <c r="E26" s="7" t="s">
        <v>412</v>
      </c>
      <c r="F26" s="3" t="s">
        <v>413</v>
      </c>
      <c r="G26" s="3" t="s">
        <v>25</v>
      </c>
      <c r="H26" s="4">
        <v>46023</v>
      </c>
      <c r="I26" s="4">
        <v>46387</v>
      </c>
      <c r="J26" s="3"/>
      <c r="K26" s="3" t="str">
        <f t="shared" si="0"/>
        <v>T&amp;M-T&amp;M</v>
      </c>
      <c r="L26" s="19" t="s">
        <v>251</v>
      </c>
      <c r="M26" s="19" t="s">
        <v>13</v>
      </c>
      <c r="N26" s="19" t="s">
        <v>415</v>
      </c>
      <c r="O26" s="19" t="s">
        <v>412</v>
      </c>
      <c r="P26" s="19" t="s">
        <v>347</v>
      </c>
      <c r="Q26" s="19" t="s">
        <v>348</v>
      </c>
      <c r="R26" s="19" t="s">
        <v>349</v>
      </c>
      <c r="S26" s="19" t="s">
        <v>350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418</v>
      </c>
      <c r="AB26" s="48">
        <f>Financials20263[[#This Row],[2026 Final Budget]]/12</f>
        <v>24320</v>
      </c>
      <c r="AC26" s="48">
        <f>Financials20263[[#This Row],[2026 Final Budget]]/12</f>
        <v>24320</v>
      </c>
      <c r="AD26" s="48">
        <f>Financials20263[[#This Row],[2026 Final Budget]]/12</f>
        <v>24320</v>
      </c>
      <c r="AE26" s="48">
        <f>Financials20263[[#This Row],[2026 Final Budget]]/12</f>
        <v>24320</v>
      </c>
      <c r="AF26" s="48">
        <f>Financials20263[[#This Row],[2026 Final Budget]]/12</f>
        <v>24320</v>
      </c>
      <c r="AG26" s="48">
        <f>Financials20263[[#This Row],[2026 Final Budget]]/12</f>
        <v>24320</v>
      </c>
      <c r="AH26" s="48">
        <f>Financials20263[[#This Row],[2026 Final Budget]]/12</f>
        <v>24320</v>
      </c>
      <c r="AI26" s="48">
        <f>Financials20263[[#This Row],[2026 Final Budget]]/12</f>
        <v>24320</v>
      </c>
      <c r="AJ26" s="48">
        <f>Financials20263[[#This Row],[2026 Final Budget]]/12</f>
        <v>24320</v>
      </c>
      <c r="AK26" s="48">
        <f>Financials20263[[#This Row],[2026 Final Budget]]/12</f>
        <v>24320</v>
      </c>
      <c r="AL26" s="48">
        <f>Financials20263[[#This Row],[2026 Final Budget]]/12</f>
        <v>24320</v>
      </c>
      <c r="AM26" s="48">
        <f>Financials20263[[#This Row],[2026 Final Budget]]/12</f>
        <v>24320</v>
      </c>
      <c r="AN26" s="47">
        <f>SUM(Financials20263[[#This Row],[Jan FC]:[Dec FC]])</f>
        <v>291840</v>
      </c>
      <c r="AO26" s="15">
        <f>SUM(Financials20263[[#This Row],[Jul FC]:[Dec FC]])</f>
        <v>145920</v>
      </c>
      <c r="AP26" s="57">
        <v>24320</v>
      </c>
      <c r="AQ26" s="56">
        <v>24320</v>
      </c>
      <c r="AR26" s="56">
        <v>26752</v>
      </c>
      <c r="AS26" s="56">
        <f>31640-4888</f>
        <v>26752</v>
      </c>
      <c r="AT26" s="56">
        <f>29925-8037</f>
        <v>21888</v>
      </c>
      <c r="AU26" s="56"/>
      <c r="AV26" s="56"/>
      <c r="AW26" s="56"/>
      <c r="AX26" s="56"/>
      <c r="AY26" s="56"/>
      <c r="AZ26" s="56"/>
      <c r="BA26" s="56"/>
      <c r="BB26" s="75">
        <f>SUM(Financials20263[[#This Row],[Jan AC]:[Dec AC]])</f>
        <v>124032</v>
      </c>
      <c r="BC26" s="66">
        <f>Financials20263[[#This Row],[Jan AC]]-Financials20263[[#This Row],[Jan FC]]</f>
        <v>0</v>
      </c>
      <c r="BD26" s="66">
        <f>Financials20263[[#This Row],[Feb AC]]-Financials20263[[#This Row],[Feb FC]]</f>
        <v>0</v>
      </c>
      <c r="BE26" s="66">
        <f>Financials20263[[#This Row],[Mar AC]]-Financials20263[[#This Row],[Mar FC]]</f>
        <v>2432</v>
      </c>
      <c r="BF26" s="66">
        <f>Financials20263[[#This Row],[Apr AC]]-Financials20263[[#This Row],[Apr FC]]</f>
        <v>2432</v>
      </c>
      <c r="BG26" s="66">
        <f>Financials20263[[#This Row],[May AC]]-Financials20263[[#This Row],[May FC]]</f>
        <v>-2432</v>
      </c>
      <c r="BH26" s="66">
        <f>Financials20263[[#This Row],[Jun AC]]-Financials20263[[#This Row],[Jun FC]]</f>
        <v>-24320</v>
      </c>
      <c r="BI26" s="66">
        <f>Financials20263[[#This Row],[Jul AC]]-Financials20263[[#This Row],[Jul FC]]</f>
        <v>-24320</v>
      </c>
      <c r="BJ26" s="66">
        <f>Financials20263[[#This Row],[Aug AC]]-Financials20263[[#This Row],[Aug FC]]</f>
        <v>-24320</v>
      </c>
      <c r="BK26" s="66">
        <f>Financials20263[[#This Row],[Sep AC]]-Financials20263[[#This Row],[Sep FC]]</f>
        <v>-24320</v>
      </c>
      <c r="BL26" s="66">
        <f>Financials20263[[#This Row],[Oct AC]]-Financials20263[[#This Row],[Oct FC]]</f>
        <v>-24320</v>
      </c>
      <c r="BM26" s="66">
        <f>Financials20263[[#This Row],[Nov AC]]-Financials20263[[#This Row],[Nov FC]]</f>
        <v>-24320</v>
      </c>
      <c r="BN26" s="66">
        <f>Financials20263[[#This Row],[Dec AC]]-Financials20263[[#This Row],[Dec FC]]</f>
        <v>-24320</v>
      </c>
      <c r="BO26" s="66">
        <f>SUM(Financials20263[[#This Row],[Jan Opp/Risk]:[Dec Opp./Risk]])</f>
        <v>-167808</v>
      </c>
      <c r="BP26" s="84" t="s">
        <v>416</v>
      </c>
      <c r="BQ26" s="44">
        <f>SUM(Financials20263[[#This Row],[Jan AC]:[Jun AC]])</f>
        <v>124032</v>
      </c>
      <c r="BR26" s="6">
        <f t="shared" si="6"/>
        <v>24320</v>
      </c>
      <c r="BS26" s="6">
        <f>Financials20263[[#This Row],[Jul-Dec FC]]+Financials20263[[#This Row],[Pending Jan-Jun]]</f>
        <v>170240</v>
      </c>
      <c r="BT26" s="6"/>
      <c r="BU26" s="6"/>
      <c r="BV26" s="6"/>
    </row>
    <row r="27" spans="1:74" hidden="1">
      <c r="A27" s="20" t="s">
        <v>320</v>
      </c>
      <c r="B27" s="19" t="s">
        <v>130</v>
      </c>
      <c r="C27" s="19" t="s">
        <v>421</v>
      </c>
      <c r="D27" s="10" t="s">
        <v>422</v>
      </c>
      <c r="E27" s="7" t="s">
        <v>423</v>
      </c>
      <c r="F27" s="3" t="s">
        <v>408</v>
      </c>
      <c r="G27" s="3" t="s">
        <v>20</v>
      </c>
      <c r="H27" s="4" t="s">
        <v>367</v>
      </c>
      <c r="I27" s="4" t="s">
        <v>367</v>
      </c>
      <c r="J27" s="3"/>
      <c r="K27" s="3" t="str">
        <f t="shared" si="0"/>
        <v>Prj000467-Support - Enterprise Tech Helpdesk</v>
      </c>
      <c r="L27" s="19" t="s">
        <v>251</v>
      </c>
      <c r="M27" s="19" t="s">
        <v>14</v>
      </c>
      <c r="N27" s="19" t="s">
        <v>346</v>
      </c>
      <c r="O27" s="19" t="s">
        <v>10</v>
      </c>
      <c r="P27" s="19" t="s">
        <v>347</v>
      </c>
      <c r="Q27" s="19" t="s">
        <v>348</v>
      </c>
      <c r="R27" s="19" t="s">
        <v>349</v>
      </c>
      <c r="S27" s="19" t="s">
        <v>350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424</v>
      </c>
      <c r="AB27" s="47">
        <v>15000</v>
      </c>
      <c r="AC27" s="47">
        <v>15000</v>
      </c>
      <c r="AD27" s="47">
        <v>15000</v>
      </c>
      <c r="AE27" s="47">
        <v>15000</v>
      </c>
      <c r="AF27" s="47">
        <v>15000</v>
      </c>
      <c r="AG27" s="47">
        <v>5950</v>
      </c>
      <c r="AH27" s="47">
        <v>5950</v>
      </c>
      <c r="AI27" s="47">
        <v>5950</v>
      </c>
      <c r="AJ27" s="47">
        <v>5950</v>
      </c>
      <c r="AK27" s="47">
        <v>5950</v>
      </c>
      <c r="AL27" s="47">
        <v>5950</v>
      </c>
      <c r="AM27" s="47">
        <v>5950</v>
      </c>
      <c r="AN27" s="47">
        <f>SUM(Financials20263[[#This Row],[Jan FC]:[Dec FC]])</f>
        <v>116650</v>
      </c>
      <c r="AO27" s="15">
        <f>SUM(Financials20263[[#This Row],[Jul FC]:[Dec FC]])</f>
        <v>35700</v>
      </c>
      <c r="AP27" s="56">
        <v>15000</v>
      </c>
      <c r="AQ27" s="56">
        <v>15000</v>
      </c>
      <c r="AR27" s="56">
        <v>15000</v>
      </c>
      <c r="AS27" s="56">
        <v>15000</v>
      </c>
      <c r="AT27" s="56">
        <v>15000</v>
      </c>
      <c r="AU27" s="56">
        <v>5950</v>
      </c>
      <c r="AV27" s="56"/>
      <c r="AW27" s="56"/>
      <c r="AX27" s="56"/>
      <c r="AY27" s="56"/>
      <c r="AZ27" s="56"/>
      <c r="BA27" s="56"/>
      <c r="BB27" s="75">
        <f>SUM(Financials20263[[#This Row],[Jan AC]:[Dec AC]])</f>
        <v>80950</v>
      </c>
      <c r="BC27" s="66">
        <f>Financials20263[[#This Row],[Jan AC]]-Financials20263[[#This Row],[Jan FC]]</f>
        <v>0</v>
      </c>
      <c r="BD27" s="66">
        <f>Financials20263[[#This Row],[Feb AC]]-Financials20263[[#This Row],[Feb FC]]</f>
        <v>0</v>
      </c>
      <c r="BE27" s="66">
        <f>Financials20263[[#This Row],[Mar AC]]-Financials20263[[#This Row],[Mar FC]]</f>
        <v>0</v>
      </c>
      <c r="BF27" s="66">
        <f>Financials20263[[#This Row],[Apr AC]]-Financials20263[[#This Row],[Apr FC]]</f>
        <v>0</v>
      </c>
      <c r="BG27" s="66">
        <f>Financials20263[[#This Row],[May AC]]-Financials20263[[#This Row],[May FC]]</f>
        <v>0</v>
      </c>
      <c r="BH27" s="66">
        <f>Financials20263[[#This Row],[Jun AC]]-Financials20263[[#This Row],[Jun FC]]</f>
        <v>0</v>
      </c>
      <c r="BI27" s="66">
        <f>Financials20263[[#This Row],[Jul AC]]-Financials20263[[#This Row],[Jul FC]]</f>
        <v>-5950</v>
      </c>
      <c r="BJ27" s="66">
        <f>Financials20263[[#This Row],[Aug AC]]-Financials20263[[#This Row],[Aug FC]]</f>
        <v>-5950</v>
      </c>
      <c r="BK27" s="66">
        <f>Financials20263[[#This Row],[Sep AC]]-Financials20263[[#This Row],[Sep FC]]</f>
        <v>-5950</v>
      </c>
      <c r="BL27" s="66">
        <f>Financials20263[[#This Row],[Oct AC]]-Financials20263[[#This Row],[Oct FC]]</f>
        <v>-5950</v>
      </c>
      <c r="BM27" s="66">
        <f>Financials20263[[#This Row],[Nov AC]]-Financials20263[[#This Row],[Nov FC]]</f>
        <v>-5950</v>
      </c>
      <c r="BN27" s="66">
        <f>Financials20263[[#This Row],[Dec AC]]-Financials20263[[#This Row],[Dec FC]]</f>
        <v>-5950</v>
      </c>
      <c r="BO27" s="66">
        <f>SUM(Financials20263[[#This Row],[Jan Opp/Risk]:[Dec Opp./Risk]])</f>
        <v>-35700</v>
      </c>
      <c r="BP27" s="82" t="s">
        <v>377</v>
      </c>
      <c r="BQ27" s="44">
        <f>SUM(Financials20263[[#This Row],[Jan AC]:[Jun AC]])</f>
        <v>80950</v>
      </c>
      <c r="BR27" s="6">
        <f t="shared" si="6"/>
        <v>0</v>
      </c>
      <c r="BS27" s="6">
        <f>Financials20263[[#This Row],[Jul-Dec FC]]+Financials20263[[#This Row],[Pending Jan-Jun]]</f>
        <v>35700</v>
      </c>
      <c r="BT27" s="6"/>
      <c r="BU27" s="6"/>
      <c r="BV27" s="6"/>
    </row>
    <row r="28" spans="1:74" ht="72" hidden="1">
      <c r="A28" s="20" t="s">
        <v>320</v>
      </c>
      <c r="B28" s="19" t="s">
        <v>41</v>
      </c>
      <c r="C28" s="19"/>
      <c r="D28" s="10" t="s">
        <v>425</v>
      </c>
      <c r="E28" s="7" t="s">
        <v>426</v>
      </c>
      <c r="F28" s="3" t="s">
        <v>408</v>
      </c>
      <c r="G28" s="3" t="s">
        <v>23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19" t="s">
        <v>251</v>
      </c>
      <c r="M28" s="19" t="s">
        <v>14</v>
      </c>
      <c r="N28" s="19" t="s">
        <v>346</v>
      </c>
      <c r="O28" s="19" t="s">
        <v>427</v>
      </c>
      <c r="P28" s="19" t="s">
        <v>347</v>
      </c>
      <c r="Q28" s="19" t="s">
        <v>348</v>
      </c>
      <c r="R28" s="19" t="s">
        <v>349</v>
      </c>
      <c r="S28" s="19" t="s">
        <v>350</v>
      </c>
      <c r="T28" s="5">
        <v>780191</v>
      </c>
      <c r="U28" s="15">
        <v>345000</v>
      </c>
      <c r="V28" s="15">
        <f>345000+143000+247000</f>
        <v>735000</v>
      </c>
      <c r="W28" s="15">
        <f t="shared" si="1"/>
        <v>787000</v>
      </c>
      <c r="X28" s="15">
        <f t="shared" si="7"/>
        <v>0</v>
      </c>
      <c r="Y28" s="15">
        <f t="shared" si="2"/>
        <v>52000</v>
      </c>
      <c r="Z28" s="15">
        <f>SUM(Financials20263[[#This Row],[2026 Opportunity]:[2026 Risk]])</f>
        <v>52000</v>
      </c>
      <c r="AA28" s="11" t="s">
        <v>428</v>
      </c>
      <c r="AB28" s="47">
        <f>Financials20263[[#This Row],[2026 Final Budget]]/12</f>
        <v>61250</v>
      </c>
      <c r="AC28" s="47">
        <f>Financials20263[[#This Row],[2026 Final Budget]]/12</f>
        <v>61250</v>
      </c>
      <c r="AD28" s="47">
        <v>41750</v>
      </c>
      <c r="AE28" s="47">
        <v>54750</v>
      </c>
      <c r="AF28" s="47">
        <v>54750</v>
      </c>
      <c r="AG28" s="47">
        <v>54750</v>
      </c>
      <c r="AH28" s="47">
        <v>67750</v>
      </c>
      <c r="AI28" s="47">
        <v>80750</v>
      </c>
      <c r="AJ28" s="47">
        <v>80750</v>
      </c>
      <c r="AK28" s="47">
        <v>80750</v>
      </c>
      <c r="AL28" s="47">
        <v>80750</v>
      </c>
      <c r="AM28" s="47">
        <v>80750</v>
      </c>
      <c r="AN28" s="47">
        <f>SUM(Financials20263[[#This Row],[Jan FC]:[Dec FC]])</f>
        <v>800000</v>
      </c>
      <c r="AO28" s="15">
        <f>SUM(Financials20263[[#This Row],[Jul FC]:[Dec FC]])</f>
        <v>471500</v>
      </c>
      <c r="AP28" s="56">
        <v>28750</v>
      </c>
      <c r="AQ28" s="56">
        <v>28750</v>
      </c>
      <c r="AR28" s="56">
        <v>41750</v>
      </c>
      <c r="AS28" s="56">
        <v>54750</v>
      </c>
      <c r="AT28" s="56">
        <v>54750</v>
      </c>
      <c r="AU28" s="56">
        <f>52000+54750</f>
        <v>106750</v>
      </c>
      <c r="AV28" s="56"/>
      <c r="AW28" s="56"/>
      <c r="AX28" s="56"/>
      <c r="AY28" s="56"/>
      <c r="AZ28" s="56"/>
      <c r="BA28" s="56"/>
      <c r="BB28" s="75">
        <f>SUM(Financials20263[[#This Row],[Jan AC]:[Dec AC]])</f>
        <v>315500</v>
      </c>
      <c r="BC28" s="66">
        <f>Financials20263[[#This Row],[Jan AC]]-Financials20263[[#This Row],[Jan FC]]</f>
        <v>-32500</v>
      </c>
      <c r="BD28" s="66">
        <f>Financials20263[[#This Row],[Feb AC]]-Financials20263[[#This Row],[Feb FC]]</f>
        <v>-32500</v>
      </c>
      <c r="BE28" s="66">
        <f>Financials20263[[#This Row],[Mar AC]]-Financials20263[[#This Row],[Mar FC]]</f>
        <v>0</v>
      </c>
      <c r="BF28" s="66">
        <f>Financials20263[[#This Row],[Apr AC]]-Financials20263[[#This Row],[Apr FC]]</f>
        <v>0</v>
      </c>
      <c r="BG28" s="66">
        <f>Financials20263[[#This Row],[May AC]]-Financials20263[[#This Row],[May FC]]</f>
        <v>0</v>
      </c>
      <c r="BH28" s="66">
        <f>Financials20263[[#This Row],[Jun AC]]-Financials20263[[#This Row],[Jun FC]]</f>
        <v>52000</v>
      </c>
      <c r="BI28" s="66">
        <f>Financials20263[[#This Row],[Jul AC]]-Financials20263[[#This Row],[Jul FC]]</f>
        <v>-67750</v>
      </c>
      <c r="BJ28" s="66">
        <f>Financials20263[[#This Row],[Aug AC]]-Financials20263[[#This Row],[Aug FC]]</f>
        <v>-80750</v>
      </c>
      <c r="BK28" s="66">
        <f>Financials20263[[#This Row],[Sep AC]]-Financials20263[[#This Row],[Sep FC]]</f>
        <v>-80750</v>
      </c>
      <c r="BL28" s="66">
        <f>Financials20263[[#This Row],[Oct AC]]-Financials20263[[#This Row],[Oct FC]]</f>
        <v>-80750</v>
      </c>
      <c r="BM28" s="66">
        <f>Financials20263[[#This Row],[Nov AC]]-Financials20263[[#This Row],[Nov FC]]</f>
        <v>-80750</v>
      </c>
      <c r="BN28" s="66">
        <f>Financials20263[[#This Row],[Dec AC]]-Financials20263[[#This Row],[Dec FC]]</f>
        <v>-80750</v>
      </c>
      <c r="BO28" s="66">
        <f>SUM(Financials20263[[#This Row],[Jan Opp/Risk]:[Dec Opp./Risk]])</f>
        <v>-484500</v>
      </c>
      <c r="BP28" s="82" t="s">
        <v>429</v>
      </c>
      <c r="BQ28" s="44">
        <f>SUM(Financials20263[[#This Row],[Jan AC]:[Jun AC]])</f>
        <v>315500</v>
      </c>
      <c r="BR28" s="6">
        <f t="shared" si="6"/>
        <v>0</v>
      </c>
      <c r="BS28" s="6">
        <f>Financials20263[[#This Row],[Jul-Dec FC]]+Financials20263[[#This Row],[Pending Jan-Jun]]</f>
        <v>471500</v>
      </c>
      <c r="BT28" s="6"/>
      <c r="BU28" s="6"/>
      <c r="BV28" s="6"/>
    </row>
    <row r="29" spans="1:74" hidden="1">
      <c r="A29" s="20" t="s">
        <v>320</v>
      </c>
      <c r="B29" s="19" t="s">
        <v>41</v>
      </c>
      <c r="C29" s="19"/>
      <c r="D29" s="10" t="s">
        <v>412</v>
      </c>
      <c r="E29" s="7" t="s">
        <v>412</v>
      </c>
      <c r="F29" s="3" t="s">
        <v>413</v>
      </c>
      <c r="G29" s="3" t="s">
        <v>20</v>
      </c>
      <c r="H29" s="4">
        <v>46023</v>
      </c>
      <c r="I29" s="4">
        <v>46387</v>
      </c>
      <c r="J29" s="3"/>
      <c r="K29" s="3" t="str">
        <f t="shared" si="0"/>
        <v>T&amp;M-T&amp;M</v>
      </c>
      <c r="L29" s="19" t="s">
        <v>251</v>
      </c>
      <c r="M29" s="19" t="s">
        <v>13</v>
      </c>
      <c r="N29" s="19" t="s">
        <v>415</v>
      </c>
      <c r="O29" s="19" t="s">
        <v>412</v>
      </c>
      <c r="P29" s="19" t="s">
        <v>347</v>
      </c>
      <c r="Q29" s="19" t="s">
        <v>348</v>
      </c>
      <c r="R29" s="19" t="s">
        <v>349</v>
      </c>
      <c r="S29" s="19" t="s">
        <v>350</v>
      </c>
      <c r="T29" s="5">
        <v>1019762.75</v>
      </c>
      <c r="U29" s="15">
        <v>180884.67598475222</v>
      </c>
      <c r="V29" s="15">
        <v>403200</v>
      </c>
      <c r="W29" s="15">
        <f t="shared" si="1"/>
        <v>560443.91999999993</v>
      </c>
      <c r="X29" s="15">
        <f t="shared" si="7"/>
        <v>0</v>
      </c>
      <c r="Y29" s="15">
        <f t="shared" si="2"/>
        <v>157243.91999999993</v>
      </c>
      <c r="Z29" s="15">
        <f>SUM(Financials20263[[#This Row],[2026 Opportunity]:[2026 Risk]])</f>
        <v>157243.91999999993</v>
      </c>
      <c r="AA29" s="3" t="s">
        <v>430</v>
      </c>
      <c r="AB29" s="47">
        <f>Financials20263[[#This Row],[2026 Final Budget]]/12</f>
        <v>33600</v>
      </c>
      <c r="AC29" s="47">
        <f>Financials20263[[#This Row],[2026 Final Budget]]/12</f>
        <v>33600</v>
      </c>
      <c r="AD29" s="47">
        <f>Financials20263[[#This Row],[2026 Final Budget]]/12</f>
        <v>33600</v>
      </c>
      <c r="AE29" s="47">
        <f>Financials20263[[#This Row],[2026 Final Budget]]/12</f>
        <v>33600</v>
      </c>
      <c r="AF29" s="47">
        <f>Financials20263[[#This Row],[2026 Final Budget]]/12</f>
        <v>33600</v>
      </c>
      <c r="AG29" s="47">
        <f>Financials20263[[#This Row],[2026 Final Budget]]/12</f>
        <v>33600</v>
      </c>
      <c r="AH29" s="47">
        <f>Financials20263[[#This Row],[2026 Final Budget]]/12</f>
        <v>33600</v>
      </c>
      <c r="AI29" s="47">
        <f>Financials20263[[#This Row],[2026 Final Budget]]/12</f>
        <v>33600</v>
      </c>
      <c r="AJ29" s="47">
        <f>Financials20263[[#This Row],[2026 Final Budget]]/12</f>
        <v>33600</v>
      </c>
      <c r="AK29" s="47">
        <f>Financials20263[[#This Row],[2026 Final Budget]]/12</f>
        <v>33600</v>
      </c>
      <c r="AL29" s="47">
        <f>Financials20263[[#This Row],[2026 Final Budget]]/12</f>
        <v>33600</v>
      </c>
      <c r="AM29" s="47">
        <f>Financials20263[[#This Row],[2026 Final Budget]]/12</f>
        <v>33600</v>
      </c>
      <c r="AN29" s="47">
        <f>SUM(Financials20263[[#This Row],[Jan FC]:[Dec FC]])</f>
        <v>403200</v>
      </c>
      <c r="AO29" s="15">
        <f>SUM(Financials20263[[#This Row],[Jul FC]:[Dec FC]])</f>
        <v>201600</v>
      </c>
      <c r="AP29" s="56">
        <f>33600+23360.56</f>
        <v>56960.56</v>
      </c>
      <c r="AQ29" s="56">
        <f>28560+60962.8</f>
        <v>89522.8</v>
      </c>
      <c r="AR29" s="56">
        <v>106520.55999999998</v>
      </c>
      <c r="AS29" s="56">
        <v>36960</v>
      </c>
      <c r="AT29" s="56">
        <v>33600</v>
      </c>
      <c r="AU29" s="56">
        <v>35280</v>
      </c>
      <c r="AV29" s="56"/>
      <c r="AW29" s="56"/>
      <c r="AX29" s="56"/>
      <c r="AY29" s="56"/>
      <c r="AZ29" s="56"/>
      <c r="BA29" s="56"/>
      <c r="BB29" s="75">
        <f>SUM(Financials20263[[#This Row],[Jan AC]:[Dec AC]])</f>
        <v>358843.92</v>
      </c>
      <c r="BC29" s="66">
        <f>Financials20263[[#This Row],[Jan AC]]-Financials20263[[#This Row],[Jan FC]]</f>
        <v>23360.559999999998</v>
      </c>
      <c r="BD29" s="66">
        <f>Financials20263[[#This Row],[Feb AC]]-Financials20263[[#This Row],[Feb FC]]</f>
        <v>55922.8</v>
      </c>
      <c r="BE29" s="66">
        <f>Financials20263[[#This Row],[Mar AC]]-Financials20263[[#This Row],[Mar FC]]</f>
        <v>72920.559999999983</v>
      </c>
      <c r="BF29" s="66">
        <f>Financials20263[[#This Row],[Apr AC]]-Financials20263[[#This Row],[Apr FC]]</f>
        <v>3360</v>
      </c>
      <c r="BG29" s="66">
        <f>Financials20263[[#This Row],[May AC]]-Financials20263[[#This Row],[May FC]]</f>
        <v>0</v>
      </c>
      <c r="BH29" s="66">
        <f>Financials20263[[#This Row],[Jun AC]]-Financials20263[[#This Row],[Jun FC]]</f>
        <v>1680</v>
      </c>
      <c r="BI29" s="66">
        <f>Financials20263[[#This Row],[Jul AC]]-Financials20263[[#This Row],[Jul FC]]</f>
        <v>-33600</v>
      </c>
      <c r="BJ29" s="66">
        <f>Financials20263[[#This Row],[Aug AC]]-Financials20263[[#This Row],[Aug FC]]</f>
        <v>-33600</v>
      </c>
      <c r="BK29" s="66">
        <f>Financials20263[[#This Row],[Sep AC]]-Financials20263[[#This Row],[Sep FC]]</f>
        <v>-33600</v>
      </c>
      <c r="BL29" s="66">
        <f>Financials20263[[#This Row],[Oct AC]]-Financials20263[[#This Row],[Oct FC]]</f>
        <v>-33600</v>
      </c>
      <c r="BM29" s="66">
        <f>Financials20263[[#This Row],[Nov AC]]-Financials20263[[#This Row],[Nov FC]]</f>
        <v>-33600</v>
      </c>
      <c r="BN29" s="66">
        <f>Financials20263[[#This Row],[Dec AC]]-Financials20263[[#This Row],[Dec FC]]</f>
        <v>-33600</v>
      </c>
      <c r="BO29" s="66">
        <f>SUM(Financials20263[[#This Row],[Jan Opp/Risk]:[Dec Opp./Risk]])</f>
        <v>-44356.080000000016</v>
      </c>
      <c r="BP29" s="84" t="s">
        <v>416</v>
      </c>
      <c r="BQ29" s="44">
        <f>SUM(Financials20263[[#This Row],[Jan AC]:[Jun AC]])</f>
        <v>358843.92</v>
      </c>
      <c r="BR29" s="6">
        <f t="shared" si="6"/>
        <v>0</v>
      </c>
      <c r="BS29" s="6">
        <f>Financials20263[[#This Row],[Jul-Dec FC]]+Financials20263[[#This Row],[Pending Jan-Jun]]</f>
        <v>201600</v>
      </c>
      <c r="BT29" s="6"/>
      <c r="BU29" s="6"/>
      <c r="BV29" s="6"/>
    </row>
    <row r="30" spans="1:74" hidden="1">
      <c r="A30" s="20" t="s">
        <v>320</v>
      </c>
      <c r="B30" s="19" t="s">
        <v>41</v>
      </c>
      <c r="C30" s="19"/>
      <c r="D30" s="10" t="s">
        <v>412</v>
      </c>
      <c r="E30" s="7" t="s">
        <v>412</v>
      </c>
      <c r="F30" s="3" t="s">
        <v>413</v>
      </c>
      <c r="G30" s="3" t="s">
        <v>22</v>
      </c>
      <c r="H30" s="4">
        <v>46023</v>
      </c>
      <c r="I30" s="4">
        <v>46387</v>
      </c>
      <c r="J30" s="3"/>
      <c r="K30" s="3" t="str">
        <f t="shared" si="0"/>
        <v>T&amp;M-T&amp;M</v>
      </c>
      <c r="L30" s="19" t="s">
        <v>251</v>
      </c>
      <c r="M30" s="19" t="s">
        <v>13</v>
      </c>
      <c r="N30" s="19" t="s">
        <v>415</v>
      </c>
      <c r="O30" s="19" t="s">
        <v>412</v>
      </c>
      <c r="P30" s="19" t="s">
        <v>347</v>
      </c>
      <c r="Q30" s="19" t="s">
        <v>348</v>
      </c>
      <c r="R30" s="19" t="s">
        <v>349</v>
      </c>
      <c r="S30" s="19" t="s">
        <v>350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430</v>
      </c>
      <c r="AB30" s="47">
        <f>Financials20263[[#This Row],[2026 Final Budget]]/12</f>
        <v>21000</v>
      </c>
      <c r="AC30" s="47">
        <f>Financials20263[[#This Row],[2026 Final Budget]]/12</f>
        <v>21000</v>
      </c>
      <c r="AD30" s="47">
        <f>Financials20263[[#This Row],[2026 Final Budget]]/12</f>
        <v>21000</v>
      </c>
      <c r="AE30" s="47">
        <f>Financials20263[[#This Row],[2026 Final Budget]]/12</f>
        <v>21000</v>
      </c>
      <c r="AF30" s="47">
        <f>Financials20263[[#This Row],[2026 Final Budget]]/12</f>
        <v>21000</v>
      </c>
      <c r="AG30" s="47">
        <f>Financials20263[[#This Row],[2026 Final Budget]]/12</f>
        <v>21000</v>
      </c>
      <c r="AH30" s="47">
        <f>Financials20263[[#This Row],[2026 Final Budget]]/12</f>
        <v>21000</v>
      </c>
      <c r="AI30" s="47">
        <f>Financials20263[[#This Row],[2026 Final Budget]]/12</f>
        <v>21000</v>
      </c>
      <c r="AJ30" s="47">
        <f>Financials20263[[#This Row],[2026 Final Budget]]/12</f>
        <v>21000</v>
      </c>
      <c r="AK30" s="47">
        <f>Financials20263[[#This Row],[2026 Final Budget]]/12</f>
        <v>21000</v>
      </c>
      <c r="AL30" s="47">
        <f>Financials20263[[#This Row],[2026 Final Budget]]/12</f>
        <v>21000</v>
      </c>
      <c r="AM30" s="47">
        <f>Financials20263[[#This Row],[2026 Final Budget]]/12</f>
        <v>21000</v>
      </c>
      <c r="AN30" s="47">
        <f>SUM(Financials20263[[#This Row],[Jan FC]:[Dec FC]])</f>
        <v>252000</v>
      </c>
      <c r="AO30" s="15">
        <f>SUM(Financials20263[[#This Row],[Jul FC]:[Dec FC]])</f>
        <v>126000</v>
      </c>
      <c r="AP30" s="56">
        <v>21000</v>
      </c>
      <c r="AQ30" s="56">
        <v>19950</v>
      </c>
      <c r="AR30" s="56">
        <v>23100</v>
      </c>
      <c r="AS30" s="56">
        <v>17850</v>
      </c>
      <c r="AT30" s="56">
        <v>15750</v>
      </c>
      <c r="AU30" s="56"/>
      <c r="AV30" s="56"/>
      <c r="AW30" s="56"/>
      <c r="AX30" s="56"/>
      <c r="AY30" s="56"/>
      <c r="AZ30" s="56"/>
      <c r="BA30" s="56"/>
      <c r="BB30" s="75">
        <f>SUM(Financials20263[[#This Row],[Jan AC]:[Dec AC]])</f>
        <v>97650</v>
      </c>
      <c r="BC30" s="66">
        <f>Financials20263[[#This Row],[Jan AC]]-Financials20263[[#This Row],[Jan FC]]</f>
        <v>0</v>
      </c>
      <c r="BD30" s="66">
        <f>Financials20263[[#This Row],[Feb AC]]-Financials20263[[#This Row],[Feb FC]]</f>
        <v>-1050</v>
      </c>
      <c r="BE30" s="66">
        <f>Financials20263[[#This Row],[Mar AC]]-Financials20263[[#This Row],[Mar FC]]</f>
        <v>2100</v>
      </c>
      <c r="BF30" s="66">
        <f>Financials20263[[#This Row],[Apr AC]]-Financials20263[[#This Row],[Apr FC]]</f>
        <v>-3150</v>
      </c>
      <c r="BG30" s="66">
        <f>Financials20263[[#This Row],[May AC]]-Financials20263[[#This Row],[May FC]]</f>
        <v>-5250</v>
      </c>
      <c r="BH30" s="66">
        <f>Financials20263[[#This Row],[Jun AC]]-Financials20263[[#This Row],[Jun FC]]</f>
        <v>-21000</v>
      </c>
      <c r="BI30" s="66">
        <f>Financials20263[[#This Row],[Jul AC]]-Financials20263[[#This Row],[Jul FC]]</f>
        <v>-21000</v>
      </c>
      <c r="BJ30" s="66">
        <f>Financials20263[[#This Row],[Aug AC]]-Financials20263[[#This Row],[Aug FC]]</f>
        <v>-21000</v>
      </c>
      <c r="BK30" s="66">
        <f>Financials20263[[#This Row],[Sep AC]]-Financials20263[[#This Row],[Sep FC]]</f>
        <v>-21000</v>
      </c>
      <c r="BL30" s="66">
        <f>Financials20263[[#This Row],[Oct AC]]-Financials20263[[#This Row],[Oct FC]]</f>
        <v>-21000</v>
      </c>
      <c r="BM30" s="66">
        <f>Financials20263[[#This Row],[Nov AC]]-Financials20263[[#This Row],[Nov FC]]</f>
        <v>-21000</v>
      </c>
      <c r="BN30" s="66">
        <f>Financials20263[[#This Row],[Dec AC]]-Financials20263[[#This Row],[Dec FC]]</f>
        <v>-21000</v>
      </c>
      <c r="BO30" s="66">
        <f>SUM(Financials20263[[#This Row],[Jan Opp/Risk]:[Dec Opp./Risk]])</f>
        <v>-154350</v>
      </c>
      <c r="BP30" s="84" t="s">
        <v>416</v>
      </c>
      <c r="BQ30" s="44">
        <f>SUM(Financials20263[[#This Row],[Jan AC]:[Jun AC]])</f>
        <v>97650</v>
      </c>
      <c r="BR30" s="6">
        <f t="shared" si="6"/>
        <v>21000</v>
      </c>
      <c r="BS30" s="6">
        <f>Financials20263[[#This Row],[Jul-Dec FC]]+Financials20263[[#This Row],[Pending Jan-Jun]]</f>
        <v>147000</v>
      </c>
      <c r="BT30" s="6"/>
      <c r="BU30" s="6"/>
      <c r="BV30" s="6"/>
    </row>
    <row r="31" spans="1:74" hidden="1">
      <c r="A31" s="20" t="s">
        <v>320</v>
      </c>
      <c r="B31" s="19" t="s">
        <v>41</v>
      </c>
      <c r="C31" s="19"/>
      <c r="D31" s="10" t="s">
        <v>412</v>
      </c>
      <c r="E31" s="7" t="s">
        <v>412</v>
      </c>
      <c r="F31" s="3" t="s">
        <v>413</v>
      </c>
      <c r="G31" s="3" t="s">
        <v>23</v>
      </c>
      <c r="H31" s="4">
        <v>46023</v>
      </c>
      <c r="I31" s="4">
        <v>46387</v>
      </c>
      <c r="J31" s="3"/>
      <c r="K31" s="3" t="str">
        <f t="shared" si="0"/>
        <v>T&amp;M-T&amp;M</v>
      </c>
      <c r="L31" s="19" t="s">
        <v>251</v>
      </c>
      <c r="M31" s="19" t="s">
        <v>13</v>
      </c>
      <c r="N31" s="19" t="s">
        <v>415</v>
      </c>
      <c r="O31" s="19" t="s">
        <v>412</v>
      </c>
      <c r="P31" s="19" t="s">
        <v>347</v>
      </c>
      <c r="Q31" s="19" t="s">
        <v>348</v>
      </c>
      <c r="R31" s="19" t="s">
        <v>349</v>
      </c>
      <c r="S31" s="19" t="s">
        <v>350</v>
      </c>
      <c r="T31" s="5">
        <v>1019762.75</v>
      </c>
      <c r="U31" s="15">
        <v>539054.33290978405</v>
      </c>
      <c r="V31" s="15">
        <f>600000-247000</f>
        <v>353000</v>
      </c>
      <c r="W31" s="15">
        <f t="shared" si="1"/>
        <v>313600</v>
      </c>
      <c r="X31" s="15">
        <f t="shared" si="7"/>
        <v>-39400</v>
      </c>
      <c r="Y31" s="15">
        <f t="shared" si="2"/>
        <v>0</v>
      </c>
      <c r="Z31" s="15">
        <f>SUM(Financials20263[[#This Row],[2026 Opportunity]:[2026 Risk]])</f>
        <v>-39400</v>
      </c>
      <c r="AA31" s="3" t="s">
        <v>430</v>
      </c>
      <c r="AB31" s="47">
        <f>Financials20263[[#This Row],[2026 Final Budget]]/12</f>
        <v>29416.666666666668</v>
      </c>
      <c r="AC31" s="47">
        <f>50000-26000</f>
        <v>24000</v>
      </c>
      <c r="AD31" s="47">
        <f t="shared" ref="AD31:AE31" si="13">50000-26000</f>
        <v>24000</v>
      </c>
      <c r="AE31" s="47">
        <f t="shared" si="13"/>
        <v>24000</v>
      </c>
      <c r="AF31" s="47">
        <f>50000-26000</f>
        <v>24000</v>
      </c>
      <c r="AG31" s="47">
        <f>50000-26000</f>
        <v>24000</v>
      </c>
      <c r="AH31" s="47">
        <f t="shared" ref="AH31:AM31" si="14">50000-26000</f>
        <v>24000</v>
      </c>
      <c r="AI31" s="47">
        <f t="shared" si="14"/>
        <v>24000</v>
      </c>
      <c r="AJ31" s="47">
        <f t="shared" si="14"/>
        <v>24000</v>
      </c>
      <c r="AK31" s="47">
        <f t="shared" si="14"/>
        <v>24000</v>
      </c>
      <c r="AL31" s="47">
        <f t="shared" si="14"/>
        <v>24000</v>
      </c>
      <c r="AM31" s="47">
        <f t="shared" si="14"/>
        <v>24000</v>
      </c>
      <c r="AN31" s="47">
        <f>SUM(Financials20263[[#This Row],[Jan FC]:[Dec FC]])</f>
        <v>293416.66666666669</v>
      </c>
      <c r="AO31" s="15">
        <f>SUM(Financials20263[[#This Row],[Jul FC]:[Dec FC]])</f>
        <v>144000</v>
      </c>
      <c r="AP31" s="56">
        <v>44800</v>
      </c>
      <c r="AQ31" s="56">
        <v>22800</v>
      </c>
      <c r="AR31" s="56">
        <v>26400</v>
      </c>
      <c r="AS31" s="56">
        <v>26400</v>
      </c>
      <c r="AT31" s="56">
        <f>32640-8640</f>
        <v>24000</v>
      </c>
      <c r="AU31" s="56">
        <f>45120-19920</f>
        <v>25200</v>
      </c>
      <c r="AV31" s="56"/>
      <c r="AW31" s="56"/>
      <c r="AX31" s="56"/>
      <c r="AY31" s="56"/>
      <c r="AZ31" s="56"/>
      <c r="BA31" s="56"/>
      <c r="BB31" s="75">
        <f>SUM(Financials20263[[#This Row],[Jan AC]:[Dec AC]])</f>
        <v>169600</v>
      </c>
      <c r="BC31" s="66">
        <f>Financials20263[[#This Row],[Jan AC]]-Financials20263[[#This Row],[Jan FC]]</f>
        <v>15383.333333333332</v>
      </c>
      <c r="BD31" s="66">
        <f>Financials20263[[#This Row],[Feb AC]]-Financials20263[[#This Row],[Feb FC]]</f>
        <v>-1200</v>
      </c>
      <c r="BE31" s="66">
        <f>Financials20263[[#This Row],[Mar AC]]-Financials20263[[#This Row],[Mar FC]]</f>
        <v>2400</v>
      </c>
      <c r="BF31" s="66">
        <f>Financials20263[[#This Row],[Apr AC]]-Financials20263[[#This Row],[Apr FC]]</f>
        <v>2400</v>
      </c>
      <c r="BG31" s="66">
        <f>Financials20263[[#This Row],[May AC]]-Financials20263[[#This Row],[May FC]]</f>
        <v>0</v>
      </c>
      <c r="BH31" s="66">
        <f>Financials20263[[#This Row],[Jun AC]]-Financials20263[[#This Row],[Jun FC]]</f>
        <v>1200</v>
      </c>
      <c r="BI31" s="66">
        <f>Financials20263[[#This Row],[Jul AC]]-Financials20263[[#This Row],[Jul FC]]</f>
        <v>-24000</v>
      </c>
      <c r="BJ31" s="66">
        <f>Financials20263[[#This Row],[Aug AC]]-Financials20263[[#This Row],[Aug FC]]</f>
        <v>-24000</v>
      </c>
      <c r="BK31" s="66">
        <f>Financials20263[[#This Row],[Sep AC]]-Financials20263[[#This Row],[Sep FC]]</f>
        <v>-24000</v>
      </c>
      <c r="BL31" s="66">
        <f>Financials20263[[#This Row],[Oct AC]]-Financials20263[[#This Row],[Oct FC]]</f>
        <v>-24000</v>
      </c>
      <c r="BM31" s="66">
        <f>Financials20263[[#This Row],[Nov AC]]-Financials20263[[#This Row],[Nov FC]]</f>
        <v>-24000</v>
      </c>
      <c r="BN31" s="66">
        <f>Financials20263[[#This Row],[Dec AC]]-Financials20263[[#This Row],[Dec FC]]</f>
        <v>-24000</v>
      </c>
      <c r="BO31" s="66">
        <f>SUM(Financials20263[[#This Row],[Jan Opp/Risk]:[Dec Opp./Risk]])</f>
        <v>-123816.66666666667</v>
      </c>
      <c r="BP31" s="84" t="s">
        <v>431</v>
      </c>
      <c r="BQ31" s="44">
        <f>SUM(Financials20263[[#This Row],[Jan AC]:[Jun AC]])</f>
        <v>169600</v>
      </c>
      <c r="BR31" s="6">
        <f t="shared" si="6"/>
        <v>0</v>
      </c>
      <c r="BS31" s="6">
        <f>Financials20263[[#This Row],[Jul-Dec FC]]+Financials20263[[#This Row],[Pending Jan-Jun]]</f>
        <v>144000</v>
      </c>
      <c r="BT31" s="6"/>
      <c r="BU31" s="6"/>
      <c r="BV31" s="6"/>
    </row>
    <row r="32" spans="1:74" hidden="1">
      <c r="A32" s="20" t="s">
        <v>320</v>
      </c>
      <c r="B32" s="19" t="s">
        <v>41</v>
      </c>
      <c r="C32" s="19"/>
      <c r="D32" s="10" t="s">
        <v>412</v>
      </c>
      <c r="E32" s="7" t="s">
        <v>412</v>
      </c>
      <c r="F32" s="3" t="s">
        <v>413</v>
      </c>
      <c r="G32" s="3" t="s">
        <v>25</v>
      </c>
      <c r="H32" s="4">
        <v>46023</v>
      </c>
      <c r="I32" s="4">
        <v>46387</v>
      </c>
      <c r="J32" s="3"/>
      <c r="K32" s="3" t="str">
        <f t="shared" si="0"/>
        <v>T&amp;M-T&amp;M</v>
      </c>
      <c r="L32" s="19" t="s">
        <v>251</v>
      </c>
      <c r="M32" s="19" t="s">
        <v>13</v>
      </c>
      <c r="N32" s="19" t="s">
        <v>415</v>
      </c>
      <c r="O32" s="19" t="s">
        <v>412</v>
      </c>
      <c r="P32" s="19" t="s">
        <v>347</v>
      </c>
      <c r="Q32" s="19" t="s">
        <v>348</v>
      </c>
      <c r="R32" s="19" t="s">
        <v>349</v>
      </c>
      <c r="S32" s="19" t="s">
        <v>350</v>
      </c>
      <c r="T32" s="5">
        <v>1019762.75</v>
      </c>
      <c r="U32" s="15">
        <v>431963.4053367218</v>
      </c>
      <c r="V32" s="15">
        <f>161280-72000</f>
        <v>89280</v>
      </c>
      <c r="W32" s="15">
        <f t="shared" si="1"/>
        <v>84448</v>
      </c>
      <c r="X32" s="15">
        <f t="shared" si="7"/>
        <v>-4832</v>
      </c>
      <c r="Y32" s="15">
        <f t="shared" si="2"/>
        <v>0</v>
      </c>
      <c r="Z32" s="15">
        <f>SUM(Financials20263[[#This Row],[2026 Opportunity]:[2026 Risk]])</f>
        <v>-4832</v>
      </c>
      <c r="AA32" s="3" t="s">
        <v>430</v>
      </c>
      <c r="AB32" s="47">
        <f>Financials20263[[#This Row],[2026 Final Budget]]/12</f>
        <v>7440</v>
      </c>
      <c r="AC32" s="47">
        <v>13440</v>
      </c>
      <c r="AD32" s="47">
        <v>13440</v>
      </c>
      <c r="AE32" s="47">
        <f>13440-8000</f>
        <v>5440</v>
      </c>
      <c r="AF32" s="47">
        <f t="shared" ref="AF32:AM32" si="15">13440-8000</f>
        <v>5440</v>
      </c>
      <c r="AG32" s="47">
        <f t="shared" si="15"/>
        <v>5440</v>
      </c>
      <c r="AH32" s="47">
        <f t="shared" si="15"/>
        <v>5440</v>
      </c>
      <c r="AI32" s="47">
        <f t="shared" si="15"/>
        <v>5440</v>
      </c>
      <c r="AJ32" s="47">
        <f t="shared" si="15"/>
        <v>5440</v>
      </c>
      <c r="AK32" s="47">
        <f t="shared" si="15"/>
        <v>5440</v>
      </c>
      <c r="AL32" s="47">
        <f t="shared" si="15"/>
        <v>5440</v>
      </c>
      <c r="AM32" s="47">
        <f t="shared" si="15"/>
        <v>5440</v>
      </c>
      <c r="AN32" s="47">
        <f>SUM(Financials20263[[#This Row],[Jan FC]:[Dec FC]])</f>
        <v>83280</v>
      </c>
      <c r="AO32" s="15">
        <f>SUM(Financials20263[[#This Row],[Jul FC]:[Dec FC]])</f>
        <v>32640</v>
      </c>
      <c r="AP32" s="56">
        <v>11152</v>
      </c>
      <c r="AQ32" s="56">
        <v>11296</v>
      </c>
      <c r="AR32" s="56">
        <v>13584</v>
      </c>
      <c r="AS32" s="56">
        <v>4624</v>
      </c>
      <c r="AT32" s="56">
        <v>5440</v>
      </c>
      <c r="AU32" s="56">
        <v>5712</v>
      </c>
      <c r="AV32" s="56"/>
      <c r="AW32" s="56"/>
      <c r="AX32" s="56"/>
      <c r="AY32" s="56"/>
      <c r="AZ32" s="56"/>
      <c r="BA32" s="56"/>
      <c r="BB32" s="75">
        <f>SUM(Financials20263[[#This Row],[Jan AC]:[Dec AC]])</f>
        <v>51808</v>
      </c>
      <c r="BC32" s="66">
        <f>Financials20263[[#This Row],[Jan AC]]-Financials20263[[#This Row],[Jan FC]]</f>
        <v>3712</v>
      </c>
      <c r="BD32" s="66">
        <f>Financials20263[[#This Row],[Feb AC]]-Financials20263[[#This Row],[Feb FC]]</f>
        <v>-2144</v>
      </c>
      <c r="BE32" s="66">
        <f>Financials20263[[#This Row],[Mar AC]]-Financials20263[[#This Row],[Mar FC]]</f>
        <v>144</v>
      </c>
      <c r="BF32" s="66">
        <f>Financials20263[[#This Row],[Apr AC]]-Financials20263[[#This Row],[Apr FC]]</f>
        <v>-816</v>
      </c>
      <c r="BG32" s="66">
        <f>Financials20263[[#This Row],[May AC]]-Financials20263[[#This Row],[May FC]]</f>
        <v>0</v>
      </c>
      <c r="BH32" s="66">
        <f>Financials20263[[#This Row],[Jun AC]]-Financials20263[[#This Row],[Jun FC]]</f>
        <v>272</v>
      </c>
      <c r="BI32" s="66">
        <f>Financials20263[[#This Row],[Jul AC]]-Financials20263[[#This Row],[Jul FC]]</f>
        <v>-5440</v>
      </c>
      <c r="BJ32" s="66">
        <f>Financials20263[[#This Row],[Aug AC]]-Financials20263[[#This Row],[Aug FC]]</f>
        <v>-5440</v>
      </c>
      <c r="BK32" s="66">
        <f>Financials20263[[#This Row],[Sep AC]]-Financials20263[[#This Row],[Sep FC]]</f>
        <v>-5440</v>
      </c>
      <c r="BL32" s="66">
        <f>Financials20263[[#This Row],[Oct AC]]-Financials20263[[#This Row],[Oct FC]]</f>
        <v>-5440</v>
      </c>
      <c r="BM32" s="66">
        <f>Financials20263[[#This Row],[Nov AC]]-Financials20263[[#This Row],[Nov FC]]</f>
        <v>-5440</v>
      </c>
      <c r="BN32" s="66">
        <f>Financials20263[[#This Row],[Dec AC]]-Financials20263[[#This Row],[Dec FC]]</f>
        <v>-5440</v>
      </c>
      <c r="BO32" s="66">
        <f>SUM(Financials20263[[#This Row],[Jan Opp/Risk]:[Dec Opp./Risk]])</f>
        <v>-31472</v>
      </c>
      <c r="BP32" s="84" t="s">
        <v>432</v>
      </c>
      <c r="BQ32" s="44">
        <f>SUM(Financials20263[[#This Row],[Jan AC]:[Jun AC]])</f>
        <v>51808</v>
      </c>
      <c r="BR32" s="6">
        <f t="shared" si="6"/>
        <v>0</v>
      </c>
      <c r="BS32" s="6">
        <f>Financials20263[[#This Row],[Jul-Dec FC]]+Financials20263[[#This Row],[Pending Jan-Jun]]</f>
        <v>32640</v>
      </c>
      <c r="BT32" s="6"/>
      <c r="BU32" s="6"/>
      <c r="BV32" s="6"/>
    </row>
    <row r="33" spans="1:74" hidden="1">
      <c r="A33" s="20" t="s">
        <v>320</v>
      </c>
      <c r="B33" s="19" t="s">
        <v>41</v>
      </c>
      <c r="C33" s="19"/>
      <c r="D33" s="10" t="s">
        <v>412</v>
      </c>
      <c r="E33" s="7" t="s">
        <v>412</v>
      </c>
      <c r="F33" s="3" t="s">
        <v>413</v>
      </c>
      <c r="G33" s="3" t="s">
        <v>23</v>
      </c>
      <c r="H33" s="4">
        <v>46157</v>
      </c>
      <c r="I33" s="4">
        <v>46387</v>
      </c>
      <c r="J33" s="3"/>
      <c r="K33" s="3" t="str">
        <f t="shared" si="0"/>
        <v>T&amp;M-T&amp;M</v>
      </c>
      <c r="L33" s="19" t="s">
        <v>251</v>
      </c>
      <c r="M33" s="19" t="s">
        <v>13</v>
      </c>
      <c r="N33" s="19" t="s">
        <v>415</v>
      </c>
      <c r="O33" s="19" t="s">
        <v>412</v>
      </c>
      <c r="P33" s="19" t="s">
        <v>347</v>
      </c>
      <c r="Q33" s="19" t="s">
        <v>348</v>
      </c>
      <c r="R33" s="19" t="s">
        <v>349</v>
      </c>
      <c r="S33" s="19" t="s">
        <v>350</v>
      </c>
      <c r="T33" s="5">
        <v>0</v>
      </c>
      <c r="U33" s="15">
        <v>0</v>
      </c>
      <c r="V33" s="15">
        <v>230400</v>
      </c>
      <c r="W33" s="15">
        <f t="shared" si="1"/>
        <v>212880</v>
      </c>
      <c r="X33" s="15">
        <f t="shared" si="7"/>
        <v>-17520</v>
      </c>
      <c r="Y33" s="15">
        <f t="shared" si="2"/>
        <v>0</v>
      </c>
      <c r="Z33" s="15">
        <f>SUM(Financials20263[[#This Row],[2026 Opportunity]:[2026 Risk]])</f>
        <v>-17520</v>
      </c>
      <c r="AA33" s="3" t="s">
        <v>433</v>
      </c>
      <c r="AB33" s="47"/>
      <c r="AC33" s="47"/>
      <c r="AD33" s="47"/>
      <c r="AE33" s="47"/>
      <c r="AF33" s="47">
        <v>15360</v>
      </c>
      <c r="AG33" s="47">
        <v>30720</v>
      </c>
      <c r="AH33" s="47">
        <v>30720</v>
      </c>
      <c r="AI33" s="47">
        <v>30720</v>
      </c>
      <c r="AJ33" s="47">
        <v>30720</v>
      </c>
      <c r="AK33" s="47">
        <v>30720</v>
      </c>
      <c r="AL33" s="47">
        <v>30720</v>
      </c>
      <c r="AM33" s="47">
        <v>30720</v>
      </c>
      <c r="AN33" s="47">
        <f>SUM(Financials20263[[#This Row],[Jan FC]:[Dec FC]])</f>
        <v>230400</v>
      </c>
      <c r="AO33" s="15">
        <f>SUM(Financials20263[[#This Row],[Jul FC]:[Dec FC]])</f>
        <v>184320</v>
      </c>
      <c r="AP33" s="56"/>
      <c r="AQ33" s="56"/>
      <c r="AR33" s="56"/>
      <c r="AS33" s="56"/>
      <c r="AT33" s="56">
        <v>8640</v>
      </c>
      <c r="AU33" s="56">
        <v>19920</v>
      </c>
      <c r="AV33" s="56"/>
      <c r="AW33" s="56"/>
      <c r="AX33" s="56"/>
      <c r="AY33" s="56"/>
      <c r="AZ33" s="56"/>
      <c r="BA33" s="56"/>
      <c r="BB33" s="75">
        <f>SUM(Financials20263[[#This Row],[Jan AC]:[Dec AC]])</f>
        <v>28560</v>
      </c>
      <c r="BC33" s="66">
        <f>Financials20263[[#This Row],[Jan AC]]-Financials20263[[#This Row],[Jan FC]]</f>
        <v>0</v>
      </c>
      <c r="BD33" s="66">
        <f>Financials20263[[#This Row],[Feb AC]]-Financials20263[[#This Row],[Feb FC]]</f>
        <v>0</v>
      </c>
      <c r="BE33" s="66">
        <f>Financials20263[[#This Row],[Mar AC]]-Financials20263[[#This Row],[Mar FC]]</f>
        <v>0</v>
      </c>
      <c r="BF33" s="66">
        <f>Financials20263[[#This Row],[Apr AC]]-Financials20263[[#This Row],[Apr FC]]</f>
        <v>0</v>
      </c>
      <c r="BG33" s="66">
        <f>Financials20263[[#This Row],[May AC]]-Financials20263[[#This Row],[May FC]]</f>
        <v>-6720</v>
      </c>
      <c r="BH33" s="66">
        <f>Financials20263[[#This Row],[Jun AC]]-Financials20263[[#This Row],[Jun FC]]</f>
        <v>-10800</v>
      </c>
      <c r="BI33" s="66">
        <f>Financials20263[[#This Row],[Jul AC]]-Financials20263[[#This Row],[Jul FC]]</f>
        <v>-30720</v>
      </c>
      <c r="BJ33" s="66">
        <f>Financials20263[[#This Row],[Aug AC]]-Financials20263[[#This Row],[Aug FC]]</f>
        <v>-30720</v>
      </c>
      <c r="BK33" s="66">
        <f>Financials20263[[#This Row],[Sep AC]]-Financials20263[[#This Row],[Sep FC]]</f>
        <v>-30720</v>
      </c>
      <c r="BL33" s="66">
        <f>Financials20263[[#This Row],[Oct AC]]-Financials20263[[#This Row],[Oct FC]]</f>
        <v>-30720</v>
      </c>
      <c r="BM33" s="66">
        <f>Financials20263[[#This Row],[Nov AC]]-Financials20263[[#This Row],[Nov FC]]</f>
        <v>-30720</v>
      </c>
      <c r="BN33" s="66">
        <f>Financials20263[[#This Row],[Dec AC]]-Financials20263[[#This Row],[Dec FC]]</f>
        <v>-30720</v>
      </c>
      <c r="BO33" s="66">
        <f>SUM(Financials20263[[#This Row],[Jan Opp/Risk]:[Dec Opp./Risk]])</f>
        <v>-201840</v>
      </c>
      <c r="BP33" s="84" t="s">
        <v>434</v>
      </c>
      <c r="BQ33" s="44">
        <f>SUM(Financials20263[[#This Row],[Jan AC]:[Jun AC]])</f>
        <v>28560</v>
      </c>
      <c r="BR33" s="6">
        <f t="shared" si="6"/>
        <v>0</v>
      </c>
      <c r="BS33" s="6">
        <f>Financials20263[[#This Row],[Jul-Dec FC]]+Financials20263[[#This Row],[Pending Jan-Jun]]</f>
        <v>184320</v>
      </c>
      <c r="BT33" s="6"/>
      <c r="BU33" s="6"/>
      <c r="BV33" s="6"/>
    </row>
    <row r="34" spans="1:74" hidden="1">
      <c r="A34" s="20" t="s">
        <v>320</v>
      </c>
      <c r="B34" s="19" t="s">
        <v>219</v>
      </c>
      <c r="C34" s="19"/>
      <c r="D34" s="10" t="s">
        <v>364</v>
      </c>
      <c r="E34" s="7" t="s">
        <v>365</v>
      </c>
      <c r="F34" s="3" t="s">
        <v>366</v>
      </c>
      <c r="G34" s="3" t="s">
        <v>24</v>
      </c>
      <c r="H34" s="4">
        <v>44545</v>
      </c>
      <c r="I34" s="4">
        <v>46370</v>
      </c>
      <c r="J34" s="3" t="s">
        <v>435</v>
      </c>
      <c r="K34" s="3" t="str">
        <f t="shared" si="0"/>
        <v>Prj000290-Support - Asset Management Applications</v>
      </c>
      <c r="L34" s="19" t="s">
        <v>252</v>
      </c>
      <c r="M34" s="19" t="s">
        <v>16</v>
      </c>
      <c r="N34" s="19" t="s">
        <v>16</v>
      </c>
      <c r="O34" s="19" t="s">
        <v>436</v>
      </c>
      <c r="P34" s="19" t="s">
        <v>326</v>
      </c>
      <c r="Q34" s="19" t="s">
        <v>437</v>
      </c>
      <c r="R34" s="19" t="s">
        <v>437</v>
      </c>
      <c r="S34" s="19" t="s">
        <v>438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16">AO34+IF(ISBLANK(AP34),AB34,AP34)+IF(ISBLANK(AQ34),AC34,AQ34)+IF(ISBLANK(AR34),AD34,AR34)+IF(ISBLANK(AS34),AE34,AS34)+IF(ISBLANK(AT34),AF34,AT34)+IF(ISBLANK(AU34),AG34,AU34)</f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439</v>
      </c>
      <c r="AB34" s="47">
        <v>117486.73333333334</v>
      </c>
      <c r="AC34" s="47">
        <v>92793.753333333341</v>
      </c>
      <c r="AD34" s="47">
        <v>117939.75333333334</v>
      </c>
      <c r="AE34" s="47">
        <v>149042.80666666667</v>
      </c>
      <c r="AF34" s="47">
        <v>98639.296666666676</v>
      </c>
      <c r="AG34" s="47">
        <v>98639.296666666676</v>
      </c>
      <c r="AH34" s="43">
        <v>208501</v>
      </c>
      <c r="AI34" s="47"/>
      <c r="AJ34" s="47"/>
      <c r="AK34" s="43">
        <f>208501-50309</f>
        <v>158192</v>
      </c>
      <c r="AL34" s="47"/>
      <c r="AM34" s="47"/>
      <c r="AN34" s="47">
        <f>SUM(Financials20263[[#This Row],[Jan FC]:[Dec FC]])</f>
        <v>1041234.64</v>
      </c>
      <c r="AO34" s="15">
        <f>SUM(Financials20263[[#This Row],[Jul FC]:[Dec FC]])</f>
        <v>366693</v>
      </c>
      <c r="AP34" s="56">
        <f>(278381.26/3)+24692.98</f>
        <v>117486.73333333334</v>
      </c>
      <c r="AQ34" s="56">
        <f>278381.26/3</f>
        <v>92793.753333333341</v>
      </c>
      <c r="AR34" s="56">
        <f>(278381.26/3)+25146</f>
        <v>117939.75333333334</v>
      </c>
      <c r="AS34" s="56">
        <f>(295917.89/3)+25261.22+25142.29</f>
        <v>149042.80666666667</v>
      </c>
      <c r="AT34" s="56">
        <f>(295917.89/3)+25055.4+25253.6</f>
        <v>148948.29666666669</v>
      </c>
      <c r="AU34" s="56">
        <f>295917.89/3</f>
        <v>98639.296666666676</v>
      </c>
      <c r="AV34" s="56"/>
      <c r="AW34" s="56"/>
      <c r="AX34" s="56"/>
      <c r="AY34" s="56"/>
      <c r="AZ34" s="56"/>
      <c r="BA34" s="56"/>
      <c r="BB34" s="75">
        <f>SUM(Financials20263[[#This Row],[Jan AC]:[Dec AC]])</f>
        <v>724850.64000000013</v>
      </c>
      <c r="BC34" s="66">
        <f>Financials20263[[#This Row],[Jan AC]]-Financials20263[[#This Row],[Jan FC]]</f>
        <v>0</v>
      </c>
      <c r="BD34" s="66">
        <f>Financials20263[[#This Row],[Feb AC]]-Financials20263[[#This Row],[Feb FC]]</f>
        <v>0</v>
      </c>
      <c r="BE34" s="66">
        <f>Financials20263[[#This Row],[Mar AC]]-Financials20263[[#This Row],[Mar FC]]</f>
        <v>0</v>
      </c>
      <c r="BF34" s="66">
        <f>Financials20263[[#This Row],[Apr AC]]-Financials20263[[#This Row],[Apr FC]]</f>
        <v>0</v>
      </c>
      <c r="BG34" s="66">
        <f>Financials20263[[#This Row],[May AC]]-Financials20263[[#This Row],[May FC]]</f>
        <v>50309.000000000015</v>
      </c>
      <c r="BH34" s="66">
        <f>Financials20263[[#This Row],[Jun AC]]-Financials20263[[#This Row],[Jun FC]]</f>
        <v>0</v>
      </c>
      <c r="BI34" s="66">
        <f>Financials20263[[#This Row],[Jul AC]]-Financials20263[[#This Row],[Jul FC]]</f>
        <v>-208501</v>
      </c>
      <c r="BJ34" s="66">
        <f>Financials20263[[#This Row],[Aug AC]]-Financials20263[[#This Row],[Aug FC]]</f>
        <v>0</v>
      </c>
      <c r="BK34" s="66">
        <f>Financials20263[[#This Row],[Sep AC]]-Financials20263[[#This Row],[Sep FC]]</f>
        <v>0</v>
      </c>
      <c r="BL34" s="66">
        <f>Financials20263[[#This Row],[Oct AC]]-Financials20263[[#This Row],[Oct FC]]</f>
        <v>-158192</v>
      </c>
      <c r="BM34" s="66">
        <f>Financials20263[[#This Row],[Nov AC]]-Financials20263[[#This Row],[Nov FC]]</f>
        <v>0</v>
      </c>
      <c r="BN34" s="66">
        <f>Financials20263[[#This Row],[Dec AC]]-Financials20263[[#This Row],[Dec FC]]</f>
        <v>0</v>
      </c>
      <c r="BO34" s="66">
        <f>SUM(Financials20263[[#This Row],[Jan Opp/Risk]:[Dec Opp./Risk]])</f>
        <v>-316384</v>
      </c>
      <c r="BP34" s="82" t="s">
        <v>440</v>
      </c>
      <c r="BQ34" s="44">
        <f>SUM(Financials20263[[#This Row],[Jan AC]:[Jun AC]])</f>
        <v>724850.64000000013</v>
      </c>
      <c r="BR34" s="6">
        <f t="shared" ref="BR34:BR65" si="17">IF(OR(AP34="",AP34=0),AB34,0)+IF(OR(AQ34="",AQ34=0),AC34,0)+IF(OR(AR34="",AR34=0),AD34,0)+IF(OR(AS34="",AS34=0),AE34,0)+IF(OR(AT34="",AT34=0),AF34,0)+IF(OR(AU34="",AU34=0),AG34,0)</f>
        <v>0</v>
      </c>
      <c r="BS34" s="6">
        <f>Financials20263[[#This Row],[Jul-Dec FC]]+Financials20263[[#This Row],[Pending Jan-Jun]]</f>
        <v>366693</v>
      </c>
      <c r="BT34" s="6"/>
      <c r="BU34" s="6"/>
      <c r="BV34" s="6"/>
    </row>
    <row r="35" spans="1:74" hidden="1">
      <c r="A35" s="20" t="s">
        <v>320</v>
      </c>
      <c r="B35" s="19" t="s">
        <v>58</v>
      </c>
      <c r="C35" s="19" t="s">
        <v>441</v>
      </c>
      <c r="D35" s="10" t="s">
        <v>442</v>
      </c>
      <c r="E35" s="7" t="s">
        <v>443</v>
      </c>
      <c r="F35" s="3" t="s">
        <v>444</v>
      </c>
      <c r="G35" s="3" t="s">
        <v>22</v>
      </c>
      <c r="H35" s="4">
        <v>46037</v>
      </c>
      <c r="I35" s="4">
        <v>46401</v>
      </c>
      <c r="J35" s="3" t="s">
        <v>445</v>
      </c>
      <c r="K35" s="3" t="str">
        <f t="shared" si="0"/>
        <v>Prj000469-Support - Prod Support for Ops Apps</v>
      </c>
      <c r="L35" s="19" t="s">
        <v>252</v>
      </c>
      <c r="M35" s="19" t="s">
        <v>16</v>
      </c>
      <c r="N35" s="19" t="s">
        <v>16</v>
      </c>
      <c r="O35" s="19" t="s">
        <v>16</v>
      </c>
      <c r="P35" s="19" t="s">
        <v>326</v>
      </c>
      <c r="Q35" s="19" t="s">
        <v>437</v>
      </c>
      <c r="R35" s="19" t="s">
        <v>437</v>
      </c>
      <c r="S35" s="19" t="s">
        <v>328</v>
      </c>
      <c r="T35" s="5">
        <v>2866540</v>
      </c>
      <c r="U35" s="15">
        <v>3617396</v>
      </c>
      <c r="V35" s="15">
        <v>3617396</v>
      </c>
      <c r="W35" s="15">
        <f t="shared" si="16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446</v>
      </c>
      <c r="AB35" s="47">
        <v>333776.63</v>
      </c>
      <c r="AC35" s="47">
        <v>333776.63</v>
      </c>
      <c r="AD35" s="47">
        <v>333776.63</v>
      </c>
      <c r="AE35" s="47">
        <v>333776.63</v>
      </c>
      <c r="AF35" s="47">
        <v>333776.63</v>
      </c>
      <c r="AG35" s="47">
        <v>333776.63</v>
      </c>
      <c r="AH35" s="47">
        <v>333776.63</v>
      </c>
      <c r="AI35" s="47">
        <v>333776.63</v>
      </c>
      <c r="AJ35" s="47">
        <v>333776.63</v>
      </c>
      <c r="AK35" s="47">
        <v>333776.63</v>
      </c>
      <c r="AL35" s="47">
        <v>333776.63</v>
      </c>
      <c r="AM35" s="47">
        <v>333776.63</v>
      </c>
      <c r="AN35" s="47">
        <f>SUM(Financials20263[[#This Row],[Jan FC]:[Dec FC]])</f>
        <v>4005319.5599999991</v>
      </c>
      <c r="AO35" s="15">
        <f>SUM(Financials20263[[#This Row],[Jul FC]:[Dec FC]])</f>
        <v>2002659.7799999998</v>
      </c>
      <c r="AP35" s="56">
        <f>321.73+3713.72+54129.99+9990+333777</f>
        <v>401932.44</v>
      </c>
      <c r="AQ35" s="56">
        <f t="shared" ref="AQ35:BA35" si="18">4005319.56/12</f>
        <v>333776.63</v>
      </c>
      <c r="AR35" s="56">
        <f t="shared" si="18"/>
        <v>333776.63</v>
      </c>
      <c r="AS35" s="56">
        <f t="shared" si="18"/>
        <v>333776.63</v>
      </c>
      <c r="AT35" s="56">
        <f t="shared" si="18"/>
        <v>333776.63</v>
      </c>
      <c r="AU35" s="56">
        <f t="shared" si="18"/>
        <v>333776.63</v>
      </c>
      <c r="AV35" s="56">
        <f t="shared" si="18"/>
        <v>333776.63</v>
      </c>
      <c r="AW35" s="56">
        <f t="shared" si="18"/>
        <v>333776.63</v>
      </c>
      <c r="AX35" s="56">
        <f t="shared" si="18"/>
        <v>333776.63</v>
      </c>
      <c r="AY35" s="56">
        <f t="shared" si="18"/>
        <v>333776.63</v>
      </c>
      <c r="AZ35" s="56">
        <f t="shared" si="18"/>
        <v>333776.63</v>
      </c>
      <c r="BA35" s="56">
        <f t="shared" si="18"/>
        <v>333776.63</v>
      </c>
      <c r="BB35" s="75">
        <f>SUM(Financials20263[[#This Row],[Jan AC]:[Dec AC]])</f>
        <v>4073475.3699999992</v>
      </c>
      <c r="BC35" s="66">
        <f>Financials20263[[#This Row],[Jan AC]]-Financials20263[[#This Row],[Jan FC]]</f>
        <v>68155.81</v>
      </c>
      <c r="BD35" s="66">
        <f>Financials20263[[#This Row],[Feb AC]]-Financials20263[[#This Row],[Feb FC]]</f>
        <v>0</v>
      </c>
      <c r="BE35" s="66">
        <f>Financials20263[[#This Row],[Mar AC]]-Financials20263[[#This Row],[Mar FC]]</f>
        <v>0</v>
      </c>
      <c r="BF35" s="66">
        <f>Financials20263[[#This Row],[Apr AC]]-Financials20263[[#This Row],[Apr FC]]</f>
        <v>0</v>
      </c>
      <c r="BG35" s="66">
        <f>Financials20263[[#This Row],[May AC]]-Financials20263[[#This Row],[May FC]]</f>
        <v>0</v>
      </c>
      <c r="BH35" s="66">
        <f>Financials20263[[#This Row],[Jun AC]]-Financials20263[[#This Row],[Jun FC]]</f>
        <v>0</v>
      </c>
      <c r="BI35" s="66">
        <f>Financials20263[[#This Row],[Jul AC]]-Financials20263[[#This Row],[Jul FC]]</f>
        <v>0</v>
      </c>
      <c r="BJ35" s="66">
        <f>Financials20263[[#This Row],[Aug AC]]-Financials20263[[#This Row],[Aug FC]]</f>
        <v>0</v>
      </c>
      <c r="BK35" s="66">
        <f>Financials20263[[#This Row],[Sep AC]]-Financials20263[[#This Row],[Sep FC]]</f>
        <v>0</v>
      </c>
      <c r="BL35" s="66">
        <f>Financials20263[[#This Row],[Oct AC]]-Financials20263[[#This Row],[Oct FC]]</f>
        <v>0</v>
      </c>
      <c r="BM35" s="66">
        <f>Financials20263[[#This Row],[Nov AC]]-Financials20263[[#This Row],[Nov FC]]</f>
        <v>0</v>
      </c>
      <c r="BN35" s="66">
        <f>Financials20263[[#This Row],[Dec AC]]-Financials20263[[#This Row],[Dec FC]]</f>
        <v>0</v>
      </c>
      <c r="BO35" s="66">
        <f>SUM(Financials20263[[#This Row],[Jan Opp/Risk]:[Dec Opp./Risk]])</f>
        <v>68155.81</v>
      </c>
      <c r="BP35" s="82" t="s">
        <v>447</v>
      </c>
      <c r="BQ35" s="44">
        <f>SUM(Financials20263[[#This Row],[Jan AC]:[Jun AC]])</f>
        <v>2070815.5899999999</v>
      </c>
      <c r="BR35" s="6">
        <f t="shared" si="17"/>
        <v>0</v>
      </c>
      <c r="BS35" s="6">
        <f>Financials20263[[#This Row],[Jul-Dec FC]]+Financials20263[[#This Row],[Pending Jan-Jun]]</f>
        <v>2002659.7799999998</v>
      </c>
      <c r="BT35" s="6"/>
      <c r="BU35" s="6"/>
      <c r="BV35" s="6"/>
    </row>
    <row r="36" spans="1:74" hidden="1">
      <c r="A36" s="20" t="s">
        <v>320</v>
      </c>
      <c r="B36" s="19" t="s">
        <v>44</v>
      </c>
      <c r="C36" s="19" t="s">
        <v>448</v>
      </c>
      <c r="D36" s="10" t="s">
        <v>449</v>
      </c>
      <c r="E36" s="7" t="s">
        <v>450</v>
      </c>
      <c r="F36" s="3" t="s">
        <v>451</v>
      </c>
      <c r="G36" s="3" t="s">
        <v>20</v>
      </c>
      <c r="H36" s="4">
        <v>45968</v>
      </c>
      <c r="I36" s="4">
        <v>46332</v>
      </c>
      <c r="J36" s="3" t="s">
        <v>452</v>
      </c>
      <c r="K36" s="3" t="str">
        <f t="shared" si="0"/>
        <v>Prj000458-Support - Data Analytics Office</v>
      </c>
      <c r="L36" s="19" t="s">
        <v>252</v>
      </c>
      <c r="M36" s="19" t="s">
        <v>16</v>
      </c>
      <c r="N36" s="19" t="s">
        <v>16</v>
      </c>
      <c r="O36" s="19" t="s">
        <v>16</v>
      </c>
      <c r="P36" s="19" t="s">
        <v>326</v>
      </c>
      <c r="Q36" s="19" t="s">
        <v>437</v>
      </c>
      <c r="R36" s="19" t="s">
        <v>437</v>
      </c>
      <c r="S36" s="19" t="s">
        <v>328</v>
      </c>
      <c r="T36" s="5">
        <v>889688</v>
      </c>
      <c r="U36" s="15">
        <v>1051185.52165</v>
      </c>
      <c r="V36" s="15">
        <v>1051185.52165</v>
      </c>
      <c r="W36" s="15">
        <f t="shared" si="16"/>
        <v>1051185.8999999999</v>
      </c>
      <c r="X36" s="15">
        <f t="shared" si="7"/>
        <v>0</v>
      </c>
      <c r="Y36" s="15">
        <f t="shared" si="2"/>
        <v>0.37834999989718199</v>
      </c>
      <c r="Z36" s="15">
        <f>SUM(Financials20263[[#This Row],[2026 Opportunity]:[2026 Risk]])</f>
        <v>0.37834999989718199</v>
      </c>
      <c r="AA36" s="3" t="s">
        <v>453</v>
      </c>
      <c r="AB36" s="47">
        <v>103138.49</v>
      </c>
      <c r="AC36" s="47">
        <v>81363.490000000005</v>
      </c>
      <c r="AD36" s="47">
        <v>81363.490000000005</v>
      </c>
      <c r="AE36" s="47">
        <v>81363.490000000005</v>
      </c>
      <c r="AF36" s="47">
        <v>81363.490000000005</v>
      </c>
      <c r="AG36" s="47">
        <v>81363.490000000005</v>
      </c>
      <c r="AH36" s="47">
        <v>81363.490000000005</v>
      </c>
      <c r="AI36" s="47">
        <v>81363.490000000005</v>
      </c>
      <c r="AJ36" s="47">
        <v>81363.490000000005</v>
      </c>
      <c r="AK36" s="47">
        <v>81363.490000000005</v>
      </c>
      <c r="AL36" s="46"/>
      <c r="AM36" s="46">
        <v>215776</v>
      </c>
      <c r="AN36" s="72">
        <f>SUM(Financials20263[[#This Row],[Jan FC]:[Dec FC]])</f>
        <v>1051185.8999999999</v>
      </c>
      <c r="AO36" s="15">
        <f>SUM(Financials20263[[#This Row],[Jul FC]:[Dec FC]])</f>
        <v>541229.96</v>
      </c>
      <c r="AP36" s="56">
        <f>81363.49+21775</f>
        <v>103138.49</v>
      </c>
      <c r="AQ36" s="56">
        <v>81363.490000000005</v>
      </c>
      <c r="AR36" s="56">
        <v>81363.490000000005</v>
      </c>
      <c r="AS36" s="56">
        <v>81363.490000000005</v>
      </c>
      <c r="AT36" s="56">
        <v>81363.490000000005</v>
      </c>
      <c r="AU36" s="56">
        <v>81363.490000000005</v>
      </c>
      <c r="AV36" s="56">
        <v>81363.490000000005</v>
      </c>
      <c r="AW36" s="56">
        <v>81363.490000000005</v>
      </c>
      <c r="AX36" s="56">
        <v>81363.490000000005</v>
      </c>
      <c r="AY36" s="56">
        <v>81363.490000000005</v>
      </c>
      <c r="AZ36" s="55"/>
      <c r="BA36" s="55"/>
      <c r="BB36" s="74">
        <f>SUM(Financials20263[[#This Row],[Jan AC]:[Dec AC]])</f>
        <v>835409.9</v>
      </c>
      <c r="BC36" s="66">
        <f>Financials20263[[#This Row],[Jan AC]]-Financials20263[[#This Row],[Jan FC]]</f>
        <v>0</v>
      </c>
      <c r="BD36" s="66">
        <f>Financials20263[[#This Row],[Feb AC]]-Financials20263[[#This Row],[Feb FC]]</f>
        <v>0</v>
      </c>
      <c r="BE36" s="66">
        <f>Financials20263[[#This Row],[Mar AC]]-Financials20263[[#This Row],[Mar FC]]</f>
        <v>0</v>
      </c>
      <c r="BF36" s="66">
        <f>Financials20263[[#This Row],[Apr AC]]-Financials20263[[#This Row],[Apr FC]]</f>
        <v>0</v>
      </c>
      <c r="BG36" s="66">
        <f>Financials20263[[#This Row],[May AC]]-Financials20263[[#This Row],[May FC]]</f>
        <v>0</v>
      </c>
      <c r="BH36" s="66">
        <f>Financials20263[[#This Row],[Jun AC]]-Financials20263[[#This Row],[Jun FC]]</f>
        <v>0</v>
      </c>
      <c r="BI36" s="66">
        <f>Financials20263[[#This Row],[Jul AC]]-Financials20263[[#This Row],[Jul FC]]</f>
        <v>0</v>
      </c>
      <c r="BJ36" s="66">
        <f>Financials20263[[#This Row],[Aug AC]]-Financials20263[[#This Row],[Aug FC]]</f>
        <v>0</v>
      </c>
      <c r="BK36" s="66">
        <f>Financials20263[[#This Row],[Sep AC]]-Financials20263[[#This Row],[Sep FC]]</f>
        <v>0</v>
      </c>
      <c r="BL36" s="66">
        <f>Financials20263[[#This Row],[Oct AC]]-Financials20263[[#This Row],[Oct FC]]</f>
        <v>0</v>
      </c>
      <c r="BM36" s="66">
        <f>Financials20263[[#This Row],[Nov AC]]-Financials20263[[#This Row],[Nov FC]]</f>
        <v>0</v>
      </c>
      <c r="BN36" s="66">
        <f>Financials20263[[#This Row],[Dec AC]]-Financials20263[[#This Row],[Dec FC]]</f>
        <v>-215776</v>
      </c>
      <c r="BO36" s="66">
        <f>SUM(Financials20263[[#This Row],[Jan Opp/Risk]:[Dec Opp./Risk]])</f>
        <v>-215776</v>
      </c>
      <c r="BP36" s="82" t="s">
        <v>377</v>
      </c>
      <c r="BQ36" s="44">
        <f>SUM(Financials20263[[#This Row],[Jan AC]:[Jun AC]])</f>
        <v>509955.94</v>
      </c>
      <c r="BR36" s="6">
        <f t="shared" si="17"/>
        <v>0</v>
      </c>
      <c r="BS36" s="6">
        <f>Financials20263[[#This Row],[Jul-Dec FC]]+Financials20263[[#This Row],[Pending Jan-Jun]]</f>
        <v>541229.96</v>
      </c>
      <c r="BT36" s="6"/>
      <c r="BU36" s="6"/>
      <c r="BV36" s="6"/>
    </row>
    <row r="37" spans="1:74" hidden="1">
      <c r="A37" s="20" t="s">
        <v>320</v>
      </c>
      <c r="B37" s="19" t="s">
        <v>44</v>
      </c>
      <c r="C37" s="19" t="s">
        <v>448</v>
      </c>
      <c r="D37" s="10" t="s">
        <v>454</v>
      </c>
      <c r="E37" s="7" t="s">
        <v>455</v>
      </c>
      <c r="F37" s="3" t="s">
        <v>451</v>
      </c>
      <c r="G37" s="3" t="s">
        <v>20</v>
      </c>
      <c r="H37" s="4">
        <v>45839</v>
      </c>
      <c r="I37" s="4">
        <v>46203</v>
      </c>
      <c r="J37" s="3" t="s">
        <v>456</v>
      </c>
      <c r="K37" s="3" t="str">
        <f t="shared" si="0"/>
        <v>Prj000548-Implement - Reporting for Internal Audit</v>
      </c>
      <c r="L37" s="19" t="s">
        <v>252</v>
      </c>
      <c r="M37" s="19" t="s">
        <v>16</v>
      </c>
      <c r="N37" s="19" t="s">
        <v>16</v>
      </c>
      <c r="O37" s="19"/>
      <c r="P37" s="19" t="s">
        <v>326</v>
      </c>
      <c r="Q37" s="19" t="s">
        <v>437</v>
      </c>
      <c r="R37" s="19" t="s">
        <v>437</v>
      </c>
      <c r="S37" s="19" t="s">
        <v>328</v>
      </c>
      <c r="T37" s="5">
        <v>100000</v>
      </c>
      <c r="U37" s="15">
        <v>200000</v>
      </c>
      <c r="V37" s="15">
        <v>200000</v>
      </c>
      <c r="W37" s="15">
        <f t="shared" si="16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457</v>
      </c>
      <c r="AB37" s="47">
        <f t="shared" ref="AB37:AU37" si="19">200000/12</f>
        <v>16666.666666666668</v>
      </c>
      <c r="AC37" s="47">
        <f t="shared" si="19"/>
        <v>16666.666666666668</v>
      </c>
      <c r="AD37" s="47">
        <f t="shared" si="19"/>
        <v>16666.666666666668</v>
      </c>
      <c r="AE37" s="47">
        <f t="shared" si="19"/>
        <v>16666.666666666668</v>
      </c>
      <c r="AF37" s="47">
        <f t="shared" si="19"/>
        <v>16666.666666666668</v>
      </c>
      <c r="AG37" s="47">
        <f t="shared" si="19"/>
        <v>16666.666666666668</v>
      </c>
      <c r="AH37" s="47">
        <f t="shared" si="19"/>
        <v>16666.666666666668</v>
      </c>
      <c r="AI37" s="47">
        <f t="shared" si="19"/>
        <v>16666.666666666668</v>
      </c>
      <c r="AJ37" s="47">
        <f t="shared" si="19"/>
        <v>16666.666666666668</v>
      </c>
      <c r="AK37" s="47">
        <f t="shared" si="19"/>
        <v>16666.666666666668</v>
      </c>
      <c r="AL37" s="47">
        <f t="shared" si="19"/>
        <v>16666.666666666668</v>
      </c>
      <c r="AM37" s="47">
        <f t="shared" si="19"/>
        <v>16666.666666666668</v>
      </c>
      <c r="AN37" s="47">
        <f>SUM(Financials20263[[#This Row],[Jan FC]:[Dec FC]])</f>
        <v>199999.99999999997</v>
      </c>
      <c r="AO37" s="15">
        <f>SUM(Financials20263[[#This Row],[Jul FC]:[Dec FC]])</f>
        <v>100000.00000000001</v>
      </c>
      <c r="AP37" s="56">
        <f t="shared" si="19"/>
        <v>16666.666666666668</v>
      </c>
      <c r="AQ37" s="56">
        <f t="shared" si="19"/>
        <v>16666.666666666668</v>
      </c>
      <c r="AR37" s="56">
        <f t="shared" si="19"/>
        <v>16666.666666666668</v>
      </c>
      <c r="AS37" s="56">
        <f t="shared" si="19"/>
        <v>16666.666666666668</v>
      </c>
      <c r="AT37" s="56">
        <f t="shared" si="19"/>
        <v>16666.666666666668</v>
      </c>
      <c r="AU37" s="56">
        <f t="shared" si="19"/>
        <v>16666.666666666668</v>
      </c>
      <c r="AV37" s="56"/>
      <c r="AW37" s="56"/>
      <c r="AX37" s="56"/>
      <c r="AY37" s="56"/>
      <c r="AZ37" s="56"/>
      <c r="BA37" s="56"/>
      <c r="BB37" s="75">
        <f>SUM(Financials20263[[#This Row],[Jan AC]:[Dec AC]])</f>
        <v>100000.00000000001</v>
      </c>
      <c r="BC37" s="66">
        <f>Financials20263[[#This Row],[Jan AC]]-Financials20263[[#This Row],[Jan FC]]</f>
        <v>0</v>
      </c>
      <c r="BD37" s="66">
        <f>Financials20263[[#This Row],[Feb AC]]-Financials20263[[#This Row],[Feb FC]]</f>
        <v>0</v>
      </c>
      <c r="BE37" s="66">
        <f>Financials20263[[#This Row],[Mar AC]]-Financials20263[[#This Row],[Mar FC]]</f>
        <v>0</v>
      </c>
      <c r="BF37" s="66">
        <f>Financials20263[[#This Row],[Apr AC]]-Financials20263[[#This Row],[Apr FC]]</f>
        <v>0</v>
      </c>
      <c r="BG37" s="66">
        <f>Financials20263[[#This Row],[May AC]]-Financials20263[[#This Row],[May FC]]</f>
        <v>0</v>
      </c>
      <c r="BH37" s="66">
        <f>Financials20263[[#This Row],[Jun AC]]-Financials20263[[#This Row],[Jun FC]]</f>
        <v>0</v>
      </c>
      <c r="BI37" s="66">
        <f>Financials20263[[#This Row],[Jul AC]]-Financials20263[[#This Row],[Jul FC]]</f>
        <v>-16666.666666666668</v>
      </c>
      <c r="BJ37" s="66">
        <f>Financials20263[[#This Row],[Aug AC]]-Financials20263[[#This Row],[Aug FC]]</f>
        <v>-16666.666666666668</v>
      </c>
      <c r="BK37" s="66">
        <f>Financials20263[[#This Row],[Sep AC]]-Financials20263[[#This Row],[Sep FC]]</f>
        <v>-16666.666666666668</v>
      </c>
      <c r="BL37" s="66">
        <f>Financials20263[[#This Row],[Oct AC]]-Financials20263[[#This Row],[Oct FC]]</f>
        <v>-16666.666666666668</v>
      </c>
      <c r="BM37" s="66">
        <f>Financials20263[[#This Row],[Nov AC]]-Financials20263[[#This Row],[Nov FC]]</f>
        <v>-16666.666666666668</v>
      </c>
      <c r="BN37" s="66">
        <f>Financials20263[[#This Row],[Dec AC]]-Financials20263[[#This Row],[Dec FC]]</f>
        <v>-16666.666666666668</v>
      </c>
      <c r="BO37" s="66">
        <f>SUM(Financials20263[[#This Row],[Jan Opp/Risk]:[Dec Opp./Risk]])</f>
        <v>-100000.00000000001</v>
      </c>
      <c r="BP37" s="82"/>
      <c r="BQ37" s="44">
        <f>SUM(Financials20263[[#This Row],[Jan AC]:[Jun AC]])</f>
        <v>100000.00000000001</v>
      </c>
      <c r="BR37" s="6">
        <f t="shared" si="17"/>
        <v>0</v>
      </c>
      <c r="BS37" s="6">
        <f>Financials20263[[#This Row],[Jul-Dec FC]]+Financials20263[[#This Row],[Pending Jan-Jun]]</f>
        <v>100000.00000000001</v>
      </c>
      <c r="BT37" s="6"/>
      <c r="BU37" s="6"/>
      <c r="BV37" s="6"/>
    </row>
    <row r="38" spans="1:74" hidden="1">
      <c r="A38" s="20" t="s">
        <v>320</v>
      </c>
      <c r="B38" s="19" t="s">
        <v>44</v>
      </c>
      <c r="C38" s="19" t="s">
        <v>448</v>
      </c>
      <c r="D38" s="10" t="s">
        <v>449</v>
      </c>
      <c r="E38" s="7" t="s">
        <v>450</v>
      </c>
      <c r="F38" s="3" t="s">
        <v>451</v>
      </c>
      <c r="G38" s="3" t="s">
        <v>20</v>
      </c>
      <c r="H38" s="4">
        <v>46143</v>
      </c>
      <c r="I38" s="4">
        <v>46507</v>
      </c>
      <c r="J38" s="3" t="s">
        <v>456</v>
      </c>
      <c r="K38" s="3" t="str">
        <f t="shared" si="0"/>
        <v>Prj000458-Support - Data Analytics Office</v>
      </c>
      <c r="L38" s="19" t="s">
        <v>252</v>
      </c>
      <c r="M38" s="19" t="s">
        <v>16</v>
      </c>
      <c r="N38" s="19" t="s">
        <v>16</v>
      </c>
      <c r="O38" s="19" t="s">
        <v>16</v>
      </c>
      <c r="P38" s="19" t="s">
        <v>326</v>
      </c>
      <c r="Q38" s="19" t="s">
        <v>437</v>
      </c>
      <c r="R38" s="19" t="s">
        <v>437</v>
      </c>
      <c r="S38" s="19" t="s">
        <v>328</v>
      </c>
      <c r="T38" s="5">
        <v>66666.666666666672</v>
      </c>
      <c r="U38" s="15">
        <v>100000</v>
      </c>
      <c r="V38" s="15">
        <v>100000</v>
      </c>
      <c r="W38" s="15">
        <f t="shared" si="16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458</v>
      </c>
      <c r="AB38" s="47">
        <f>100000/12</f>
        <v>8333.3333333333339</v>
      </c>
      <c r="AC38" s="47">
        <f>100000/12</f>
        <v>8333.3333333333339</v>
      </c>
      <c r="AD38" s="47">
        <f>100000/12</f>
        <v>8333.3333333333339</v>
      </c>
      <c r="AE38" s="47">
        <f>100000/12</f>
        <v>8333.3333333333339</v>
      </c>
      <c r="AF38" s="47">
        <f>100000/12</f>
        <v>8333.3333333333339</v>
      </c>
      <c r="AG38" s="47">
        <f t="shared" ref="AG38:AM38" si="20">+AF38</f>
        <v>8333.3333333333339</v>
      </c>
      <c r="AH38" s="47">
        <f t="shared" si="20"/>
        <v>8333.3333333333339</v>
      </c>
      <c r="AI38" s="47">
        <f t="shared" si="20"/>
        <v>8333.3333333333339</v>
      </c>
      <c r="AJ38" s="47">
        <f t="shared" si="20"/>
        <v>8333.3333333333339</v>
      </c>
      <c r="AK38" s="47">
        <f t="shared" si="20"/>
        <v>8333.3333333333339</v>
      </c>
      <c r="AL38" s="47">
        <f t="shared" si="20"/>
        <v>8333.3333333333339</v>
      </c>
      <c r="AM38" s="47">
        <f t="shared" si="20"/>
        <v>8333.3333333333339</v>
      </c>
      <c r="AN38" s="47">
        <f>SUM(Financials20263[[#This Row],[Jan FC]:[Dec FC]])</f>
        <v>99999.999999999985</v>
      </c>
      <c r="AO38" s="15">
        <f>SUM(Financials20263[[#This Row],[Jul FC]:[Dec FC]])</f>
        <v>50000.000000000007</v>
      </c>
      <c r="AP38" s="56">
        <f>100000/12</f>
        <v>8333.3333333333339</v>
      </c>
      <c r="AQ38" s="56">
        <f>100000/12</f>
        <v>8333.3333333333339</v>
      </c>
      <c r="AR38" s="56">
        <f>100000/12</f>
        <v>8333.3333333333339</v>
      </c>
      <c r="AS38" s="56">
        <f>100000/12</f>
        <v>8333.3333333333339</v>
      </c>
      <c r="AT38" s="56">
        <f>100000/12</f>
        <v>8333.3333333333339</v>
      </c>
      <c r="AU38" s="56">
        <f t="shared" ref="AU38:BA38" si="21">+AT38</f>
        <v>8333.3333333333339</v>
      </c>
      <c r="AV38" s="56">
        <f t="shared" si="21"/>
        <v>8333.3333333333339</v>
      </c>
      <c r="AW38" s="56">
        <f t="shared" si="21"/>
        <v>8333.3333333333339</v>
      </c>
      <c r="AX38" s="56">
        <f t="shared" si="21"/>
        <v>8333.3333333333339</v>
      </c>
      <c r="AY38" s="56">
        <f t="shared" si="21"/>
        <v>8333.3333333333339</v>
      </c>
      <c r="AZ38" s="56">
        <f t="shared" si="21"/>
        <v>8333.3333333333339</v>
      </c>
      <c r="BA38" s="56">
        <f t="shared" si="21"/>
        <v>8333.3333333333339</v>
      </c>
      <c r="BB38" s="75">
        <f>SUM(Financials20263[[#This Row],[Jan AC]:[Dec AC]])</f>
        <v>99999.999999999985</v>
      </c>
      <c r="BC38" s="66">
        <f>Financials20263[[#This Row],[Jan AC]]-Financials20263[[#This Row],[Jan FC]]</f>
        <v>0</v>
      </c>
      <c r="BD38" s="66">
        <f>Financials20263[[#This Row],[Feb AC]]-Financials20263[[#This Row],[Feb FC]]</f>
        <v>0</v>
      </c>
      <c r="BE38" s="66">
        <f>Financials20263[[#This Row],[Mar AC]]-Financials20263[[#This Row],[Mar FC]]</f>
        <v>0</v>
      </c>
      <c r="BF38" s="66">
        <f>Financials20263[[#This Row],[Apr AC]]-Financials20263[[#This Row],[Apr FC]]</f>
        <v>0</v>
      </c>
      <c r="BG38" s="66">
        <f>Financials20263[[#This Row],[May AC]]-Financials20263[[#This Row],[May FC]]</f>
        <v>0</v>
      </c>
      <c r="BH38" s="66">
        <f>Financials20263[[#This Row],[Jun AC]]-Financials20263[[#This Row],[Jun FC]]</f>
        <v>0</v>
      </c>
      <c r="BI38" s="66">
        <f>Financials20263[[#This Row],[Jul AC]]-Financials20263[[#This Row],[Jul FC]]</f>
        <v>0</v>
      </c>
      <c r="BJ38" s="66">
        <f>Financials20263[[#This Row],[Aug AC]]-Financials20263[[#This Row],[Aug FC]]</f>
        <v>0</v>
      </c>
      <c r="BK38" s="66">
        <f>Financials20263[[#This Row],[Sep AC]]-Financials20263[[#This Row],[Sep FC]]</f>
        <v>0</v>
      </c>
      <c r="BL38" s="66">
        <f>Financials20263[[#This Row],[Oct AC]]-Financials20263[[#This Row],[Oct FC]]</f>
        <v>0</v>
      </c>
      <c r="BM38" s="66">
        <f>Financials20263[[#This Row],[Nov AC]]-Financials20263[[#This Row],[Nov FC]]</f>
        <v>0</v>
      </c>
      <c r="BN38" s="66">
        <f>Financials20263[[#This Row],[Dec AC]]-Financials20263[[#This Row],[Dec FC]]</f>
        <v>0</v>
      </c>
      <c r="BO38" s="66">
        <f>SUM(Financials20263[[#This Row],[Jan Opp/Risk]:[Dec Opp./Risk]])</f>
        <v>0</v>
      </c>
      <c r="BP38" s="82"/>
      <c r="BQ38" s="44">
        <f>SUM(Financials20263[[#This Row],[Jan AC]:[Jun AC]])</f>
        <v>50000.000000000007</v>
      </c>
      <c r="BR38" s="6">
        <f t="shared" si="17"/>
        <v>0</v>
      </c>
      <c r="BS38" s="6">
        <f>Financials20263[[#This Row],[Jul-Dec FC]]+Financials20263[[#This Row],[Pending Jan-Jun]]</f>
        <v>50000.000000000007</v>
      </c>
      <c r="BT38" s="6"/>
      <c r="BU38" s="6"/>
      <c r="BV38" s="6"/>
    </row>
    <row r="39" spans="1:74" hidden="1">
      <c r="A39" s="20" t="s">
        <v>320</v>
      </c>
      <c r="B39" s="19" t="s">
        <v>246</v>
      </c>
      <c r="C39" s="19"/>
      <c r="D39" s="10" t="s">
        <v>459</v>
      </c>
      <c r="E39" s="7" t="s">
        <v>460</v>
      </c>
      <c r="F39" s="3" t="s">
        <v>335</v>
      </c>
      <c r="G39" s="3" t="s">
        <v>25</v>
      </c>
      <c r="H39" s="4">
        <v>46082</v>
      </c>
      <c r="I39" s="4">
        <v>46446</v>
      </c>
      <c r="J39" s="3" t="s">
        <v>461</v>
      </c>
      <c r="K39" s="3" t="str">
        <f t="shared" si="0"/>
        <v>Prj000446-Implement - Minor Enhancements for Enterprise Apps</v>
      </c>
      <c r="L39" s="19" t="s">
        <v>252</v>
      </c>
      <c r="M39" s="19" t="s">
        <v>16</v>
      </c>
      <c r="N39" s="19" t="s">
        <v>16</v>
      </c>
      <c r="O39" s="19" t="s">
        <v>16</v>
      </c>
      <c r="P39" s="19" t="s">
        <v>326</v>
      </c>
      <c r="Q39" s="19" t="s">
        <v>437</v>
      </c>
      <c r="R39" s="19" t="s">
        <v>437</v>
      </c>
      <c r="S39" s="19" t="s">
        <v>328</v>
      </c>
      <c r="T39" s="5">
        <v>464992</v>
      </c>
      <c r="U39" s="15">
        <v>440671.35000000003</v>
      </c>
      <c r="V39" s="15">
        <v>440671.35000000003</v>
      </c>
      <c r="W39" s="15">
        <f t="shared" si="16"/>
        <v>440671.00000000012</v>
      </c>
      <c r="X39" s="15">
        <f t="shared" si="7"/>
        <v>-0.34999999991850927</v>
      </c>
      <c r="Y39" s="15">
        <f t="shared" si="2"/>
        <v>0</v>
      </c>
      <c r="Z39" s="15">
        <f>SUM(Financials20263[[#This Row],[2026 Opportunity]:[2026 Risk]])</f>
        <v>-0.34999999991850927</v>
      </c>
      <c r="AA39" s="3" t="s">
        <v>462</v>
      </c>
      <c r="AB39" s="47"/>
      <c r="AC39" s="47"/>
      <c r="AD39" s="47">
        <f t="shared" ref="AD39:AL39" si="22">434810.4/12</f>
        <v>36234.200000000004</v>
      </c>
      <c r="AE39" s="47">
        <f t="shared" si="22"/>
        <v>36234.200000000004</v>
      </c>
      <c r="AF39" s="47">
        <f t="shared" si="22"/>
        <v>36234.200000000004</v>
      </c>
      <c r="AG39" s="47">
        <f t="shared" si="22"/>
        <v>36234.200000000004</v>
      </c>
      <c r="AH39" s="47">
        <f t="shared" si="22"/>
        <v>36234.200000000004</v>
      </c>
      <c r="AI39" s="47">
        <f t="shared" si="22"/>
        <v>36234.200000000004</v>
      </c>
      <c r="AJ39" s="47">
        <f t="shared" si="22"/>
        <v>36234.200000000004</v>
      </c>
      <c r="AK39" s="47">
        <f t="shared" si="22"/>
        <v>36234.200000000004</v>
      </c>
      <c r="AL39" s="47">
        <f t="shared" si="22"/>
        <v>36234.200000000004</v>
      </c>
      <c r="AM39" s="80">
        <f>(434810.4/12)+78329</f>
        <v>114563.20000000001</v>
      </c>
      <c r="AN39" s="47">
        <f>SUM(Financials20263[[#This Row],[Jan FC]:[Dec FC]])</f>
        <v>440671.00000000006</v>
      </c>
      <c r="AO39" s="15">
        <f>SUM(Financials20263[[#This Row],[Jul FC]:[Dec FC]])</f>
        <v>295734.20000000007</v>
      </c>
      <c r="AP39" s="56"/>
      <c r="AQ39" s="56"/>
      <c r="AR39" s="56">
        <f t="shared" ref="AR39:BA39" si="23">434810.4/12</f>
        <v>36234.200000000004</v>
      </c>
      <c r="AS39" s="56">
        <f t="shared" si="23"/>
        <v>36234.200000000004</v>
      </c>
      <c r="AT39" s="56">
        <f t="shared" si="23"/>
        <v>36234.200000000004</v>
      </c>
      <c r="AU39" s="56">
        <f t="shared" si="23"/>
        <v>36234.200000000004</v>
      </c>
      <c r="AV39" s="56">
        <f t="shared" si="23"/>
        <v>36234.200000000004</v>
      </c>
      <c r="AW39" s="56">
        <f t="shared" si="23"/>
        <v>36234.200000000004</v>
      </c>
      <c r="AX39" s="56">
        <f t="shared" si="23"/>
        <v>36234.200000000004</v>
      </c>
      <c r="AY39" s="56">
        <f t="shared" si="23"/>
        <v>36234.200000000004</v>
      </c>
      <c r="AZ39" s="56">
        <f t="shared" si="23"/>
        <v>36234.200000000004</v>
      </c>
      <c r="BA39" s="56">
        <f t="shared" si="23"/>
        <v>36234.200000000004</v>
      </c>
      <c r="BB39" s="75">
        <f>SUM(Financials20263[[#This Row],[Jan AC]:[Dec AC]])</f>
        <v>362342.00000000006</v>
      </c>
      <c r="BC39" s="66">
        <f>Financials20263[[#This Row],[Jan AC]]-Financials20263[[#This Row],[Jan FC]]</f>
        <v>0</v>
      </c>
      <c r="BD39" s="66">
        <f>Financials20263[[#This Row],[Feb AC]]-Financials20263[[#This Row],[Feb FC]]</f>
        <v>0</v>
      </c>
      <c r="BE39" s="66">
        <f>Financials20263[[#This Row],[Mar AC]]-Financials20263[[#This Row],[Mar FC]]</f>
        <v>0</v>
      </c>
      <c r="BF39" s="66">
        <f>Financials20263[[#This Row],[Apr AC]]-Financials20263[[#This Row],[Apr FC]]</f>
        <v>0</v>
      </c>
      <c r="BG39" s="66">
        <f>Financials20263[[#This Row],[May AC]]-Financials20263[[#This Row],[May FC]]</f>
        <v>0</v>
      </c>
      <c r="BH39" s="66">
        <f>Financials20263[[#This Row],[Jun AC]]-Financials20263[[#This Row],[Jun FC]]</f>
        <v>0</v>
      </c>
      <c r="BI39" s="66">
        <f>Financials20263[[#This Row],[Jul AC]]-Financials20263[[#This Row],[Jul FC]]</f>
        <v>0</v>
      </c>
      <c r="BJ39" s="66">
        <f>Financials20263[[#This Row],[Aug AC]]-Financials20263[[#This Row],[Aug FC]]</f>
        <v>0</v>
      </c>
      <c r="BK39" s="66">
        <f>Financials20263[[#This Row],[Sep AC]]-Financials20263[[#This Row],[Sep FC]]</f>
        <v>0</v>
      </c>
      <c r="BL39" s="66">
        <f>Financials20263[[#This Row],[Oct AC]]-Financials20263[[#This Row],[Oct FC]]</f>
        <v>0</v>
      </c>
      <c r="BM39" s="66">
        <f>Financials20263[[#This Row],[Nov AC]]-Financials20263[[#This Row],[Nov FC]]</f>
        <v>0</v>
      </c>
      <c r="BN39" s="66">
        <f>Financials20263[[#This Row],[Dec AC]]-Financials20263[[#This Row],[Dec FC]]</f>
        <v>-78329</v>
      </c>
      <c r="BO39" s="66">
        <f>SUM(Financials20263[[#This Row],[Jan Opp/Risk]:[Dec Opp./Risk]])</f>
        <v>-78329</v>
      </c>
      <c r="BP39" s="82" t="s">
        <v>463</v>
      </c>
      <c r="BQ39" s="44">
        <f>SUM(Financials20263[[#This Row],[Jan AC]:[Jun AC]])</f>
        <v>144936.80000000002</v>
      </c>
      <c r="BR39" s="6">
        <f t="shared" si="17"/>
        <v>0</v>
      </c>
      <c r="BS39" s="6">
        <f>Financials20263[[#This Row],[Jul-Dec FC]]+Financials20263[[#This Row],[Pending Jan-Jun]]</f>
        <v>295734.20000000007</v>
      </c>
      <c r="BT39" s="6"/>
      <c r="BU39" s="6"/>
      <c r="BV39" s="6"/>
    </row>
    <row r="40" spans="1:74" hidden="1">
      <c r="A40" s="20" t="s">
        <v>320</v>
      </c>
      <c r="B40" s="19" t="s">
        <v>96</v>
      </c>
      <c r="C40" s="19"/>
      <c r="D40" s="10" t="s">
        <v>322</v>
      </c>
      <c r="E40" s="7" t="s">
        <v>323</v>
      </c>
      <c r="F40" s="3" t="s">
        <v>324</v>
      </c>
      <c r="G40" s="3" t="s">
        <v>21</v>
      </c>
      <c r="H40" s="4" t="s">
        <v>367</v>
      </c>
      <c r="I40" s="4" t="s">
        <v>367</v>
      </c>
      <c r="J40" s="3"/>
      <c r="K40" s="3" t="str">
        <f t="shared" si="0"/>
        <v>Prj000350-Support - Infrastructure for Tech</v>
      </c>
      <c r="L40" s="19" t="s">
        <v>252</v>
      </c>
      <c r="M40" s="19" t="s">
        <v>16</v>
      </c>
      <c r="N40" s="19" t="s">
        <v>16</v>
      </c>
      <c r="O40" s="19" t="s">
        <v>464</v>
      </c>
      <c r="P40" s="19" t="s">
        <v>326</v>
      </c>
      <c r="Q40" s="19" t="s">
        <v>327</v>
      </c>
      <c r="R40" s="19" t="s">
        <v>327</v>
      </c>
      <c r="S40" s="19" t="s">
        <v>350</v>
      </c>
      <c r="T40" s="5">
        <v>12685</v>
      </c>
      <c r="U40" s="15">
        <v>15000</v>
      </c>
      <c r="V40" s="15">
        <v>15000</v>
      </c>
      <c r="W40" s="15">
        <f t="shared" si="16"/>
        <v>14999.64</v>
      </c>
      <c r="X40" s="15">
        <f t="shared" si="7"/>
        <v>-0.36000000000058208</v>
      </c>
      <c r="Y40" s="15">
        <f t="shared" si="2"/>
        <v>0</v>
      </c>
      <c r="Z40" s="15">
        <f>SUM(Financials20263[[#This Row],[2026 Opportunity]:[2026 Risk]])</f>
        <v>-0.36000000000058208</v>
      </c>
      <c r="AA40" s="3" t="s">
        <v>465</v>
      </c>
      <c r="AB40" s="47"/>
      <c r="AC40" s="47"/>
      <c r="AD40" s="47">
        <v>696.32</v>
      </c>
      <c r="AE40" s="47">
        <v>1966.08</v>
      </c>
      <c r="AF40" s="47">
        <v>1966.08</v>
      </c>
      <c r="AG40" s="47">
        <v>1966.08</v>
      </c>
      <c r="AH40" s="47">
        <v>1966.08</v>
      </c>
      <c r="AI40" s="47"/>
      <c r="AJ40" s="47"/>
      <c r="AK40" s="47"/>
      <c r="AL40" s="47"/>
      <c r="AM40" s="43">
        <f>15000-8561</f>
        <v>6439</v>
      </c>
      <c r="AN40" s="47">
        <f>SUM(Financials20263[[#This Row],[Jan FC]:[Dec FC]])</f>
        <v>14999.64</v>
      </c>
      <c r="AO40" s="15">
        <f>SUM(Financials20263[[#This Row],[Jul FC]:[Dec FC]])</f>
        <v>8405.08</v>
      </c>
      <c r="AP40" s="56"/>
      <c r="AQ40" s="56"/>
      <c r="AR40" s="56">
        <v>696.32</v>
      </c>
      <c r="AS40" s="56">
        <v>1966.08</v>
      </c>
      <c r="AT40" s="56">
        <v>1966.08</v>
      </c>
      <c r="AU40" s="56">
        <v>1966.08</v>
      </c>
      <c r="AV40" s="56">
        <v>1966.08</v>
      </c>
      <c r="AW40" s="56"/>
      <c r="AX40" s="56"/>
      <c r="AY40" s="56"/>
      <c r="AZ40" s="56"/>
      <c r="BA40" s="56"/>
      <c r="BB40" s="75">
        <f>SUM(Financials20263[[#This Row],[Jan AC]:[Dec AC]])</f>
        <v>8560.64</v>
      </c>
      <c r="BC40" s="66">
        <f>Financials20263[[#This Row],[Jan AC]]-Financials20263[[#This Row],[Jan FC]]</f>
        <v>0</v>
      </c>
      <c r="BD40" s="66">
        <f>Financials20263[[#This Row],[Feb AC]]-Financials20263[[#This Row],[Feb FC]]</f>
        <v>0</v>
      </c>
      <c r="BE40" s="66">
        <f>Financials20263[[#This Row],[Mar AC]]-Financials20263[[#This Row],[Mar FC]]</f>
        <v>0</v>
      </c>
      <c r="BF40" s="66">
        <f>Financials20263[[#This Row],[Apr AC]]-Financials20263[[#This Row],[Apr FC]]</f>
        <v>0</v>
      </c>
      <c r="BG40" s="66">
        <f>Financials20263[[#This Row],[May AC]]-Financials20263[[#This Row],[May FC]]</f>
        <v>0</v>
      </c>
      <c r="BH40" s="66">
        <f>Financials20263[[#This Row],[Jun AC]]-Financials20263[[#This Row],[Jun FC]]</f>
        <v>0</v>
      </c>
      <c r="BI40" s="66">
        <f>Financials20263[[#This Row],[Jul AC]]-Financials20263[[#This Row],[Jul FC]]</f>
        <v>0</v>
      </c>
      <c r="BJ40" s="66">
        <f>Financials20263[[#This Row],[Aug AC]]-Financials20263[[#This Row],[Aug FC]]</f>
        <v>0</v>
      </c>
      <c r="BK40" s="66">
        <f>Financials20263[[#This Row],[Sep AC]]-Financials20263[[#This Row],[Sep FC]]</f>
        <v>0</v>
      </c>
      <c r="BL40" s="66">
        <f>Financials20263[[#This Row],[Oct AC]]-Financials20263[[#This Row],[Oct FC]]</f>
        <v>0</v>
      </c>
      <c r="BM40" s="66">
        <f>Financials20263[[#This Row],[Nov AC]]-Financials20263[[#This Row],[Nov FC]]</f>
        <v>0</v>
      </c>
      <c r="BN40" s="66">
        <f>Financials20263[[#This Row],[Dec AC]]-Financials20263[[#This Row],[Dec FC]]</f>
        <v>-6439</v>
      </c>
      <c r="BO40" s="66">
        <f>SUM(Financials20263[[#This Row],[Jan Opp/Risk]:[Dec Opp./Risk]])</f>
        <v>-6439</v>
      </c>
      <c r="BP40" s="82" t="s">
        <v>466</v>
      </c>
      <c r="BQ40" s="44">
        <f>SUM(Financials20263[[#This Row],[Jan AC]:[Jun AC]])</f>
        <v>6594.5599999999995</v>
      </c>
      <c r="BR40" s="6">
        <f t="shared" si="17"/>
        <v>0</v>
      </c>
      <c r="BS40" s="6">
        <f>Financials20263[[#This Row],[Jul-Dec FC]]+Financials20263[[#This Row],[Pending Jan-Jun]]</f>
        <v>8405.08</v>
      </c>
      <c r="BT40" s="6"/>
      <c r="BU40" s="6"/>
      <c r="BV40" s="6"/>
    </row>
    <row r="41" spans="1:74" hidden="1">
      <c r="A41" s="20" t="s">
        <v>320</v>
      </c>
      <c r="B41" s="19" t="s">
        <v>96</v>
      </c>
      <c r="C41" s="19"/>
      <c r="D41" s="10" t="s">
        <v>467</v>
      </c>
      <c r="E41" s="7" t="s">
        <v>468</v>
      </c>
      <c r="F41" s="3" t="s">
        <v>324</v>
      </c>
      <c r="G41" s="3" t="s">
        <v>21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19" t="s">
        <v>252</v>
      </c>
      <c r="M41" s="19" t="s">
        <v>12</v>
      </c>
      <c r="N41" s="19" t="s">
        <v>12</v>
      </c>
      <c r="O41" s="19" t="s">
        <v>469</v>
      </c>
      <c r="P41" s="19" t="s">
        <v>326</v>
      </c>
      <c r="Q41" s="19" t="s">
        <v>470</v>
      </c>
      <c r="R41" s="19" t="s">
        <v>470</v>
      </c>
      <c r="S41" s="19" t="s">
        <v>350</v>
      </c>
      <c r="T41" s="5">
        <v>7121037.5</v>
      </c>
      <c r="U41" s="15">
        <v>7500000</v>
      </c>
      <c r="V41" s="15">
        <v>7500000</v>
      </c>
      <c r="W41" s="15">
        <f t="shared" si="16"/>
        <v>7500000.0800000001</v>
      </c>
      <c r="X41" s="15">
        <f t="shared" si="7"/>
        <v>0</v>
      </c>
      <c r="Y41" s="15">
        <f t="shared" si="2"/>
        <v>8.0000000074505806E-2</v>
      </c>
      <c r="Z41" s="15">
        <f>SUM(Financials20263[[#This Row],[2026 Opportunity]:[2026 Risk]])</f>
        <v>8.0000000074505806E-2</v>
      </c>
      <c r="AA41" s="3" t="s">
        <v>471</v>
      </c>
      <c r="AB41" s="47">
        <v>625000</v>
      </c>
      <c r="AC41" s="47">
        <v>625000</v>
      </c>
      <c r="AD41" s="47">
        <v>625000</v>
      </c>
      <c r="AE41" s="47">
        <v>625000</v>
      </c>
      <c r="AF41" s="47">
        <v>625000</v>
      </c>
      <c r="AG41" s="47">
        <v>625000</v>
      </c>
      <c r="AH41" s="47">
        <v>625000</v>
      </c>
      <c r="AI41" s="47">
        <v>625000</v>
      </c>
      <c r="AJ41" s="47">
        <v>625000</v>
      </c>
      <c r="AK41" s="47">
        <v>625000</v>
      </c>
      <c r="AL41" s="47">
        <v>625000</v>
      </c>
      <c r="AM41" s="43">
        <f>625000-2569-30020</f>
        <v>592411</v>
      </c>
      <c r="AN41" s="47">
        <f>SUM(Financials20263[[#This Row],[Jan FC]:[Dec FC]])</f>
        <v>7467411</v>
      </c>
      <c r="AO41" s="15">
        <f>SUM(Financials20263[[#This Row],[Jul FC]:[Dec FC]])</f>
        <v>3717411</v>
      </c>
      <c r="AP41" s="56">
        <f>553.89+659816.51</f>
        <v>660370.4</v>
      </c>
      <c r="AQ41" s="56">
        <f>573.85+983.04+602302.68</f>
        <v>603859.57000000007</v>
      </c>
      <c r="AR41" s="56">
        <f>983.04+573.85+625988.8</f>
        <v>627545.69000000006</v>
      </c>
      <c r="AS41" s="56">
        <f>573.85+601821.2</f>
        <v>602395.04999999993</v>
      </c>
      <c r="AT41" s="56">
        <f>573.85+632824</f>
        <v>633397.85</v>
      </c>
      <c r="AU41" s="56">
        <f>573.85+654446.67</f>
        <v>655020.52</v>
      </c>
      <c r="AV41" s="56">
        <f>573.85</f>
        <v>573.85</v>
      </c>
      <c r="AW41" s="56"/>
      <c r="AX41" s="56"/>
      <c r="AY41" s="56"/>
      <c r="AZ41" s="56"/>
      <c r="BA41" s="56"/>
      <c r="BB41" s="75">
        <f>SUM(Financials20263[[#This Row],[Jan AC]:[Dec AC]])</f>
        <v>3783162.93</v>
      </c>
      <c r="BC41" s="66">
        <f>Financials20263[[#This Row],[Jan AC]]-Financials20263[[#This Row],[Jan FC]]</f>
        <v>35370.400000000023</v>
      </c>
      <c r="BD41" s="66">
        <f>Financials20263[[#This Row],[Feb AC]]-Financials20263[[#This Row],[Feb FC]]</f>
        <v>-21140.429999999935</v>
      </c>
      <c r="BE41" s="66">
        <f>Financials20263[[#This Row],[Mar AC]]-Financials20263[[#This Row],[Mar FC]]</f>
        <v>2545.6900000000605</v>
      </c>
      <c r="BF41" s="66">
        <f>Financials20263[[#This Row],[Apr AC]]-Financials20263[[#This Row],[Apr FC]]</f>
        <v>-22604.95000000007</v>
      </c>
      <c r="BG41" s="66">
        <f>Financials20263[[#This Row],[May AC]]-Financials20263[[#This Row],[May FC]]</f>
        <v>8397.8499999999767</v>
      </c>
      <c r="BH41" s="66">
        <f>Financials20263[[#This Row],[Jun AC]]-Financials20263[[#This Row],[Jun FC]]</f>
        <v>30020.520000000019</v>
      </c>
      <c r="BI41" s="66">
        <f>Financials20263[[#This Row],[Jul AC]]-Financials20263[[#This Row],[Jul FC]]</f>
        <v>-624426.15</v>
      </c>
      <c r="BJ41" s="66">
        <f>Financials20263[[#This Row],[Aug AC]]-Financials20263[[#This Row],[Aug FC]]</f>
        <v>-625000</v>
      </c>
      <c r="BK41" s="66">
        <f>Financials20263[[#This Row],[Sep AC]]-Financials20263[[#This Row],[Sep FC]]</f>
        <v>-625000</v>
      </c>
      <c r="BL41" s="66">
        <f>Financials20263[[#This Row],[Oct AC]]-Financials20263[[#This Row],[Oct FC]]</f>
        <v>-625000</v>
      </c>
      <c r="BM41" s="66">
        <f>Financials20263[[#This Row],[Nov AC]]-Financials20263[[#This Row],[Nov FC]]</f>
        <v>-625000</v>
      </c>
      <c r="BN41" s="66">
        <f>Financials20263[[#This Row],[Dec AC]]-Financials20263[[#This Row],[Dec FC]]</f>
        <v>-592411</v>
      </c>
      <c r="BO41" s="66">
        <f>SUM(Financials20263[[#This Row],[Jan Opp/Risk]:[Dec Opp./Risk]])</f>
        <v>-3684248.07</v>
      </c>
      <c r="BP41" s="84" t="s">
        <v>472</v>
      </c>
      <c r="BQ41" s="44">
        <f>SUM(Financials20263[[#This Row],[Jan AC]:[Jun AC]])</f>
        <v>3782589.08</v>
      </c>
      <c r="BR41" s="6">
        <f t="shared" si="17"/>
        <v>0</v>
      </c>
      <c r="BS41" s="6">
        <f>Financials20263[[#This Row],[Jul-Dec FC]]+Financials20263[[#This Row],[Pending Jan-Jun]]</f>
        <v>3717411</v>
      </c>
      <c r="BT41" s="6"/>
      <c r="BU41" s="6"/>
      <c r="BV41" s="6"/>
    </row>
    <row r="42" spans="1:74" hidden="1">
      <c r="A42" s="20" t="s">
        <v>320</v>
      </c>
      <c r="B42" s="19" t="s">
        <v>137</v>
      </c>
      <c r="C42" s="19" t="s">
        <v>473</v>
      </c>
      <c r="D42" s="10" t="s">
        <v>459</v>
      </c>
      <c r="E42" s="7" t="s">
        <v>460</v>
      </c>
      <c r="F42" s="3" t="s">
        <v>335</v>
      </c>
      <c r="G42" s="3" t="s">
        <v>25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19" t="s">
        <v>252</v>
      </c>
      <c r="M42" s="19" t="s">
        <v>16</v>
      </c>
      <c r="N42" s="19" t="s">
        <v>16</v>
      </c>
      <c r="O42" s="19" t="s">
        <v>474</v>
      </c>
      <c r="P42" s="19" t="s">
        <v>326</v>
      </c>
      <c r="Q42" s="19" t="s">
        <v>327</v>
      </c>
      <c r="R42" s="19" t="s">
        <v>327</v>
      </c>
      <c r="S42" s="19" t="s">
        <v>328</v>
      </c>
      <c r="T42" s="5">
        <v>40500</v>
      </c>
      <c r="U42" s="15">
        <v>99225</v>
      </c>
      <c r="V42" s="15">
        <v>99225</v>
      </c>
      <c r="W42" s="15">
        <f t="shared" si="16"/>
        <v>97200</v>
      </c>
      <c r="X42" s="15">
        <f t="shared" si="7"/>
        <v>-2025</v>
      </c>
      <c r="Y42" s="15">
        <f t="shared" si="2"/>
        <v>0</v>
      </c>
      <c r="Z42" s="15">
        <f>SUM(Financials20263[[#This Row],[2026 Opportunity]:[2026 Risk]])</f>
        <v>-2025</v>
      </c>
      <c r="AA42" s="3" t="s">
        <v>475</v>
      </c>
      <c r="AB42" s="47">
        <f t="shared" ref="AB42:AH42" si="24">(97200)/12</f>
        <v>8100</v>
      </c>
      <c r="AC42" s="47">
        <f t="shared" si="24"/>
        <v>8100</v>
      </c>
      <c r="AD42" s="47">
        <f t="shared" si="24"/>
        <v>8100</v>
      </c>
      <c r="AE42" s="47">
        <f t="shared" si="24"/>
        <v>8100</v>
      </c>
      <c r="AF42" s="47">
        <f t="shared" si="24"/>
        <v>8100</v>
      </c>
      <c r="AG42" s="47">
        <f t="shared" si="24"/>
        <v>8100</v>
      </c>
      <c r="AH42" s="47">
        <f t="shared" si="24"/>
        <v>8100</v>
      </c>
      <c r="AI42" s="47">
        <v>8100</v>
      </c>
      <c r="AJ42" s="47">
        <v>8100</v>
      </c>
      <c r="AK42" s="47">
        <v>8100</v>
      </c>
      <c r="AL42" s="47">
        <v>8100</v>
      </c>
      <c r="AM42" s="47">
        <v>8100</v>
      </c>
      <c r="AN42" s="47">
        <f>SUM(Financials20263[[#This Row],[Jan FC]:[Dec FC]])</f>
        <v>97200</v>
      </c>
      <c r="AO42" s="15">
        <f>SUM(Financials20263[[#This Row],[Jul FC]:[Dec FC]])</f>
        <v>48600</v>
      </c>
      <c r="AP42" s="56">
        <f t="shared" ref="AP42:AV42" si="25">(97200)/12</f>
        <v>8100</v>
      </c>
      <c r="AQ42" s="56">
        <f t="shared" si="25"/>
        <v>8100</v>
      </c>
      <c r="AR42" s="56">
        <f t="shared" si="25"/>
        <v>8100</v>
      </c>
      <c r="AS42" s="56">
        <f t="shared" si="25"/>
        <v>8100</v>
      </c>
      <c r="AT42" s="56">
        <f t="shared" si="25"/>
        <v>8100</v>
      </c>
      <c r="AU42" s="56">
        <f t="shared" si="25"/>
        <v>8100</v>
      </c>
      <c r="AV42" s="56">
        <f t="shared" si="25"/>
        <v>8100</v>
      </c>
      <c r="AW42" s="56">
        <f>97200/12</f>
        <v>8100</v>
      </c>
      <c r="AX42" s="56">
        <f t="shared" ref="AX42:BA42" si="26">97200/12</f>
        <v>8100</v>
      </c>
      <c r="AY42" s="56">
        <f t="shared" si="26"/>
        <v>8100</v>
      </c>
      <c r="AZ42" s="56">
        <f t="shared" si="26"/>
        <v>8100</v>
      </c>
      <c r="BA42" s="56">
        <f t="shared" si="26"/>
        <v>8100</v>
      </c>
      <c r="BB42" s="75">
        <f>SUM(Financials20263[[#This Row],[Jan AC]:[Dec AC]])</f>
        <v>97200</v>
      </c>
      <c r="BC42" s="66">
        <f>Financials20263[[#This Row],[Jan AC]]-Financials20263[[#This Row],[Jan FC]]</f>
        <v>0</v>
      </c>
      <c r="BD42" s="66">
        <f>Financials20263[[#This Row],[Feb AC]]-Financials20263[[#This Row],[Feb FC]]</f>
        <v>0</v>
      </c>
      <c r="BE42" s="66">
        <f>Financials20263[[#This Row],[Mar AC]]-Financials20263[[#This Row],[Mar FC]]</f>
        <v>0</v>
      </c>
      <c r="BF42" s="66">
        <f>Financials20263[[#This Row],[Apr AC]]-Financials20263[[#This Row],[Apr FC]]</f>
        <v>0</v>
      </c>
      <c r="BG42" s="66">
        <f>Financials20263[[#This Row],[May AC]]-Financials20263[[#This Row],[May FC]]</f>
        <v>0</v>
      </c>
      <c r="BH42" s="66">
        <f>Financials20263[[#This Row],[Jun AC]]-Financials20263[[#This Row],[Jun FC]]</f>
        <v>0</v>
      </c>
      <c r="BI42" s="66">
        <f>Financials20263[[#This Row],[Jul AC]]-Financials20263[[#This Row],[Jul FC]]</f>
        <v>0</v>
      </c>
      <c r="BJ42" s="66">
        <f>Financials20263[[#This Row],[Aug AC]]-Financials20263[[#This Row],[Aug FC]]</f>
        <v>0</v>
      </c>
      <c r="BK42" s="66">
        <f>Financials20263[[#This Row],[Sep AC]]-Financials20263[[#This Row],[Sep FC]]</f>
        <v>0</v>
      </c>
      <c r="BL42" s="66">
        <f>Financials20263[[#This Row],[Oct AC]]-Financials20263[[#This Row],[Oct FC]]</f>
        <v>0</v>
      </c>
      <c r="BM42" s="66">
        <f>Financials20263[[#This Row],[Nov AC]]-Financials20263[[#This Row],[Nov FC]]</f>
        <v>0</v>
      </c>
      <c r="BN42" s="66">
        <f>Financials20263[[#This Row],[Dec AC]]-Financials20263[[#This Row],[Dec FC]]</f>
        <v>0</v>
      </c>
      <c r="BO42" s="66">
        <f>SUM(Financials20263[[#This Row],[Jan Opp/Risk]:[Dec Opp./Risk]])</f>
        <v>0</v>
      </c>
      <c r="BP42" s="82" t="s">
        <v>476</v>
      </c>
      <c r="BQ42" s="44">
        <f>SUM(Financials20263[[#This Row],[Jan AC]:[Jun AC]])</f>
        <v>48600</v>
      </c>
      <c r="BR42" s="6">
        <f t="shared" si="17"/>
        <v>0</v>
      </c>
      <c r="BS42" s="6">
        <f>Financials20263[[#This Row],[Jul-Dec FC]]+Financials20263[[#This Row],[Pending Jan-Jun]]</f>
        <v>48600</v>
      </c>
      <c r="BT42" s="6"/>
      <c r="BU42" s="6"/>
      <c r="BV42" s="6"/>
    </row>
    <row r="43" spans="1:74" hidden="1">
      <c r="A43" s="20" t="s">
        <v>320</v>
      </c>
      <c r="B43" s="19" t="s">
        <v>72</v>
      </c>
      <c r="C43" s="19" t="s">
        <v>477</v>
      </c>
      <c r="D43" s="10" t="s">
        <v>322</v>
      </c>
      <c r="E43" s="7" t="s">
        <v>323</v>
      </c>
      <c r="F43" s="3" t="s">
        <v>324</v>
      </c>
      <c r="G43" s="3" t="s">
        <v>21</v>
      </c>
      <c r="H43" s="4">
        <v>46023</v>
      </c>
      <c r="I43" s="4">
        <v>46387</v>
      </c>
      <c r="J43" s="3" t="s">
        <v>478</v>
      </c>
      <c r="K43" s="3" t="str">
        <f t="shared" si="0"/>
        <v>Prj000350-Support - Infrastructure for Tech</v>
      </c>
      <c r="L43" s="19" t="s">
        <v>252</v>
      </c>
      <c r="M43" s="19" t="s">
        <v>16</v>
      </c>
      <c r="N43" s="19" t="s">
        <v>16</v>
      </c>
      <c r="O43" s="19"/>
      <c r="P43" s="19" t="s">
        <v>326</v>
      </c>
      <c r="Q43" s="19" t="s">
        <v>327</v>
      </c>
      <c r="R43" s="19" t="s">
        <v>327</v>
      </c>
      <c r="S43" s="19" t="s">
        <v>350</v>
      </c>
      <c r="T43" s="5">
        <v>59388.740000000013</v>
      </c>
      <c r="U43" s="15">
        <v>86949.723000000013</v>
      </c>
      <c r="V43" s="15">
        <v>86949.723000000013</v>
      </c>
      <c r="W43" s="15">
        <f t="shared" si="16"/>
        <v>88342.561749999993</v>
      </c>
      <c r="X43" s="15">
        <f t="shared" si="7"/>
        <v>0</v>
      </c>
      <c r="Y43" s="15">
        <f t="shared" si="2"/>
        <v>1392.8387499999808</v>
      </c>
      <c r="Z43" s="15">
        <f>SUM(Financials20263[[#This Row],[2026 Opportunity]:[2026 Risk]])</f>
        <v>1392.8387499999808</v>
      </c>
      <c r="AA43" s="3" t="s">
        <v>479</v>
      </c>
      <c r="AB43" s="47">
        <v>840.88</v>
      </c>
      <c r="AC43" s="47">
        <v>1681.7600000000002</v>
      </c>
      <c r="AD43" s="47">
        <v>7245.8102500000014</v>
      </c>
      <c r="AE43" s="47">
        <v>7245.8102500000014</v>
      </c>
      <c r="AF43" s="47">
        <v>7245.8102500000014</v>
      </c>
      <c r="AG43" s="47">
        <v>7245.8102500000014</v>
      </c>
      <c r="AH43" s="47">
        <v>7245.8102500000014</v>
      </c>
      <c r="AI43" s="47">
        <v>7245.8102500000014</v>
      </c>
      <c r="AJ43" s="47">
        <v>7245.8102500000014</v>
      </c>
      <c r="AK43" s="47">
        <v>7245.8102500000014</v>
      </c>
      <c r="AL43" s="47">
        <v>7245.8102500000014</v>
      </c>
      <c r="AM43" s="43">
        <f>7245.81025+6405+5564+12810+2898</f>
        <v>34922.810250000002</v>
      </c>
      <c r="AN43" s="47">
        <f>SUM(Financials20263[[#This Row],[Jan FC]:[Dec FC]])</f>
        <v>102657.74250000002</v>
      </c>
      <c r="AO43" s="15">
        <f>SUM(Financials20263[[#This Row],[Jul FC]:[Dec FC]])</f>
        <v>71151.861499999999</v>
      </c>
      <c r="AP43" s="56">
        <f>840.88+345.23+525.52+522.05</f>
        <v>2233.6800000000003</v>
      </c>
      <c r="AQ43" s="56">
        <v>1681.7600000000002</v>
      </c>
      <c r="AR43" s="56">
        <v>840.88000000000011</v>
      </c>
      <c r="AS43" s="56"/>
      <c r="AT43" s="56">
        <v>840.88000000000011</v>
      </c>
      <c r="AU43" s="56">
        <v>4347.6899999999996</v>
      </c>
      <c r="AV43" s="56"/>
      <c r="AW43" s="56"/>
      <c r="AX43" s="56"/>
      <c r="AY43" s="56"/>
      <c r="AZ43" s="56"/>
      <c r="BA43" s="56"/>
      <c r="BB43" s="75">
        <f>SUM(Financials20263[[#This Row],[Jan AC]:[Dec AC]])</f>
        <v>9944.89</v>
      </c>
      <c r="BC43" s="66">
        <f>Financials20263[[#This Row],[Jan AC]]-Financials20263[[#This Row],[Jan FC]]</f>
        <v>1392.8000000000002</v>
      </c>
      <c r="BD43" s="66">
        <f>Financials20263[[#This Row],[Feb AC]]-Financials20263[[#This Row],[Feb FC]]</f>
        <v>0</v>
      </c>
      <c r="BE43" s="66">
        <f>Financials20263[[#This Row],[Mar AC]]-Financials20263[[#This Row],[Mar FC]]</f>
        <v>-6404.9302500000013</v>
      </c>
      <c r="BF43" s="66">
        <f>Financials20263[[#This Row],[Apr AC]]-Financials20263[[#This Row],[Apr FC]]</f>
        <v>-7245.8102500000014</v>
      </c>
      <c r="BG43" s="66">
        <f>Financials20263[[#This Row],[May AC]]-Financials20263[[#This Row],[May FC]]</f>
        <v>-6404.9302500000013</v>
      </c>
      <c r="BH43" s="66">
        <f>Financials20263[[#This Row],[Jun AC]]-Financials20263[[#This Row],[Jun FC]]</f>
        <v>-2898.1202500000018</v>
      </c>
      <c r="BI43" s="66">
        <f>Financials20263[[#This Row],[Jul AC]]-Financials20263[[#This Row],[Jul FC]]</f>
        <v>-7245.8102500000014</v>
      </c>
      <c r="BJ43" s="66">
        <f>Financials20263[[#This Row],[Aug AC]]-Financials20263[[#This Row],[Aug FC]]</f>
        <v>-7245.8102500000014</v>
      </c>
      <c r="BK43" s="66">
        <f>Financials20263[[#This Row],[Sep AC]]-Financials20263[[#This Row],[Sep FC]]</f>
        <v>-7245.8102500000014</v>
      </c>
      <c r="BL43" s="66">
        <f>Financials20263[[#This Row],[Oct AC]]-Financials20263[[#This Row],[Oct FC]]</f>
        <v>-7245.8102500000014</v>
      </c>
      <c r="BM43" s="66">
        <f>Financials20263[[#This Row],[Nov AC]]-Financials20263[[#This Row],[Nov FC]]</f>
        <v>-7245.8102500000014</v>
      </c>
      <c r="BN43" s="66">
        <f>Financials20263[[#This Row],[Dec AC]]-Financials20263[[#This Row],[Dec FC]]</f>
        <v>-34922.810250000002</v>
      </c>
      <c r="BO43" s="66">
        <f>SUM(Financials20263[[#This Row],[Jan Opp/Risk]:[Dec Opp./Risk]])</f>
        <v>-92712.852500000008</v>
      </c>
      <c r="BP43" s="82" t="s">
        <v>480</v>
      </c>
      <c r="BQ43" s="44">
        <f>SUM(Financials20263[[#This Row],[Jan AC]:[Jun AC]])</f>
        <v>9944.89</v>
      </c>
      <c r="BR43" s="6">
        <f t="shared" si="17"/>
        <v>7245.8102500000014</v>
      </c>
      <c r="BS43" s="6">
        <f>Financials20263[[#This Row],[Jul-Dec FC]]+Financials20263[[#This Row],[Pending Jan-Jun]]</f>
        <v>78397.671749999994</v>
      </c>
      <c r="BT43" s="6"/>
      <c r="BU43" s="6"/>
      <c r="BV43" s="6"/>
    </row>
    <row r="44" spans="1:74" hidden="1">
      <c r="A44" s="20" t="s">
        <v>320</v>
      </c>
      <c r="B44" s="19" t="s">
        <v>72</v>
      </c>
      <c r="C44" s="19" t="s">
        <v>477</v>
      </c>
      <c r="D44" s="10" t="s">
        <v>322</v>
      </c>
      <c r="E44" s="7" t="s">
        <v>323</v>
      </c>
      <c r="F44" s="3" t="s">
        <v>324</v>
      </c>
      <c r="G44" s="3" t="s">
        <v>21</v>
      </c>
      <c r="H44" s="4">
        <v>45931</v>
      </c>
      <c r="I44" s="4">
        <v>46295</v>
      </c>
      <c r="J44" s="3" t="s">
        <v>481</v>
      </c>
      <c r="K44" s="3" t="str">
        <f t="shared" si="0"/>
        <v>Prj000350-Support - Infrastructure for Tech</v>
      </c>
      <c r="L44" s="19" t="s">
        <v>252</v>
      </c>
      <c r="M44" s="19" t="s">
        <v>16</v>
      </c>
      <c r="N44" s="19" t="s">
        <v>16</v>
      </c>
      <c r="O44" s="19"/>
      <c r="P44" s="19" t="s">
        <v>326</v>
      </c>
      <c r="Q44" s="19" t="s">
        <v>327</v>
      </c>
      <c r="R44" s="19" t="s">
        <v>327</v>
      </c>
      <c r="S44" s="19" t="s">
        <v>354</v>
      </c>
      <c r="T44" s="5">
        <v>79876</v>
      </c>
      <c r="U44" s="15">
        <v>63000</v>
      </c>
      <c r="V44" s="15">
        <v>63000</v>
      </c>
      <c r="W44" s="15">
        <f t="shared" si="16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482</v>
      </c>
      <c r="AB44" s="47"/>
      <c r="AC44" s="47"/>
      <c r="AD44" s="47"/>
      <c r="AE44" s="47"/>
      <c r="AF44" s="47">
        <v>2274.37</v>
      </c>
      <c r="AG44" s="46"/>
      <c r="AH44" s="47"/>
      <c r="AI44" s="47"/>
      <c r="AJ44" s="47"/>
      <c r="AK44" s="47"/>
      <c r="AL44" s="47"/>
      <c r="AM44" s="47">
        <f>63000-2274</f>
        <v>60726</v>
      </c>
      <c r="AN44" s="47">
        <f>SUM(Financials20263[[#This Row],[Jan FC]:[Dec FC]])</f>
        <v>63000.37</v>
      </c>
      <c r="AO44" s="15">
        <f>SUM(Financials20263[[#This Row],[Jul FC]:[Dec FC]])</f>
        <v>60726</v>
      </c>
      <c r="AP44" s="56"/>
      <c r="AQ44" s="56"/>
      <c r="AR44" s="56"/>
      <c r="AS44" s="56"/>
      <c r="AT44" s="56">
        <v>2274.37</v>
      </c>
      <c r="AU44" s="55"/>
      <c r="AV44" s="56"/>
      <c r="AW44" s="56"/>
      <c r="AX44" s="56"/>
      <c r="AY44" s="56"/>
      <c r="AZ44" s="56"/>
      <c r="BA44" s="56"/>
      <c r="BB44" s="75">
        <f>SUM(Financials20263[[#This Row],[Jan AC]:[Dec AC]])</f>
        <v>2274.37</v>
      </c>
      <c r="BC44" s="66">
        <f>Financials20263[[#This Row],[Jan AC]]-Financials20263[[#This Row],[Jan FC]]</f>
        <v>0</v>
      </c>
      <c r="BD44" s="66">
        <f>Financials20263[[#This Row],[Feb AC]]-Financials20263[[#This Row],[Feb FC]]</f>
        <v>0</v>
      </c>
      <c r="BE44" s="66">
        <f>Financials20263[[#This Row],[Mar AC]]-Financials20263[[#This Row],[Mar FC]]</f>
        <v>0</v>
      </c>
      <c r="BF44" s="66">
        <f>Financials20263[[#This Row],[Apr AC]]-Financials20263[[#This Row],[Apr FC]]</f>
        <v>0</v>
      </c>
      <c r="BG44" s="66">
        <f>Financials20263[[#This Row],[May AC]]-Financials20263[[#This Row],[May FC]]</f>
        <v>0</v>
      </c>
      <c r="BH44" s="66">
        <f>Financials20263[[#This Row],[Jun AC]]-Financials20263[[#This Row],[Jun FC]]</f>
        <v>0</v>
      </c>
      <c r="BI44" s="66">
        <f>Financials20263[[#This Row],[Jul AC]]-Financials20263[[#This Row],[Jul FC]]</f>
        <v>0</v>
      </c>
      <c r="BJ44" s="66">
        <f>Financials20263[[#This Row],[Aug AC]]-Financials20263[[#This Row],[Aug FC]]</f>
        <v>0</v>
      </c>
      <c r="BK44" s="66">
        <f>Financials20263[[#This Row],[Sep AC]]-Financials20263[[#This Row],[Sep FC]]</f>
        <v>0</v>
      </c>
      <c r="BL44" s="66">
        <f>Financials20263[[#This Row],[Oct AC]]-Financials20263[[#This Row],[Oct FC]]</f>
        <v>0</v>
      </c>
      <c r="BM44" s="66">
        <f>Financials20263[[#This Row],[Nov AC]]-Financials20263[[#This Row],[Nov FC]]</f>
        <v>0</v>
      </c>
      <c r="BN44" s="66">
        <f>Financials20263[[#This Row],[Dec AC]]-Financials20263[[#This Row],[Dec FC]]</f>
        <v>-60726</v>
      </c>
      <c r="BO44" s="66">
        <f>SUM(Financials20263[[#This Row],[Jan Opp/Risk]:[Dec Opp./Risk]])</f>
        <v>-60726</v>
      </c>
      <c r="BP44" s="82" t="s">
        <v>483</v>
      </c>
      <c r="BQ44" s="44">
        <f>SUM(Financials20263[[#This Row],[Jan AC]:[Jun AC]])</f>
        <v>2274.37</v>
      </c>
      <c r="BR44" s="6">
        <f t="shared" si="17"/>
        <v>0</v>
      </c>
      <c r="BS44" s="6">
        <f>Financials20263[[#This Row],[Jul-Dec FC]]+Financials20263[[#This Row],[Pending Jan-Jun]]</f>
        <v>60726</v>
      </c>
      <c r="BT44" s="6"/>
      <c r="BU44" s="6"/>
      <c r="BV44" s="6"/>
    </row>
    <row r="45" spans="1:74" hidden="1">
      <c r="A45" s="20" t="s">
        <v>320</v>
      </c>
      <c r="B45" s="19" t="s">
        <v>72</v>
      </c>
      <c r="C45" s="19" t="s">
        <v>484</v>
      </c>
      <c r="D45" s="10" t="s">
        <v>467</v>
      </c>
      <c r="E45" s="7" t="s">
        <v>468</v>
      </c>
      <c r="F45" s="3" t="s">
        <v>324</v>
      </c>
      <c r="G45" s="3" t="s">
        <v>21</v>
      </c>
      <c r="H45" s="4">
        <v>45901</v>
      </c>
      <c r="I45" s="4">
        <v>46265</v>
      </c>
      <c r="J45" s="3" t="s">
        <v>485</v>
      </c>
      <c r="K45" s="3" t="str">
        <f t="shared" si="0"/>
        <v>Prj000342-Support - Site Reliability Engineering for Tech</v>
      </c>
      <c r="L45" s="19" t="s">
        <v>252</v>
      </c>
      <c r="M45" s="19" t="s">
        <v>16</v>
      </c>
      <c r="N45" s="19" t="s">
        <v>16</v>
      </c>
      <c r="O45" s="19"/>
      <c r="P45" s="19" t="s">
        <v>326</v>
      </c>
      <c r="Q45" s="19" t="s">
        <v>327</v>
      </c>
      <c r="R45" s="19" t="s">
        <v>327</v>
      </c>
      <c r="S45" s="19" t="s">
        <v>354</v>
      </c>
      <c r="T45" s="5">
        <v>31521</v>
      </c>
      <c r="U45" s="15">
        <v>33096.819000000003</v>
      </c>
      <c r="V45" s="15">
        <v>33096.819000000003</v>
      </c>
      <c r="W45" s="15">
        <f t="shared" si="16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486</v>
      </c>
      <c r="AB45" s="47"/>
      <c r="AC45" s="47"/>
      <c r="AD45" s="47"/>
      <c r="AE45" s="47"/>
      <c r="AF45" s="47"/>
      <c r="AG45" s="46"/>
      <c r="AH45" s="47"/>
      <c r="AI45" s="47"/>
      <c r="AJ45" s="47">
        <v>33096.819000000003</v>
      </c>
      <c r="AK45" s="47"/>
      <c r="AL45" s="47"/>
      <c r="AM45" s="47"/>
      <c r="AN45" s="47">
        <f>SUM(Financials20263[[#This Row],[Jan FC]:[Dec FC]])</f>
        <v>33096.819000000003</v>
      </c>
      <c r="AO45" s="15">
        <f>SUM(Financials20263[[#This Row],[Jul FC]:[Dec FC]])</f>
        <v>33096.819000000003</v>
      </c>
      <c r="AP45" s="56"/>
      <c r="AQ45" s="56"/>
      <c r="AR45" s="56"/>
      <c r="AS45" s="56"/>
      <c r="AT45" s="56"/>
      <c r="AU45" s="55"/>
      <c r="AV45" s="56"/>
      <c r="AW45" s="56"/>
      <c r="AX45" s="56"/>
      <c r="AY45" s="56"/>
      <c r="AZ45" s="56"/>
      <c r="BA45" s="56"/>
      <c r="BB45" s="75">
        <f>SUM(Financials20263[[#This Row],[Jan AC]:[Dec AC]])</f>
        <v>0</v>
      </c>
      <c r="BC45" s="66">
        <f>Financials20263[[#This Row],[Jan AC]]-Financials20263[[#This Row],[Jan FC]]</f>
        <v>0</v>
      </c>
      <c r="BD45" s="66">
        <f>Financials20263[[#This Row],[Feb AC]]-Financials20263[[#This Row],[Feb FC]]</f>
        <v>0</v>
      </c>
      <c r="BE45" s="66">
        <f>Financials20263[[#This Row],[Mar AC]]-Financials20263[[#This Row],[Mar FC]]</f>
        <v>0</v>
      </c>
      <c r="BF45" s="66">
        <f>Financials20263[[#This Row],[Apr AC]]-Financials20263[[#This Row],[Apr FC]]</f>
        <v>0</v>
      </c>
      <c r="BG45" s="66">
        <f>Financials20263[[#This Row],[May AC]]-Financials20263[[#This Row],[May FC]]</f>
        <v>0</v>
      </c>
      <c r="BH45" s="66">
        <f>Financials20263[[#This Row],[Jun AC]]-Financials20263[[#This Row],[Jun FC]]</f>
        <v>0</v>
      </c>
      <c r="BI45" s="66">
        <f>Financials20263[[#This Row],[Jul AC]]-Financials20263[[#This Row],[Jul FC]]</f>
        <v>0</v>
      </c>
      <c r="BJ45" s="66">
        <f>Financials20263[[#This Row],[Aug AC]]-Financials20263[[#This Row],[Aug FC]]</f>
        <v>0</v>
      </c>
      <c r="BK45" s="66">
        <f>Financials20263[[#This Row],[Sep AC]]-Financials20263[[#This Row],[Sep FC]]</f>
        <v>-33096.819000000003</v>
      </c>
      <c r="BL45" s="66">
        <f>Financials20263[[#This Row],[Oct AC]]-Financials20263[[#This Row],[Oct FC]]</f>
        <v>0</v>
      </c>
      <c r="BM45" s="66">
        <f>Financials20263[[#This Row],[Nov AC]]-Financials20263[[#This Row],[Nov FC]]</f>
        <v>0</v>
      </c>
      <c r="BN45" s="66">
        <f>Financials20263[[#This Row],[Dec AC]]-Financials20263[[#This Row],[Dec FC]]</f>
        <v>0</v>
      </c>
      <c r="BO45" s="66">
        <f>SUM(Financials20263[[#This Row],[Jan Opp/Risk]:[Dec Opp./Risk]])</f>
        <v>-33096.819000000003</v>
      </c>
      <c r="BP45" s="82"/>
      <c r="BQ45" s="44">
        <f>SUM(Financials20263[[#This Row],[Jan AC]:[Jun AC]])</f>
        <v>0</v>
      </c>
      <c r="BR45" s="6">
        <f t="shared" si="17"/>
        <v>0</v>
      </c>
      <c r="BS45" s="6">
        <f>Financials20263[[#This Row],[Jul-Dec FC]]+Financials20263[[#This Row],[Pending Jan-Jun]]</f>
        <v>33096.819000000003</v>
      </c>
      <c r="BT45" s="6"/>
      <c r="BU45" s="6"/>
      <c r="BV45" s="6"/>
    </row>
    <row r="46" spans="1:74" hidden="1">
      <c r="A46" s="20" t="s">
        <v>320</v>
      </c>
      <c r="B46" s="19" t="s">
        <v>72</v>
      </c>
      <c r="C46" s="19" t="s">
        <v>484</v>
      </c>
      <c r="D46" s="10" t="s">
        <v>487</v>
      </c>
      <c r="E46" s="7" t="s">
        <v>488</v>
      </c>
      <c r="F46" s="3" t="s">
        <v>324</v>
      </c>
      <c r="G46" s="3" t="s">
        <v>21</v>
      </c>
      <c r="H46" s="4" t="s">
        <v>336</v>
      </c>
      <c r="I46" s="4" t="s">
        <v>336</v>
      </c>
      <c r="J46" s="3"/>
      <c r="K46" s="3" t="str">
        <f t="shared" si="0"/>
        <v>Prj000358-Support - Security Operations for Cybersecurity</v>
      </c>
      <c r="L46" s="19" t="s">
        <v>252</v>
      </c>
      <c r="M46" s="19" t="s">
        <v>16</v>
      </c>
      <c r="N46" s="19" t="s">
        <v>16</v>
      </c>
      <c r="O46" s="19"/>
      <c r="P46" s="19" t="s">
        <v>326</v>
      </c>
      <c r="Q46" s="19" t="s">
        <v>327</v>
      </c>
      <c r="R46" s="19" t="s">
        <v>327</v>
      </c>
      <c r="S46" s="19" t="s">
        <v>354</v>
      </c>
      <c r="T46" s="5">
        <v>60310</v>
      </c>
      <c r="U46" s="15">
        <v>63325.5</v>
      </c>
      <c r="V46" s="15">
        <v>63325.5</v>
      </c>
      <c r="W46" s="15">
        <f t="shared" si="16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489</v>
      </c>
      <c r="AB46" s="47"/>
      <c r="AC46" s="47"/>
      <c r="AD46" s="47">
        <v>1100.47</v>
      </c>
      <c r="AE46" s="47"/>
      <c r="AF46" s="47"/>
      <c r="AG46" s="46"/>
      <c r="AH46" s="47"/>
      <c r="AI46" s="47">
        <v>62225.03</v>
      </c>
      <c r="AJ46" s="47"/>
      <c r="AK46" s="47"/>
      <c r="AL46" s="47"/>
      <c r="AM46" s="47"/>
      <c r="AN46" s="47">
        <f>SUM(Financials20263[[#This Row],[Jan FC]:[Dec FC]])</f>
        <v>63325.5</v>
      </c>
      <c r="AO46" s="15">
        <f>SUM(Financials20263[[#This Row],[Jul FC]:[Dec FC]])</f>
        <v>62225.03</v>
      </c>
      <c r="AP46" s="56"/>
      <c r="AQ46" s="56"/>
      <c r="AR46" s="56">
        <v>1100.47</v>
      </c>
      <c r="AS46" s="56"/>
      <c r="AT46" s="56"/>
      <c r="AU46" s="55"/>
      <c r="AV46" s="56"/>
      <c r="AW46" s="56"/>
      <c r="AX46" s="56"/>
      <c r="AY46" s="56"/>
      <c r="AZ46" s="56"/>
      <c r="BA46" s="56"/>
      <c r="BB46" s="75">
        <f>SUM(Financials20263[[#This Row],[Jan AC]:[Dec AC]])</f>
        <v>1100.47</v>
      </c>
      <c r="BC46" s="66">
        <f>Financials20263[[#This Row],[Jan AC]]-Financials20263[[#This Row],[Jan FC]]</f>
        <v>0</v>
      </c>
      <c r="BD46" s="66">
        <f>Financials20263[[#This Row],[Feb AC]]-Financials20263[[#This Row],[Feb FC]]</f>
        <v>0</v>
      </c>
      <c r="BE46" s="66">
        <f>Financials20263[[#This Row],[Mar AC]]-Financials20263[[#This Row],[Mar FC]]</f>
        <v>0</v>
      </c>
      <c r="BF46" s="66">
        <f>Financials20263[[#This Row],[Apr AC]]-Financials20263[[#This Row],[Apr FC]]</f>
        <v>0</v>
      </c>
      <c r="BG46" s="66">
        <f>Financials20263[[#This Row],[May AC]]-Financials20263[[#This Row],[May FC]]</f>
        <v>0</v>
      </c>
      <c r="BH46" s="66">
        <f>Financials20263[[#This Row],[Jun AC]]-Financials20263[[#This Row],[Jun FC]]</f>
        <v>0</v>
      </c>
      <c r="BI46" s="66">
        <f>Financials20263[[#This Row],[Jul AC]]-Financials20263[[#This Row],[Jul FC]]</f>
        <v>0</v>
      </c>
      <c r="BJ46" s="66">
        <f>Financials20263[[#This Row],[Aug AC]]-Financials20263[[#This Row],[Aug FC]]</f>
        <v>-62225.03</v>
      </c>
      <c r="BK46" s="66">
        <f>Financials20263[[#This Row],[Sep AC]]-Financials20263[[#This Row],[Sep FC]]</f>
        <v>0</v>
      </c>
      <c r="BL46" s="66">
        <f>Financials20263[[#This Row],[Oct AC]]-Financials20263[[#This Row],[Oct FC]]</f>
        <v>0</v>
      </c>
      <c r="BM46" s="66">
        <f>Financials20263[[#This Row],[Nov AC]]-Financials20263[[#This Row],[Nov FC]]</f>
        <v>0</v>
      </c>
      <c r="BN46" s="66">
        <f>Financials20263[[#This Row],[Dec AC]]-Financials20263[[#This Row],[Dec FC]]</f>
        <v>0</v>
      </c>
      <c r="BO46" s="66">
        <f>SUM(Financials20263[[#This Row],[Jan Opp/Risk]:[Dec Opp./Risk]])</f>
        <v>-62225.03</v>
      </c>
      <c r="BP46" s="82"/>
      <c r="BQ46" s="44">
        <f>SUM(Financials20263[[#This Row],[Jan AC]:[Jun AC]])</f>
        <v>1100.47</v>
      </c>
      <c r="BR46" s="6">
        <f t="shared" si="17"/>
        <v>0</v>
      </c>
      <c r="BS46" s="6">
        <f>Financials20263[[#This Row],[Jul-Dec FC]]+Financials20263[[#This Row],[Pending Jan-Jun]]</f>
        <v>62225.03</v>
      </c>
      <c r="BT46" s="6"/>
      <c r="BU46" s="6"/>
      <c r="BV46" s="6"/>
    </row>
    <row r="47" spans="1:74" hidden="1">
      <c r="A47" s="20" t="s">
        <v>320</v>
      </c>
      <c r="B47" s="19" t="s">
        <v>171</v>
      </c>
      <c r="C47" s="19" t="s">
        <v>490</v>
      </c>
      <c r="D47" s="10" t="s">
        <v>406</v>
      </c>
      <c r="E47" s="7" t="s">
        <v>407</v>
      </c>
      <c r="F47" s="3" t="s">
        <v>408</v>
      </c>
      <c r="G47" s="3" t="s">
        <v>20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19" t="s">
        <v>252</v>
      </c>
      <c r="M47" s="19" t="s">
        <v>16</v>
      </c>
      <c r="N47" s="19" t="s">
        <v>16</v>
      </c>
      <c r="O47" s="19" t="s">
        <v>16</v>
      </c>
      <c r="P47" s="19" t="s">
        <v>326</v>
      </c>
      <c r="Q47" s="19" t="s">
        <v>327</v>
      </c>
      <c r="R47" s="19" t="s">
        <v>327</v>
      </c>
      <c r="S47" s="19" t="s">
        <v>354</v>
      </c>
      <c r="T47" s="5">
        <v>9600</v>
      </c>
      <c r="U47" s="15">
        <v>10080</v>
      </c>
      <c r="V47" s="15">
        <v>10080</v>
      </c>
      <c r="W47" s="15">
        <f t="shared" si="16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491</v>
      </c>
      <c r="AB47" s="47"/>
      <c r="AC47" s="47"/>
      <c r="AD47" s="47"/>
      <c r="AE47" s="47"/>
      <c r="AF47" s="47">
        <v>4800</v>
      </c>
      <c r="AG47" s="43">
        <f>10080-4800</f>
        <v>5280</v>
      </c>
      <c r="AH47" s="47"/>
      <c r="AI47" s="47"/>
      <c r="AJ47" s="47"/>
      <c r="AK47" s="47"/>
      <c r="AL47" s="47"/>
      <c r="AM47" s="47"/>
      <c r="AN47" s="47">
        <f>SUM(Financials20263[[#This Row],[Jan FC]:[Dec FC]])</f>
        <v>10080</v>
      </c>
      <c r="AO47" s="15">
        <f>SUM(Financials20263[[#This Row],[Jul FC]:[Dec FC]])</f>
        <v>0</v>
      </c>
      <c r="AP47" s="56"/>
      <c r="AQ47" s="56"/>
      <c r="AR47" s="56"/>
      <c r="AS47" s="56"/>
      <c r="AT47" s="56">
        <v>4800</v>
      </c>
      <c r="AU47" s="56"/>
      <c r="AV47" s="56"/>
      <c r="AW47" s="56"/>
      <c r="AX47" s="56"/>
      <c r="AY47" s="56"/>
      <c r="AZ47" s="56"/>
      <c r="BA47" s="56"/>
      <c r="BB47" s="75">
        <f>SUM(Financials20263[[#This Row],[Jan AC]:[Dec AC]])</f>
        <v>4800</v>
      </c>
      <c r="BC47" s="66">
        <f>Financials20263[[#This Row],[Jan AC]]-Financials20263[[#This Row],[Jan FC]]</f>
        <v>0</v>
      </c>
      <c r="BD47" s="66">
        <f>Financials20263[[#This Row],[Feb AC]]-Financials20263[[#This Row],[Feb FC]]</f>
        <v>0</v>
      </c>
      <c r="BE47" s="66">
        <f>Financials20263[[#This Row],[Mar AC]]-Financials20263[[#This Row],[Mar FC]]</f>
        <v>0</v>
      </c>
      <c r="BF47" s="66">
        <f>Financials20263[[#This Row],[Apr AC]]-Financials20263[[#This Row],[Apr FC]]</f>
        <v>0</v>
      </c>
      <c r="BG47" s="66">
        <f>Financials20263[[#This Row],[May AC]]-Financials20263[[#This Row],[May FC]]</f>
        <v>0</v>
      </c>
      <c r="BH47" s="66">
        <f>Financials20263[[#This Row],[Jun AC]]-Financials20263[[#This Row],[Jun FC]]</f>
        <v>-5280</v>
      </c>
      <c r="BI47" s="66">
        <f>Financials20263[[#This Row],[Jul AC]]-Financials20263[[#This Row],[Jul FC]]</f>
        <v>0</v>
      </c>
      <c r="BJ47" s="66">
        <f>Financials20263[[#This Row],[Aug AC]]-Financials20263[[#This Row],[Aug FC]]</f>
        <v>0</v>
      </c>
      <c r="BK47" s="66">
        <f>Financials20263[[#This Row],[Sep AC]]-Financials20263[[#This Row],[Sep FC]]</f>
        <v>0</v>
      </c>
      <c r="BL47" s="66">
        <f>Financials20263[[#This Row],[Oct AC]]-Financials20263[[#This Row],[Oct FC]]</f>
        <v>0</v>
      </c>
      <c r="BM47" s="66">
        <f>Financials20263[[#This Row],[Nov AC]]-Financials20263[[#This Row],[Nov FC]]</f>
        <v>0</v>
      </c>
      <c r="BN47" s="66">
        <f>Financials20263[[#This Row],[Dec AC]]-Financials20263[[#This Row],[Dec FC]]</f>
        <v>0</v>
      </c>
      <c r="BO47" s="66">
        <f>SUM(Financials20263[[#This Row],[Jan Opp/Risk]:[Dec Opp./Risk]])</f>
        <v>-5280</v>
      </c>
      <c r="BP47" s="82" t="s">
        <v>492</v>
      </c>
      <c r="BQ47" s="44">
        <f>SUM(Financials20263[[#This Row],[Jan AC]:[Jun AC]])</f>
        <v>4800</v>
      </c>
      <c r="BR47" s="6">
        <f t="shared" si="17"/>
        <v>5280</v>
      </c>
      <c r="BS47" s="6">
        <f>Financials20263[[#This Row],[Jul-Dec FC]]+Financials20263[[#This Row],[Pending Jan-Jun]]</f>
        <v>5280</v>
      </c>
      <c r="BT47" s="6"/>
      <c r="BU47" s="6"/>
      <c r="BV47" s="6"/>
    </row>
    <row r="48" spans="1:74">
      <c r="A48" s="20" t="s">
        <v>320</v>
      </c>
      <c r="B48" s="19" t="s">
        <v>221</v>
      </c>
      <c r="C48" s="19" t="s">
        <v>493</v>
      </c>
      <c r="D48" s="10" t="s">
        <v>364</v>
      </c>
      <c r="E48" s="7" t="s">
        <v>365</v>
      </c>
      <c r="F48" s="3" t="s">
        <v>366</v>
      </c>
      <c r="G48" s="3" t="s">
        <v>24</v>
      </c>
      <c r="H48" s="4">
        <v>46113</v>
      </c>
      <c r="I48" s="4">
        <v>46477</v>
      </c>
      <c r="J48" s="3" t="s">
        <v>494</v>
      </c>
      <c r="K48" s="3" t="str">
        <f t="shared" si="0"/>
        <v>Prj000290-Support - Asset Management Applications</v>
      </c>
      <c r="L48" s="19" t="s">
        <v>252</v>
      </c>
      <c r="M48" s="19" t="s">
        <v>16</v>
      </c>
      <c r="N48" s="19" t="s">
        <v>16</v>
      </c>
      <c r="O48" s="19" t="s">
        <v>495</v>
      </c>
      <c r="P48" s="19" t="s">
        <v>326</v>
      </c>
      <c r="Q48" s="19" t="s">
        <v>327</v>
      </c>
      <c r="R48" s="19" t="s">
        <v>327</v>
      </c>
      <c r="S48" s="19" t="s">
        <v>354</v>
      </c>
      <c r="T48" s="5">
        <v>230262.5</v>
      </c>
      <c r="U48" s="15">
        <v>238897.86250000002</v>
      </c>
      <c r="V48" s="15">
        <v>238897.86250000002</v>
      </c>
      <c r="W48" s="15">
        <f t="shared" si="16"/>
        <v>238926.24</v>
      </c>
      <c r="X48" s="15">
        <f t="shared" si="7"/>
        <v>0</v>
      </c>
      <c r="Y48" s="15">
        <f t="shared" si="2"/>
        <v>28.377499999973224</v>
      </c>
      <c r="Z48" s="15">
        <f>SUM(Financials20263[[#This Row],[2026 Opportunity]:[2026 Risk]])</f>
        <v>28.377499999973224</v>
      </c>
      <c r="AA48" s="3" t="s">
        <v>496</v>
      </c>
      <c r="AB48" s="47"/>
      <c r="AC48" s="47"/>
      <c r="AD48" s="47"/>
      <c r="AE48" s="47"/>
      <c r="AF48" s="47">
        <v>232868.65</v>
      </c>
      <c r="AG48" s="46"/>
      <c r="AH48" s="47"/>
      <c r="AI48" s="47"/>
      <c r="AJ48" s="47"/>
      <c r="AK48" s="47"/>
      <c r="AL48" s="47"/>
      <c r="AM48" s="47"/>
      <c r="AN48" s="47">
        <f>SUM(Financials20263[[#This Row],[Jan FC]:[Dec FC]])</f>
        <v>232868.65</v>
      </c>
      <c r="AO48" s="15">
        <f>SUM(Financials20263[[#This Row],[Jul FC]:[Dec FC]])</f>
        <v>0</v>
      </c>
      <c r="AP48" s="56"/>
      <c r="AQ48" s="56"/>
      <c r="AR48" s="56"/>
      <c r="AS48" s="56"/>
      <c r="AT48" s="56">
        <v>238926.24</v>
      </c>
      <c r="AU48" s="55"/>
      <c r="AV48" s="56"/>
      <c r="AW48" s="56"/>
      <c r="AX48" s="56"/>
      <c r="AY48" s="56"/>
      <c r="AZ48" s="56"/>
      <c r="BA48" s="56"/>
      <c r="BB48" s="75">
        <f>SUM(Financials20263[[#This Row],[Jan AC]:[Dec AC]])</f>
        <v>238926.24</v>
      </c>
      <c r="BC48" s="66">
        <f>Financials20263[[#This Row],[Jan AC]]-Financials20263[[#This Row],[Jan FC]]</f>
        <v>0</v>
      </c>
      <c r="BD48" s="66">
        <f>Financials20263[[#This Row],[Feb AC]]-Financials20263[[#This Row],[Feb FC]]</f>
        <v>0</v>
      </c>
      <c r="BE48" s="66">
        <f>Financials20263[[#This Row],[Mar AC]]-Financials20263[[#This Row],[Mar FC]]</f>
        <v>0</v>
      </c>
      <c r="BF48" s="66">
        <f>Financials20263[[#This Row],[Apr AC]]-Financials20263[[#This Row],[Apr FC]]</f>
        <v>0</v>
      </c>
      <c r="BG48" s="66">
        <f>Financials20263[[#This Row],[May AC]]-Financials20263[[#This Row],[May FC]]</f>
        <v>6057.5899999999965</v>
      </c>
      <c r="BH48" s="66">
        <f>Financials20263[[#This Row],[Jun AC]]-Financials20263[[#This Row],[Jun FC]]</f>
        <v>0</v>
      </c>
      <c r="BI48" s="66">
        <f>Financials20263[[#This Row],[Jul AC]]-Financials20263[[#This Row],[Jul FC]]</f>
        <v>0</v>
      </c>
      <c r="BJ48" s="66">
        <f>Financials20263[[#This Row],[Aug AC]]-Financials20263[[#This Row],[Aug FC]]</f>
        <v>0</v>
      </c>
      <c r="BK48" s="66">
        <f>Financials20263[[#This Row],[Sep AC]]-Financials20263[[#This Row],[Sep FC]]</f>
        <v>0</v>
      </c>
      <c r="BL48" s="66">
        <f>Financials20263[[#This Row],[Oct AC]]-Financials20263[[#This Row],[Oct FC]]</f>
        <v>0</v>
      </c>
      <c r="BM48" s="66">
        <f>Financials20263[[#This Row],[Nov AC]]-Financials20263[[#This Row],[Nov FC]]</f>
        <v>0</v>
      </c>
      <c r="BN48" s="66">
        <f>Financials20263[[#This Row],[Dec AC]]-Financials20263[[#This Row],[Dec FC]]</f>
        <v>0</v>
      </c>
      <c r="BO48" s="66">
        <f>SUM(Financials20263[[#This Row],[Jan Opp/Risk]:[Dec Opp./Risk]])</f>
        <v>6057.5899999999965</v>
      </c>
      <c r="BP48" s="83" t="s">
        <v>497</v>
      </c>
      <c r="BQ48" s="44">
        <f>SUM(Financials20263[[#This Row],[Jan AC]:[Jun AC]])</f>
        <v>238926.24</v>
      </c>
      <c r="BR48" s="6">
        <f t="shared" si="17"/>
        <v>0</v>
      </c>
      <c r="BS48" s="6">
        <f>Financials20263[[#This Row],[Jul-Dec FC]]+Financials20263[[#This Row],[Pending Jan-Jun]]</f>
        <v>0</v>
      </c>
      <c r="BT48" s="6"/>
      <c r="BU48" s="6"/>
      <c r="BV48" s="6"/>
    </row>
    <row r="49" spans="1:74" hidden="1">
      <c r="A49" s="20" t="s">
        <v>320</v>
      </c>
      <c r="B49" s="19" t="s">
        <v>201</v>
      </c>
      <c r="C49" s="19" t="s">
        <v>498</v>
      </c>
      <c r="D49" s="10" t="s">
        <v>343</v>
      </c>
      <c r="E49" s="7" t="s">
        <v>344</v>
      </c>
      <c r="F49" s="3" t="s">
        <v>345</v>
      </c>
      <c r="G49" s="3" t="s">
        <v>22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19" t="s">
        <v>252</v>
      </c>
      <c r="M49" s="19" t="s">
        <v>16</v>
      </c>
      <c r="N49" s="19" t="s">
        <v>16</v>
      </c>
      <c r="O49" s="19"/>
      <c r="P49" s="19" t="s">
        <v>326</v>
      </c>
      <c r="Q49" s="19" t="s">
        <v>327</v>
      </c>
      <c r="R49" s="19" t="s">
        <v>327</v>
      </c>
      <c r="S49" s="19" t="s">
        <v>354</v>
      </c>
      <c r="T49" s="5">
        <v>12000</v>
      </c>
      <c r="U49" s="15">
        <v>12600</v>
      </c>
      <c r="V49" s="15">
        <v>12600</v>
      </c>
      <c r="W49" s="15">
        <f t="shared" si="16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376</v>
      </c>
      <c r="AB49" s="47"/>
      <c r="AC49" s="47">
        <v>12600</v>
      </c>
      <c r="AD49" s="47"/>
      <c r="AE49" s="47"/>
      <c r="AF49" s="47"/>
      <c r="AG49" s="46"/>
      <c r="AH49" s="47"/>
      <c r="AI49" s="47"/>
      <c r="AJ49" s="47"/>
      <c r="AK49" s="47"/>
      <c r="AL49" s="47"/>
      <c r="AM49" s="47"/>
      <c r="AN49" s="47">
        <f>SUM(Financials20263[[#This Row],[Jan FC]:[Dec FC]])</f>
        <v>12600</v>
      </c>
      <c r="AO49" s="15">
        <f>SUM(Financials20263[[#This Row],[Jul FC]:[Dec FC]])</f>
        <v>0</v>
      </c>
      <c r="AP49" s="56"/>
      <c r="AQ49" s="56">
        <v>12000</v>
      </c>
      <c r="AR49" s="56"/>
      <c r="AS49" s="56"/>
      <c r="AT49" s="56"/>
      <c r="AU49" s="55"/>
      <c r="AV49" s="56"/>
      <c r="AW49" s="56"/>
      <c r="AX49" s="56"/>
      <c r="AY49" s="56"/>
      <c r="AZ49" s="56"/>
      <c r="BA49" s="56"/>
      <c r="BB49" s="75">
        <f>SUM(Financials20263[[#This Row],[Jan AC]:[Dec AC]])</f>
        <v>12000</v>
      </c>
      <c r="BC49" s="66">
        <f>Financials20263[[#This Row],[Jan AC]]-Financials20263[[#This Row],[Jan FC]]</f>
        <v>0</v>
      </c>
      <c r="BD49" s="66">
        <f>Financials20263[[#This Row],[Feb AC]]-Financials20263[[#This Row],[Feb FC]]</f>
        <v>-600</v>
      </c>
      <c r="BE49" s="66">
        <f>Financials20263[[#This Row],[Mar AC]]-Financials20263[[#This Row],[Mar FC]]</f>
        <v>0</v>
      </c>
      <c r="BF49" s="66">
        <f>Financials20263[[#This Row],[Apr AC]]-Financials20263[[#This Row],[Apr FC]]</f>
        <v>0</v>
      </c>
      <c r="BG49" s="66">
        <f>Financials20263[[#This Row],[May AC]]-Financials20263[[#This Row],[May FC]]</f>
        <v>0</v>
      </c>
      <c r="BH49" s="66">
        <f>Financials20263[[#This Row],[Jun AC]]-Financials20263[[#This Row],[Jun FC]]</f>
        <v>0</v>
      </c>
      <c r="BI49" s="66">
        <f>Financials20263[[#This Row],[Jul AC]]-Financials20263[[#This Row],[Jul FC]]</f>
        <v>0</v>
      </c>
      <c r="BJ49" s="66">
        <f>Financials20263[[#This Row],[Aug AC]]-Financials20263[[#This Row],[Aug FC]]</f>
        <v>0</v>
      </c>
      <c r="BK49" s="66">
        <f>Financials20263[[#This Row],[Sep AC]]-Financials20263[[#This Row],[Sep FC]]</f>
        <v>0</v>
      </c>
      <c r="BL49" s="66">
        <f>Financials20263[[#This Row],[Oct AC]]-Financials20263[[#This Row],[Oct FC]]</f>
        <v>0</v>
      </c>
      <c r="BM49" s="66">
        <f>Financials20263[[#This Row],[Nov AC]]-Financials20263[[#This Row],[Nov FC]]</f>
        <v>0</v>
      </c>
      <c r="BN49" s="66">
        <f>Financials20263[[#This Row],[Dec AC]]-Financials20263[[#This Row],[Dec FC]]</f>
        <v>0</v>
      </c>
      <c r="BO49" s="66">
        <f>SUM(Financials20263[[#This Row],[Jan Opp/Risk]:[Dec Opp./Risk]])</f>
        <v>-600</v>
      </c>
      <c r="BP49" s="82" t="s">
        <v>377</v>
      </c>
      <c r="BQ49" s="44">
        <f>SUM(Financials20263[[#This Row],[Jan AC]:[Jun AC]])</f>
        <v>12000</v>
      </c>
      <c r="BR49" s="6">
        <f t="shared" si="17"/>
        <v>0</v>
      </c>
      <c r="BS49" s="6">
        <f>Financials20263[[#This Row],[Jul-Dec FC]]+Financials20263[[#This Row],[Pending Jan-Jun]]</f>
        <v>0</v>
      </c>
      <c r="BT49" s="6"/>
      <c r="BU49" s="6"/>
      <c r="BV49" s="6"/>
    </row>
    <row r="50" spans="1:74" hidden="1">
      <c r="A50" s="20" t="s">
        <v>320</v>
      </c>
      <c r="B50" s="19" t="s">
        <v>235</v>
      </c>
      <c r="C50" s="19" t="s">
        <v>499</v>
      </c>
      <c r="D50" s="10" t="s">
        <v>459</v>
      </c>
      <c r="E50" s="7" t="s">
        <v>460</v>
      </c>
      <c r="F50" s="3" t="s">
        <v>335</v>
      </c>
      <c r="G50" s="3" t="s">
        <v>25</v>
      </c>
      <c r="H50" s="4">
        <v>45857</v>
      </c>
      <c r="I50" s="4">
        <v>46221</v>
      </c>
      <c r="J50" s="3" t="s">
        <v>500</v>
      </c>
      <c r="K50" s="3" t="str">
        <f t="shared" si="0"/>
        <v>Prj000446-Implement - Minor Enhancements for Enterprise Apps</v>
      </c>
      <c r="L50" s="19" t="s">
        <v>252</v>
      </c>
      <c r="M50" s="19" t="s">
        <v>16</v>
      </c>
      <c r="N50" s="19" t="s">
        <v>16</v>
      </c>
      <c r="O50" s="19"/>
      <c r="P50" s="19" t="s">
        <v>326</v>
      </c>
      <c r="Q50" s="19" t="s">
        <v>327</v>
      </c>
      <c r="R50" s="19" t="s">
        <v>327</v>
      </c>
      <c r="S50" s="19" t="s">
        <v>354</v>
      </c>
      <c r="T50" s="5">
        <v>85330.79</v>
      </c>
      <c r="U50" s="15">
        <v>90000</v>
      </c>
      <c r="V50" s="15">
        <v>90000</v>
      </c>
      <c r="W50" s="15">
        <f t="shared" si="16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501</v>
      </c>
      <c r="AB50" s="47"/>
      <c r="AC50" s="47"/>
      <c r="AD50" s="47"/>
      <c r="AE50" s="47"/>
      <c r="AF50" s="47"/>
      <c r="AG50" s="46"/>
      <c r="AH50" s="47"/>
      <c r="AI50" s="47">
        <v>90000</v>
      </c>
      <c r="AJ50" s="47"/>
      <c r="AK50" s="47"/>
      <c r="AL50" s="46"/>
      <c r="AM50" s="46"/>
      <c r="AN50" s="46">
        <f>SUM(Financials20263[[#This Row],[Jan FC]:[Dec FC]])</f>
        <v>90000</v>
      </c>
      <c r="AO50" s="15">
        <f>SUM(Financials20263[[#This Row],[Jul FC]:[Dec FC]])</f>
        <v>90000</v>
      </c>
      <c r="AP50" s="56"/>
      <c r="AQ50" s="56"/>
      <c r="AR50" s="56"/>
      <c r="AS50" s="56"/>
      <c r="AT50" s="56"/>
      <c r="AU50" s="55"/>
      <c r="AV50" s="56"/>
      <c r="AW50" s="56"/>
      <c r="AX50" s="56"/>
      <c r="AY50" s="56"/>
      <c r="AZ50" s="55"/>
      <c r="BA50" s="55"/>
      <c r="BB50" s="74">
        <f>SUM(Financials20263[[#This Row],[Jan AC]:[Dec AC]])</f>
        <v>0</v>
      </c>
      <c r="BC50" s="66">
        <f>Financials20263[[#This Row],[Jan AC]]-Financials20263[[#This Row],[Jan FC]]</f>
        <v>0</v>
      </c>
      <c r="BD50" s="66">
        <f>Financials20263[[#This Row],[Feb AC]]-Financials20263[[#This Row],[Feb FC]]</f>
        <v>0</v>
      </c>
      <c r="BE50" s="66">
        <f>Financials20263[[#This Row],[Mar AC]]-Financials20263[[#This Row],[Mar FC]]</f>
        <v>0</v>
      </c>
      <c r="BF50" s="66">
        <f>Financials20263[[#This Row],[Apr AC]]-Financials20263[[#This Row],[Apr FC]]</f>
        <v>0</v>
      </c>
      <c r="BG50" s="66">
        <f>Financials20263[[#This Row],[May AC]]-Financials20263[[#This Row],[May FC]]</f>
        <v>0</v>
      </c>
      <c r="BH50" s="66">
        <f>Financials20263[[#This Row],[Jun AC]]-Financials20263[[#This Row],[Jun FC]]</f>
        <v>0</v>
      </c>
      <c r="BI50" s="66">
        <f>Financials20263[[#This Row],[Jul AC]]-Financials20263[[#This Row],[Jul FC]]</f>
        <v>0</v>
      </c>
      <c r="BJ50" s="66">
        <f>Financials20263[[#This Row],[Aug AC]]-Financials20263[[#This Row],[Aug FC]]</f>
        <v>-90000</v>
      </c>
      <c r="BK50" s="66">
        <f>Financials20263[[#This Row],[Sep AC]]-Financials20263[[#This Row],[Sep FC]]</f>
        <v>0</v>
      </c>
      <c r="BL50" s="66">
        <f>Financials20263[[#This Row],[Oct AC]]-Financials20263[[#This Row],[Oct FC]]</f>
        <v>0</v>
      </c>
      <c r="BM50" s="66">
        <f>Financials20263[[#This Row],[Nov AC]]-Financials20263[[#This Row],[Nov FC]]</f>
        <v>0</v>
      </c>
      <c r="BN50" s="66">
        <f>Financials20263[[#This Row],[Dec AC]]-Financials20263[[#This Row],[Dec FC]]</f>
        <v>0</v>
      </c>
      <c r="BO50" s="66">
        <f>SUM(Financials20263[[#This Row],[Jan Opp/Risk]:[Dec Opp./Risk]])</f>
        <v>-90000</v>
      </c>
      <c r="BP50" s="82"/>
      <c r="BQ50" s="44">
        <f>SUM(Financials20263[[#This Row],[Jan AC]:[Jun AC]])</f>
        <v>0</v>
      </c>
      <c r="BR50" s="6">
        <f t="shared" si="17"/>
        <v>0</v>
      </c>
      <c r="BS50" s="6">
        <f>Financials20263[[#This Row],[Jul-Dec FC]]+Financials20263[[#This Row],[Pending Jan-Jun]]</f>
        <v>90000</v>
      </c>
      <c r="BT50" s="6"/>
      <c r="BU50" s="6"/>
      <c r="BV50" s="6"/>
    </row>
    <row r="51" spans="1:74" hidden="1">
      <c r="A51" s="20" t="s">
        <v>320</v>
      </c>
      <c r="B51" s="19" t="s">
        <v>44</v>
      </c>
      <c r="C51" s="19" t="s">
        <v>448</v>
      </c>
      <c r="D51" s="10" t="s">
        <v>343</v>
      </c>
      <c r="E51" s="7" t="s">
        <v>344</v>
      </c>
      <c r="F51" s="3" t="s">
        <v>345</v>
      </c>
      <c r="G51" s="3" t="s">
        <v>22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19" t="s">
        <v>252</v>
      </c>
      <c r="M51" s="19" t="s">
        <v>16</v>
      </c>
      <c r="N51" s="19" t="s">
        <v>16</v>
      </c>
      <c r="O51" s="19" t="s">
        <v>16</v>
      </c>
      <c r="P51" s="19" t="s">
        <v>326</v>
      </c>
      <c r="Q51" s="19" t="s">
        <v>327</v>
      </c>
      <c r="R51" s="19" t="s">
        <v>327</v>
      </c>
      <c r="S51" s="19" t="s">
        <v>354</v>
      </c>
      <c r="T51" s="5">
        <v>80119</v>
      </c>
      <c r="U51" s="15">
        <v>96543</v>
      </c>
      <c r="V51" s="15">
        <f>96543+3644+1104</f>
        <v>101291</v>
      </c>
      <c r="W51" s="15">
        <f t="shared" si="16"/>
        <v>101291</v>
      </c>
      <c r="X51" s="15">
        <f t="shared" si="7"/>
        <v>0</v>
      </c>
      <c r="Y51" s="15">
        <f t="shared" si="2"/>
        <v>0</v>
      </c>
      <c r="Z51" s="15">
        <f>SUM(Financials20263[[#This Row],[2026 Opportunity]:[2026 Risk]])</f>
        <v>0</v>
      </c>
      <c r="AA51" s="3" t="s">
        <v>502</v>
      </c>
      <c r="AB51" s="47"/>
      <c r="AC51" s="47"/>
      <c r="AD51" s="47"/>
      <c r="AE51" s="47"/>
      <c r="AF51" s="47">
        <f>96543</f>
        <v>96543</v>
      </c>
      <c r="AG51" s="47"/>
      <c r="AH51" s="47"/>
      <c r="AI51" s="47"/>
      <c r="AJ51" s="47"/>
      <c r="AK51" s="47"/>
      <c r="AL51" s="47"/>
      <c r="AM51" s="47"/>
      <c r="AN51" s="46">
        <f>SUM(Financials20263[[#This Row],[Jan FC]:[Dec FC]])</f>
        <v>96543</v>
      </c>
      <c r="AO51" s="15">
        <f>SUM(Financials20263[[#This Row],[Jul FC]:[Dec FC]])</f>
        <v>0</v>
      </c>
      <c r="AP51" s="56"/>
      <c r="AQ51" s="56"/>
      <c r="AR51" s="56"/>
      <c r="AS51" s="56"/>
      <c r="AT51" s="56">
        <f>101291</f>
        <v>101291</v>
      </c>
      <c r="AU51" s="56"/>
      <c r="AV51" s="56"/>
      <c r="AW51" s="56"/>
      <c r="AX51" s="56"/>
      <c r="AY51" s="56"/>
      <c r="AZ51" s="56"/>
      <c r="BA51" s="56"/>
      <c r="BB51" s="74">
        <f>SUM(Financials20263[[#This Row],[Jan AC]:[Dec AC]])</f>
        <v>101291</v>
      </c>
      <c r="BC51" s="66">
        <f>Financials20263[[#This Row],[Jan AC]]-Financials20263[[#This Row],[Jan FC]]</f>
        <v>0</v>
      </c>
      <c r="BD51" s="66">
        <f>Financials20263[[#This Row],[Feb AC]]-Financials20263[[#This Row],[Feb FC]]</f>
        <v>0</v>
      </c>
      <c r="BE51" s="66">
        <f>Financials20263[[#This Row],[Mar AC]]-Financials20263[[#This Row],[Mar FC]]</f>
        <v>0</v>
      </c>
      <c r="BF51" s="66">
        <f>Financials20263[[#This Row],[Apr AC]]-Financials20263[[#This Row],[Apr FC]]</f>
        <v>0</v>
      </c>
      <c r="BG51" s="66">
        <f>Financials20263[[#This Row],[May AC]]-Financials20263[[#This Row],[May FC]]</f>
        <v>4748</v>
      </c>
      <c r="BH51" s="66">
        <f>Financials20263[[#This Row],[Jun AC]]-Financials20263[[#This Row],[Jun FC]]</f>
        <v>0</v>
      </c>
      <c r="BI51" s="66">
        <f>Financials20263[[#This Row],[Jul AC]]-Financials20263[[#This Row],[Jul FC]]</f>
        <v>0</v>
      </c>
      <c r="BJ51" s="66">
        <f>Financials20263[[#This Row],[Aug AC]]-Financials20263[[#This Row],[Aug FC]]</f>
        <v>0</v>
      </c>
      <c r="BK51" s="66">
        <f>Financials20263[[#This Row],[Sep AC]]-Financials20263[[#This Row],[Sep FC]]</f>
        <v>0</v>
      </c>
      <c r="BL51" s="66">
        <f>Financials20263[[#This Row],[Oct AC]]-Financials20263[[#This Row],[Oct FC]]</f>
        <v>0</v>
      </c>
      <c r="BM51" s="66">
        <f>Financials20263[[#This Row],[Nov AC]]-Financials20263[[#This Row],[Nov FC]]</f>
        <v>0</v>
      </c>
      <c r="BN51" s="66">
        <f>Financials20263[[#This Row],[Dec AC]]-Financials20263[[#This Row],[Dec FC]]</f>
        <v>0</v>
      </c>
      <c r="BO51" s="66">
        <f>SUM(Financials20263[[#This Row],[Jan Opp/Risk]:[Dec Opp./Risk]])</f>
        <v>4748</v>
      </c>
      <c r="BP51" s="85" t="s">
        <v>503</v>
      </c>
      <c r="BQ51" s="44">
        <f>SUM(Financials20263[[#This Row],[Jan AC]:[Jun AC]])</f>
        <v>101291</v>
      </c>
      <c r="BR51" s="6">
        <f t="shared" si="17"/>
        <v>0</v>
      </c>
      <c r="BS51" s="6">
        <f>Financials20263[[#This Row],[Jul-Dec FC]]+Financials20263[[#This Row],[Pending Jan-Jun]]</f>
        <v>0</v>
      </c>
      <c r="BT51" s="6"/>
      <c r="BU51" s="6"/>
      <c r="BV51" s="6"/>
    </row>
    <row r="52" spans="1:74" hidden="1">
      <c r="A52" s="20" t="s">
        <v>320</v>
      </c>
      <c r="B52" s="19" t="s">
        <v>44</v>
      </c>
      <c r="C52" s="19" t="s">
        <v>448</v>
      </c>
      <c r="D52" s="10" t="s">
        <v>343</v>
      </c>
      <c r="E52" s="7" t="s">
        <v>344</v>
      </c>
      <c r="F52" s="3" t="s">
        <v>345</v>
      </c>
      <c r="G52" s="3" t="s">
        <v>22</v>
      </c>
      <c r="H52" s="4">
        <v>45640</v>
      </c>
      <c r="I52" s="4">
        <v>46004</v>
      </c>
      <c r="J52" s="3" t="s">
        <v>504</v>
      </c>
      <c r="K52" s="3" t="str">
        <f t="shared" si="0"/>
        <v>Prj000344-Support - Prod support for Finance Applications</v>
      </c>
      <c r="L52" s="19" t="s">
        <v>252</v>
      </c>
      <c r="M52" s="19" t="s">
        <v>16</v>
      </c>
      <c r="N52" s="19" t="s">
        <v>16</v>
      </c>
      <c r="O52" s="19" t="s">
        <v>16</v>
      </c>
      <c r="P52" s="19" t="s">
        <v>326</v>
      </c>
      <c r="Q52" s="19" t="s">
        <v>327</v>
      </c>
      <c r="R52" s="19" t="s">
        <v>327</v>
      </c>
      <c r="S52" s="19" t="s">
        <v>354</v>
      </c>
      <c r="T52" s="5">
        <v>12000</v>
      </c>
      <c r="U52" s="15">
        <v>14460</v>
      </c>
      <c r="V52" s="15">
        <v>14460</v>
      </c>
      <c r="W52" s="15">
        <f t="shared" si="16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505</v>
      </c>
      <c r="AB52" s="47"/>
      <c r="AC52" s="47"/>
      <c r="AD52" s="47"/>
      <c r="AE52" s="47">
        <v>14460</v>
      </c>
      <c r="AF52" s="47"/>
      <c r="AG52" s="46"/>
      <c r="AH52" s="47"/>
      <c r="AI52" s="47"/>
      <c r="AJ52" s="47"/>
      <c r="AK52" s="47"/>
      <c r="AL52" s="46"/>
      <c r="AM52" s="46"/>
      <c r="AN52" s="46">
        <f>SUM(Financials20263[[#This Row],[Jan FC]:[Dec FC]])</f>
        <v>14460</v>
      </c>
      <c r="AO52" s="15">
        <f>SUM(Financials20263[[#This Row],[Jul FC]:[Dec FC]])</f>
        <v>0</v>
      </c>
      <c r="AP52" s="56"/>
      <c r="AQ52" s="56"/>
      <c r="AR52" s="56"/>
      <c r="AS52" s="56"/>
      <c r="AT52" s="56"/>
      <c r="AU52" s="55"/>
      <c r="AV52" s="56"/>
      <c r="AW52" s="56"/>
      <c r="AX52" s="56"/>
      <c r="AY52" s="56"/>
      <c r="AZ52" s="55"/>
      <c r="BA52" s="55"/>
      <c r="BB52" s="74">
        <f>SUM(Financials20263[[#This Row],[Jan AC]:[Dec AC]])</f>
        <v>0</v>
      </c>
      <c r="BC52" s="66">
        <f>Financials20263[[#This Row],[Jan AC]]-Financials20263[[#This Row],[Jan FC]]</f>
        <v>0</v>
      </c>
      <c r="BD52" s="66">
        <f>Financials20263[[#This Row],[Feb AC]]-Financials20263[[#This Row],[Feb FC]]</f>
        <v>0</v>
      </c>
      <c r="BE52" s="66">
        <f>Financials20263[[#This Row],[Mar AC]]-Financials20263[[#This Row],[Mar FC]]</f>
        <v>0</v>
      </c>
      <c r="BF52" s="66">
        <f>Financials20263[[#This Row],[Apr AC]]-Financials20263[[#This Row],[Apr FC]]</f>
        <v>-14460</v>
      </c>
      <c r="BG52" s="66">
        <f>Financials20263[[#This Row],[May AC]]-Financials20263[[#This Row],[May FC]]</f>
        <v>0</v>
      </c>
      <c r="BH52" s="66">
        <f>Financials20263[[#This Row],[Jun AC]]-Financials20263[[#This Row],[Jun FC]]</f>
        <v>0</v>
      </c>
      <c r="BI52" s="66">
        <f>Financials20263[[#This Row],[Jul AC]]-Financials20263[[#This Row],[Jul FC]]</f>
        <v>0</v>
      </c>
      <c r="BJ52" s="66">
        <f>Financials20263[[#This Row],[Aug AC]]-Financials20263[[#This Row],[Aug FC]]</f>
        <v>0</v>
      </c>
      <c r="BK52" s="66">
        <f>Financials20263[[#This Row],[Sep AC]]-Financials20263[[#This Row],[Sep FC]]</f>
        <v>0</v>
      </c>
      <c r="BL52" s="66">
        <f>Financials20263[[#This Row],[Oct AC]]-Financials20263[[#This Row],[Oct FC]]</f>
        <v>0</v>
      </c>
      <c r="BM52" s="66">
        <f>Financials20263[[#This Row],[Nov AC]]-Financials20263[[#This Row],[Nov FC]]</f>
        <v>0</v>
      </c>
      <c r="BN52" s="66">
        <f>Financials20263[[#This Row],[Dec AC]]-Financials20263[[#This Row],[Dec FC]]</f>
        <v>0</v>
      </c>
      <c r="BO52" s="66">
        <f>SUM(Financials20263[[#This Row],[Jan Opp/Risk]:[Dec Opp./Risk]])</f>
        <v>-14460</v>
      </c>
      <c r="BP52" s="85"/>
      <c r="BQ52" s="44">
        <f>SUM(Financials20263[[#This Row],[Jan AC]:[Jun AC]])</f>
        <v>0</v>
      </c>
      <c r="BR52" s="6">
        <f t="shared" si="17"/>
        <v>14460</v>
      </c>
      <c r="BS52" s="6">
        <f>Financials20263[[#This Row],[Jul-Dec FC]]+Financials20263[[#This Row],[Pending Jan-Jun]]</f>
        <v>14460</v>
      </c>
      <c r="BT52" s="6"/>
      <c r="BU52" s="6"/>
      <c r="BV52" s="6"/>
    </row>
    <row r="53" spans="1:74" hidden="1">
      <c r="A53" s="20" t="s">
        <v>320</v>
      </c>
      <c r="B53" s="19" t="s">
        <v>44</v>
      </c>
      <c r="C53" s="19" t="s">
        <v>448</v>
      </c>
      <c r="D53" s="10" t="s">
        <v>449</v>
      </c>
      <c r="E53" s="7" t="s">
        <v>450</v>
      </c>
      <c r="F53" s="3" t="s">
        <v>451</v>
      </c>
      <c r="G53" s="3" t="s">
        <v>20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19" t="s">
        <v>252</v>
      </c>
      <c r="M53" s="19" t="s">
        <v>16</v>
      </c>
      <c r="N53" s="19" t="s">
        <v>16</v>
      </c>
      <c r="O53" s="19" t="s">
        <v>16</v>
      </c>
      <c r="P53" s="19" t="s">
        <v>326</v>
      </c>
      <c r="Q53" s="19" t="s">
        <v>327</v>
      </c>
      <c r="R53" s="19" t="s">
        <v>327</v>
      </c>
      <c r="S53" s="19" t="s">
        <v>354</v>
      </c>
      <c r="T53" s="5">
        <v>80161</v>
      </c>
      <c r="U53" s="15">
        <v>59783.0625</v>
      </c>
      <c r="V53" s="15">
        <v>59783.0625</v>
      </c>
      <c r="W53" s="15">
        <f t="shared" si="16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506</v>
      </c>
      <c r="AB53" s="47"/>
      <c r="AC53" s="47"/>
      <c r="AD53" s="47"/>
      <c r="AE53" s="47"/>
      <c r="AF53" s="47"/>
      <c r="AG53" s="46"/>
      <c r="AH53" s="47"/>
      <c r="AI53" s="47"/>
      <c r="AJ53" s="47"/>
      <c r="AK53" s="47"/>
      <c r="AL53" s="46">
        <v>59783.0625</v>
      </c>
      <c r="AM53" s="46"/>
      <c r="AN53" s="46">
        <f>SUM(Financials20263[[#This Row],[Jan FC]:[Dec FC]])</f>
        <v>59783.0625</v>
      </c>
      <c r="AO53" s="15">
        <f>SUM(Financials20263[[#This Row],[Jul FC]:[Dec FC]])</f>
        <v>59783.0625</v>
      </c>
      <c r="AP53" s="56"/>
      <c r="AQ53" s="56"/>
      <c r="AR53" s="56"/>
      <c r="AS53" s="56"/>
      <c r="AT53" s="56"/>
      <c r="AU53" s="55"/>
      <c r="AV53" s="56"/>
      <c r="AW53" s="56"/>
      <c r="AX53" s="56"/>
      <c r="AY53" s="56"/>
      <c r="AZ53" s="55"/>
      <c r="BA53" s="55"/>
      <c r="BB53" s="74">
        <f>SUM(Financials20263[[#This Row],[Jan AC]:[Dec AC]])</f>
        <v>0</v>
      </c>
      <c r="BC53" s="66">
        <f>Financials20263[[#This Row],[Jan AC]]-Financials20263[[#This Row],[Jan FC]]</f>
        <v>0</v>
      </c>
      <c r="BD53" s="66">
        <f>Financials20263[[#This Row],[Feb AC]]-Financials20263[[#This Row],[Feb FC]]</f>
        <v>0</v>
      </c>
      <c r="BE53" s="66">
        <f>Financials20263[[#This Row],[Mar AC]]-Financials20263[[#This Row],[Mar FC]]</f>
        <v>0</v>
      </c>
      <c r="BF53" s="66">
        <f>Financials20263[[#This Row],[Apr AC]]-Financials20263[[#This Row],[Apr FC]]</f>
        <v>0</v>
      </c>
      <c r="BG53" s="66">
        <f>Financials20263[[#This Row],[May AC]]-Financials20263[[#This Row],[May FC]]</f>
        <v>0</v>
      </c>
      <c r="BH53" s="66">
        <f>Financials20263[[#This Row],[Jun AC]]-Financials20263[[#This Row],[Jun FC]]</f>
        <v>0</v>
      </c>
      <c r="BI53" s="66">
        <f>Financials20263[[#This Row],[Jul AC]]-Financials20263[[#This Row],[Jul FC]]</f>
        <v>0</v>
      </c>
      <c r="BJ53" s="66">
        <f>Financials20263[[#This Row],[Aug AC]]-Financials20263[[#This Row],[Aug FC]]</f>
        <v>0</v>
      </c>
      <c r="BK53" s="66">
        <f>Financials20263[[#This Row],[Sep AC]]-Financials20263[[#This Row],[Sep FC]]</f>
        <v>0</v>
      </c>
      <c r="BL53" s="66">
        <f>Financials20263[[#This Row],[Oct AC]]-Financials20263[[#This Row],[Oct FC]]</f>
        <v>0</v>
      </c>
      <c r="BM53" s="66">
        <f>Financials20263[[#This Row],[Nov AC]]-Financials20263[[#This Row],[Nov FC]]</f>
        <v>-59783.0625</v>
      </c>
      <c r="BN53" s="66">
        <f>Financials20263[[#This Row],[Dec AC]]-Financials20263[[#This Row],[Dec FC]]</f>
        <v>0</v>
      </c>
      <c r="BO53" s="66">
        <f>SUM(Financials20263[[#This Row],[Jan Opp/Risk]:[Dec Opp./Risk]])</f>
        <v>-59783.0625</v>
      </c>
      <c r="BP53" s="85"/>
      <c r="BQ53" s="44">
        <f>SUM(Financials20263[[#This Row],[Jan AC]:[Jun AC]])</f>
        <v>0</v>
      </c>
      <c r="BR53" s="6">
        <f t="shared" si="17"/>
        <v>0</v>
      </c>
      <c r="BS53" s="6">
        <f>Financials20263[[#This Row],[Jul-Dec FC]]+Financials20263[[#This Row],[Pending Jan-Jun]]</f>
        <v>59783.0625</v>
      </c>
      <c r="BT53" s="6"/>
      <c r="BU53" s="6"/>
      <c r="BV53" s="6"/>
    </row>
    <row r="54" spans="1:74" hidden="1">
      <c r="A54" s="20" t="s">
        <v>320</v>
      </c>
      <c r="B54" s="19" t="s">
        <v>213</v>
      </c>
      <c r="C54" s="19" t="s">
        <v>507</v>
      </c>
      <c r="D54" s="10" t="s">
        <v>508</v>
      </c>
      <c r="E54" s="7" t="s">
        <v>509</v>
      </c>
      <c r="F54" s="3" t="s">
        <v>396</v>
      </c>
      <c r="G54" s="3" t="s">
        <v>23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19" t="s">
        <v>252</v>
      </c>
      <c r="M54" s="19" t="s">
        <v>16</v>
      </c>
      <c r="N54" s="19" t="s">
        <v>16</v>
      </c>
      <c r="O54" s="19"/>
      <c r="P54" s="19" t="s">
        <v>326</v>
      </c>
      <c r="Q54" s="19" t="s">
        <v>327</v>
      </c>
      <c r="R54" s="19" t="s">
        <v>327</v>
      </c>
      <c r="S54" s="19" t="s">
        <v>354</v>
      </c>
      <c r="T54" s="5">
        <v>1200</v>
      </c>
      <c r="U54" s="15">
        <v>1260</v>
      </c>
      <c r="V54" s="15">
        <v>1260</v>
      </c>
      <c r="W54" s="15">
        <f t="shared" si="16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376</v>
      </c>
      <c r="AB54" s="47">
        <v>1260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>
        <v>0</v>
      </c>
      <c r="AJ54" s="47">
        <v>0</v>
      </c>
      <c r="AK54" s="47">
        <v>0</v>
      </c>
      <c r="AL54" s="47">
        <v>0</v>
      </c>
      <c r="AM54" s="47">
        <v>0</v>
      </c>
      <c r="AN54" s="47">
        <f>SUM(Financials20263[[#This Row],[Jan FC]:[Dec FC]])</f>
        <v>1260</v>
      </c>
      <c r="AO54" s="15">
        <f>SUM(Financials20263[[#This Row],[Jul FC]:[Dec FC]])</f>
        <v>0</v>
      </c>
      <c r="AP54" s="56">
        <v>1260</v>
      </c>
      <c r="AQ54" s="56">
        <v>0</v>
      </c>
      <c r="AR54" s="56">
        <v>0</v>
      </c>
      <c r="AS54" s="56">
        <v>0</v>
      </c>
      <c r="AT54" s="56">
        <v>0</v>
      </c>
      <c r="AU54" s="56">
        <v>0</v>
      </c>
      <c r="AV54" s="56">
        <v>0</v>
      </c>
      <c r="AW54" s="56">
        <v>0</v>
      </c>
      <c r="AX54" s="56">
        <v>0</v>
      </c>
      <c r="AY54" s="56">
        <v>0</v>
      </c>
      <c r="AZ54" s="56">
        <v>0</v>
      </c>
      <c r="BA54" s="56">
        <v>0</v>
      </c>
      <c r="BB54" s="75">
        <f>SUM(Financials20263[[#This Row],[Jan AC]:[Dec AC]])</f>
        <v>1260</v>
      </c>
      <c r="BC54" s="66">
        <f>Financials20263[[#This Row],[Jan AC]]-Financials20263[[#This Row],[Jan FC]]</f>
        <v>0</v>
      </c>
      <c r="BD54" s="66">
        <f>Financials20263[[#This Row],[Feb AC]]-Financials20263[[#This Row],[Feb FC]]</f>
        <v>0</v>
      </c>
      <c r="BE54" s="66">
        <f>Financials20263[[#This Row],[Mar AC]]-Financials20263[[#This Row],[Mar FC]]</f>
        <v>0</v>
      </c>
      <c r="BF54" s="66">
        <f>Financials20263[[#This Row],[Apr AC]]-Financials20263[[#This Row],[Apr FC]]</f>
        <v>0</v>
      </c>
      <c r="BG54" s="66">
        <f>Financials20263[[#This Row],[May AC]]-Financials20263[[#This Row],[May FC]]</f>
        <v>0</v>
      </c>
      <c r="BH54" s="66">
        <f>Financials20263[[#This Row],[Jun AC]]-Financials20263[[#This Row],[Jun FC]]</f>
        <v>0</v>
      </c>
      <c r="BI54" s="66">
        <f>Financials20263[[#This Row],[Jul AC]]-Financials20263[[#This Row],[Jul FC]]</f>
        <v>0</v>
      </c>
      <c r="BJ54" s="66">
        <f>Financials20263[[#This Row],[Aug AC]]-Financials20263[[#This Row],[Aug FC]]</f>
        <v>0</v>
      </c>
      <c r="BK54" s="66">
        <f>Financials20263[[#This Row],[Sep AC]]-Financials20263[[#This Row],[Sep FC]]</f>
        <v>0</v>
      </c>
      <c r="BL54" s="66">
        <f>Financials20263[[#This Row],[Oct AC]]-Financials20263[[#This Row],[Oct FC]]</f>
        <v>0</v>
      </c>
      <c r="BM54" s="66">
        <f>Financials20263[[#This Row],[Nov AC]]-Financials20263[[#This Row],[Nov FC]]</f>
        <v>0</v>
      </c>
      <c r="BN54" s="66">
        <f>Financials20263[[#This Row],[Dec AC]]-Financials20263[[#This Row],[Dec FC]]</f>
        <v>0</v>
      </c>
      <c r="BO54" s="66">
        <f>SUM(Financials20263[[#This Row],[Jan Opp/Risk]:[Dec Opp./Risk]])</f>
        <v>0</v>
      </c>
      <c r="BP54" s="82"/>
      <c r="BQ54" s="44">
        <f>SUM(Financials20263[[#This Row],[Jan AC]:[Jun AC]])</f>
        <v>1260</v>
      </c>
      <c r="BR54" s="6">
        <f t="shared" si="17"/>
        <v>0</v>
      </c>
      <c r="BS54" s="6">
        <f>Financials20263[[#This Row],[Jul-Dec FC]]+Financials20263[[#This Row],[Pending Jan-Jun]]</f>
        <v>0</v>
      </c>
      <c r="BT54" s="6"/>
      <c r="BU54" s="6"/>
      <c r="BV54" s="6"/>
    </row>
    <row r="55" spans="1:74" hidden="1">
      <c r="A55" s="20" t="s">
        <v>320</v>
      </c>
      <c r="B55" s="19" t="s">
        <v>185</v>
      </c>
      <c r="C55" s="19" t="s">
        <v>510</v>
      </c>
      <c r="D55" s="10" t="s">
        <v>511</v>
      </c>
      <c r="E55" s="7" t="s">
        <v>512</v>
      </c>
      <c r="F55" s="3" t="s">
        <v>324</v>
      </c>
      <c r="G55" s="3" t="s">
        <v>21</v>
      </c>
      <c r="H55" s="4">
        <v>45912</v>
      </c>
      <c r="I55" s="4">
        <v>46174</v>
      </c>
      <c r="J55" s="3" t="s">
        <v>513</v>
      </c>
      <c r="K55" s="3" t="str">
        <f t="shared" si="0"/>
        <v>Prj000410-Support - Tech Enablement 2026</v>
      </c>
      <c r="L55" s="19" t="s">
        <v>252</v>
      </c>
      <c r="M55" s="19" t="s">
        <v>16</v>
      </c>
      <c r="N55" s="19" t="s">
        <v>16</v>
      </c>
      <c r="O55" s="19"/>
      <c r="P55" s="19" t="s">
        <v>326</v>
      </c>
      <c r="Q55" s="19" t="s">
        <v>327</v>
      </c>
      <c r="R55" s="19" t="s">
        <v>327</v>
      </c>
      <c r="S55" s="19" t="s">
        <v>354</v>
      </c>
      <c r="T55" s="5">
        <v>1643.58</v>
      </c>
      <c r="U55" s="15">
        <v>1725.759</v>
      </c>
      <c r="V55" s="15">
        <v>1725.759</v>
      </c>
      <c r="W55" s="15">
        <f t="shared" si="16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514</v>
      </c>
      <c r="AB55" s="47"/>
      <c r="AC55" s="47"/>
      <c r="AD55" s="47"/>
      <c r="AE55" s="47"/>
      <c r="AF55" s="47"/>
      <c r="AG55" s="46"/>
      <c r="AH55" s="47"/>
      <c r="AI55" s="47"/>
      <c r="AJ55" s="47">
        <v>1726</v>
      </c>
      <c r="AK55" s="47"/>
      <c r="AL55" s="47"/>
      <c r="AM55" s="47"/>
      <c r="AN55" s="47">
        <f>SUM(Financials20263[[#This Row],[Jan FC]:[Dec FC]])</f>
        <v>1726</v>
      </c>
      <c r="AO55" s="15">
        <f>SUM(Financials20263[[#This Row],[Jul FC]:[Dec FC]])</f>
        <v>1726</v>
      </c>
      <c r="AP55" s="56"/>
      <c r="AQ55" s="56"/>
      <c r="AR55" s="56"/>
      <c r="AS55" s="56"/>
      <c r="AT55" s="56"/>
      <c r="AU55" s="55"/>
      <c r="AV55" s="56"/>
      <c r="AW55" s="56"/>
      <c r="AX55" s="56"/>
      <c r="AY55" s="56"/>
      <c r="AZ55" s="56"/>
      <c r="BA55" s="56"/>
      <c r="BB55" s="75">
        <f>SUM(Financials20263[[#This Row],[Jan AC]:[Dec AC]])</f>
        <v>0</v>
      </c>
      <c r="BC55" s="66">
        <f>Financials20263[[#This Row],[Jan AC]]-Financials20263[[#This Row],[Jan FC]]</f>
        <v>0</v>
      </c>
      <c r="BD55" s="66">
        <f>Financials20263[[#This Row],[Feb AC]]-Financials20263[[#This Row],[Feb FC]]</f>
        <v>0</v>
      </c>
      <c r="BE55" s="66">
        <f>Financials20263[[#This Row],[Mar AC]]-Financials20263[[#This Row],[Mar FC]]</f>
        <v>0</v>
      </c>
      <c r="BF55" s="66">
        <f>Financials20263[[#This Row],[Apr AC]]-Financials20263[[#This Row],[Apr FC]]</f>
        <v>0</v>
      </c>
      <c r="BG55" s="66">
        <f>Financials20263[[#This Row],[May AC]]-Financials20263[[#This Row],[May FC]]</f>
        <v>0</v>
      </c>
      <c r="BH55" s="66">
        <f>Financials20263[[#This Row],[Jun AC]]-Financials20263[[#This Row],[Jun FC]]</f>
        <v>0</v>
      </c>
      <c r="BI55" s="66">
        <f>Financials20263[[#This Row],[Jul AC]]-Financials20263[[#This Row],[Jul FC]]</f>
        <v>0</v>
      </c>
      <c r="BJ55" s="66">
        <f>Financials20263[[#This Row],[Aug AC]]-Financials20263[[#This Row],[Aug FC]]</f>
        <v>0</v>
      </c>
      <c r="BK55" s="66">
        <f>Financials20263[[#This Row],[Sep AC]]-Financials20263[[#This Row],[Sep FC]]</f>
        <v>-1726</v>
      </c>
      <c r="BL55" s="66">
        <f>Financials20263[[#This Row],[Oct AC]]-Financials20263[[#This Row],[Oct FC]]</f>
        <v>0</v>
      </c>
      <c r="BM55" s="66">
        <f>Financials20263[[#This Row],[Nov AC]]-Financials20263[[#This Row],[Nov FC]]</f>
        <v>0</v>
      </c>
      <c r="BN55" s="66">
        <f>Financials20263[[#This Row],[Dec AC]]-Financials20263[[#This Row],[Dec FC]]</f>
        <v>0</v>
      </c>
      <c r="BO55" s="66">
        <f>SUM(Financials20263[[#This Row],[Jan Opp/Risk]:[Dec Opp./Risk]])</f>
        <v>-1726</v>
      </c>
      <c r="BP55" s="82"/>
      <c r="BQ55" s="44">
        <f>SUM(Financials20263[[#This Row],[Jan AC]:[Jun AC]])</f>
        <v>0</v>
      </c>
      <c r="BR55" s="6">
        <f t="shared" si="17"/>
        <v>0</v>
      </c>
      <c r="BS55" s="6">
        <f>Financials20263[[#This Row],[Jul-Dec FC]]+Financials20263[[#This Row],[Pending Jan-Jun]]</f>
        <v>1726</v>
      </c>
      <c r="BT55" s="6"/>
      <c r="BU55" s="6"/>
      <c r="BV55" s="6"/>
    </row>
    <row r="56" spans="1:74" hidden="1">
      <c r="A56" s="20" t="s">
        <v>320</v>
      </c>
      <c r="B56" s="19" t="s">
        <v>185</v>
      </c>
      <c r="C56" s="19" t="s">
        <v>510</v>
      </c>
      <c r="D56" s="10" t="s">
        <v>511</v>
      </c>
      <c r="E56" s="7" t="s">
        <v>512</v>
      </c>
      <c r="F56" s="3" t="s">
        <v>324</v>
      </c>
      <c r="G56" s="3" t="s">
        <v>21</v>
      </c>
      <c r="H56" s="4">
        <v>45809</v>
      </c>
      <c r="I56" s="4">
        <v>46175</v>
      </c>
      <c r="J56" s="3" t="s">
        <v>513</v>
      </c>
      <c r="K56" s="3" t="str">
        <f t="shared" si="0"/>
        <v>Prj000410-Support - Tech Enablement 2026</v>
      </c>
      <c r="L56" s="19" t="s">
        <v>252</v>
      </c>
      <c r="M56" s="19" t="s">
        <v>16</v>
      </c>
      <c r="N56" s="19" t="s">
        <v>16</v>
      </c>
      <c r="O56" s="19"/>
      <c r="P56" s="19" t="s">
        <v>326</v>
      </c>
      <c r="Q56" s="19" t="s">
        <v>327</v>
      </c>
      <c r="R56" s="19" t="s">
        <v>327</v>
      </c>
      <c r="S56" s="19" t="s">
        <v>354</v>
      </c>
      <c r="T56" s="5">
        <v>24823.59</v>
      </c>
      <c r="U56" s="15">
        <v>26064.769500000002</v>
      </c>
      <c r="V56" s="15">
        <v>26064.769500000002</v>
      </c>
      <c r="W56" s="15">
        <f t="shared" si="16"/>
        <v>28087.82</v>
      </c>
      <c r="X56" s="15">
        <f t="shared" si="7"/>
        <v>0</v>
      </c>
      <c r="Y56" s="15">
        <f t="shared" si="2"/>
        <v>2023.0504999999976</v>
      </c>
      <c r="Z56" s="15">
        <f>SUM(Financials20263[[#This Row],[2026 Opportunity]:[2026 Risk]])</f>
        <v>2023.0504999999976</v>
      </c>
      <c r="AA56" s="3" t="s">
        <v>515</v>
      </c>
      <c r="AB56" s="47"/>
      <c r="AC56" s="47"/>
      <c r="AD56" s="47"/>
      <c r="AE56" s="47"/>
      <c r="AF56" s="47"/>
      <c r="AG56" s="47">
        <v>26065</v>
      </c>
      <c r="AH56" s="47"/>
      <c r="AI56" s="47"/>
      <c r="AJ56" s="47"/>
      <c r="AK56" s="47"/>
      <c r="AL56" s="47"/>
      <c r="AM56" s="47"/>
      <c r="AN56" s="47">
        <f>SUM(Financials20263[[#This Row],[Jan FC]:[Dec FC]])</f>
        <v>26065</v>
      </c>
      <c r="AO56" s="15">
        <f>SUM(Financials20263[[#This Row],[Jul FC]:[Dec FC]])</f>
        <v>0</v>
      </c>
      <c r="AP56" s="56"/>
      <c r="AQ56" s="56"/>
      <c r="AR56" s="56"/>
      <c r="AS56" s="56"/>
      <c r="AT56" s="56"/>
      <c r="AU56" s="55">
        <v>28087.82</v>
      </c>
      <c r="AV56" s="56"/>
      <c r="AW56" s="56"/>
      <c r="AX56" s="56"/>
      <c r="AY56" s="56"/>
      <c r="AZ56" s="56"/>
      <c r="BA56" s="56"/>
      <c r="BB56" s="75">
        <f>SUM(Financials20263[[#This Row],[Jan AC]:[Dec AC]])</f>
        <v>28087.82</v>
      </c>
      <c r="BC56" s="66">
        <f>Financials20263[[#This Row],[Jan AC]]-Financials20263[[#This Row],[Jan FC]]</f>
        <v>0</v>
      </c>
      <c r="BD56" s="66">
        <f>Financials20263[[#This Row],[Feb AC]]-Financials20263[[#This Row],[Feb FC]]</f>
        <v>0</v>
      </c>
      <c r="BE56" s="66">
        <f>Financials20263[[#This Row],[Mar AC]]-Financials20263[[#This Row],[Mar FC]]</f>
        <v>0</v>
      </c>
      <c r="BF56" s="66">
        <f>Financials20263[[#This Row],[Apr AC]]-Financials20263[[#This Row],[Apr FC]]</f>
        <v>0</v>
      </c>
      <c r="BG56" s="66">
        <f>Financials20263[[#This Row],[May AC]]-Financials20263[[#This Row],[May FC]]</f>
        <v>0</v>
      </c>
      <c r="BH56" s="66">
        <f>Financials20263[[#This Row],[Jun AC]]-Financials20263[[#This Row],[Jun FC]]</f>
        <v>2022.8199999999997</v>
      </c>
      <c r="BI56" s="66">
        <f>Financials20263[[#This Row],[Jul AC]]-Financials20263[[#This Row],[Jul FC]]</f>
        <v>0</v>
      </c>
      <c r="BJ56" s="66">
        <f>Financials20263[[#This Row],[Aug AC]]-Financials20263[[#This Row],[Aug FC]]</f>
        <v>0</v>
      </c>
      <c r="BK56" s="66">
        <f>Financials20263[[#This Row],[Sep AC]]-Financials20263[[#This Row],[Sep FC]]</f>
        <v>0</v>
      </c>
      <c r="BL56" s="66">
        <f>Financials20263[[#This Row],[Oct AC]]-Financials20263[[#This Row],[Oct FC]]</f>
        <v>0</v>
      </c>
      <c r="BM56" s="66">
        <f>Financials20263[[#This Row],[Nov AC]]-Financials20263[[#This Row],[Nov FC]]</f>
        <v>0</v>
      </c>
      <c r="BN56" s="66">
        <f>Financials20263[[#This Row],[Dec AC]]-Financials20263[[#This Row],[Dec FC]]</f>
        <v>0</v>
      </c>
      <c r="BO56" s="66">
        <f>SUM(Financials20263[[#This Row],[Jan Opp/Risk]:[Dec Opp./Risk]])</f>
        <v>2022.8199999999997</v>
      </c>
      <c r="BP56" s="82" t="s">
        <v>516</v>
      </c>
      <c r="BQ56" s="44">
        <f>SUM(Financials20263[[#This Row],[Jan AC]:[Jun AC]])</f>
        <v>28087.82</v>
      </c>
      <c r="BR56" s="6">
        <f t="shared" si="17"/>
        <v>0</v>
      </c>
      <c r="BS56" s="6">
        <f>Financials20263[[#This Row],[Jul-Dec FC]]+Financials20263[[#This Row],[Pending Jan-Jun]]</f>
        <v>0</v>
      </c>
      <c r="BT56" s="6"/>
      <c r="BU56" s="6"/>
      <c r="BV56" s="6"/>
    </row>
    <row r="57" spans="1:74" hidden="1">
      <c r="A57" s="20" t="s">
        <v>320</v>
      </c>
      <c r="B57" s="19" t="s">
        <v>204</v>
      </c>
      <c r="C57" s="19" t="s">
        <v>517</v>
      </c>
      <c r="D57" s="10" t="s">
        <v>343</v>
      </c>
      <c r="E57" s="7" t="s">
        <v>344</v>
      </c>
      <c r="F57" s="3" t="s">
        <v>345</v>
      </c>
      <c r="G57" s="3" t="s">
        <v>22</v>
      </c>
      <c r="H57" s="4">
        <v>45770</v>
      </c>
      <c r="I57" s="4">
        <v>46135</v>
      </c>
      <c r="J57" s="3" t="s">
        <v>518</v>
      </c>
      <c r="K57" s="3" t="str">
        <f t="shared" si="0"/>
        <v>Prj000344-Support - Prod support for Finance Applications</v>
      </c>
      <c r="L57" s="19" t="s">
        <v>252</v>
      </c>
      <c r="M57" s="19" t="s">
        <v>16</v>
      </c>
      <c r="N57" s="19" t="s">
        <v>16</v>
      </c>
      <c r="O57" s="19"/>
      <c r="P57" s="19" t="s">
        <v>326</v>
      </c>
      <c r="Q57" s="19" t="s">
        <v>327</v>
      </c>
      <c r="R57" s="19" t="s">
        <v>327</v>
      </c>
      <c r="S57" s="19" t="s">
        <v>354</v>
      </c>
      <c r="T57" s="5">
        <v>1297</v>
      </c>
      <c r="U57" s="5">
        <v>1361.8500000000001</v>
      </c>
      <c r="V57" s="5">
        <v>1361.8500000000001</v>
      </c>
      <c r="W57" s="15">
        <f t="shared" si="16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376</v>
      </c>
      <c r="AB57" s="47"/>
      <c r="AC57" s="47"/>
      <c r="AD57" s="47"/>
      <c r="AE57" s="47">
        <v>1362</v>
      </c>
      <c r="AF57" s="47"/>
      <c r="AG57" s="46"/>
      <c r="AH57" s="47"/>
      <c r="AI57" s="47"/>
      <c r="AJ57" s="47"/>
      <c r="AK57" s="47"/>
      <c r="AL57" s="46"/>
      <c r="AM57" s="46"/>
      <c r="AN57" s="46">
        <f>SUM(Financials20263[[#This Row],[Jan FC]:[Dec FC]])</f>
        <v>1362</v>
      </c>
      <c r="AO57" s="15">
        <f>SUM(Financials20263[[#This Row],[Jul FC]:[Dec FC]])</f>
        <v>0</v>
      </c>
      <c r="AP57" s="56"/>
      <c r="AQ57" s="56"/>
      <c r="AR57" s="56"/>
      <c r="AS57" s="56">
        <v>1719.9</v>
      </c>
      <c r="AT57" s="56"/>
      <c r="AU57" s="55"/>
      <c r="AV57" s="56"/>
      <c r="AW57" s="56"/>
      <c r="AX57" s="56"/>
      <c r="AY57" s="56"/>
      <c r="AZ57" s="55"/>
      <c r="BA57" s="55"/>
      <c r="BB57" s="74">
        <f>SUM(Financials20263[[#This Row],[Jan AC]:[Dec AC]])</f>
        <v>1719.9</v>
      </c>
      <c r="BC57" s="66">
        <f>Financials20263[[#This Row],[Jan AC]]-Financials20263[[#This Row],[Jan FC]]</f>
        <v>0</v>
      </c>
      <c r="BD57" s="66">
        <f>Financials20263[[#This Row],[Feb AC]]-Financials20263[[#This Row],[Feb FC]]</f>
        <v>0</v>
      </c>
      <c r="BE57" s="66">
        <f>Financials20263[[#This Row],[Mar AC]]-Financials20263[[#This Row],[Mar FC]]</f>
        <v>0</v>
      </c>
      <c r="BF57" s="66">
        <f>Financials20263[[#This Row],[Apr AC]]-Financials20263[[#This Row],[Apr FC]]</f>
        <v>357.90000000000009</v>
      </c>
      <c r="BG57" s="66">
        <f>Financials20263[[#This Row],[May AC]]-Financials20263[[#This Row],[May FC]]</f>
        <v>0</v>
      </c>
      <c r="BH57" s="66">
        <f>Financials20263[[#This Row],[Jun AC]]-Financials20263[[#This Row],[Jun FC]]</f>
        <v>0</v>
      </c>
      <c r="BI57" s="66">
        <f>Financials20263[[#This Row],[Jul AC]]-Financials20263[[#This Row],[Jul FC]]</f>
        <v>0</v>
      </c>
      <c r="BJ57" s="66">
        <f>Financials20263[[#This Row],[Aug AC]]-Financials20263[[#This Row],[Aug FC]]</f>
        <v>0</v>
      </c>
      <c r="BK57" s="66">
        <f>Financials20263[[#This Row],[Sep AC]]-Financials20263[[#This Row],[Sep FC]]</f>
        <v>0</v>
      </c>
      <c r="BL57" s="66">
        <f>Financials20263[[#This Row],[Oct AC]]-Financials20263[[#This Row],[Oct FC]]</f>
        <v>0</v>
      </c>
      <c r="BM57" s="66">
        <f>Financials20263[[#This Row],[Nov AC]]-Financials20263[[#This Row],[Nov FC]]</f>
        <v>0</v>
      </c>
      <c r="BN57" s="66">
        <f>Financials20263[[#This Row],[Dec AC]]-Financials20263[[#This Row],[Dec FC]]</f>
        <v>0</v>
      </c>
      <c r="BO57" s="66">
        <f>SUM(Financials20263[[#This Row],[Jan Opp/Risk]:[Dec Opp./Risk]])</f>
        <v>357.90000000000009</v>
      </c>
      <c r="BP57" s="82" t="s">
        <v>377</v>
      </c>
      <c r="BQ57" s="44">
        <f>SUM(Financials20263[[#This Row],[Jan AC]:[Jun AC]])</f>
        <v>1719.9</v>
      </c>
      <c r="BR57" s="6">
        <f t="shared" si="17"/>
        <v>0</v>
      </c>
      <c r="BS57" s="6">
        <f>Financials20263[[#This Row],[Jul-Dec FC]]+Financials20263[[#This Row],[Pending Jan-Jun]]</f>
        <v>0</v>
      </c>
      <c r="BT57" s="6"/>
      <c r="BU57" s="6"/>
      <c r="BV57" s="6"/>
    </row>
    <row r="58" spans="1:74" hidden="1">
      <c r="A58" s="20" t="s">
        <v>320</v>
      </c>
      <c r="B58" s="19" t="s">
        <v>204</v>
      </c>
      <c r="C58" s="19" t="s">
        <v>517</v>
      </c>
      <c r="D58" s="10" t="s">
        <v>343</v>
      </c>
      <c r="E58" s="7" t="s">
        <v>344</v>
      </c>
      <c r="F58" s="3" t="s">
        <v>345</v>
      </c>
      <c r="G58" s="3" t="s">
        <v>22</v>
      </c>
      <c r="H58" s="4">
        <v>46056</v>
      </c>
      <c r="I58" s="4">
        <v>46421</v>
      </c>
      <c r="J58" s="3" t="s">
        <v>519</v>
      </c>
      <c r="K58" s="3" t="str">
        <f t="shared" si="0"/>
        <v>Prj000344-Support - Prod support for Finance Applications</v>
      </c>
      <c r="L58" s="19" t="s">
        <v>252</v>
      </c>
      <c r="M58" s="19" t="s">
        <v>16</v>
      </c>
      <c r="N58" s="19" t="s">
        <v>16</v>
      </c>
      <c r="O58" s="19"/>
      <c r="P58" s="19" t="s">
        <v>326</v>
      </c>
      <c r="Q58" s="19" t="s">
        <v>327</v>
      </c>
      <c r="R58" s="19" t="s">
        <v>327</v>
      </c>
      <c r="S58" s="19" t="s">
        <v>354</v>
      </c>
      <c r="T58" s="5">
        <v>1323</v>
      </c>
      <c r="U58" s="5">
        <v>1389.15</v>
      </c>
      <c r="V58" s="5">
        <v>1389.15</v>
      </c>
      <c r="W58" s="15">
        <f t="shared" si="16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376</v>
      </c>
      <c r="AB58" s="47"/>
      <c r="AC58" s="47">
        <v>1389</v>
      </c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>
        <f>SUM(Financials20263[[#This Row],[Jan FC]:[Dec FC]])</f>
        <v>1389</v>
      </c>
      <c r="AO58" s="15">
        <f>SUM(Financials20263[[#This Row],[Jul FC]:[Dec FC]])</f>
        <v>0</v>
      </c>
      <c r="AP58" s="56"/>
      <c r="AQ58" s="56">
        <v>1472.85</v>
      </c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75">
        <f>SUM(Financials20263[[#This Row],[Jan AC]:[Dec AC]])</f>
        <v>1472.85</v>
      </c>
      <c r="BC58" s="66">
        <f>Financials20263[[#This Row],[Jan AC]]-Financials20263[[#This Row],[Jan FC]]</f>
        <v>0</v>
      </c>
      <c r="BD58" s="66">
        <f>Financials20263[[#This Row],[Feb AC]]-Financials20263[[#This Row],[Feb FC]]</f>
        <v>83.849999999999909</v>
      </c>
      <c r="BE58" s="66">
        <f>Financials20263[[#This Row],[Mar AC]]-Financials20263[[#This Row],[Mar FC]]</f>
        <v>0</v>
      </c>
      <c r="BF58" s="66">
        <f>Financials20263[[#This Row],[Apr AC]]-Financials20263[[#This Row],[Apr FC]]</f>
        <v>0</v>
      </c>
      <c r="BG58" s="66">
        <f>Financials20263[[#This Row],[May AC]]-Financials20263[[#This Row],[May FC]]</f>
        <v>0</v>
      </c>
      <c r="BH58" s="66">
        <f>Financials20263[[#This Row],[Jun AC]]-Financials20263[[#This Row],[Jun FC]]</f>
        <v>0</v>
      </c>
      <c r="BI58" s="66">
        <f>Financials20263[[#This Row],[Jul AC]]-Financials20263[[#This Row],[Jul FC]]</f>
        <v>0</v>
      </c>
      <c r="BJ58" s="66">
        <f>Financials20263[[#This Row],[Aug AC]]-Financials20263[[#This Row],[Aug FC]]</f>
        <v>0</v>
      </c>
      <c r="BK58" s="66">
        <f>Financials20263[[#This Row],[Sep AC]]-Financials20263[[#This Row],[Sep FC]]</f>
        <v>0</v>
      </c>
      <c r="BL58" s="66">
        <f>Financials20263[[#This Row],[Oct AC]]-Financials20263[[#This Row],[Oct FC]]</f>
        <v>0</v>
      </c>
      <c r="BM58" s="66">
        <f>Financials20263[[#This Row],[Nov AC]]-Financials20263[[#This Row],[Nov FC]]</f>
        <v>0</v>
      </c>
      <c r="BN58" s="66">
        <f>Financials20263[[#This Row],[Dec AC]]-Financials20263[[#This Row],[Dec FC]]</f>
        <v>0</v>
      </c>
      <c r="BO58" s="66">
        <f>SUM(Financials20263[[#This Row],[Jan Opp/Risk]:[Dec Opp./Risk]])</f>
        <v>83.849999999999909</v>
      </c>
      <c r="BP58" s="82" t="s">
        <v>377</v>
      </c>
      <c r="BQ58" s="44">
        <f>SUM(Financials20263[[#This Row],[Jan AC]:[Jun AC]])</f>
        <v>1472.85</v>
      </c>
      <c r="BR58" s="6">
        <f t="shared" si="17"/>
        <v>0</v>
      </c>
      <c r="BS58" s="6">
        <f>Financials20263[[#This Row],[Jul-Dec FC]]+Financials20263[[#This Row],[Pending Jan-Jun]]</f>
        <v>0</v>
      </c>
      <c r="BT58" s="6"/>
      <c r="BU58" s="6"/>
      <c r="BV58" s="6"/>
    </row>
    <row r="59" spans="1:74" hidden="1">
      <c r="A59" s="20" t="s">
        <v>320</v>
      </c>
      <c r="B59" s="19" t="s">
        <v>96</v>
      </c>
      <c r="C59" s="19" t="s">
        <v>520</v>
      </c>
      <c r="D59" s="10" t="s">
        <v>322</v>
      </c>
      <c r="E59" s="7" t="s">
        <v>323</v>
      </c>
      <c r="F59" s="3" t="s">
        <v>324</v>
      </c>
      <c r="G59" s="3" t="s">
        <v>21</v>
      </c>
      <c r="H59" s="4">
        <v>45809</v>
      </c>
      <c r="I59" s="4">
        <v>46904</v>
      </c>
      <c r="J59" s="3" t="s">
        <v>521</v>
      </c>
      <c r="K59" s="3" t="str">
        <f t="shared" si="0"/>
        <v>Prj000350-Support - Infrastructure for Tech</v>
      </c>
      <c r="L59" s="19" t="s">
        <v>252</v>
      </c>
      <c r="M59" s="19" t="s">
        <v>16</v>
      </c>
      <c r="N59" s="19" t="s">
        <v>16</v>
      </c>
      <c r="O59" s="19" t="s">
        <v>522</v>
      </c>
      <c r="P59" s="19" t="s">
        <v>326</v>
      </c>
      <c r="Q59" s="19" t="s">
        <v>327</v>
      </c>
      <c r="R59" s="19" t="s">
        <v>327</v>
      </c>
      <c r="S59" s="19" t="s">
        <v>328</v>
      </c>
      <c r="T59" s="5">
        <v>1916944.1866666665</v>
      </c>
      <c r="U59" s="15">
        <v>1900385</v>
      </c>
      <c r="V59" s="15">
        <v>1900385</v>
      </c>
      <c r="W59" s="15">
        <f t="shared" si="16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523</v>
      </c>
      <c r="AB59" s="46">
        <f t="shared" ref="AB59:AT59" si="27">(1900385/12)</f>
        <v>158365.41666666666</v>
      </c>
      <c r="AC59" s="46">
        <f t="shared" si="27"/>
        <v>158365.41666666666</v>
      </c>
      <c r="AD59" s="46">
        <f t="shared" si="27"/>
        <v>158365.41666666666</v>
      </c>
      <c r="AE59" s="46">
        <f t="shared" si="27"/>
        <v>158365.41666666666</v>
      </c>
      <c r="AF59" s="46">
        <f t="shared" si="27"/>
        <v>158365.41666666666</v>
      </c>
      <c r="AG59" s="46">
        <f>(2197874.8/12)</f>
        <v>183156.23333333331</v>
      </c>
      <c r="AH59" s="46">
        <f t="shared" ref="AH59:AM59" si="28">(2197874.8/12)</f>
        <v>183156.23333333331</v>
      </c>
      <c r="AI59" s="46">
        <f t="shared" si="28"/>
        <v>183156.23333333331</v>
      </c>
      <c r="AJ59" s="46">
        <f t="shared" si="28"/>
        <v>183156.23333333331</v>
      </c>
      <c r="AK59" s="46">
        <f t="shared" si="28"/>
        <v>183156.23333333331</v>
      </c>
      <c r="AL59" s="46">
        <f t="shared" si="28"/>
        <v>183156.23333333331</v>
      </c>
      <c r="AM59" s="46">
        <f t="shared" si="28"/>
        <v>183156.23333333331</v>
      </c>
      <c r="AN59" s="46">
        <f>SUM(Financials20263[[#This Row],[Jan FC]:[Dec FC]])</f>
        <v>2073920.7166666668</v>
      </c>
      <c r="AO59" s="15">
        <f>SUM(Financials20263[[#This Row],[Jul FC]:[Dec FC]])</f>
        <v>1098937.3999999999</v>
      </c>
      <c r="AP59" s="55">
        <f t="shared" si="27"/>
        <v>158365.41666666666</v>
      </c>
      <c r="AQ59" s="55">
        <f t="shared" si="27"/>
        <v>158365.41666666666</v>
      </c>
      <c r="AR59" s="55">
        <f t="shared" si="27"/>
        <v>158365.41666666666</v>
      </c>
      <c r="AS59" s="55">
        <f t="shared" si="27"/>
        <v>158365.41666666666</v>
      </c>
      <c r="AT59" s="55">
        <f t="shared" si="27"/>
        <v>158365.41666666666</v>
      </c>
      <c r="AU59" s="55"/>
      <c r="AV59" s="55"/>
      <c r="AW59" s="55"/>
      <c r="AX59" s="55"/>
      <c r="AY59" s="55"/>
      <c r="AZ59" s="55"/>
      <c r="BA59" s="55"/>
      <c r="BB59" s="74">
        <f>SUM(Financials20263[[#This Row],[Jan AC]:[Dec AC]])</f>
        <v>791827.08333333326</v>
      </c>
      <c r="BC59" s="66">
        <f>Financials20263[[#This Row],[Jan AC]]-Financials20263[[#This Row],[Jan FC]]</f>
        <v>0</v>
      </c>
      <c r="BD59" s="66">
        <f>Financials20263[[#This Row],[Feb AC]]-Financials20263[[#This Row],[Feb FC]]</f>
        <v>0</v>
      </c>
      <c r="BE59" s="66">
        <f>Financials20263[[#This Row],[Mar AC]]-Financials20263[[#This Row],[Mar FC]]</f>
        <v>0</v>
      </c>
      <c r="BF59" s="66">
        <f>Financials20263[[#This Row],[Apr AC]]-Financials20263[[#This Row],[Apr FC]]</f>
        <v>0</v>
      </c>
      <c r="BG59" s="66">
        <f>Financials20263[[#This Row],[May AC]]-Financials20263[[#This Row],[May FC]]</f>
        <v>0</v>
      </c>
      <c r="BH59" s="66">
        <f>Financials20263[[#This Row],[Jun AC]]-Financials20263[[#This Row],[Jun FC]]</f>
        <v>-183156.23333333331</v>
      </c>
      <c r="BI59" s="66">
        <f>Financials20263[[#This Row],[Jul AC]]-Financials20263[[#This Row],[Jul FC]]</f>
        <v>-183156.23333333331</v>
      </c>
      <c r="BJ59" s="66">
        <f>Financials20263[[#This Row],[Aug AC]]-Financials20263[[#This Row],[Aug FC]]</f>
        <v>-183156.23333333331</v>
      </c>
      <c r="BK59" s="66">
        <f>Financials20263[[#This Row],[Sep AC]]-Financials20263[[#This Row],[Sep FC]]</f>
        <v>-183156.23333333331</v>
      </c>
      <c r="BL59" s="66">
        <f>Financials20263[[#This Row],[Oct AC]]-Financials20263[[#This Row],[Oct FC]]</f>
        <v>-183156.23333333331</v>
      </c>
      <c r="BM59" s="66">
        <f>Financials20263[[#This Row],[Nov AC]]-Financials20263[[#This Row],[Nov FC]]</f>
        <v>-183156.23333333331</v>
      </c>
      <c r="BN59" s="66">
        <f>Financials20263[[#This Row],[Dec AC]]-Financials20263[[#This Row],[Dec FC]]</f>
        <v>-183156.23333333331</v>
      </c>
      <c r="BO59" s="66">
        <f>SUM(Financials20263[[#This Row],[Jan Opp/Risk]:[Dec Opp./Risk]])</f>
        <v>-1282093.6333333333</v>
      </c>
      <c r="BP59" s="81"/>
      <c r="BQ59" s="44">
        <f>SUM(Financials20263[[#This Row],[Jan AC]:[Jun AC]])</f>
        <v>791827.08333333326</v>
      </c>
      <c r="BR59" s="6">
        <f t="shared" si="17"/>
        <v>183156.23333333331</v>
      </c>
      <c r="BS59" s="6">
        <f>Financials20263[[#This Row],[Jul-Dec FC]]+Financials20263[[#This Row],[Pending Jan-Jun]]</f>
        <v>1282093.6333333333</v>
      </c>
      <c r="BT59" s="6"/>
      <c r="BU59" s="6"/>
      <c r="BV59" s="6"/>
    </row>
    <row r="60" spans="1:74" hidden="1">
      <c r="A60" s="20" t="s">
        <v>320</v>
      </c>
      <c r="B60" s="19" t="s">
        <v>188</v>
      </c>
      <c r="C60" s="19" t="s">
        <v>524</v>
      </c>
      <c r="D60" s="10" t="s">
        <v>511</v>
      </c>
      <c r="E60" s="7" t="s">
        <v>512</v>
      </c>
      <c r="F60" s="3" t="s">
        <v>324</v>
      </c>
      <c r="G60" s="3" t="s">
        <v>21</v>
      </c>
      <c r="H60" s="4">
        <v>45822</v>
      </c>
      <c r="I60" s="4">
        <v>46186</v>
      </c>
      <c r="J60" s="3" t="s">
        <v>525</v>
      </c>
      <c r="K60" s="3" t="str">
        <f t="shared" si="0"/>
        <v>Prj000410-Support - Tech Enablement 2026</v>
      </c>
      <c r="L60" s="19" t="s">
        <v>252</v>
      </c>
      <c r="M60" s="19" t="s">
        <v>16</v>
      </c>
      <c r="N60" s="19" t="s">
        <v>16</v>
      </c>
      <c r="O60" s="19"/>
      <c r="P60" s="19" t="s">
        <v>326</v>
      </c>
      <c r="Q60" s="19" t="s">
        <v>327</v>
      </c>
      <c r="R60" s="19" t="s">
        <v>327</v>
      </c>
      <c r="S60" s="19" t="s">
        <v>328</v>
      </c>
      <c r="T60" s="5">
        <v>174358</v>
      </c>
      <c r="U60" s="15">
        <v>307613.80000000005</v>
      </c>
      <c r="V60" s="15">
        <v>307613.80000000005</v>
      </c>
      <c r="W60" s="15">
        <f t="shared" si="16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526</v>
      </c>
      <c r="AB60" s="46">
        <v>24908.333333333332</v>
      </c>
      <c r="AC60" s="46">
        <v>24908.333333333332</v>
      </c>
      <c r="AD60" s="46">
        <v>24908.333333333332</v>
      </c>
      <c r="AE60" s="46">
        <v>24908.333333333332</v>
      </c>
      <c r="AF60" s="46">
        <v>24908.333333333332</v>
      </c>
      <c r="AG60" s="46">
        <v>25875</v>
      </c>
      <c r="AH60" s="46">
        <v>25875</v>
      </c>
      <c r="AI60" s="46">
        <v>25875</v>
      </c>
      <c r="AJ60" s="46">
        <v>25875</v>
      </c>
      <c r="AK60" s="46">
        <v>25875</v>
      </c>
      <c r="AL60" s="46">
        <v>25875</v>
      </c>
      <c r="AM60" s="46">
        <v>25875</v>
      </c>
      <c r="AN60" s="46">
        <f>SUM(Financials20263[[#This Row],[Jan FC]:[Dec FC]])</f>
        <v>305666.66666666663</v>
      </c>
      <c r="AO60" s="15">
        <f>SUM(Financials20263[[#This Row],[Jul FC]:[Dec FC]])</f>
        <v>155250</v>
      </c>
      <c r="AP60" s="56">
        <f>298900/12</f>
        <v>24908.333333333332</v>
      </c>
      <c r="AQ60" s="56">
        <f>298900/12</f>
        <v>24908.333333333332</v>
      </c>
      <c r="AR60" s="56">
        <f>298900/12</f>
        <v>24908.333333333332</v>
      </c>
      <c r="AS60" s="56">
        <f>298900/12</f>
        <v>24908.333333333332</v>
      </c>
      <c r="AT60" s="56">
        <f>298900/12</f>
        <v>24908.333333333332</v>
      </c>
      <c r="AU60" s="55">
        <v>25875</v>
      </c>
      <c r="AV60" s="55">
        <v>25875</v>
      </c>
      <c r="AW60" s="55">
        <v>25875</v>
      </c>
      <c r="AX60" s="55">
        <v>25875</v>
      </c>
      <c r="AY60" s="55">
        <v>25875</v>
      </c>
      <c r="AZ60" s="55">
        <v>25875</v>
      </c>
      <c r="BA60" s="55">
        <v>25875</v>
      </c>
      <c r="BB60" s="74">
        <f>SUM(Financials20263[[#This Row],[Jan AC]:[Dec AC]])</f>
        <v>305666.66666666663</v>
      </c>
      <c r="BC60" s="66">
        <f>Financials20263[[#This Row],[Jan AC]]-Financials20263[[#This Row],[Jan FC]]</f>
        <v>0</v>
      </c>
      <c r="BD60" s="66">
        <f>Financials20263[[#This Row],[Feb AC]]-Financials20263[[#This Row],[Feb FC]]</f>
        <v>0</v>
      </c>
      <c r="BE60" s="66">
        <f>Financials20263[[#This Row],[Mar AC]]-Financials20263[[#This Row],[Mar FC]]</f>
        <v>0</v>
      </c>
      <c r="BF60" s="66">
        <f>Financials20263[[#This Row],[Apr AC]]-Financials20263[[#This Row],[Apr FC]]</f>
        <v>0</v>
      </c>
      <c r="BG60" s="66">
        <f>Financials20263[[#This Row],[May AC]]-Financials20263[[#This Row],[May FC]]</f>
        <v>0</v>
      </c>
      <c r="BH60" s="66">
        <f>Financials20263[[#This Row],[Jun AC]]-Financials20263[[#This Row],[Jun FC]]</f>
        <v>0</v>
      </c>
      <c r="BI60" s="66">
        <f>Financials20263[[#This Row],[Jul AC]]-Financials20263[[#This Row],[Jul FC]]</f>
        <v>0</v>
      </c>
      <c r="BJ60" s="66">
        <f>Financials20263[[#This Row],[Aug AC]]-Financials20263[[#This Row],[Aug FC]]</f>
        <v>0</v>
      </c>
      <c r="BK60" s="66">
        <f>Financials20263[[#This Row],[Sep AC]]-Financials20263[[#This Row],[Sep FC]]</f>
        <v>0</v>
      </c>
      <c r="BL60" s="66">
        <f>Financials20263[[#This Row],[Oct AC]]-Financials20263[[#This Row],[Oct FC]]</f>
        <v>0</v>
      </c>
      <c r="BM60" s="66">
        <f>Financials20263[[#This Row],[Nov AC]]-Financials20263[[#This Row],[Nov FC]]</f>
        <v>0</v>
      </c>
      <c r="BN60" s="66">
        <f>Financials20263[[#This Row],[Dec AC]]-Financials20263[[#This Row],[Dec FC]]</f>
        <v>0</v>
      </c>
      <c r="BO60" s="66">
        <f>SUM(Financials20263[[#This Row],[Jan Opp/Risk]:[Dec Opp./Risk]])</f>
        <v>0</v>
      </c>
      <c r="BP60" s="82" t="s">
        <v>516</v>
      </c>
      <c r="BQ60" s="44">
        <f>SUM(Financials20263[[#This Row],[Jan AC]:[Jun AC]])</f>
        <v>150416.66666666666</v>
      </c>
      <c r="BR60" s="6">
        <f t="shared" si="17"/>
        <v>0</v>
      </c>
      <c r="BS60" s="6">
        <f>Financials20263[[#This Row],[Jul-Dec FC]]+Financials20263[[#This Row],[Pending Jan-Jun]]</f>
        <v>155250</v>
      </c>
      <c r="BT60" s="6"/>
      <c r="BU60" s="6"/>
      <c r="BV60" s="6"/>
    </row>
    <row r="61" spans="1:74" hidden="1">
      <c r="A61" s="20" t="s">
        <v>320</v>
      </c>
      <c r="B61" s="19" t="s">
        <v>132</v>
      </c>
      <c r="C61" s="19" t="s">
        <v>527</v>
      </c>
      <c r="D61" s="10" t="s">
        <v>322</v>
      </c>
      <c r="E61" s="7" t="s">
        <v>323</v>
      </c>
      <c r="F61" s="3" t="s">
        <v>324</v>
      </c>
      <c r="G61" s="3" t="s">
        <v>21</v>
      </c>
      <c r="H61" s="4">
        <v>46010</v>
      </c>
      <c r="I61" s="4">
        <v>46374</v>
      </c>
      <c r="J61" s="3" t="s">
        <v>528</v>
      </c>
      <c r="K61" s="3" t="str">
        <f t="shared" si="0"/>
        <v>Prj000350-Support - Infrastructure for Tech</v>
      </c>
      <c r="L61" s="19" t="s">
        <v>252</v>
      </c>
      <c r="M61" s="19" t="s">
        <v>16</v>
      </c>
      <c r="N61" s="19" t="s">
        <v>16</v>
      </c>
      <c r="O61" s="19" t="s">
        <v>529</v>
      </c>
      <c r="P61" s="19" t="s">
        <v>326</v>
      </c>
      <c r="Q61" s="19" t="s">
        <v>327</v>
      </c>
      <c r="R61" s="19" t="s">
        <v>327</v>
      </c>
      <c r="S61" s="19" t="s">
        <v>328</v>
      </c>
      <c r="T61" s="5">
        <v>437527.60583333333</v>
      </c>
      <c r="U61" s="15">
        <v>361049</v>
      </c>
      <c r="V61" s="15">
        <v>361049</v>
      </c>
      <c r="W61" s="15">
        <f t="shared" si="16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530</v>
      </c>
      <c r="AB61" s="47">
        <v>41970.995833333327</v>
      </c>
      <c r="AC61" s="47">
        <v>41970.995833333327</v>
      </c>
      <c r="AD61" s="47">
        <v>41970.995833333327</v>
      </c>
      <c r="AE61" s="47">
        <v>41970.995833333327</v>
      </c>
      <c r="AF61" s="47">
        <v>41970.995833333327</v>
      </c>
      <c r="AG61" s="47">
        <v>41970.995833333327</v>
      </c>
      <c r="AH61" s="47">
        <v>41970.995833333327</v>
      </c>
      <c r="AI61" s="47">
        <v>41970.995833333327</v>
      </c>
      <c r="AJ61" s="47">
        <v>41970.995833333327</v>
      </c>
      <c r="AK61" s="47">
        <v>41970.995833333327</v>
      </c>
      <c r="AL61" s="47">
        <v>41970.995833333327</v>
      </c>
      <c r="AM61" s="46"/>
      <c r="AN61" s="46">
        <f>SUM(Financials20263[[#This Row],[Jan FC]:[Dec FC]])</f>
        <v>461680.95416666666</v>
      </c>
      <c r="AO61" s="15">
        <f>SUM(Financials20263[[#This Row],[Jul FC]:[Dec FC]])</f>
        <v>209854.97916666663</v>
      </c>
      <c r="AP61" s="56">
        <f t="shared" ref="AP61:AZ61" si="29">((109780.1+393871.85)/12)</f>
        <v>41970.995833333327</v>
      </c>
      <c r="AQ61" s="56">
        <f t="shared" si="29"/>
        <v>41970.995833333327</v>
      </c>
      <c r="AR61" s="56">
        <f t="shared" si="29"/>
        <v>41970.995833333327</v>
      </c>
      <c r="AS61" s="56">
        <f t="shared" si="29"/>
        <v>41970.995833333327</v>
      </c>
      <c r="AT61" s="56">
        <f t="shared" si="29"/>
        <v>41970.995833333327</v>
      </c>
      <c r="AU61" s="56">
        <f t="shared" si="29"/>
        <v>41970.995833333327</v>
      </c>
      <c r="AV61" s="56">
        <f t="shared" si="29"/>
        <v>41970.995833333327</v>
      </c>
      <c r="AW61" s="56">
        <f t="shared" si="29"/>
        <v>41970.995833333327</v>
      </c>
      <c r="AX61" s="56">
        <f t="shared" si="29"/>
        <v>41970.995833333327</v>
      </c>
      <c r="AY61" s="56">
        <f t="shared" si="29"/>
        <v>41970.995833333327</v>
      </c>
      <c r="AZ61" s="56">
        <f t="shared" si="29"/>
        <v>41970.995833333327</v>
      </c>
      <c r="BA61" s="55"/>
      <c r="BB61" s="74">
        <f>SUM(Financials20263[[#This Row],[Jan AC]:[Dec AC]])</f>
        <v>461680.95416666666</v>
      </c>
      <c r="BC61" s="66">
        <f>Financials20263[[#This Row],[Jan AC]]-Financials20263[[#This Row],[Jan FC]]</f>
        <v>0</v>
      </c>
      <c r="BD61" s="66">
        <f>Financials20263[[#This Row],[Feb AC]]-Financials20263[[#This Row],[Feb FC]]</f>
        <v>0</v>
      </c>
      <c r="BE61" s="66">
        <f>Financials20263[[#This Row],[Mar AC]]-Financials20263[[#This Row],[Mar FC]]</f>
        <v>0</v>
      </c>
      <c r="BF61" s="66">
        <f>Financials20263[[#This Row],[Apr AC]]-Financials20263[[#This Row],[Apr FC]]</f>
        <v>0</v>
      </c>
      <c r="BG61" s="66">
        <f>Financials20263[[#This Row],[May AC]]-Financials20263[[#This Row],[May FC]]</f>
        <v>0</v>
      </c>
      <c r="BH61" s="66">
        <f>Financials20263[[#This Row],[Jun AC]]-Financials20263[[#This Row],[Jun FC]]</f>
        <v>0</v>
      </c>
      <c r="BI61" s="66">
        <f>Financials20263[[#This Row],[Jul AC]]-Financials20263[[#This Row],[Jul FC]]</f>
        <v>0</v>
      </c>
      <c r="BJ61" s="66">
        <f>Financials20263[[#This Row],[Aug AC]]-Financials20263[[#This Row],[Aug FC]]</f>
        <v>0</v>
      </c>
      <c r="BK61" s="66">
        <f>Financials20263[[#This Row],[Sep AC]]-Financials20263[[#This Row],[Sep FC]]</f>
        <v>0</v>
      </c>
      <c r="BL61" s="66">
        <f>Financials20263[[#This Row],[Oct AC]]-Financials20263[[#This Row],[Oct FC]]</f>
        <v>0</v>
      </c>
      <c r="BM61" s="66">
        <f>Financials20263[[#This Row],[Nov AC]]-Financials20263[[#This Row],[Nov FC]]</f>
        <v>0</v>
      </c>
      <c r="BN61" s="66">
        <f>Financials20263[[#This Row],[Dec AC]]-Financials20263[[#This Row],[Dec FC]]</f>
        <v>0</v>
      </c>
      <c r="BO61" s="66">
        <f>SUM(Financials20263[[#This Row],[Jan Opp/Risk]:[Dec Opp./Risk]])</f>
        <v>0</v>
      </c>
      <c r="BP61" s="82" t="s">
        <v>531</v>
      </c>
      <c r="BQ61" s="44">
        <f>SUM(Financials20263[[#This Row],[Jan AC]:[Jun AC]])</f>
        <v>251825.97499999995</v>
      </c>
      <c r="BR61" s="6">
        <f t="shared" si="17"/>
        <v>0</v>
      </c>
      <c r="BS61" s="6">
        <f>Financials20263[[#This Row],[Jul-Dec FC]]+Financials20263[[#This Row],[Pending Jan-Jun]]</f>
        <v>209854.97916666663</v>
      </c>
      <c r="BT61" s="6"/>
      <c r="BU61" s="6"/>
      <c r="BV61" s="6"/>
    </row>
    <row r="62" spans="1:74" hidden="1">
      <c r="A62" s="20" t="s">
        <v>320</v>
      </c>
      <c r="B62" s="19" t="s">
        <v>132</v>
      </c>
      <c r="C62" s="19" t="s">
        <v>527</v>
      </c>
      <c r="D62" s="10" t="s">
        <v>322</v>
      </c>
      <c r="E62" s="7" t="s">
        <v>323</v>
      </c>
      <c r="F62" s="3" t="s">
        <v>324</v>
      </c>
      <c r="G62" s="3" t="s">
        <v>21</v>
      </c>
      <c r="H62" s="4">
        <v>45645</v>
      </c>
      <c r="I62" s="4">
        <v>46009</v>
      </c>
      <c r="J62" s="3" t="s">
        <v>532</v>
      </c>
      <c r="K62" s="3" t="str">
        <f t="shared" si="0"/>
        <v>Prj000350-Support - Infrastructure for Tech</v>
      </c>
      <c r="L62" s="19" t="s">
        <v>252</v>
      </c>
      <c r="M62" s="19" t="s">
        <v>16</v>
      </c>
      <c r="N62" s="19" t="s">
        <v>16</v>
      </c>
      <c r="O62" s="19" t="s">
        <v>533</v>
      </c>
      <c r="P62" s="19" t="s">
        <v>326</v>
      </c>
      <c r="Q62" s="19" t="s">
        <v>327</v>
      </c>
      <c r="R62" s="19" t="s">
        <v>327</v>
      </c>
      <c r="S62" s="19" t="s">
        <v>354</v>
      </c>
      <c r="T62" s="5">
        <v>0</v>
      </c>
      <c r="U62" s="15">
        <v>34875</v>
      </c>
      <c r="V62" s="15">
        <v>34875</v>
      </c>
      <c r="W62" s="15">
        <f t="shared" si="16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534</v>
      </c>
      <c r="AB62" s="47"/>
      <c r="AC62" s="47"/>
      <c r="AD62" s="47">
        <v>34875</v>
      </c>
      <c r="AE62" s="47"/>
      <c r="AF62" s="47"/>
      <c r="AG62" s="46"/>
      <c r="AH62" s="47"/>
      <c r="AI62" s="47"/>
      <c r="AJ62" s="47"/>
      <c r="AK62" s="47"/>
      <c r="AL62" s="46"/>
      <c r="AM62" s="46"/>
      <c r="AN62" s="46">
        <f>SUM(Financials20263[[#This Row],[Jan FC]:[Dec FC]])</f>
        <v>34875</v>
      </c>
      <c r="AO62" s="15">
        <f>SUM(Financials20263[[#This Row],[Jul FC]:[Dec FC]])</f>
        <v>0</v>
      </c>
      <c r="AP62" s="56"/>
      <c r="AQ62" s="56"/>
      <c r="AR62" s="56"/>
      <c r="AS62" s="56"/>
      <c r="AT62" s="56"/>
      <c r="AU62" s="55"/>
      <c r="AV62" s="56"/>
      <c r="AW62" s="56"/>
      <c r="AX62" s="56"/>
      <c r="AY62" s="56"/>
      <c r="AZ62" s="55"/>
      <c r="BA62" s="55"/>
      <c r="BB62" s="74">
        <f>SUM(Financials20263[[#This Row],[Jan AC]:[Dec AC]])</f>
        <v>0</v>
      </c>
      <c r="BC62" s="66">
        <f>Financials20263[[#This Row],[Jan AC]]-Financials20263[[#This Row],[Jan FC]]</f>
        <v>0</v>
      </c>
      <c r="BD62" s="66">
        <f>Financials20263[[#This Row],[Feb AC]]-Financials20263[[#This Row],[Feb FC]]</f>
        <v>0</v>
      </c>
      <c r="BE62" s="66">
        <f>Financials20263[[#This Row],[Mar AC]]-Financials20263[[#This Row],[Mar FC]]</f>
        <v>-34875</v>
      </c>
      <c r="BF62" s="66">
        <f>Financials20263[[#This Row],[Apr AC]]-Financials20263[[#This Row],[Apr FC]]</f>
        <v>0</v>
      </c>
      <c r="BG62" s="66">
        <f>Financials20263[[#This Row],[May AC]]-Financials20263[[#This Row],[May FC]]</f>
        <v>0</v>
      </c>
      <c r="BH62" s="66">
        <f>Financials20263[[#This Row],[Jun AC]]-Financials20263[[#This Row],[Jun FC]]</f>
        <v>0</v>
      </c>
      <c r="BI62" s="66">
        <f>Financials20263[[#This Row],[Jul AC]]-Financials20263[[#This Row],[Jul FC]]</f>
        <v>0</v>
      </c>
      <c r="BJ62" s="66">
        <f>Financials20263[[#This Row],[Aug AC]]-Financials20263[[#This Row],[Aug FC]]</f>
        <v>0</v>
      </c>
      <c r="BK62" s="66">
        <f>Financials20263[[#This Row],[Sep AC]]-Financials20263[[#This Row],[Sep FC]]</f>
        <v>0</v>
      </c>
      <c r="BL62" s="66">
        <f>Financials20263[[#This Row],[Oct AC]]-Financials20263[[#This Row],[Oct FC]]</f>
        <v>0</v>
      </c>
      <c r="BM62" s="66">
        <f>Financials20263[[#This Row],[Nov AC]]-Financials20263[[#This Row],[Nov FC]]</f>
        <v>0</v>
      </c>
      <c r="BN62" s="66">
        <f>Financials20263[[#This Row],[Dec AC]]-Financials20263[[#This Row],[Dec FC]]</f>
        <v>0</v>
      </c>
      <c r="BO62" s="66">
        <f>SUM(Financials20263[[#This Row],[Jan Opp/Risk]:[Dec Opp./Risk]])</f>
        <v>-34875</v>
      </c>
      <c r="BP62" s="82"/>
      <c r="BQ62" s="44">
        <f>SUM(Financials20263[[#This Row],[Jan AC]:[Jun AC]])</f>
        <v>0</v>
      </c>
      <c r="BR62" s="6">
        <f t="shared" si="17"/>
        <v>34875</v>
      </c>
      <c r="BS62" s="6">
        <f>Financials20263[[#This Row],[Jul-Dec FC]]+Financials20263[[#This Row],[Pending Jan-Jun]]</f>
        <v>34875</v>
      </c>
      <c r="BT62" s="6"/>
      <c r="BU62" s="6"/>
      <c r="BV62" s="6"/>
    </row>
    <row r="63" spans="1:74" hidden="1">
      <c r="A63" s="20" t="s">
        <v>320</v>
      </c>
      <c r="B63" s="19" t="s">
        <v>132</v>
      </c>
      <c r="C63" s="19" t="s">
        <v>527</v>
      </c>
      <c r="D63" s="10" t="s">
        <v>322</v>
      </c>
      <c r="E63" s="7" t="s">
        <v>323</v>
      </c>
      <c r="F63" s="3" t="s">
        <v>324</v>
      </c>
      <c r="G63" s="3" t="s">
        <v>21</v>
      </c>
      <c r="H63" s="4">
        <v>46010</v>
      </c>
      <c r="I63" s="4">
        <v>46374</v>
      </c>
      <c r="J63" s="3" t="s">
        <v>535</v>
      </c>
      <c r="K63" s="3" t="str">
        <f t="shared" si="0"/>
        <v>Prj000350-Support - Infrastructure for Tech</v>
      </c>
      <c r="L63" s="19" t="s">
        <v>252</v>
      </c>
      <c r="M63" s="19" t="s">
        <v>16</v>
      </c>
      <c r="N63" s="19" t="s">
        <v>16</v>
      </c>
      <c r="O63" s="19" t="s">
        <v>536</v>
      </c>
      <c r="P63" s="19" t="s">
        <v>326</v>
      </c>
      <c r="Q63" s="19" t="s">
        <v>327</v>
      </c>
      <c r="R63" s="19" t="s">
        <v>327</v>
      </c>
      <c r="S63" s="19" t="s">
        <v>354</v>
      </c>
      <c r="T63" s="5">
        <v>54369.49</v>
      </c>
      <c r="U63" s="15">
        <v>57087.964500000002</v>
      </c>
      <c r="V63" s="15">
        <v>57087.964500000002</v>
      </c>
      <c r="W63" s="15">
        <f t="shared" si="16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537</v>
      </c>
      <c r="AB63" s="47"/>
      <c r="AC63" s="47"/>
      <c r="AD63" s="47"/>
      <c r="AE63" s="47"/>
      <c r="AF63" s="47"/>
      <c r="AG63" s="46"/>
      <c r="AH63" s="47"/>
      <c r="AI63" s="47"/>
      <c r="AJ63" s="47"/>
      <c r="AK63" s="47"/>
      <c r="AL63" s="46"/>
      <c r="AM63" s="101">
        <v>57087.964500000002</v>
      </c>
      <c r="AN63" s="46">
        <f>SUM(Financials20263[[#This Row],[Jan FC]:[Dec FC]])</f>
        <v>57087.964500000002</v>
      </c>
      <c r="AO63" s="15">
        <f>SUM(Financials20263[[#This Row],[Jul FC]:[Dec FC]])</f>
        <v>57087.964500000002</v>
      </c>
      <c r="AP63" s="56"/>
      <c r="AQ63" s="56"/>
      <c r="AR63" s="56"/>
      <c r="AS63" s="56"/>
      <c r="AT63" s="56"/>
      <c r="AU63" s="55"/>
      <c r="AV63" s="56"/>
      <c r="AW63" s="56"/>
      <c r="AX63" s="56"/>
      <c r="AY63" s="56"/>
      <c r="AZ63" s="55"/>
      <c r="BA63" s="55"/>
      <c r="BB63" s="74">
        <f>SUM(Financials20263[[#This Row],[Jan AC]:[Dec AC]])</f>
        <v>0</v>
      </c>
      <c r="BC63" s="66">
        <f>Financials20263[[#This Row],[Jan AC]]-Financials20263[[#This Row],[Jan FC]]</f>
        <v>0</v>
      </c>
      <c r="BD63" s="66">
        <f>Financials20263[[#This Row],[Feb AC]]-Financials20263[[#This Row],[Feb FC]]</f>
        <v>0</v>
      </c>
      <c r="BE63" s="66">
        <f>Financials20263[[#This Row],[Mar AC]]-Financials20263[[#This Row],[Mar FC]]</f>
        <v>0</v>
      </c>
      <c r="BF63" s="66">
        <f>Financials20263[[#This Row],[Apr AC]]-Financials20263[[#This Row],[Apr FC]]</f>
        <v>0</v>
      </c>
      <c r="BG63" s="66">
        <f>Financials20263[[#This Row],[May AC]]-Financials20263[[#This Row],[May FC]]</f>
        <v>0</v>
      </c>
      <c r="BH63" s="66">
        <f>Financials20263[[#This Row],[Jun AC]]-Financials20263[[#This Row],[Jun FC]]</f>
        <v>0</v>
      </c>
      <c r="BI63" s="66">
        <f>Financials20263[[#This Row],[Jul AC]]-Financials20263[[#This Row],[Jul FC]]</f>
        <v>0</v>
      </c>
      <c r="BJ63" s="66">
        <f>Financials20263[[#This Row],[Aug AC]]-Financials20263[[#This Row],[Aug FC]]</f>
        <v>0</v>
      </c>
      <c r="BK63" s="66">
        <f>Financials20263[[#This Row],[Sep AC]]-Financials20263[[#This Row],[Sep FC]]</f>
        <v>0</v>
      </c>
      <c r="BL63" s="66">
        <f>Financials20263[[#This Row],[Oct AC]]-Financials20263[[#This Row],[Oct FC]]</f>
        <v>0</v>
      </c>
      <c r="BM63" s="66">
        <f>Financials20263[[#This Row],[Nov AC]]-Financials20263[[#This Row],[Nov FC]]</f>
        <v>0</v>
      </c>
      <c r="BN63" s="66">
        <f>Financials20263[[#This Row],[Dec AC]]-Financials20263[[#This Row],[Dec FC]]</f>
        <v>-57087.964500000002</v>
      </c>
      <c r="BO63" s="66">
        <f>SUM(Financials20263[[#This Row],[Jan Opp/Risk]:[Dec Opp./Risk]])</f>
        <v>-57087.964500000002</v>
      </c>
      <c r="BP63" s="82" t="s">
        <v>377</v>
      </c>
      <c r="BQ63" s="44">
        <f>SUM(Financials20263[[#This Row],[Jan AC]:[Jun AC]])</f>
        <v>0</v>
      </c>
      <c r="BR63" s="6">
        <f t="shared" si="17"/>
        <v>0</v>
      </c>
      <c r="BS63" s="6">
        <f>Financials20263[[#This Row],[Jul-Dec FC]]+Financials20263[[#This Row],[Pending Jan-Jun]]</f>
        <v>57087.964500000002</v>
      </c>
      <c r="BT63" s="6"/>
      <c r="BU63" s="6"/>
      <c r="BV63" s="6"/>
    </row>
    <row r="64" spans="1:74" hidden="1">
      <c r="A64" s="20" t="s">
        <v>320</v>
      </c>
      <c r="B64" s="19" t="s">
        <v>209</v>
      </c>
      <c r="C64" s="19" t="s">
        <v>538</v>
      </c>
      <c r="D64" s="10" t="s">
        <v>442</v>
      </c>
      <c r="E64" s="7" t="s">
        <v>443</v>
      </c>
      <c r="F64" s="3" t="s">
        <v>444</v>
      </c>
      <c r="G64" s="3" t="s">
        <v>22</v>
      </c>
      <c r="H64" s="4">
        <v>45362</v>
      </c>
      <c r="I64" s="4">
        <v>45726</v>
      </c>
      <c r="J64" s="3" t="s">
        <v>539</v>
      </c>
      <c r="K64" s="3" t="str">
        <f t="shared" si="0"/>
        <v>Prj000469-Support - Prod Support for Ops Apps</v>
      </c>
      <c r="L64" s="19" t="s">
        <v>252</v>
      </c>
      <c r="M64" s="19" t="s">
        <v>16</v>
      </c>
      <c r="N64" s="19" t="s">
        <v>16</v>
      </c>
      <c r="O64" s="19"/>
      <c r="P64" s="19" t="s">
        <v>326</v>
      </c>
      <c r="Q64" s="19" t="s">
        <v>327</v>
      </c>
      <c r="R64" s="19" t="s">
        <v>327</v>
      </c>
      <c r="S64" s="19" t="s">
        <v>354</v>
      </c>
      <c r="T64" s="5">
        <v>8034</v>
      </c>
      <c r="U64" s="15">
        <v>8435.7000000000007</v>
      </c>
      <c r="V64" s="15">
        <v>8435.7000000000007</v>
      </c>
      <c r="W64" s="15">
        <f t="shared" si="16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540</v>
      </c>
      <c r="AB64" s="47"/>
      <c r="AC64" s="47"/>
      <c r="AD64" s="47"/>
      <c r="AE64" s="47"/>
      <c r="AF64" s="47"/>
      <c r="AG64" s="46"/>
      <c r="AH64" s="47"/>
      <c r="AI64" s="47">
        <v>8436</v>
      </c>
      <c r="AJ64" s="47"/>
      <c r="AK64" s="47"/>
      <c r="AL64" s="47"/>
      <c r="AM64" s="47"/>
      <c r="AN64" s="47">
        <f>SUM(Financials20263[[#This Row],[Jan FC]:[Dec FC]])</f>
        <v>8436</v>
      </c>
      <c r="AO64" s="15">
        <f>SUM(Financials20263[[#This Row],[Jul FC]:[Dec FC]])</f>
        <v>8436</v>
      </c>
      <c r="AP64" s="56"/>
      <c r="AQ64" s="56"/>
      <c r="AR64" s="56"/>
      <c r="AS64" s="56"/>
      <c r="AT64" s="56"/>
      <c r="AU64" s="55"/>
      <c r="AV64" s="56"/>
      <c r="AW64" s="56"/>
      <c r="AX64" s="56"/>
      <c r="AY64" s="56"/>
      <c r="AZ64" s="56"/>
      <c r="BA64" s="56"/>
      <c r="BB64" s="75">
        <f>SUM(Financials20263[[#This Row],[Jan AC]:[Dec AC]])</f>
        <v>0</v>
      </c>
      <c r="BC64" s="66">
        <f>Financials20263[[#This Row],[Jan AC]]-Financials20263[[#This Row],[Jan FC]]</f>
        <v>0</v>
      </c>
      <c r="BD64" s="66">
        <f>Financials20263[[#This Row],[Feb AC]]-Financials20263[[#This Row],[Feb FC]]</f>
        <v>0</v>
      </c>
      <c r="BE64" s="66">
        <f>Financials20263[[#This Row],[Mar AC]]-Financials20263[[#This Row],[Mar FC]]</f>
        <v>0</v>
      </c>
      <c r="BF64" s="66">
        <f>Financials20263[[#This Row],[Apr AC]]-Financials20263[[#This Row],[Apr FC]]</f>
        <v>0</v>
      </c>
      <c r="BG64" s="66">
        <f>Financials20263[[#This Row],[May AC]]-Financials20263[[#This Row],[May FC]]</f>
        <v>0</v>
      </c>
      <c r="BH64" s="66">
        <f>Financials20263[[#This Row],[Jun AC]]-Financials20263[[#This Row],[Jun FC]]</f>
        <v>0</v>
      </c>
      <c r="BI64" s="66">
        <f>Financials20263[[#This Row],[Jul AC]]-Financials20263[[#This Row],[Jul FC]]</f>
        <v>0</v>
      </c>
      <c r="BJ64" s="66">
        <f>Financials20263[[#This Row],[Aug AC]]-Financials20263[[#This Row],[Aug FC]]</f>
        <v>-8436</v>
      </c>
      <c r="BK64" s="66">
        <f>Financials20263[[#This Row],[Sep AC]]-Financials20263[[#This Row],[Sep FC]]</f>
        <v>0</v>
      </c>
      <c r="BL64" s="66">
        <f>Financials20263[[#This Row],[Oct AC]]-Financials20263[[#This Row],[Oct FC]]</f>
        <v>0</v>
      </c>
      <c r="BM64" s="66">
        <f>Financials20263[[#This Row],[Nov AC]]-Financials20263[[#This Row],[Nov FC]]</f>
        <v>0</v>
      </c>
      <c r="BN64" s="66">
        <f>Financials20263[[#This Row],[Dec AC]]-Financials20263[[#This Row],[Dec FC]]</f>
        <v>0</v>
      </c>
      <c r="BO64" s="66">
        <f>SUM(Financials20263[[#This Row],[Jan Opp/Risk]:[Dec Opp./Risk]])</f>
        <v>-8436</v>
      </c>
      <c r="BP64" s="82"/>
      <c r="BQ64" s="44">
        <f>SUM(Financials20263[[#This Row],[Jan AC]:[Jun AC]])</f>
        <v>0</v>
      </c>
      <c r="BR64" s="6">
        <f t="shared" si="17"/>
        <v>0</v>
      </c>
      <c r="BS64" s="6">
        <f>Financials20263[[#This Row],[Jul-Dec FC]]+Financials20263[[#This Row],[Pending Jan-Jun]]</f>
        <v>8436</v>
      </c>
      <c r="BT64" s="6"/>
      <c r="BU64" s="6"/>
      <c r="BV64" s="6"/>
    </row>
    <row r="65" spans="1:74" hidden="1">
      <c r="A65" s="20" t="s">
        <v>320</v>
      </c>
      <c r="B65" s="19" t="s">
        <v>240</v>
      </c>
      <c r="C65" s="19" t="s">
        <v>541</v>
      </c>
      <c r="D65" s="10" t="s">
        <v>459</v>
      </c>
      <c r="E65" s="7" t="s">
        <v>460</v>
      </c>
      <c r="F65" s="3" t="s">
        <v>335</v>
      </c>
      <c r="G65" s="3" t="s">
        <v>25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19" t="s">
        <v>252</v>
      </c>
      <c r="M65" s="19" t="s">
        <v>16</v>
      </c>
      <c r="N65" s="19" t="s">
        <v>16</v>
      </c>
      <c r="O65" s="19"/>
      <c r="P65" s="19" t="s">
        <v>326</v>
      </c>
      <c r="Q65" s="19" t="s">
        <v>327</v>
      </c>
      <c r="R65" s="19" t="s">
        <v>327</v>
      </c>
      <c r="S65" s="19" t="s">
        <v>354</v>
      </c>
      <c r="T65" s="5">
        <v>69417.919999999998</v>
      </c>
      <c r="U65" s="15">
        <v>72888.816000000006</v>
      </c>
      <c r="V65" s="15">
        <v>72888.816000000006</v>
      </c>
      <c r="W65" s="15">
        <f t="shared" si="16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376</v>
      </c>
      <c r="AB65" s="47"/>
      <c r="AC65" s="47"/>
      <c r="AD65" s="47">
        <v>72888.816000000006</v>
      </c>
      <c r="AE65" s="47"/>
      <c r="AF65" s="47"/>
      <c r="AG65" s="46"/>
      <c r="AH65" s="47"/>
      <c r="AI65" s="47"/>
      <c r="AJ65" s="47"/>
      <c r="AK65" s="47"/>
      <c r="AL65" s="47"/>
      <c r="AM65" s="47"/>
      <c r="AN65" s="47">
        <f>SUM(Financials20263[[#This Row],[Jan FC]:[Dec FC]])</f>
        <v>72888.816000000006</v>
      </c>
      <c r="AO65" s="15">
        <f>SUM(Financials20263[[#This Row],[Jul FC]:[Dec FC]])</f>
        <v>0</v>
      </c>
      <c r="AP65" s="56"/>
      <c r="AQ65" s="56"/>
      <c r="AR65" s="56">
        <v>69417.919999999998</v>
      </c>
      <c r="AS65" s="56"/>
      <c r="AT65" s="56"/>
      <c r="AU65" s="55"/>
      <c r="AV65" s="56"/>
      <c r="AW65" s="56"/>
      <c r="AX65" s="56"/>
      <c r="AY65" s="56"/>
      <c r="AZ65" s="56"/>
      <c r="BA65" s="56"/>
      <c r="BB65" s="75">
        <f>SUM(Financials20263[[#This Row],[Jan AC]:[Dec AC]])</f>
        <v>69417.919999999998</v>
      </c>
      <c r="BC65" s="66">
        <f>Financials20263[[#This Row],[Jan AC]]-Financials20263[[#This Row],[Jan FC]]</f>
        <v>0</v>
      </c>
      <c r="BD65" s="66">
        <f>Financials20263[[#This Row],[Feb AC]]-Financials20263[[#This Row],[Feb FC]]</f>
        <v>0</v>
      </c>
      <c r="BE65" s="66">
        <f>Financials20263[[#This Row],[Mar AC]]-Financials20263[[#This Row],[Mar FC]]</f>
        <v>-3470.8960000000079</v>
      </c>
      <c r="BF65" s="66">
        <f>Financials20263[[#This Row],[Apr AC]]-Financials20263[[#This Row],[Apr FC]]</f>
        <v>0</v>
      </c>
      <c r="BG65" s="66">
        <f>Financials20263[[#This Row],[May AC]]-Financials20263[[#This Row],[May FC]]</f>
        <v>0</v>
      </c>
      <c r="BH65" s="66">
        <f>Financials20263[[#This Row],[Jun AC]]-Financials20263[[#This Row],[Jun FC]]</f>
        <v>0</v>
      </c>
      <c r="BI65" s="66">
        <f>Financials20263[[#This Row],[Jul AC]]-Financials20263[[#This Row],[Jul FC]]</f>
        <v>0</v>
      </c>
      <c r="BJ65" s="66">
        <f>Financials20263[[#This Row],[Aug AC]]-Financials20263[[#This Row],[Aug FC]]</f>
        <v>0</v>
      </c>
      <c r="BK65" s="66">
        <f>Financials20263[[#This Row],[Sep AC]]-Financials20263[[#This Row],[Sep FC]]</f>
        <v>0</v>
      </c>
      <c r="BL65" s="66">
        <f>Financials20263[[#This Row],[Oct AC]]-Financials20263[[#This Row],[Oct FC]]</f>
        <v>0</v>
      </c>
      <c r="BM65" s="66">
        <f>Financials20263[[#This Row],[Nov AC]]-Financials20263[[#This Row],[Nov FC]]</f>
        <v>0</v>
      </c>
      <c r="BN65" s="66">
        <f>Financials20263[[#This Row],[Dec AC]]-Financials20263[[#This Row],[Dec FC]]</f>
        <v>0</v>
      </c>
      <c r="BO65" s="66">
        <f>SUM(Financials20263[[#This Row],[Jan Opp/Risk]:[Dec Opp./Risk]])</f>
        <v>-3470.8960000000079</v>
      </c>
      <c r="BP65" s="82" t="s">
        <v>377</v>
      </c>
      <c r="BQ65" s="44">
        <f>SUM(Financials20263[[#This Row],[Jan AC]:[Jun AC]])</f>
        <v>69417.919999999998</v>
      </c>
      <c r="BR65" s="6">
        <f t="shared" si="17"/>
        <v>0</v>
      </c>
      <c r="BS65" s="6">
        <f>Financials20263[[#This Row],[Jul-Dec FC]]+Financials20263[[#This Row],[Pending Jan-Jun]]</f>
        <v>0</v>
      </c>
      <c r="BT65" s="6"/>
      <c r="BU65" s="6"/>
      <c r="BV65" s="6"/>
    </row>
    <row r="66" spans="1:74" hidden="1">
      <c r="A66" s="20" t="s">
        <v>320</v>
      </c>
      <c r="B66" s="19" t="s">
        <v>179</v>
      </c>
      <c r="C66" s="19" t="s">
        <v>542</v>
      </c>
      <c r="D66" s="10" t="s">
        <v>449</v>
      </c>
      <c r="E66" s="7" t="s">
        <v>450</v>
      </c>
      <c r="F66" s="3" t="s">
        <v>451</v>
      </c>
      <c r="G66" s="3" t="s">
        <v>20</v>
      </c>
      <c r="H66" s="4">
        <v>45745</v>
      </c>
      <c r="I66" s="4">
        <v>46109</v>
      </c>
      <c r="J66" s="3" t="s">
        <v>543</v>
      </c>
      <c r="K66" s="3" t="str">
        <f t="shared" ref="K66:K129" si="30">D66 &amp; "-" &amp;E66</f>
        <v>Prj000458-Support - Data Analytics Office</v>
      </c>
      <c r="L66" s="19" t="s">
        <v>252</v>
      </c>
      <c r="M66" s="19" t="s">
        <v>16</v>
      </c>
      <c r="N66" s="19" t="s">
        <v>16</v>
      </c>
      <c r="O66" s="19" t="s">
        <v>544</v>
      </c>
      <c r="P66" s="19" t="s">
        <v>326</v>
      </c>
      <c r="Q66" s="19" t="s">
        <v>327</v>
      </c>
      <c r="R66" s="19" t="s">
        <v>327</v>
      </c>
      <c r="S66" s="19" t="s">
        <v>354</v>
      </c>
      <c r="T66" s="5">
        <v>42342.67</v>
      </c>
      <c r="U66" s="15">
        <v>44460.15</v>
      </c>
      <c r="V66" s="15">
        <v>44460.15</v>
      </c>
      <c r="W66" s="15">
        <f t="shared" ref="W66:W97" si="31">AO66+IF(ISBLANK(AP66),AB66,AP66)+IF(ISBLANK(AQ66),AC66,AQ66)+IF(ISBLANK(AR66),AD66,AR66)+IF(ISBLANK(AS66),AE66,AS66)+IF(ISBLANK(AT66),AF66,AT66)+IF(ISBLANK(AU66),AG66,AU66)</f>
        <v>46713</v>
      </c>
      <c r="X66" s="15">
        <f t="shared" si="7"/>
        <v>0</v>
      </c>
      <c r="Y66" s="15">
        <f t="shared" ref="Y66:Y129" si="32">IF(W66 &gt; V66, W66 - V66, 0)</f>
        <v>2252.8499999999985</v>
      </c>
      <c r="Z66" s="15">
        <f>SUM(Financials20263[[#This Row],[2026 Opportunity]:[2026 Risk]])</f>
        <v>2252.8499999999985</v>
      </c>
      <c r="AA66" s="3"/>
      <c r="AB66" s="47"/>
      <c r="AC66" s="47"/>
      <c r="AD66" s="47">
        <v>44460.15</v>
      </c>
      <c r="AE66" s="47"/>
      <c r="AF66" s="47"/>
      <c r="AG66" s="46"/>
      <c r="AH66" s="47"/>
      <c r="AI66" s="47"/>
      <c r="AJ66" s="47"/>
      <c r="AK66" s="47"/>
      <c r="AL66" s="47"/>
      <c r="AM66" s="47"/>
      <c r="AN66" s="47">
        <f>SUM(Financials20263[[#This Row],[Jan FC]:[Dec FC]])</f>
        <v>44460.15</v>
      </c>
      <c r="AO66" s="15">
        <f>SUM(Financials20263[[#This Row],[Jul FC]:[Dec FC]])</f>
        <v>0</v>
      </c>
      <c r="AP66" s="56"/>
      <c r="AQ66" s="56"/>
      <c r="AR66" s="56">
        <v>46713</v>
      </c>
      <c r="AS66" s="56"/>
      <c r="AT66" s="56"/>
      <c r="AU66" s="55"/>
      <c r="AV66" s="56"/>
      <c r="AW66" s="56"/>
      <c r="AX66" s="56"/>
      <c r="AY66" s="56"/>
      <c r="AZ66" s="56"/>
      <c r="BA66" s="56"/>
      <c r="BB66" s="75">
        <f>SUM(Financials20263[[#This Row],[Jan AC]:[Dec AC]])</f>
        <v>46713</v>
      </c>
      <c r="BC66" s="66">
        <f>Financials20263[[#This Row],[Jan AC]]-Financials20263[[#This Row],[Jan FC]]</f>
        <v>0</v>
      </c>
      <c r="BD66" s="66">
        <f>Financials20263[[#This Row],[Feb AC]]-Financials20263[[#This Row],[Feb FC]]</f>
        <v>0</v>
      </c>
      <c r="BE66" s="66">
        <f>Financials20263[[#This Row],[Mar AC]]-Financials20263[[#This Row],[Mar FC]]</f>
        <v>2252.8499999999985</v>
      </c>
      <c r="BF66" s="66">
        <f>Financials20263[[#This Row],[Apr AC]]-Financials20263[[#This Row],[Apr FC]]</f>
        <v>0</v>
      </c>
      <c r="BG66" s="66">
        <f>Financials20263[[#This Row],[May AC]]-Financials20263[[#This Row],[May FC]]</f>
        <v>0</v>
      </c>
      <c r="BH66" s="66">
        <f>Financials20263[[#This Row],[Jun AC]]-Financials20263[[#This Row],[Jun FC]]</f>
        <v>0</v>
      </c>
      <c r="BI66" s="66">
        <f>Financials20263[[#This Row],[Jul AC]]-Financials20263[[#This Row],[Jul FC]]</f>
        <v>0</v>
      </c>
      <c r="BJ66" s="66">
        <f>Financials20263[[#This Row],[Aug AC]]-Financials20263[[#This Row],[Aug FC]]</f>
        <v>0</v>
      </c>
      <c r="BK66" s="66">
        <f>Financials20263[[#This Row],[Sep AC]]-Financials20263[[#This Row],[Sep FC]]</f>
        <v>0</v>
      </c>
      <c r="BL66" s="66">
        <f>Financials20263[[#This Row],[Oct AC]]-Financials20263[[#This Row],[Oct FC]]</f>
        <v>0</v>
      </c>
      <c r="BM66" s="66">
        <f>Financials20263[[#This Row],[Nov AC]]-Financials20263[[#This Row],[Nov FC]]</f>
        <v>0</v>
      </c>
      <c r="BN66" s="66">
        <f>Financials20263[[#This Row],[Dec AC]]-Financials20263[[#This Row],[Dec FC]]</f>
        <v>0</v>
      </c>
      <c r="BO66" s="66">
        <f>SUM(Financials20263[[#This Row],[Jan Opp/Risk]:[Dec Opp./Risk]])</f>
        <v>2252.8499999999985</v>
      </c>
      <c r="BP66" s="82" t="s">
        <v>50</v>
      </c>
      <c r="BQ66" s="44">
        <f>SUM(Financials20263[[#This Row],[Jan AC]:[Jun AC]])</f>
        <v>46713</v>
      </c>
      <c r="BR66" s="6">
        <f t="shared" ref="BR66:BR97" si="33">IF(OR(AP66="",AP66=0),AB66,0)+IF(OR(AQ66="",AQ66=0),AC66,0)+IF(OR(AR66="",AR66=0),AD66,0)+IF(OR(AS66="",AS66=0),AE66,0)+IF(OR(AT66="",AT66=0),AF66,0)+IF(OR(AU66="",AU66=0),AG66,0)</f>
        <v>0</v>
      </c>
      <c r="BS66" s="6">
        <f>Financials20263[[#This Row],[Jul-Dec FC]]+Financials20263[[#This Row],[Pending Jan-Jun]]</f>
        <v>0</v>
      </c>
      <c r="BT66" s="6"/>
      <c r="BU66" s="6"/>
      <c r="BV66" s="6"/>
    </row>
    <row r="67" spans="1:74" hidden="1">
      <c r="A67" s="20" t="s">
        <v>320</v>
      </c>
      <c r="B67" s="19" t="s">
        <v>215</v>
      </c>
      <c r="C67" s="19" t="s">
        <v>545</v>
      </c>
      <c r="D67" s="10" t="s">
        <v>394</v>
      </c>
      <c r="E67" s="7" t="s">
        <v>395</v>
      </c>
      <c r="F67" s="3" t="s">
        <v>396</v>
      </c>
      <c r="G67" s="3" t="s">
        <v>23</v>
      </c>
      <c r="H67" s="4">
        <v>45962</v>
      </c>
      <c r="I67" s="4">
        <v>46326</v>
      </c>
      <c r="J67" s="3"/>
      <c r="K67" s="3" t="str">
        <f t="shared" si="30"/>
        <v>Prj000426-Implement - Minor Enhancements for Sales</v>
      </c>
      <c r="L67" s="19" t="s">
        <v>252</v>
      </c>
      <c r="M67" s="19" t="s">
        <v>16</v>
      </c>
      <c r="N67" s="19" t="s">
        <v>16</v>
      </c>
      <c r="O67" s="19"/>
      <c r="P67" s="19" t="s">
        <v>326</v>
      </c>
      <c r="Q67" s="19" t="s">
        <v>327</v>
      </c>
      <c r="R67" s="19" t="s">
        <v>327</v>
      </c>
      <c r="S67" s="19" t="s">
        <v>354</v>
      </c>
      <c r="T67" s="5">
        <v>81053.040000000008</v>
      </c>
      <c r="U67" s="15">
        <v>39305.700000000004</v>
      </c>
      <c r="V67" s="15">
        <v>39305.700000000004</v>
      </c>
      <c r="W67" s="15">
        <f t="shared" si="31"/>
        <v>39306</v>
      </c>
      <c r="X67" s="15">
        <f t="shared" si="7"/>
        <v>0</v>
      </c>
      <c r="Y67" s="15">
        <f t="shared" si="32"/>
        <v>0.29999999999563443</v>
      </c>
      <c r="Z67" s="15">
        <f>SUM(Financials20263[[#This Row],[2026 Opportunity]:[2026 Risk]])</f>
        <v>0.29999999999563443</v>
      </c>
      <c r="AA67" s="3" t="s">
        <v>376</v>
      </c>
      <c r="AB67" s="47"/>
      <c r="AC67" s="47"/>
      <c r="AD67" s="47">
        <v>2028</v>
      </c>
      <c r="AE67" s="47">
        <v>780</v>
      </c>
      <c r="AF67" s="47"/>
      <c r="AG67" s="46"/>
      <c r="AH67" s="47"/>
      <c r="AI67" s="47"/>
      <c r="AJ67" s="47"/>
      <c r="AK67" s="47"/>
      <c r="AL67" s="47">
        <f>39306-2028-780</f>
        <v>36498</v>
      </c>
      <c r="AM67" s="47"/>
      <c r="AN67" s="47">
        <f>SUM(Financials20263[[#This Row],[Jan FC]:[Dec FC]])</f>
        <v>39306</v>
      </c>
      <c r="AO67" s="15">
        <f>SUM(Financials20263[[#This Row],[Jul FC]:[Dec FC]])</f>
        <v>36498</v>
      </c>
      <c r="AP67" s="56"/>
      <c r="AQ67" s="56"/>
      <c r="AR67" s="56">
        <v>2028</v>
      </c>
      <c r="AS67" s="56">
        <v>780</v>
      </c>
      <c r="AT67" s="56"/>
      <c r="AU67" s="55"/>
      <c r="AV67" s="56"/>
      <c r="AW67" s="56"/>
      <c r="AX67" s="56"/>
      <c r="AY67" s="56"/>
      <c r="AZ67" s="56"/>
      <c r="BA67" s="56"/>
      <c r="BB67" s="75">
        <f>SUM(Financials20263[[#This Row],[Jan AC]:[Dec AC]])</f>
        <v>2808</v>
      </c>
      <c r="BC67" s="66">
        <f>Financials20263[[#This Row],[Jan AC]]-Financials20263[[#This Row],[Jan FC]]</f>
        <v>0</v>
      </c>
      <c r="BD67" s="66">
        <f>Financials20263[[#This Row],[Feb AC]]-Financials20263[[#This Row],[Feb FC]]</f>
        <v>0</v>
      </c>
      <c r="BE67" s="66">
        <f>Financials20263[[#This Row],[Mar AC]]-Financials20263[[#This Row],[Mar FC]]</f>
        <v>0</v>
      </c>
      <c r="BF67" s="66">
        <f>Financials20263[[#This Row],[Apr AC]]-Financials20263[[#This Row],[Apr FC]]</f>
        <v>0</v>
      </c>
      <c r="BG67" s="66">
        <f>Financials20263[[#This Row],[May AC]]-Financials20263[[#This Row],[May FC]]</f>
        <v>0</v>
      </c>
      <c r="BH67" s="66">
        <f>Financials20263[[#This Row],[Jun AC]]-Financials20263[[#This Row],[Jun FC]]</f>
        <v>0</v>
      </c>
      <c r="BI67" s="66">
        <f>Financials20263[[#This Row],[Jul AC]]-Financials20263[[#This Row],[Jul FC]]</f>
        <v>0</v>
      </c>
      <c r="BJ67" s="66">
        <f>Financials20263[[#This Row],[Aug AC]]-Financials20263[[#This Row],[Aug FC]]</f>
        <v>0</v>
      </c>
      <c r="BK67" s="66">
        <f>Financials20263[[#This Row],[Sep AC]]-Financials20263[[#This Row],[Sep FC]]</f>
        <v>0</v>
      </c>
      <c r="BL67" s="66">
        <f>Financials20263[[#This Row],[Oct AC]]-Financials20263[[#This Row],[Oct FC]]</f>
        <v>0</v>
      </c>
      <c r="BM67" s="66">
        <f>Financials20263[[#This Row],[Nov AC]]-Financials20263[[#This Row],[Nov FC]]</f>
        <v>-36498</v>
      </c>
      <c r="BN67" s="66">
        <f>Financials20263[[#This Row],[Dec AC]]-Financials20263[[#This Row],[Dec FC]]</f>
        <v>0</v>
      </c>
      <c r="BO67" s="66">
        <f>SUM(Financials20263[[#This Row],[Jan Opp/Risk]:[Dec Opp./Risk]])</f>
        <v>-36498</v>
      </c>
      <c r="BP67" s="82"/>
      <c r="BQ67" s="44">
        <f>SUM(Financials20263[[#This Row],[Jan AC]:[Jun AC]])</f>
        <v>2808</v>
      </c>
      <c r="BR67" s="6">
        <f t="shared" si="33"/>
        <v>0</v>
      </c>
      <c r="BS67" s="6">
        <f>Financials20263[[#This Row],[Jul-Dec FC]]+Financials20263[[#This Row],[Pending Jan-Jun]]</f>
        <v>36498</v>
      </c>
      <c r="BT67" s="6"/>
      <c r="BU67" s="6"/>
      <c r="BV67" s="6"/>
    </row>
    <row r="68" spans="1:74" hidden="1">
      <c r="A68" s="20" t="s">
        <v>320</v>
      </c>
      <c r="B68" s="19" t="s">
        <v>217</v>
      </c>
      <c r="C68" s="19" t="s">
        <v>546</v>
      </c>
      <c r="D68" s="10" t="s">
        <v>394</v>
      </c>
      <c r="E68" s="7" t="s">
        <v>395</v>
      </c>
      <c r="F68" s="3" t="s">
        <v>396</v>
      </c>
      <c r="G68" s="3" t="s">
        <v>23</v>
      </c>
      <c r="H68" s="4">
        <v>45904</v>
      </c>
      <c r="I68" s="4">
        <v>46268</v>
      </c>
      <c r="J68" s="3" t="s">
        <v>547</v>
      </c>
      <c r="K68" s="3" t="str">
        <f t="shared" si="30"/>
        <v>Prj000426-Implement - Minor Enhancements for Sales</v>
      </c>
      <c r="L68" s="19" t="s">
        <v>252</v>
      </c>
      <c r="M68" s="19" t="s">
        <v>16</v>
      </c>
      <c r="N68" s="19" t="s">
        <v>16</v>
      </c>
      <c r="O68" s="19"/>
      <c r="P68" s="19" t="s">
        <v>326</v>
      </c>
      <c r="Q68" s="19" t="s">
        <v>327</v>
      </c>
      <c r="R68" s="19" t="s">
        <v>327</v>
      </c>
      <c r="S68" s="19" t="s">
        <v>328</v>
      </c>
      <c r="T68" s="5">
        <v>43706</v>
      </c>
      <c r="U68" s="15">
        <v>174825</v>
      </c>
      <c r="V68" s="15">
        <v>174825</v>
      </c>
      <c r="W68" s="15">
        <f t="shared" si="31"/>
        <v>174825</v>
      </c>
      <c r="X68" s="15">
        <f t="shared" si="7"/>
        <v>0</v>
      </c>
      <c r="Y68" s="15">
        <f t="shared" si="32"/>
        <v>0</v>
      </c>
      <c r="Z68" s="15">
        <f>SUM(Financials20263[[#This Row],[2026 Opportunity]:[2026 Risk]])</f>
        <v>0</v>
      </c>
      <c r="AA68" s="3" t="s">
        <v>548</v>
      </c>
      <c r="AB68" s="47">
        <f t="shared" ref="AB68:AX68" si="34">174825/12</f>
        <v>14568.75</v>
      </c>
      <c r="AC68" s="47">
        <f t="shared" si="34"/>
        <v>14568.75</v>
      </c>
      <c r="AD68" s="47">
        <f t="shared" si="34"/>
        <v>14568.75</v>
      </c>
      <c r="AE68" s="47">
        <f t="shared" si="34"/>
        <v>14568.75</v>
      </c>
      <c r="AF68" s="47">
        <f t="shared" si="34"/>
        <v>14568.75</v>
      </c>
      <c r="AG68" s="47">
        <f t="shared" si="34"/>
        <v>14568.75</v>
      </c>
      <c r="AH68" s="47">
        <f t="shared" si="34"/>
        <v>14568.75</v>
      </c>
      <c r="AI68" s="47">
        <f t="shared" si="34"/>
        <v>14568.75</v>
      </c>
      <c r="AJ68" s="47">
        <f t="shared" si="34"/>
        <v>14568.75</v>
      </c>
      <c r="AK68" s="47">
        <f t="shared" si="34"/>
        <v>14568.75</v>
      </c>
      <c r="AL68" s="47">
        <f t="shared" si="34"/>
        <v>14568.75</v>
      </c>
      <c r="AM68" s="47">
        <f t="shared" si="34"/>
        <v>14568.75</v>
      </c>
      <c r="AN68" s="47">
        <f>SUM(Financials20263[[#This Row],[Jan FC]:[Dec FC]])</f>
        <v>174825</v>
      </c>
      <c r="AO68" s="15">
        <f>SUM(Financials20263[[#This Row],[Jul FC]:[Dec FC]])</f>
        <v>87412.5</v>
      </c>
      <c r="AP68" s="56">
        <f t="shared" si="34"/>
        <v>14568.75</v>
      </c>
      <c r="AQ68" s="56">
        <f t="shared" si="34"/>
        <v>14568.75</v>
      </c>
      <c r="AR68" s="56">
        <f t="shared" si="34"/>
        <v>14568.75</v>
      </c>
      <c r="AS68" s="56">
        <f t="shared" si="34"/>
        <v>14568.75</v>
      </c>
      <c r="AT68" s="56">
        <f t="shared" si="34"/>
        <v>14568.75</v>
      </c>
      <c r="AU68" s="56">
        <f t="shared" si="34"/>
        <v>14568.75</v>
      </c>
      <c r="AV68" s="56">
        <f t="shared" si="34"/>
        <v>14568.75</v>
      </c>
      <c r="AW68" s="56">
        <f t="shared" si="34"/>
        <v>14568.75</v>
      </c>
      <c r="AX68" s="56">
        <f t="shared" si="34"/>
        <v>14568.75</v>
      </c>
      <c r="AY68" s="56"/>
      <c r="AZ68" s="56"/>
      <c r="BA68" s="56"/>
      <c r="BB68" s="75">
        <f>SUM(Financials20263[[#This Row],[Jan AC]:[Dec AC]])</f>
        <v>131118.75</v>
      </c>
      <c r="BC68" s="66">
        <f>Financials20263[[#This Row],[Jan AC]]-Financials20263[[#This Row],[Jan FC]]</f>
        <v>0</v>
      </c>
      <c r="BD68" s="66">
        <f>Financials20263[[#This Row],[Feb AC]]-Financials20263[[#This Row],[Feb FC]]</f>
        <v>0</v>
      </c>
      <c r="BE68" s="66">
        <f>Financials20263[[#This Row],[Mar AC]]-Financials20263[[#This Row],[Mar FC]]</f>
        <v>0</v>
      </c>
      <c r="BF68" s="66">
        <f>Financials20263[[#This Row],[Apr AC]]-Financials20263[[#This Row],[Apr FC]]</f>
        <v>0</v>
      </c>
      <c r="BG68" s="66">
        <f>Financials20263[[#This Row],[May AC]]-Financials20263[[#This Row],[May FC]]</f>
        <v>0</v>
      </c>
      <c r="BH68" s="66">
        <f>Financials20263[[#This Row],[Jun AC]]-Financials20263[[#This Row],[Jun FC]]</f>
        <v>0</v>
      </c>
      <c r="BI68" s="66">
        <f>Financials20263[[#This Row],[Jul AC]]-Financials20263[[#This Row],[Jul FC]]</f>
        <v>0</v>
      </c>
      <c r="BJ68" s="66">
        <f>Financials20263[[#This Row],[Aug AC]]-Financials20263[[#This Row],[Aug FC]]</f>
        <v>0</v>
      </c>
      <c r="BK68" s="66">
        <f>Financials20263[[#This Row],[Sep AC]]-Financials20263[[#This Row],[Sep FC]]</f>
        <v>0</v>
      </c>
      <c r="BL68" s="66">
        <f>Financials20263[[#This Row],[Oct AC]]-Financials20263[[#This Row],[Oct FC]]</f>
        <v>-14568.75</v>
      </c>
      <c r="BM68" s="66">
        <f>Financials20263[[#This Row],[Nov AC]]-Financials20263[[#This Row],[Nov FC]]</f>
        <v>-14568.75</v>
      </c>
      <c r="BN68" s="66">
        <f>Financials20263[[#This Row],[Dec AC]]-Financials20263[[#This Row],[Dec FC]]</f>
        <v>-14568.75</v>
      </c>
      <c r="BO68" s="66">
        <f>SUM(Financials20263[[#This Row],[Jan Opp/Risk]:[Dec Opp./Risk]])</f>
        <v>-43706.25</v>
      </c>
      <c r="BP68" s="82"/>
      <c r="BQ68" s="44">
        <f>SUM(Financials20263[[#This Row],[Jan AC]:[Jun AC]])</f>
        <v>87412.5</v>
      </c>
      <c r="BR68" s="6">
        <f t="shared" si="33"/>
        <v>0</v>
      </c>
      <c r="BS68" s="6">
        <f>Financials20263[[#This Row],[Jul-Dec FC]]+Financials20263[[#This Row],[Pending Jan-Jun]]</f>
        <v>87412.5</v>
      </c>
      <c r="BT68" s="6"/>
      <c r="BU68" s="6"/>
      <c r="BV68" s="6"/>
    </row>
    <row r="69" spans="1:74" hidden="1">
      <c r="A69" s="20" t="s">
        <v>320</v>
      </c>
      <c r="B69" s="19" t="s">
        <v>191</v>
      </c>
      <c r="C69" s="19" t="s">
        <v>549</v>
      </c>
      <c r="D69" s="10" t="s">
        <v>467</v>
      </c>
      <c r="E69" s="7" t="s">
        <v>468</v>
      </c>
      <c r="F69" s="3" t="s">
        <v>324</v>
      </c>
      <c r="G69" s="3" t="s">
        <v>21</v>
      </c>
      <c r="H69" s="4">
        <v>45983</v>
      </c>
      <c r="I69" s="4">
        <v>46347</v>
      </c>
      <c r="J69" s="3"/>
      <c r="K69" s="3" t="str">
        <f t="shared" si="30"/>
        <v>Prj000342-Support - Site Reliability Engineering for Tech</v>
      </c>
      <c r="L69" s="19" t="s">
        <v>252</v>
      </c>
      <c r="M69" s="19" t="s">
        <v>16</v>
      </c>
      <c r="N69" s="19" t="s">
        <v>16</v>
      </c>
      <c r="O69" s="19"/>
      <c r="P69" s="19" t="s">
        <v>326</v>
      </c>
      <c r="Q69" s="19" t="s">
        <v>327</v>
      </c>
      <c r="R69" s="19" t="s">
        <v>327</v>
      </c>
      <c r="S69" s="19" t="s">
        <v>354</v>
      </c>
      <c r="T69" s="5">
        <v>4895</v>
      </c>
      <c r="U69" s="15">
        <v>5407.5</v>
      </c>
      <c r="V69" s="15">
        <v>5407.5</v>
      </c>
      <c r="W69" s="15">
        <f t="shared" si="31"/>
        <v>5407.5</v>
      </c>
      <c r="X69" s="15">
        <f t="shared" si="7"/>
        <v>0</v>
      </c>
      <c r="Y69" s="15">
        <f t="shared" si="32"/>
        <v>0</v>
      </c>
      <c r="Z69" s="15">
        <f>SUM(Financials20263[[#This Row],[2026 Opportunity]:[2026 Risk]])</f>
        <v>0</v>
      </c>
      <c r="AA69" s="3" t="s">
        <v>376</v>
      </c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>
        <v>5407.5</v>
      </c>
      <c r="AN69" s="47">
        <f>SUM(Financials20263[[#This Row],[Jan FC]:[Dec FC]])</f>
        <v>5407.5</v>
      </c>
      <c r="AO69" s="15">
        <f>SUM(Financials20263[[#This Row],[Jul FC]:[Dec FC]])</f>
        <v>5407.5</v>
      </c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75">
        <f>SUM(Financials20263[[#This Row],[Jan AC]:[Dec AC]])</f>
        <v>0</v>
      </c>
      <c r="BC69" s="66">
        <f>Financials20263[[#This Row],[Jan AC]]-Financials20263[[#This Row],[Jan FC]]</f>
        <v>0</v>
      </c>
      <c r="BD69" s="66">
        <f>Financials20263[[#This Row],[Feb AC]]-Financials20263[[#This Row],[Feb FC]]</f>
        <v>0</v>
      </c>
      <c r="BE69" s="66">
        <f>Financials20263[[#This Row],[Mar AC]]-Financials20263[[#This Row],[Mar FC]]</f>
        <v>0</v>
      </c>
      <c r="BF69" s="66">
        <f>Financials20263[[#This Row],[Apr AC]]-Financials20263[[#This Row],[Apr FC]]</f>
        <v>0</v>
      </c>
      <c r="BG69" s="66">
        <f>Financials20263[[#This Row],[May AC]]-Financials20263[[#This Row],[May FC]]</f>
        <v>0</v>
      </c>
      <c r="BH69" s="66">
        <f>Financials20263[[#This Row],[Jun AC]]-Financials20263[[#This Row],[Jun FC]]</f>
        <v>0</v>
      </c>
      <c r="BI69" s="66">
        <f>Financials20263[[#This Row],[Jul AC]]-Financials20263[[#This Row],[Jul FC]]</f>
        <v>0</v>
      </c>
      <c r="BJ69" s="66">
        <f>Financials20263[[#This Row],[Aug AC]]-Financials20263[[#This Row],[Aug FC]]</f>
        <v>0</v>
      </c>
      <c r="BK69" s="66">
        <f>Financials20263[[#This Row],[Sep AC]]-Financials20263[[#This Row],[Sep FC]]</f>
        <v>0</v>
      </c>
      <c r="BL69" s="66">
        <f>Financials20263[[#This Row],[Oct AC]]-Financials20263[[#This Row],[Oct FC]]</f>
        <v>0</v>
      </c>
      <c r="BM69" s="66">
        <f>Financials20263[[#This Row],[Nov AC]]-Financials20263[[#This Row],[Nov FC]]</f>
        <v>0</v>
      </c>
      <c r="BN69" s="66">
        <f>Financials20263[[#This Row],[Dec AC]]-Financials20263[[#This Row],[Dec FC]]</f>
        <v>-5407.5</v>
      </c>
      <c r="BO69" s="66">
        <f>SUM(Financials20263[[#This Row],[Jan Opp/Risk]:[Dec Opp./Risk]])</f>
        <v>-5407.5</v>
      </c>
      <c r="BP69" s="82"/>
      <c r="BQ69" s="44">
        <f>SUM(Financials20263[[#This Row],[Jan AC]:[Jun AC]])</f>
        <v>0</v>
      </c>
      <c r="BR69" s="6">
        <f t="shared" si="33"/>
        <v>0</v>
      </c>
      <c r="BS69" s="6">
        <f>Financials20263[[#This Row],[Jul-Dec FC]]+Financials20263[[#This Row],[Pending Jan-Jun]]</f>
        <v>5407.5</v>
      </c>
      <c r="BT69" s="6"/>
      <c r="BU69" s="6"/>
      <c r="BV69" s="6"/>
    </row>
    <row r="70" spans="1:74" hidden="1">
      <c r="A70" s="20" t="s">
        <v>320</v>
      </c>
      <c r="B70" s="19" t="s">
        <v>71</v>
      </c>
      <c r="C70" s="19" t="s">
        <v>550</v>
      </c>
      <c r="D70" s="10" t="s">
        <v>322</v>
      </c>
      <c r="E70" s="7" t="s">
        <v>323</v>
      </c>
      <c r="F70" s="3" t="s">
        <v>324</v>
      </c>
      <c r="G70" s="3" t="s">
        <v>21</v>
      </c>
      <c r="H70" s="4">
        <v>45947</v>
      </c>
      <c r="I70" s="4">
        <v>46676</v>
      </c>
      <c r="J70" s="3" t="s">
        <v>551</v>
      </c>
      <c r="K70" s="3" t="str">
        <f t="shared" si="30"/>
        <v>Prj000350-Support - Infrastructure for Tech</v>
      </c>
      <c r="L70" s="19" t="s">
        <v>252</v>
      </c>
      <c r="M70" s="19" t="s">
        <v>16</v>
      </c>
      <c r="N70" s="19" t="s">
        <v>16</v>
      </c>
      <c r="O70" s="19" t="s">
        <v>16</v>
      </c>
      <c r="P70" s="19" t="s">
        <v>326</v>
      </c>
      <c r="Q70" s="19" t="s">
        <v>327</v>
      </c>
      <c r="R70" s="19" t="s">
        <v>327</v>
      </c>
      <c r="S70" s="19" t="s">
        <v>336</v>
      </c>
      <c r="T70" s="5">
        <v>48135.15</v>
      </c>
      <c r="U70" s="15"/>
      <c r="V70" s="15"/>
      <c r="W70" s="15">
        <f t="shared" si="31"/>
        <v>0</v>
      </c>
      <c r="X70" s="15">
        <f t="shared" si="7"/>
        <v>0</v>
      </c>
      <c r="Y70" s="15">
        <f t="shared" si="32"/>
        <v>0</v>
      </c>
      <c r="Z70" s="15">
        <f>SUM(Financials20263[[#This Row],[2026 Opportunity]:[2026 Risk]])</f>
        <v>0</v>
      </c>
      <c r="AA70" s="3" t="s">
        <v>552</v>
      </c>
      <c r="AB70" s="47"/>
      <c r="AC70" s="47"/>
      <c r="AD70" s="47"/>
      <c r="AE70" s="47"/>
      <c r="AF70" s="47"/>
      <c r="AG70" s="46"/>
      <c r="AH70" s="47"/>
      <c r="AI70" s="47"/>
      <c r="AJ70" s="47"/>
      <c r="AK70" s="47"/>
      <c r="AL70" s="47"/>
      <c r="AM70" s="47"/>
      <c r="AN70" s="47">
        <f>SUM(Financials20263[[#This Row],[Jan FC]:[Dec FC]])</f>
        <v>0</v>
      </c>
      <c r="AO70" s="15">
        <f>SUM(Financials20263[[#This Row],[Jul FC]:[Dec FC]])</f>
        <v>0</v>
      </c>
      <c r="AP70" s="56"/>
      <c r="AQ70" s="56"/>
      <c r="AR70" s="56"/>
      <c r="AS70" s="56"/>
      <c r="AT70" s="56"/>
      <c r="AU70" s="55"/>
      <c r="AV70" s="56"/>
      <c r="AW70" s="56"/>
      <c r="AX70" s="56"/>
      <c r="AY70" s="56"/>
      <c r="AZ70" s="56"/>
      <c r="BA70" s="56"/>
      <c r="BB70" s="75">
        <f>SUM(Financials20263[[#This Row],[Jan AC]:[Dec AC]])</f>
        <v>0</v>
      </c>
      <c r="BC70" s="66">
        <f>Financials20263[[#This Row],[Jan AC]]-Financials20263[[#This Row],[Jan FC]]</f>
        <v>0</v>
      </c>
      <c r="BD70" s="66">
        <f>Financials20263[[#This Row],[Feb AC]]-Financials20263[[#This Row],[Feb FC]]</f>
        <v>0</v>
      </c>
      <c r="BE70" s="66">
        <f>Financials20263[[#This Row],[Mar AC]]-Financials20263[[#This Row],[Mar FC]]</f>
        <v>0</v>
      </c>
      <c r="BF70" s="66">
        <f>Financials20263[[#This Row],[Apr AC]]-Financials20263[[#This Row],[Apr FC]]</f>
        <v>0</v>
      </c>
      <c r="BG70" s="66">
        <f>Financials20263[[#This Row],[May AC]]-Financials20263[[#This Row],[May FC]]</f>
        <v>0</v>
      </c>
      <c r="BH70" s="66">
        <f>Financials20263[[#This Row],[Jun AC]]-Financials20263[[#This Row],[Jun FC]]</f>
        <v>0</v>
      </c>
      <c r="BI70" s="66">
        <f>Financials20263[[#This Row],[Jul AC]]-Financials20263[[#This Row],[Jul FC]]</f>
        <v>0</v>
      </c>
      <c r="BJ70" s="66">
        <f>Financials20263[[#This Row],[Aug AC]]-Financials20263[[#This Row],[Aug FC]]</f>
        <v>0</v>
      </c>
      <c r="BK70" s="66">
        <f>Financials20263[[#This Row],[Sep AC]]-Financials20263[[#This Row],[Sep FC]]</f>
        <v>0</v>
      </c>
      <c r="BL70" s="66">
        <f>Financials20263[[#This Row],[Oct AC]]-Financials20263[[#This Row],[Oct FC]]</f>
        <v>0</v>
      </c>
      <c r="BM70" s="66">
        <f>Financials20263[[#This Row],[Nov AC]]-Financials20263[[#This Row],[Nov FC]]</f>
        <v>0</v>
      </c>
      <c r="BN70" s="66">
        <f>Financials20263[[#This Row],[Dec AC]]-Financials20263[[#This Row],[Dec FC]]</f>
        <v>0</v>
      </c>
      <c r="BO70" s="66">
        <f>SUM(Financials20263[[#This Row],[Jan Opp/Risk]:[Dec Opp./Risk]])</f>
        <v>0</v>
      </c>
      <c r="BP70" s="82"/>
      <c r="BQ70" s="44">
        <f>SUM(Financials20263[[#This Row],[Jan AC]:[Jun AC]])</f>
        <v>0</v>
      </c>
      <c r="BR70" s="6">
        <f t="shared" si="33"/>
        <v>0</v>
      </c>
      <c r="BS70" s="6">
        <f>Financials20263[[#This Row],[Jul-Dec FC]]+Financials20263[[#This Row],[Pending Jan-Jun]]</f>
        <v>0</v>
      </c>
      <c r="BT70" s="6"/>
      <c r="BU70" s="6"/>
      <c r="BV70" s="6"/>
    </row>
    <row r="71" spans="1:74" hidden="1">
      <c r="A71" s="20" t="s">
        <v>320</v>
      </c>
      <c r="B71" s="19" t="s">
        <v>71</v>
      </c>
      <c r="C71" s="19" t="s">
        <v>550</v>
      </c>
      <c r="D71" s="10" t="s">
        <v>422</v>
      </c>
      <c r="E71" s="7" t="s">
        <v>423</v>
      </c>
      <c r="F71" s="3" t="s">
        <v>408</v>
      </c>
      <c r="G71" s="3" t="s">
        <v>20</v>
      </c>
      <c r="H71" s="4">
        <v>45960</v>
      </c>
      <c r="I71" s="4">
        <v>46324</v>
      </c>
      <c r="J71" s="3" t="s">
        <v>553</v>
      </c>
      <c r="K71" s="3" t="str">
        <f t="shared" si="30"/>
        <v>Prj000467-Support - Enterprise Tech Helpdesk</v>
      </c>
      <c r="L71" s="19" t="s">
        <v>252</v>
      </c>
      <c r="M71" s="19" t="s">
        <v>16</v>
      </c>
      <c r="N71" s="19" t="s">
        <v>16</v>
      </c>
      <c r="O71" s="19" t="s">
        <v>16</v>
      </c>
      <c r="P71" s="19" t="s">
        <v>326</v>
      </c>
      <c r="Q71" s="19" t="s">
        <v>327</v>
      </c>
      <c r="R71" s="19" t="s">
        <v>327</v>
      </c>
      <c r="S71" s="19" t="s">
        <v>354</v>
      </c>
      <c r="T71" s="5">
        <v>94231.349999999991</v>
      </c>
      <c r="U71" s="15">
        <v>98942.917499999996</v>
      </c>
      <c r="V71" s="15">
        <v>98942.917499999996</v>
      </c>
      <c r="W71" s="15">
        <f t="shared" si="31"/>
        <v>98943.23</v>
      </c>
      <c r="X71" s="15">
        <f t="shared" ref="X71:X136" si="35">IF(V71 &gt;= W71, V71 - W71, 0)*-1</f>
        <v>0</v>
      </c>
      <c r="Y71" s="15">
        <f t="shared" si="32"/>
        <v>0.3125</v>
      </c>
      <c r="Z71" s="15">
        <f>SUM(Financials20263[[#This Row],[2026 Opportunity]:[2026 Risk]])</f>
        <v>0.3125</v>
      </c>
      <c r="AA71" s="3" t="s">
        <v>553</v>
      </c>
      <c r="AB71" s="47">
        <v>957</v>
      </c>
      <c r="AC71" s="47"/>
      <c r="AD71" s="47"/>
      <c r="AE71" s="47"/>
      <c r="AF71" s="47"/>
      <c r="AG71" s="46"/>
      <c r="AH71" s="47"/>
      <c r="AI71" s="47"/>
      <c r="AJ71" s="47"/>
      <c r="AK71" s="47">
        <f>98943-957</f>
        <v>97986</v>
      </c>
      <c r="AL71" s="47"/>
      <c r="AM71" s="47"/>
      <c r="AN71" s="47">
        <f>SUM(Financials20263[[#This Row],[Jan FC]:[Dec FC]])</f>
        <v>98943</v>
      </c>
      <c r="AO71" s="15">
        <f>SUM(Financials20263[[#This Row],[Jul FC]:[Dec FC]])</f>
        <v>97986</v>
      </c>
      <c r="AP71" s="56">
        <v>957.23</v>
      </c>
      <c r="AQ71" s="56"/>
      <c r="AR71" s="56"/>
      <c r="AS71" s="56"/>
      <c r="AT71" s="56"/>
      <c r="AU71" s="55"/>
      <c r="AV71" s="56"/>
      <c r="AW71" s="56"/>
      <c r="AX71" s="56"/>
      <c r="AY71" s="56"/>
      <c r="AZ71" s="56"/>
      <c r="BA71" s="56"/>
      <c r="BB71" s="75">
        <f>SUM(Financials20263[[#This Row],[Jan AC]:[Dec AC]])</f>
        <v>957.23</v>
      </c>
      <c r="BC71" s="66">
        <f>Financials20263[[#This Row],[Jan AC]]-Financials20263[[#This Row],[Jan FC]]</f>
        <v>0.23000000000001819</v>
      </c>
      <c r="BD71" s="66">
        <f>Financials20263[[#This Row],[Feb AC]]-Financials20263[[#This Row],[Feb FC]]</f>
        <v>0</v>
      </c>
      <c r="BE71" s="66">
        <f>Financials20263[[#This Row],[Mar AC]]-Financials20263[[#This Row],[Mar FC]]</f>
        <v>0</v>
      </c>
      <c r="BF71" s="66">
        <f>Financials20263[[#This Row],[Apr AC]]-Financials20263[[#This Row],[Apr FC]]</f>
        <v>0</v>
      </c>
      <c r="BG71" s="66">
        <f>Financials20263[[#This Row],[May AC]]-Financials20263[[#This Row],[May FC]]</f>
        <v>0</v>
      </c>
      <c r="BH71" s="66">
        <f>Financials20263[[#This Row],[Jun AC]]-Financials20263[[#This Row],[Jun FC]]</f>
        <v>0</v>
      </c>
      <c r="BI71" s="66">
        <f>Financials20263[[#This Row],[Jul AC]]-Financials20263[[#This Row],[Jul FC]]</f>
        <v>0</v>
      </c>
      <c r="BJ71" s="66">
        <f>Financials20263[[#This Row],[Aug AC]]-Financials20263[[#This Row],[Aug FC]]</f>
        <v>0</v>
      </c>
      <c r="BK71" s="66">
        <f>Financials20263[[#This Row],[Sep AC]]-Financials20263[[#This Row],[Sep FC]]</f>
        <v>0</v>
      </c>
      <c r="BL71" s="66">
        <f>Financials20263[[#This Row],[Oct AC]]-Financials20263[[#This Row],[Oct FC]]</f>
        <v>-97986</v>
      </c>
      <c r="BM71" s="66">
        <f>Financials20263[[#This Row],[Nov AC]]-Financials20263[[#This Row],[Nov FC]]</f>
        <v>0</v>
      </c>
      <c r="BN71" s="66">
        <f>Financials20263[[#This Row],[Dec AC]]-Financials20263[[#This Row],[Dec FC]]</f>
        <v>0</v>
      </c>
      <c r="BO71" s="66">
        <f>SUM(Financials20263[[#This Row],[Jan Opp/Risk]:[Dec Opp./Risk]])</f>
        <v>-97985.77</v>
      </c>
      <c r="BP71" s="82"/>
      <c r="BQ71" s="44">
        <f>SUM(Financials20263[[#This Row],[Jan AC]:[Jun AC]])</f>
        <v>957.23</v>
      </c>
      <c r="BR71" s="6">
        <f t="shared" si="33"/>
        <v>0</v>
      </c>
      <c r="BS71" s="6">
        <f>Financials20263[[#This Row],[Jul-Dec FC]]+Financials20263[[#This Row],[Pending Jan-Jun]]</f>
        <v>97986</v>
      </c>
      <c r="BT71" s="6"/>
      <c r="BU71" s="6"/>
      <c r="BV71" s="6"/>
    </row>
    <row r="72" spans="1:74" hidden="1">
      <c r="A72" s="20" t="s">
        <v>320</v>
      </c>
      <c r="B72" s="19" t="s">
        <v>71</v>
      </c>
      <c r="C72" s="19" t="s">
        <v>550</v>
      </c>
      <c r="D72" s="10" t="s">
        <v>454</v>
      </c>
      <c r="E72" s="7" t="s">
        <v>455</v>
      </c>
      <c r="F72" s="3" t="s">
        <v>451</v>
      </c>
      <c r="G72" s="3" t="s">
        <v>20</v>
      </c>
      <c r="H72" s="4">
        <v>45870</v>
      </c>
      <c r="I72" s="4">
        <v>46234</v>
      </c>
      <c r="J72" s="3" t="s">
        <v>554</v>
      </c>
      <c r="K72" s="3" t="str">
        <f t="shared" si="30"/>
        <v>Prj000548-Implement - Reporting for Internal Audit</v>
      </c>
      <c r="L72" s="19" t="s">
        <v>252</v>
      </c>
      <c r="M72" s="19" t="s">
        <v>16</v>
      </c>
      <c r="N72" s="19" t="s">
        <v>16</v>
      </c>
      <c r="O72" s="19" t="s">
        <v>16</v>
      </c>
      <c r="P72" s="19" t="s">
        <v>326</v>
      </c>
      <c r="Q72" s="19" t="s">
        <v>327</v>
      </c>
      <c r="R72" s="19" t="s">
        <v>327</v>
      </c>
      <c r="S72" s="19" t="s">
        <v>354</v>
      </c>
      <c r="T72" s="5">
        <v>8804.2099999999991</v>
      </c>
      <c r="U72" s="15">
        <v>48667.5</v>
      </c>
      <c r="V72" s="15">
        <v>48667.5</v>
      </c>
      <c r="W72" s="15">
        <f t="shared" si="31"/>
        <v>48667.5</v>
      </c>
      <c r="X72" s="15">
        <f t="shared" si="35"/>
        <v>0</v>
      </c>
      <c r="Y72" s="15">
        <f t="shared" si="32"/>
        <v>0</v>
      </c>
      <c r="Z72" s="15">
        <f>SUM(Financials20263[[#This Row],[2026 Opportunity]:[2026 Risk]])</f>
        <v>0</v>
      </c>
      <c r="AA72" s="3" t="s">
        <v>555</v>
      </c>
      <c r="AB72" s="47"/>
      <c r="AC72" s="47"/>
      <c r="AD72" s="47"/>
      <c r="AE72" s="47"/>
      <c r="AF72" s="47"/>
      <c r="AG72" s="46"/>
      <c r="AH72" s="47"/>
      <c r="AI72" s="47"/>
      <c r="AJ72" s="47"/>
      <c r="AK72" s="47">
        <v>48667.5</v>
      </c>
      <c r="AL72" s="47"/>
      <c r="AM72" s="47"/>
      <c r="AN72" s="47">
        <f>SUM(Financials20263[[#This Row],[Jan FC]:[Dec FC]])</f>
        <v>48667.5</v>
      </c>
      <c r="AO72" s="15">
        <f>SUM(Financials20263[[#This Row],[Jul FC]:[Dec FC]])</f>
        <v>48667.5</v>
      </c>
      <c r="AP72" s="56"/>
      <c r="AQ72" s="56"/>
      <c r="AR72" s="56"/>
      <c r="AS72" s="56"/>
      <c r="AT72" s="56"/>
      <c r="AU72" s="55"/>
      <c r="AV72" s="56"/>
      <c r="AW72" s="56"/>
      <c r="AX72" s="56"/>
      <c r="AY72" s="56"/>
      <c r="AZ72" s="56"/>
      <c r="BA72" s="56"/>
      <c r="BB72" s="75">
        <f>SUM(Financials20263[[#This Row],[Jan AC]:[Dec AC]])</f>
        <v>0</v>
      </c>
      <c r="BC72" s="66">
        <f>Financials20263[[#This Row],[Jan AC]]-Financials20263[[#This Row],[Jan FC]]</f>
        <v>0</v>
      </c>
      <c r="BD72" s="66">
        <f>Financials20263[[#This Row],[Feb AC]]-Financials20263[[#This Row],[Feb FC]]</f>
        <v>0</v>
      </c>
      <c r="BE72" s="66">
        <f>Financials20263[[#This Row],[Mar AC]]-Financials20263[[#This Row],[Mar FC]]</f>
        <v>0</v>
      </c>
      <c r="BF72" s="66">
        <f>Financials20263[[#This Row],[Apr AC]]-Financials20263[[#This Row],[Apr FC]]</f>
        <v>0</v>
      </c>
      <c r="BG72" s="66">
        <f>Financials20263[[#This Row],[May AC]]-Financials20263[[#This Row],[May FC]]</f>
        <v>0</v>
      </c>
      <c r="BH72" s="66">
        <f>Financials20263[[#This Row],[Jun AC]]-Financials20263[[#This Row],[Jun FC]]</f>
        <v>0</v>
      </c>
      <c r="BI72" s="66">
        <f>Financials20263[[#This Row],[Jul AC]]-Financials20263[[#This Row],[Jul FC]]</f>
        <v>0</v>
      </c>
      <c r="BJ72" s="66">
        <f>Financials20263[[#This Row],[Aug AC]]-Financials20263[[#This Row],[Aug FC]]</f>
        <v>0</v>
      </c>
      <c r="BK72" s="66">
        <f>Financials20263[[#This Row],[Sep AC]]-Financials20263[[#This Row],[Sep FC]]</f>
        <v>0</v>
      </c>
      <c r="BL72" s="66">
        <f>Financials20263[[#This Row],[Oct AC]]-Financials20263[[#This Row],[Oct FC]]</f>
        <v>-48667.5</v>
      </c>
      <c r="BM72" s="66">
        <f>Financials20263[[#This Row],[Nov AC]]-Financials20263[[#This Row],[Nov FC]]</f>
        <v>0</v>
      </c>
      <c r="BN72" s="66">
        <f>Financials20263[[#This Row],[Dec AC]]-Financials20263[[#This Row],[Dec FC]]</f>
        <v>0</v>
      </c>
      <c r="BO72" s="66">
        <f>SUM(Financials20263[[#This Row],[Jan Opp/Risk]:[Dec Opp./Risk]])</f>
        <v>-48667.5</v>
      </c>
      <c r="BP72" s="82"/>
      <c r="BQ72" s="44">
        <f>SUM(Financials20263[[#This Row],[Jan AC]:[Jun AC]])</f>
        <v>0</v>
      </c>
      <c r="BR72" s="6">
        <f t="shared" si="33"/>
        <v>0</v>
      </c>
      <c r="BS72" s="6">
        <f>Financials20263[[#This Row],[Jul-Dec FC]]+Financials20263[[#This Row],[Pending Jan-Jun]]</f>
        <v>48667.5</v>
      </c>
      <c r="BT72" s="6"/>
      <c r="BU72" s="6"/>
      <c r="BV72" s="6"/>
    </row>
    <row r="73" spans="1:74" hidden="1">
      <c r="A73" s="20" t="s">
        <v>320</v>
      </c>
      <c r="B73" s="19" t="s">
        <v>71</v>
      </c>
      <c r="C73" s="19" t="s">
        <v>550</v>
      </c>
      <c r="D73" s="10" t="s">
        <v>449</v>
      </c>
      <c r="E73" s="7" t="s">
        <v>450</v>
      </c>
      <c r="F73" s="3" t="s">
        <v>451</v>
      </c>
      <c r="G73" s="3" t="s">
        <v>20</v>
      </c>
      <c r="H73" s="4">
        <v>45896</v>
      </c>
      <c r="I73" s="4">
        <v>46260</v>
      </c>
      <c r="J73" s="3" t="s">
        <v>556</v>
      </c>
      <c r="K73" s="3" t="str">
        <f t="shared" si="30"/>
        <v>Prj000458-Support - Data Analytics Office</v>
      </c>
      <c r="L73" s="19" t="s">
        <v>252</v>
      </c>
      <c r="M73" s="19" t="s">
        <v>16</v>
      </c>
      <c r="N73" s="19" t="s">
        <v>16</v>
      </c>
      <c r="O73" s="19" t="s">
        <v>557</v>
      </c>
      <c r="P73" s="19" t="s">
        <v>326</v>
      </c>
      <c r="Q73" s="19" t="s">
        <v>327</v>
      </c>
      <c r="R73" s="19" t="s">
        <v>327</v>
      </c>
      <c r="S73" s="19" t="s">
        <v>354</v>
      </c>
      <c r="T73" s="5">
        <v>837.46</v>
      </c>
      <c r="U73" s="15">
        <v>68250</v>
      </c>
      <c r="V73" s="15">
        <v>68250</v>
      </c>
      <c r="W73" s="15">
        <f t="shared" si="31"/>
        <v>68250</v>
      </c>
      <c r="X73" s="15">
        <f t="shared" si="35"/>
        <v>0</v>
      </c>
      <c r="Y73" s="15">
        <f t="shared" si="32"/>
        <v>0</v>
      </c>
      <c r="Z73" s="15">
        <f>SUM(Financials20263[[#This Row],[2026 Opportunity]:[2026 Risk]])</f>
        <v>0</v>
      </c>
      <c r="AA73" s="3" t="s">
        <v>558</v>
      </c>
      <c r="AB73" s="47"/>
      <c r="AC73" s="47"/>
      <c r="AD73" s="47"/>
      <c r="AE73" s="47"/>
      <c r="AF73" s="47"/>
      <c r="AG73" s="46"/>
      <c r="AH73" s="47"/>
      <c r="AI73" s="47">
        <v>68250</v>
      </c>
      <c r="AJ73" s="47"/>
      <c r="AK73" s="47"/>
      <c r="AL73" s="47"/>
      <c r="AM73" s="47"/>
      <c r="AN73" s="47">
        <f>SUM(Financials20263[[#This Row],[Jan FC]:[Dec FC]])</f>
        <v>68250</v>
      </c>
      <c r="AO73" s="15">
        <f>SUM(Financials20263[[#This Row],[Jul FC]:[Dec FC]])</f>
        <v>68250</v>
      </c>
      <c r="AP73" s="56"/>
      <c r="AQ73" s="56"/>
      <c r="AR73" s="56"/>
      <c r="AS73" s="56"/>
      <c r="AT73" s="56"/>
      <c r="AU73" s="55"/>
      <c r="AV73" s="56"/>
      <c r="AW73" s="56"/>
      <c r="AX73" s="56"/>
      <c r="AY73" s="56"/>
      <c r="AZ73" s="56"/>
      <c r="BA73" s="56"/>
      <c r="BB73" s="75">
        <f>SUM(Financials20263[[#This Row],[Jan AC]:[Dec AC]])</f>
        <v>0</v>
      </c>
      <c r="BC73" s="66">
        <f>Financials20263[[#This Row],[Jan AC]]-Financials20263[[#This Row],[Jan FC]]</f>
        <v>0</v>
      </c>
      <c r="BD73" s="66">
        <f>Financials20263[[#This Row],[Feb AC]]-Financials20263[[#This Row],[Feb FC]]</f>
        <v>0</v>
      </c>
      <c r="BE73" s="66">
        <f>Financials20263[[#This Row],[Mar AC]]-Financials20263[[#This Row],[Mar FC]]</f>
        <v>0</v>
      </c>
      <c r="BF73" s="66">
        <f>Financials20263[[#This Row],[Apr AC]]-Financials20263[[#This Row],[Apr FC]]</f>
        <v>0</v>
      </c>
      <c r="BG73" s="66">
        <f>Financials20263[[#This Row],[May AC]]-Financials20263[[#This Row],[May FC]]</f>
        <v>0</v>
      </c>
      <c r="BH73" s="66">
        <f>Financials20263[[#This Row],[Jun AC]]-Financials20263[[#This Row],[Jun FC]]</f>
        <v>0</v>
      </c>
      <c r="BI73" s="66">
        <f>Financials20263[[#This Row],[Jul AC]]-Financials20263[[#This Row],[Jul FC]]</f>
        <v>0</v>
      </c>
      <c r="BJ73" s="66">
        <f>Financials20263[[#This Row],[Aug AC]]-Financials20263[[#This Row],[Aug FC]]</f>
        <v>-68250</v>
      </c>
      <c r="BK73" s="66">
        <f>Financials20263[[#This Row],[Sep AC]]-Financials20263[[#This Row],[Sep FC]]</f>
        <v>0</v>
      </c>
      <c r="BL73" s="66">
        <f>Financials20263[[#This Row],[Oct AC]]-Financials20263[[#This Row],[Oct FC]]</f>
        <v>0</v>
      </c>
      <c r="BM73" s="66">
        <f>Financials20263[[#This Row],[Nov AC]]-Financials20263[[#This Row],[Nov FC]]</f>
        <v>0</v>
      </c>
      <c r="BN73" s="66">
        <f>Financials20263[[#This Row],[Dec AC]]-Financials20263[[#This Row],[Dec FC]]</f>
        <v>0</v>
      </c>
      <c r="BO73" s="66">
        <f>SUM(Financials20263[[#This Row],[Jan Opp/Risk]:[Dec Opp./Risk]])</f>
        <v>-68250</v>
      </c>
      <c r="BP73" s="82"/>
      <c r="BQ73" s="44">
        <f>SUM(Financials20263[[#This Row],[Jan AC]:[Jun AC]])</f>
        <v>0</v>
      </c>
      <c r="BR73" s="6">
        <f t="shared" si="33"/>
        <v>0</v>
      </c>
      <c r="BS73" s="6">
        <f>Financials20263[[#This Row],[Jul-Dec FC]]+Financials20263[[#This Row],[Pending Jan-Jun]]</f>
        <v>68250</v>
      </c>
      <c r="BT73" s="6"/>
      <c r="BU73" s="6"/>
      <c r="BV73" s="6"/>
    </row>
    <row r="74" spans="1:74" hidden="1">
      <c r="A74" s="20" t="s">
        <v>320</v>
      </c>
      <c r="B74" s="19" t="s">
        <v>41</v>
      </c>
      <c r="C74" s="19" t="s">
        <v>559</v>
      </c>
      <c r="D74" s="10" t="s">
        <v>406</v>
      </c>
      <c r="E74" s="7" t="s">
        <v>407</v>
      </c>
      <c r="F74" s="3" t="s">
        <v>408</v>
      </c>
      <c r="G74" s="3" t="s">
        <v>20</v>
      </c>
      <c r="H74" s="4">
        <v>46022</v>
      </c>
      <c r="I74" s="4">
        <v>46386</v>
      </c>
      <c r="J74" s="3" t="s">
        <v>560</v>
      </c>
      <c r="K74" s="3" t="str">
        <f t="shared" si="30"/>
        <v>Prj000403-Support - L2 CoE Management for Tech Horizontals</v>
      </c>
      <c r="L74" s="19" t="s">
        <v>252</v>
      </c>
      <c r="M74" s="19" t="s">
        <v>16</v>
      </c>
      <c r="N74" s="19" t="s">
        <v>16</v>
      </c>
      <c r="O74" s="19" t="s">
        <v>436</v>
      </c>
      <c r="P74" s="19" t="s">
        <v>326</v>
      </c>
      <c r="Q74" s="19" t="s">
        <v>327</v>
      </c>
      <c r="R74" s="19" t="s">
        <v>327</v>
      </c>
      <c r="S74" s="19" t="s">
        <v>354</v>
      </c>
      <c r="T74" s="5">
        <v>96041.64</v>
      </c>
      <c r="U74" s="15">
        <v>100844.1</v>
      </c>
      <c r="V74" s="15">
        <v>100844.1</v>
      </c>
      <c r="W74" s="15">
        <f t="shared" si="31"/>
        <v>96041.64</v>
      </c>
      <c r="X74" s="15">
        <f t="shared" si="35"/>
        <v>-4802.4600000000064</v>
      </c>
      <c r="Y74" s="15">
        <f t="shared" si="32"/>
        <v>0</v>
      </c>
      <c r="Z74" s="15">
        <f>SUM(Financials20263[[#This Row],[2026 Opportunity]:[2026 Risk]])</f>
        <v>-4802.4600000000064</v>
      </c>
      <c r="AA74" s="3" t="s">
        <v>561</v>
      </c>
      <c r="AB74" s="47"/>
      <c r="AC74" s="47">
        <v>100844.1</v>
      </c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>
        <f>SUM(Financials20263[[#This Row],[Jan FC]:[Dec FC]])</f>
        <v>100844.1</v>
      </c>
      <c r="AO74" s="15">
        <f>SUM(Financials20263[[#This Row],[Jul FC]:[Dec FC]])</f>
        <v>0</v>
      </c>
      <c r="AP74" s="56"/>
      <c r="AQ74" s="56">
        <v>96041.64</v>
      </c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75">
        <f>SUM(Financials20263[[#This Row],[Jan AC]:[Dec AC]])</f>
        <v>96041.64</v>
      </c>
      <c r="BC74" s="66">
        <f>Financials20263[[#This Row],[Jan AC]]-Financials20263[[#This Row],[Jan FC]]</f>
        <v>0</v>
      </c>
      <c r="BD74" s="66">
        <f>Financials20263[[#This Row],[Feb AC]]-Financials20263[[#This Row],[Feb FC]]</f>
        <v>-4802.4600000000064</v>
      </c>
      <c r="BE74" s="66">
        <f>Financials20263[[#This Row],[Mar AC]]-Financials20263[[#This Row],[Mar FC]]</f>
        <v>0</v>
      </c>
      <c r="BF74" s="66">
        <f>Financials20263[[#This Row],[Apr AC]]-Financials20263[[#This Row],[Apr FC]]</f>
        <v>0</v>
      </c>
      <c r="BG74" s="66">
        <f>Financials20263[[#This Row],[May AC]]-Financials20263[[#This Row],[May FC]]</f>
        <v>0</v>
      </c>
      <c r="BH74" s="66">
        <f>Financials20263[[#This Row],[Jun AC]]-Financials20263[[#This Row],[Jun FC]]</f>
        <v>0</v>
      </c>
      <c r="BI74" s="66">
        <f>Financials20263[[#This Row],[Jul AC]]-Financials20263[[#This Row],[Jul FC]]</f>
        <v>0</v>
      </c>
      <c r="BJ74" s="66">
        <f>Financials20263[[#This Row],[Aug AC]]-Financials20263[[#This Row],[Aug FC]]</f>
        <v>0</v>
      </c>
      <c r="BK74" s="66">
        <f>Financials20263[[#This Row],[Sep AC]]-Financials20263[[#This Row],[Sep FC]]</f>
        <v>0</v>
      </c>
      <c r="BL74" s="66">
        <f>Financials20263[[#This Row],[Oct AC]]-Financials20263[[#This Row],[Oct FC]]</f>
        <v>0</v>
      </c>
      <c r="BM74" s="66">
        <f>Financials20263[[#This Row],[Nov AC]]-Financials20263[[#This Row],[Nov FC]]</f>
        <v>0</v>
      </c>
      <c r="BN74" s="66">
        <f>Financials20263[[#This Row],[Dec AC]]-Financials20263[[#This Row],[Dec FC]]</f>
        <v>0</v>
      </c>
      <c r="BO74" s="66">
        <f>SUM(Financials20263[[#This Row],[Jan Opp/Risk]:[Dec Opp./Risk]])</f>
        <v>-4802.4600000000064</v>
      </c>
      <c r="BP74" s="82" t="s">
        <v>377</v>
      </c>
      <c r="BQ74" s="44">
        <f>SUM(Financials20263[[#This Row],[Jan AC]:[Jun AC]])</f>
        <v>96041.64</v>
      </c>
      <c r="BR74" s="6">
        <f t="shared" si="33"/>
        <v>0</v>
      </c>
      <c r="BS74" s="6">
        <f>Financials20263[[#This Row],[Jul-Dec FC]]+Financials20263[[#This Row],[Pending Jan-Jun]]</f>
        <v>0</v>
      </c>
      <c r="BT74" s="6"/>
      <c r="BU74" s="6"/>
      <c r="BV74" s="6"/>
    </row>
    <row r="75" spans="1:74" hidden="1">
      <c r="A75" s="20" t="s">
        <v>320</v>
      </c>
      <c r="B75" s="19" t="s">
        <v>244</v>
      </c>
      <c r="C75" s="19" t="s">
        <v>562</v>
      </c>
      <c r="D75" s="10" t="s">
        <v>459</v>
      </c>
      <c r="E75" s="7" t="s">
        <v>460</v>
      </c>
      <c r="F75" s="3" t="s">
        <v>335</v>
      </c>
      <c r="G75" s="3" t="s">
        <v>25</v>
      </c>
      <c r="H75" s="4">
        <v>46017</v>
      </c>
      <c r="I75" s="4">
        <v>46381</v>
      </c>
      <c r="J75" s="3" t="s">
        <v>393</v>
      </c>
      <c r="K75" s="3" t="str">
        <f t="shared" si="30"/>
        <v>Prj000446-Implement - Minor Enhancements for Enterprise Apps</v>
      </c>
      <c r="L75" s="19" t="s">
        <v>252</v>
      </c>
      <c r="M75" s="19" t="s">
        <v>16</v>
      </c>
      <c r="N75" s="19" t="s">
        <v>16</v>
      </c>
      <c r="O75" s="19"/>
      <c r="P75" s="19" t="s">
        <v>326</v>
      </c>
      <c r="Q75" s="19" t="s">
        <v>327</v>
      </c>
      <c r="R75" s="19" t="s">
        <v>327</v>
      </c>
      <c r="S75" s="19" t="s">
        <v>354</v>
      </c>
      <c r="T75" s="5">
        <v>71433.45</v>
      </c>
      <c r="U75" s="15">
        <v>70432.698000000004</v>
      </c>
      <c r="V75" s="15">
        <v>70432.698000000004</v>
      </c>
      <c r="W75" s="15">
        <f t="shared" si="31"/>
        <v>70432.217999999993</v>
      </c>
      <c r="X75" s="15">
        <f t="shared" si="35"/>
        <v>-0.48000000001047738</v>
      </c>
      <c r="Y75" s="15">
        <f t="shared" si="32"/>
        <v>0</v>
      </c>
      <c r="Z75" s="15">
        <f>SUM(Financials20263[[#This Row],[2026 Opportunity]:[2026 Risk]])</f>
        <v>-0.48000000001047738</v>
      </c>
      <c r="AA75" s="3"/>
      <c r="AB75" s="47">
        <v>200</v>
      </c>
      <c r="AC75" s="47">
        <v>200</v>
      </c>
      <c r="AD75" s="47">
        <v>200</v>
      </c>
      <c r="AE75" s="47">
        <v>200</v>
      </c>
      <c r="AF75" s="47">
        <v>200</v>
      </c>
      <c r="AG75" s="47">
        <v>200</v>
      </c>
      <c r="AH75" s="47">
        <v>200</v>
      </c>
      <c r="AI75" s="47">
        <v>200</v>
      </c>
      <c r="AJ75" s="47">
        <v>200</v>
      </c>
      <c r="AK75" s="47">
        <v>200</v>
      </c>
      <c r="AL75" s="47">
        <v>200</v>
      </c>
      <c r="AM75" s="47">
        <f>68232.698+136</f>
        <v>68368.698000000004</v>
      </c>
      <c r="AN75" s="47">
        <f>SUM(Financials20263[[#This Row],[Jan FC]:[Dec FC]])</f>
        <v>70568.698000000004</v>
      </c>
      <c r="AO75" s="15">
        <f>SUM(Financials20263[[#This Row],[Jul FC]:[Dec FC]])</f>
        <v>69368.698000000004</v>
      </c>
      <c r="AP75" s="56">
        <v>161.13999999999999</v>
      </c>
      <c r="AQ75" s="56">
        <v>161.13999999999999</v>
      </c>
      <c r="AR75" s="56">
        <v>185.31</v>
      </c>
      <c r="AS75" s="56">
        <v>185.31</v>
      </c>
      <c r="AT75" s="56">
        <v>185.31</v>
      </c>
      <c r="AU75" s="56">
        <v>185.31</v>
      </c>
      <c r="AV75" s="56"/>
      <c r="AW75" s="56"/>
      <c r="AX75" s="56"/>
      <c r="AY75" s="56"/>
      <c r="AZ75" s="56"/>
      <c r="BA75" s="56"/>
      <c r="BB75" s="75">
        <f>SUM(Financials20263[[#This Row],[Jan AC]:[Dec AC]])</f>
        <v>1063.52</v>
      </c>
      <c r="BC75" s="66">
        <f>Financials20263[[#This Row],[Jan AC]]-Financials20263[[#This Row],[Jan FC]]</f>
        <v>-38.860000000000014</v>
      </c>
      <c r="BD75" s="66">
        <f>Financials20263[[#This Row],[Feb AC]]-Financials20263[[#This Row],[Feb FC]]</f>
        <v>-38.860000000000014</v>
      </c>
      <c r="BE75" s="66">
        <f>Financials20263[[#This Row],[Mar AC]]-Financials20263[[#This Row],[Mar FC]]</f>
        <v>-14.689999999999998</v>
      </c>
      <c r="BF75" s="66">
        <f>Financials20263[[#This Row],[Apr AC]]-Financials20263[[#This Row],[Apr FC]]</f>
        <v>-14.689999999999998</v>
      </c>
      <c r="BG75" s="66">
        <f>Financials20263[[#This Row],[May AC]]-Financials20263[[#This Row],[May FC]]</f>
        <v>-14.689999999999998</v>
      </c>
      <c r="BH75" s="66">
        <f>Financials20263[[#This Row],[Jun AC]]-Financials20263[[#This Row],[Jun FC]]</f>
        <v>-14.689999999999998</v>
      </c>
      <c r="BI75" s="66">
        <f>Financials20263[[#This Row],[Jul AC]]-Financials20263[[#This Row],[Jul FC]]</f>
        <v>-200</v>
      </c>
      <c r="BJ75" s="66">
        <f>Financials20263[[#This Row],[Aug AC]]-Financials20263[[#This Row],[Aug FC]]</f>
        <v>-200</v>
      </c>
      <c r="BK75" s="66">
        <f>Financials20263[[#This Row],[Sep AC]]-Financials20263[[#This Row],[Sep FC]]</f>
        <v>-200</v>
      </c>
      <c r="BL75" s="66">
        <f>Financials20263[[#This Row],[Oct AC]]-Financials20263[[#This Row],[Oct FC]]</f>
        <v>-200</v>
      </c>
      <c r="BM75" s="66">
        <f>Financials20263[[#This Row],[Nov AC]]-Financials20263[[#This Row],[Nov FC]]</f>
        <v>-200</v>
      </c>
      <c r="BN75" s="66">
        <f>Financials20263[[#This Row],[Dec AC]]-Financials20263[[#This Row],[Dec FC]]</f>
        <v>-68368.698000000004</v>
      </c>
      <c r="BO75" s="66">
        <f>SUM(Financials20263[[#This Row],[Jan Opp/Risk]:[Dec Opp./Risk]])</f>
        <v>-69505.178</v>
      </c>
      <c r="BP75" s="82"/>
      <c r="BQ75" s="44">
        <f>SUM(Financials20263[[#This Row],[Jan AC]:[Jun AC]])</f>
        <v>1063.52</v>
      </c>
      <c r="BR75" s="6">
        <f t="shared" si="33"/>
        <v>0</v>
      </c>
      <c r="BS75" s="6">
        <f>Financials20263[[#This Row],[Jul-Dec FC]]+Financials20263[[#This Row],[Pending Jan-Jun]]</f>
        <v>69368.698000000004</v>
      </c>
      <c r="BT75" s="6"/>
      <c r="BU75" s="6"/>
      <c r="BV75" s="6"/>
    </row>
    <row r="76" spans="1:74" hidden="1">
      <c r="A76" s="20" t="s">
        <v>320</v>
      </c>
      <c r="B76" s="19" t="s">
        <v>225</v>
      </c>
      <c r="C76" s="19" t="s">
        <v>363</v>
      </c>
      <c r="D76" s="10" t="s">
        <v>364</v>
      </c>
      <c r="E76" s="7" t="s">
        <v>365</v>
      </c>
      <c r="F76" s="3" t="s">
        <v>366</v>
      </c>
      <c r="G76" s="3" t="s">
        <v>24</v>
      </c>
      <c r="H76" s="4">
        <v>45831</v>
      </c>
      <c r="I76" s="4">
        <v>46196</v>
      </c>
      <c r="J76" s="3" t="s">
        <v>563</v>
      </c>
      <c r="K76" s="3" t="str">
        <f t="shared" si="30"/>
        <v>Prj000290-Support - Asset Management Applications</v>
      </c>
      <c r="L76" s="19" t="s">
        <v>252</v>
      </c>
      <c r="M76" s="19" t="s">
        <v>16</v>
      </c>
      <c r="N76" s="19" t="s">
        <v>16</v>
      </c>
      <c r="O76" s="19" t="s">
        <v>564</v>
      </c>
      <c r="P76" s="19" t="s">
        <v>326</v>
      </c>
      <c r="Q76" s="19" t="s">
        <v>327</v>
      </c>
      <c r="R76" s="19" t="s">
        <v>327</v>
      </c>
      <c r="S76" s="19" t="s">
        <v>328</v>
      </c>
      <c r="T76" s="5">
        <v>75833</v>
      </c>
      <c r="U76" s="15">
        <v>133245.90000000002</v>
      </c>
      <c r="V76" s="15">
        <f>133245.9+12254</f>
        <v>145499.9</v>
      </c>
      <c r="W76" s="15">
        <f t="shared" si="31"/>
        <v>145500</v>
      </c>
      <c r="X76" s="15">
        <f t="shared" si="35"/>
        <v>0</v>
      </c>
      <c r="Y76" s="15">
        <f t="shared" si="32"/>
        <v>0.10000000000582077</v>
      </c>
      <c r="Z76" s="15">
        <f>SUM(Financials20263[[#This Row],[2026 Opportunity]:[2026 Risk]])</f>
        <v>0.10000000000582077</v>
      </c>
      <c r="AA76" s="3" t="s">
        <v>565</v>
      </c>
      <c r="AB76" s="47">
        <v>10832.650000000003</v>
      </c>
      <c r="AC76" s="47">
        <v>10832.650000000003</v>
      </c>
      <c r="AD76" s="47">
        <v>10832.650000000003</v>
      </c>
      <c r="AE76" s="47">
        <v>10832.650000000003</v>
      </c>
      <c r="AF76" s="47">
        <v>10832.650000000003</v>
      </c>
      <c r="AG76" s="47">
        <v>10832.650000000003</v>
      </c>
      <c r="AH76" s="47">
        <v>13416.666666666666</v>
      </c>
      <c r="AI76" s="47">
        <v>13416.666666666666</v>
      </c>
      <c r="AJ76" s="47">
        <v>13416.666666666666</v>
      </c>
      <c r="AK76" s="47">
        <v>13416.666666666666</v>
      </c>
      <c r="AL76" s="47">
        <v>13416.666666666666</v>
      </c>
      <c r="AM76" s="47">
        <v>13416.666666666666</v>
      </c>
      <c r="AN76" s="72">
        <f>SUM(Financials20263[[#This Row],[Jan FC]:[Dec FC]])</f>
        <v>145495.90000000002</v>
      </c>
      <c r="AO76" s="15">
        <f>SUM(Financials20263[[#This Row],[Jul FC]:[Dec FC]])</f>
        <v>80500</v>
      </c>
      <c r="AP76" s="56">
        <f t="shared" ref="AP76:AU76" si="36">130000/12</f>
        <v>10833.333333333334</v>
      </c>
      <c r="AQ76" s="56">
        <f t="shared" si="36"/>
        <v>10833.333333333334</v>
      </c>
      <c r="AR76" s="56">
        <f t="shared" si="36"/>
        <v>10833.333333333334</v>
      </c>
      <c r="AS76" s="56">
        <f t="shared" si="36"/>
        <v>10833.333333333334</v>
      </c>
      <c r="AT76" s="56">
        <f t="shared" si="36"/>
        <v>10833.333333333334</v>
      </c>
      <c r="AU76" s="56">
        <f t="shared" si="36"/>
        <v>10833.333333333334</v>
      </c>
      <c r="AV76" s="55">
        <f>161000/12</f>
        <v>13416.666666666666</v>
      </c>
      <c r="AW76" s="55">
        <f t="shared" ref="AW76:BA76" si="37">161000/12</f>
        <v>13416.666666666666</v>
      </c>
      <c r="AX76" s="55">
        <f t="shared" si="37"/>
        <v>13416.666666666666</v>
      </c>
      <c r="AY76" s="55">
        <f t="shared" si="37"/>
        <v>13416.666666666666</v>
      </c>
      <c r="AZ76" s="55">
        <f t="shared" si="37"/>
        <v>13416.666666666666</v>
      </c>
      <c r="BA76" s="55">
        <f t="shared" si="37"/>
        <v>13416.666666666666</v>
      </c>
      <c r="BB76" s="74">
        <f>SUM(Financials20263[[#This Row],[Jan AC]:[Dec AC]])</f>
        <v>145500</v>
      </c>
      <c r="BC76" s="66">
        <f>Financials20263[[#This Row],[Jan AC]]-Financials20263[[#This Row],[Jan FC]]</f>
        <v>0.68333333333066548</v>
      </c>
      <c r="BD76" s="66">
        <f>Financials20263[[#This Row],[Feb AC]]-Financials20263[[#This Row],[Feb FC]]</f>
        <v>0.68333333333066548</v>
      </c>
      <c r="BE76" s="66">
        <f>Financials20263[[#This Row],[Mar AC]]-Financials20263[[#This Row],[Mar FC]]</f>
        <v>0.68333333333066548</v>
      </c>
      <c r="BF76" s="66">
        <f>Financials20263[[#This Row],[Apr AC]]-Financials20263[[#This Row],[Apr FC]]</f>
        <v>0.68333333333066548</v>
      </c>
      <c r="BG76" s="66">
        <f>Financials20263[[#This Row],[May AC]]-Financials20263[[#This Row],[May FC]]</f>
        <v>0.68333333333066548</v>
      </c>
      <c r="BH76" s="66">
        <f>Financials20263[[#This Row],[Jun AC]]-Financials20263[[#This Row],[Jun FC]]</f>
        <v>0.68333333333066548</v>
      </c>
      <c r="BI76" s="66">
        <f>Financials20263[[#This Row],[Jul AC]]-Financials20263[[#This Row],[Jul FC]]</f>
        <v>0</v>
      </c>
      <c r="BJ76" s="66">
        <f>Financials20263[[#This Row],[Aug AC]]-Financials20263[[#This Row],[Aug FC]]</f>
        <v>0</v>
      </c>
      <c r="BK76" s="66">
        <f>Financials20263[[#This Row],[Sep AC]]-Financials20263[[#This Row],[Sep FC]]</f>
        <v>0</v>
      </c>
      <c r="BL76" s="66">
        <f>Financials20263[[#This Row],[Oct AC]]-Financials20263[[#This Row],[Oct FC]]</f>
        <v>0</v>
      </c>
      <c r="BM76" s="66">
        <f>Financials20263[[#This Row],[Nov AC]]-Financials20263[[#This Row],[Nov FC]]</f>
        <v>0</v>
      </c>
      <c r="BN76" s="66">
        <f>Financials20263[[#This Row],[Dec AC]]-Financials20263[[#This Row],[Dec FC]]</f>
        <v>0</v>
      </c>
      <c r="BO76" s="66">
        <f>SUM(Financials20263[[#This Row],[Jan Opp/Risk]:[Dec Opp./Risk]])</f>
        <v>4.0999999999839929</v>
      </c>
      <c r="BP76" s="82"/>
      <c r="BQ76" s="44">
        <f>SUM(Financials20263[[#This Row],[Jan AC]:[Jun AC]])</f>
        <v>65000.000000000007</v>
      </c>
      <c r="BR76" s="6">
        <f t="shared" si="33"/>
        <v>0</v>
      </c>
      <c r="BS76" s="6">
        <f>Financials20263[[#This Row],[Jul-Dec FC]]+Financials20263[[#This Row],[Pending Jan-Jun]]</f>
        <v>80500</v>
      </c>
      <c r="BT76" s="6"/>
      <c r="BU76" s="6"/>
      <c r="BV76" s="6"/>
    </row>
    <row r="77" spans="1:74" hidden="1">
      <c r="A77" s="20" t="s">
        <v>320</v>
      </c>
      <c r="B77" s="19" t="s">
        <v>183</v>
      </c>
      <c r="C77" s="19" t="s">
        <v>566</v>
      </c>
      <c r="D77" s="10" t="s">
        <v>322</v>
      </c>
      <c r="E77" s="7" t="s">
        <v>323</v>
      </c>
      <c r="F77" s="3" t="s">
        <v>324</v>
      </c>
      <c r="G77" s="3" t="s">
        <v>21</v>
      </c>
      <c r="H77" s="4">
        <v>45719</v>
      </c>
      <c r="I77" s="4">
        <v>45719</v>
      </c>
      <c r="J77" s="3"/>
      <c r="K77" s="3" t="str">
        <f t="shared" si="30"/>
        <v>Prj000350-Support - Infrastructure for Tech</v>
      </c>
      <c r="L77" s="19" t="s">
        <v>252</v>
      </c>
      <c r="M77" s="19" t="s">
        <v>16</v>
      </c>
      <c r="N77" s="19" t="s">
        <v>16</v>
      </c>
      <c r="O77" s="19"/>
      <c r="P77" s="19" t="s">
        <v>326</v>
      </c>
      <c r="Q77" s="19" t="s">
        <v>327</v>
      </c>
      <c r="R77" s="19" t="s">
        <v>327</v>
      </c>
      <c r="S77" s="19" t="s">
        <v>354</v>
      </c>
      <c r="T77" s="5">
        <v>5000</v>
      </c>
      <c r="U77" s="15">
        <v>5250</v>
      </c>
      <c r="V77" s="15">
        <v>5250</v>
      </c>
      <c r="W77" s="15">
        <f t="shared" si="31"/>
        <v>5250</v>
      </c>
      <c r="X77" s="15">
        <f t="shared" si="35"/>
        <v>0</v>
      </c>
      <c r="Y77" s="15">
        <f t="shared" si="32"/>
        <v>0</v>
      </c>
      <c r="Z77" s="15">
        <f>SUM(Financials20263[[#This Row],[2026 Opportunity]:[2026 Risk]])</f>
        <v>0</v>
      </c>
      <c r="AA77" s="3"/>
      <c r="AB77" s="47"/>
      <c r="AC77" s="47"/>
      <c r="AD77" s="47">
        <v>5250</v>
      </c>
      <c r="AE77" s="47"/>
      <c r="AF77" s="47"/>
      <c r="AG77" s="47"/>
      <c r="AH77" s="47"/>
      <c r="AI77" s="47"/>
      <c r="AJ77" s="47"/>
      <c r="AK77" s="47"/>
      <c r="AL77" s="47"/>
      <c r="AM77" s="47"/>
      <c r="AN77" s="47">
        <f>SUM(Financials20263[[#This Row],[Jan FC]:[Dec FC]])</f>
        <v>5250</v>
      </c>
      <c r="AO77" s="15">
        <f>SUM(Financials20263[[#This Row],[Jul FC]:[Dec FC]])</f>
        <v>0</v>
      </c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75">
        <f>SUM(Financials20263[[#This Row],[Jan AC]:[Dec AC]])</f>
        <v>0</v>
      </c>
      <c r="BC77" s="66">
        <f>Financials20263[[#This Row],[Jan AC]]-Financials20263[[#This Row],[Jan FC]]</f>
        <v>0</v>
      </c>
      <c r="BD77" s="66">
        <f>Financials20263[[#This Row],[Feb AC]]-Financials20263[[#This Row],[Feb FC]]</f>
        <v>0</v>
      </c>
      <c r="BE77" s="66">
        <f>Financials20263[[#This Row],[Mar AC]]-Financials20263[[#This Row],[Mar FC]]</f>
        <v>-5250</v>
      </c>
      <c r="BF77" s="66">
        <f>Financials20263[[#This Row],[Apr AC]]-Financials20263[[#This Row],[Apr FC]]</f>
        <v>0</v>
      </c>
      <c r="BG77" s="66">
        <f>Financials20263[[#This Row],[May AC]]-Financials20263[[#This Row],[May FC]]</f>
        <v>0</v>
      </c>
      <c r="BH77" s="66">
        <f>Financials20263[[#This Row],[Jun AC]]-Financials20263[[#This Row],[Jun FC]]</f>
        <v>0</v>
      </c>
      <c r="BI77" s="66">
        <f>Financials20263[[#This Row],[Jul AC]]-Financials20263[[#This Row],[Jul FC]]</f>
        <v>0</v>
      </c>
      <c r="BJ77" s="66">
        <f>Financials20263[[#This Row],[Aug AC]]-Financials20263[[#This Row],[Aug FC]]</f>
        <v>0</v>
      </c>
      <c r="BK77" s="66">
        <f>Financials20263[[#This Row],[Sep AC]]-Financials20263[[#This Row],[Sep FC]]</f>
        <v>0</v>
      </c>
      <c r="BL77" s="66">
        <f>Financials20263[[#This Row],[Oct AC]]-Financials20263[[#This Row],[Oct FC]]</f>
        <v>0</v>
      </c>
      <c r="BM77" s="66">
        <f>Financials20263[[#This Row],[Nov AC]]-Financials20263[[#This Row],[Nov FC]]</f>
        <v>0</v>
      </c>
      <c r="BN77" s="66">
        <f>Financials20263[[#This Row],[Dec AC]]-Financials20263[[#This Row],[Dec FC]]</f>
        <v>0</v>
      </c>
      <c r="BO77" s="66">
        <f>SUM(Financials20263[[#This Row],[Jan Opp/Risk]:[Dec Opp./Risk]])</f>
        <v>-5250</v>
      </c>
      <c r="BP77" s="83"/>
      <c r="BQ77" s="44">
        <f>SUM(Financials20263[[#This Row],[Jan AC]:[Jun AC]])</f>
        <v>0</v>
      </c>
      <c r="BR77" s="6">
        <f t="shared" si="33"/>
        <v>5250</v>
      </c>
      <c r="BS77" s="6">
        <f>Financials20263[[#This Row],[Jul-Dec FC]]+Financials20263[[#This Row],[Pending Jan-Jun]]</f>
        <v>5250</v>
      </c>
      <c r="BT77" s="6"/>
      <c r="BU77" s="6"/>
      <c r="BV77" s="6"/>
    </row>
    <row r="78" spans="1:74" hidden="1">
      <c r="A78" s="20" t="s">
        <v>320</v>
      </c>
      <c r="B78" s="19" t="s">
        <v>176</v>
      </c>
      <c r="C78" s="19" t="s">
        <v>567</v>
      </c>
      <c r="D78" s="10" t="s">
        <v>406</v>
      </c>
      <c r="E78" s="7" t="s">
        <v>407</v>
      </c>
      <c r="F78" s="3" t="s">
        <v>408</v>
      </c>
      <c r="G78" s="3" t="s">
        <v>20</v>
      </c>
      <c r="H78" s="2" t="s">
        <v>367</v>
      </c>
      <c r="I78" s="2" t="s">
        <v>367</v>
      </c>
      <c r="J78" s="3"/>
      <c r="K78" s="3" t="str">
        <f t="shared" si="30"/>
        <v>Prj000403-Support - L2 CoE Management for Tech Horizontals</v>
      </c>
      <c r="L78" s="19" t="s">
        <v>252</v>
      </c>
      <c r="M78" s="19" t="s">
        <v>16</v>
      </c>
      <c r="N78" s="19" t="s">
        <v>16</v>
      </c>
      <c r="O78" s="19" t="s">
        <v>16</v>
      </c>
      <c r="P78" s="19" t="s">
        <v>326</v>
      </c>
      <c r="Q78" s="19" t="s">
        <v>327</v>
      </c>
      <c r="R78" s="19" t="s">
        <v>327</v>
      </c>
      <c r="S78" s="19" t="s">
        <v>350</v>
      </c>
      <c r="T78" s="5">
        <v>23410</v>
      </c>
      <c r="U78" s="15">
        <v>26288.755499999999</v>
      </c>
      <c r="V78" s="15">
        <v>26288.755499999999</v>
      </c>
      <c r="W78" s="15">
        <f t="shared" si="31"/>
        <v>26882.11</v>
      </c>
      <c r="X78" s="15">
        <f t="shared" si="35"/>
        <v>0</v>
      </c>
      <c r="Y78" s="15">
        <f t="shared" si="32"/>
        <v>593.35450000000128</v>
      </c>
      <c r="Z78" s="15">
        <f>SUM(Financials20263[[#This Row],[2026 Opportunity]:[2026 Risk]])</f>
        <v>593.35450000000128</v>
      </c>
      <c r="AA78" s="3" t="s">
        <v>568</v>
      </c>
      <c r="AB78" s="47">
        <v>8984.74</v>
      </c>
      <c r="AC78" s="47">
        <v>2271.65</v>
      </c>
      <c r="AD78" s="47">
        <v>1000</v>
      </c>
      <c r="AE78" s="47">
        <v>1000</v>
      </c>
      <c r="AF78" s="47">
        <v>1000</v>
      </c>
      <c r="AG78" s="47">
        <v>1000</v>
      </c>
      <c r="AH78" s="47">
        <v>1000</v>
      </c>
      <c r="AI78" s="47">
        <v>2190.75</v>
      </c>
      <c r="AJ78" s="47">
        <v>2190.75</v>
      </c>
      <c r="AK78" s="47">
        <v>2190.75</v>
      </c>
      <c r="AL78" s="47">
        <v>2190.75</v>
      </c>
      <c r="AM78" s="47">
        <f>1269.75+254</f>
        <v>1523.75</v>
      </c>
      <c r="AN78" s="47">
        <f>SUM(Financials20263[[#This Row],[Jan FC]:[Dec FC]])</f>
        <v>26543.14</v>
      </c>
      <c r="AO78" s="15">
        <f>SUM(Financials20263[[#This Row],[Jul FC]:[Dec FC]])</f>
        <v>11286.75</v>
      </c>
      <c r="AP78" s="56">
        <v>8984.74</v>
      </c>
      <c r="AQ78" s="56">
        <v>2271.65</v>
      </c>
      <c r="AR78" s="56">
        <v>745.2</v>
      </c>
      <c r="AS78" s="56">
        <v>763.08999999999992</v>
      </c>
      <c r="AT78" s="56">
        <v>1260.81</v>
      </c>
      <c r="AU78" s="56">
        <v>1569.87</v>
      </c>
      <c r="AV78" s="56"/>
      <c r="AW78" s="56"/>
      <c r="AX78" s="56"/>
      <c r="AY78" s="56"/>
      <c r="AZ78" s="56"/>
      <c r="BA78" s="56"/>
      <c r="BB78" s="75">
        <f>SUM(Financials20263[[#This Row],[Jan AC]:[Dec AC]])</f>
        <v>15595.36</v>
      </c>
      <c r="BC78" s="66">
        <f>Financials20263[[#This Row],[Jan AC]]-Financials20263[[#This Row],[Jan FC]]</f>
        <v>0</v>
      </c>
      <c r="BD78" s="66">
        <f>Financials20263[[#This Row],[Feb AC]]-Financials20263[[#This Row],[Feb FC]]</f>
        <v>0</v>
      </c>
      <c r="BE78" s="66">
        <f>Financials20263[[#This Row],[Mar AC]]-Financials20263[[#This Row],[Mar FC]]</f>
        <v>-254.79999999999995</v>
      </c>
      <c r="BF78" s="66">
        <f>Financials20263[[#This Row],[Apr AC]]-Financials20263[[#This Row],[Apr FC]]</f>
        <v>-236.91000000000008</v>
      </c>
      <c r="BG78" s="66">
        <f>Financials20263[[#This Row],[May AC]]-Financials20263[[#This Row],[May FC]]</f>
        <v>260.80999999999995</v>
      </c>
      <c r="BH78" s="66">
        <f>Financials20263[[#This Row],[Jun AC]]-Financials20263[[#This Row],[Jun FC]]</f>
        <v>569.86999999999989</v>
      </c>
      <c r="BI78" s="66">
        <f>Financials20263[[#This Row],[Jul AC]]-Financials20263[[#This Row],[Jul FC]]</f>
        <v>-1000</v>
      </c>
      <c r="BJ78" s="66">
        <f>Financials20263[[#This Row],[Aug AC]]-Financials20263[[#This Row],[Aug FC]]</f>
        <v>-2190.75</v>
      </c>
      <c r="BK78" s="66">
        <f>Financials20263[[#This Row],[Sep AC]]-Financials20263[[#This Row],[Sep FC]]</f>
        <v>-2190.75</v>
      </c>
      <c r="BL78" s="66">
        <f>Financials20263[[#This Row],[Oct AC]]-Financials20263[[#This Row],[Oct FC]]</f>
        <v>-2190.75</v>
      </c>
      <c r="BM78" s="66">
        <f>Financials20263[[#This Row],[Nov AC]]-Financials20263[[#This Row],[Nov FC]]</f>
        <v>-2190.75</v>
      </c>
      <c r="BN78" s="66">
        <f>Financials20263[[#This Row],[Dec AC]]-Financials20263[[#This Row],[Dec FC]]</f>
        <v>-1523.75</v>
      </c>
      <c r="BO78" s="78">
        <f>SUM(Financials20263[[#This Row],[Jan Opp/Risk]:[Dec Opp./Risk]])</f>
        <v>-10947.78</v>
      </c>
      <c r="BP78" s="86" t="s">
        <v>569</v>
      </c>
      <c r="BQ78" s="44">
        <f>SUM(Financials20263[[#This Row],[Jan AC]:[Jun AC]])</f>
        <v>15595.36</v>
      </c>
      <c r="BR78" s="6">
        <f t="shared" si="33"/>
        <v>0</v>
      </c>
      <c r="BS78" s="6">
        <f>Financials20263[[#This Row],[Jul-Dec FC]]+Financials20263[[#This Row],[Pending Jan-Jun]]</f>
        <v>11286.75</v>
      </c>
      <c r="BT78" s="6"/>
      <c r="BU78" s="6"/>
      <c r="BV78" s="6"/>
    </row>
    <row r="79" spans="1:74" hidden="1">
      <c r="A79" s="20" t="s">
        <v>320</v>
      </c>
      <c r="B79" s="19" t="s">
        <v>176</v>
      </c>
      <c r="C79" s="19" t="s">
        <v>567</v>
      </c>
      <c r="D79" s="10" t="s">
        <v>406</v>
      </c>
      <c r="E79" s="7" t="s">
        <v>407</v>
      </c>
      <c r="F79" s="3" t="s">
        <v>408</v>
      </c>
      <c r="G79" s="3" t="s">
        <v>20</v>
      </c>
      <c r="H79" s="4">
        <v>45869</v>
      </c>
      <c r="I79" s="4">
        <v>46233</v>
      </c>
      <c r="J79" s="3"/>
      <c r="K79" s="3" t="str">
        <f t="shared" si="30"/>
        <v>Prj000403-Support - L2 CoE Management for Tech Horizontals</v>
      </c>
      <c r="L79" s="19" t="s">
        <v>252</v>
      </c>
      <c r="M79" s="19" t="s">
        <v>16</v>
      </c>
      <c r="N79" s="19" t="s">
        <v>16</v>
      </c>
      <c r="O79" s="19" t="s">
        <v>16</v>
      </c>
      <c r="P79" s="19" t="s">
        <v>326</v>
      </c>
      <c r="Q79" s="19" t="s">
        <v>327</v>
      </c>
      <c r="R79" s="19" t="s">
        <v>327</v>
      </c>
      <c r="S79" s="19" t="s">
        <v>354</v>
      </c>
      <c r="T79" s="5">
        <v>208572.58</v>
      </c>
      <c r="U79" s="15">
        <v>91250.25</v>
      </c>
      <c r="V79" s="15">
        <v>91250.25</v>
      </c>
      <c r="W79" s="15">
        <f t="shared" si="31"/>
        <v>91250</v>
      </c>
      <c r="X79" s="15">
        <f t="shared" si="35"/>
        <v>-0.25</v>
      </c>
      <c r="Y79" s="15">
        <f t="shared" si="32"/>
        <v>0</v>
      </c>
      <c r="Z79" s="15">
        <f>SUM(Financials20263[[#This Row],[2026 Opportunity]:[2026 Risk]])</f>
        <v>-0.25</v>
      </c>
      <c r="AA79" s="3" t="s">
        <v>570</v>
      </c>
      <c r="AB79" s="47"/>
      <c r="AC79" s="47"/>
      <c r="AD79" s="47"/>
      <c r="AE79" s="47"/>
      <c r="AF79" s="46"/>
      <c r="AG79" s="46"/>
      <c r="AH79" s="47"/>
      <c r="AI79" s="47">
        <v>91250</v>
      </c>
      <c r="AJ79" s="47"/>
      <c r="AK79" s="47"/>
      <c r="AL79" s="47"/>
      <c r="AM79" s="47"/>
      <c r="AN79" s="47">
        <f>SUM(Financials20263[[#This Row],[Jan FC]:[Dec FC]])</f>
        <v>91250</v>
      </c>
      <c r="AO79" s="15">
        <f>SUM(Financials20263[[#This Row],[Jul FC]:[Dec FC]])</f>
        <v>91250</v>
      </c>
      <c r="AP79" s="56"/>
      <c r="AQ79" s="56"/>
      <c r="AR79" s="56"/>
      <c r="AS79" s="56"/>
      <c r="AT79" s="55"/>
      <c r="AU79" s="55"/>
      <c r="AV79" s="56"/>
      <c r="AW79" s="56"/>
      <c r="AX79" s="56"/>
      <c r="AY79" s="56"/>
      <c r="AZ79" s="56"/>
      <c r="BA79" s="56"/>
      <c r="BB79" s="75">
        <f>SUM(Financials20263[[#This Row],[Jan AC]:[Dec AC]])</f>
        <v>0</v>
      </c>
      <c r="BC79" s="66">
        <f>Financials20263[[#This Row],[Jan AC]]-Financials20263[[#This Row],[Jan FC]]</f>
        <v>0</v>
      </c>
      <c r="BD79" s="66">
        <f>Financials20263[[#This Row],[Feb AC]]-Financials20263[[#This Row],[Feb FC]]</f>
        <v>0</v>
      </c>
      <c r="BE79" s="66">
        <f>Financials20263[[#This Row],[Mar AC]]-Financials20263[[#This Row],[Mar FC]]</f>
        <v>0</v>
      </c>
      <c r="BF79" s="66">
        <f>Financials20263[[#This Row],[Apr AC]]-Financials20263[[#This Row],[Apr FC]]</f>
        <v>0</v>
      </c>
      <c r="BG79" s="66">
        <f>Financials20263[[#This Row],[May AC]]-Financials20263[[#This Row],[May FC]]</f>
        <v>0</v>
      </c>
      <c r="BH79" s="66">
        <f>Financials20263[[#This Row],[Jun AC]]-Financials20263[[#This Row],[Jun FC]]</f>
        <v>0</v>
      </c>
      <c r="BI79" s="66">
        <f>Financials20263[[#This Row],[Jul AC]]-Financials20263[[#This Row],[Jul FC]]</f>
        <v>0</v>
      </c>
      <c r="BJ79" s="66">
        <f>Financials20263[[#This Row],[Aug AC]]-Financials20263[[#This Row],[Aug FC]]</f>
        <v>-91250</v>
      </c>
      <c r="BK79" s="66">
        <f>Financials20263[[#This Row],[Sep AC]]-Financials20263[[#This Row],[Sep FC]]</f>
        <v>0</v>
      </c>
      <c r="BL79" s="66">
        <f>Financials20263[[#This Row],[Oct AC]]-Financials20263[[#This Row],[Oct FC]]</f>
        <v>0</v>
      </c>
      <c r="BM79" s="66">
        <f>Financials20263[[#This Row],[Nov AC]]-Financials20263[[#This Row],[Nov FC]]</f>
        <v>0</v>
      </c>
      <c r="BN79" s="66">
        <f>Financials20263[[#This Row],[Dec AC]]-Financials20263[[#This Row],[Dec FC]]</f>
        <v>0</v>
      </c>
      <c r="BO79" s="66">
        <f>SUM(Financials20263[[#This Row],[Jan Opp/Risk]:[Dec Opp./Risk]])</f>
        <v>-91250</v>
      </c>
      <c r="BP79" s="82"/>
      <c r="BQ79" s="44">
        <f>SUM(Financials20263[[#This Row],[Jan AC]:[Jun AC]])</f>
        <v>0</v>
      </c>
      <c r="BR79" s="6">
        <f t="shared" si="33"/>
        <v>0</v>
      </c>
      <c r="BS79" s="6">
        <f>Financials20263[[#This Row],[Jul-Dec FC]]+Financials20263[[#This Row],[Pending Jan-Jun]]</f>
        <v>91250</v>
      </c>
      <c r="BT79" s="6"/>
      <c r="BU79" s="6"/>
      <c r="BV79" s="6"/>
    </row>
    <row r="80" spans="1:74" hidden="1">
      <c r="A80" s="20" t="s">
        <v>320</v>
      </c>
      <c r="B80" s="19" t="s">
        <v>230</v>
      </c>
      <c r="C80" s="19" t="s">
        <v>571</v>
      </c>
      <c r="D80" s="10" t="s">
        <v>333</v>
      </c>
      <c r="E80" s="7" t="s">
        <v>334</v>
      </c>
      <c r="F80" s="3" t="s">
        <v>335</v>
      </c>
      <c r="G80" s="3" t="s">
        <v>25</v>
      </c>
      <c r="H80" s="4">
        <v>45992</v>
      </c>
      <c r="I80" s="4">
        <v>46356</v>
      </c>
      <c r="J80" s="3" t="s">
        <v>571</v>
      </c>
      <c r="K80" s="3" t="str">
        <f t="shared" si="30"/>
        <v>Prj000266-Support - Internal Tech Workforce Activities</v>
      </c>
      <c r="L80" s="19" t="s">
        <v>252</v>
      </c>
      <c r="M80" s="19" t="s">
        <v>16</v>
      </c>
      <c r="N80" s="19" t="s">
        <v>16</v>
      </c>
      <c r="O80" s="19" t="s">
        <v>16</v>
      </c>
      <c r="P80" s="19" t="s">
        <v>326</v>
      </c>
      <c r="Q80" s="19" t="s">
        <v>327</v>
      </c>
      <c r="R80" s="19" t="s">
        <v>327</v>
      </c>
      <c r="S80" s="19" t="s">
        <v>354</v>
      </c>
      <c r="T80" s="5">
        <v>37664</v>
      </c>
      <c r="U80" s="15">
        <v>32760</v>
      </c>
      <c r="V80" s="15">
        <v>32760</v>
      </c>
      <c r="W80" s="15">
        <f t="shared" si="31"/>
        <v>32760</v>
      </c>
      <c r="X80" s="15">
        <f t="shared" si="35"/>
        <v>0</v>
      </c>
      <c r="Y80" s="15">
        <f t="shared" si="32"/>
        <v>0</v>
      </c>
      <c r="Z80" s="15">
        <f>SUM(Financials20263[[#This Row],[2026 Opportunity]:[2026 Risk]])</f>
        <v>0</v>
      </c>
      <c r="AA80" s="3" t="s">
        <v>572</v>
      </c>
      <c r="AB80" s="47"/>
      <c r="AC80" s="47"/>
      <c r="AD80" s="47"/>
      <c r="AE80" s="47"/>
      <c r="AF80" s="47"/>
      <c r="AG80" s="46"/>
      <c r="AH80" s="47"/>
      <c r="AI80" s="47"/>
      <c r="AJ80" s="47"/>
      <c r="AK80" s="47"/>
      <c r="AL80" s="47"/>
      <c r="AM80" s="47">
        <v>32760</v>
      </c>
      <c r="AN80" s="47">
        <f>SUM(Financials20263[[#This Row],[Jan FC]:[Dec FC]])</f>
        <v>32760</v>
      </c>
      <c r="AO80" s="15">
        <f>SUM(Financials20263[[#This Row],[Jul FC]:[Dec FC]])</f>
        <v>32760</v>
      </c>
      <c r="AP80" s="56"/>
      <c r="AQ80" s="56"/>
      <c r="AR80" s="56"/>
      <c r="AS80" s="56"/>
      <c r="AT80" s="56"/>
      <c r="AU80" s="55"/>
      <c r="AV80" s="56"/>
      <c r="AW80" s="56"/>
      <c r="AX80" s="56"/>
      <c r="AY80" s="56"/>
      <c r="AZ80" s="56"/>
      <c r="BA80" s="56"/>
      <c r="BB80" s="75">
        <f>SUM(Financials20263[[#This Row],[Jan AC]:[Dec AC]])</f>
        <v>0</v>
      </c>
      <c r="BC80" s="66">
        <f>Financials20263[[#This Row],[Jan AC]]-Financials20263[[#This Row],[Jan FC]]</f>
        <v>0</v>
      </c>
      <c r="BD80" s="66">
        <f>Financials20263[[#This Row],[Feb AC]]-Financials20263[[#This Row],[Feb FC]]</f>
        <v>0</v>
      </c>
      <c r="BE80" s="66">
        <f>Financials20263[[#This Row],[Mar AC]]-Financials20263[[#This Row],[Mar FC]]</f>
        <v>0</v>
      </c>
      <c r="BF80" s="66">
        <f>Financials20263[[#This Row],[Apr AC]]-Financials20263[[#This Row],[Apr FC]]</f>
        <v>0</v>
      </c>
      <c r="BG80" s="66">
        <f>Financials20263[[#This Row],[May AC]]-Financials20263[[#This Row],[May FC]]</f>
        <v>0</v>
      </c>
      <c r="BH80" s="66">
        <f>Financials20263[[#This Row],[Jun AC]]-Financials20263[[#This Row],[Jun FC]]</f>
        <v>0</v>
      </c>
      <c r="BI80" s="66">
        <f>Financials20263[[#This Row],[Jul AC]]-Financials20263[[#This Row],[Jul FC]]</f>
        <v>0</v>
      </c>
      <c r="BJ80" s="66">
        <f>Financials20263[[#This Row],[Aug AC]]-Financials20263[[#This Row],[Aug FC]]</f>
        <v>0</v>
      </c>
      <c r="BK80" s="66">
        <f>Financials20263[[#This Row],[Sep AC]]-Financials20263[[#This Row],[Sep FC]]</f>
        <v>0</v>
      </c>
      <c r="BL80" s="66">
        <f>Financials20263[[#This Row],[Oct AC]]-Financials20263[[#This Row],[Oct FC]]</f>
        <v>0</v>
      </c>
      <c r="BM80" s="66">
        <f>Financials20263[[#This Row],[Nov AC]]-Financials20263[[#This Row],[Nov FC]]</f>
        <v>0</v>
      </c>
      <c r="BN80" s="66">
        <f>Financials20263[[#This Row],[Dec AC]]-Financials20263[[#This Row],[Dec FC]]</f>
        <v>-32760</v>
      </c>
      <c r="BO80" s="66">
        <f>SUM(Financials20263[[#This Row],[Jan Opp/Risk]:[Dec Opp./Risk]])</f>
        <v>-32760</v>
      </c>
      <c r="BP80" s="82" t="s">
        <v>573</v>
      </c>
      <c r="BQ80" s="44">
        <f>SUM(Financials20263[[#This Row],[Jan AC]:[Jun AC]])</f>
        <v>0</v>
      </c>
      <c r="BR80" s="6">
        <f t="shared" si="33"/>
        <v>0</v>
      </c>
      <c r="BS80" s="6">
        <f>Financials20263[[#This Row],[Jul-Dec FC]]+Financials20263[[#This Row],[Pending Jan-Jun]]</f>
        <v>32760</v>
      </c>
      <c r="BT80" s="6"/>
      <c r="BU80" s="6"/>
      <c r="BV80" s="6"/>
    </row>
    <row r="81" spans="1:74" hidden="1">
      <c r="A81" s="20" t="s">
        <v>320</v>
      </c>
      <c r="B81" s="19" t="s">
        <v>72</v>
      </c>
      <c r="C81" s="19" t="s">
        <v>574</v>
      </c>
      <c r="D81" s="10" t="s">
        <v>333</v>
      </c>
      <c r="E81" s="7" t="s">
        <v>334</v>
      </c>
      <c r="F81" s="3" t="s">
        <v>335</v>
      </c>
      <c r="G81" s="3" t="s">
        <v>25</v>
      </c>
      <c r="H81" s="4">
        <v>45763</v>
      </c>
      <c r="I81" s="4">
        <v>46096</v>
      </c>
      <c r="J81" s="3" t="s">
        <v>575</v>
      </c>
      <c r="K81" s="3" t="str">
        <f t="shared" si="30"/>
        <v>Prj000266-Support - Internal Tech Workforce Activities</v>
      </c>
      <c r="L81" s="19" t="s">
        <v>252</v>
      </c>
      <c r="M81" s="19" t="s">
        <v>16</v>
      </c>
      <c r="N81" s="19" t="s">
        <v>16</v>
      </c>
      <c r="O81" s="19"/>
      <c r="P81" s="19" t="s">
        <v>326</v>
      </c>
      <c r="Q81" s="19" t="s">
        <v>327</v>
      </c>
      <c r="R81" s="19" t="s">
        <v>327</v>
      </c>
      <c r="S81" s="19" t="s">
        <v>354</v>
      </c>
      <c r="T81" s="5">
        <v>2393</v>
      </c>
      <c r="U81" s="15">
        <v>2512</v>
      </c>
      <c r="V81" s="15">
        <f>2512+5625</f>
        <v>8137</v>
      </c>
      <c r="W81" s="15">
        <f t="shared" si="31"/>
        <v>8136.97</v>
      </c>
      <c r="X81" s="15">
        <f t="shared" si="35"/>
        <v>-2.9999999999745341E-2</v>
      </c>
      <c r="Y81" s="15">
        <f t="shared" si="32"/>
        <v>0</v>
      </c>
      <c r="Z81" s="15">
        <f>SUM(Financials20263[[#This Row],[2026 Opportunity]:[2026 Risk]])</f>
        <v>-2.9999999999745341E-2</v>
      </c>
      <c r="AA81" s="3" t="s">
        <v>576</v>
      </c>
      <c r="AB81" s="47"/>
      <c r="AC81" s="47"/>
      <c r="AD81" s="47"/>
      <c r="AE81" s="47">
        <v>2512</v>
      </c>
      <c r="AF81" s="47"/>
      <c r="AG81" s="46"/>
      <c r="AH81" s="47"/>
      <c r="AI81" s="47"/>
      <c r="AJ81" s="47"/>
      <c r="AK81" s="47"/>
      <c r="AL81" s="47"/>
      <c r="AM81" s="47"/>
      <c r="AN81" s="47">
        <f>SUM(Financials20263[[#This Row],[Jan FC]:[Dec FC]])</f>
        <v>2512</v>
      </c>
      <c r="AO81" s="15">
        <f>SUM(Financials20263[[#This Row],[Jul FC]:[Dec FC]])</f>
        <v>0</v>
      </c>
      <c r="AP81" s="56"/>
      <c r="AQ81" s="56"/>
      <c r="AR81" s="56"/>
      <c r="AS81" s="56">
        <v>8136.97</v>
      </c>
      <c r="AT81" s="56"/>
      <c r="AU81" s="55"/>
      <c r="AV81" s="56"/>
      <c r="AW81" s="56"/>
      <c r="AX81" s="56"/>
      <c r="AY81" s="56"/>
      <c r="AZ81" s="56"/>
      <c r="BA81" s="56"/>
      <c r="BB81" s="75">
        <f>SUM(Financials20263[[#This Row],[Jan AC]:[Dec AC]])</f>
        <v>8136.97</v>
      </c>
      <c r="BC81" s="66">
        <f>Financials20263[[#This Row],[Jan AC]]-Financials20263[[#This Row],[Jan FC]]</f>
        <v>0</v>
      </c>
      <c r="BD81" s="66">
        <f>Financials20263[[#This Row],[Feb AC]]-Financials20263[[#This Row],[Feb FC]]</f>
        <v>0</v>
      </c>
      <c r="BE81" s="66">
        <f>Financials20263[[#This Row],[Mar AC]]-Financials20263[[#This Row],[Mar FC]]</f>
        <v>0</v>
      </c>
      <c r="BF81" s="66">
        <f>Financials20263[[#This Row],[Apr AC]]-Financials20263[[#This Row],[Apr FC]]</f>
        <v>5624.97</v>
      </c>
      <c r="BG81" s="66">
        <f>Financials20263[[#This Row],[May AC]]-Financials20263[[#This Row],[May FC]]</f>
        <v>0</v>
      </c>
      <c r="BH81" s="66">
        <f>Financials20263[[#This Row],[Jun AC]]-Financials20263[[#This Row],[Jun FC]]</f>
        <v>0</v>
      </c>
      <c r="BI81" s="66">
        <f>Financials20263[[#This Row],[Jul AC]]-Financials20263[[#This Row],[Jul FC]]</f>
        <v>0</v>
      </c>
      <c r="BJ81" s="66">
        <f>Financials20263[[#This Row],[Aug AC]]-Financials20263[[#This Row],[Aug FC]]</f>
        <v>0</v>
      </c>
      <c r="BK81" s="66">
        <f>Financials20263[[#This Row],[Sep AC]]-Financials20263[[#This Row],[Sep FC]]</f>
        <v>0</v>
      </c>
      <c r="BL81" s="66">
        <f>Financials20263[[#This Row],[Oct AC]]-Financials20263[[#This Row],[Oct FC]]</f>
        <v>0</v>
      </c>
      <c r="BM81" s="66">
        <f>Financials20263[[#This Row],[Nov AC]]-Financials20263[[#This Row],[Nov FC]]</f>
        <v>0</v>
      </c>
      <c r="BN81" s="66">
        <f>Financials20263[[#This Row],[Dec AC]]-Financials20263[[#This Row],[Dec FC]]</f>
        <v>0</v>
      </c>
      <c r="BO81" s="66">
        <f>SUM(Financials20263[[#This Row],[Jan Opp/Risk]:[Dec Opp./Risk]])</f>
        <v>5624.97</v>
      </c>
      <c r="BP81" s="82" t="s">
        <v>577</v>
      </c>
      <c r="BQ81" s="44">
        <f>SUM(Financials20263[[#This Row],[Jan AC]:[Jun AC]])</f>
        <v>8136.97</v>
      </c>
      <c r="BR81" s="6">
        <f t="shared" si="33"/>
        <v>0</v>
      </c>
      <c r="BS81" s="6">
        <f>Financials20263[[#This Row],[Jul-Dec FC]]+Financials20263[[#This Row],[Pending Jan-Jun]]</f>
        <v>0</v>
      </c>
      <c r="BT81" s="6"/>
      <c r="BU81" s="6"/>
      <c r="BV81" s="6"/>
    </row>
    <row r="82" spans="1:74" hidden="1">
      <c r="A82" s="20" t="s">
        <v>320</v>
      </c>
      <c r="B82" s="19" t="s">
        <v>173</v>
      </c>
      <c r="C82" s="19" t="s">
        <v>578</v>
      </c>
      <c r="D82" s="10" t="s">
        <v>449</v>
      </c>
      <c r="E82" s="7" t="s">
        <v>450</v>
      </c>
      <c r="F82" s="3" t="s">
        <v>451</v>
      </c>
      <c r="G82" s="3" t="s">
        <v>20</v>
      </c>
      <c r="H82" s="4">
        <v>45900</v>
      </c>
      <c r="I82" s="4">
        <v>46264</v>
      </c>
      <c r="J82" s="3" t="s">
        <v>579</v>
      </c>
      <c r="K82" s="3" t="str">
        <f t="shared" si="30"/>
        <v>Prj000458-Support - Data Analytics Office</v>
      </c>
      <c r="L82" s="19" t="s">
        <v>252</v>
      </c>
      <c r="M82" s="19" t="s">
        <v>16</v>
      </c>
      <c r="N82" s="19" t="s">
        <v>16</v>
      </c>
      <c r="O82" s="19" t="s">
        <v>580</v>
      </c>
      <c r="P82" s="19" t="s">
        <v>326</v>
      </c>
      <c r="Q82" s="19" t="s">
        <v>327</v>
      </c>
      <c r="R82" s="19" t="s">
        <v>327</v>
      </c>
      <c r="S82" s="19" t="s">
        <v>328</v>
      </c>
      <c r="T82" s="5">
        <v>139684</v>
      </c>
      <c r="U82" s="15">
        <v>139684</v>
      </c>
      <c r="V82" s="15">
        <v>139684</v>
      </c>
      <c r="W82" s="15">
        <f t="shared" si="31"/>
        <v>139683.99999999997</v>
      </c>
      <c r="X82" s="15">
        <f t="shared" si="35"/>
        <v>-2.9103830456733704E-11</v>
      </c>
      <c r="Y82" s="15">
        <f t="shared" si="32"/>
        <v>0</v>
      </c>
      <c r="Z82" s="15">
        <f>SUM(Financials20263[[#This Row],[2026 Opportunity]:[2026 Risk]])</f>
        <v>-2.9103830456733704E-11</v>
      </c>
      <c r="AA82" s="3" t="s">
        <v>581</v>
      </c>
      <c r="AB82" s="47">
        <f t="shared" ref="AB82:AW82" si="38">139684/12</f>
        <v>11640.333333333334</v>
      </c>
      <c r="AC82" s="47">
        <f t="shared" si="38"/>
        <v>11640.333333333334</v>
      </c>
      <c r="AD82" s="47">
        <f t="shared" si="38"/>
        <v>11640.333333333334</v>
      </c>
      <c r="AE82" s="47">
        <f t="shared" si="38"/>
        <v>11640.333333333334</v>
      </c>
      <c r="AF82" s="47">
        <f t="shared" si="38"/>
        <v>11640.333333333334</v>
      </c>
      <c r="AG82" s="47">
        <f t="shared" si="38"/>
        <v>11640.333333333334</v>
      </c>
      <c r="AH82" s="47">
        <f t="shared" si="38"/>
        <v>11640.333333333334</v>
      </c>
      <c r="AI82" s="47">
        <f t="shared" si="38"/>
        <v>11640.333333333334</v>
      </c>
      <c r="AJ82" s="47">
        <f t="shared" si="38"/>
        <v>11640.333333333334</v>
      </c>
      <c r="AK82" s="47">
        <f t="shared" si="38"/>
        <v>11640.333333333334</v>
      </c>
      <c r="AL82" s="47">
        <f t="shared" si="38"/>
        <v>11640.333333333334</v>
      </c>
      <c r="AM82" s="47">
        <f t="shared" si="38"/>
        <v>11640.333333333334</v>
      </c>
      <c r="AN82" s="47">
        <f>SUM(Financials20263[[#This Row],[Jan FC]:[Dec FC]])</f>
        <v>139683.99999999997</v>
      </c>
      <c r="AO82" s="15">
        <f>SUM(Financials20263[[#This Row],[Jul FC]:[Dec FC]])</f>
        <v>69842</v>
      </c>
      <c r="AP82" s="56">
        <f t="shared" si="38"/>
        <v>11640.333333333334</v>
      </c>
      <c r="AQ82" s="56">
        <f t="shared" si="38"/>
        <v>11640.333333333334</v>
      </c>
      <c r="AR82" s="56">
        <f t="shared" si="38"/>
        <v>11640.333333333334</v>
      </c>
      <c r="AS82" s="56">
        <f t="shared" si="38"/>
        <v>11640.333333333334</v>
      </c>
      <c r="AT82" s="56">
        <f t="shared" si="38"/>
        <v>11640.333333333334</v>
      </c>
      <c r="AU82" s="56">
        <f t="shared" si="38"/>
        <v>11640.333333333334</v>
      </c>
      <c r="AV82" s="56">
        <f t="shared" si="38"/>
        <v>11640.333333333334</v>
      </c>
      <c r="AW82" s="56">
        <f t="shared" si="38"/>
        <v>11640.333333333334</v>
      </c>
      <c r="AX82" s="56"/>
      <c r="AY82" s="56"/>
      <c r="AZ82" s="56"/>
      <c r="BA82" s="56"/>
      <c r="BB82" s="75">
        <f>SUM(Financials20263[[#This Row],[Jan AC]:[Dec AC]])</f>
        <v>93122.666666666657</v>
      </c>
      <c r="BC82" s="66">
        <f>Financials20263[[#This Row],[Jan AC]]-Financials20263[[#This Row],[Jan FC]]</f>
        <v>0</v>
      </c>
      <c r="BD82" s="66">
        <f>Financials20263[[#This Row],[Feb AC]]-Financials20263[[#This Row],[Feb FC]]</f>
        <v>0</v>
      </c>
      <c r="BE82" s="66">
        <f>Financials20263[[#This Row],[Mar AC]]-Financials20263[[#This Row],[Mar FC]]</f>
        <v>0</v>
      </c>
      <c r="BF82" s="66">
        <f>Financials20263[[#This Row],[Apr AC]]-Financials20263[[#This Row],[Apr FC]]</f>
        <v>0</v>
      </c>
      <c r="BG82" s="66">
        <f>Financials20263[[#This Row],[May AC]]-Financials20263[[#This Row],[May FC]]</f>
        <v>0</v>
      </c>
      <c r="BH82" s="66">
        <f>Financials20263[[#This Row],[Jun AC]]-Financials20263[[#This Row],[Jun FC]]</f>
        <v>0</v>
      </c>
      <c r="BI82" s="66">
        <f>Financials20263[[#This Row],[Jul AC]]-Financials20263[[#This Row],[Jul FC]]</f>
        <v>0</v>
      </c>
      <c r="BJ82" s="66">
        <f>Financials20263[[#This Row],[Aug AC]]-Financials20263[[#This Row],[Aug FC]]</f>
        <v>0</v>
      </c>
      <c r="BK82" s="66">
        <f>Financials20263[[#This Row],[Sep AC]]-Financials20263[[#This Row],[Sep FC]]</f>
        <v>-11640.333333333334</v>
      </c>
      <c r="BL82" s="66">
        <f>Financials20263[[#This Row],[Oct AC]]-Financials20263[[#This Row],[Oct FC]]</f>
        <v>-11640.333333333334</v>
      </c>
      <c r="BM82" s="66">
        <f>Financials20263[[#This Row],[Nov AC]]-Financials20263[[#This Row],[Nov FC]]</f>
        <v>-11640.333333333334</v>
      </c>
      <c r="BN82" s="66">
        <f>Financials20263[[#This Row],[Dec AC]]-Financials20263[[#This Row],[Dec FC]]</f>
        <v>-11640.333333333334</v>
      </c>
      <c r="BO82" s="66">
        <f>SUM(Financials20263[[#This Row],[Jan Opp/Risk]:[Dec Opp./Risk]])</f>
        <v>-46561.333333333336</v>
      </c>
      <c r="BP82" s="82"/>
      <c r="BQ82" s="44">
        <f>SUM(Financials20263[[#This Row],[Jan AC]:[Jun AC]])</f>
        <v>69842</v>
      </c>
      <c r="BR82" s="6">
        <f t="shared" si="33"/>
        <v>0</v>
      </c>
      <c r="BS82" s="6">
        <f>Financials20263[[#This Row],[Jul-Dec FC]]+Financials20263[[#This Row],[Pending Jan-Jun]]</f>
        <v>69842</v>
      </c>
      <c r="BT82" s="6"/>
      <c r="BU82" s="6"/>
      <c r="BV82" s="6"/>
    </row>
    <row r="83" spans="1:74" hidden="1">
      <c r="A83" s="20" t="s">
        <v>320</v>
      </c>
      <c r="B83" s="19" t="s">
        <v>232</v>
      </c>
      <c r="C83" s="19" t="s">
        <v>232</v>
      </c>
      <c r="D83" s="10" t="s">
        <v>459</v>
      </c>
      <c r="E83" s="7" t="s">
        <v>460</v>
      </c>
      <c r="F83" s="3" t="s">
        <v>335</v>
      </c>
      <c r="G83" s="3" t="s">
        <v>25</v>
      </c>
      <c r="H83" s="2" t="s">
        <v>367</v>
      </c>
      <c r="I83" s="2" t="s">
        <v>367</v>
      </c>
      <c r="J83" s="3"/>
      <c r="K83" s="3" t="str">
        <f t="shared" si="30"/>
        <v>Prj000446-Implement - Minor Enhancements for Enterprise Apps</v>
      </c>
      <c r="L83" s="19" t="s">
        <v>252</v>
      </c>
      <c r="M83" s="19" t="s">
        <v>16</v>
      </c>
      <c r="N83" s="19" t="s">
        <v>16</v>
      </c>
      <c r="O83" s="19" t="s">
        <v>16</v>
      </c>
      <c r="P83" s="19" t="s">
        <v>326</v>
      </c>
      <c r="Q83" s="19" t="s">
        <v>327</v>
      </c>
      <c r="R83" s="19" t="s">
        <v>327</v>
      </c>
      <c r="S83" s="19" t="s">
        <v>354</v>
      </c>
      <c r="T83" s="5">
        <v>3000</v>
      </c>
      <c r="U83" s="15">
        <v>3150</v>
      </c>
      <c r="V83" s="15">
        <v>3150</v>
      </c>
      <c r="W83" s="15">
        <f t="shared" si="31"/>
        <v>3150</v>
      </c>
      <c r="X83" s="15">
        <f t="shared" si="35"/>
        <v>0</v>
      </c>
      <c r="Y83" s="15">
        <f t="shared" si="32"/>
        <v>0</v>
      </c>
      <c r="Z83" s="15">
        <f>SUM(Financials20263[[#This Row],[2026 Opportunity]:[2026 Risk]])</f>
        <v>0</v>
      </c>
      <c r="AA83" s="3" t="s">
        <v>582</v>
      </c>
      <c r="AB83" s="47"/>
      <c r="AC83" s="47"/>
      <c r="AD83" s="47"/>
      <c r="AE83" s="47"/>
      <c r="AF83" s="47"/>
      <c r="AG83" s="46"/>
      <c r="AH83" s="46"/>
      <c r="AI83" s="46"/>
      <c r="AJ83" s="46"/>
      <c r="AK83" s="46"/>
      <c r="AL83" s="46"/>
      <c r="AM83" s="46">
        <v>3150</v>
      </c>
      <c r="AN83" s="46">
        <f>SUM(Financials20263[[#This Row],[Jan FC]:[Dec FC]])</f>
        <v>3150</v>
      </c>
      <c r="AO83" s="15">
        <f>SUM(Financials20263[[#This Row],[Jul FC]:[Dec FC]])</f>
        <v>3150</v>
      </c>
      <c r="AP83" s="56"/>
      <c r="AQ83" s="56"/>
      <c r="AR83" s="56"/>
      <c r="AS83" s="56"/>
      <c r="AT83" s="56"/>
      <c r="AU83" s="55"/>
      <c r="AV83" s="55"/>
      <c r="AW83" s="55"/>
      <c r="AX83" s="55"/>
      <c r="AY83" s="55"/>
      <c r="AZ83" s="55"/>
      <c r="BA83" s="55"/>
      <c r="BB83" s="74">
        <f>SUM(Financials20263[[#This Row],[Jan AC]:[Dec AC]])</f>
        <v>0</v>
      </c>
      <c r="BC83" s="66">
        <f>Financials20263[[#This Row],[Jan AC]]-Financials20263[[#This Row],[Jan FC]]</f>
        <v>0</v>
      </c>
      <c r="BD83" s="66">
        <f>Financials20263[[#This Row],[Feb AC]]-Financials20263[[#This Row],[Feb FC]]</f>
        <v>0</v>
      </c>
      <c r="BE83" s="66">
        <f>Financials20263[[#This Row],[Mar AC]]-Financials20263[[#This Row],[Mar FC]]</f>
        <v>0</v>
      </c>
      <c r="BF83" s="66">
        <f>Financials20263[[#This Row],[Apr AC]]-Financials20263[[#This Row],[Apr FC]]</f>
        <v>0</v>
      </c>
      <c r="BG83" s="66">
        <f>Financials20263[[#This Row],[May AC]]-Financials20263[[#This Row],[May FC]]</f>
        <v>0</v>
      </c>
      <c r="BH83" s="66">
        <f>Financials20263[[#This Row],[Jun AC]]-Financials20263[[#This Row],[Jun FC]]</f>
        <v>0</v>
      </c>
      <c r="BI83" s="66">
        <f>Financials20263[[#This Row],[Jul AC]]-Financials20263[[#This Row],[Jul FC]]</f>
        <v>0</v>
      </c>
      <c r="BJ83" s="66">
        <f>Financials20263[[#This Row],[Aug AC]]-Financials20263[[#This Row],[Aug FC]]</f>
        <v>0</v>
      </c>
      <c r="BK83" s="66">
        <f>Financials20263[[#This Row],[Sep AC]]-Financials20263[[#This Row],[Sep FC]]</f>
        <v>0</v>
      </c>
      <c r="BL83" s="66">
        <f>Financials20263[[#This Row],[Oct AC]]-Financials20263[[#This Row],[Oct FC]]</f>
        <v>0</v>
      </c>
      <c r="BM83" s="66">
        <f>Financials20263[[#This Row],[Nov AC]]-Financials20263[[#This Row],[Nov FC]]</f>
        <v>0</v>
      </c>
      <c r="BN83" s="66">
        <f>Financials20263[[#This Row],[Dec AC]]-Financials20263[[#This Row],[Dec FC]]</f>
        <v>-3150</v>
      </c>
      <c r="BO83" s="66">
        <f>SUM(Financials20263[[#This Row],[Jan Opp/Risk]:[Dec Opp./Risk]])</f>
        <v>-3150</v>
      </c>
      <c r="BP83" s="83"/>
      <c r="BQ83" s="44">
        <f>SUM(Financials20263[[#This Row],[Jan AC]:[Jun AC]])</f>
        <v>0</v>
      </c>
      <c r="BR83" s="6">
        <f t="shared" si="33"/>
        <v>0</v>
      </c>
      <c r="BS83" s="6">
        <f>Financials20263[[#This Row],[Jul-Dec FC]]+Financials20263[[#This Row],[Pending Jan-Jun]]</f>
        <v>3150</v>
      </c>
      <c r="BT83" s="6"/>
      <c r="BU83" s="6"/>
      <c r="BV83" s="6"/>
    </row>
    <row r="84" spans="1:74" hidden="1">
      <c r="A84" s="20" t="s">
        <v>320</v>
      </c>
      <c r="B84" s="19" t="s">
        <v>237</v>
      </c>
      <c r="C84" s="19" t="s">
        <v>237</v>
      </c>
      <c r="D84" s="10" t="s">
        <v>459</v>
      </c>
      <c r="E84" s="7" t="s">
        <v>460</v>
      </c>
      <c r="F84" s="3" t="s">
        <v>335</v>
      </c>
      <c r="G84" s="3" t="s">
        <v>25</v>
      </c>
      <c r="H84" s="4">
        <v>45949</v>
      </c>
      <c r="I84" s="4">
        <v>46313</v>
      </c>
      <c r="J84" s="3" t="s">
        <v>583</v>
      </c>
      <c r="K84" s="3" t="str">
        <f t="shared" si="30"/>
        <v>Prj000446-Implement - Minor Enhancements for Enterprise Apps</v>
      </c>
      <c r="L84" s="19" t="s">
        <v>252</v>
      </c>
      <c r="M84" s="19" t="s">
        <v>16</v>
      </c>
      <c r="N84" s="19" t="s">
        <v>16</v>
      </c>
      <c r="O84" s="19" t="s">
        <v>557</v>
      </c>
      <c r="P84" s="19" t="s">
        <v>326</v>
      </c>
      <c r="Q84" s="19" t="s">
        <v>327</v>
      </c>
      <c r="R84" s="19" t="s">
        <v>327</v>
      </c>
      <c r="S84" s="19" t="s">
        <v>354</v>
      </c>
      <c r="T84" s="5">
        <v>2471</v>
      </c>
      <c r="U84" s="15">
        <v>2594.5500000000002</v>
      </c>
      <c r="V84" s="15">
        <v>2594.5500000000002</v>
      </c>
      <c r="W84" s="15">
        <f t="shared" si="31"/>
        <v>2595</v>
      </c>
      <c r="X84" s="15">
        <f t="shared" si="35"/>
        <v>0</v>
      </c>
      <c r="Y84" s="15">
        <f t="shared" si="32"/>
        <v>0.4499999999998181</v>
      </c>
      <c r="Z84" s="15">
        <f>SUM(Financials20263[[#This Row],[2026 Opportunity]:[2026 Risk]])</f>
        <v>0.4499999999998181</v>
      </c>
      <c r="AA84" s="3" t="s">
        <v>376</v>
      </c>
      <c r="AB84" s="47"/>
      <c r="AC84" s="47"/>
      <c r="AD84" s="47"/>
      <c r="AE84" s="47"/>
      <c r="AF84" s="47"/>
      <c r="AG84" s="46"/>
      <c r="AH84" s="47"/>
      <c r="AI84" s="47"/>
      <c r="AJ84" s="47">
        <v>2595</v>
      </c>
      <c r="AK84" s="47"/>
      <c r="AL84" s="46"/>
      <c r="AM84" s="46"/>
      <c r="AN84" s="46">
        <f>SUM(Financials20263[[#This Row],[Jan FC]:[Dec FC]])</f>
        <v>2595</v>
      </c>
      <c r="AO84" s="15">
        <f>SUM(Financials20263[[#This Row],[Jul FC]:[Dec FC]])</f>
        <v>2595</v>
      </c>
      <c r="AP84" s="56"/>
      <c r="AQ84" s="56"/>
      <c r="AR84" s="56"/>
      <c r="AS84" s="56"/>
      <c r="AT84" s="56"/>
      <c r="AU84" s="55"/>
      <c r="AV84" s="56"/>
      <c r="AW84" s="56"/>
      <c r="AX84" s="56"/>
      <c r="AY84" s="56"/>
      <c r="AZ84" s="55"/>
      <c r="BA84" s="55"/>
      <c r="BB84" s="74">
        <f>SUM(Financials20263[[#This Row],[Jan AC]:[Dec AC]])</f>
        <v>0</v>
      </c>
      <c r="BC84" s="66">
        <f>Financials20263[[#This Row],[Jan AC]]-Financials20263[[#This Row],[Jan FC]]</f>
        <v>0</v>
      </c>
      <c r="BD84" s="66">
        <f>Financials20263[[#This Row],[Feb AC]]-Financials20263[[#This Row],[Feb FC]]</f>
        <v>0</v>
      </c>
      <c r="BE84" s="66">
        <f>Financials20263[[#This Row],[Mar AC]]-Financials20263[[#This Row],[Mar FC]]</f>
        <v>0</v>
      </c>
      <c r="BF84" s="66">
        <f>Financials20263[[#This Row],[Apr AC]]-Financials20263[[#This Row],[Apr FC]]</f>
        <v>0</v>
      </c>
      <c r="BG84" s="66">
        <f>Financials20263[[#This Row],[May AC]]-Financials20263[[#This Row],[May FC]]</f>
        <v>0</v>
      </c>
      <c r="BH84" s="66">
        <f>Financials20263[[#This Row],[Jun AC]]-Financials20263[[#This Row],[Jun FC]]</f>
        <v>0</v>
      </c>
      <c r="BI84" s="66">
        <f>Financials20263[[#This Row],[Jul AC]]-Financials20263[[#This Row],[Jul FC]]</f>
        <v>0</v>
      </c>
      <c r="BJ84" s="66">
        <f>Financials20263[[#This Row],[Aug AC]]-Financials20263[[#This Row],[Aug FC]]</f>
        <v>0</v>
      </c>
      <c r="BK84" s="66">
        <f>Financials20263[[#This Row],[Sep AC]]-Financials20263[[#This Row],[Sep FC]]</f>
        <v>-2595</v>
      </c>
      <c r="BL84" s="66">
        <f>Financials20263[[#This Row],[Oct AC]]-Financials20263[[#This Row],[Oct FC]]</f>
        <v>0</v>
      </c>
      <c r="BM84" s="66">
        <f>Financials20263[[#This Row],[Nov AC]]-Financials20263[[#This Row],[Nov FC]]</f>
        <v>0</v>
      </c>
      <c r="BN84" s="66">
        <f>Financials20263[[#This Row],[Dec AC]]-Financials20263[[#This Row],[Dec FC]]</f>
        <v>0</v>
      </c>
      <c r="BO84" s="66">
        <f>SUM(Financials20263[[#This Row],[Jan Opp/Risk]:[Dec Opp./Risk]])</f>
        <v>-2595</v>
      </c>
      <c r="BP84" s="82"/>
      <c r="BQ84" s="44">
        <f>SUM(Financials20263[[#This Row],[Jan AC]:[Jun AC]])</f>
        <v>0</v>
      </c>
      <c r="BR84" s="6">
        <f t="shared" si="33"/>
        <v>0</v>
      </c>
      <c r="BS84" s="6">
        <f>Financials20263[[#This Row],[Jul-Dec FC]]+Financials20263[[#This Row],[Pending Jan-Jun]]</f>
        <v>2595</v>
      </c>
      <c r="BT84" s="6"/>
      <c r="BU84" s="6"/>
      <c r="BV84" s="6"/>
    </row>
    <row r="85" spans="1:74" hidden="1">
      <c r="A85" s="20" t="s">
        <v>320</v>
      </c>
      <c r="B85" s="19" t="s">
        <v>169</v>
      </c>
      <c r="C85" s="19" t="s">
        <v>584</v>
      </c>
      <c r="D85" s="10" t="s">
        <v>449</v>
      </c>
      <c r="E85" s="7" t="s">
        <v>450</v>
      </c>
      <c r="F85" s="3" t="s">
        <v>451</v>
      </c>
      <c r="G85" s="3" t="s">
        <v>20</v>
      </c>
      <c r="H85" s="4">
        <v>45765</v>
      </c>
      <c r="I85" s="4">
        <v>46129</v>
      </c>
      <c r="J85" s="3" t="s">
        <v>584</v>
      </c>
      <c r="K85" s="3" t="str">
        <f t="shared" si="30"/>
        <v>Prj000458-Support - Data Analytics Office</v>
      </c>
      <c r="L85" s="19" t="s">
        <v>252</v>
      </c>
      <c r="M85" s="19" t="s">
        <v>16</v>
      </c>
      <c r="N85" s="19" t="s">
        <v>16</v>
      </c>
      <c r="O85" s="19" t="s">
        <v>393</v>
      </c>
      <c r="P85" s="19" t="s">
        <v>326</v>
      </c>
      <c r="Q85" s="19" t="s">
        <v>327</v>
      </c>
      <c r="R85" s="19" t="s">
        <v>327</v>
      </c>
      <c r="S85" s="19" t="s">
        <v>328</v>
      </c>
      <c r="T85" s="5">
        <v>182520</v>
      </c>
      <c r="U85" s="15">
        <v>191646</v>
      </c>
      <c r="V85" s="15">
        <v>191646</v>
      </c>
      <c r="W85" s="15">
        <f t="shared" si="31"/>
        <v>128265.00749999999</v>
      </c>
      <c r="X85" s="15">
        <f t="shared" si="35"/>
        <v>-63380.992500000008</v>
      </c>
      <c r="Y85" s="15">
        <f t="shared" si="32"/>
        <v>0</v>
      </c>
      <c r="Z85" s="15">
        <f>SUM(Financials20263[[#This Row],[2026 Opportunity]:[2026 Risk]])</f>
        <v>-63380.992500000008</v>
      </c>
      <c r="AA85" s="3" t="s">
        <v>585</v>
      </c>
      <c r="AB85" s="47"/>
      <c r="AC85" s="47"/>
      <c r="AD85" s="47"/>
      <c r="AE85" s="47">
        <v>14251.667500000001</v>
      </c>
      <c r="AF85" s="47">
        <v>14251.667500000001</v>
      </c>
      <c r="AG85" s="47">
        <v>14251.667500000001</v>
      </c>
      <c r="AH85" s="47">
        <v>14251.667500000001</v>
      </c>
      <c r="AI85" s="47">
        <v>14251.667500000001</v>
      </c>
      <c r="AJ85" s="47">
        <v>14251.667500000001</v>
      </c>
      <c r="AK85" s="47">
        <v>14251.667500000001</v>
      </c>
      <c r="AL85" s="47">
        <v>14251.667500000001</v>
      </c>
      <c r="AM85" s="47">
        <v>14251.667500000001</v>
      </c>
      <c r="AN85" s="47">
        <f>SUM(Financials20263[[#This Row],[Jan FC]:[Dec FC]])</f>
        <v>128265.00749999999</v>
      </c>
      <c r="AO85" s="15">
        <f>SUM(Financials20263[[#This Row],[Jul FC]:[Dec FC]])</f>
        <v>85510.005000000005</v>
      </c>
      <c r="AP85" s="56"/>
      <c r="AQ85" s="56"/>
      <c r="AR85" s="56"/>
      <c r="AS85" s="56">
        <f t="shared" ref="AS85:BA85" si="39">171020.01/12</f>
        <v>14251.667500000001</v>
      </c>
      <c r="AT85" s="56">
        <f t="shared" si="39"/>
        <v>14251.667500000001</v>
      </c>
      <c r="AU85" s="56">
        <f t="shared" si="39"/>
        <v>14251.667500000001</v>
      </c>
      <c r="AV85" s="56">
        <f t="shared" si="39"/>
        <v>14251.667500000001</v>
      </c>
      <c r="AW85" s="56">
        <f t="shared" si="39"/>
        <v>14251.667500000001</v>
      </c>
      <c r="AX85" s="56">
        <f t="shared" si="39"/>
        <v>14251.667500000001</v>
      </c>
      <c r="AY85" s="56">
        <f t="shared" si="39"/>
        <v>14251.667500000001</v>
      </c>
      <c r="AZ85" s="56">
        <f t="shared" si="39"/>
        <v>14251.667500000001</v>
      </c>
      <c r="BA85" s="56">
        <f t="shared" si="39"/>
        <v>14251.667500000001</v>
      </c>
      <c r="BB85" s="75">
        <f>SUM(Financials20263[[#This Row],[Jan AC]:[Dec AC]])</f>
        <v>128265.00749999999</v>
      </c>
      <c r="BC85" s="66">
        <f>Financials20263[[#This Row],[Jan AC]]-Financials20263[[#This Row],[Jan FC]]</f>
        <v>0</v>
      </c>
      <c r="BD85" s="66">
        <f>Financials20263[[#This Row],[Feb AC]]-Financials20263[[#This Row],[Feb FC]]</f>
        <v>0</v>
      </c>
      <c r="BE85" s="66">
        <f>Financials20263[[#This Row],[Mar AC]]-Financials20263[[#This Row],[Mar FC]]</f>
        <v>0</v>
      </c>
      <c r="BF85" s="66">
        <f>Financials20263[[#This Row],[Apr AC]]-Financials20263[[#This Row],[Apr FC]]</f>
        <v>0</v>
      </c>
      <c r="BG85" s="66">
        <f>Financials20263[[#This Row],[May AC]]-Financials20263[[#This Row],[May FC]]</f>
        <v>0</v>
      </c>
      <c r="BH85" s="66">
        <f>Financials20263[[#This Row],[Jun AC]]-Financials20263[[#This Row],[Jun FC]]</f>
        <v>0</v>
      </c>
      <c r="BI85" s="66">
        <f>Financials20263[[#This Row],[Jul AC]]-Financials20263[[#This Row],[Jul FC]]</f>
        <v>0</v>
      </c>
      <c r="BJ85" s="66">
        <f>Financials20263[[#This Row],[Aug AC]]-Financials20263[[#This Row],[Aug FC]]</f>
        <v>0</v>
      </c>
      <c r="BK85" s="66">
        <f>Financials20263[[#This Row],[Sep AC]]-Financials20263[[#This Row],[Sep FC]]</f>
        <v>0</v>
      </c>
      <c r="BL85" s="66">
        <f>Financials20263[[#This Row],[Oct AC]]-Financials20263[[#This Row],[Oct FC]]</f>
        <v>0</v>
      </c>
      <c r="BM85" s="66">
        <f>Financials20263[[#This Row],[Nov AC]]-Financials20263[[#This Row],[Nov FC]]</f>
        <v>0</v>
      </c>
      <c r="BN85" s="66">
        <f>Financials20263[[#This Row],[Dec AC]]-Financials20263[[#This Row],[Dec FC]]</f>
        <v>0</v>
      </c>
      <c r="BO85" s="66">
        <f>SUM(Financials20263[[#This Row],[Jan Opp/Risk]:[Dec Opp./Risk]])</f>
        <v>0</v>
      </c>
      <c r="BP85" s="83" t="s">
        <v>586</v>
      </c>
      <c r="BQ85" s="44">
        <f>SUM(Financials20263[[#This Row],[Jan AC]:[Jun AC]])</f>
        <v>42755.002500000002</v>
      </c>
      <c r="BR85" s="6">
        <f t="shared" si="33"/>
        <v>0</v>
      </c>
      <c r="BS85" s="6">
        <f>Financials20263[[#This Row],[Jul-Dec FC]]+Financials20263[[#This Row],[Pending Jan-Jun]]</f>
        <v>85510.005000000005</v>
      </c>
      <c r="BT85" s="6"/>
      <c r="BU85" s="6"/>
      <c r="BV85" s="6"/>
    </row>
    <row r="86" spans="1:74" hidden="1">
      <c r="A86" s="20" t="s">
        <v>320</v>
      </c>
      <c r="B86" s="19" t="s">
        <v>227</v>
      </c>
      <c r="C86" s="19" t="s">
        <v>587</v>
      </c>
      <c r="D86" s="10" t="s">
        <v>459</v>
      </c>
      <c r="E86" s="7" t="s">
        <v>460</v>
      </c>
      <c r="F86" s="3" t="s">
        <v>335</v>
      </c>
      <c r="G86" s="3" t="s">
        <v>25</v>
      </c>
      <c r="H86" s="4" t="s">
        <v>336</v>
      </c>
      <c r="I86" s="4" t="s">
        <v>336</v>
      </c>
      <c r="J86" s="3"/>
      <c r="K86" s="3" t="str">
        <f t="shared" si="30"/>
        <v>Prj000446-Implement - Minor Enhancements for Enterprise Apps</v>
      </c>
      <c r="L86" s="19" t="s">
        <v>252</v>
      </c>
      <c r="M86" s="19" t="s">
        <v>16</v>
      </c>
      <c r="N86" s="19" t="s">
        <v>16</v>
      </c>
      <c r="O86" s="19"/>
      <c r="P86" s="19" t="s">
        <v>326</v>
      </c>
      <c r="Q86" s="19" t="s">
        <v>327</v>
      </c>
      <c r="R86" s="19" t="s">
        <v>327</v>
      </c>
      <c r="S86" s="19" t="s">
        <v>354</v>
      </c>
      <c r="T86" s="5">
        <v>48000</v>
      </c>
      <c r="U86" s="15">
        <v>50400</v>
      </c>
      <c r="V86" s="15">
        <v>50400</v>
      </c>
      <c r="W86" s="15">
        <f t="shared" si="31"/>
        <v>50400</v>
      </c>
      <c r="X86" s="15">
        <f t="shared" si="35"/>
        <v>0</v>
      </c>
      <c r="Y86" s="15">
        <f t="shared" si="32"/>
        <v>0</v>
      </c>
      <c r="Z86" s="15">
        <f>SUM(Financials20263[[#This Row],[2026 Opportunity]:[2026 Risk]])</f>
        <v>0</v>
      </c>
      <c r="AA86" s="3" t="s">
        <v>588</v>
      </c>
      <c r="AB86" s="47"/>
      <c r="AC86" s="47"/>
      <c r="AD86" s="47"/>
      <c r="AE86" s="47"/>
      <c r="AF86" s="47"/>
      <c r="AG86" s="46"/>
      <c r="AH86" s="47"/>
      <c r="AI86" s="47"/>
      <c r="AJ86" s="47"/>
      <c r="AK86" s="47"/>
      <c r="AL86" s="47"/>
      <c r="AM86" s="47">
        <v>50400</v>
      </c>
      <c r="AN86" s="47">
        <f>SUM(Financials20263[[#This Row],[Jan FC]:[Dec FC]])</f>
        <v>50400</v>
      </c>
      <c r="AO86" s="15">
        <f>SUM(Financials20263[[#This Row],[Jul FC]:[Dec FC]])</f>
        <v>50400</v>
      </c>
      <c r="AP86" s="56"/>
      <c r="AQ86" s="56"/>
      <c r="AR86" s="56"/>
      <c r="AS86" s="56"/>
      <c r="AT86" s="56"/>
      <c r="AU86" s="55"/>
      <c r="AV86" s="56"/>
      <c r="AW86" s="56"/>
      <c r="AX86" s="56"/>
      <c r="AY86" s="56"/>
      <c r="AZ86" s="56"/>
      <c r="BA86" s="56"/>
      <c r="BB86" s="75">
        <f>SUM(Financials20263[[#This Row],[Jan AC]:[Dec AC]])</f>
        <v>0</v>
      </c>
      <c r="BC86" s="66">
        <f>Financials20263[[#This Row],[Jan AC]]-Financials20263[[#This Row],[Jan FC]]</f>
        <v>0</v>
      </c>
      <c r="BD86" s="66">
        <f>Financials20263[[#This Row],[Feb AC]]-Financials20263[[#This Row],[Feb FC]]</f>
        <v>0</v>
      </c>
      <c r="BE86" s="66">
        <f>Financials20263[[#This Row],[Mar AC]]-Financials20263[[#This Row],[Mar FC]]</f>
        <v>0</v>
      </c>
      <c r="BF86" s="66">
        <f>Financials20263[[#This Row],[Apr AC]]-Financials20263[[#This Row],[Apr FC]]</f>
        <v>0</v>
      </c>
      <c r="BG86" s="66">
        <f>Financials20263[[#This Row],[May AC]]-Financials20263[[#This Row],[May FC]]</f>
        <v>0</v>
      </c>
      <c r="BH86" s="66">
        <f>Financials20263[[#This Row],[Jun AC]]-Financials20263[[#This Row],[Jun FC]]</f>
        <v>0</v>
      </c>
      <c r="BI86" s="66">
        <f>Financials20263[[#This Row],[Jul AC]]-Financials20263[[#This Row],[Jul FC]]</f>
        <v>0</v>
      </c>
      <c r="BJ86" s="66">
        <f>Financials20263[[#This Row],[Aug AC]]-Financials20263[[#This Row],[Aug FC]]</f>
        <v>0</v>
      </c>
      <c r="BK86" s="66">
        <f>Financials20263[[#This Row],[Sep AC]]-Financials20263[[#This Row],[Sep FC]]</f>
        <v>0</v>
      </c>
      <c r="BL86" s="66">
        <f>Financials20263[[#This Row],[Oct AC]]-Financials20263[[#This Row],[Oct FC]]</f>
        <v>0</v>
      </c>
      <c r="BM86" s="66">
        <f>Financials20263[[#This Row],[Nov AC]]-Financials20263[[#This Row],[Nov FC]]</f>
        <v>0</v>
      </c>
      <c r="BN86" s="66">
        <f>Financials20263[[#This Row],[Dec AC]]-Financials20263[[#This Row],[Dec FC]]</f>
        <v>-50400</v>
      </c>
      <c r="BO86" s="66">
        <f>SUM(Financials20263[[#This Row],[Jan Opp/Risk]:[Dec Opp./Risk]])</f>
        <v>-50400</v>
      </c>
      <c r="BP86" s="82"/>
      <c r="BQ86" s="44">
        <f>SUM(Financials20263[[#This Row],[Jan AC]:[Jun AC]])</f>
        <v>0</v>
      </c>
      <c r="BR86" s="6">
        <f t="shared" si="33"/>
        <v>0</v>
      </c>
      <c r="BS86" s="6">
        <f>Financials20263[[#This Row],[Jul-Dec FC]]+Financials20263[[#This Row],[Pending Jan-Jun]]</f>
        <v>50400</v>
      </c>
      <c r="BT86" s="6"/>
      <c r="BU86" s="6"/>
      <c r="BV86" s="6"/>
    </row>
    <row r="87" spans="1:74" hidden="1">
      <c r="A87" s="20" t="s">
        <v>320</v>
      </c>
      <c r="B87" s="19" t="s">
        <v>219</v>
      </c>
      <c r="C87" s="19"/>
      <c r="D87" s="10" t="s">
        <v>364</v>
      </c>
      <c r="E87" s="7" t="s">
        <v>365</v>
      </c>
      <c r="F87" s="3" t="s">
        <v>366</v>
      </c>
      <c r="G87" s="3" t="s">
        <v>24</v>
      </c>
      <c r="H87" s="4" t="s">
        <v>336</v>
      </c>
      <c r="I87" s="4" t="s">
        <v>336</v>
      </c>
      <c r="J87" s="3"/>
      <c r="K87" s="3" t="str">
        <f t="shared" si="30"/>
        <v>Prj000290-Support - Asset Management Applications</v>
      </c>
      <c r="L87" s="19" t="s">
        <v>252</v>
      </c>
      <c r="M87" s="19" t="s">
        <v>16</v>
      </c>
      <c r="N87" s="19" t="s">
        <v>16</v>
      </c>
      <c r="O87" s="19"/>
      <c r="P87" s="19" t="s">
        <v>326</v>
      </c>
      <c r="Q87" s="19" t="s">
        <v>355</v>
      </c>
      <c r="R87" s="19" t="s">
        <v>356</v>
      </c>
      <c r="S87" s="19" t="s">
        <v>350</v>
      </c>
      <c r="T87" s="5">
        <v>138759</v>
      </c>
      <c r="U87" s="15">
        <v>119571.06</v>
      </c>
      <c r="V87" s="15">
        <v>119571.06</v>
      </c>
      <c r="W87" s="15">
        <f t="shared" si="31"/>
        <v>119571.06</v>
      </c>
      <c r="X87" s="15">
        <f t="shared" si="35"/>
        <v>0</v>
      </c>
      <c r="Y87" s="15">
        <f t="shared" si="32"/>
        <v>0</v>
      </c>
      <c r="Z87" s="15">
        <f>SUM(Financials20263[[#This Row],[2026 Opportunity]:[2026 Risk]])</f>
        <v>0</v>
      </c>
      <c r="AA87" s="3" t="s">
        <v>589</v>
      </c>
      <c r="AB87" s="47">
        <v>6188</v>
      </c>
      <c r="AC87" s="47">
        <v>3300</v>
      </c>
      <c r="AD87" s="47"/>
      <c r="AE87" s="47"/>
      <c r="AF87" s="47"/>
      <c r="AG87" s="47"/>
      <c r="AH87" s="47"/>
      <c r="AI87" s="47"/>
      <c r="AJ87" s="47"/>
      <c r="AK87" s="47"/>
      <c r="AL87" s="47"/>
      <c r="AM87" s="43">
        <f>119571.06-9488</f>
        <v>110083.06</v>
      </c>
      <c r="AN87" s="47">
        <f>SUM(Financials20263[[#This Row],[Jan FC]:[Dec FC]])</f>
        <v>119571.06</v>
      </c>
      <c r="AO87" s="15">
        <f>SUM(Financials20263[[#This Row],[Jul FC]:[Dec FC]])</f>
        <v>110083.06</v>
      </c>
      <c r="AP87" s="56">
        <v>6188</v>
      </c>
      <c r="AQ87" s="56">
        <v>3300</v>
      </c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75">
        <f>SUM(Financials20263[[#This Row],[Jan AC]:[Dec AC]])</f>
        <v>9488</v>
      </c>
      <c r="BC87" s="66">
        <f>Financials20263[[#This Row],[Jan AC]]-Financials20263[[#This Row],[Jan FC]]</f>
        <v>0</v>
      </c>
      <c r="BD87" s="66">
        <f>Financials20263[[#This Row],[Feb AC]]-Financials20263[[#This Row],[Feb FC]]</f>
        <v>0</v>
      </c>
      <c r="BE87" s="66">
        <f>Financials20263[[#This Row],[Mar AC]]-Financials20263[[#This Row],[Mar FC]]</f>
        <v>0</v>
      </c>
      <c r="BF87" s="66">
        <f>Financials20263[[#This Row],[Apr AC]]-Financials20263[[#This Row],[Apr FC]]</f>
        <v>0</v>
      </c>
      <c r="BG87" s="66">
        <f>Financials20263[[#This Row],[May AC]]-Financials20263[[#This Row],[May FC]]</f>
        <v>0</v>
      </c>
      <c r="BH87" s="66">
        <f>Financials20263[[#This Row],[Jun AC]]-Financials20263[[#This Row],[Jun FC]]</f>
        <v>0</v>
      </c>
      <c r="BI87" s="66">
        <f>Financials20263[[#This Row],[Jul AC]]-Financials20263[[#This Row],[Jul FC]]</f>
        <v>0</v>
      </c>
      <c r="BJ87" s="66">
        <f>Financials20263[[#This Row],[Aug AC]]-Financials20263[[#This Row],[Aug FC]]</f>
        <v>0</v>
      </c>
      <c r="BK87" s="66">
        <f>Financials20263[[#This Row],[Sep AC]]-Financials20263[[#This Row],[Sep FC]]</f>
        <v>0</v>
      </c>
      <c r="BL87" s="66">
        <f>Financials20263[[#This Row],[Oct AC]]-Financials20263[[#This Row],[Oct FC]]</f>
        <v>0</v>
      </c>
      <c r="BM87" s="66">
        <f>Financials20263[[#This Row],[Nov AC]]-Financials20263[[#This Row],[Nov FC]]</f>
        <v>0</v>
      </c>
      <c r="BN87" s="66">
        <f>Financials20263[[#This Row],[Dec AC]]-Financials20263[[#This Row],[Dec FC]]</f>
        <v>-110083.06</v>
      </c>
      <c r="BO87" s="66">
        <f>SUM(Financials20263[[#This Row],[Jan Opp/Risk]:[Dec Opp./Risk]])</f>
        <v>-110083.06</v>
      </c>
      <c r="BP87" s="82" t="s">
        <v>590</v>
      </c>
      <c r="BQ87" s="44">
        <f>SUM(Financials20263[[#This Row],[Jan AC]:[Jun AC]])</f>
        <v>9488</v>
      </c>
      <c r="BR87" s="6">
        <f t="shared" si="33"/>
        <v>0</v>
      </c>
      <c r="BS87" s="6">
        <f>Financials20263[[#This Row],[Jul-Dec FC]]+Financials20263[[#This Row],[Pending Jan-Jun]]</f>
        <v>110083.06</v>
      </c>
      <c r="BT87" s="6"/>
      <c r="BU87" s="6"/>
      <c r="BV87" s="6"/>
    </row>
    <row r="88" spans="1:74" hidden="1">
      <c r="A88" s="20" t="s">
        <v>320</v>
      </c>
      <c r="B88" s="19" t="s">
        <v>137</v>
      </c>
      <c r="C88" s="19" t="s">
        <v>473</v>
      </c>
      <c r="D88" s="10" t="s">
        <v>459</v>
      </c>
      <c r="E88" s="7" t="s">
        <v>460</v>
      </c>
      <c r="F88" s="3" t="s">
        <v>335</v>
      </c>
      <c r="G88" s="3" t="s">
        <v>25</v>
      </c>
      <c r="H88" s="4">
        <v>46023</v>
      </c>
      <c r="I88" s="4">
        <v>46387</v>
      </c>
      <c r="J88" s="3"/>
      <c r="K88" s="3" t="str">
        <f t="shared" si="30"/>
        <v>Prj000446-Implement - Minor Enhancements for Enterprise Apps</v>
      </c>
      <c r="L88" s="19" t="s">
        <v>252</v>
      </c>
      <c r="M88" s="19" t="s">
        <v>14</v>
      </c>
      <c r="N88" s="19" t="s">
        <v>16</v>
      </c>
      <c r="O88" s="19" t="s">
        <v>356</v>
      </c>
      <c r="P88" s="19" t="s">
        <v>347</v>
      </c>
      <c r="Q88" s="19" t="s">
        <v>348</v>
      </c>
      <c r="R88" s="19" t="s">
        <v>349</v>
      </c>
      <c r="S88" s="19" t="s">
        <v>354</v>
      </c>
      <c r="T88" s="5">
        <v>29400</v>
      </c>
      <c r="U88" s="15">
        <v>32400</v>
      </c>
      <c r="V88" s="15">
        <v>32400</v>
      </c>
      <c r="W88" s="15">
        <f t="shared" si="31"/>
        <v>32009.25</v>
      </c>
      <c r="X88" s="15">
        <f t="shared" si="35"/>
        <v>-390.75</v>
      </c>
      <c r="Y88" s="15">
        <f t="shared" si="32"/>
        <v>0</v>
      </c>
      <c r="Z88" s="15">
        <f>SUM(Financials20263[[#This Row],[2026 Opportunity]:[2026 Risk]])</f>
        <v>-390.75</v>
      </c>
      <c r="AA88" s="3"/>
      <c r="AB88" s="47">
        <v>32400</v>
      </c>
      <c r="AC88" s="47">
        <v>0</v>
      </c>
      <c r="AD88" s="47">
        <v>0</v>
      </c>
      <c r="AE88" s="47">
        <v>0</v>
      </c>
      <c r="AF88" s="47">
        <v>0</v>
      </c>
      <c r="AG88" s="47">
        <v>0</v>
      </c>
      <c r="AH88" s="47">
        <v>0</v>
      </c>
      <c r="AI88" s="47">
        <v>0</v>
      </c>
      <c r="AJ88" s="47">
        <v>0</v>
      </c>
      <c r="AK88" s="47">
        <v>0</v>
      </c>
      <c r="AL88" s="47">
        <v>0</v>
      </c>
      <c r="AM88" s="47">
        <v>0</v>
      </c>
      <c r="AN88" s="47">
        <f>SUM(Financials20263[[#This Row],[Jan FC]:[Dec FC]])</f>
        <v>32400</v>
      </c>
      <c r="AO88" s="15">
        <f>SUM(Financials20263[[#This Row],[Jul FC]:[Dec FC]])</f>
        <v>0</v>
      </c>
      <c r="AP88" s="56">
        <v>32009.25</v>
      </c>
      <c r="AQ88" s="56">
        <v>0</v>
      </c>
      <c r="AR88" s="56">
        <v>0</v>
      </c>
      <c r="AS88" s="56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6">
        <v>0</v>
      </c>
      <c r="AZ88" s="56">
        <v>0</v>
      </c>
      <c r="BA88" s="56">
        <v>0</v>
      </c>
      <c r="BB88" s="75">
        <f>SUM(Financials20263[[#This Row],[Jan AC]:[Dec AC]])</f>
        <v>32009.25</v>
      </c>
      <c r="BC88" s="66">
        <f>Financials20263[[#This Row],[Jan AC]]-Financials20263[[#This Row],[Jan FC]]</f>
        <v>-390.75</v>
      </c>
      <c r="BD88" s="66">
        <f>Financials20263[[#This Row],[Feb AC]]-Financials20263[[#This Row],[Feb FC]]</f>
        <v>0</v>
      </c>
      <c r="BE88" s="66">
        <f>Financials20263[[#This Row],[Mar AC]]-Financials20263[[#This Row],[Mar FC]]</f>
        <v>0</v>
      </c>
      <c r="BF88" s="66">
        <f>Financials20263[[#This Row],[Apr AC]]-Financials20263[[#This Row],[Apr FC]]</f>
        <v>0</v>
      </c>
      <c r="BG88" s="66">
        <f>Financials20263[[#This Row],[May AC]]-Financials20263[[#This Row],[May FC]]</f>
        <v>0</v>
      </c>
      <c r="BH88" s="66">
        <f>Financials20263[[#This Row],[Jun AC]]-Financials20263[[#This Row],[Jun FC]]</f>
        <v>0</v>
      </c>
      <c r="BI88" s="66">
        <f>Financials20263[[#This Row],[Jul AC]]-Financials20263[[#This Row],[Jul FC]]</f>
        <v>0</v>
      </c>
      <c r="BJ88" s="66">
        <f>Financials20263[[#This Row],[Aug AC]]-Financials20263[[#This Row],[Aug FC]]</f>
        <v>0</v>
      </c>
      <c r="BK88" s="66">
        <f>Financials20263[[#This Row],[Sep AC]]-Financials20263[[#This Row],[Sep FC]]</f>
        <v>0</v>
      </c>
      <c r="BL88" s="66">
        <f>Financials20263[[#This Row],[Oct AC]]-Financials20263[[#This Row],[Oct FC]]</f>
        <v>0</v>
      </c>
      <c r="BM88" s="66">
        <f>Financials20263[[#This Row],[Nov AC]]-Financials20263[[#This Row],[Nov FC]]</f>
        <v>0</v>
      </c>
      <c r="BN88" s="66">
        <f>Financials20263[[#This Row],[Dec AC]]-Financials20263[[#This Row],[Dec FC]]</f>
        <v>0</v>
      </c>
      <c r="BO88" s="66">
        <f>SUM(Financials20263[[#This Row],[Jan Opp/Risk]:[Dec Opp./Risk]])</f>
        <v>-390.75</v>
      </c>
      <c r="BP88" s="82" t="s">
        <v>377</v>
      </c>
      <c r="BQ88" s="44">
        <f>SUM(Financials20263[[#This Row],[Jan AC]:[Jun AC]])</f>
        <v>32009.25</v>
      </c>
      <c r="BR88" s="6">
        <f t="shared" si="33"/>
        <v>0</v>
      </c>
      <c r="BS88" s="6">
        <f>Financials20263[[#This Row],[Jul-Dec FC]]+Financials20263[[#This Row],[Pending Jan-Jun]]</f>
        <v>0</v>
      </c>
      <c r="BT88" s="6"/>
      <c r="BU88" s="6"/>
      <c r="BV88" s="6"/>
    </row>
    <row r="89" spans="1:74" ht="100.9" hidden="1">
      <c r="A89" s="20" t="s">
        <v>320</v>
      </c>
      <c r="B89" s="19" t="s">
        <v>72</v>
      </c>
      <c r="C89" s="19"/>
      <c r="D89" s="10" t="s">
        <v>322</v>
      </c>
      <c r="E89" s="7" t="s">
        <v>323</v>
      </c>
      <c r="F89" s="3" t="s">
        <v>324</v>
      </c>
      <c r="G89" s="3" t="s">
        <v>21</v>
      </c>
      <c r="H89" s="4" t="s">
        <v>591</v>
      </c>
      <c r="I89" s="4" t="s">
        <v>591</v>
      </c>
      <c r="J89" s="3"/>
      <c r="K89" s="3" t="str">
        <f t="shared" si="30"/>
        <v>Prj000350-Support - Infrastructure for Tech</v>
      </c>
      <c r="L89" s="19" t="s">
        <v>252</v>
      </c>
      <c r="M89" s="19" t="s">
        <v>16</v>
      </c>
      <c r="N89" s="19" t="s">
        <v>16</v>
      </c>
      <c r="O89" s="19"/>
      <c r="P89" s="19" t="s">
        <v>326</v>
      </c>
      <c r="Q89" s="19" t="s">
        <v>355</v>
      </c>
      <c r="R89" s="19" t="s">
        <v>356</v>
      </c>
      <c r="S89" s="19" t="s">
        <v>350</v>
      </c>
      <c r="T89" s="5">
        <v>449917.66</v>
      </c>
      <c r="U89" s="15">
        <v>1091630.8800000001</v>
      </c>
      <c r="V89" s="15">
        <v>1091630.8800000001</v>
      </c>
      <c r="W89" s="15">
        <f t="shared" si="31"/>
        <v>1091630.6000000001</v>
      </c>
      <c r="X89" s="15">
        <f t="shared" si="35"/>
        <v>-0.28000000002793968</v>
      </c>
      <c r="Y89" s="15">
        <f t="shared" si="32"/>
        <v>0</v>
      </c>
      <c r="Z89" s="15">
        <f>SUM(Financials20263[[#This Row],[2026 Opportunity]:[2026 Risk]])</f>
        <v>-0.28000000002793968</v>
      </c>
      <c r="AA89" s="11" t="s">
        <v>592</v>
      </c>
      <c r="AB89" s="47"/>
      <c r="AC89" s="47"/>
      <c r="AD89" s="47"/>
      <c r="AE89" s="47"/>
      <c r="AF89" s="47"/>
      <c r="AG89" s="47"/>
      <c r="AH89" s="47"/>
      <c r="AI89" s="47">
        <f>(84819.8+109916.76+14581.85+104952.63+27106.56)+24750</f>
        <v>366127.60000000003</v>
      </c>
      <c r="AJ89" s="47"/>
      <c r="AK89" s="47"/>
      <c r="AL89" s="47"/>
      <c r="AM89" s="43">
        <v>725503</v>
      </c>
      <c r="AN89" s="47">
        <f>SUM(Financials20263[[#This Row],[Jan FC]:[Dec FC]])</f>
        <v>1091630.6000000001</v>
      </c>
      <c r="AO89" s="15">
        <f>SUM(Financials20263[[#This Row],[Jul FC]:[Dec FC]])</f>
        <v>1091630.6000000001</v>
      </c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75">
        <f>SUM(Financials20263[[#This Row],[Jan AC]:[Dec AC]])</f>
        <v>0</v>
      </c>
      <c r="BC89" s="66">
        <f>Financials20263[[#This Row],[Jan AC]]-Financials20263[[#This Row],[Jan FC]]</f>
        <v>0</v>
      </c>
      <c r="BD89" s="66">
        <f>Financials20263[[#This Row],[Feb AC]]-Financials20263[[#This Row],[Feb FC]]</f>
        <v>0</v>
      </c>
      <c r="BE89" s="66">
        <f>Financials20263[[#This Row],[Mar AC]]-Financials20263[[#This Row],[Mar FC]]</f>
        <v>0</v>
      </c>
      <c r="BF89" s="66">
        <f>Financials20263[[#This Row],[Apr AC]]-Financials20263[[#This Row],[Apr FC]]</f>
        <v>0</v>
      </c>
      <c r="BG89" s="66">
        <f>Financials20263[[#This Row],[May AC]]-Financials20263[[#This Row],[May FC]]</f>
        <v>0</v>
      </c>
      <c r="BH89" s="66">
        <f>Financials20263[[#This Row],[Jun AC]]-Financials20263[[#This Row],[Jun FC]]</f>
        <v>0</v>
      </c>
      <c r="BI89" s="66">
        <f>Financials20263[[#This Row],[Jul AC]]-Financials20263[[#This Row],[Jul FC]]</f>
        <v>0</v>
      </c>
      <c r="BJ89" s="66">
        <f>Financials20263[[#This Row],[Aug AC]]-Financials20263[[#This Row],[Aug FC]]</f>
        <v>-366127.60000000003</v>
      </c>
      <c r="BK89" s="66">
        <f>Financials20263[[#This Row],[Sep AC]]-Financials20263[[#This Row],[Sep FC]]</f>
        <v>0</v>
      </c>
      <c r="BL89" s="66">
        <f>Financials20263[[#This Row],[Oct AC]]-Financials20263[[#This Row],[Oct FC]]</f>
        <v>0</v>
      </c>
      <c r="BM89" s="66">
        <f>Financials20263[[#This Row],[Nov AC]]-Financials20263[[#This Row],[Nov FC]]</f>
        <v>0</v>
      </c>
      <c r="BN89" s="66">
        <f>Financials20263[[#This Row],[Dec AC]]-Financials20263[[#This Row],[Dec FC]]</f>
        <v>-725503</v>
      </c>
      <c r="BO89" s="66">
        <f>SUM(Financials20263[[#This Row],[Jan Opp/Risk]:[Dec Opp./Risk]])</f>
        <v>-1091630.6000000001</v>
      </c>
      <c r="BP89" s="82"/>
      <c r="BQ89" s="44">
        <f>SUM(Financials20263[[#This Row],[Jan AC]:[Jun AC]])</f>
        <v>0</v>
      </c>
      <c r="BR89" s="6">
        <f t="shared" si="33"/>
        <v>0</v>
      </c>
      <c r="BS89" s="6">
        <f>Financials20263[[#This Row],[Jul-Dec FC]]+Financials20263[[#This Row],[Pending Jan-Jun]]</f>
        <v>1091630.6000000001</v>
      </c>
      <c r="BT89" s="6"/>
      <c r="BU89" s="6"/>
      <c r="BV89" s="6"/>
    </row>
    <row r="90" spans="1:74" hidden="1">
      <c r="A90" s="20" t="s">
        <v>320</v>
      </c>
      <c r="B90" s="19" t="s">
        <v>44</v>
      </c>
      <c r="C90" s="19" t="s">
        <v>448</v>
      </c>
      <c r="D90" s="10" t="s">
        <v>406</v>
      </c>
      <c r="E90" s="7" t="s">
        <v>407</v>
      </c>
      <c r="F90" s="3" t="s">
        <v>408</v>
      </c>
      <c r="G90" s="3" t="s">
        <v>20</v>
      </c>
      <c r="H90" s="4">
        <v>45413</v>
      </c>
      <c r="I90" s="4">
        <v>46332</v>
      </c>
      <c r="J90" s="3" t="s">
        <v>593</v>
      </c>
      <c r="K90" s="3" t="str">
        <f t="shared" si="30"/>
        <v>Prj000403-Support - L2 CoE Management for Tech Horizontals</v>
      </c>
      <c r="L90" s="19" t="s">
        <v>251</v>
      </c>
      <c r="M90" s="19" t="s">
        <v>14</v>
      </c>
      <c r="N90" s="19" t="s">
        <v>346</v>
      </c>
      <c r="O90" s="19" t="s">
        <v>594</v>
      </c>
      <c r="P90" s="19" t="s">
        <v>326</v>
      </c>
      <c r="Q90" s="19" t="s">
        <v>355</v>
      </c>
      <c r="R90" s="19" t="s">
        <v>355</v>
      </c>
      <c r="S90" s="19" t="s">
        <v>350</v>
      </c>
      <c r="T90" s="5">
        <v>222842</v>
      </c>
      <c r="U90" s="15">
        <v>195584.34</v>
      </c>
      <c r="V90" s="15">
        <f>195584.34-3644</f>
        <v>191940.34</v>
      </c>
      <c r="W90" s="15">
        <f t="shared" si="31"/>
        <v>191940</v>
      </c>
      <c r="X90" s="15">
        <f t="shared" si="35"/>
        <v>-0.33999999999650754</v>
      </c>
      <c r="Y90" s="15">
        <f t="shared" si="32"/>
        <v>0</v>
      </c>
      <c r="Z90" s="15">
        <f>SUM(Financials20263[[#This Row],[2026 Opportunity]:[2026 Risk]])</f>
        <v>-0.33999999999650754</v>
      </c>
      <c r="AA90" s="3" t="s">
        <v>595</v>
      </c>
      <c r="AB90" s="47">
        <v>15449</v>
      </c>
      <c r="AC90" s="47">
        <v>15449</v>
      </c>
      <c r="AD90" s="47">
        <v>15449</v>
      </c>
      <c r="AE90" s="47">
        <v>15449</v>
      </c>
      <c r="AF90" s="47">
        <v>16268</v>
      </c>
      <c r="AG90" s="47">
        <v>16268</v>
      </c>
      <c r="AH90" s="47">
        <v>16268</v>
      </c>
      <c r="AI90" s="47">
        <v>16268</v>
      </c>
      <c r="AJ90" s="47">
        <v>16268</v>
      </c>
      <c r="AK90" s="47">
        <v>16268</v>
      </c>
      <c r="AL90" s="47">
        <v>16268</v>
      </c>
      <c r="AM90" s="47">
        <v>16268</v>
      </c>
      <c r="AN90" s="70">
        <f>SUM(Financials20263[[#This Row],[Jan FC]:[Dec FC]])</f>
        <v>191940</v>
      </c>
      <c r="AO90" s="15">
        <f>SUM(Financials20263[[#This Row],[Jul FC]:[Dec FC]])</f>
        <v>97608</v>
      </c>
      <c r="AP90" s="56">
        <v>15449</v>
      </c>
      <c r="AQ90" s="56">
        <v>15449</v>
      </c>
      <c r="AR90" s="56">
        <v>15449</v>
      </c>
      <c r="AS90" s="56">
        <v>15449</v>
      </c>
      <c r="AT90" s="56">
        <v>16268</v>
      </c>
      <c r="AU90" s="56"/>
      <c r="AV90" s="56">
        <v>16268</v>
      </c>
      <c r="AW90" s="56"/>
      <c r="AX90" s="56"/>
      <c r="AY90" s="56"/>
      <c r="AZ90" s="56"/>
      <c r="BA90" s="56"/>
      <c r="BB90" s="75">
        <f>SUM(Financials20263[[#This Row],[Jan AC]:[Dec AC]])</f>
        <v>94332</v>
      </c>
      <c r="BC90" s="66">
        <f>Financials20263[[#This Row],[Jan AC]]-Financials20263[[#This Row],[Jan FC]]</f>
        <v>0</v>
      </c>
      <c r="BD90" s="66">
        <f>Financials20263[[#This Row],[Feb AC]]-Financials20263[[#This Row],[Feb FC]]</f>
        <v>0</v>
      </c>
      <c r="BE90" s="66">
        <f>Financials20263[[#This Row],[Mar AC]]-Financials20263[[#This Row],[Mar FC]]</f>
        <v>0</v>
      </c>
      <c r="BF90" s="66">
        <f>Financials20263[[#This Row],[Apr AC]]-Financials20263[[#This Row],[Apr FC]]</f>
        <v>0</v>
      </c>
      <c r="BG90" s="66">
        <f>Financials20263[[#This Row],[May AC]]-Financials20263[[#This Row],[May FC]]</f>
        <v>0</v>
      </c>
      <c r="BH90" s="66">
        <f>Financials20263[[#This Row],[Jun AC]]-Financials20263[[#This Row],[Jun FC]]</f>
        <v>-16268</v>
      </c>
      <c r="BI90" s="66">
        <f>Financials20263[[#This Row],[Jul AC]]-Financials20263[[#This Row],[Jul FC]]</f>
        <v>0</v>
      </c>
      <c r="BJ90" s="66">
        <f>Financials20263[[#This Row],[Aug AC]]-Financials20263[[#This Row],[Aug FC]]</f>
        <v>-16268</v>
      </c>
      <c r="BK90" s="66">
        <f>Financials20263[[#This Row],[Sep AC]]-Financials20263[[#This Row],[Sep FC]]</f>
        <v>-16268</v>
      </c>
      <c r="BL90" s="66">
        <f>Financials20263[[#This Row],[Oct AC]]-Financials20263[[#This Row],[Oct FC]]</f>
        <v>-16268</v>
      </c>
      <c r="BM90" s="66">
        <f>Financials20263[[#This Row],[Nov AC]]-Financials20263[[#This Row],[Nov FC]]</f>
        <v>-16268</v>
      </c>
      <c r="BN90" s="66">
        <f>Financials20263[[#This Row],[Dec AC]]-Financials20263[[#This Row],[Dec FC]]</f>
        <v>-16268</v>
      </c>
      <c r="BO90" s="66">
        <f>SUM(Financials20263[[#This Row],[Jan Opp/Risk]:[Dec Opp./Risk]])</f>
        <v>-97608</v>
      </c>
      <c r="BP90" s="82" t="s">
        <v>596</v>
      </c>
      <c r="BQ90" s="44">
        <f>SUM(Financials20263[[#This Row],[Jan AC]:[Jun AC]])</f>
        <v>78064</v>
      </c>
      <c r="BR90" s="6">
        <f t="shared" si="33"/>
        <v>16268</v>
      </c>
      <c r="BS90" s="6">
        <f>Financials20263[[#This Row],[Jul-Dec FC]]+Financials20263[[#This Row],[Pending Jan-Jun]]</f>
        <v>113876</v>
      </c>
      <c r="BT90" s="6"/>
      <c r="BU90" s="6"/>
      <c r="BV90" s="6"/>
    </row>
    <row r="91" spans="1:74" hidden="1">
      <c r="A91" s="20" t="s">
        <v>320</v>
      </c>
      <c r="B91" s="19" t="s">
        <v>44</v>
      </c>
      <c r="C91" s="19" t="s">
        <v>448</v>
      </c>
      <c r="D91" s="10" t="s">
        <v>406</v>
      </c>
      <c r="E91" s="7" t="s">
        <v>407</v>
      </c>
      <c r="F91" s="3" t="s">
        <v>408</v>
      </c>
      <c r="G91" s="3" t="s">
        <v>20</v>
      </c>
      <c r="H91" s="4">
        <v>45778</v>
      </c>
      <c r="I91" s="4">
        <v>46332</v>
      </c>
      <c r="J91" s="3" t="s">
        <v>597</v>
      </c>
      <c r="K91" s="3" t="str">
        <f t="shared" si="30"/>
        <v>Prj000403-Support - L2 CoE Management for Tech Horizontals</v>
      </c>
      <c r="L91" s="19" t="s">
        <v>251</v>
      </c>
      <c r="M91" s="19" t="s">
        <v>14</v>
      </c>
      <c r="N91" s="19" t="s">
        <v>346</v>
      </c>
      <c r="O91" s="19" t="s">
        <v>594</v>
      </c>
      <c r="P91" s="19" t="s">
        <v>326</v>
      </c>
      <c r="Q91" s="19" t="s">
        <v>355</v>
      </c>
      <c r="R91" s="19" t="s">
        <v>355</v>
      </c>
      <c r="S91" s="19" t="s">
        <v>350</v>
      </c>
      <c r="T91" s="5">
        <v>57500</v>
      </c>
      <c r="U91" s="15">
        <v>85455</v>
      </c>
      <c r="V91" s="15">
        <v>85455</v>
      </c>
      <c r="W91" s="15">
        <f t="shared" si="31"/>
        <v>85455</v>
      </c>
      <c r="X91" s="15">
        <f t="shared" si="35"/>
        <v>0</v>
      </c>
      <c r="Y91" s="15">
        <f t="shared" si="32"/>
        <v>0</v>
      </c>
      <c r="Z91" s="15">
        <f>SUM(Financials20263[[#This Row],[2026 Opportunity]:[2026 Risk]])</f>
        <v>0</v>
      </c>
      <c r="AA91" s="3" t="s">
        <v>598</v>
      </c>
      <c r="AB91" s="47">
        <v>6750</v>
      </c>
      <c r="AC91" s="47">
        <v>6750</v>
      </c>
      <c r="AD91" s="47">
        <v>6750</v>
      </c>
      <c r="AE91" s="47">
        <v>6750</v>
      </c>
      <c r="AF91" s="47">
        <v>6750</v>
      </c>
      <c r="AG91" s="47">
        <v>6750</v>
      </c>
      <c r="AH91" s="47">
        <v>6750</v>
      </c>
      <c r="AI91" s="47">
        <v>6750</v>
      </c>
      <c r="AJ91" s="47">
        <v>6750</v>
      </c>
      <c r="AK91" s="47">
        <v>6750</v>
      </c>
      <c r="AL91" s="47">
        <v>6750</v>
      </c>
      <c r="AM91" s="43">
        <f>11205-1585</f>
        <v>9620</v>
      </c>
      <c r="AN91" s="70">
        <f>SUM(Financials20263[[#This Row],[Jan FC]:[Dec FC]])</f>
        <v>83870</v>
      </c>
      <c r="AO91" s="15">
        <f>SUM(Financials20263[[#This Row],[Jul FC]:[Dec FC]])</f>
        <v>43370</v>
      </c>
      <c r="AP91" s="56">
        <v>6750</v>
      </c>
      <c r="AQ91" s="56">
        <v>6750</v>
      </c>
      <c r="AR91" s="56">
        <v>6750</v>
      </c>
      <c r="AS91" s="56">
        <v>6750</v>
      </c>
      <c r="AT91" s="56">
        <v>6750</v>
      </c>
      <c r="AU91" s="56">
        <v>8335</v>
      </c>
      <c r="AV91" s="56">
        <v>6750</v>
      </c>
      <c r="AW91" s="56"/>
      <c r="AX91" s="56"/>
      <c r="AY91" s="56"/>
      <c r="AZ91" s="56"/>
      <c r="BA91" s="56"/>
      <c r="BB91" s="75">
        <f>SUM(Financials20263[[#This Row],[Jan AC]:[Dec AC]])</f>
        <v>48835</v>
      </c>
      <c r="BC91" s="66">
        <f>Financials20263[[#This Row],[Jan AC]]-Financials20263[[#This Row],[Jan FC]]</f>
        <v>0</v>
      </c>
      <c r="BD91" s="66">
        <f>Financials20263[[#This Row],[Feb AC]]-Financials20263[[#This Row],[Feb FC]]</f>
        <v>0</v>
      </c>
      <c r="BE91" s="66">
        <f>Financials20263[[#This Row],[Mar AC]]-Financials20263[[#This Row],[Mar FC]]</f>
        <v>0</v>
      </c>
      <c r="BF91" s="66">
        <f>Financials20263[[#This Row],[Apr AC]]-Financials20263[[#This Row],[Apr FC]]</f>
        <v>0</v>
      </c>
      <c r="BG91" s="66">
        <f>Financials20263[[#This Row],[May AC]]-Financials20263[[#This Row],[May FC]]</f>
        <v>0</v>
      </c>
      <c r="BH91" s="66">
        <f>Financials20263[[#This Row],[Jun AC]]-Financials20263[[#This Row],[Jun FC]]</f>
        <v>1585</v>
      </c>
      <c r="BI91" s="66">
        <f>Financials20263[[#This Row],[Jul AC]]-Financials20263[[#This Row],[Jul FC]]</f>
        <v>0</v>
      </c>
      <c r="BJ91" s="66">
        <f>Financials20263[[#This Row],[Aug AC]]-Financials20263[[#This Row],[Aug FC]]</f>
        <v>-6750</v>
      </c>
      <c r="BK91" s="66">
        <f>Financials20263[[#This Row],[Sep AC]]-Financials20263[[#This Row],[Sep FC]]</f>
        <v>-6750</v>
      </c>
      <c r="BL91" s="66">
        <f>Financials20263[[#This Row],[Oct AC]]-Financials20263[[#This Row],[Oct FC]]</f>
        <v>-6750</v>
      </c>
      <c r="BM91" s="66">
        <f>Financials20263[[#This Row],[Nov AC]]-Financials20263[[#This Row],[Nov FC]]</f>
        <v>-6750</v>
      </c>
      <c r="BN91" s="66">
        <f>Financials20263[[#This Row],[Dec AC]]-Financials20263[[#This Row],[Dec FC]]</f>
        <v>-9620</v>
      </c>
      <c r="BO91" s="66">
        <f>SUM(Financials20263[[#This Row],[Jan Opp/Risk]:[Dec Opp./Risk]])</f>
        <v>-35035</v>
      </c>
      <c r="BP91" s="82" t="s">
        <v>599</v>
      </c>
      <c r="BQ91" s="44">
        <f>SUM(Financials20263[[#This Row],[Jan AC]:[Jun AC]])</f>
        <v>42085</v>
      </c>
      <c r="BR91" s="6">
        <f t="shared" si="33"/>
        <v>0</v>
      </c>
      <c r="BS91" s="6">
        <f>Financials20263[[#This Row],[Jul-Dec FC]]+Financials20263[[#This Row],[Pending Jan-Jun]]</f>
        <v>43370</v>
      </c>
      <c r="BT91" s="6"/>
      <c r="BU91" s="6"/>
      <c r="BV91" s="6"/>
    </row>
    <row r="92" spans="1:74" hidden="1">
      <c r="A92" s="20" t="s">
        <v>320</v>
      </c>
      <c r="B92" s="19" t="s">
        <v>233</v>
      </c>
      <c r="C92" s="19"/>
      <c r="D92" s="10" t="s">
        <v>459</v>
      </c>
      <c r="E92" s="7" t="s">
        <v>460</v>
      </c>
      <c r="F92" s="3" t="s">
        <v>335</v>
      </c>
      <c r="G92" s="3" t="s">
        <v>25</v>
      </c>
      <c r="H92" s="4"/>
      <c r="I92" s="4"/>
      <c r="J92" s="3"/>
      <c r="K92" s="3" t="str">
        <f t="shared" si="30"/>
        <v>Prj000446-Implement - Minor Enhancements for Enterprise Apps</v>
      </c>
      <c r="L92" s="19" t="s">
        <v>252</v>
      </c>
      <c r="M92" s="19" t="s">
        <v>16</v>
      </c>
      <c r="N92" s="19" t="s">
        <v>16</v>
      </c>
      <c r="O92" s="19"/>
      <c r="P92" s="19" t="s">
        <v>326</v>
      </c>
      <c r="Q92" s="19" t="s">
        <v>355</v>
      </c>
      <c r="R92" s="19" t="s">
        <v>355</v>
      </c>
      <c r="S92" s="19" t="s">
        <v>350</v>
      </c>
      <c r="T92" s="5">
        <v>46598.93</v>
      </c>
      <c r="U92" s="15">
        <v>48934</v>
      </c>
      <c r="V92" s="15">
        <v>48934</v>
      </c>
      <c r="W92" s="15">
        <f t="shared" si="31"/>
        <v>48931</v>
      </c>
      <c r="X92" s="15">
        <f t="shared" si="35"/>
        <v>-3</v>
      </c>
      <c r="Y92" s="15">
        <f t="shared" si="32"/>
        <v>0</v>
      </c>
      <c r="Z92" s="15">
        <f>SUM(Financials20263[[#This Row],[2026 Opportunity]:[2026 Risk]])</f>
        <v>-3</v>
      </c>
      <c r="AA92" s="3" t="s">
        <v>600</v>
      </c>
      <c r="AB92" s="47">
        <v>4702</v>
      </c>
      <c r="AC92" s="47">
        <v>1000</v>
      </c>
      <c r="AD92" s="47">
        <f>1000</f>
        <v>1000</v>
      </c>
      <c r="AE92" s="47">
        <f>1000+195</f>
        <v>1195</v>
      </c>
      <c r="AF92" s="47">
        <v>1000</v>
      </c>
      <c r="AG92" s="47">
        <v>1000</v>
      </c>
      <c r="AH92" s="47">
        <v>1000</v>
      </c>
      <c r="AI92" s="47">
        <v>1000</v>
      </c>
      <c r="AJ92" s="47">
        <v>1000</v>
      </c>
      <c r="AK92" s="47">
        <v>1000</v>
      </c>
      <c r="AL92" s="47">
        <v>1000</v>
      </c>
      <c r="AM92" s="43">
        <f>34232-195</f>
        <v>34037</v>
      </c>
      <c r="AN92" s="47">
        <f>SUM(Financials20263[[#This Row],[Jan FC]:[Dec FC]])</f>
        <v>48934</v>
      </c>
      <c r="AO92" s="15">
        <f>SUM(Financials20263[[#This Row],[Jul FC]:[Dec FC]])</f>
        <v>39037</v>
      </c>
      <c r="AP92" s="56">
        <f>999+3705</f>
        <v>4704</v>
      </c>
      <c r="AQ92" s="56">
        <v>999</v>
      </c>
      <c r="AR92" s="56">
        <f>999</f>
        <v>999</v>
      </c>
      <c r="AS92" s="56">
        <f>999+195</f>
        <v>1194</v>
      </c>
      <c r="AT92" s="56">
        <v>999</v>
      </c>
      <c r="AU92" s="56">
        <v>999</v>
      </c>
      <c r="AV92" s="56">
        <v>999</v>
      </c>
      <c r="AW92" s="56"/>
      <c r="AX92" s="56"/>
      <c r="AY92" s="56"/>
      <c r="AZ92" s="56"/>
      <c r="BA92" s="56"/>
      <c r="BB92" s="75">
        <f>SUM(Financials20263[[#This Row],[Jan AC]:[Dec AC]])</f>
        <v>10893</v>
      </c>
      <c r="BC92" s="66">
        <f>Financials20263[[#This Row],[Jan AC]]-Financials20263[[#This Row],[Jan FC]]</f>
        <v>2</v>
      </c>
      <c r="BD92" s="66">
        <f>Financials20263[[#This Row],[Feb AC]]-Financials20263[[#This Row],[Feb FC]]</f>
        <v>-1</v>
      </c>
      <c r="BE92" s="66">
        <f>Financials20263[[#This Row],[Mar AC]]-Financials20263[[#This Row],[Mar FC]]</f>
        <v>-1</v>
      </c>
      <c r="BF92" s="66">
        <f>Financials20263[[#This Row],[Apr AC]]-Financials20263[[#This Row],[Apr FC]]</f>
        <v>-1</v>
      </c>
      <c r="BG92" s="66">
        <f>Financials20263[[#This Row],[May AC]]-Financials20263[[#This Row],[May FC]]</f>
        <v>-1</v>
      </c>
      <c r="BH92" s="66">
        <f>Financials20263[[#This Row],[Jun AC]]-Financials20263[[#This Row],[Jun FC]]</f>
        <v>-1</v>
      </c>
      <c r="BI92" s="66">
        <f>Financials20263[[#This Row],[Jul AC]]-Financials20263[[#This Row],[Jul FC]]</f>
        <v>-1</v>
      </c>
      <c r="BJ92" s="66">
        <f>Financials20263[[#This Row],[Aug AC]]-Financials20263[[#This Row],[Aug FC]]</f>
        <v>-1000</v>
      </c>
      <c r="BK92" s="66">
        <f>Financials20263[[#This Row],[Sep AC]]-Financials20263[[#This Row],[Sep FC]]</f>
        <v>-1000</v>
      </c>
      <c r="BL92" s="66">
        <f>Financials20263[[#This Row],[Oct AC]]-Financials20263[[#This Row],[Oct FC]]</f>
        <v>-1000</v>
      </c>
      <c r="BM92" s="66">
        <f>Financials20263[[#This Row],[Nov AC]]-Financials20263[[#This Row],[Nov FC]]</f>
        <v>-1000</v>
      </c>
      <c r="BN92" s="66">
        <f>Financials20263[[#This Row],[Dec AC]]-Financials20263[[#This Row],[Dec FC]]</f>
        <v>-34037</v>
      </c>
      <c r="BO92" s="66">
        <f>SUM(Financials20263[[#This Row],[Jan Opp/Risk]:[Dec Opp./Risk]])</f>
        <v>-38041</v>
      </c>
      <c r="BP92" s="82" t="s">
        <v>601</v>
      </c>
      <c r="BQ92" s="44">
        <f>SUM(Financials20263[[#This Row],[Jan AC]:[Jun AC]])</f>
        <v>9894</v>
      </c>
      <c r="BR92" s="6">
        <f t="shared" si="33"/>
        <v>0</v>
      </c>
      <c r="BS92" s="6">
        <f>Financials20263[[#This Row],[Jul-Dec FC]]+Financials20263[[#This Row],[Pending Jan-Jun]]</f>
        <v>39037</v>
      </c>
      <c r="BT92" s="6"/>
      <c r="BU92" s="6"/>
      <c r="BV92" s="6"/>
    </row>
    <row r="93" spans="1:74" hidden="1">
      <c r="A93" s="20" t="s">
        <v>320</v>
      </c>
      <c r="B93" s="19" t="s">
        <v>64</v>
      </c>
      <c r="C93" s="19" t="s">
        <v>602</v>
      </c>
      <c r="D93" s="10" t="s">
        <v>442</v>
      </c>
      <c r="E93" s="7" t="s">
        <v>443</v>
      </c>
      <c r="F93" s="3" t="s">
        <v>444</v>
      </c>
      <c r="G93" s="3" t="s">
        <v>22</v>
      </c>
      <c r="H93" s="4"/>
      <c r="I93" s="4"/>
      <c r="J93" s="3"/>
      <c r="K93" s="3" t="str">
        <f t="shared" si="30"/>
        <v>Prj000469-Support - Prod Support for Ops Apps</v>
      </c>
      <c r="L93" s="19" t="s">
        <v>252</v>
      </c>
      <c r="M93" s="19" t="s">
        <v>16</v>
      </c>
      <c r="N93" s="19" t="s">
        <v>16</v>
      </c>
      <c r="O93" s="19"/>
      <c r="P93" s="19" t="s">
        <v>326</v>
      </c>
      <c r="Q93" s="19" t="s">
        <v>355</v>
      </c>
      <c r="R93" s="19" t="s">
        <v>355</v>
      </c>
      <c r="S93" s="19" t="s">
        <v>438</v>
      </c>
      <c r="T93" s="5">
        <v>3268031.27</v>
      </c>
      <c r="U93" s="15">
        <v>3500000</v>
      </c>
      <c r="V93" s="15">
        <v>3500000</v>
      </c>
      <c r="W93" s="15">
        <f t="shared" si="31"/>
        <v>3385833.333333333</v>
      </c>
      <c r="X93" s="15">
        <f t="shared" si="35"/>
        <v>-114166.66666666698</v>
      </c>
      <c r="Y93" s="15">
        <f t="shared" si="32"/>
        <v>0</v>
      </c>
      <c r="Z93" s="15">
        <f>SUM(Financials20263[[#This Row],[2026 Opportunity]:[2026 Risk]])</f>
        <v>-114166.66666666698</v>
      </c>
      <c r="AA93" s="3" t="s">
        <v>603</v>
      </c>
      <c r="AB93" s="47">
        <v>261174.96666666667</v>
      </c>
      <c r="AC93" s="47">
        <v>261174.96666666667</v>
      </c>
      <c r="AD93" s="47">
        <v>261174.96666666667</v>
      </c>
      <c r="AE93" s="47">
        <v>253282.01</v>
      </c>
      <c r="AF93" s="47">
        <v>253282.01</v>
      </c>
      <c r="AG93" s="47">
        <v>253282.01</v>
      </c>
      <c r="AH93" s="47">
        <v>461647.86833333329</v>
      </c>
      <c r="AI93" s="47">
        <v>461647.86833333329</v>
      </c>
      <c r="AJ93" s="47">
        <v>229791.66666666666</v>
      </c>
      <c r="AK93" s="47">
        <v>229791.66666666666</v>
      </c>
      <c r="AL93" s="47">
        <v>229791.66666666666</v>
      </c>
      <c r="AM93" s="47">
        <v>229791.66666666666</v>
      </c>
      <c r="AN93" s="47">
        <f>SUM(Financials20263[[#This Row],[Jan FC]:[Dec FC]])</f>
        <v>3385833.3333333326</v>
      </c>
      <c r="AO93" s="15">
        <f>SUM(Financials20263[[#This Row],[Jul FC]:[Dec FC]])</f>
        <v>1842462.4033333336</v>
      </c>
      <c r="AP93" s="56">
        <f>(637500/3)+(146024.9/3)</f>
        <v>261174.96666666667</v>
      </c>
      <c r="AQ93" s="56">
        <f t="shared" ref="AQ93" si="40">(637500/3)+(146024.9/3)</f>
        <v>261174.96666666667</v>
      </c>
      <c r="AR93" s="56">
        <f>(637500/3)+(146024.9/3)</f>
        <v>261174.96666666667</v>
      </c>
      <c r="AS93" s="56">
        <f>(637500/3)+(122346.03/3)</f>
        <v>253282.01</v>
      </c>
      <c r="AT93" s="56">
        <f t="shared" ref="AT93:AU93" si="41">(637500/3)+(122346.03/3)</f>
        <v>253282.01</v>
      </c>
      <c r="AU93" s="56">
        <f t="shared" si="41"/>
        <v>253282.01</v>
      </c>
      <c r="AV93" s="56"/>
      <c r="AW93" s="56"/>
      <c r="AX93" s="56"/>
      <c r="AY93" s="56"/>
      <c r="AZ93" s="56"/>
      <c r="BA93" s="56"/>
      <c r="BB93" s="75">
        <f>SUM(Financials20263[[#This Row],[Jan AC]:[Dec AC]])</f>
        <v>1543370.93</v>
      </c>
      <c r="BC93" s="66">
        <f>Financials20263[[#This Row],[Jan AC]]-Financials20263[[#This Row],[Jan FC]]</f>
        <v>0</v>
      </c>
      <c r="BD93" s="66">
        <f>Financials20263[[#This Row],[Feb AC]]-Financials20263[[#This Row],[Feb FC]]</f>
        <v>0</v>
      </c>
      <c r="BE93" s="66">
        <f>Financials20263[[#This Row],[Mar AC]]-Financials20263[[#This Row],[Mar FC]]</f>
        <v>0</v>
      </c>
      <c r="BF93" s="66">
        <f>Financials20263[[#This Row],[Apr AC]]-Financials20263[[#This Row],[Apr FC]]</f>
        <v>0</v>
      </c>
      <c r="BG93" s="66">
        <f>Financials20263[[#This Row],[May AC]]-Financials20263[[#This Row],[May FC]]</f>
        <v>0</v>
      </c>
      <c r="BH93" s="66">
        <f>Financials20263[[#This Row],[Jun AC]]-Financials20263[[#This Row],[Jun FC]]</f>
        <v>0</v>
      </c>
      <c r="BI93" s="66">
        <f>Financials20263[[#This Row],[Jul AC]]-Financials20263[[#This Row],[Jul FC]]</f>
        <v>-461647.86833333329</v>
      </c>
      <c r="BJ93" s="66">
        <f>Financials20263[[#This Row],[Aug AC]]-Financials20263[[#This Row],[Aug FC]]</f>
        <v>-461647.86833333329</v>
      </c>
      <c r="BK93" s="66">
        <f>Financials20263[[#This Row],[Sep AC]]-Financials20263[[#This Row],[Sep FC]]</f>
        <v>-229791.66666666666</v>
      </c>
      <c r="BL93" s="66">
        <f>Financials20263[[#This Row],[Oct AC]]-Financials20263[[#This Row],[Oct FC]]</f>
        <v>-229791.66666666666</v>
      </c>
      <c r="BM93" s="66">
        <f>Financials20263[[#This Row],[Nov AC]]-Financials20263[[#This Row],[Nov FC]]</f>
        <v>-229791.66666666666</v>
      </c>
      <c r="BN93" s="66">
        <f>Financials20263[[#This Row],[Dec AC]]-Financials20263[[#This Row],[Dec FC]]</f>
        <v>-229791.66666666666</v>
      </c>
      <c r="BO93" s="66">
        <f>SUM(Financials20263[[#This Row],[Jan Opp/Risk]:[Dec Opp./Risk]])</f>
        <v>-1842462.4033333336</v>
      </c>
      <c r="BP93" s="84" t="s">
        <v>604</v>
      </c>
      <c r="BQ93" s="44">
        <f>SUM(Financials20263[[#This Row],[Jan AC]:[Jun AC]])</f>
        <v>1543370.93</v>
      </c>
      <c r="BR93" s="6">
        <f t="shared" si="33"/>
        <v>0</v>
      </c>
      <c r="BS93" s="6">
        <f>Financials20263[[#This Row],[Jul-Dec FC]]+Financials20263[[#This Row],[Pending Jan-Jun]]</f>
        <v>1842462.4033333336</v>
      </c>
      <c r="BT93" s="6"/>
      <c r="BU93" s="6"/>
      <c r="BV93" s="6"/>
    </row>
    <row r="94" spans="1:74" hidden="1">
      <c r="A94" s="20" t="s">
        <v>320</v>
      </c>
      <c r="B94" s="19" t="s">
        <v>96</v>
      </c>
      <c r="C94" s="19"/>
      <c r="D94" s="10" t="s">
        <v>322</v>
      </c>
      <c r="E94" s="7" t="s">
        <v>323</v>
      </c>
      <c r="F94" s="3" t="s">
        <v>324</v>
      </c>
      <c r="G94" s="3" t="s">
        <v>21</v>
      </c>
      <c r="H94" s="4">
        <v>46174</v>
      </c>
      <c r="I94" s="4">
        <v>46538</v>
      </c>
      <c r="J94" s="3"/>
      <c r="K94" s="3" t="str">
        <f t="shared" si="30"/>
        <v>Prj000350-Support - Infrastructure for Tech</v>
      </c>
      <c r="L94" s="19" t="s">
        <v>252</v>
      </c>
      <c r="M94" s="19" t="s">
        <v>16</v>
      </c>
      <c r="N94" s="19" t="s">
        <v>16</v>
      </c>
      <c r="O94" s="19" t="s">
        <v>594</v>
      </c>
      <c r="P94" s="19" t="s">
        <v>326</v>
      </c>
      <c r="Q94" s="19" t="s">
        <v>355</v>
      </c>
      <c r="R94" s="19" t="s">
        <v>356</v>
      </c>
      <c r="S94" s="19" t="s">
        <v>328</v>
      </c>
      <c r="T94" s="5">
        <v>588000</v>
      </c>
      <c r="U94" s="15">
        <v>596913</v>
      </c>
      <c r="V94" s="15">
        <v>596913</v>
      </c>
      <c r="W94" s="15">
        <f t="shared" si="31"/>
        <v>642692.01333333331</v>
      </c>
      <c r="X94" s="15">
        <f t="shared" si="35"/>
        <v>0</v>
      </c>
      <c r="Y94" s="15">
        <f t="shared" si="32"/>
        <v>45779.013333333307</v>
      </c>
      <c r="Z94" s="15">
        <f>SUM(Financials20263[[#This Row],[2026 Opportunity]:[2026 Risk]])</f>
        <v>45779.013333333307</v>
      </c>
      <c r="AA94" s="3" t="s">
        <v>605</v>
      </c>
      <c r="AB94" s="46">
        <f>580000/12</f>
        <v>48333.333333333336</v>
      </c>
      <c r="AC94" s="46">
        <f>580000/12</f>
        <v>48333.333333333336</v>
      </c>
      <c r="AD94" s="46">
        <f>580000/12</f>
        <v>48333.333333333336</v>
      </c>
      <c r="AE94" s="46">
        <f>580000/12</f>
        <v>48333.333333333336</v>
      </c>
      <c r="AF94" s="46">
        <f>580000/12</f>
        <v>48333.333333333336</v>
      </c>
      <c r="AG94" s="46">
        <f>687472/12</f>
        <v>57289.333333333336</v>
      </c>
      <c r="AH94" s="46">
        <f t="shared" ref="AH94:AM94" si="42">687472/12</f>
        <v>57289.333333333336</v>
      </c>
      <c r="AI94" s="46">
        <f t="shared" si="42"/>
        <v>57289.333333333336</v>
      </c>
      <c r="AJ94" s="46">
        <f t="shared" si="42"/>
        <v>57289.333333333336</v>
      </c>
      <c r="AK94" s="46">
        <f t="shared" si="42"/>
        <v>57289.333333333336</v>
      </c>
      <c r="AL94" s="46">
        <f t="shared" si="42"/>
        <v>57289.333333333336</v>
      </c>
      <c r="AM94" s="46">
        <f t="shared" si="42"/>
        <v>57289.333333333336</v>
      </c>
      <c r="AN94" s="46">
        <f>SUM(Financials20263[[#This Row],[Jan FC]:[Dec FC]])</f>
        <v>642692</v>
      </c>
      <c r="AO94" s="15">
        <f>SUM(Financials20263[[#This Row],[Jul FC]:[Dec FC]])</f>
        <v>343736</v>
      </c>
      <c r="AP94" s="55">
        <f>580000/12</f>
        <v>48333.333333333336</v>
      </c>
      <c r="AQ94" s="55">
        <f>580000/12</f>
        <v>48333.333333333336</v>
      </c>
      <c r="AR94" s="55">
        <f>580000/12</f>
        <v>48333.333333333336</v>
      </c>
      <c r="AS94" s="55">
        <f>580000/12</f>
        <v>48333.333333333336</v>
      </c>
      <c r="AT94" s="55">
        <f>580000/12</f>
        <v>48333.333333333336</v>
      </c>
      <c r="AU94" s="55">
        <f>687472.16/12</f>
        <v>57289.346666666672</v>
      </c>
      <c r="AV94" s="55">
        <f t="shared" ref="AV94:BA94" si="43">687472.16/12</f>
        <v>57289.346666666672</v>
      </c>
      <c r="AW94" s="55">
        <f t="shared" si="43"/>
        <v>57289.346666666672</v>
      </c>
      <c r="AX94" s="55">
        <f t="shared" si="43"/>
        <v>57289.346666666672</v>
      </c>
      <c r="AY94" s="55">
        <f t="shared" si="43"/>
        <v>57289.346666666672</v>
      </c>
      <c r="AZ94" s="55">
        <f t="shared" si="43"/>
        <v>57289.346666666672</v>
      </c>
      <c r="BA94" s="55">
        <f t="shared" si="43"/>
        <v>57289.346666666672</v>
      </c>
      <c r="BB94" s="74">
        <f>SUM(Financials20263[[#This Row],[Jan AC]:[Dec AC]])</f>
        <v>642692.09333333338</v>
      </c>
      <c r="BC94" s="66">
        <f>Financials20263[[#This Row],[Jan AC]]-Financials20263[[#This Row],[Jan FC]]</f>
        <v>0</v>
      </c>
      <c r="BD94" s="66">
        <f>Financials20263[[#This Row],[Feb AC]]-Financials20263[[#This Row],[Feb FC]]</f>
        <v>0</v>
      </c>
      <c r="BE94" s="66">
        <f>Financials20263[[#This Row],[Mar AC]]-Financials20263[[#This Row],[Mar FC]]</f>
        <v>0</v>
      </c>
      <c r="BF94" s="66">
        <f>Financials20263[[#This Row],[Apr AC]]-Financials20263[[#This Row],[Apr FC]]</f>
        <v>0</v>
      </c>
      <c r="BG94" s="66">
        <f>Financials20263[[#This Row],[May AC]]-Financials20263[[#This Row],[May FC]]</f>
        <v>0</v>
      </c>
      <c r="BH94" s="66">
        <f>Financials20263[[#This Row],[Jun AC]]-Financials20263[[#This Row],[Jun FC]]</f>
        <v>1.3333333336049691E-2</v>
      </c>
      <c r="BI94" s="66">
        <f>Financials20263[[#This Row],[Jul AC]]-Financials20263[[#This Row],[Jul FC]]</f>
        <v>1.3333333336049691E-2</v>
      </c>
      <c r="BJ94" s="66">
        <f>Financials20263[[#This Row],[Aug AC]]-Financials20263[[#This Row],[Aug FC]]</f>
        <v>1.3333333336049691E-2</v>
      </c>
      <c r="BK94" s="66">
        <f>Financials20263[[#This Row],[Sep AC]]-Financials20263[[#This Row],[Sep FC]]</f>
        <v>1.3333333336049691E-2</v>
      </c>
      <c r="BL94" s="66">
        <f>Financials20263[[#This Row],[Oct AC]]-Financials20263[[#This Row],[Oct FC]]</f>
        <v>1.3333333336049691E-2</v>
      </c>
      <c r="BM94" s="66">
        <f>Financials20263[[#This Row],[Nov AC]]-Financials20263[[#This Row],[Nov FC]]</f>
        <v>1.3333333336049691E-2</v>
      </c>
      <c r="BN94" s="66">
        <f>Financials20263[[#This Row],[Dec AC]]-Financials20263[[#This Row],[Dec FC]]</f>
        <v>1.3333333336049691E-2</v>
      </c>
      <c r="BO94" s="66">
        <f>SUM(Financials20263[[#This Row],[Jan Opp/Risk]:[Dec Opp./Risk]])</f>
        <v>9.3333333352347836E-2</v>
      </c>
      <c r="BP94" s="82" t="s">
        <v>606</v>
      </c>
      <c r="BQ94" s="44">
        <f>SUM(Financials20263[[#This Row],[Jan AC]:[Jun AC]])</f>
        <v>298956.01333333337</v>
      </c>
      <c r="BR94" s="6">
        <f t="shared" si="33"/>
        <v>0</v>
      </c>
      <c r="BS94" s="6">
        <f>Financials20263[[#This Row],[Jul-Dec FC]]+Financials20263[[#This Row],[Pending Jan-Jun]]</f>
        <v>343736</v>
      </c>
      <c r="BT94" s="6"/>
      <c r="BU94" s="6"/>
      <c r="BV94" s="6"/>
    </row>
    <row r="95" spans="1:74" hidden="1">
      <c r="A95" s="20" t="s">
        <v>320</v>
      </c>
      <c r="B95" s="19" t="s">
        <v>44</v>
      </c>
      <c r="C95" s="19" t="s">
        <v>448</v>
      </c>
      <c r="D95" s="10" t="s">
        <v>412</v>
      </c>
      <c r="E95" s="7" t="s">
        <v>412</v>
      </c>
      <c r="F95" s="3" t="s">
        <v>607</v>
      </c>
      <c r="G95" s="3" t="s">
        <v>20</v>
      </c>
      <c r="H95" s="4">
        <v>46023</v>
      </c>
      <c r="I95" s="4">
        <v>46203</v>
      </c>
      <c r="J95" s="3" t="s">
        <v>608</v>
      </c>
      <c r="K95" s="3" t="str">
        <f t="shared" si="30"/>
        <v>T&amp;M-T&amp;M</v>
      </c>
      <c r="L95" s="19" t="s">
        <v>251</v>
      </c>
      <c r="M95" s="19" t="s">
        <v>13</v>
      </c>
      <c r="N95" s="19" t="s">
        <v>415</v>
      </c>
      <c r="O95" s="19" t="s">
        <v>412</v>
      </c>
      <c r="P95" s="19" t="s">
        <v>347</v>
      </c>
      <c r="Q95" s="19" t="s">
        <v>348</v>
      </c>
      <c r="R95" s="19" t="s">
        <v>349</v>
      </c>
      <c r="S95" s="19" t="s">
        <v>350</v>
      </c>
      <c r="T95" s="5">
        <v>433000</v>
      </c>
      <c r="U95" s="15">
        <v>216000</v>
      </c>
      <c r="V95" s="15">
        <f>216000+267600</f>
        <v>483600</v>
      </c>
      <c r="W95" s="15">
        <f t="shared" si="31"/>
        <v>483600</v>
      </c>
      <c r="X95" s="15">
        <f t="shared" si="35"/>
        <v>0</v>
      </c>
      <c r="Y95" s="15">
        <f t="shared" si="32"/>
        <v>0</v>
      </c>
      <c r="Z95" s="15">
        <f>SUM(Financials20263[[#This Row],[2026 Opportunity]:[2026 Risk]])</f>
        <v>0</v>
      </c>
      <c r="AA95" s="3" t="s">
        <v>609</v>
      </c>
      <c r="AB95" s="47">
        <v>88000</v>
      </c>
      <c r="AC95" s="47">
        <v>88000</v>
      </c>
      <c r="AD95" s="47">
        <v>88000</v>
      </c>
      <c r="AE95" s="47">
        <v>88000</v>
      </c>
      <c r="AF95" s="47">
        <v>88000</v>
      </c>
      <c r="AG95" s="47">
        <v>88000</v>
      </c>
      <c r="AH95" s="47"/>
      <c r="AI95" s="47"/>
      <c r="AJ95" s="47"/>
      <c r="AK95" s="47"/>
      <c r="AL95" s="47"/>
      <c r="AM95" s="47"/>
      <c r="AN95" s="47">
        <f>SUM(Financials20263[[#This Row],[Jan FC]:[Dec FC]])</f>
        <v>528000</v>
      </c>
      <c r="AO95" s="15">
        <f>SUM(Financials20263[[#This Row],[Jul FC]:[Dec FC]])</f>
        <v>0</v>
      </c>
      <c r="AP95" s="56">
        <v>73000</v>
      </c>
      <c r="AQ95" s="56">
        <v>70200</v>
      </c>
      <c r="AR95" s="56">
        <v>87200</v>
      </c>
      <c r="AS95" s="56">
        <v>82000</v>
      </c>
      <c r="AT95" s="56">
        <v>83200</v>
      </c>
      <c r="AU95" s="56"/>
      <c r="AV95" s="56"/>
      <c r="AW95" s="56"/>
      <c r="AX95" s="56"/>
      <c r="AY95" s="56"/>
      <c r="AZ95" s="56"/>
      <c r="BA95" s="56"/>
      <c r="BB95" s="75">
        <f>SUM(Financials20263[[#This Row],[Jan AC]:[Dec AC]])</f>
        <v>395600</v>
      </c>
      <c r="BC95" s="66">
        <f>Financials20263[[#This Row],[Jan AC]]-Financials20263[[#This Row],[Jan FC]]</f>
        <v>-15000</v>
      </c>
      <c r="BD95" s="66">
        <f>Financials20263[[#This Row],[Feb AC]]-Financials20263[[#This Row],[Feb FC]]</f>
        <v>-17800</v>
      </c>
      <c r="BE95" s="66">
        <f>Financials20263[[#This Row],[Mar AC]]-Financials20263[[#This Row],[Mar FC]]</f>
        <v>-800</v>
      </c>
      <c r="BF95" s="66">
        <f>Financials20263[[#This Row],[Apr AC]]-Financials20263[[#This Row],[Apr FC]]</f>
        <v>-6000</v>
      </c>
      <c r="BG95" s="66">
        <f>Financials20263[[#This Row],[May AC]]-Financials20263[[#This Row],[May FC]]</f>
        <v>-4800</v>
      </c>
      <c r="BH95" s="66">
        <f>Financials20263[[#This Row],[Jun AC]]-Financials20263[[#This Row],[Jun FC]]</f>
        <v>-88000</v>
      </c>
      <c r="BI95" s="66">
        <f>Financials20263[[#This Row],[Jul AC]]-Financials20263[[#This Row],[Jul FC]]</f>
        <v>0</v>
      </c>
      <c r="BJ95" s="66">
        <f>Financials20263[[#This Row],[Aug AC]]-Financials20263[[#This Row],[Aug FC]]</f>
        <v>0</v>
      </c>
      <c r="BK95" s="66">
        <f>Financials20263[[#This Row],[Sep AC]]-Financials20263[[#This Row],[Sep FC]]</f>
        <v>0</v>
      </c>
      <c r="BL95" s="66">
        <f>Financials20263[[#This Row],[Oct AC]]-Financials20263[[#This Row],[Oct FC]]</f>
        <v>0</v>
      </c>
      <c r="BM95" s="66">
        <f>Financials20263[[#This Row],[Nov AC]]-Financials20263[[#This Row],[Nov FC]]</f>
        <v>0</v>
      </c>
      <c r="BN95" s="66">
        <f>Financials20263[[#This Row],[Dec AC]]-Financials20263[[#This Row],[Dec FC]]</f>
        <v>0</v>
      </c>
      <c r="BO95" s="66">
        <f>SUM(Financials20263[[#This Row],[Jan Opp/Risk]:[Dec Opp./Risk]])</f>
        <v>-132400</v>
      </c>
      <c r="BP95" s="84" t="s">
        <v>610</v>
      </c>
      <c r="BQ95" s="44">
        <f>SUM(Financials20263[[#This Row],[Jan AC]:[Jun AC]])</f>
        <v>395600</v>
      </c>
      <c r="BR95" s="6">
        <f t="shared" si="33"/>
        <v>88000</v>
      </c>
      <c r="BS95" s="6">
        <f>Financials20263[[#This Row],[Jul-Dec FC]]+Financials20263[[#This Row],[Pending Jan-Jun]]</f>
        <v>88000</v>
      </c>
      <c r="BT95" s="6"/>
      <c r="BU95" s="6"/>
      <c r="BV95" s="6"/>
    </row>
    <row r="96" spans="1:74" hidden="1">
      <c r="A96" s="20" t="s">
        <v>320</v>
      </c>
      <c r="B96" s="19" t="s">
        <v>44</v>
      </c>
      <c r="C96" s="19" t="s">
        <v>448</v>
      </c>
      <c r="D96" s="10" t="s">
        <v>611</v>
      </c>
      <c r="E96" s="7" t="s">
        <v>612</v>
      </c>
      <c r="F96" s="3" t="s">
        <v>451</v>
      </c>
      <c r="G96" s="3" t="s">
        <v>20</v>
      </c>
      <c r="H96" s="4">
        <v>46023</v>
      </c>
      <c r="I96" s="4">
        <v>46203</v>
      </c>
      <c r="J96" s="3" t="s">
        <v>613</v>
      </c>
      <c r="K96" s="3" t="str">
        <f t="shared" si="30"/>
        <v>Prj000472-Implement - Build Pipes from CORE Systems to IVP</v>
      </c>
      <c r="L96" s="19" t="s">
        <v>251</v>
      </c>
      <c r="M96" s="19" t="s">
        <v>10</v>
      </c>
      <c r="N96" s="19" t="s">
        <v>614</v>
      </c>
      <c r="O96" s="19"/>
      <c r="P96" s="19" t="s">
        <v>326</v>
      </c>
      <c r="Q96" s="19" t="s">
        <v>355</v>
      </c>
      <c r="R96" s="19" t="s">
        <v>349</v>
      </c>
      <c r="S96" s="19" t="s">
        <v>350</v>
      </c>
      <c r="T96" s="5">
        <v>1612673</v>
      </c>
      <c r="U96" s="17">
        <v>1344000</v>
      </c>
      <c r="V96" s="17">
        <f>1344000-267600-1104</f>
        <v>1075296</v>
      </c>
      <c r="W96" s="15">
        <f t="shared" si="31"/>
        <v>960000</v>
      </c>
      <c r="X96" s="15">
        <f t="shared" si="35"/>
        <v>-115296</v>
      </c>
      <c r="Y96" s="15">
        <f t="shared" si="32"/>
        <v>0</v>
      </c>
      <c r="Z96" s="15">
        <f>SUM(Financials20263[[#This Row],[2026 Opportunity]:[2026 Risk]])</f>
        <v>-115296</v>
      </c>
      <c r="AA96" s="3" t="s">
        <v>615</v>
      </c>
      <c r="AB96" s="47">
        <v>160000</v>
      </c>
      <c r="AC96" s="47">
        <v>160000</v>
      </c>
      <c r="AD96" s="47">
        <v>160000</v>
      </c>
      <c r="AE96" s="47">
        <v>160000</v>
      </c>
      <c r="AF96" s="47">
        <v>160000</v>
      </c>
      <c r="AG96" s="47">
        <v>160000</v>
      </c>
      <c r="AH96" s="47"/>
      <c r="AI96" s="47"/>
      <c r="AJ96" s="47"/>
      <c r="AK96" s="47"/>
      <c r="AL96" s="47"/>
      <c r="AM96" s="47"/>
      <c r="AN96" s="70">
        <f>SUM(Financials20263[[#This Row],[Jan FC]:[Dec FC]])</f>
        <v>960000</v>
      </c>
      <c r="AO96" s="15">
        <f>SUM(Financials20263[[#This Row],[Jul FC]:[Dec FC]])</f>
        <v>0</v>
      </c>
      <c r="AP96" s="56">
        <v>160000</v>
      </c>
      <c r="AQ96" s="56">
        <v>160000</v>
      </c>
      <c r="AR96" s="56">
        <v>160000</v>
      </c>
      <c r="AS96" s="56">
        <v>160000</v>
      </c>
      <c r="AT96" s="56">
        <v>160000</v>
      </c>
      <c r="AU96" s="56">
        <v>160000</v>
      </c>
      <c r="AV96" s="56"/>
      <c r="AW96" s="56"/>
      <c r="AX96" s="56"/>
      <c r="AY96" s="56"/>
      <c r="AZ96" s="56"/>
      <c r="BA96" s="56"/>
      <c r="BB96" s="75">
        <f>SUM(Financials20263[[#This Row],[Jan AC]:[Dec AC]])</f>
        <v>960000</v>
      </c>
      <c r="BC96" s="66">
        <f>Financials20263[[#This Row],[Jan AC]]-Financials20263[[#This Row],[Jan FC]]</f>
        <v>0</v>
      </c>
      <c r="BD96" s="66">
        <f>Financials20263[[#This Row],[Feb AC]]-Financials20263[[#This Row],[Feb FC]]</f>
        <v>0</v>
      </c>
      <c r="BE96" s="66">
        <f>Financials20263[[#This Row],[Mar AC]]-Financials20263[[#This Row],[Mar FC]]</f>
        <v>0</v>
      </c>
      <c r="BF96" s="66">
        <f>Financials20263[[#This Row],[Apr AC]]-Financials20263[[#This Row],[Apr FC]]</f>
        <v>0</v>
      </c>
      <c r="BG96" s="66">
        <f>Financials20263[[#This Row],[May AC]]-Financials20263[[#This Row],[May FC]]</f>
        <v>0</v>
      </c>
      <c r="BH96" s="66">
        <f>Financials20263[[#This Row],[Jun AC]]-Financials20263[[#This Row],[Jun FC]]</f>
        <v>0</v>
      </c>
      <c r="BI96" s="66">
        <f>Financials20263[[#This Row],[Jul AC]]-Financials20263[[#This Row],[Jul FC]]</f>
        <v>0</v>
      </c>
      <c r="BJ96" s="66">
        <f>Financials20263[[#This Row],[Aug AC]]-Financials20263[[#This Row],[Aug FC]]</f>
        <v>0</v>
      </c>
      <c r="BK96" s="66">
        <f>Financials20263[[#This Row],[Sep AC]]-Financials20263[[#This Row],[Sep FC]]</f>
        <v>0</v>
      </c>
      <c r="BL96" s="66">
        <f>Financials20263[[#This Row],[Oct AC]]-Financials20263[[#This Row],[Oct FC]]</f>
        <v>0</v>
      </c>
      <c r="BM96" s="66">
        <f>Financials20263[[#This Row],[Nov AC]]-Financials20263[[#This Row],[Nov FC]]</f>
        <v>0</v>
      </c>
      <c r="BN96" s="66">
        <f>Financials20263[[#This Row],[Dec AC]]-Financials20263[[#This Row],[Dec FC]]</f>
        <v>0</v>
      </c>
      <c r="BO96" s="66">
        <f>SUM(Financials20263[[#This Row],[Jan Opp/Risk]:[Dec Opp./Risk]])</f>
        <v>0</v>
      </c>
      <c r="BP96" s="82" t="s">
        <v>377</v>
      </c>
      <c r="BQ96" s="44">
        <f>SUM(Financials20263[[#This Row],[Jan AC]:[Jun AC]])</f>
        <v>960000</v>
      </c>
      <c r="BR96" s="6">
        <f t="shared" si="33"/>
        <v>0</v>
      </c>
      <c r="BS96" s="6">
        <f>Financials20263[[#This Row],[Jul-Dec FC]]+Financials20263[[#This Row],[Pending Jan-Jun]]</f>
        <v>0</v>
      </c>
      <c r="BT96" s="6" t="s">
        <v>616</v>
      </c>
      <c r="BU96" s="6"/>
      <c r="BV96" s="6"/>
    </row>
    <row r="97" spans="1:74" hidden="1">
      <c r="A97" s="20" t="s">
        <v>320</v>
      </c>
      <c r="B97" s="19" t="s">
        <v>192</v>
      </c>
      <c r="C97" s="19" t="s">
        <v>353</v>
      </c>
      <c r="D97" s="10" t="s">
        <v>322</v>
      </c>
      <c r="E97" s="7" t="s">
        <v>323</v>
      </c>
      <c r="F97" s="3" t="s">
        <v>324</v>
      </c>
      <c r="G97" s="3" t="s">
        <v>21</v>
      </c>
      <c r="H97" s="4" t="s">
        <v>336</v>
      </c>
      <c r="I97" s="4" t="s">
        <v>336</v>
      </c>
      <c r="J97" s="3"/>
      <c r="K97" s="3" t="str">
        <f t="shared" si="30"/>
        <v>Prj000350-Support - Infrastructure for Tech</v>
      </c>
      <c r="L97" s="19" t="s">
        <v>252</v>
      </c>
      <c r="M97" s="19" t="s">
        <v>16</v>
      </c>
      <c r="N97" s="19" t="s">
        <v>16</v>
      </c>
      <c r="O97" s="19" t="s">
        <v>10</v>
      </c>
      <c r="P97" s="19" t="s">
        <v>326</v>
      </c>
      <c r="Q97" s="19" t="s">
        <v>437</v>
      </c>
      <c r="R97" s="19" t="s">
        <v>437</v>
      </c>
      <c r="S97" s="19" t="s">
        <v>354</v>
      </c>
      <c r="T97" s="5">
        <v>21255</v>
      </c>
      <c r="U97" s="15">
        <v>22318</v>
      </c>
      <c r="V97" s="15">
        <v>22318</v>
      </c>
      <c r="W97" s="15">
        <f t="shared" si="31"/>
        <v>22318</v>
      </c>
      <c r="X97" s="15">
        <f t="shared" si="35"/>
        <v>0</v>
      </c>
      <c r="Y97" s="15">
        <f t="shared" si="32"/>
        <v>0</v>
      </c>
      <c r="Z97" s="15">
        <f>SUM(Financials20263[[#This Row],[2026 Opportunity]:[2026 Risk]])</f>
        <v>0</v>
      </c>
      <c r="AA97" s="3"/>
      <c r="AB97" s="47"/>
      <c r="AC97" s="47"/>
      <c r="AD97" s="47"/>
      <c r="AE97" s="47">
        <v>22318</v>
      </c>
      <c r="AF97" s="47"/>
      <c r="AG97" s="46"/>
      <c r="AH97" s="47"/>
      <c r="AI97" s="47"/>
      <c r="AJ97" s="47"/>
      <c r="AK97" s="47"/>
      <c r="AL97" s="46"/>
      <c r="AM97" s="46"/>
      <c r="AN97" s="46">
        <f>SUM(Financials20263[[#This Row],[Jan FC]:[Dec FC]])</f>
        <v>22318</v>
      </c>
      <c r="AO97" s="15">
        <f>SUM(Financials20263[[#This Row],[Jul FC]:[Dec FC]])</f>
        <v>0</v>
      </c>
      <c r="AP97" s="56"/>
      <c r="AQ97" s="56"/>
      <c r="AR97" s="56"/>
      <c r="AS97" s="56"/>
      <c r="AT97" s="56"/>
      <c r="AU97" s="55"/>
      <c r="AV97" s="56"/>
      <c r="AW97" s="56"/>
      <c r="AX97" s="56"/>
      <c r="AY97" s="56"/>
      <c r="AZ97" s="55"/>
      <c r="BA97" s="55"/>
      <c r="BB97" s="74">
        <f>SUM(Financials20263[[#This Row],[Jan AC]:[Dec AC]])</f>
        <v>0</v>
      </c>
      <c r="BC97" s="66">
        <f>Financials20263[[#This Row],[Jan AC]]-Financials20263[[#This Row],[Jan FC]]</f>
        <v>0</v>
      </c>
      <c r="BD97" s="66">
        <f>Financials20263[[#This Row],[Feb AC]]-Financials20263[[#This Row],[Feb FC]]</f>
        <v>0</v>
      </c>
      <c r="BE97" s="66">
        <f>Financials20263[[#This Row],[Mar AC]]-Financials20263[[#This Row],[Mar FC]]</f>
        <v>0</v>
      </c>
      <c r="BF97" s="66">
        <f>Financials20263[[#This Row],[Apr AC]]-Financials20263[[#This Row],[Apr FC]]</f>
        <v>-22318</v>
      </c>
      <c r="BG97" s="66">
        <f>Financials20263[[#This Row],[May AC]]-Financials20263[[#This Row],[May FC]]</f>
        <v>0</v>
      </c>
      <c r="BH97" s="66">
        <f>Financials20263[[#This Row],[Jun AC]]-Financials20263[[#This Row],[Jun FC]]</f>
        <v>0</v>
      </c>
      <c r="BI97" s="66">
        <f>Financials20263[[#This Row],[Jul AC]]-Financials20263[[#This Row],[Jul FC]]</f>
        <v>0</v>
      </c>
      <c r="BJ97" s="66">
        <f>Financials20263[[#This Row],[Aug AC]]-Financials20263[[#This Row],[Aug FC]]</f>
        <v>0</v>
      </c>
      <c r="BK97" s="66">
        <f>Financials20263[[#This Row],[Sep AC]]-Financials20263[[#This Row],[Sep FC]]</f>
        <v>0</v>
      </c>
      <c r="BL97" s="66">
        <f>Financials20263[[#This Row],[Oct AC]]-Financials20263[[#This Row],[Oct FC]]</f>
        <v>0</v>
      </c>
      <c r="BM97" s="66">
        <f>Financials20263[[#This Row],[Nov AC]]-Financials20263[[#This Row],[Nov FC]]</f>
        <v>0</v>
      </c>
      <c r="BN97" s="66">
        <f>Financials20263[[#This Row],[Dec AC]]-Financials20263[[#This Row],[Dec FC]]</f>
        <v>0</v>
      </c>
      <c r="BO97" s="66">
        <f>SUM(Financials20263[[#This Row],[Jan Opp/Risk]:[Dec Opp./Risk]])</f>
        <v>-22318</v>
      </c>
      <c r="BP97" s="82"/>
      <c r="BQ97" s="44">
        <f>SUM(Financials20263[[#This Row],[Jan AC]:[Jun AC]])</f>
        <v>0</v>
      </c>
      <c r="BR97" s="6">
        <f t="shared" si="33"/>
        <v>22318</v>
      </c>
      <c r="BS97" s="6">
        <f>Financials20263[[#This Row],[Jul-Dec FC]]+Financials20263[[#This Row],[Pending Jan-Jun]]</f>
        <v>22318</v>
      </c>
      <c r="BT97" s="6"/>
      <c r="BU97" s="6"/>
      <c r="BV97" s="6"/>
    </row>
    <row r="98" spans="1:74" hidden="1">
      <c r="A98" s="20" t="s">
        <v>320</v>
      </c>
      <c r="B98" s="19" t="s">
        <v>115</v>
      </c>
      <c r="C98" s="19" t="s">
        <v>617</v>
      </c>
      <c r="D98" s="10" t="s">
        <v>412</v>
      </c>
      <c r="E98" s="7" t="s">
        <v>412</v>
      </c>
      <c r="F98" s="3" t="s">
        <v>607</v>
      </c>
      <c r="G98" s="3" t="s">
        <v>20</v>
      </c>
      <c r="H98" s="4">
        <v>46023</v>
      </c>
      <c r="I98" s="4">
        <v>46203</v>
      </c>
      <c r="J98" s="3" t="s">
        <v>412</v>
      </c>
      <c r="K98" s="3" t="str">
        <f t="shared" si="30"/>
        <v>T&amp;M-T&amp;M</v>
      </c>
      <c r="L98" s="19" t="s">
        <v>251</v>
      </c>
      <c r="M98" s="19" t="s">
        <v>13</v>
      </c>
      <c r="N98" s="19" t="s">
        <v>618</v>
      </c>
      <c r="O98" s="19" t="s">
        <v>412</v>
      </c>
      <c r="P98" s="19" t="s">
        <v>619</v>
      </c>
      <c r="Q98" s="19" t="s">
        <v>620</v>
      </c>
      <c r="R98" s="19" t="s">
        <v>368</v>
      </c>
      <c r="S98" s="19" t="s">
        <v>350</v>
      </c>
      <c r="T98" s="5">
        <v>1877896</v>
      </c>
      <c r="U98" s="15">
        <v>932960</v>
      </c>
      <c r="V98" s="15">
        <v>940800</v>
      </c>
      <c r="W98" s="15">
        <f t="shared" ref="W98:W129" si="44">AO98+IF(ISBLANK(AP98),AB98,AP98)+IF(ISBLANK(AQ98),AC98,AQ98)+IF(ISBLANK(AR98),AD98,AR98)+IF(ISBLANK(AS98),AE98,AS98)+IF(ISBLANK(AT98),AF98,AT98)+IF(ISBLANK(AU98),AG98,AU98)</f>
        <v>823464</v>
      </c>
      <c r="X98" s="15">
        <f t="shared" si="35"/>
        <v>-117336</v>
      </c>
      <c r="Y98" s="15">
        <f t="shared" si="32"/>
        <v>0</v>
      </c>
      <c r="Z98" s="15">
        <f>SUM(Financials20263[[#This Row],[2026 Opportunity]:[2026 Risk]])</f>
        <v>-117336</v>
      </c>
      <c r="AA98" s="3" t="s">
        <v>621</v>
      </c>
      <c r="AB98" s="47">
        <f>940800/6</f>
        <v>156800</v>
      </c>
      <c r="AC98" s="47">
        <f t="shared" ref="AC98:AG98" si="45">940800/6</f>
        <v>156800</v>
      </c>
      <c r="AD98" s="47">
        <f t="shared" si="45"/>
        <v>156800</v>
      </c>
      <c r="AE98" s="47">
        <f t="shared" si="45"/>
        <v>156800</v>
      </c>
      <c r="AF98" s="47">
        <f t="shared" si="45"/>
        <v>156800</v>
      </c>
      <c r="AG98" s="47">
        <f t="shared" si="45"/>
        <v>156800</v>
      </c>
      <c r="AH98" s="47"/>
      <c r="AI98" s="47"/>
      <c r="AJ98" s="47"/>
      <c r="AK98" s="47"/>
      <c r="AL98" s="47"/>
      <c r="AM98" s="47"/>
      <c r="AN98" s="47">
        <f>SUM(Financials20263[[#This Row],[Jan FC]:[Dec FC]])</f>
        <v>940800</v>
      </c>
      <c r="AO98" s="15">
        <f>SUM(Financials20263[[#This Row],[Jul FC]:[Dec FC]])</f>
        <v>0</v>
      </c>
      <c r="AP98" s="57">
        <v>153008</v>
      </c>
      <c r="AQ98" s="57">
        <v>138848</v>
      </c>
      <c r="AR98" s="56">
        <v>154496</v>
      </c>
      <c r="AS98" s="56">
        <f>163758+1580</f>
        <v>165338</v>
      </c>
      <c r="AT98" s="56">
        <v>108758</v>
      </c>
      <c r="AU98" s="56">
        <v>103016</v>
      </c>
      <c r="AV98" s="56"/>
      <c r="AW98" s="56"/>
      <c r="AX98" s="56"/>
      <c r="AY98" s="56"/>
      <c r="AZ98" s="56"/>
      <c r="BA98" s="56"/>
      <c r="BB98" s="75">
        <f>SUM(Financials20263[[#This Row],[Jan AC]:[Dec AC]])</f>
        <v>823464</v>
      </c>
      <c r="BC98" s="66">
        <f>Financials20263[[#This Row],[Jan AC]]-Financials20263[[#This Row],[Jan FC]]</f>
        <v>-3792</v>
      </c>
      <c r="BD98" s="66">
        <f>Financials20263[[#This Row],[Feb AC]]-Financials20263[[#This Row],[Feb FC]]</f>
        <v>-17952</v>
      </c>
      <c r="BE98" s="66">
        <f>Financials20263[[#This Row],[Mar AC]]-Financials20263[[#This Row],[Mar FC]]</f>
        <v>-2304</v>
      </c>
      <c r="BF98" s="66">
        <f>Financials20263[[#This Row],[Apr AC]]-Financials20263[[#This Row],[Apr FC]]</f>
        <v>8538</v>
      </c>
      <c r="BG98" s="66">
        <f>Financials20263[[#This Row],[May AC]]-Financials20263[[#This Row],[May FC]]</f>
        <v>-48042</v>
      </c>
      <c r="BH98" s="66">
        <f>Financials20263[[#This Row],[Jun AC]]-Financials20263[[#This Row],[Jun FC]]</f>
        <v>-53784</v>
      </c>
      <c r="BI98" s="66">
        <f>Financials20263[[#This Row],[Jul AC]]-Financials20263[[#This Row],[Jul FC]]</f>
        <v>0</v>
      </c>
      <c r="BJ98" s="66">
        <f>Financials20263[[#This Row],[Aug AC]]-Financials20263[[#This Row],[Aug FC]]</f>
        <v>0</v>
      </c>
      <c r="BK98" s="66">
        <f>Financials20263[[#This Row],[Sep AC]]-Financials20263[[#This Row],[Sep FC]]</f>
        <v>0</v>
      </c>
      <c r="BL98" s="66">
        <f>Financials20263[[#This Row],[Oct AC]]-Financials20263[[#This Row],[Oct FC]]</f>
        <v>0</v>
      </c>
      <c r="BM98" s="66">
        <f>Financials20263[[#This Row],[Nov AC]]-Financials20263[[#This Row],[Nov FC]]</f>
        <v>0</v>
      </c>
      <c r="BN98" s="66">
        <f>Financials20263[[#This Row],[Dec AC]]-Financials20263[[#This Row],[Dec FC]]</f>
        <v>0</v>
      </c>
      <c r="BO98" s="66">
        <f>SUM(Financials20263[[#This Row],[Jan Opp/Risk]:[Dec Opp./Risk]])</f>
        <v>-117336</v>
      </c>
      <c r="BP98" s="84" t="s">
        <v>416</v>
      </c>
      <c r="BQ98" s="44">
        <f>SUM(Financials20263[[#This Row],[Jan AC]:[Jun AC]])</f>
        <v>823464</v>
      </c>
      <c r="BR98" s="6">
        <f t="shared" ref="BR98:BR129" si="46">IF(OR(AP98="",AP98=0),AB98,0)+IF(OR(AQ98="",AQ98=0),AC98,0)+IF(OR(AR98="",AR98=0),AD98,0)+IF(OR(AS98="",AS98=0),AE98,0)+IF(OR(AT98="",AT98=0),AF98,0)+IF(OR(AU98="",AU98=0),AG98,0)</f>
        <v>0</v>
      </c>
      <c r="BS98" s="6">
        <f>Financials20263[[#This Row],[Jul-Dec FC]]+Financials20263[[#This Row],[Pending Jan-Jun]]</f>
        <v>0</v>
      </c>
      <c r="BT98" s="6"/>
      <c r="BU98" s="6"/>
      <c r="BV98" s="6"/>
    </row>
    <row r="99" spans="1:74" hidden="1">
      <c r="A99" s="20" t="s">
        <v>320</v>
      </c>
      <c r="B99" s="19" t="s">
        <v>242</v>
      </c>
      <c r="C99" s="19"/>
      <c r="D99" s="10" t="s">
        <v>459</v>
      </c>
      <c r="E99" s="7" t="s">
        <v>460</v>
      </c>
      <c r="F99" s="3" t="s">
        <v>335</v>
      </c>
      <c r="G99" s="3" t="s">
        <v>25</v>
      </c>
      <c r="H99" s="4">
        <v>45901</v>
      </c>
      <c r="I99" s="4">
        <v>46265</v>
      </c>
      <c r="J99" s="3"/>
      <c r="K99" s="3" t="str">
        <f t="shared" si="30"/>
        <v>Prj000446-Implement - Minor Enhancements for Enterprise Apps</v>
      </c>
      <c r="L99" s="19" t="s">
        <v>252</v>
      </c>
      <c r="M99" s="19" t="s">
        <v>16</v>
      </c>
      <c r="N99" s="19" t="s">
        <v>16</v>
      </c>
      <c r="O99" s="19" t="s">
        <v>10</v>
      </c>
      <c r="P99" s="19" t="s">
        <v>326</v>
      </c>
      <c r="Q99" s="19" t="s">
        <v>327</v>
      </c>
      <c r="R99" s="19" t="s">
        <v>368</v>
      </c>
      <c r="S99" s="19" t="s">
        <v>328</v>
      </c>
      <c r="T99" s="5">
        <v>56980</v>
      </c>
      <c r="U99" s="15">
        <v>139031.20000000001</v>
      </c>
      <c r="V99" s="15">
        <v>139031.20000000001</v>
      </c>
      <c r="W99" s="15">
        <f t="shared" si="44"/>
        <v>139031.66666666669</v>
      </c>
      <c r="X99" s="15">
        <f t="shared" si="35"/>
        <v>0</v>
      </c>
      <c r="Y99" s="15">
        <f t="shared" si="32"/>
        <v>0.46666666667442769</v>
      </c>
      <c r="Z99" s="15">
        <f>SUM(Financials20263[[#This Row],[2026 Opportunity]:[2026 Risk]])</f>
        <v>0.46666666667442769</v>
      </c>
      <c r="AA99" s="3" t="s">
        <v>622</v>
      </c>
      <c r="AB99" s="47">
        <v>11396</v>
      </c>
      <c r="AC99" s="47">
        <v>11396</v>
      </c>
      <c r="AD99" s="47">
        <v>11396</v>
      </c>
      <c r="AE99" s="47">
        <v>11396</v>
      </c>
      <c r="AF99" s="47">
        <v>11396</v>
      </c>
      <c r="AG99" s="47">
        <v>11396</v>
      </c>
      <c r="AH99" s="47">
        <v>11396</v>
      </c>
      <c r="AI99" s="47">
        <f>139031.2/12</f>
        <v>11585.933333333334</v>
      </c>
      <c r="AJ99" s="47">
        <f>AI99</f>
        <v>11585.933333333334</v>
      </c>
      <c r="AK99" s="47">
        <f>AJ99</f>
        <v>11585.933333333334</v>
      </c>
      <c r="AL99" s="47">
        <f>AK99</f>
        <v>11585.933333333334</v>
      </c>
      <c r="AM99" s="43">
        <f>AL99+1330</f>
        <v>12915.933333333334</v>
      </c>
      <c r="AN99" s="47">
        <f>SUM(Financials20263[[#This Row],[Jan FC]:[Dec FC]])</f>
        <v>139031.66666666669</v>
      </c>
      <c r="AO99" s="15">
        <f>SUM(Financials20263[[#This Row],[Jul FC]:[Dec FC]])</f>
        <v>70655.666666666672</v>
      </c>
      <c r="AP99" s="56">
        <f t="shared" ref="AP99:AV99" si="47">136752/12</f>
        <v>11396</v>
      </c>
      <c r="AQ99" s="56">
        <f t="shared" si="47"/>
        <v>11396</v>
      </c>
      <c r="AR99" s="56">
        <f t="shared" si="47"/>
        <v>11396</v>
      </c>
      <c r="AS99" s="56">
        <f t="shared" si="47"/>
        <v>11396</v>
      </c>
      <c r="AT99" s="56">
        <f t="shared" si="47"/>
        <v>11396</v>
      </c>
      <c r="AU99" s="56">
        <f t="shared" si="47"/>
        <v>11396</v>
      </c>
      <c r="AV99" s="56">
        <f t="shared" si="47"/>
        <v>11396</v>
      </c>
      <c r="AW99" s="56"/>
      <c r="AX99" s="56"/>
      <c r="AY99" s="56"/>
      <c r="AZ99" s="56"/>
      <c r="BA99" s="56"/>
      <c r="BB99" s="75">
        <f>SUM(Financials20263[[#This Row],[Jan AC]:[Dec AC]])</f>
        <v>79772</v>
      </c>
      <c r="BC99" s="66">
        <f>Financials20263[[#This Row],[Jan AC]]-Financials20263[[#This Row],[Jan FC]]</f>
        <v>0</v>
      </c>
      <c r="BD99" s="66">
        <f>Financials20263[[#This Row],[Feb AC]]-Financials20263[[#This Row],[Feb FC]]</f>
        <v>0</v>
      </c>
      <c r="BE99" s="66">
        <f>Financials20263[[#This Row],[Mar AC]]-Financials20263[[#This Row],[Mar FC]]</f>
        <v>0</v>
      </c>
      <c r="BF99" s="66">
        <f>Financials20263[[#This Row],[Apr AC]]-Financials20263[[#This Row],[Apr FC]]</f>
        <v>0</v>
      </c>
      <c r="BG99" s="66">
        <f>Financials20263[[#This Row],[May AC]]-Financials20263[[#This Row],[May FC]]</f>
        <v>0</v>
      </c>
      <c r="BH99" s="66">
        <f>Financials20263[[#This Row],[Jun AC]]-Financials20263[[#This Row],[Jun FC]]</f>
        <v>0</v>
      </c>
      <c r="BI99" s="66">
        <f>Financials20263[[#This Row],[Jul AC]]-Financials20263[[#This Row],[Jul FC]]</f>
        <v>0</v>
      </c>
      <c r="BJ99" s="66">
        <f>Financials20263[[#This Row],[Aug AC]]-Financials20263[[#This Row],[Aug FC]]</f>
        <v>-11585.933333333334</v>
      </c>
      <c r="BK99" s="66">
        <f>Financials20263[[#This Row],[Sep AC]]-Financials20263[[#This Row],[Sep FC]]</f>
        <v>-11585.933333333334</v>
      </c>
      <c r="BL99" s="66">
        <f>Financials20263[[#This Row],[Oct AC]]-Financials20263[[#This Row],[Oct FC]]</f>
        <v>-11585.933333333334</v>
      </c>
      <c r="BM99" s="66">
        <f>Financials20263[[#This Row],[Nov AC]]-Financials20263[[#This Row],[Nov FC]]</f>
        <v>-11585.933333333334</v>
      </c>
      <c r="BN99" s="66">
        <f>Financials20263[[#This Row],[Dec AC]]-Financials20263[[#This Row],[Dec FC]]</f>
        <v>-12915.933333333334</v>
      </c>
      <c r="BO99" s="66">
        <f>SUM(Financials20263[[#This Row],[Jan Opp/Risk]:[Dec Opp./Risk]])</f>
        <v>-59259.666666666672</v>
      </c>
      <c r="BP99" s="82" t="s">
        <v>377</v>
      </c>
      <c r="BQ99" s="44">
        <f>SUM(Financials20263[[#This Row],[Jan AC]:[Jun AC]])</f>
        <v>68376</v>
      </c>
      <c r="BR99" s="6">
        <f t="shared" si="46"/>
        <v>0</v>
      </c>
      <c r="BS99" s="6">
        <f>Financials20263[[#This Row],[Jul-Dec FC]]+Financials20263[[#This Row],[Pending Jan-Jun]]</f>
        <v>70655.666666666672</v>
      </c>
      <c r="BT99" s="6"/>
      <c r="BU99" s="6"/>
      <c r="BV99" s="6"/>
    </row>
    <row r="100" spans="1:74" hidden="1">
      <c r="A100" s="20" t="s">
        <v>623</v>
      </c>
      <c r="B100" s="19" t="s">
        <v>624</v>
      </c>
      <c r="C100" s="19"/>
      <c r="D100" s="3" t="s">
        <v>26</v>
      </c>
      <c r="E100" s="3" t="s">
        <v>26</v>
      </c>
      <c r="F100" s="3" t="s">
        <v>26</v>
      </c>
      <c r="G100" s="3" t="s">
        <v>26</v>
      </c>
      <c r="H100" s="4"/>
      <c r="I100" s="4"/>
      <c r="J100" s="3"/>
      <c r="K100" s="3" t="str">
        <f t="shared" si="30"/>
        <v>N/A-N/A</v>
      </c>
      <c r="L100" s="19" t="s">
        <v>623</v>
      </c>
      <c r="M100" s="19" t="s">
        <v>623</v>
      </c>
      <c r="N100" s="19" t="s">
        <v>625</v>
      </c>
      <c r="O100" s="19" t="s">
        <v>626</v>
      </c>
      <c r="P100" s="19" t="s">
        <v>619</v>
      </c>
      <c r="Q100" s="19" t="s">
        <v>620</v>
      </c>
      <c r="R100" s="19" t="s">
        <v>368</v>
      </c>
      <c r="S100" s="19" t="s">
        <v>623</v>
      </c>
      <c r="T100" s="5">
        <v>-3700000</v>
      </c>
      <c r="U100" s="15">
        <v>-4000000</v>
      </c>
      <c r="V100" s="15">
        <v>-4000000</v>
      </c>
      <c r="W100" s="15">
        <f t="shared" si="44"/>
        <v>-4000000.0000000005</v>
      </c>
      <c r="X100" s="15">
        <f t="shared" si="35"/>
        <v>-4.6566128730773926E-10</v>
      </c>
      <c r="Y100" s="15">
        <f t="shared" si="32"/>
        <v>0</v>
      </c>
      <c r="Z100" s="15">
        <f>SUM(Financials20263[[#This Row],[2026 Opportunity]:[2026 Risk]])</f>
        <v>-4.6566128730773926E-10</v>
      </c>
      <c r="AA100" s="3" t="s">
        <v>627</v>
      </c>
      <c r="AB100" s="47">
        <f t="shared" ref="AB100:BA100" si="48">-4000000/12</f>
        <v>-333333.33333333331</v>
      </c>
      <c r="AC100" s="47">
        <f t="shared" si="48"/>
        <v>-333333.33333333331</v>
      </c>
      <c r="AD100" s="47">
        <f t="shared" si="48"/>
        <v>-333333.33333333331</v>
      </c>
      <c r="AE100" s="47">
        <f t="shared" si="48"/>
        <v>-333333.33333333331</v>
      </c>
      <c r="AF100" s="47">
        <f t="shared" si="48"/>
        <v>-333333.33333333331</v>
      </c>
      <c r="AG100" s="47">
        <f t="shared" si="48"/>
        <v>-333333.33333333331</v>
      </c>
      <c r="AH100" s="47">
        <f t="shared" si="48"/>
        <v>-333333.33333333331</v>
      </c>
      <c r="AI100" s="47">
        <f t="shared" si="48"/>
        <v>-333333.33333333331</v>
      </c>
      <c r="AJ100" s="47">
        <f t="shared" si="48"/>
        <v>-333333.33333333331</v>
      </c>
      <c r="AK100" s="47">
        <f t="shared" si="48"/>
        <v>-333333.33333333331</v>
      </c>
      <c r="AL100" s="47">
        <f t="shared" si="48"/>
        <v>-333333.33333333331</v>
      </c>
      <c r="AM100" s="47">
        <f t="shared" si="48"/>
        <v>-333333.33333333331</v>
      </c>
      <c r="AN100" s="47">
        <f>SUM(Financials20263[[#This Row],[Jan FC]:[Dec FC]])</f>
        <v>-4000000.0000000005</v>
      </c>
      <c r="AO100" s="15">
        <f>SUM(Financials20263[[#This Row],[Jul FC]:[Dec FC]])</f>
        <v>-1999999.9999999998</v>
      </c>
      <c r="AP100" s="56">
        <f t="shared" si="48"/>
        <v>-333333.33333333331</v>
      </c>
      <c r="AQ100" s="56">
        <f t="shared" si="48"/>
        <v>-333333.33333333331</v>
      </c>
      <c r="AR100" s="56">
        <f t="shared" si="48"/>
        <v>-333333.33333333331</v>
      </c>
      <c r="AS100" s="56">
        <f t="shared" si="48"/>
        <v>-333333.33333333331</v>
      </c>
      <c r="AT100" s="56">
        <f t="shared" si="48"/>
        <v>-333333.33333333331</v>
      </c>
      <c r="AU100" s="56">
        <f t="shared" si="48"/>
        <v>-333333.33333333331</v>
      </c>
      <c r="AV100" s="56">
        <f t="shared" si="48"/>
        <v>-333333.33333333331</v>
      </c>
      <c r="AW100" s="56">
        <f t="shared" si="48"/>
        <v>-333333.33333333331</v>
      </c>
      <c r="AX100" s="56">
        <f t="shared" si="48"/>
        <v>-333333.33333333331</v>
      </c>
      <c r="AY100" s="56">
        <f t="shared" si="48"/>
        <v>-333333.33333333331</v>
      </c>
      <c r="AZ100" s="56">
        <f t="shared" si="48"/>
        <v>-333333.33333333331</v>
      </c>
      <c r="BA100" s="56">
        <f t="shared" si="48"/>
        <v>-333333.33333333331</v>
      </c>
      <c r="BB100" s="75">
        <f>SUM(Financials20263[[#This Row],[Jan AC]:[Dec AC]])</f>
        <v>-4000000.0000000005</v>
      </c>
      <c r="BC100" s="66">
        <f>Financials20263[[#This Row],[Jan AC]]-Financials20263[[#This Row],[Jan FC]]</f>
        <v>0</v>
      </c>
      <c r="BD100" s="66">
        <f>Financials20263[[#This Row],[Feb AC]]-Financials20263[[#This Row],[Feb FC]]</f>
        <v>0</v>
      </c>
      <c r="BE100" s="66">
        <f>Financials20263[[#This Row],[Mar AC]]-Financials20263[[#This Row],[Mar FC]]</f>
        <v>0</v>
      </c>
      <c r="BF100" s="66">
        <f>Financials20263[[#This Row],[Apr AC]]-Financials20263[[#This Row],[Apr FC]]</f>
        <v>0</v>
      </c>
      <c r="BG100" s="66">
        <f>Financials20263[[#This Row],[May AC]]-Financials20263[[#This Row],[May FC]]</f>
        <v>0</v>
      </c>
      <c r="BH100" s="66">
        <f>Financials20263[[#This Row],[Jun AC]]-Financials20263[[#This Row],[Jun FC]]</f>
        <v>0</v>
      </c>
      <c r="BI100" s="66">
        <f>Financials20263[[#This Row],[Jul AC]]-Financials20263[[#This Row],[Jul FC]]</f>
        <v>0</v>
      </c>
      <c r="BJ100" s="66">
        <f>Financials20263[[#This Row],[Aug AC]]-Financials20263[[#This Row],[Aug FC]]</f>
        <v>0</v>
      </c>
      <c r="BK100" s="66">
        <f>Financials20263[[#This Row],[Sep AC]]-Financials20263[[#This Row],[Sep FC]]</f>
        <v>0</v>
      </c>
      <c r="BL100" s="66">
        <f>Financials20263[[#This Row],[Oct AC]]-Financials20263[[#This Row],[Oct FC]]</f>
        <v>0</v>
      </c>
      <c r="BM100" s="66">
        <f>Financials20263[[#This Row],[Nov AC]]-Financials20263[[#This Row],[Nov FC]]</f>
        <v>0</v>
      </c>
      <c r="BN100" s="66">
        <f>Financials20263[[#This Row],[Dec AC]]-Financials20263[[#This Row],[Dec FC]]</f>
        <v>0</v>
      </c>
      <c r="BO100" s="66">
        <f>SUM(Financials20263[[#This Row],[Jan Opp/Risk]:[Dec Opp./Risk]])</f>
        <v>0</v>
      </c>
      <c r="BP100" s="82" t="s">
        <v>628</v>
      </c>
      <c r="BQ100" s="44">
        <f>SUM(Financials20263[[#This Row],[Jan AC]:[Jun AC]])</f>
        <v>-1999999.9999999998</v>
      </c>
      <c r="BR100" s="6">
        <f t="shared" si="46"/>
        <v>0</v>
      </c>
      <c r="BS100" s="6">
        <f>Financials20263[[#This Row],[Jul-Dec FC]]+Financials20263[[#This Row],[Pending Jan-Jun]]</f>
        <v>-1999999.9999999998</v>
      </c>
      <c r="BT100" s="6"/>
      <c r="BU100" s="6"/>
      <c r="BV100" s="6"/>
    </row>
    <row r="101" spans="1:74" hidden="1">
      <c r="A101" s="30" t="s">
        <v>629</v>
      </c>
      <c r="B101" s="30" t="s">
        <v>165</v>
      </c>
      <c r="C101" s="37"/>
      <c r="D101" s="30" t="s">
        <v>629</v>
      </c>
      <c r="E101" s="32" t="s">
        <v>26</v>
      </c>
      <c r="F101" s="32" t="s">
        <v>26</v>
      </c>
      <c r="G101" s="32" t="s">
        <v>26</v>
      </c>
      <c r="H101" s="32" t="s">
        <v>26</v>
      </c>
      <c r="I101" s="32" t="s">
        <v>26</v>
      </c>
      <c r="J101" s="32" t="s">
        <v>26</v>
      </c>
      <c r="K101" s="33" t="str">
        <f t="shared" si="30"/>
        <v>Amortization-N/A</v>
      </c>
      <c r="L101" s="31" t="s">
        <v>629</v>
      </c>
      <c r="M101" s="31" t="s">
        <v>15</v>
      </c>
      <c r="N101" s="31" t="s">
        <v>15</v>
      </c>
      <c r="O101" s="31" t="s">
        <v>629</v>
      </c>
      <c r="P101" s="31" t="s">
        <v>326</v>
      </c>
      <c r="Q101" s="31" t="s">
        <v>630</v>
      </c>
      <c r="R101" s="31" t="s">
        <v>631</v>
      </c>
      <c r="S101" s="20" t="s">
        <v>629</v>
      </c>
      <c r="T101" s="34">
        <v>534786</v>
      </c>
      <c r="U101" s="35"/>
      <c r="V101" s="35">
        <f>1244018+197929</f>
        <v>1441947</v>
      </c>
      <c r="W101" s="15">
        <f t="shared" si="44"/>
        <v>1441946.6100000003</v>
      </c>
      <c r="X101" s="15">
        <f t="shared" si="35"/>
        <v>-0.38999999966472387</v>
      </c>
      <c r="Y101" s="15">
        <f t="shared" si="32"/>
        <v>0</v>
      </c>
      <c r="Z101" s="35">
        <f>SUM(Financials20263[[#This Row],[2026 Opportunity]:[2026 Risk]])</f>
        <v>-0.38999999966472387</v>
      </c>
      <c r="AA101" s="39" t="s">
        <v>632</v>
      </c>
      <c r="AB101" s="49">
        <v>120162.21750000003</v>
      </c>
      <c r="AC101" s="49">
        <v>120162.21750000003</v>
      </c>
      <c r="AD101" s="49">
        <v>120162.21750000003</v>
      </c>
      <c r="AE101" s="49">
        <v>120162.21750000003</v>
      </c>
      <c r="AF101" s="49">
        <v>120162.21750000003</v>
      </c>
      <c r="AG101" s="49">
        <v>120162.21750000003</v>
      </c>
      <c r="AH101" s="49">
        <v>120162.21750000003</v>
      </c>
      <c r="AI101" s="49">
        <v>120162.21750000003</v>
      </c>
      <c r="AJ101" s="49">
        <v>120162.21750000003</v>
      </c>
      <c r="AK101" s="49">
        <v>120162.21750000003</v>
      </c>
      <c r="AL101" s="49">
        <v>120162.21750000003</v>
      </c>
      <c r="AM101" s="49">
        <v>120162.21750000003</v>
      </c>
      <c r="AN101" s="47">
        <f>SUM(Financials20263[[#This Row],[Jan FC]:[Dec FC]])</f>
        <v>1441946.6100000003</v>
      </c>
      <c r="AO101" s="15">
        <f>SUM(Financials20263[[#This Row],[Jul FC]:[Dec FC]])</f>
        <v>720973.30500000017</v>
      </c>
      <c r="AP101" s="58">
        <v>120162.21750000003</v>
      </c>
      <c r="AQ101" s="56">
        <v>120162.21750000003</v>
      </c>
      <c r="AR101" s="56">
        <v>120162.21750000003</v>
      </c>
      <c r="AS101" s="56">
        <v>120162.21750000003</v>
      </c>
      <c r="AT101" s="56">
        <v>120162.21750000003</v>
      </c>
      <c r="AU101" s="56">
        <v>120162.21750000003</v>
      </c>
      <c r="AV101" s="56">
        <v>120162.21750000003</v>
      </c>
      <c r="AW101" s="56">
        <v>120162.21750000003</v>
      </c>
      <c r="AX101" s="56">
        <v>120162.21750000003</v>
      </c>
      <c r="AY101" s="56">
        <v>120162.21750000003</v>
      </c>
      <c r="AZ101" s="56">
        <v>120162.21750000003</v>
      </c>
      <c r="BA101" s="56">
        <v>120162.21750000003</v>
      </c>
      <c r="BB101" s="75">
        <f>SUM(Financials20263[[#This Row],[Jan AC]:[Dec AC]])</f>
        <v>1441946.6100000003</v>
      </c>
      <c r="BC101" s="66">
        <f>Financials20263[[#This Row],[Jan AC]]-Financials20263[[#This Row],[Jan FC]]</f>
        <v>0</v>
      </c>
      <c r="BD101" s="66">
        <f>Financials20263[[#This Row],[Feb AC]]-Financials20263[[#This Row],[Feb FC]]</f>
        <v>0</v>
      </c>
      <c r="BE101" s="66">
        <f>Financials20263[[#This Row],[Mar AC]]-Financials20263[[#This Row],[Mar FC]]</f>
        <v>0</v>
      </c>
      <c r="BF101" s="66">
        <f>Financials20263[[#This Row],[Apr AC]]-Financials20263[[#This Row],[Apr FC]]</f>
        <v>0</v>
      </c>
      <c r="BG101" s="66">
        <f>Financials20263[[#This Row],[May AC]]-Financials20263[[#This Row],[May FC]]</f>
        <v>0</v>
      </c>
      <c r="BH101" s="66">
        <f>Financials20263[[#This Row],[Jun AC]]-Financials20263[[#This Row],[Jun FC]]</f>
        <v>0</v>
      </c>
      <c r="BI101" s="66">
        <f>Financials20263[[#This Row],[Jul AC]]-Financials20263[[#This Row],[Jul FC]]</f>
        <v>0</v>
      </c>
      <c r="BJ101" s="66">
        <f>Financials20263[[#This Row],[Aug AC]]-Financials20263[[#This Row],[Aug FC]]</f>
        <v>0</v>
      </c>
      <c r="BK101" s="66">
        <f>Financials20263[[#This Row],[Sep AC]]-Financials20263[[#This Row],[Sep FC]]</f>
        <v>0</v>
      </c>
      <c r="BL101" s="66">
        <f>Financials20263[[#This Row],[Oct AC]]-Financials20263[[#This Row],[Oct FC]]</f>
        <v>0</v>
      </c>
      <c r="BM101" s="66">
        <f>Financials20263[[#This Row],[Nov AC]]-Financials20263[[#This Row],[Nov FC]]</f>
        <v>0</v>
      </c>
      <c r="BN101" s="66">
        <f>Financials20263[[#This Row],[Dec AC]]-Financials20263[[#This Row],[Dec FC]]</f>
        <v>0</v>
      </c>
      <c r="BO101" s="79">
        <f>SUM(Financials20263[[#This Row],[Jan Opp/Risk]:[Dec Opp./Risk]])</f>
        <v>0</v>
      </c>
      <c r="BP101" s="87" t="s">
        <v>633</v>
      </c>
      <c r="BQ101" s="44">
        <f>SUM(Financials20263[[#This Row],[Jan AC]:[Jun AC]])</f>
        <v>720973.30500000017</v>
      </c>
      <c r="BR101" s="6">
        <f t="shared" si="46"/>
        <v>0</v>
      </c>
      <c r="BS101" s="6">
        <f>Financials20263[[#This Row],[Jul-Dec FC]]+Financials20263[[#This Row],[Pending Jan-Jun]]</f>
        <v>720973.30500000017</v>
      </c>
      <c r="BT101" s="6"/>
      <c r="BU101" s="6"/>
      <c r="BV101" s="6"/>
    </row>
    <row r="102" spans="1:74" hidden="1">
      <c r="A102" s="20" t="s">
        <v>320</v>
      </c>
      <c r="B102" s="19" t="s">
        <v>211</v>
      </c>
      <c r="C102" s="19"/>
      <c r="D102" s="10" t="s">
        <v>387</v>
      </c>
      <c r="E102" s="7" t="s">
        <v>388</v>
      </c>
      <c r="F102" s="3" t="s">
        <v>389</v>
      </c>
      <c r="G102" s="3" t="s">
        <v>22</v>
      </c>
      <c r="H102" s="4">
        <v>46048</v>
      </c>
      <c r="I102" s="4">
        <v>46412</v>
      </c>
      <c r="J102" s="3" t="s">
        <v>634</v>
      </c>
      <c r="K102" s="3" t="str">
        <f t="shared" si="30"/>
        <v>Prj000381-Support - Prod Support for Credit Apps</v>
      </c>
      <c r="L102" s="19" t="s">
        <v>252</v>
      </c>
      <c r="M102" s="19" t="s">
        <v>16</v>
      </c>
      <c r="N102" s="19" t="s">
        <v>16</v>
      </c>
      <c r="O102" s="19"/>
      <c r="P102" s="19" t="s">
        <v>326</v>
      </c>
      <c r="Q102" s="19" t="s">
        <v>327</v>
      </c>
      <c r="R102" s="19" t="s">
        <v>368</v>
      </c>
      <c r="S102" s="19" t="s">
        <v>328</v>
      </c>
      <c r="T102" s="5">
        <v>391950</v>
      </c>
      <c r="U102" s="15">
        <v>411547.5</v>
      </c>
      <c r="V102" s="15">
        <v>411547.5</v>
      </c>
      <c r="W102" s="15">
        <f t="shared" si="44"/>
        <v>544374.99999999988</v>
      </c>
      <c r="X102" s="15">
        <f t="shared" si="35"/>
        <v>0</v>
      </c>
      <c r="Y102" s="15">
        <f t="shared" si="32"/>
        <v>132827.49999999988</v>
      </c>
      <c r="Z102" s="15">
        <f>SUM(Financials20263[[#This Row],[2026 Opportunity]:[2026 Risk]])</f>
        <v>132827.49999999988</v>
      </c>
      <c r="AA102" s="3" t="s">
        <v>635</v>
      </c>
      <c r="AB102" s="47">
        <v>45364.583333333336</v>
      </c>
      <c r="AC102" s="47">
        <v>45364.583333333336</v>
      </c>
      <c r="AD102" s="47">
        <v>45364.583333333336</v>
      </c>
      <c r="AE102" s="47">
        <v>45364.583333333336</v>
      </c>
      <c r="AF102" s="47">
        <v>45364.583333333336</v>
      </c>
      <c r="AG102" s="47">
        <v>45364.583333333336</v>
      </c>
      <c r="AH102" s="47">
        <v>45364.583333333336</v>
      </c>
      <c r="AI102" s="47">
        <v>45364.583333333336</v>
      </c>
      <c r="AJ102" s="47">
        <v>45364.583333333336</v>
      </c>
      <c r="AK102" s="47">
        <v>45364.583333333336</v>
      </c>
      <c r="AL102" s="47">
        <v>45364.583333333336</v>
      </c>
      <c r="AM102" s="47">
        <v>45364.583333333336</v>
      </c>
      <c r="AN102" s="47">
        <f>SUM(Financials20263[[#This Row],[Jan FC]:[Dec FC]])</f>
        <v>544374.99999999988</v>
      </c>
      <c r="AO102" s="15">
        <f>SUM(Financials20263[[#This Row],[Jul FC]:[Dec FC]])</f>
        <v>272187.5</v>
      </c>
      <c r="AP102" s="56">
        <f>544375/12</f>
        <v>45364.583333333336</v>
      </c>
      <c r="AQ102" s="56">
        <f t="shared" ref="AQ102:BA102" si="49">544375/12</f>
        <v>45364.583333333336</v>
      </c>
      <c r="AR102" s="56">
        <f t="shared" si="49"/>
        <v>45364.583333333336</v>
      </c>
      <c r="AS102" s="56">
        <f t="shared" si="49"/>
        <v>45364.583333333336</v>
      </c>
      <c r="AT102" s="56">
        <f t="shared" si="49"/>
        <v>45364.583333333336</v>
      </c>
      <c r="AU102" s="56">
        <f t="shared" si="49"/>
        <v>45364.583333333336</v>
      </c>
      <c r="AV102" s="56">
        <f t="shared" si="49"/>
        <v>45364.583333333336</v>
      </c>
      <c r="AW102" s="56">
        <f t="shared" si="49"/>
        <v>45364.583333333336</v>
      </c>
      <c r="AX102" s="56">
        <f t="shared" si="49"/>
        <v>45364.583333333336</v>
      </c>
      <c r="AY102" s="56">
        <f t="shared" si="49"/>
        <v>45364.583333333336</v>
      </c>
      <c r="AZ102" s="56">
        <f t="shared" si="49"/>
        <v>45364.583333333336</v>
      </c>
      <c r="BA102" s="56">
        <f t="shared" si="49"/>
        <v>45364.583333333336</v>
      </c>
      <c r="BB102" s="75">
        <f>SUM(Financials20263[[#This Row],[Jan AC]:[Dec AC]])</f>
        <v>544374.99999999988</v>
      </c>
      <c r="BC102" s="66">
        <f>Financials20263[[#This Row],[Jan AC]]-Financials20263[[#This Row],[Jan FC]]</f>
        <v>0</v>
      </c>
      <c r="BD102" s="66">
        <f>Financials20263[[#This Row],[Feb AC]]-Financials20263[[#This Row],[Feb FC]]</f>
        <v>0</v>
      </c>
      <c r="BE102" s="66">
        <f>Financials20263[[#This Row],[Mar AC]]-Financials20263[[#This Row],[Mar FC]]</f>
        <v>0</v>
      </c>
      <c r="BF102" s="66">
        <f>Financials20263[[#This Row],[Apr AC]]-Financials20263[[#This Row],[Apr FC]]</f>
        <v>0</v>
      </c>
      <c r="BG102" s="66">
        <f>Financials20263[[#This Row],[May AC]]-Financials20263[[#This Row],[May FC]]</f>
        <v>0</v>
      </c>
      <c r="BH102" s="66">
        <f>Financials20263[[#This Row],[Jun AC]]-Financials20263[[#This Row],[Jun FC]]</f>
        <v>0</v>
      </c>
      <c r="BI102" s="66">
        <f>Financials20263[[#This Row],[Jul AC]]-Financials20263[[#This Row],[Jul FC]]</f>
        <v>0</v>
      </c>
      <c r="BJ102" s="66">
        <f>Financials20263[[#This Row],[Aug AC]]-Financials20263[[#This Row],[Aug FC]]</f>
        <v>0</v>
      </c>
      <c r="BK102" s="66">
        <f>Financials20263[[#This Row],[Sep AC]]-Financials20263[[#This Row],[Sep FC]]</f>
        <v>0</v>
      </c>
      <c r="BL102" s="66">
        <f>Financials20263[[#This Row],[Oct AC]]-Financials20263[[#This Row],[Oct FC]]</f>
        <v>0</v>
      </c>
      <c r="BM102" s="66">
        <f>Financials20263[[#This Row],[Nov AC]]-Financials20263[[#This Row],[Nov FC]]</f>
        <v>0</v>
      </c>
      <c r="BN102" s="66">
        <f>Financials20263[[#This Row],[Dec AC]]-Financials20263[[#This Row],[Dec FC]]</f>
        <v>0</v>
      </c>
      <c r="BO102" s="66">
        <f>SUM(Financials20263[[#This Row],[Jan Opp/Risk]:[Dec Opp./Risk]])</f>
        <v>0</v>
      </c>
      <c r="BP102" s="82" t="s">
        <v>377</v>
      </c>
      <c r="BQ102" s="44">
        <f>SUM(Financials20263[[#This Row],[Jan AC]:[Jun AC]])</f>
        <v>272187.5</v>
      </c>
      <c r="BR102" s="6">
        <f t="shared" si="46"/>
        <v>0</v>
      </c>
      <c r="BS102" s="6">
        <f>Financials20263[[#This Row],[Jul-Dec FC]]+Financials20263[[#This Row],[Pending Jan-Jun]]</f>
        <v>272187.5</v>
      </c>
      <c r="BT102" s="6"/>
      <c r="BU102" s="6"/>
      <c r="BV102" s="6"/>
    </row>
    <row r="103" spans="1:74" hidden="1">
      <c r="A103" s="20" t="s">
        <v>320</v>
      </c>
      <c r="B103" s="19" t="s">
        <v>77</v>
      </c>
      <c r="C103" s="19" t="s">
        <v>636</v>
      </c>
      <c r="D103" s="10" t="s">
        <v>322</v>
      </c>
      <c r="E103" s="7" t="s">
        <v>323</v>
      </c>
      <c r="F103" s="3" t="s">
        <v>324</v>
      </c>
      <c r="G103" s="3" t="s">
        <v>21</v>
      </c>
      <c r="H103" s="4" t="s">
        <v>367</v>
      </c>
      <c r="I103" s="4" t="s">
        <v>367</v>
      </c>
      <c r="J103" s="3"/>
      <c r="K103" s="3" t="str">
        <f t="shared" si="30"/>
        <v>Prj000350-Support - Infrastructure for Tech</v>
      </c>
      <c r="L103" s="19" t="s">
        <v>252</v>
      </c>
      <c r="M103" s="19" t="s">
        <v>12</v>
      </c>
      <c r="N103" s="19" t="s">
        <v>12</v>
      </c>
      <c r="O103" s="19" t="s">
        <v>637</v>
      </c>
      <c r="P103" s="19" t="s">
        <v>326</v>
      </c>
      <c r="Q103" s="19" t="s">
        <v>372</v>
      </c>
      <c r="R103" s="19" t="s">
        <v>372</v>
      </c>
      <c r="S103" s="19" t="s">
        <v>350</v>
      </c>
      <c r="T103" s="5">
        <v>34621</v>
      </c>
      <c r="U103" s="15">
        <v>36345</v>
      </c>
      <c r="V103" s="15">
        <v>36345</v>
      </c>
      <c r="W103" s="15">
        <f t="shared" si="44"/>
        <v>37142.130000000005</v>
      </c>
      <c r="X103" s="15">
        <f t="shared" si="35"/>
        <v>0</v>
      </c>
      <c r="Y103" s="15">
        <f t="shared" si="32"/>
        <v>797.13000000000466</v>
      </c>
      <c r="Z103" s="15">
        <f>SUM(Financials20263[[#This Row],[2026 Opportunity]:[2026 Risk]])</f>
        <v>797.13000000000466</v>
      </c>
      <c r="AA103" s="3" t="s">
        <v>638</v>
      </c>
      <c r="AB103" s="47">
        <v>3028.75</v>
      </c>
      <c r="AC103" s="47">
        <v>3028.75</v>
      </c>
      <c r="AD103" s="47">
        <v>3028.75</v>
      </c>
      <c r="AE103" s="47">
        <v>3028.75</v>
      </c>
      <c r="AF103" s="47">
        <v>3028.75</v>
      </c>
      <c r="AG103" s="47">
        <v>3028.75</v>
      </c>
      <c r="AH103" s="47">
        <v>3028.75</v>
      </c>
      <c r="AI103" s="47">
        <v>3028.75</v>
      </c>
      <c r="AJ103" s="47">
        <v>3028.75</v>
      </c>
      <c r="AK103" s="47">
        <v>3028.75</v>
      </c>
      <c r="AL103" s="47">
        <v>3028.75</v>
      </c>
      <c r="AM103" s="47">
        <v>3028.75</v>
      </c>
      <c r="AN103" s="47">
        <f>SUM(Financials20263[[#This Row],[Jan FC]:[Dec FC]])</f>
        <v>36345</v>
      </c>
      <c r="AO103" s="15">
        <f>SUM(Financials20263[[#This Row],[Jul FC]:[Dec FC]])</f>
        <v>18172.5</v>
      </c>
      <c r="AP103" s="56">
        <f>991.58+991.58+1300.24</f>
        <v>3283.4</v>
      </c>
      <c r="AQ103" s="56">
        <f>1300.24+991.58</f>
        <v>2291.8200000000002</v>
      </c>
      <c r="AR103" s="56">
        <f>528.85+1487.49+991.58+1300.24</f>
        <v>4308.16</v>
      </c>
      <c r="AS103" s="56"/>
      <c r="AT103" s="56"/>
      <c r="AU103" s="56"/>
      <c r="AV103" s="56"/>
      <c r="AW103" s="56"/>
      <c r="AX103" s="56"/>
      <c r="AY103" s="56"/>
      <c r="AZ103" s="56"/>
      <c r="BA103" s="56"/>
      <c r="BB103" s="75">
        <f>SUM(Financials20263[[#This Row],[Jan AC]:[Dec AC]])</f>
        <v>9883.380000000001</v>
      </c>
      <c r="BC103" s="66">
        <f>Financials20263[[#This Row],[Jan AC]]-Financials20263[[#This Row],[Jan FC]]</f>
        <v>254.65000000000009</v>
      </c>
      <c r="BD103" s="66">
        <f>Financials20263[[#This Row],[Feb AC]]-Financials20263[[#This Row],[Feb FC]]</f>
        <v>-736.92999999999984</v>
      </c>
      <c r="BE103" s="66">
        <f>Financials20263[[#This Row],[Mar AC]]-Financials20263[[#This Row],[Mar FC]]</f>
        <v>1279.4099999999999</v>
      </c>
      <c r="BF103" s="66">
        <f>Financials20263[[#This Row],[Apr AC]]-Financials20263[[#This Row],[Apr FC]]</f>
        <v>-3028.75</v>
      </c>
      <c r="BG103" s="66">
        <f>Financials20263[[#This Row],[May AC]]-Financials20263[[#This Row],[May FC]]</f>
        <v>-3028.75</v>
      </c>
      <c r="BH103" s="66">
        <f>Financials20263[[#This Row],[Jun AC]]-Financials20263[[#This Row],[Jun FC]]</f>
        <v>-3028.75</v>
      </c>
      <c r="BI103" s="66">
        <f>Financials20263[[#This Row],[Jul AC]]-Financials20263[[#This Row],[Jul FC]]</f>
        <v>-3028.75</v>
      </c>
      <c r="BJ103" s="66">
        <f>Financials20263[[#This Row],[Aug AC]]-Financials20263[[#This Row],[Aug FC]]</f>
        <v>-3028.75</v>
      </c>
      <c r="BK103" s="66">
        <f>Financials20263[[#This Row],[Sep AC]]-Financials20263[[#This Row],[Sep FC]]</f>
        <v>-3028.75</v>
      </c>
      <c r="BL103" s="66">
        <f>Financials20263[[#This Row],[Oct AC]]-Financials20263[[#This Row],[Oct FC]]</f>
        <v>-3028.75</v>
      </c>
      <c r="BM103" s="66">
        <f>Financials20263[[#This Row],[Nov AC]]-Financials20263[[#This Row],[Nov FC]]</f>
        <v>-3028.75</v>
      </c>
      <c r="BN103" s="66">
        <f>Financials20263[[#This Row],[Dec AC]]-Financials20263[[#This Row],[Dec FC]]</f>
        <v>-3028.75</v>
      </c>
      <c r="BO103" s="66">
        <f>SUM(Financials20263[[#This Row],[Jan Opp/Risk]:[Dec Opp./Risk]])</f>
        <v>-26461.62</v>
      </c>
      <c r="BP103" s="83" t="s">
        <v>569</v>
      </c>
      <c r="BQ103" s="44">
        <f>SUM(Financials20263[[#This Row],[Jan AC]:[Jun AC]])</f>
        <v>9883.380000000001</v>
      </c>
      <c r="BR103" s="6">
        <f t="shared" si="46"/>
        <v>9086.25</v>
      </c>
      <c r="BS103" s="6">
        <f>Financials20263[[#This Row],[Jul-Dec FC]]+Financials20263[[#This Row],[Pending Jan-Jun]]</f>
        <v>27258.75</v>
      </c>
      <c r="BT103" s="6"/>
      <c r="BU103" s="6"/>
      <c r="BV103" s="6"/>
    </row>
    <row r="104" spans="1:74" hidden="1">
      <c r="A104" s="20" t="s">
        <v>320</v>
      </c>
      <c r="B104" s="19" t="s">
        <v>79</v>
      </c>
      <c r="C104" s="19"/>
      <c r="D104" s="10" t="s">
        <v>322</v>
      </c>
      <c r="E104" s="7" t="s">
        <v>323</v>
      </c>
      <c r="F104" s="3" t="s">
        <v>324</v>
      </c>
      <c r="G104" s="3" t="s">
        <v>21</v>
      </c>
      <c r="H104" s="4" t="s">
        <v>367</v>
      </c>
      <c r="I104" s="4" t="s">
        <v>367</v>
      </c>
      <c r="J104" s="3"/>
      <c r="K104" s="3" t="str">
        <f t="shared" si="30"/>
        <v>Prj000350-Support - Infrastructure for Tech</v>
      </c>
      <c r="L104" s="19" t="s">
        <v>252</v>
      </c>
      <c r="M104" s="19" t="s">
        <v>12</v>
      </c>
      <c r="N104" s="19" t="s">
        <v>12</v>
      </c>
      <c r="O104" s="19"/>
      <c r="P104" s="19" t="s">
        <v>326</v>
      </c>
      <c r="Q104" s="19" t="s">
        <v>372</v>
      </c>
      <c r="R104" s="19" t="s">
        <v>372</v>
      </c>
      <c r="S104" s="19" t="s">
        <v>350</v>
      </c>
      <c r="T104" s="5">
        <v>4028</v>
      </c>
      <c r="U104" s="15">
        <v>4230</v>
      </c>
      <c r="V104" s="15">
        <v>4230</v>
      </c>
      <c r="W104" s="15">
        <f t="shared" si="44"/>
        <v>4335.47</v>
      </c>
      <c r="X104" s="15">
        <f t="shared" si="35"/>
        <v>0</v>
      </c>
      <c r="Y104" s="15">
        <f t="shared" si="32"/>
        <v>105.47000000000025</v>
      </c>
      <c r="Z104" s="15">
        <f>SUM(Financials20263[[#This Row],[2026 Opportunity]:[2026 Risk]])</f>
        <v>105.47000000000025</v>
      </c>
      <c r="AA104" s="3"/>
      <c r="AB104" s="47">
        <v>353</v>
      </c>
      <c r="AC104" s="47">
        <v>353</v>
      </c>
      <c r="AD104" s="47">
        <v>353</v>
      </c>
      <c r="AE104" s="47">
        <v>353</v>
      </c>
      <c r="AF104" s="47">
        <v>353</v>
      </c>
      <c r="AG104" s="47">
        <v>353</v>
      </c>
      <c r="AH104" s="47">
        <v>353</v>
      </c>
      <c r="AI104" s="47">
        <v>353</v>
      </c>
      <c r="AJ104" s="47">
        <v>353</v>
      </c>
      <c r="AK104" s="47">
        <v>353</v>
      </c>
      <c r="AL104" s="47">
        <v>353</v>
      </c>
      <c r="AM104" s="47">
        <f>353-6</f>
        <v>347</v>
      </c>
      <c r="AN104" s="70">
        <f>SUM(Financials20263[[#This Row],[Jan FC]:[Dec FC]])</f>
        <v>4230</v>
      </c>
      <c r="AO104" s="15">
        <f>SUM(Financials20263[[#This Row],[Jul FC]:[Dec FC]])</f>
        <v>2112</v>
      </c>
      <c r="AP104" s="56">
        <v>370.83</v>
      </c>
      <c r="AQ104" s="56">
        <v>375.95</v>
      </c>
      <c r="AR104" s="56">
        <v>371.55</v>
      </c>
      <c r="AS104" s="56">
        <v>371.55</v>
      </c>
      <c r="AT104" s="56">
        <v>372.33</v>
      </c>
      <c r="AU104" s="56">
        <v>361.26</v>
      </c>
      <c r="AV104" s="102">
        <v>372</v>
      </c>
      <c r="AW104" s="56"/>
      <c r="AX104" s="56"/>
      <c r="AY104" s="56"/>
      <c r="AZ104" s="56"/>
      <c r="BA104" s="56"/>
      <c r="BB104" s="75">
        <f>SUM(Financials20263[[#This Row],[Jan AC]:[Dec AC]])</f>
        <v>2595.4699999999998</v>
      </c>
      <c r="BC104" s="66">
        <f>Financials20263[[#This Row],[Jan AC]]-Financials20263[[#This Row],[Jan FC]]</f>
        <v>17.829999999999984</v>
      </c>
      <c r="BD104" s="66">
        <f>Financials20263[[#This Row],[Feb AC]]-Financials20263[[#This Row],[Feb FC]]</f>
        <v>22.949999999999989</v>
      </c>
      <c r="BE104" s="66">
        <f>Financials20263[[#This Row],[Mar AC]]-Financials20263[[#This Row],[Mar FC]]</f>
        <v>18.550000000000011</v>
      </c>
      <c r="BF104" s="66">
        <f>Financials20263[[#This Row],[Apr AC]]-Financials20263[[#This Row],[Apr FC]]</f>
        <v>18.550000000000011</v>
      </c>
      <c r="BG104" s="66">
        <f>Financials20263[[#This Row],[May AC]]-Financials20263[[#This Row],[May FC]]</f>
        <v>19.329999999999984</v>
      </c>
      <c r="BH104" s="66">
        <f>Financials20263[[#This Row],[Jun AC]]-Financials20263[[#This Row],[Jun FC]]</f>
        <v>8.2599999999999909</v>
      </c>
      <c r="BI104" s="66">
        <f>Financials20263[[#This Row],[Jul AC]]-Financials20263[[#This Row],[Jul FC]]</f>
        <v>19</v>
      </c>
      <c r="BJ104" s="66">
        <f>Financials20263[[#This Row],[Aug AC]]-Financials20263[[#This Row],[Aug FC]]</f>
        <v>-353</v>
      </c>
      <c r="BK104" s="66">
        <f>Financials20263[[#This Row],[Sep AC]]-Financials20263[[#This Row],[Sep FC]]</f>
        <v>-353</v>
      </c>
      <c r="BL104" s="66">
        <f>Financials20263[[#This Row],[Oct AC]]-Financials20263[[#This Row],[Oct FC]]</f>
        <v>-353</v>
      </c>
      <c r="BM104" s="66">
        <f>Financials20263[[#This Row],[Nov AC]]-Financials20263[[#This Row],[Nov FC]]</f>
        <v>-353</v>
      </c>
      <c r="BN104" s="66">
        <f>Financials20263[[#This Row],[Dec AC]]-Financials20263[[#This Row],[Dec FC]]</f>
        <v>-347</v>
      </c>
      <c r="BO104" s="66">
        <f>SUM(Financials20263[[#This Row],[Jan Opp/Risk]:[Dec Opp./Risk]])</f>
        <v>-1634.53</v>
      </c>
      <c r="BP104" s="82"/>
      <c r="BQ104" s="44">
        <f>SUM(Financials20263[[#This Row],[Jan AC]:[Jun AC]])</f>
        <v>2223.4699999999998</v>
      </c>
      <c r="BR104" s="6">
        <f t="shared" si="46"/>
        <v>0</v>
      </c>
      <c r="BS104" s="6">
        <f>Financials20263[[#This Row],[Jul-Dec FC]]+Financials20263[[#This Row],[Pending Jan-Jun]]</f>
        <v>2112</v>
      </c>
      <c r="BT104" s="6"/>
      <c r="BU104" s="6"/>
      <c r="BV104" s="6"/>
    </row>
    <row r="105" spans="1:74" hidden="1">
      <c r="A105" s="20" t="s">
        <v>320</v>
      </c>
      <c r="B105" s="19" t="s">
        <v>86</v>
      </c>
      <c r="C105" s="19"/>
      <c r="D105" s="10" t="s">
        <v>322</v>
      </c>
      <c r="E105" s="7" t="s">
        <v>323</v>
      </c>
      <c r="F105" s="3" t="s">
        <v>324</v>
      </c>
      <c r="G105" s="3" t="s">
        <v>21</v>
      </c>
      <c r="H105" s="4" t="s">
        <v>367</v>
      </c>
      <c r="I105" s="4" t="s">
        <v>367</v>
      </c>
      <c r="J105" s="3"/>
      <c r="K105" s="3" t="str">
        <f t="shared" si="30"/>
        <v>Prj000350-Support - Infrastructure for Tech</v>
      </c>
      <c r="L105" s="19" t="s">
        <v>252</v>
      </c>
      <c r="M105" s="19" t="s">
        <v>12</v>
      </c>
      <c r="N105" s="19" t="s">
        <v>12</v>
      </c>
      <c r="O105" s="19" t="s">
        <v>375</v>
      </c>
      <c r="P105" s="19" t="s">
        <v>326</v>
      </c>
      <c r="Q105" s="19" t="s">
        <v>372</v>
      </c>
      <c r="R105" s="19" t="s">
        <v>372</v>
      </c>
      <c r="S105" s="19" t="s">
        <v>350</v>
      </c>
      <c r="T105" s="5">
        <v>7239</v>
      </c>
      <c r="U105" s="15">
        <v>7043</v>
      </c>
      <c r="V105" s="15">
        <v>7043</v>
      </c>
      <c r="W105" s="15">
        <f t="shared" si="44"/>
        <v>7246.3300000000008</v>
      </c>
      <c r="X105" s="15">
        <f t="shared" si="35"/>
        <v>0</v>
      </c>
      <c r="Y105" s="15">
        <f t="shared" si="32"/>
        <v>203.33000000000084</v>
      </c>
      <c r="Z105" s="15">
        <f>SUM(Financials20263[[#This Row],[2026 Opportunity]:[2026 Risk]])</f>
        <v>203.33000000000084</v>
      </c>
      <c r="AA105" s="3" t="s">
        <v>639</v>
      </c>
      <c r="AB105" s="47">
        <v>587</v>
      </c>
      <c r="AC105" s="47">
        <v>587</v>
      </c>
      <c r="AD105" s="47">
        <v>587</v>
      </c>
      <c r="AE105" s="47">
        <v>587</v>
      </c>
      <c r="AF105" s="47">
        <v>587</v>
      </c>
      <c r="AG105" s="47">
        <v>587</v>
      </c>
      <c r="AH105" s="47">
        <v>587</v>
      </c>
      <c r="AI105" s="47">
        <v>587</v>
      </c>
      <c r="AJ105" s="47">
        <v>587</v>
      </c>
      <c r="AK105" s="47">
        <v>587</v>
      </c>
      <c r="AL105" s="47">
        <v>587</v>
      </c>
      <c r="AM105" s="47">
        <f>587-1</f>
        <v>586</v>
      </c>
      <c r="AN105" s="70">
        <f>SUM(Financials20263[[#This Row],[Jan FC]:[Dec FC]])</f>
        <v>7043</v>
      </c>
      <c r="AO105" s="15">
        <f>SUM(Financials20263[[#This Row],[Jul FC]:[Dec FC]])</f>
        <v>3521</v>
      </c>
      <c r="AP105" s="56">
        <v>620.09</v>
      </c>
      <c r="AQ105" s="56">
        <v>628.66</v>
      </c>
      <c r="AR105" s="56">
        <v>628.89</v>
      </c>
      <c r="AS105" s="56">
        <v>614.59</v>
      </c>
      <c r="AT105" s="56">
        <v>604.1</v>
      </c>
      <c r="AU105" s="102">
        <v>629</v>
      </c>
      <c r="AV105" s="102">
        <v>629</v>
      </c>
      <c r="AW105" s="56"/>
      <c r="AX105" s="56"/>
      <c r="AY105" s="56"/>
      <c r="AZ105" s="56"/>
      <c r="BA105" s="56"/>
      <c r="BB105" s="75">
        <f>SUM(Financials20263[[#This Row],[Jan AC]:[Dec AC]])</f>
        <v>4354.33</v>
      </c>
      <c r="BC105" s="66">
        <f>Financials20263[[#This Row],[Jan AC]]-Financials20263[[#This Row],[Jan FC]]</f>
        <v>33.090000000000032</v>
      </c>
      <c r="BD105" s="66">
        <f>Financials20263[[#This Row],[Feb AC]]-Financials20263[[#This Row],[Feb FC]]</f>
        <v>41.659999999999968</v>
      </c>
      <c r="BE105" s="66">
        <f>Financials20263[[#This Row],[Mar AC]]-Financials20263[[#This Row],[Mar FC]]</f>
        <v>41.889999999999986</v>
      </c>
      <c r="BF105" s="66">
        <f>Financials20263[[#This Row],[Apr AC]]-Financials20263[[#This Row],[Apr FC]]</f>
        <v>27.590000000000032</v>
      </c>
      <c r="BG105" s="66">
        <f>Financials20263[[#This Row],[May AC]]-Financials20263[[#This Row],[May FC]]</f>
        <v>17.100000000000023</v>
      </c>
      <c r="BH105" s="66">
        <f>Financials20263[[#This Row],[Jun AC]]-Financials20263[[#This Row],[Jun FC]]</f>
        <v>42</v>
      </c>
      <c r="BI105" s="66">
        <f>Financials20263[[#This Row],[Jul AC]]-Financials20263[[#This Row],[Jul FC]]</f>
        <v>42</v>
      </c>
      <c r="BJ105" s="66">
        <f>Financials20263[[#This Row],[Aug AC]]-Financials20263[[#This Row],[Aug FC]]</f>
        <v>-587</v>
      </c>
      <c r="BK105" s="66">
        <f>Financials20263[[#This Row],[Sep AC]]-Financials20263[[#This Row],[Sep FC]]</f>
        <v>-587</v>
      </c>
      <c r="BL105" s="66">
        <f>Financials20263[[#This Row],[Oct AC]]-Financials20263[[#This Row],[Oct FC]]</f>
        <v>-587</v>
      </c>
      <c r="BM105" s="66">
        <f>Financials20263[[#This Row],[Nov AC]]-Financials20263[[#This Row],[Nov FC]]</f>
        <v>-587</v>
      </c>
      <c r="BN105" s="66">
        <f>Financials20263[[#This Row],[Dec AC]]-Financials20263[[#This Row],[Dec FC]]</f>
        <v>-586</v>
      </c>
      <c r="BO105" s="66">
        <f>SUM(Financials20263[[#This Row],[Jan Opp/Risk]:[Dec Opp./Risk]])</f>
        <v>-2688.67</v>
      </c>
      <c r="BP105" s="82" t="s">
        <v>377</v>
      </c>
      <c r="BQ105" s="44">
        <f>SUM(Financials20263[[#This Row],[Jan AC]:[Jun AC]])</f>
        <v>3725.33</v>
      </c>
      <c r="BR105" s="6">
        <f t="shared" si="46"/>
        <v>0</v>
      </c>
      <c r="BS105" s="6">
        <f>Financials20263[[#This Row],[Jul-Dec FC]]+Financials20263[[#This Row],[Pending Jan-Jun]]</f>
        <v>3521</v>
      </c>
      <c r="BT105" s="6"/>
      <c r="BU105" s="6"/>
      <c r="BV105" s="6"/>
    </row>
    <row r="106" spans="1:74" hidden="1">
      <c r="A106" s="20" t="s">
        <v>386</v>
      </c>
      <c r="B106" s="19" t="s">
        <v>107</v>
      </c>
      <c r="C106" s="19"/>
      <c r="D106" s="10" t="s">
        <v>333</v>
      </c>
      <c r="E106" s="7" t="s">
        <v>334</v>
      </c>
      <c r="F106" s="3" t="s">
        <v>335</v>
      </c>
      <c r="G106" s="3" t="s">
        <v>25</v>
      </c>
      <c r="H106" s="4" t="s">
        <v>336</v>
      </c>
      <c r="I106" s="4" t="s">
        <v>336</v>
      </c>
      <c r="J106" s="3"/>
      <c r="K106" s="3" t="str">
        <f t="shared" si="30"/>
        <v>Prj000266-Support - Internal Tech Workforce Activities</v>
      </c>
      <c r="L106" s="19" t="s">
        <v>252</v>
      </c>
      <c r="M106" s="19" t="s">
        <v>12</v>
      </c>
      <c r="N106" s="19" t="s">
        <v>12</v>
      </c>
      <c r="O106" s="19"/>
      <c r="P106" s="19" t="s">
        <v>380</v>
      </c>
      <c r="Q106" s="19" t="s">
        <v>381</v>
      </c>
      <c r="R106" s="19" t="s">
        <v>640</v>
      </c>
      <c r="S106" s="19" t="s">
        <v>354</v>
      </c>
      <c r="T106" s="5">
        <v>278</v>
      </c>
      <c r="U106" s="15">
        <v>292</v>
      </c>
      <c r="V106" s="15">
        <v>292</v>
      </c>
      <c r="W106" s="15">
        <f t="shared" si="44"/>
        <v>292</v>
      </c>
      <c r="X106" s="15">
        <f t="shared" si="35"/>
        <v>0</v>
      </c>
      <c r="Y106" s="15">
        <f t="shared" si="32"/>
        <v>0</v>
      </c>
      <c r="Z106" s="15">
        <f>SUM(Financials20263[[#This Row],[2026 Opportunity]:[2026 Risk]])</f>
        <v>0</v>
      </c>
      <c r="AA106" s="3" t="s">
        <v>376</v>
      </c>
      <c r="AB106" s="47"/>
      <c r="AC106" s="47"/>
      <c r="AD106" s="47"/>
      <c r="AE106" s="47"/>
      <c r="AF106" s="47"/>
      <c r="AG106" s="47"/>
      <c r="AH106" s="47">
        <v>292</v>
      </c>
      <c r="AI106" s="47"/>
      <c r="AJ106" s="47"/>
      <c r="AK106" s="47"/>
      <c r="AL106" s="47"/>
      <c r="AM106" s="47"/>
      <c r="AN106" s="47">
        <f>SUM(Financials20263[[#This Row],[Jan FC]:[Dec FC]])</f>
        <v>292</v>
      </c>
      <c r="AO106" s="15">
        <f>SUM(Financials20263[[#This Row],[Jul FC]:[Dec FC]])</f>
        <v>292</v>
      </c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75">
        <f>SUM(Financials20263[[#This Row],[Jan AC]:[Dec AC]])</f>
        <v>0</v>
      </c>
      <c r="BC106" s="66">
        <f>Financials20263[[#This Row],[Jan AC]]-Financials20263[[#This Row],[Jan FC]]</f>
        <v>0</v>
      </c>
      <c r="BD106" s="66">
        <f>Financials20263[[#This Row],[Feb AC]]-Financials20263[[#This Row],[Feb FC]]</f>
        <v>0</v>
      </c>
      <c r="BE106" s="66">
        <f>Financials20263[[#This Row],[Mar AC]]-Financials20263[[#This Row],[Mar FC]]</f>
        <v>0</v>
      </c>
      <c r="BF106" s="66">
        <f>Financials20263[[#This Row],[Apr AC]]-Financials20263[[#This Row],[Apr FC]]</f>
        <v>0</v>
      </c>
      <c r="BG106" s="66">
        <f>Financials20263[[#This Row],[May AC]]-Financials20263[[#This Row],[May FC]]</f>
        <v>0</v>
      </c>
      <c r="BH106" s="66">
        <f>Financials20263[[#This Row],[Jun AC]]-Financials20263[[#This Row],[Jun FC]]</f>
        <v>0</v>
      </c>
      <c r="BI106" s="66">
        <f>Financials20263[[#This Row],[Jul AC]]-Financials20263[[#This Row],[Jul FC]]</f>
        <v>-292</v>
      </c>
      <c r="BJ106" s="66">
        <f>Financials20263[[#This Row],[Aug AC]]-Financials20263[[#This Row],[Aug FC]]</f>
        <v>0</v>
      </c>
      <c r="BK106" s="66">
        <f>Financials20263[[#This Row],[Sep AC]]-Financials20263[[#This Row],[Sep FC]]</f>
        <v>0</v>
      </c>
      <c r="BL106" s="66">
        <f>Financials20263[[#This Row],[Oct AC]]-Financials20263[[#This Row],[Oct FC]]</f>
        <v>0</v>
      </c>
      <c r="BM106" s="66">
        <f>Financials20263[[#This Row],[Nov AC]]-Financials20263[[#This Row],[Nov FC]]</f>
        <v>0</v>
      </c>
      <c r="BN106" s="66">
        <f>Financials20263[[#This Row],[Dec AC]]-Financials20263[[#This Row],[Dec FC]]</f>
        <v>0</v>
      </c>
      <c r="BO106" s="66">
        <f>SUM(Financials20263[[#This Row],[Jan Opp/Risk]:[Dec Opp./Risk]])</f>
        <v>-292</v>
      </c>
      <c r="BP106" s="82"/>
      <c r="BQ106" s="44">
        <f>SUM(Financials20263[[#This Row],[Jan AC]:[Jun AC]])</f>
        <v>0</v>
      </c>
      <c r="BR106" s="6">
        <f t="shared" si="46"/>
        <v>0</v>
      </c>
      <c r="BS106" s="6">
        <f>Financials20263[[#This Row],[Jul-Dec FC]]+Financials20263[[#This Row],[Pending Jan-Jun]]</f>
        <v>292</v>
      </c>
      <c r="BT106" s="6"/>
      <c r="BU106" s="6"/>
      <c r="BV106" s="6"/>
    </row>
    <row r="107" spans="1:74" hidden="1">
      <c r="A107" s="20" t="s">
        <v>332</v>
      </c>
      <c r="B107" s="19" t="s">
        <v>253</v>
      </c>
      <c r="C107" s="19" t="s">
        <v>109</v>
      </c>
      <c r="D107" s="10" t="s">
        <v>333</v>
      </c>
      <c r="E107" s="7" t="s">
        <v>334</v>
      </c>
      <c r="F107" s="3" t="s">
        <v>335</v>
      </c>
      <c r="G107" s="3" t="s">
        <v>25</v>
      </c>
      <c r="H107" s="4" t="s">
        <v>336</v>
      </c>
      <c r="I107" s="4" t="s">
        <v>336</v>
      </c>
      <c r="J107" s="3"/>
      <c r="K107" s="3" t="str">
        <f t="shared" si="30"/>
        <v>Prj000266-Support - Internal Tech Workforce Activities</v>
      </c>
      <c r="L107" s="19" t="s">
        <v>252</v>
      </c>
      <c r="M107" s="19" t="s">
        <v>12</v>
      </c>
      <c r="N107" s="19" t="s">
        <v>12</v>
      </c>
      <c r="O107" s="19"/>
      <c r="P107" s="19" t="s">
        <v>380</v>
      </c>
      <c r="Q107" s="19" t="s">
        <v>381</v>
      </c>
      <c r="R107" s="19" t="s">
        <v>641</v>
      </c>
      <c r="S107" s="19" t="s">
        <v>340</v>
      </c>
      <c r="T107" s="5">
        <v>10643</v>
      </c>
      <c r="U107" s="15">
        <v>2900</v>
      </c>
      <c r="V107" s="15">
        <v>2900</v>
      </c>
      <c r="W107" s="15">
        <f t="shared" si="44"/>
        <v>2900.31</v>
      </c>
      <c r="X107" s="15">
        <f t="shared" si="35"/>
        <v>0</v>
      </c>
      <c r="Y107" s="15">
        <f t="shared" si="32"/>
        <v>0.30999999999994543</v>
      </c>
      <c r="Z107" s="15">
        <f>SUM(Financials20263[[#This Row],[2026 Opportunity]:[2026 Risk]])</f>
        <v>0.30999999999994543</v>
      </c>
      <c r="AA107" s="3" t="s">
        <v>642</v>
      </c>
      <c r="AB107" s="47"/>
      <c r="AC107" s="47">
        <v>17</v>
      </c>
      <c r="AD107" s="47"/>
      <c r="AE107" s="47">
        <f>7001-6495</f>
        <v>506</v>
      </c>
      <c r="AF107" s="47">
        <v>1390.01</v>
      </c>
      <c r="AG107" s="47">
        <v>43.56</v>
      </c>
      <c r="AH107" s="47"/>
      <c r="AI107" s="47"/>
      <c r="AJ107" s="47"/>
      <c r="AK107" s="47"/>
      <c r="AL107" s="47"/>
      <c r="AM107" s="43">
        <f>987-43</f>
        <v>944</v>
      </c>
      <c r="AN107" s="47">
        <f>SUM(Financials20263[[#This Row],[Jan FC]:[Dec FC]])</f>
        <v>2900.5699999999997</v>
      </c>
      <c r="AO107" s="15">
        <f>SUM(Financials20263[[#This Row],[Jul FC]:[Dec FC]])</f>
        <v>944</v>
      </c>
      <c r="AP107" s="56"/>
      <c r="AQ107" s="56">
        <v>16.739999999999998</v>
      </c>
      <c r="AR107" s="56"/>
      <c r="AS107" s="56">
        <f>7001-6495</f>
        <v>506</v>
      </c>
      <c r="AT107" s="56">
        <v>1390.01</v>
      </c>
      <c r="AU107" s="56">
        <v>43.56</v>
      </c>
      <c r="AV107" s="56"/>
      <c r="AW107" s="56"/>
      <c r="AX107" s="56"/>
      <c r="AY107" s="56"/>
      <c r="AZ107" s="56"/>
      <c r="BA107" s="56"/>
      <c r="BB107" s="75">
        <f>SUM(Financials20263[[#This Row],[Jan AC]:[Dec AC]])</f>
        <v>1956.31</v>
      </c>
      <c r="BC107" s="66">
        <f>Financials20263[[#This Row],[Jan AC]]-Financials20263[[#This Row],[Jan FC]]</f>
        <v>0</v>
      </c>
      <c r="BD107" s="66">
        <f>Financials20263[[#This Row],[Feb AC]]-Financials20263[[#This Row],[Feb FC]]</f>
        <v>-0.26000000000000156</v>
      </c>
      <c r="BE107" s="66">
        <f>Financials20263[[#This Row],[Mar AC]]-Financials20263[[#This Row],[Mar FC]]</f>
        <v>0</v>
      </c>
      <c r="BF107" s="66">
        <f>Financials20263[[#This Row],[Apr AC]]-Financials20263[[#This Row],[Apr FC]]</f>
        <v>0</v>
      </c>
      <c r="BG107" s="66">
        <f>Financials20263[[#This Row],[May AC]]-Financials20263[[#This Row],[May FC]]</f>
        <v>0</v>
      </c>
      <c r="BH107" s="66">
        <f>Financials20263[[#This Row],[Jun AC]]-Financials20263[[#This Row],[Jun FC]]</f>
        <v>0</v>
      </c>
      <c r="BI107" s="66">
        <f>Financials20263[[#This Row],[Jul AC]]-Financials20263[[#This Row],[Jul FC]]</f>
        <v>0</v>
      </c>
      <c r="BJ107" s="66">
        <f>Financials20263[[#This Row],[Aug AC]]-Financials20263[[#This Row],[Aug FC]]</f>
        <v>0</v>
      </c>
      <c r="BK107" s="66">
        <f>Financials20263[[#This Row],[Sep AC]]-Financials20263[[#This Row],[Sep FC]]</f>
        <v>0</v>
      </c>
      <c r="BL107" s="66">
        <f>Financials20263[[#This Row],[Oct AC]]-Financials20263[[#This Row],[Oct FC]]</f>
        <v>0</v>
      </c>
      <c r="BM107" s="66">
        <f>Financials20263[[#This Row],[Nov AC]]-Financials20263[[#This Row],[Nov FC]]</f>
        <v>0</v>
      </c>
      <c r="BN107" s="66">
        <f>Financials20263[[#This Row],[Dec AC]]-Financials20263[[#This Row],[Dec FC]]</f>
        <v>-944</v>
      </c>
      <c r="BO107" s="66">
        <f>SUM(Financials20263[[#This Row],[Jan Opp/Risk]:[Dec Opp./Risk]])</f>
        <v>-944.26</v>
      </c>
      <c r="BP107" s="82" t="s">
        <v>643</v>
      </c>
      <c r="BQ107" s="44">
        <f>SUM(Financials20263[[#This Row],[Jan AC]:[Jun AC]])</f>
        <v>1956.31</v>
      </c>
      <c r="BR107" s="6">
        <f t="shared" si="46"/>
        <v>0</v>
      </c>
      <c r="BS107" s="6">
        <f>Financials20263[[#This Row],[Jul-Dec FC]]+Financials20263[[#This Row],[Pending Jan-Jun]]</f>
        <v>944</v>
      </c>
      <c r="BT107" s="6"/>
      <c r="BU107" s="6"/>
      <c r="BV107" s="6"/>
    </row>
    <row r="108" spans="1:74" hidden="1">
      <c r="A108" s="20" t="s">
        <v>320</v>
      </c>
      <c r="B108" s="19" t="s">
        <v>144</v>
      </c>
      <c r="C108" s="19"/>
      <c r="D108" s="10" t="s">
        <v>442</v>
      </c>
      <c r="E108" s="7" t="s">
        <v>443</v>
      </c>
      <c r="F108" s="3" t="s">
        <v>444</v>
      </c>
      <c r="G108" s="3" t="s">
        <v>22</v>
      </c>
      <c r="H108" s="4">
        <v>46023</v>
      </c>
      <c r="I108" s="4">
        <v>46387</v>
      </c>
      <c r="J108" s="3" t="s">
        <v>644</v>
      </c>
      <c r="K108" s="3" t="str">
        <f t="shared" si="30"/>
        <v>Prj000469-Support - Prod Support for Ops Apps</v>
      </c>
      <c r="L108" s="19" t="s">
        <v>252</v>
      </c>
      <c r="M108" s="19" t="s">
        <v>15</v>
      </c>
      <c r="N108" s="19" t="s">
        <v>15</v>
      </c>
      <c r="O108" s="19" t="s">
        <v>645</v>
      </c>
      <c r="P108" s="19" t="s">
        <v>380</v>
      </c>
      <c r="Q108" s="19" t="s">
        <v>381</v>
      </c>
      <c r="R108" s="19" t="s">
        <v>646</v>
      </c>
      <c r="S108" s="19" t="s">
        <v>354</v>
      </c>
      <c r="T108" s="5">
        <v>8000</v>
      </c>
      <c r="U108" s="15">
        <v>8400</v>
      </c>
      <c r="V108" s="15">
        <v>8400</v>
      </c>
      <c r="W108" s="15">
        <f t="shared" si="44"/>
        <v>8000</v>
      </c>
      <c r="X108" s="15">
        <f t="shared" si="35"/>
        <v>-400</v>
      </c>
      <c r="Y108" s="15">
        <f t="shared" si="32"/>
        <v>0</v>
      </c>
      <c r="Z108" s="15">
        <f>SUM(Financials20263[[#This Row],[2026 Opportunity]:[2026 Risk]])</f>
        <v>-400</v>
      </c>
      <c r="AA108" s="3" t="s">
        <v>647</v>
      </c>
      <c r="AB108" s="47">
        <v>8400</v>
      </c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>
        <f>SUM(Financials20263[[#This Row],[Jan FC]:[Dec FC]])</f>
        <v>8400</v>
      </c>
      <c r="AO108" s="15">
        <f>SUM(Financials20263[[#This Row],[Jul FC]:[Dec FC]])</f>
        <v>0</v>
      </c>
      <c r="AP108" s="56">
        <v>8000</v>
      </c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75">
        <f>SUM(Financials20263[[#This Row],[Jan AC]:[Dec AC]])</f>
        <v>8000</v>
      </c>
      <c r="BC108" s="66">
        <f>Financials20263[[#This Row],[Jan AC]]-Financials20263[[#This Row],[Jan FC]]</f>
        <v>-400</v>
      </c>
      <c r="BD108" s="66">
        <f>Financials20263[[#This Row],[Feb AC]]-Financials20263[[#This Row],[Feb FC]]</f>
        <v>0</v>
      </c>
      <c r="BE108" s="66">
        <f>Financials20263[[#This Row],[Mar AC]]-Financials20263[[#This Row],[Mar FC]]</f>
        <v>0</v>
      </c>
      <c r="BF108" s="66">
        <f>Financials20263[[#This Row],[Apr AC]]-Financials20263[[#This Row],[Apr FC]]</f>
        <v>0</v>
      </c>
      <c r="BG108" s="66">
        <f>Financials20263[[#This Row],[May AC]]-Financials20263[[#This Row],[May FC]]</f>
        <v>0</v>
      </c>
      <c r="BH108" s="66">
        <f>Financials20263[[#This Row],[Jun AC]]-Financials20263[[#This Row],[Jun FC]]</f>
        <v>0</v>
      </c>
      <c r="BI108" s="66">
        <f>Financials20263[[#This Row],[Jul AC]]-Financials20263[[#This Row],[Jul FC]]</f>
        <v>0</v>
      </c>
      <c r="BJ108" s="66">
        <f>Financials20263[[#This Row],[Aug AC]]-Financials20263[[#This Row],[Aug FC]]</f>
        <v>0</v>
      </c>
      <c r="BK108" s="66">
        <f>Financials20263[[#This Row],[Sep AC]]-Financials20263[[#This Row],[Sep FC]]</f>
        <v>0</v>
      </c>
      <c r="BL108" s="66">
        <f>Financials20263[[#This Row],[Oct AC]]-Financials20263[[#This Row],[Oct FC]]</f>
        <v>0</v>
      </c>
      <c r="BM108" s="66">
        <f>Financials20263[[#This Row],[Nov AC]]-Financials20263[[#This Row],[Nov FC]]</f>
        <v>0</v>
      </c>
      <c r="BN108" s="66">
        <f>Financials20263[[#This Row],[Dec AC]]-Financials20263[[#This Row],[Dec FC]]</f>
        <v>0</v>
      </c>
      <c r="BO108" s="66">
        <f>SUM(Financials20263[[#This Row],[Jan Opp/Risk]:[Dec Opp./Risk]])</f>
        <v>-400</v>
      </c>
      <c r="BP108" s="82" t="s">
        <v>377</v>
      </c>
      <c r="BQ108" s="44">
        <f>SUM(Financials20263[[#This Row],[Jan AC]:[Jun AC]])</f>
        <v>8000</v>
      </c>
      <c r="BR108" s="6">
        <f t="shared" si="46"/>
        <v>0</v>
      </c>
      <c r="BS108" s="6">
        <f>Financials20263[[#This Row],[Jul-Dec FC]]+Financials20263[[#This Row],[Pending Jan-Jun]]</f>
        <v>0</v>
      </c>
      <c r="BT108" s="6"/>
      <c r="BU108" s="6"/>
      <c r="BV108" s="6"/>
    </row>
    <row r="109" spans="1:74" hidden="1">
      <c r="A109" s="20" t="s">
        <v>320</v>
      </c>
      <c r="B109" s="19" t="s">
        <v>100</v>
      </c>
      <c r="C109" s="19"/>
      <c r="D109" s="10" t="s">
        <v>322</v>
      </c>
      <c r="E109" s="7" t="s">
        <v>323</v>
      </c>
      <c r="F109" s="3" t="s">
        <v>324</v>
      </c>
      <c r="G109" s="3" t="s">
        <v>21</v>
      </c>
      <c r="H109" s="4">
        <v>46028</v>
      </c>
      <c r="I109" s="4">
        <v>46393</v>
      </c>
      <c r="J109" s="3"/>
      <c r="K109" s="3" t="str">
        <f t="shared" si="30"/>
        <v>Prj000350-Support - Infrastructure for Tech</v>
      </c>
      <c r="L109" s="19" t="s">
        <v>252</v>
      </c>
      <c r="M109" s="19" t="s">
        <v>12</v>
      </c>
      <c r="N109" s="19" t="s">
        <v>12</v>
      </c>
      <c r="O109" s="19"/>
      <c r="P109" s="19" t="s">
        <v>380</v>
      </c>
      <c r="Q109" s="19" t="s">
        <v>381</v>
      </c>
      <c r="R109" s="19" t="s">
        <v>646</v>
      </c>
      <c r="S109" s="19" t="s">
        <v>354</v>
      </c>
      <c r="T109" s="5">
        <v>3000</v>
      </c>
      <c r="U109" s="15">
        <v>3150</v>
      </c>
      <c r="V109" s="15">
        <v>3150</v>
      </c>
      <c r="W109" s="15">
        <f t="shared" si="44"/>
        <v>3000</v>
      </c>
      <c r="X109" s="15">
        <f t="shared" si="35"/>
        <v>-150</v>
      </c>
      <c r="Y109" s="15">
        <f t="shared" si="32"/>
        <v>0</v>
      </c>
      <c r="Z109" s="15">
        <f>SUM(Financials20263[[#This Row],[2026 Opportunity]:[2026 Risk]])</f>
        <v>-150</v>
      </c>
      <c r="AA109" s="3" t="s">
        <v>376</v>
      </c>
      <c r="AB109" s="47"/>
      <c r="AC109" s="47">
        <v>3150</v>
      </c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>
        <f>SUM(Financials20263[[#This Row],[Jan FC]:[Dec FC]])</f>
        <v>3150</v>
      </c>
      <c r="AO109" s="15">
        <f>SUM(Financials20263[[#This Row],[Jul FC]:[Dec FC]])</f>
        <v>0</v>
      </c>
      <c r="AP109" s="56"/>
      <c r="AQ109" s="56">
        <v>3000</v>
      </c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75">
        <f>SUM(Financials20263[[#This Row],[Jan AC]:[Dec AC]])</f>
        <v>3000</v>
      </c>
      <c r="BC109" s="66">
        <f>Financials20263[[#This Row],[Jan AC]]-Financials20263[[#This Row],[Jan FC]]</f>
        <v>0</v>
      </c>
      <c r="BD109" s="66">
        <f>Financials20263[[#This Row],[Feb AC]]-Financials20263[[#This Row],[Feb FC]]</f>
        <v>-150</v>
      </c>
      <c r="BE109" s="66">
        <f>Financials20263[[#This Row],[Mar AC]]-Financials20263[[#This Row],[Mar FC]]</f>
        <v>0</v>
      </c>
      <c r="BF109" s="66">
        <f>Financials20263[[#This Row],[Apr AC]]-Financials20263[[#This Row],[Apr FC]]</f>
        <v>0</v>
      </c>
      <c r="BG109" s="66">
        <f>Financials20263[[#This Row],[May AC]]-Financials20263[[#This Row],[May FC]]</f>
        <v>0</v>
      </c>
      <c r="BH109" s="66">
        <f>Financials20263[[#This Row],[Jun AC]]-Financials20263[[#This Row],[Jun FC]]</f>
        <v>0</v>
      </c>
      <c r="BI109" s="66">
        <f>Financials20263[[#This Row],[Jul AC]]-Financials20263[[#This Row],[Jul FC]]</f>
        <v>0</v>
      </c>
      <c r="BJ109" s="66">
        <f>Financials20263[[#This Row],[Aug AC]]-Financials20263[[#This Row],[Aug FC]]</f>
        <v>0</v>
      </c>
      <c r="BK109" s="66">
        <f>Financials20263[[#This Row],[Sep AC]]-Financials20263[[#This Row],[Sep FC]]</f>
        <v>0</v>
      </c>
      <c r="BL109" s="66">
        <f>Financials20263[[#This Row],[Oct AC]]-Financials20263[[#This Row],[Oct FC]]</f>
        <v>0</v>
      </c>
      <c r="BM109" s="66">
        <f>Financials20263[[#This Row],[Nov AC]]-Financials20263[[#This Row],[Nov FC]]</f>
        <v>0</v>
      </c>
      <c r="BN109" s="66">
        <f>Financials20263[[#This Row],[Dec AC]]-Financials20263[[#This Row],[Dec FC]]</f>
        <v>0</v>
      </c>
      <c r="BO109" s="66">
        <f>SUM(Financials20263[[#This Row],[Jan Opp/Risk]:[Dec Opp./Risk]])</f>
        <v>-150</v>
      </c>
      <c r="BP109" s="82" t="s">
        <v>377</v>
      </c>
      <c r="BQ109" s="44">
        <f>SUM(Financials20263[[#This Row],[Jan AC]:[Jun AC]])</f>
        <v>3000</v>
      </c>
      <c r="BR109" s="6">
        <f t="shared" si="46"/>
        <v>0</v>
      </c>
      <c r="BS109" s="6">
        <f>Financials20263[[#This Row],[Jul-Dec FC]]+Financials20263[[#This Row],[Pending Jan-Jun]]</f>
        <v>0</v>
      </c>
      <c r="BT109" s="6"/>
      <c r="BU109" s="6"/>
      <c r="BV109" s="6"/>
    </row>
    <row r="110" spans="1:74" hidden="1">
      <c r="A110" s="20" t="s">
        <v>386</v>
      </c>
      <c r="B110" s="19" t="s">
        <v>84</v>
      </c>
      <c r="C110" s="19"/>
      <c r="D110" s="10" t="s">
        <v>322</v>
      </c>
      <c r="E110" s="7" t="s">
        <v>323</v>
      </c>
      <c r="F110" s="3" t="s">
        <v>324</v>
      </c>
      <c r="G110" s="3" t="s">
        <v>21</v>
      </c>
      <c r="H110" s="4" t="s">
        <v>336</v>
      </c>
      <c r="I110" s="4" t="s">
        <v>336</v>
      </c>
      <c r="J110" s="3"/>
      <c r="K110" s="3" t="str">
        <f t="shared" si="30"/>
        <v>Prj000350-Support - Infrastructure for Tech</v>
      </c>
      <c r="L110" s="19" t="s">
        <v>252</v>
      </c>
      <c r="M110" s="19" t="s">
        <v>12</v>
      </c>
      <c r="N110" s="19" t="s">
        <v>12</v>
      </c>
      <c r="O110" s="19" t="s">
        <v>648</v>
      </c>
      <c r="P110" s="19" t="s">
        <v>380</v>
      </c>
      <c r="Q110" s="19" t="s">
        <v>381</v>
      </c>
      <c r="R110" s="19" t="s">
        <v>382</v>
      </c>
      <c r="S110" s="19" t="s">
        <v>350</v>
      </c>
      <c r="T110" s="5">
        <v>1594</v>
      </c>
      <c r="U110" s="15">
        <v>1674</v>
      </c>
      <c r="V110" s="15">
        <v>1674</v>
      </c>
      <c r="W110" s="15">
        <f t="shared" si="44"/>
        <v>0</v>
      </c>
      <c r="X110" s="15">
        <f t="shared" si="35"/>
        <v>-1674</v>
      </c>
      <c r="Y110" s="15">
        <f t="shared" si="32"/>
        <v>0</v>
      </c>
      <c r="Z110" s="15">
        <f>SUM(Financials20263[[#This Row],[2026 Opportunity]:[2026 Risk]])</f>
        <v>-1674</v>
      </c>
      <c r="AA110" s="3" t="s">
        <v>649</v>
      </c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>
        <f>SUM(Financials20263[[#This Row],[Jan FC]:[Dec FC]])</f>
        <v>0</v>
      </c>
      <c r="AO110" s="15">
        <f>SUM(Financials20263[[#This Row],[Jul FC]:[Dec FC]])</f>
        <v>0</v>
      </c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75">
        <f>SUM(Financials20263[[#This Row],[Jan AC]:[Dec AC]])</f>
        <v>0</v>
      </c>
      <c r="BC110" s="66">
        <f>Financials20263[[#This Row],[Jan AC]]-Financials20263[[#This Row],[Jan FC]]</f>
        <v>0</v>
      </c>
      <c r="BD110" s="66">
        <f>Financials20263[[#This Row],[Feb AC]]-Financials20263[[#This Row],[Feb FC]]</f>
        <v>0</v>
      </c>
      <c r="BE110" s="66">
        <f>Financials20263[[#This Row],[Mar AC]]-Financials20263[[#This Row],[Mar FC]]</f>
        <v>0</v>
      </c>
      <c r="BF110" s="66">
        <f>Financials20263[[#This Row],[Apr AC]]-Financials20263[[#This Row],[Apr FC]]</f>
        <v>0</v>
      </c>
      <c r="BG110" s="66">
        <f>Financials20263[[#This Row],[May AC]]-Financials20263[[#This Row],[May FC]]</f>
        <v>0</v>
      </c>
      <c r="BH110" s="66">
        <f>Financials20263[[#This Row],[Jun AC]]-Financials20263[[#This Row],[Jun FC]]</f>
        <v>0</v>
      </c>
      <c r="BI110" s="66">
        <f>Financials20263[[#This Row],[Jul AC]]-Financials20263[[#This Row],[Jul FC]]</f>
        <v>0</v>
      </c>
      <c r="BJ110" s="66">
        <f>Financials20263[[#This Row],[Aug AC]]-Financials20263[[#This Row],[Aug FC]]</f>
        <v>0</v>
      </c>
      <c r="BK110" s="66">
        <f>Financials20263[[#This Row],[Sep AC]]-Financials20263[[#This Row],[Sep FC]]</f>
        <v>0</v>
      </c>
      <c r="BL110" s="66">
        <f>Financials20263[[#This Row],[Oct AC]]-Financials20263[[#This Row],[Oct FC]]</f>
        <v>0</v>
      </c>
      <c r="BM110" s="66">
        <f>Financials20263[[#This Row],[Nov AC]]-Financials20263[[#This Row],[Nov FC]]</f>
        <v>0</v>
      </c>
      <c r="BN110" s="66">
        <f>Financials20263[[#This Row],[Dec AC]]-Financials20263[[#This Row],[Dec FC]]</f>
        <v>0</v>
      </c>
      <c r="BO110" s="66">
        <f>SUM(Financials20263[[#This Row],[Jan Opp/Risk]:[Dec Opp./Risk]])</f>
        <v>0</v>
      </c>
      <c r="BP110" s="3" t="s">
        <v>649</v>
      </c>
      <c r="BQ110" s="44">
        <f>SUM(Financials20263[[#This Row],[Jan AC]:[Jun AC]])</f>
        <v>0</v>
      </c>
      <c r="BR110" s="6">
        <f t="shared" si="46"/>
        <v>0</v>
      </c>
      <c r="BS110" s="6">
        <f>Financials20263[[#This Row],[Jul-Dec FC]]+Financials20263[[#This Row],[Pending Jan-Jun]]</f>
        <v>0</v>
      </c>
      <c r="BT110" s="6"/>
      <c r="BU110" s="6"/>
      <c r="BV110" s="6"/>
    </row>
    <row r="111" spans="1:74" hidden="1">
      <c r="A111" s="20" t="s">
        <v>386</v>
      </c>
      <c r="B111" s="19" t="s">
        <v>90</v>
      </c>
      <c r="C111" s="19"/>
      <c r="D111" s="10" t="s">
        <v>322</v>
      </c>
      <c r="E111" s="7" t="s">
        <v>323</v>
      </c>
      <c r="F111" s="3" t="s">
        <v>324</v>
      </c>
      <c r="G111" s="3" t="s">
        <v>21</v>
      </c>
      <c r="H111" s="4" t="s">
        <v>367</v>
      </c>
      <c r="I111" s="4" t="s">
        <v>367</v>
      </c>
      <c r="J111" s="3"/>
      <c r="K111" s="3" t="str">
        <f t="shared" si="30"/>
        <v>Prj000350-Support - Infrastructure for Tech</v>
      </c>
      <c r="L111" s="19" t="s">
        <v>252</v>
      </c>
      <c r="M111" s="19" t="s">
        <v>12</v>
      </c>
      <c r="N111" s="19" t="s">
        <v>12</v>
      </c>
      <c r="O111" s="19"/>
      <c r="P111" s="19" t="s">
        <v>380</v>
      </c>
      <c r="Q111" s="19" t="s">
        <v>381</v>
      </c>
      <c r="R111" s="19" t="s">
        <v>382</v>
      </c>
      <c r="S111" s="19" t="s">
        <v>350</v>
      </c>
      <c r="T111" s="5">
        <v>17438</v>
      </c>
      <c r="U111" s="15">
        <v>18865</v>
      </c>
      <c r="V111" s="15">
        <v>18865</v>
      </c>
      <c r="W111" s="15">
        <f t="shared" si="44"/>
        <v>19510.98</v>
      </c>
      <c r="X111" s="15">
        <f t="shared" si="35"/>
        <v>0</v>
      </c>
      <c r="Y111" s="15">
        <f t="shared" si="32"/>
        <v>645.97999999999956</v>
      </c>
      <c r="Z111" s="15">
        <f>SUM(Financials20263[[#This Row],[2026 Opportunity]:[2026 Risk]])</f>
        <v>645.97999999999956</v>
      </c>
      <c r="AA111" s="3" t="s">
        <v>376</v>
      </c>
      <c r="AB111" s="47">
        <v>1450.9</v>
      </c>
      <c r="AC111" s="47">
        <v>1585</v>
      </c>
      <c r="AD111" s="47">
        <v>1500</v>
      </c>
      <c r="AE111" s="47">
        <v>1500</v>
      </c>
      <c r="AF111" s="47">
        <v>1500</v>
      </c>
      <c r="AG111" s="47">
        <v>1500</v>
      </c>
      <c r="AH111" s="47">
        <v>1500</v>
      </c>
      <c r="AI111" s="47">
        <v>1500</v>
      </c>
      <c r="AJ111" s="47">
        <v>1500</v>
      </c>
      <c r="AK111" s="47">
        <v>1500</v>
      </c>
      <c r="AL111" s="47">
        <v>1500</v>
      </c>
      <c r="AM111" s="47">
        <v>2329</v>
      </c>
      <c r="AN111" s="47">
        <f>SUM(Financials20263[[#This Row],[Jan FC]:[Dec FC]])</f>
        <v>18864.900000000001</v>
      </c>
      <c r="AO111" s="15">
        <f>SUM(Financials20263[[#This Row],[Jul FC]:[Dec FC]])</f>
        <v>9829</v>
      </c>
      <c r="AP111" s="56">
        <v>1450.9</v>
      </c>
      <c r="AQ111" s="56">
        <v>1585</v>
      </c>
      <c r="AR111" s="56">
        <v>1823.33</v>
      </c>
      <c r="AS111" s="56">
        <v>1822.75</v>
      </c>
      <c r="AT111" s="56"/>
      <c r="AU111" s="56"/>
      <c r="AV111" s="56"/>
      <c r="AW111" s="56"/>
      <c r="AX111" s="56"/>
      <c r="AY111" s="56"/>
      <c r="AZ111" s="56"/>
      <c r="BA111" s="56"/>
      <c r="BB111" s="75">
        <f>SUM(Financials20263[[#This Row],[Jan AC]:[Dec AC]])</f>
        <v>6681.98</v>
      </c>
      <c r="BC111" s="66">
        <f>Financials20263[[#This Row],[Jan AC]]-Financials20263[[#This Row],[Jan FC]]</f>
        <v>0</v>
      </c>
      <c r="BD111" s="66">
        <f>Financials20263[[#This Row],[Feb AC]]-Financials20263[[#This Row],[Feb FC]]</f>
        <v>0</v>
      </c>
      <c r="BE111" s="66">
        <f>Financials20263[[#This Row],[Mar AC]]-Financials20263[[#This Row],[Mar FC]]</f>
        <v>323.32999999999993</v>
      </c>
      <c r="BF111" s="66">
        <f>Financials20263[[#This Row],[Apr AC]]-Financials20263[[#This Row],[Apr FC]]</f>
        <v>322.75</v>
      </c>
      <c r="BG111" s="66">
        <f>Financials20263[[#This Row],[May AC]]-Financials20263[[#This Row],[May FC]]</f>
        <v>-1500</v>
      </c>
      <c r="BH111" s="66">
        <f>Financials20263[[#This Row],[Jun AC]]-Financials20263[[#This Row],[Jun FC]]</f>
        <v>-1500</v>
      </c>
      <c r="BI111" s="66">
        <f>Financials20263[[#This Row],[Jul AC]]-Financials20263[[#This Row],[Jul FC]]</f>
        <v>-1500</v>
      </c>
      <c r="BJ111" s="66">
        <f>Financials20263[[#This Row],[Aug AC]]-Financials20263[[#This Row],[Aug FC]]</f>
        <v>-1500</v>
      </c>
      <c r="BK111" s="66">
        <f>Financials20263[[#This Row],[Sep AC]]-Financials20263[[#This Row],[Sep FC]]</f>
        <v>-1500</v>
      </c>
      <c r="BL111" s="66">
        <f>Financials20263[[#This Row],[Oct AC]]-Financials20263[[#This Row],[Oct FC]]</f>
        <v>-1500</v>
      </c>
      <c r="BM111" s="66">
        <f>Financials20263[[#This Row],[Nov AC]]-Financials20263[[#This Row],[Nov FC]]</f>
        <v>-1500</v>
      </c>
      <c r="BN111" s="66">
        <f>Financials20263[[#This Row],[Dec AC]]-Financials20263[[#This Row],[Dec FC]]</f>
        <v>-2329</v>
      </c>
      <c r="BO111" s="66">
        <f>SUM(Financials20263[[#This Row],[Jan Opp/Risk]:[Dec Opp./Risk]])</f>
        <v>-12182.92</v>
      </c>
      <c r="BP111" s="82" t="s">
        <v>377</v>
      </c>
      <c r="BQ111" s="44">
        <f>SUM(Financials20263[[#This Row],[Jan AC]:[Jun AC]])</f>
        <v>6681.98</v>
      </c>
      <c r="BR111" s="6">
        <f t="shared" si="46"/>
        <v>3000</v>
      </c>
      <c r="BS111" s="6">
        <f>Financials20263[[#This Row],[Jul-Dec FC]]+Financials20263[[#This Row],[Pending Jan-Jun]]</f>
        <v>12829</v>
      </c>
      <c r="BT111" s="6"/>
      <c r="BU111" s="6"/>
      <c r="BV111" s="6"/>
    </row>
    <row r="112" spans="1:74" hidden="1">
      <c r="A112" s="20" t="s">
        <v>386</v>
      </c>
      <c r="B112" s="19" t="s">
        <v>94</v>
      </c>
      <c r="C112" s="19"/>
      <c r="D112" s="10" t="s">
        <v>322</v>
      </c>
      <c r="E112" s="7" t="s">
        <v>323</v>
      </c>
      <c r="F112" s="3" t="s">
        <v>324</v>
      </c>
      <c r="G112" s="3" t="s">
        <v>21</v>
      </c>
      <c r="H112" s="4" t="s">
        <v>367</v>
      </c>
      <c r="I112" s="4" t="s">
        <v>367</v>
      </c>
      <c r="J112" s="3"/>
      <c r="K112" s="3" t="str">
        <f t="shared" si="30"/>
        <v>Prj000350-Support - Infrastructure for Tech</v>
      </c>
      <c r="L112" s="19" t="s">
        <v>252</v>
      </c>
      <c r="M112" s="19" t="s">
        <v>12</v>
      </c>
      <c r="N112" s="19" t="s">
        <v>12</v>
      </c>
      <c r="O112" s="19"/>
      <c r="P112" s="19" t="s">
        <v>380</v>
      </c>
      <c r="Q112" s="19" t="s">
        <v>381</v>
      </c>
      <c r="R112" s="19" t="s">
        <v>382</v>
      </c>
      <c r="S112" s="19" t="s">
        <v>350</v>
      </c>
      <c r="T112" s="5">
        <v>32897.4</v>
      </c>
      <c r="U112" s="15">
        <v>34537</v>
      </c>
      <c r="V112" s="15">
        <v>34537</v>
      </c>
      <c r="W112" s="15">
        <f t="shared" si="44"/>
        <v>33717.200000000004</v>
      </c>
      <c r="X112" s="15">
        <f t="shared" si="35"/>
        <v>-819.79999999999563</v>
      </c>
      <c r="Y112" s="15">
        <f t="shared" si="32"/>
        <v>0</v>
      </c>
      <c r="Z112" s="15">
        <f>SUM(Financials20263[[#This Row],[2026 Opportunity]:[2026 Risk]])</f>
        <v>-819.79999999999563</v>
      </c>
      <c r="AA112" s="3"/>
      <c r="AB112" s="47">
        <f>Financials20263[[#This Row],[2026 Final Budget]]/12</f>
        <v>2878.0833333333335</v>
      </c>
      <c r="AC112" s="47">
        <f>Financials20263[[#This Row],[2026 Final Budget]]/12</f>
        <v>2878.0833333333335</v>
      </c>
      <c r="AD112" s="47">
        <f>Financials20263[[#This Row],[2026 Final Budget]]/12</f>
        <v>2878.0833333333335</v>
      </c>
      <c r="AE112" s="47">
        <f>Financials20263[[#This Row],[2026 Final Budget]]/12</f>
        <v>2878.0833333333335</v>
      </c>
      <c r="AF112" s="47">
        <f>Financials20263[[#This Row],[2026 Final Budget]]/12</f>
        <v>2878.0833333333335</v>
      </c>
      <c r="AG112" s="47">
        <f>Financials20263[[#This Row],[2026 Final Budget]]/12</f>
        <v>2878.0833333333335</v>
      </c>
      <c r="AH112" s="47">
        <f>Financials20263[[#This Row],[2026 Final Budget]]/12</f>
        <v>2878.0833333333335</v>
      </c>
      <c r="AI112" s="47">
        <f>Financials20263[[#This Row],[2026 Final Budget]]/12</f>
        <v>2878.0833333333335</v>
      </c>
      <c r="AJ112" s="47">
        <f>Financials20263[[#This Row],[2026 Final Budget]]/12</f>
        <v>2878.0833333333335</v>
      </c>
      <c r="AK112" s="47">
        <f>Financials20263[[#This Row],[2026 Final Budget]]/12</f>
        <v>2878.0833333333335</v>
      </c>
      <c r="AL112" s="47">
        <f>Financials20263[[#This Row],[2026 Final Budget]]/12</f>
        <v>2878.0833333333335</v>
      </c>
      <c r="AM112" s="47">
        <f>Financials20263[[#This Row],[2026 Final Budget]]/12</f>
        <v>2878.0833333333335</v>
      </c>
      <c r="AN112" s="70">
        <f>SUM(Financials20263[[#This Row],[Jan FC]:[Dec FC]])</f>
        <v>34536.999999999993</v>
      </c>
      <c r="AO112" s="15">
        <f>SUM(Financials20263[[#This Row],[Jul FC]:[Dec FC]])</f>
        <v>17268.5</v>
      </c>
      <c r="AP112" s="56">
        <v>2741.45</v>
      </c>
      <c r="AQ112" s="56">
        <v>2741.45</v>
      </c>
      <c r="AR112" s="56">
        <v>2741.45</v>
      </c>
      <c r="AS112" s="56">
        <v>2741.45</v>
      </c>
      <c r="AT112" s="56">
        <v>2741.45</v>
      </c>
      <c r="AU112" s="56">
        <v>2741.45</v>
      </c>
      <c r="AV112" s="56"/>
      <c r="AW112" s="56"/>
      <c r="AX112" s="56"/>
      <c r="AY112" s="56"/>
      <c r="AZ112" s="56"/>
      <c r="BA112" s="56"/>
      <c r="BB112" s="75">
        <f>SUM(Financials20263[[#This Row],[Jan AC]:[Dec AC]])</f>
        <v>16448.7</v>
      </c>
      <c r="BC112" s="66">
        <f>Financials20263[[#This Row],[Jan AC]]-Financials20263[[#This Row],[Jan FC]]</f>
        <v>-136.63333333333367</v>
      </c>
      <c r="BD112" s="66">
        <f>Financials20263[[#This Row],[Feb AC]]-Financials20263[[#This Row],[Feb FC]]</f>
        <v>-136.63333333333367</v>
      </c>
      <c r="BE112" s="66">
        <f>Financials20263[[#This Row],[Mar AC]]-Financials20263[[#This Row],[Mar FC]]</f>
        <v>-136.63333333333367</v>
      </c>
      <c r="BF112" s="66">
        <f>Financials20263[[#This Row],[Apr AC]]-Financials20263[[#This Row],[Apr FC]]</f>
        <v>-136.63333333333367</v>
      </c>
      <c r="BG112" s="66">
        <f>Financials20263[[#This Row],[May AC]]-Financials20263[[#This Row],[May FC]]</f>
        <v>-136.63333333333367</v>
      </c>
      <c r="BH112" s="66">
        <f>Financials20263[[#This Row],[Jun AC]]-Financials20263[[#This Row],[Jun FC]]</f>
        <v>-136.63333333333367</v>
      </c>
      <c r="BI112" s="66">
        <f>Financials20263[[#This Row],[Jul AC]]-Financials20263[[#This Row],[Jul FC]]</f>
        <v>-2878.0833333333335</v>
      </c>
      <c r="BJ112" s="66">
        <f>Financials20263[[#This Row],[Aug AC]]-Financials20263[[#This Row],[Aug FC]]</f>
        <v>-2878.0833333333335</v>
      </c>
      <c r="BK112" s="66">
        <f>Financials20263[[#This Row],[Sep AC]]-Financials20263[[#This Row],[Sep FC]]</f>
        <v>-2878.0833333333335</v>
      </c>
      <c r="BL112" s="66">
        <f>Financials20263[[#This Row],[Oct AC]]-Financials20263[[#This Row],[Oct FC]]</f>
        <v>-2878.0833333333335</v>
      </c>
      <c r="BM112" s="66">
        <f>Financials20263[[#This Row],[Nov AC]]-Financials20263[[#This Row],[Nov FC]]</f>
        <v>-2878.0833333333335</v>
      </c>
      <c r="BN112" s="66">
        <f>Financials20263[[#This Row],[Dec AC]]-Financials20263[[#This Row],[Dec FC]]</f>
        <v>-2878.0833333333335</v>
      </c>
      <c r="BO112" s="66">
        <f>SUM(Financials20263[[#This Row],[Jan Opp/Risk]:[Dec Opp./Risk]])</f>
        <v>-18088.300000000003</v>
      </c>
      <c r="BP112" s="82" t="s">
        <v>377</v>
      </c>
      <c r="BQ112" s="44">
        <f>SUM(Financials20263[[#This Row],[Jan AC]:[Jun AC]])</f>
        <v>16448.7</v>
      </c>
      <c r="BR112" s="6">
        <f t="shared" si="46"/>
        <v>0</v>
      </c>
      <c r="BS112" s="6">
        <f>Financials20263[[#This Row],[Jul-Dec FC]]+Financials20263[[#This Row],[Pending Jan-Jun]]</f>
        <v>17268.5</v>
      </c>
      <c r="BT112" s="6"/>
      <c r="BU112" s="6"/>
      <c r="BV112" s="6"/>
    </row>
    <row r="113" spans="1:74" hidden="1">
      <c r="A113" s="20" t="s">
        <v>386</v>
      </c>
      <c r="B113" s="19" t="s">
        <v>103</v>
      </c>
      <c r="C113" s="19"/>
      <c r="D113" s="10" t="s">
        <v>322</v>
      </c>
      <c r="E113" s="7" t="s">
        <v>323</v>
      </c>
      <c r="F113" s="3" t="s">
        <v>324</v>
      </c>
      <c r="G113" s="3" t="s">
        <v>21</v>
      </c>
      <c r="H113" s="4" t="s">
        <v>367</v>
      </c>
      <c r="I113" s="4" t="s">
        <v>367</v>
      </c>
      <c r="J113" s="3"/>
      <c r="K113" s="3" t="str">
        <f t="shared" si="30"/>
        <v>Prj000350-Support - Infrastructure for Tech</v>
      </c>
      <c r="L113" s="19" t="s">
        <v>252</v>
      </c>
      <c r="M113" s="19" t="s">
        <v>12</v>
      </c>
      <c r="N113" s="19" t="s">
        <v>12</v>
      </c>
      <c r="O113" s="19"/>
      <c r="P113" s="19" t="s">
        <v>380</v>
      </c>
      <c r="Q113" s="19" t="s">
        <v>381</v>
      </c>
      <c r="R113" s="19" t="s">
        <v>382</v>
      </c>
      <c r="S113" s="19" t="s">
        <v>350</v>
      </c>
      <c r="T113" s="5">
        <v>401632</v>
      </c>
      <c r="U113" s="15">
        <v>421713.07500000007</v>
      </c>
      <c r="V113" s="15">
        <v>421713.07500000007</v>
      </c>
      <c r="W113" s="15">
        <f t="shared" si="44"/>
        <v>392871.25999999995</v>
      </c>
      <c r="X113" s="15">
        <f t="shared" si="35"/>
        <v>-28841.815000000119</v>
      </c>
      <c r="Y113" s="15">
        <f t="shared" si="32"/>
        <v>0</v>
      </c>
      <c r="Z113" s="15">
        <f>SUM(Financials20263[[#This Row],[2026 Opportunity]:[2026 Risk]])</f>
        <v>-28841.815000000119</v>
      </c>
      <c r="AA113" s="3"/>
      <c r="AB113" s="47">
        <v>30215.78</v>
      </c>
      <c r="AC113" s="47">
        <v>35893.14</v>
      </c>
      <c r="AD113" s="47">
        <v>35143.583333333336</v>
      </c>
      <c r="AE113" s="47">
        <v>35143.583333333336</v>
      </c>
      <c r="AF113" s="47">
        <v>35143.583333333336</v>
      </c>
      <c r="AG113" s="47">
        <v>35143.583333333336</v>
      </c>
      <c r="AH113" s="47">
        <v>35143.583333333336</v>
      </c>
      <c r="AI113" s="47">
        <v>35143.583333333336</v>
      </c>
      <c r="AJ113" s="47">
        <v>35143.583333333336</v>
      </c>
      <c r="AK113" s="47">
        <v>35143.583333333336</v>
      </c>
      <c r="AL113" s="47">
        <v>35143.583333333336</v>
      </c>
      <c r="AM113" s="47">
        <v>39311.583333333299</v>
      </c>
      <c r="AN113" s="47">
        <f>SUM(Financials20263[[#This Row],[Jan FC]:[Dec FC]])</f>
        <v>421712.7533333333</v>
      </c>
      <c r="AO113" s="15">
        <f>SUM(Financials20263[[#This Row],[Jul FC]:[Dec FC]])</f>
        <v>215029.5</v>
      </c>
      <c r="AP113" s="56">
        <v>30215.78</v>
      </c>
      <c r="AQ113" s="56">
        <v>35893.14</v>
      </c>
      <c r="AR113" s="56">
        <v>28032.44</v>
      </c>
      <c r="AS113" s="56">
        <v>28434.67</v>
      </c>
      <c r="AT113" s="56">
        <v>27143.73</v>
      </c>
      <c r="AU113" s="56">
        <v>28122</v>
      </c>
      <c r="AV113" s="56"/>
      <c r="AW113" s="56"/>
      <c r="AX113" s="56"/>
      <c r="AY113" s="56"/>
      <c r="AZ113" s="56"/>
      <c r="BA113" s="56"/>
      <c r="BB113" s="75">
        <f>SUM(Financials20263[[#This Row],[Jan AC]:[Dec AC]])</f>
        <v>177841.76</v>
      </c>
      <c r="BC113" s="66">
        <f>Financials20263[[#This Row],[Jan AC]]-Financials20263[[#This Row],[Jan FC]]</f>
        <v>0</v>
      </c>
      <c r="BD113" s="66">
        <f>Financials20263[[#This Row],[Feb AC]]-Financials20263[[#This Row],[Feb FC]]</f>
        <v>0</v>
      </c>
      <c r="BE113" s="66">
        <f>Financials20263[[#This Row],[Mar AC]]-Financials20263[[#This Row],[Mar FC]]</f>
        <v>-7111.1433333333371</v>
      </c>
      <c r="BF113" s="66">
        <f>Financials20263[[#This Row],[Apr AC]]-Financials20263[[#This Row],[Apr FC]]</f>
        <v>-6708.9133333333375</v>
      </c>
      <c r="BG113" s="66">
        <f>Financials20263[[#This Row],[May AC]]-Financials20263[[#This Row],[May FC]]</f>
        <v>-7999.8533333333362</v>
      </c>
      <c r="BH113" s="66">
        <f>Financials20263[[#This Row],[Jun AC]]-Financials20263[[#This Row],[Jun FC]]</f>
        <v>-7021.5833333333358</v>
      </c>
      <c r="BI113" s="66">
        <f>Financials20263[[#This Row],[Jul AC]]-Financials20263[[#This Row],[Jul FC]]</f>
        <v>-35143.583333333336</v>
      </c>
      <c r="BJ113" s="66">
        <f>Financials20263[[#This Row],[Aug AC]]-Financials20263[[#This Row],[Aug FC]]</f>
        <v>-35143.583333333336</v>
      </c>
      <c r="BK113" s="66">
        <f>Financials20263[[#This Row],[Sep AC]]-Financials20263[[#This Row],[Sep FC]]</f>
        <v>-35143.583333333336</v>
      </c>
      <c r="BL113" s="66">
        <f>Financials20263[[#This Row],[Oct AC]]-Financials20263[[#This Row],[Oct FC]]</f>
        <v>-35143.583333333336</v>
      </c>
      <c r="BM113" s="66">
        <f>Financials20263[[#This Row],[Nov AC]]-Financials20263[[#This Row],[Nov FC]]</f>
        <v>-35143.583333333336</v>
      </c>
      <c r="BN113" s="66">
        <f>Financials20263[[#This Row],[Dec AC]]-Financials20263[[#This Row],[Dec FC]]</f>
        <v>-39311.583333333299</v>
      </c>
      <c r="BO113" s="66">
        <f>SUM(Financials20263[[#This Row],[Jan Opp/Risk]:[Dec Opp./Risk]])</f>
        <v>-243870.99333333335</v>
      </c>
      <c r="BP113" s="83"/>
      <c r="BQ113" s="44">
        <f>SUM(Financials20263[[#This Row],[Jan AC]:[Jun AC]])</f>
        <v>177841.76</v>
      </c>
      <c r="BR113" s="6">
        <f t="shared" si="46"/>
        <v>0</v>
      </c>
      <c r="BS113" s="6">
        <f>Financials20263[[#This Row],[Jul-Dec FC]]+Financials20263[[#This Row],[Pending Jan-Jun]]</f>
        <v>215029.5</v>
      </c>
      <c r="BT113" s="6"/>
      <c r="BU113" s="6"/>
      <c r="BV113" s="6"/>
    </row>
    <row r="114" spans="1:74" hidden="1">
      <c r="A114" s="20" t="s">
        <v>320</v>
      </c>
      <c r="B114" s="19" t="s">
        <v>140</v>
      </c>
      <c r="C114" s="19"/>
      <c r="D114" s="10" t="s">
        <v>442</v>
      </c>
      <c r="E114" s="7" t="s">
        <v>443</v>
      </c>
      <c r="F114" s="3" t="s">
        <v>444</v>
      </c>
      <c r="G114" s="3" t="s">
        <v>22</v>
      </c>
      <c r="H114" s="4">
        <v>46023</v>
      </c>
      <c r="I114" s="4">
        <v>46387</v>
      </c>
      <c r="J114" s="3"/>
      <c r="K114" s="3" t="str">
        <f t="shared" si="30"/>
        <v>Prj000469-Support - Prod Support for Ops Apps</v>
      </c>
      <c r="L114" s="19" t="s">
        <v>252</v>
      </c>
      <c r="M114" s="19" t="s">
        <v>15</v>
      </c>
      <c r="N114" s="19" t="s">
        <v>15</v>
      </c>
      <c r="O114" s="19" t="s">
        <v>390</v>
      </c>
      <c r="P114" s="19" t="s">
        <v>391</v>
      </c>
      <c r="Q114" s="19" t="s">
        <v>391</v>
      </c>
      <c r="R114" s="19" t="s">
        <v>392</v>
      </c>
      <c r="S114" s="19" t="s">
        <v>354</v>
      </c>
      <c r="T114" s="5">
        <v>4914</v>
      </c>
      <c r="U114" s="15">
        <v>4409</v>
      </c>
      <c r="V114" s="15">
        <v>4409</v>
      </c>
      <c r="W114" s="15">
        <f t="shared" si="44"/>
        <v>4982.8</v>
      </c>
      <c r="X114" s="15">
        <f t="shared" si="35"/>
        <v>0</v>
      </c>
      <c r="Y114" s="15">
        <f t="shared" si="32"/>
        <v>573.80000000000018</v>
      </c>
      <c r="Z114" s="15">
        <f>SUM(Financials20263[[#This Row],[2026 Opportunity]:[2026 Risk]])</f>
        <v>573.80000000000018</v>
      </c>
      <c r="AA114" s="3" t="s">
        <v>650</v>
      </c>
      <c r="AB114" s="47">
        <v>4409</v>
      </c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>
        <f>SUM(Financials20263[[#This Row],[Jan FC]:[Dec FC]])</f>
        <v>4409</v>
      </c>
      <c r="AO114" s="15">
        <f>SUM(Financials20263[[#This Row],[Jul FC]:[Dec FC]])</f>
        <v>0</v>
      </c>
      <c r="AP114" s="56">
        <v>4982.8</v>
      </c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75">
        <f>SUM(Financials20263[[#This Row],[Jan AC]:[Dec AC]])</f>
        <v>4982.8</v>
      </c>
      <c r="BC114" s="66">
        <f>Financials20263[[#This Row],[Jan AC]]-Financials20263[[#This Row],[Jan FC]]</f>
        <v>573.80000000000018</v>
      </c>
      <c r="BD114" s="66">
        <f>Financials20263[[#This Row],[Feb AC]]-Financials20263[[#This Row],[Feb FC]]</f>
        <v>0</v>
      </c>
      <c r="BE114" s="66">
        <f>Financials20263[[#This Row],[Mar AC]]-Financials20263[[#This Row],[Mar FC]]</f>
        <v>0</v>
      </c>
      <c r="BF114" s="66">
        <f>Financials20263[[#This Row],[Apr AC]]-Financials20263[[#This Row],[Apr FC]]</f>
        <v>0</v>
      </c>
      <c r="BG114" s="66">
        <f>Financials20263[[#This Row],[May AC]]-Financials20263[[#This Row],[May FC]]</f>
        <v>0</v>
      </c>
      <c r="BH114" s="66">
        <f>Financials20263[[#This Row],[Jun AC]]-Financials20263[[#This Row],[Jun FC]]</f>
        <v>0</v>
      </c>
      <c r="BI114" s="66">
        <f>Financials20263[[#This Row],[Jul AC]]-Financials20263[[#This Row],[Jul FC]]</f>
        <v>0</v>
      </c>
      <c r="BJ114" s="66">
        <f>Financials20263[[#This Row],[Aug AC]]-Financials20263[[#This Row],[Aug FC]]</f>
        <v>0</v>
      </c>
      <c r="BK114" s="66">
        <f>Financials20263[[#This Row],[Sep AC]]-Financials20263[[#This Row],[Sep FC]]</f>
        <v>0</v>
      </c>
      <c r="BL114" s="66">
        <f>Financials20263[[#This Row],[Oct AC]]-Financials20263[[#This Row],[Oct FC]]</f>
        <v>0</v>
      </c>
      <c r="BM114" s="66">
        <f>Financials20263[[#This Row],[Nov AC]]-Financials20263[[#This Row],[Nov FC]]</f>
        <v>0</v>
      </c>
      <c r="BN114" s="66">
        <f>Financials20263[[#This Row],[Dec AC]]-Financials20263[[#This Row],[Dec FC]]</f>
        <v>0</v>
      </c>
      <c r="BO114" s="66">
        <f>SUM(Financials20263[[#This Row],[Jan Opp/Risk]:[Dec Opp./Risk]])</f>
        <v>573.80000000000018</v>
      </c>
      <c r="BP114" s="82" t="s">
        <v>377</v>
      </c>
      <c r="BQ114" s="44">
        <f>SUM(Financials20263[[#This Row],[Jan AC]:[Jun AC]])</f>
        <v>4982.8</v>
      </c>
      <c r="BR114" s="6">
        <f t="shared" si="46"/>
        <v>0</v>
      </c>
      <c r="BS114" s="6">
        <f>Financials20263[[#This Row],[Jul-Dec FC]]+Financials20263[[#This Row],[Pending Jan-Jun]]</f>
        <v>0</v>
      </c>
      <c r="BT114" s="6"/>
      <c r="BU114" s="6"/>
      <c r="BV114" s="6"/>
    </row>
    <row r="115" spans="1:74" hidden="1">
      <c r="A115" s="20" t="s">
        <v>320</v>
      </c>
      <c r="B115" s="19" t="s">
        <v>154</v>
      </c>
      <c r="C115" s="19"/>
      <c r="D115" s="10" t="s">
        <v>364</v>
      </c>
      <c r="E115" s="7" t="s">
        <v>365</v>
      </c>
      <c r="F115" s="3" t="s">
        <v>366</v>
      </c>
      <c r="G115" s="3" t="s">
        <v>24</v>
      </c>
      <c r="H115" s="4"/>
      <c r="I115" s="4"/>
      <c r="J115" s="3"/>
      <c r="K115" s="3" t="str">
        <f t="shared" si="30"/>
        <v>Prj000290-Support - Asset Management Applications</v>
      </c>
      <c r="L115" s="19" t="s">
        <v>252</v>
      </c>
      <c r="M115" s="19" t="s">
        <v>15</v>
      </c>
      <c r="N115" s="19" t="s">
        <v>15</v>
      </c>
      <c r="O115" s="19"/>
      <c r="P115" s="19" t="s">
        <v>391</v>
      </c>
      <c r="Q115" s="19" t="s">
        <v>391</v>
      </c>
      <c r="R115" s="19" t="s">
        <v>392</v>
      </c>
      <c r="S115" s="19" t="s">
        <v>354</v>
      </c>
      <c r="T115" s="5">
        <v>342</v>
      </c>
      <c r="U115" s="15">
        <v>359</v>
      </c>
      <c r="V115" s="15">
        <v>359</v>
      </c>
      <c r="W115" s="15">
        <f t="shared" si="44"/>
        <v>359</v>
      </c>
      <c r="X115" s="15">
        <f t="shared" si="35"/>
        <v>0</v>
      </c>
      <c r="Y115" s="15">
        <f t="shared" si="32"/>
        <v>0</v>
      </c>
      <c r="Z115" s="15">
        <f>SUM(Financials20263[[#This Row],[2026 Opportunity]:[2026 Risk]])</f>
        <v>0</v>
      </c>
      <c r="AA115" s="3" t="s">
        <v>376</v>
      </c>
      <c r="AB115" s="47"/>
      <c r="AC115" s="47"/>
      <c r="AD115" s="47">
        <v>359</v>
      </c>
      <c r="AE115" s="47"/>
      <c r="AF115" s="47"/>
      <c r="AG115" s="47"/>
      <c r="AH115" s="47"/>
      <c r="AI115" s="47"/>
      <c r="AJ115" s="47"/>
      <c r="AK115" s="47"/>
      <c r="AL115" s="47"/>
      <c r="AM115" s="47"/>
      <c r="AN115" s="47">
        <f>SUM(Financials20263[[#This Row],[Jan FC]:[Dec FC]])</f>
        <v>359</v>
      </c>
      <c r="AO115" s="15">
        <f>SUM(Financials20263[[#This Row],[Jul FC]:[Dec FC]])</f>
        <v>0</v>
      </c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75">
        <f>SUM(Financials20263[[#This Row],[Jan AC]:[Dec AC]])</f>
        <v>0</v>
      </c>
      <c r="BC115" s="66">
        <f>Financials20263[[#This Row],[Jan AC]]-Financials20263[[#This Row],[Jan FC]]</f>
        <v>0</v>
      </c>
      <c r="BD115" s="66">
        <f>Financials20263[[#This Row],[Feb AC]]-Financials20263[[#This Row],[Feb FC]]</f>
        <v>0</v>
      </c>
      <c r="BE115" s="66">
        <f>Financials20263[[#This Row],[Mar AC]]-Financials20263[[#This Row],[Mar FC]]</f>
        <v>-359</v>
      </c>
      <c r="BF115" s="66">
        <f>Financials20263[[#This Row],[Apr AC]]-Financials20263[[#This Row],[Apr FC]]</f>
        <v>0</v>
      </c>
      <c r="BG115" s="66">
        <f>Financials20263[[#This Row],[May AC]]-Financials20263[[#This Row],[May FC]]</f>
        <v>0</v>
      </c>
      <c r="BH115" s="66">
        <f>Financials20263[[#This Row],[Jun AC]]-Financials20263[[#This Row],[Jun FC]]</f>
        <v>0</v>
      </c>
      <c r="BI115" s="66">
        <f>Financials20263[[#This Row],[Jul AC]]-Financials20263[[#This Row],[Jul FC]]</f>
        <v>0</v>
      </c>
      <c r="BJ115" s="66">
        <f>Financials20263[[#This Row],[Aug AC]]-Financials20263[[#This Row],[Aug FC]]</f>
        <v>0</v>
      </c>
      <c r="BK115" s="66">
        <f>Financials20263[[#This Row],[Sep AC]]-Financials20263[[#This Row],[Sep FC]]</f>
        <v>0</v>
      </c>
      <c r="BL115" s="66">
        <f>Financials20263[[#This Row],[Oct AC]]-Financials20263[[#This Row],[Oct FC]]</f>
        <v>0</v>
      </c>
      <c r="BM115" s="66">
        <f>Financials20263[[#This Row],[Nov AC]]-Financials20263[[#This Row],[Nov FC]]</f>
        <v>0</v>
      </c>
      <c r="BN115" s="66">
        <f>Financials20263[[#This Row],[Dec AC]]-Financials20263[[#This Row],[Dec FC]]</f>
        <v>0</v>
      </c>
      <c r="BO115" s="66">
        <f>SUM(Financials20263[[#This Row],[Jan Opp/Risk]:[Dec Opp./Risk]])</f>
        <v>-359</v>
      </c>
      <c r="BP115" s="82"/>
      <c r="BQ115" s="44">
        <f>SUM(Financials20263[[#This Row],[Jan AC]:[Jun AC]])</f>
        <v>0</v>
      </c>
      <c r="BR115" s="6">
        <f t="shared" si="46"/>
        <v>359</v>
      </c>
      <c r="BS115" s="6">
        <f>Financials20263[[#This Row],[Jul-Dec FC]]+Financials20263[[#This Row],[Pending Jan-Jun]]</f>
        <v>359</v>
      </c>
      <c r="BT115" s="6"/>
      <c r="BU115" s="6"/>
      <c r="BV115" s="6"/>
    </row>
    <row r="116" spans="1:74" hidden="1">
      <c r="A116" s="20" t="s">
        <v>320</v>
      </c>
      <c r="B116" s="19" t="s">
        <v>148</v>
      </c>
      <c r="C116" s="19" t="s">
        <v>651</v>
      </c>
      <c r="D116" s="10" t="s">
        <v>442</v>
      </c>
      <c r="E116" s="7" t="s">
        <v>443</v>
      </c>
      <c r="F116" s="3" t="s">
        <v>444</v>
      </c>
      <c r="G116" s="3" t="s">
        <v>22</v>
      </c>
      <c r="H116" s="4"/>
      <c r="I116" s="4"/>
      <c r="J116" s="3"/>
      <c r="K116" s="3" t="str">
        <f t="shared" si="30"/>
        <v>Prj000469-Support - Prod Support for Ops Apps</v>
      </c>
      <c r="L116" s="19" t="s">
        <v>252</v>
      </c>
      <c r="M116" s="19" t="s">
        <v>15</v>
      </c>
      <c r="N116" s="19" t="s">
        <v>15</v>
      </c>
      <c r="O116" s="19" t="s">
        <v>652</v>
      </c>
      <c r="P116" s="19" t="s">
        <v>391</v>
      </c>
      <c r="Q116" s="19" t="s">
        <v>391</v>
      </c>
      <c r="R116" s="19" t="s">
        <v>392</v>
      </c>
      <c r="S116" s="19" t="s">
        <v>383</v>
      </c>
      <c r="T116" s="5">
        <v>64257.05</v>
      </c>
      <c r="U116" s="15">
        <v>67470</v>
      </c>
      <c r="V116" s="15">
        <v>67470</v>
      </c>
      <c r="W116" s="15">
        <f t="shared" si="44"/>
        <v>67977.899999999994</v>
      </c>
      <c r="X116" s="15">
        <f t="shared" si="35"/>
        <v>0</v>
      </c>
      <c r="Y116" s="15">
        <f t="shared" si="32"/>
        <v>507.89999999999418</v>
      </c>
      <c r="Z116" s="15">
        <f>SUM(Financials20263[[#This Row],[2026 Opportunity]:[2026 Risk]])</f>
        <v>507.89999999999418</v>
      </c>
      <c r="AA116" s="3" t="s">
        <v>376</v>
      </c>
      <c r="AB116" s="47">
        <v>16878.150000000001</v>
      </c>
      <c r="AC116" s="47"/>
      <c r="AD116" s="47"/>
      <c r="AE116" s="47">
        <v>16867.5</v>
      </c>
      <c r="AF116" s="47"/>
      <c r="AG116" s="47"/>
      <c r="AH116" s="47">
        <v>16867.5</v>
      </c>
      <c r="AI116" s="47"/>
      <c r="AJ116" s="47"/>
      <c r="AK116" s="47">
        <v>16867.5</v>
      </c>
      <c r="AL116" s="47"/>
      <c r="AM116" s="47"/>
      <c r="AN116" s="70">
        <f>SUM(Financials20263[[#This Row],[Jan FC]:[Dec FC]])</f>
        <v>67480.649999999994</v>
      </c>
      <c r="AO116" s="15">
        <f>SUM(Financials20263[[#This Row],[Jul FC]:[Dec FC]])</f>
        <v>33735</v>
      </c>
      <c r="AP116" s="56">
        <v>16878.150000000001</v>
      </c>
      <c r="AQ116" s="56"/>
      <c r="AR116" s="56"/>
      <c r="AS116" s="56">
        <v>17364.75</v>
      </c>
      <c r="AT116" s="56"/>
      <c r="AU116" s="56"/>
      <c r="AV116" s="56"/>
      <c r="AW116" s="56"/>
      <c r="AX116" s="56"/>
      <c r="AY116" s="56"/>
      <c r="AZ116" s="56"/>
      <c r="BA116" s="56"/>
      <c r="BB116" s="75">
        <f>SUM(Financials20263[[#This Row],[Jan AC]:[Dec AC]])</f>
        <v>34242.9</v>
      </c>
      <c r="BC116" s="66">
        <f>Financials20263[[#This Row],[Jan AC]]-Financials20263[[#This Row],[Jan FC]]</f>
        <v>0</v>
      </c>
      <c r="BD116" s="66">
        <f>Financials20263[[#This Row],[Feb AC]]-Financials20263[[#This Row],[Feb FC]]</f>
        <v>0</v>
      </c>
      <c r="BE116" s="66">
        <f>Financials20263[[#This Row],[Mar AC]]-Financials20263[[#This Row],[Mar FC]]</f>
        <v>0</v>
      </c>
      <c r="BF116" s="66">
        <f>Financials20263[[#This Row],[Apr AC]]-Financials20263[[#This Row],[Apr FC]]</f>
        <v>497.25</v>
      </c>
      <c r="BG116" s="66">
        <f>Financials20263[[#This Row],[May AC]]-Financials20263[[#This Row],[May FC]]</f>
        <v>0</v>
      </c>
      <c r="BH116" s="66">
        <f>Financials20263[[#This Row],[Jun AC]]-Financials20263[[#This Row],[Jun FC]]</f>
        <v>0</v>
      </c>
      <c r="BI116" s="66">
        <f>Financials20263[[#This Row],[Jul AC]]-Financials20263[[#This Row],[Jul FC]]</f>
        <v>-16867.5</v>
      </c>
      <c r="BJ116" s="66">
        <f>Financials20263[[#This Row],[Aug AC]]-Financials20263[[#This Row],[Aug FC]]</f>
        <v>0</v>
      </c>
      <c r="BK116" s="66">
        <f>Financials20263[[#This Row],[Sep AC]]-Financials20263[[#This Row],[Sep FC]]</f>
        <v>0</v>
      </c>
      <c r="BL116" s="66">
        <f>Financials20263[[#This Row],[Oct AC]]-Financials20263[[#This Row],[Oct FC]]</f>
        <v>-16867.5</v>
      </c>
      <c r="BM116" s="66">
        <f>Financials20263[[#This Row],[Nov AC]]-Financials20263[[#This Row],[Nov FC]]</f>
        <v>0</v>
      </c>
      <c r="BN116" s="66">
        <f>Financials20263[[#This Row],[Dec AC]]-Financials20263[[#This Row],[Dec FC]]</f>
        <v>0</v>
      </c>
      <c r="BO116" s="66">
        <f>SUM(Financials20263[[#This Row],[Jan Opp/Risk]:[Dec Opp./Risk]])</f>
        <v>-33237.75</v>
      </c>
      <c r="BP116" s="82"/>
      <c r="BQ116" s="44">
        <f>SUM(Financials20263[[#This Row],[Jan AC]:[Jun AC]])</f>
        <v>34242.9</v>
      </c>
      <c r="BR116" s="6">
        <f t="shared" si="46"/>
        <v>0</v>
      </c>
      <c r="BS116" s="6">
        <f>Financials20263[[#This Row],[Jul-Dec FC]]+Financials20263[[#This Row],[Pending Jan-Jun]]</f>
        <v>33735</v>
      </c>
      <c r="BT116" s="6"/>
      <c r="BU116" s="6"/>
      <c r="BV116" s="6"/>
    </row>
    <row r="117" spans="1:74" hidden="1">
      <c r="A117" s="20" t="s">
        <v>320</v>
      </c>
      <c r="B117" s="19" t="s">
        <v>150</v>
      </c>
      <c r="C117" s="19"/>
      <c r="D117" s="10" t="s">
        <v>442</v>
      </c>
      <c r="E117" s="7" t="s">
        <v>443</v>
      </c>
      <c r="F117" s="3" t="s">
        <v>444</v>
      </c>
      <c r="G117" s="3" t="s">
        <v>22</v>
      </c>
      <c r="H117" s="4">
        <v>45962</v>
      </c>
      <c r="I117" s="4">
        <v>46326</v>
      </c>
      <c r="J117" s="3"/>
      <c r="K117" s="3" t="str">
        <f t="shared" si="30"/>
        <v>Prj000469-Support - Prod Support for Ops Apps</v>
      </c>
      <c r="L117" s="19" t="s">
        <v>252</v>
      </c>
      <c r="M117" s="19" t="s">
        <v>15</v>
      </c>
      <c r="N117" s="19" t="s">
        <v>15</v>
      </c>
      <c r="O117" s="19"/>
      <c r="P117" s="19" t="s">
        <v>391</v>
      </c>
      <c r="Q117" s="19" t="s">
        <v>391</v>
      </c>
      <c r="R117" s="19" t="s">
        <v>392</v>
      </c>
      <c r="S117" s="19" t="s">
        <v>354</v>
      </c>
      <c r="T117" s="5">
        <v>10000</v>
      </c>
      <c r="U117" s="5">
        <v>25000</v>
      </c>
      <c r="V117" s="5">
        <v>25000</v>
      </c>
      <c r="W117" s="15">
        <f t="shared" si="44"/>
        <v>25000</v>
      </c>
      <c r="X117" s="15">
        <f t="shared" si="35"/>
        <v>0</v>
      </c>
      <c r="Y117" s="15">
        <f t="shared" si="32"/>
        <v>0</v>
      </c>
      <c r="Z117" s="15">
        <f>SUM(Financials20263[[#This Row],[2026 Opportunity]:[2026 Risk]])</f>
        <v>0</v>
      </c>
      <c r="AA117" s="3" t="s">
        <v>376</v>
      </c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>
        <v>25000</v>
      </c>
      <c r="AM117" s="47"/>
      <c r="AN117" s="47">
        <f>SUM(Financials20263[[#This Row],[Jan FC]:[Dec FC]])</f>
        <v>25000</v>
      </c>
      <c r="AO117" s="15">
        <f>SUM(Financials20263[[#This Row],[Jul FC]:[Dec FC]])</f>
        <v>25000</v>
      </c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75">
        <f>SUM(Financials20263[[#This Row],[Jan AC]:[Dec AC]])</f>
        <v>0</v>
      </c>
      <c r="BC117" s="66">
        <f>Financials20263[[#This Row],[Jan AC]]-Financials20263[[#This Row],[Jan FC]]</f>
        <v>0</v>
      </c>
      <c r="BD117" s="66">
        <f>Financials20263[[#This Row],[Feb AC]]-Financials20263[[#This Row],[Feb FC]]</f>
        <v>0</v>
      </c>
      <c r="BE117" s="66">
        <f>Financials20263[[#This Row],[Mar AC]]-Financials20263[[#This Row],[Mar FC]]</f>
        <v>0</v>
      </c>
      <c r="BF117" s="66">
        <f>Financials20263[[#This Row],[Apr AC]]-Financials20263[[#This Row],[Apr FC]]</f>
        <v>0</v>
      </c>
      <c r="BG117" s="66">
        <f>Financials20263[[#This Row],[May AC]]-Financials20263[[#This Row],[May FC]]</f>
        <v>0</v>
      </c>
      <c r="BH117" s="66">
        <f>Financials20263[[#This Row],[Jun AC]]-Financials20263[[#This Row],[Jun FC]]</f>
        <v>0</v>
      </c>
      <c r="BI117" s="66">
        <f>Financials20263[[#This Row],[Jul AC]]-Financials20263[[#This Row],[Jul FC]]</f>
        <v>0</v>
      </c>
      <c r="BJ117" s="66">
        <f>Financials20263[[#This Row],[Aug AC]]-Financials20263[[#This Row],[Aug FC]]</f>
        <v>0</v>
      </c>
      <c r="BK117" s="66">
        <f>Financials20263[[#This Row],[Sep AC]]-Financials20263[[#This Row],[Sep FC]]</f>
        <v>0</v>
      </c>
      <c r="BL117" s="66">
        <f>Financials20263[[#This Row],[Oct AC]]-Financials20263[[#This Row],[Oct FC]]</f>
        <v>0</v>
      </c>
      <c r="BM117" s="66">
        <f>Financials20263[[#This Row],[Nov AC]]-Financials20263[[#This Row],[Nov FC]]</f>
        <v>-25000</v>
      </c>
      <c r="BN117" s="66">
        <f>Financials20263[[#This Row],[Dec AC]]-Financials20263[[#This Row],[Dec FC]]</f>
        <v>0</v>
      </c>
      <c r="BO117" s="66">
        <f>SUM(Financials20263[[#This Row],[Jan Opp/Risk]:[Dec Opp./Risk]])</f>
        <v>-25000</v>
      </c>
      <c r="BP117" s="82"/>
      <c r="BQ117" s="44">
        <f>SUM(Financials20263[[#This Row],[Jan AC]:[Jun AC]])</f>
        <v>0</v>
      </c>
      <c r="BR117" s="6">
        <f t="shared" si="46"/>
        <v>0</v>
      </c>
      <c r="BS117" s="6">
        <f>Financials20263[[#This Row],[Jul-Dec FC]]+Financials20263[[#This Row],[Pending Jan-Jun]]</f>
        <v>25000</v>
      </c>
      <c r="BT117" s="6"/>
      <c r="BU117" s="6"/>
      <c r="BV117" s="6"/>
    </row>
    <row r="118" spans="1:74" hidden="1">
      <c r="A118" s="20" t="s">
        <v>386</v>
      </c>
      <c r="B118" s="19" t="s">
        <v>72</v>
      </c>
      <c r="C118" s="19"/>
      <c r="D118" s="10" t="s">
        <v>322</v>
      </c>
      <c r="E118" s="7" t="s">
        <v>323</v>
      </c>
      <c r="F118" s="3" t="s">
        <v>324</v>
      </c>
      <c r="G118" s="3" t="s">
        <v>21</v>
      </c>
      <c r="H118" s="4" t="s">
        <v>336</v>
      </c>
      <c r="I118" s="4" t="s">
        <v>336</v>
      </c>
      <c r="J118" s="3"/>
      <c r="K118" s="3" t="str">
        <f t="shared" si="30"/>
        <v>Prj000350-Support - Infrastructure for Tech</v>
      </c>
      <c r="L118" s="19" t="s">
        <v>252</v>
      </c>
      <c r="M118" s="19" t="s">
        <v>11</v>
      </c>
      <c r="N118" s="19" t="s">
        <v>11</v>
      </c>
      <c r="O118" s="19"/>
      <c r="P118" s="19" t="s">
        <v>326</v>
      </c>
      <c r="Q118" s="19" t="s">
        <v>653</v>
      </c>
      <c r="R118" s="19" t="s">
        <v>653</v>
      </c>
      <c r="S118" s="19" t="s">
        <v>350</v>
      </c>
      <c r="T118" s="5">
        <v>79902.28</v>
      </c>
      <c r="U118" s="15">
        <v>34646</v>
      </c>
      <c r="V118" s="15">
        <v>34646</v>
      </c>
      <c r="W118" s="15">
        <f t="shared" si="44"/>
        <v>25341.853333333336</v>
      </c>
      <c r="X118" s="15">
        <f t="shared" si="35"/>
        <v>-9304.1466666666638</v>
      </c>
      <c r="Y118" s="15">
        <f t="shared" si="32"/>
        <v>0</v>
      </c>
      <c r="Z118" s="15">
        <f>SUM(Financials20263[[#This Row],[2026 Opportunity]:[2026 Risk]])</f>
        <v>-9304.1466666666638</v>
      </c>
      <c r="AA118" s="3"/>
      <c r="AB118" s="47">
        <v>2887.1666666666665</v>
      </c>
      <c r="AC118" s="47">
        <v>2887.1666666666665</v>
      </c>
      <c r="AD118" s="47">
        <v>2887.1666666666665</v>
      </c>
      <c r="AE118" s="47">
        <v>2887.1666666666665</v>
      </c>
      <c r="AF118" s="47">
        <v>2887.1666666666665</v>
      </c>
      <c r="AG118" s="47">
        <v>2887.1666666666665</v>
      </c>
      <c r="AH118" s="47">
        <v>2887.1666666666665</v>
      </c>
      <c r="AI118" s="47">
        <v>2887.1666666666665</v>
      </c>
      <c r="AJ118" s="47">
        <v>2887.1666666666665</v>
      </c>
      <c r="AK118" s="47">
        <v>2887.1666666666665</v>
      </c>
      <c r="AL118" s="47">
        <v>2887.1666666666665</v>
      </c>
      <c r="AM118" s="47">
        <v>2887.1666666666665</v>
      </c>
      <c r="AN118" s="43">
        <f>SUM(Financials20263[[#This Row],[Jan FC]:[Dec FC]])</f>
        <v>34646.000000000007</v>
      </c>
      <c r="AO118" s="15">
        <f>SUM(Financials20263[[#This Row],[Jul FC]:[Dec FC]])</f>
        <v>17323</v>
      </c>
      <c r="AP118" s="56">
        <f>112.17+163.93+258.09+260.79+176.54</f>
        <v>971.52</v>
      </c>
      <c r="AQ118" s="56">
        <v>142.37</v>
      </c>
      <c r="AR118" s="56">
        <v>349.61</v>
      </c>
      <c r="AS118" s="56">
        <f>608.43+172.59</f>
        <v>781.02</v>
      </c>
      <c r="AT118" s="56"/>
      <c r="AU118" s="56"/>
      <c r="AV118" s="56"/>
      <c r="AW118" s="56"/>
      <c r="AX118" s="56"/>
      <c r="AY118" s="56"/>
      <c r="AZ118" s="56"/>
      <c r="BA118" s="56"/>
      <c r="BB118" s="75">
        <f>SUM(Financials20263[[#This Row],[Jan AC]:[Dec AC]])</f>
        <v>2244.52</v>
      </c>
      <c r="BC118" s="66">
        <f>Financials20263[[#This Row],[Jan AC]]-Financials20263[[#This Row],[Jan FC]]</f>
        <v>-1915.6466666666665</v>
      </c>
      <c r="BD118" s="66">
        <f>Financials20263[[#This Row],[Feb AC]]-Financials20263[[#This Row],[Feb FC]]</f>
        <v>-2744.7966666666666</v>
      </c>
      <c r="BE118" s="66">
        <f>Financials20263[[#This Row],[Mar AC]]-Financials20263[[#This Row],[Mar FC]]</f>
        <v>-2537.5566666666664</v>
      </c>
      <c r="BF118" s="66">
        <f>Financials20263[[#This Row],[Apr AC]]-Financials20263[[#This Row],[Apr FC]]</f>
        <v>-2106.1466666666665</v>
      </c>
      <c r="BG118" s="66">
        <f>Financials20263[[#This Row],[May AC]]-Financials20263[[#This Row],[May FC]]</f>
        <v>-2887.1666666666665</v>
      </c>
      <c r="BH118" s="66">
        <f>Financials20263[[#This Row],[Jun AC]]-Financials20263[[#This Row],[Jun FC]]</f>
        <v>-2887.1666666666665</v>
      </c>
      <c r="BI118" s="66">
        <f>Financials20263[[#This Row],[Jul AC]]-Financials20263[[#This Row],[Jul FC]]</f>
        <v>-2887.1666666666665</v>
      </c>
      <c r="BJ118" s="66">
        <f>Financials20263[[#This Row],[Aug AC]]-Financials20263[[#This Row],[Aug FC]]</f>
        <v>-2887.1666666666665</v>
      </c>
      <c r="BK118" s="66">
        <f>Financials20263[[#This Row],[Sep AC]]-Financials20263[[#This Row],[Sep FC]]</f>
        <v>-2887.1666666666665</v>
      </c>
      <c r="BL118" s="66">
        <f>Financials20263[[#This Row],[Oct AC]]-Financials20263[[#This Row],[Oct FC]]</f>
        <v>-2887.1666666666665</v>
      </c>
      <c r="BM118" s="66">
        <f>Financials20263[[#This Row],[Nov AC]]-Financials20263[[#This Row],[Nov FC]]</f>
        <v>-2887.1666666666665</v>
      </c>
      <c r="BN118" s="66">
        <f>Financials20263[[#This Row],[Dec AC]]-Financials20263[[#This Row],[Dec FC]]</f>
        <v>-2887.1666666666665</v>
      </c>
      <c r="BO118" s="66">
        <f>SUM(Financials20263[[#This Row],[Jan Opp/Risk]:[Dec Opp./Risk]])</f>
        <v>-32401.480000000003</v>
      </c>
      <c r="BP118" s="82" t="s">
        <v>654</v>
      </c>
      <c r="BQ118" s="44">
        <f>SUM(Financials20263[[#This Row],[Jan AC]:[Jun AC]])</f>
        <v>2244.52</v>
      </c>
      <c r="BR118" s="6">
        <f t="shared" si="46"/>
        <v>5774.333333333333</v>
      </c>
      <c r="BS118" s="6">
        <f>Financials20263[[#This Row],[Jul-Dec FC]]+Financials20263[[#This Row],[Pending Jan-Jun]]</f>
        <v>23097.333333333332</v>
      </c>
      <c r="BT118" s="6"/>
      <c r="BU118" s="6"/>
      <c r="BV118" s="6"/>
    </row>
    <row r="119" spans="1:74" hidden="1">
      <c r="A119" s="20" t="s">
        <v>320</v>
      </c>
      <c r="B119" s="19" t="s">
        <v>71</v>
      </c>
      <c r="C119" s="19" t="s">
        <v>550</v>
      </c>
      <c r="D119" s="10" t="s">
        <v>322</v>
      </c>
      <c r="E119" s="7" t="s">
        <v>323</v>
      </c>
      <c r="F119" s="3" t="s">
        <v>324</v>
      </c>
      <c r="G119" s="3" t="s">
        <v>21</v>
      </c>
      <c r="H119" s="4">
        <v>46052</v>
      </c>
      <c r="I119" s="4">
        <v>46416</v>
      </c>
      <c r="J119" s="3" t="s">
        <v>655</v>
      </c>
      <c r="K119" s="3" t="str">
        <f t="shared" si="30"/>
        <v>Prj000350-Support - Infrastructure for Tech</v>
      </c>
      <c r="L119" s="19" t="s">
        <v>252</v>
      </c>
      <c r="M119" s="19" t="s">
        <v>11</v>
      </c>
      <c r="N119" s="19" t="s">
        <v>11</v>
      </c>
      <c r="O119" s="19"/>
      <c r="P119" s="19" t="s">
        <v>326</v>
      </c>
      <c r="Q119" s="19" t="s">
        <v>653</v>
      </c>
      <c r="R119" s="19" t="s">
        <v>653</v>
      </c>
      <c r="S119" s="19" t="s">
        <v>354</v>
      </c>
      <c r="T119" s="5">
        <v>0</v>
      </c>
      <c r="U119" s="15">
        <v>0</v>
      </c>
      <c r="V119" s="15">
        <v>81590</v>
      </c>
      <c r="W119" s="15">
        <f t="shared" si="44"/>
        <v>81590.33</v>
      </c>
      <c r="X119" s="15">
        <f t="shared" si="35"/>
        <v>0</v>
      </c>
      <c r="Y119" s="15">
        <f t="shared" si="32"/>
        <v>0.33000000000174623</v>
      </c>
      <c r="Z119" s="15">
        <f>SUM(Financials20263[[#This Row],[2026 Opportunity]:[2026 Risk]])</f>
        <v>0.33000000000174623</v>
      </c>
      <c r="AA119" s="3" t="s">
        <v>656</v>
      </c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3">
        <v>53127</v>
      </c>
      <c r="AN119" s="47">
        <f>SUM(Financials20263[[#This Row],[Jan FC]:[Dec FC]])</f>
        <v>53127</v>
      </c>
      <c r="AO119" s="15">
        <f>SUM(Financials20263[[#This Row],[Jul FC]:[Dec FC]])</f>
        <v>53127</v>
      </c>
      <c r="AP119" s="56">
        <v>0</v>
      </c>
      <c r="AQ119" s="56">
        <v>0</v>
      </c>
      <c r="AR119" s="56">
        <f>5153.97+1278.65+336.91+5114.71</f>
        <v>11884.240000000002</v>
      </c>
      <c r="AS119" s="56">
        <v>8814.31</v>
      </c>
      <c r="AT119" s="56">
        <v>0</v>
      </c>
      <c r="AU119" s="56">
        <v>7764.78</v>
      </c>
      <c r="AV119" s="56">
        <v>0</v>
      </c>
      <c r="AW119" s="56">
        <v>0</v>
      </c>
      <c r="AX119" s="56">
        <v>0</v>
      </c>
      <c r="AY119" s="56">
        <v>0</v>
      </c>
      <c r="AZ119" s="56">
        <v>0</v>
      </c>
      <c r="BA119" s="56">
        <v>0</v>
      </c>
      <c r="BB119" s="75">
        <f>SUM(Financials20263[[#This Row],[Jan AC]:[Dec AC]])</f>
        <v>28463.33</v>
      </c>
      <c r="BC119" s="66">
        <f>Financials20263[[#This Row],[Jan AC]]-Financials20263[[#This Row],[Jan FC]]</f>
        <v>0</v>
      </c>
      <c r="BD119" s="66">
        <f>Financials20263[[#This Row],[Feb AC]]-Financials20263[[#This Row],[Feb FC]]</f>
        <v>0</v>
      </c>
      <c r="BE119" s="66">
        <f>Financials20263[[#This Row],[Mar AC]]-Financials20263[[#This Row],[Mar FC]]</f>
        <v>11884.240000000002</v>
      </c>
      <c r="BF119" s="66">
        <f>Financials20263[[#This Row],[Apr AC]]-Financials20263[[#This Row],[Apr FC]]</f>
        <v>8814.31</v>
      </c>
      <c r="BG119" s="66">
        <f>Financials20263[[#This Row],[May AC]]-Financials20263[[#This Row],[May FC]]</f>
        <v>0</v>
      </c>
      <c r="BH119" s="66">
        <f>Financials20263[[#This Row],[Jun AC]]-Financials20263[[#This Row],[Jun FC]]</f>
        <v>7764.78</v>
      </c>
      <c r="BI119" s="66">
        <f>Financials20263[[#This Row],[Jul AC]]-Financials20263[[#This Row],[Jul FC]]</f>
        <v>0</v>
      </c>
      <c r="BJ119" s="66">
        <f>Financials20263[[#This Row],[Aug AC]]-Financials20263[[#This Row],[Aug FC]]</f>
        <v>0</v>
      </c>
      <c r="BK119" s="66">
        <f>Financials20263[[#This Row],[Sep AC]]-Financials20263[[#This Row],[Sep FC]]</f>
        <v>0</v>
      </c>
      <c r="BL119" s="66">
        <f>Financials20263[[#This Row],[Oct AC]]-Financials20263[[#This Row],[Oct FC]]</f>
        <v>0</v>
      </c>
      <c r="BM119" s="66">
        <f>Financials20263[[#This Row],[Nov AC]]-Financials20263[[#This Row],[Nov FC]]</f>
        <v>0</v>
      </c>
      <c r="BN119" s="66">
        <f>Financials20263[[#This Row],[Dec AC]]-Financials20263[[#This Row],[Dec FC]]</f>
        <v>-53127</v>
      </c>
      <c r="BO119" s="66">
        <f>SUM(Financials20263[[#This Row],[Jan Opp/Risk]:[Dec Opp./Risk]])</f>
        <v>-24663.67</v>
      </c>
      <c r="BP119" s="82" t="s">
        <v>657</v>
      </c>
      <c r="BQ119" s="44">
        <f>SUM(Financials20263[[#This Row],[Jan AC]:[Jun AC]])</f>
        <v>28463.33</v>
      </c>
      <c r="BR119" s="6">
        <f t="shared" si="46"/>
        <v>0</v>
      </c>
      <c r="BS119" s="6">
        <f>Financials20263[[#This Row],[Jul-Dec FC]]+Financials20263[[#This Row],[Pending Jan-Jun]]</f>
        <v>53127</v>
      </c>
      <c r="BT119" s="6"/>
      <c r="BU119" s="6"/>
      <c r="BV119" s="6"/>
    </row>
    <row r="120" spans="1:74" hidden="1">
      <c r="A120" s="20" t="s">
        <v>320</v>
      </c>
      <c r="B120" s="19" t="s">
        <v>71</v>
      </c>
      <c r="C120" s="19" t="s">
        <v>550</v>
      </c>
      <c r="D120" s="10" t="s">
        <v>322</v>
      </c>
      <c r="E120" s="7" t="s">
        <v>323</v>
      </c>
      <c r="F120" s="3" t="s">
        <v>324</v>
      </c>
      <c r="G120" s="3" t="s">
        <v>21</v>
      </c>
      <c r="H120" s="1" t="s">
        <v>367</v>
      </c>
      <c r="I120" s="1" t="s">
        <v>367</v>
      </c>
      <c r="J120" s="3" t="s">
        <v>658</v>
      </c>
      <c r="K120" s="3" t="str">
        <f t="shared" si="30"/>
        <v>Prj000350-Support - Infrastructure for Tech</v>
      </c>
      <c r="L120" s="19" t="s">
        <v>252</v>
      </c>
      <c r="M120" s="19" t="s">
        <v>12</v>
      </c>
      <c r="N120" s="19" t="s">
        <v>12</v>
      </c>
      <c r="O120" s="19" t="s">
        <v>469</v>
      </c>
      <c r="P120" s="19" t="s">
        <v>326</v>
      </c>
      <c r="Q120" s="19" t="s">
        <v>470</v>
      </c>
      <c r="R120" s="19" t="s">
        <v>470</v>
      </c>
      <c r="S120" s="19" t="s">
        <v>350</v>
      </c>
      <c r="T120" s="5">
        <v>211</v>
      </c>
      <c r="U120" s="15">
        <v>0</v>
      </c>
      <c r="V120" s="15">
        <v>0</v>
      </c>
      <c r="W120" s="15">
        <f t="shared" si="44"/>
        <v>139.94</v>
      </c>
      <c r="X120" s="15">
        <f t="shared" si="35"/>
        <v>0</v>
      </c>
      <c r="Y120" s="15">
        <f t="shared" si="32"/>
        <v>139.94</v>
      </c>
      <c r="Z120" s="15">
        <f>SUM(Financials20263[[#This Row],[2026 Opportunity]:[2026 Risk]])</f>
        <v>139.94</v>
      </c>
      <c r="AA120" s="3" t="s">
        <v>659</v>
      </c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>
        <f>SUM(Financials20263[[#This Row],[Jan FC]:[Dec FC]])</f>
        <v>0</v>
      </c>
      <c r="AO120" s="15">
        <f>SUM(Financials20263[[#This Row],[Jul FC]:[Dec FC]])</f>
        <v>0</v>
      </c>
      <c r="AP120" s="56">
        <v>26.13</v>
      </c>
      <c r="AQ120" s="56">
        <v>24.41</v>
      </c>
      <c r="AR120" s="56">
        <v>23.21</v>
      </c>
      <c r="AS120" s="56">
        <f>22.11+21.28</f>
        <v>43.39</v>
      </c>
      <c r="AT120" s="56">
        <v>22.8</v>
      </c>
      <c r="AU120" s="56"/>
      <c r="AV120" s="56"/>
      <c r="AW120" s="56"/>
      <c r="AX120" s="56"/>
      <c r="AY120" s="56"/>
      <c r="AZ120" s="56"/>
      <c r="BA120" s="56"/>
      <c r="BB120" s="75">
        <f>SUM(Financials20263[[#This Row],[Jan AC]:[Dec AC]])</f>
        <v>139.94</v>
      </c>
      <c r="BC120" s="66">
        <f>Financials20263[[#This Row],[Jan AC]]-Financials20263[[#This Row],[Jan FC]]</f>
        <v>26.13</v>
      </c>
      <c r="BD120" s="66">
        <f>Financials20263[[#This Row],[Feb AC]]-Financials20263[[#This Row],[Feb FC]]</f>
        <v>24.41</v>
      </c>
      <c r="BE120" s="66">
        <f>Financials20263[[#This Row],[Mar AC]]-Financials20263[[#This Row],[Mar FC]]</f>
        <v>23.21</v>
      </c>
      <c r="BF120" s="66">
        <f>Financials20263[[#This Row],[Apr AC]]-Financials20263[[#This Row],[Apr FC]]</f>
        <v>43.39</v>
      </c>
      <c r="BG120" s="66">
        <f>Financials20263[[#This Row],[May AC]]-Financials20263[[#This Row],[May FC]]</f>
        <v>22.8</v>
      </c>
      <c r="BH120" s="66">
        <f>Financials20263[[#This Row],[Jun AC]]-Financials20263[[#This Row],[Jun FC]]</f>
        <v>0</v>
      </c>
      <c r="BI120" s="66">
        <f>Financials20263[[#This Row],[Jul AC]]-Financials20263[[#This Row],[Jul FC]]</f>
        <v>0</v>
      </c>
      <c r="BJ120" s="66">
        <f>Financials20263[[#This Row],[Aug AC]]-Financials20263[[#This Row],[Aug FC]]</f>
        <v>0</v>
      </c>
      <c r="BK120" s="66">
        <f>Financials20263[[#This Row],[Sep AC]]-Financials20263[[#This Row],[Sep FC]]</f>
        <v>0</v>
      </c>
      <c r="BL120" s="66">
        <f>Financials20263[[#This Row],[Oct AC]]-Financials20263[[#This Row],[Oct FC]]</f>
        <v>0</v>
      </c>
      <c r="BM120" s="66">
        <f>Financials20263[[#This Row],[Nov AC]]-Financials20263[[#This Row],[Nov FC]]</f>
        <v>0</v>
      </c>
      <c r="BN120" s="66">
        <f>Financials20263[[#This Row],[Dec AC]]-Financials20263[[#This Row],[Dec FC]]</f>
        <v>0</v>
      </c>
      <c r="BO120" s="66">
        <f>SUM(Financials20263[[#This Row],[Jan Opp/Risk]:[Dec Opp./Risk]])</f>
        <v>139.94</v>
      </c>
      <c r="BP120" s="82" t="s">
        <v>660</v>
      </c>
      <c r="BQ120" s="44">
        <f>SUM(Financials20263[[#This Row],[Jan AC]:[Jun AC]])</f>
        <v>139.94</v>
      </c>
      <c r="BR120" s="6">
        <f t="shared" si="46"/>
        <v>0</v>
      </c>
      <c r="BS120" s="6">
        <f>Financials20263[[#This Row],[Jul-Dec FC]]+Financials20263[[#This Row],[Pending Jan-Jun]]</f>
        <v>0</v>
      </c>
      <c r="BT120" s="6"/>
      <c r="BU120" s="6"/>
      <c r="BV120" s="6"/>
    </row>
    <row r="121" spans="1:74" hidden="1">
      <c r="A121" s="20" t="s">
        <v>386</v>
      </c>
      <c r="B121" s="19" t="s">
        <v>71</v>
      </c>
      <c r="C121" s="19" t="s">
        <v>550</v>
      </c>
      <c r="D121" s="10" t="s">
        <v>422</v>
      </c>
      <c r="E121" s="7" t="s">
        <v>423</v>
      </c>
      <c r="F121" s="3" t="s">
        <v>408</v>
      </c>
      <c r="G121" s="3" t="s">
        <v>20</v>
      </c>
      <c r="H121" s="4" t="s">
        <v>336</v>
      </c>
      <c r="I121" s="4" t="s">
        <v>336</v>
      </c>
      <c r="J121" s="3"/>
      <c r="K121" s="3" t="str">
        <f t="shared" si="30"/>
        <v>Prj000467-Support - Enterprise Tech Helpdesk</v>
      </c>
      <c r="L121" s="19" t="s">
        <v>252</v>
      </c>
      <c r="M121" s="19" t="s">
        <v>11</v>
      </c>
      <c r="N121" s="19" t="s">
        <v>11</v>
      </c>
      <c r="O121" s="19"/>
      <c r="P121" s="19" t="s">
        <v>326</v>
      </c>
      <c r="Q121" s="19" t="s">
        <v>653</v>
      </c>
      <c r="R121" s="19" t="s">
        <v>653</v>
      </c>
      <c r="S121" s="19" t="s">
        <v>383</v>
      </c>
      <c r="T121" s="5">
        <v>77705</v>
      </c>
      <c r="U121" s="15">
        <v>81590</v>
      </c>
      <c r="V121" s="15">
        <f>81590*0</f>
        <v>0</v>
      </c>
      <c r="W121" s="15">
        <f t="shared" si="44"/>
        <v>0</v>
      </c>
      <c r="X121" s="15">
        <f t="shared" si="35"/>
        <v>0</v>
      </c>
      <c r="Y121" s="15">
        <f t="shared" si="32"/>
        <v>0</v>
      </c>
      <c r="Z121" s="15">
        <f>SUM(Financials20263[[#This Row],[2026 Opportunity]:[2026 Risk]])</f>
        <v>0</v>
      </c>
      <c r="AA121" s="14" t="s">
        <v>661</v>
      </c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>
        <f>SUM(Financials20263[[#This Row],[Jan FC]:[Dec FC]])</f>
        <v>0</v>
      </c>
      <c r="AO121" s="15">
        <f>SUM(Financials20263[[#This Row],[Jul FC]:[Dec FC]])</f>
        <v>0</v>
      </c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75">
        <f>SUM(Financials20263[[#This Row],[Jan AC]:[Dec AC]])</f>
        <v>0</v>
      </c>
      <c r="BC121" s="66">
        <f>Financials20263[[#This Row],[Jan AC]]-Financials20263[[#This Row],[Jan FC]]</f>
        <v>0</v>
      </c>
      <c r="BD121" s="66">
        <f>Financials20263[[#This Row],[Feb AC]]-Financials20263[[#This Row],[Feb FC]]</f>
        <v>0</v>
      </c>
      <c r="BE121" s="66">
        <f>Financials20263[[#This Row],[Mar AC]]-Financials20263[[#This Row],[Mar FC]]</f>
        <v>0</v>
      </c>
      <c r="BF121" s="66">
        <f>Financials20263[[#This Row],[Apr AC]]-Financials20263[[#This Row],[Apr FC]]</f>
        <v>0</v>
      </c>
      <c r="BG121" s="66">
        <f>Financials20263[[#This Row],[May AC]]-Financials20263[[#This Row],[May FC]]</f>
        <v>0</v>
      </c>
      <c r="BH121" s="66">
        <f>Financials20263[[#This Row],[Jun AC]]-Financials20263[[#This Row],[Jun FC]]</f>
        <v>0</v>
      </c>
      <c r="BI121" s="66">
        <f>Financials20263[[#This Row],[Jul AC]]-Financials20263[[#This Row],[Jul FC]]</f>
        <v>0</v>
      </c>
      <c r="BJ121" s="66">
        <f>Financials20263[[#This Row],[Aug AC]]-Financials20263[[#This Row],[Aug FC]]</f>
        <v>0</v>
      </c>
      <c r="BK121" s="66">
        <f>Financials20263[[#This Row],[Sep AC]]-Financials20263[[#This Row],[Sep FC]]</f>
        <v>0</v>
      </c>
      <c r="BL121" s="66">
        <f>Financials20263[[#This Row],[Oct AC]]-Financials20263[[#This Row],[Oct FC]]</f>
        <v>0</v>
      </c>
      <c r="BM121" s="66">
        <f>Financials20263[[#This Row],[Nov AC]]-Financials20263[[#This Row],[Nov FC]]</f>
        <v>0</v>
      </c>
      <c r="BN121" s="66">
        <f>Financials20263[[#This Row],[Dec AC]]-Financials20263[[#This Row],[Dec FC]]</f>
        <v>0</v>
      </c>
      <c r="BO121" s="66">
        <f>SUM(Financials20263[[#This Row],[Jan Opp/Risk]:[Dec Opp./Risk]])</f>
        <v>0</v>
      </c>
      <c r="BP121" s="82"/>
      <c r="BQ121" s="44">
        <f>SUM(Financials20263[[#This Row],[Jan AC]:[Jun AC]])</f>
        <v>0</v>
      </c>
      <c r="BR121" s="6">
        <f t="shared" si="46"/>
        <v>0</v>
      </c>
      <c r="BS121" s="6">
        <f>Financials20263[[#This Row],[Jul-Dec FC]]+Financials20263[[#This Row],[Pending Jan-Jun]]</f>
        <v>0</v>
      </c>
      <c r="BT121" s="6"/>
      <c r="BU121" s="6"/>
      <c r="BV121" s="6"/>
    </row>
    <row r="122" spans="1:74" hidden="1">
      <c r="A122" s="20" t="s">
        <v>320</v>
      </c>
      <c r="B122" s="19" t="s">
        <v>223</v>
      </c>
      <c r="C122" s="19"/>
      <c r="D122" s="10" t="s">
        <v>662</v>
      </c>
      <c r="E122" s="7" t="s">
        <v>663</v>
      </c>
      <c r="F122" s="3" t="s">
        <v>366</v>
      </c>
      <c r="G122" s="3" t="s">
        <v>24</v>
      </c>
      <c r="H122" s="4">
        <v>45931</v>
      </c>
      <c r="I122" s="4">
        <v>46295</v>
      </c>
      <c r="J122" s="3"/>
      <c r="K122" s="3" t="str">
        <f t="shared" si="30"/>
        <v>Prj000228-Implement - Portfolio Optimization Tool for LC</v>
      </c>
      <c r="L122" s="19" t="s">
        <v>252</v>
      </c>
      <c r="M122" s="19" t="s">
        <v>16</v>
      </c>
      <c r="N122" s="19" t="s">
        <v>16</v>
      </c>
      <c r="O122" s="19"/>
      <c r="P122" s="19" t="s">
        <v>326</v>
      </c>
      <c r="Q122" s="19" t="s">
        <v>437</v>
      </c>
      <c r="R122" s="19" t="s">
        <v>437</v>
      </c>
      <c r="S122" s="19" t="s">
        <v>328</v>
      </c>
      <c r="T122" s="5">
        <v>37500</v>
      </c>
      <c r="U122" s="5">
        <v>160000</v>
      </c>
      <c r="V122" s="5">
        <v>160000</v>
      </c>
      <c r="W122" s="15">
        <f t="shared" si="44"/>
        <v>160000</v>
      </c>
      <c r="X122" s="15">
        <f t="shared" si="35"/>
        <v>0</v>
      </c>
      <c r="Y122" s="15">
        <f t="shared" si="32"/>
        <v>0</v>
      </c>
      <c r="Z122" s="15">
        <f>SUM(Financials20263[[#This Row],[2026 Opportunity]:[2026 Risk]])</f>
        <v>0</v>
      </c>
      <c r="AA122" s="3" t="s">
        <v>664</v>
      </c>
      <c r="AB122" s="47">
        <f t="shared" ref="AB122:AJ122" si="50">150000/12</f>
        <v>12500</v>
      </c>
      <c r="AC122" s="47">
        <f t="shared" si="50"/>
        <v>12500</v>
      </c>
      <c r="AD122" s="47">
        <f t="shared" si="50"/>
        <v>12500</v>
      </c>
      <c r="AE122" s="47">
        <f t="shared" si="50"/>
        <v>12500</v>
      </c>
      <c r="AF122" s="47">
        <f t="shared" si="50"/>
        <v>12500</v>
      </c>
      <c r="AG122" s="47">
        <f t="shared" si="50"/>
        <v>12500</v>
      </c>
      <c r="AH122" s="47">
        <f t="shared" si="50"/>
        <v>12500</v>
      </c>
      <c r="AI122" s="47">
        <f t="shared" si="50"/>
        <v>12500</v>
      </c>
      <c r="AJ122" s="47">
        <f t="shared" si="50"/>
        <v>12500</v>
      </c>
      <c r="AK122" s="47">
        <v>15833</v>
      </c>
      <c r="AL122" s="47">
        <v>15833</v>
      </c>
      <c r="AM122" s="47">
        <v>15834</v>
      </c>
      <c r="AN122" s="47">
        <f>SUM(Financials20263[[#This Row],[Jan FC]:[Dec FC]])</f>
        <v>160000</v>
      </c>
      <c r="AO122" s="15">
        <f>SUM(Financials20263[[#This Row],[Jul FC]:[Dec FC]])</f>
        <v>85000</v>
      </c>
      <c r="AP122" s="56">
        <f t="shared" ref="AP122:AX122" si="51">150000/12</f>
        <v>12500</v>
      </c>
      <c r="AQ122" s="56">
        <f t="shared" si="51"/>
        <v>12500</v>
      </c>
      <c r="AR122" s="56">
        <f t="shared" si="51"/>
        <v>12500</v>
      </c>
      <c r="AS122" s="56">
        <f t="shared" si="51"/>
        <v>12500</v>
      </c>
      <c r="AT122" s="56">
        <f t="shared" si="51"/>
        <v>12500</v>
      </c>
      <c r="AU122" s="56">
        <f t="shared" si="51"/>
        <v>12500</v>
      </c>
      <c r="AV122" s="56">
        <f t="shared" si="51"/>
        <v>12500</v>
      </c>
      <c r="AW122" s="56">
        <f t="shared" si="51"/>
        <v>12500</v>
      </c>
      <c r="AX122" s="56">
        <f t="shared" si="51"/>
        <v>12500</v>
      </c>
      <c r="AY122" s="56"/>
      <c r="AZ122" s="56"/>
      <c r="BA122" s="56"/>
      <c r="BB122" s="75">
        <f>SUM(Financials20263[[#This Row],[Jan AC]:[Dec AC]])</f>
        <v>112500</v>
      </c>
      <c r="BC122" s="66">
        <f>Financials20263[[#This Row],[Jan AC]]-Financials20263[[#This Row],[Jan FC]]</f>
        <v>0</v>
      </c>
      <c r="BD122" s="66">
        <f>Financials20263[[#This Row],[Feb AC]]-Financials20263[[#This Row],[Feb FC]]</f>
        <v>0</v>
      </c>
      <c r="BE122" s="66">
        <f>Financials20263[[#This Row],[Mar AC]]-Financials20263[[#This Row],[Mar FC]]</f>
        <v>0</v>
      </c>
      <c r="BF122" s="66">
        <f>Financials20263[[#This Row],[Apr AC]]-Financials20263[[#This Row],[Apr FC]]</f>
        <v>0</v>
      </c>
      <c r="BG122" s="66">
        <f>Financials20263[[#This Row],[May AC]]-Financials20263[[#This Row],[May FC]]</f>
        <v>0</v>
      </c>
      <c r="BH122" s="66">
        <f>Financials20263[[#This Row],[Jun AC]]-Financials20263[[#This Row],[Jun FC]]</f>
        <v>0</v>
      </c>
      <c r="BI122" s="66">
        <f>Financials20263[[#This Row],[Jul AC]]-Financials20263[[#This Row],[Jul FC]]</f>
        <v>0</v>
      </c>
      <c r="BJ122" s="66">
        <f>Financials20263[[#This Row],[Aug AC]]-Financials20263[[#This Row],[Aug FC]]</f>
        <v>0</v>
      </c>
      <c r="BK122" s="66">
        <f>Financials20263[[#This Row],[Sep AC]]-Financials20263[[#This Row],[Sep FC]]</f>
        <v>0</v>
      </c>
      <c r="BL122" s="66">
        <f>Financials20263[[#This Row],[Oct AC]]-Financials20263[[#This Row],[Oct FC]]</f>
        <v>-15833</v>
      </c>
      <c r="BM122" s="66">
        <f>Financials20263[[#This Row],[Nov AC]]-Financials20263[[#This Row],[Nov FC]]</f>
        <v>-15833</v>
      </c>
      <c r="BN122" s="66">
        <f>Financials20263[[#This Row],[Dec AC]]-Financials20263[[#This Row],[Dec FC]]</f>
        <v>-15834</v>
      </c>
      <c r="BO122" s="66">
        <f>SUM(Financials20263[[#This Row],[Jan Opp/Risk]:[Dec Opp./Risk]])</f>
        <v>-47500</v>
      </c>
      <c r="BP122" s="82"/>
      <c r="BQ122" s="44">
        <f>SUM(Financials20263[[#This Row],[Jan AC]:[Jun AC]])</f>
        <v>75000</v>
      </c>
      <c r="BR122" s="6">
        <f t="shared" si="46"/>
        <v>0</v>
      </c>
      <c r="BS122" s="6">
        <f>Financials20263[[#This Row],[Jul-Dec FC]]+Financials20263[[#This Row],[Pending Jan-Jun]]</f>
        <v>85000</v>
      </c>
      <c r="BT122" s="6"/>
      <c r="BU122" s="6"/>
      <c r="BV122" s="6"/>
    </row>
    <row r="123" spans="1:74" hidden="1">
      <c r="A123" s="20" t="s">
        <v>320</v>
      </c>
      <c r="B123" s="19" t="s">
        <v>41</v>
      </c>
      <c r="C123" s="19"/>
      <c r="D123" s="10" t="s">
        <v>665</v>
      </c>
      <c r="E123" s="7" t="s">
        <v>666</v>
      </c>
      <c r="F123" s="3" t="s">
        <v>408</v>
      </c>
      <c r="G123" s="3" t="s">
        <v>23</v>
      </c>
      <c r="H123" s="4"/>
      <c r="I123" s="4"/>
      <c r="J123" s="3"/>
      <c r="K123" s="3" t="str">
        <f t="shared" si="30"/>
        <v>Prj000556-Implement - QA CoE to Additional Platforms</v>
      </c>
      <c r="L123" s="19" t="s">
        <v>251</v>
      </c>
      <c r="M123" s="19" t="s">
        <v>10</v>
      </c>
      <c r="N123" s="19" t="s">
        <v>614</v>
      </c>
      <c r="O123" s="19"/>
      <c r="P123" s="19" t="s">
        <v>347</v>
      </c>
      <c r="Q123" s="19" t="s">
        <v>348</v>
      </c>
      <c r="R123" s="19" t="s">
        <v>349</v>
      </c>
      <c r="S123" s="3" t="s">
        <v>667</v>
      </c>
      <c r="T123" s="15">
        <v>0</v>
      </c>
      <c r="U123" s="15">
        <v>250000</v>
      </c>
      <c r="V123" s="15">
        <f>250000-143000-107000</f>
        <v>0</v>
      </c>
      <c r="W123" s="15">
        <f t="shared" si="44"/>
        <v>0</v>
      </c>
      <c r="X123" s="15">
        <f t="shared" si="35"/>
        <v>0</v>
      </c>
      <c r="Y123" s="15">
        <f t="shared" si="32"/>
        <v>0</v>
      </c>
      <c r="Z123" s="15">
        <f>SUM(Financials20263[[#This Row],[2026 Opportunity]:[2026 Risk]])</f>
        <v>0</v>
      </c>
      <c r="AA123" s="3" t="s">
        <v>668</v>
      </c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126"/>
      <c r="AN123" s="71">
        <f>SUM(Financials20263[[#This Row],[Jan FC]:[Dec FC]])</f>
        <v>0</v>
      </c>
      <c r="AO123" s="15">
        <f>SUM(Financials20263[[#This Row],[Jul FC]:[Dec FC]])</f>
        <v>0</v>
      </c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76">
        <f>SUM(Financials20263[[#This Row],[Jan AC]:[Dec AC]])</f>
        <v>0</v>
      </c>
      <c r="BC123" s="66">
        <f>Financials20263[[#This Row],[Jan AC]]-Financials20263[[#This Row],[Jan FC]]</f>
        <v>0</v>
      </c>
      <c r="BD123" s="66">
        <f>Financials20263[[#This Row],[Feb AC]]-Financials20263[[#This Row],[Feb FC]]</f>
        <v>0</v>
      </c>
      <c r="BE123" s="66">
        <f>Financials20263[[#This Row],[Mar AC]]-Financials20263[[#This Row],[Mar FC]]</f>
        <v>0</v>
      </c>
      <c r="BF123" s="66">
        <f>Financials20263[[#This Row],[Apr AC]]-Financials20263[[#This Row],[Apr FC]]</f>
        <v>0</v>
      </c>
      <c r="BG123" s="66">
        <f>Financials20263[[#This Row],[May AC]]-Financials20263[[#This Row],[May FC]]</f>
        <v>0</v>
      </c>
      <c r="BH123" s="66">
        <f>Financials20263[[#This Row],[Jun AC]]-Financials20263[[#This Row],[Jun FC]]</f>
        <v>0</v>
      </c>
      <c r="BI123" s="66">
        <f>Financials20263[[#This Row],[Jul AC]]-Financials20263[[#This Row],[Jul FC]]</f>
        <v>0</v>
      </c>
      <c r="BJ123" s="66">
        <f>Financials20263[[#This Row],[Aug AC]]-Financials20263[[#This Row],[Aug FC]]</f>
        <v>0</v>
      </c>
      <c r="BK123" s="66">
        <f>Financials20263[[#This Row],[Sep AC]]-Financials20263[[#This Row],[Sep FC]]</f>
        <v>0</v>
      </c>
      <c r="BL123" s="66">
        <f>Financials20263[[#This Row],[Oct AC]]-Financials20263[[#This Row],[Oct FC]]</f>
        <v>0</v>
      </c>
      <c r="BM123" s="66">
        <f>Financials20263[[#This Row],[Nov AC]]-Financials20263[[#This Row],[Nov FC]]</f>
        <v>0</v>
      </c>
      <c r="BN123" s="66">
        <f>Financials20263[[#This Row],[Dec AC]]-Financials20263[[#This Row],[Dec FC]]</f>
        <v>0</v>
      </c>
      <c r="BO123" s="66">
        <f>SUM(Financials20263[[#This Row],[Jan Opp/Risk]:[Dec Opp./Risk]])</f>
        <v>0</v>
      </c>
      <c r="BP123" s="82" t="s">
        <v>669</v>
      </c>
      <c r="BQ123" s="44">
        <f>SUM(Financials20263[[#This Row],[Jan AC]:[Jun AC]])</f>
        <v>0</v>
      </c>
      <c r="BR123" s="6">
        <f t="shared" si="46"/>
        <v>0</v>
      </c>
      <c r="BS123" s="6">
        <f>Financials20263[[#This Row],[Jul-Dec FC]]+Financials20263[[#This Row],[Pending Jan-Jun]]</f>
        <v>0</v>
      </c>
      <c r="BT123" s="6" t="s">
        <v>616</v>
      </c>
      <c r="BU123" s="6"/>
      <c r="BV123" s="6"/>
    </row>
    <row r="124" spans="1:74" hidden="1">
      <c r="A124" s="20" t="s">
        <v>320</v>
      </c>
      <c r="B124" s="19" t="s">
        <v>41</v>
      </c>
      <c r="C124" s="19"/>
      <c r="D124" s="10" t="s">
        <v>670</v>
      </c>
      <c r="E124" s="7" t="s">
        <v>671</v>
      </c>
      <c r="F124" s="3" t="s">
        <v>408</v>
      </c>
      <c r="G124" s="3" t="s">
        <v>20</v>
      </c>
      <c r="H124" s="4"/>
      <c r="I124" s="4"/>
      <c r="J124" s="3"/>
      <c r="K124" s="3" t="str">
        <f t="shared" si="30"/>
        <v>Prj000353-Implement - L1/L2 CoE for Additional Platforms</v>
      </c>
      <c r="L124" s="19" t="s">
        <v>251</v>
      </c>
      <c r="M124" s="19" t="s">
        <v>14</v>
      </c>
      <c r="N124" s="19" t="s">
        <v>346</v>
      </c>
      <c r="O124" s="19"/>
      <c r="P124" s="19" t="s">
        <v>347</v>
      </c>
      <c r="Q124" s="19" t="s">
        <v>348</v>
      </c>
      <c r="R124" s="19" t="s">
        <v>349</v>
      </c>
      <c r="S124" s="3" t="s">
        <v>667</v>
      </c>
      <c r="T124" s="5">
        <v>0</v>
      </c>
      <c r="U124" s="5">
        <v>165000</v>
      </c>
      <c r="V124" s="5">
        <f>165000-95195-69805</f>
        <v>0</v>
      </c>
      <c r="W124" s="15">
        <f t="shared" si="44"/>
        <v>0</v>
      </c>
      <c r="X124" s="15">
        <f t="shared" si="35"/>
        <v>0</v>
      </c>
      <c r="Y124" s="15">
        <f t="shared" si="32"/>
        <v>0</v>
      </c>
      <c r="Z124" s="15">
        <f>SUM(Financials20263[[#This Row],[2026 Opportunity]:[2026 Risk]])</f>
        <v>0</v>
      </c>
      <c r="AA124" s="3" t="s">
        <v>668</v>
      </c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3">
        <v>0</v>
      </c>
      <c r="AN124" s="47">
        <f>SUM(Financials20263[[#This Row],[Jan FC]:[Dec FC]])</f>
        <v>0</v>
      </c>
      <c r="AO124" s="15">
        <f>SUM(Financials20263[[#This Row],[Jul FC]:[Dec FC]])</f>
        <v>0</v>
      </c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75">
        <f>SUM(Financials20263[[#This Row],[Jan AC]:[Dec AC]])</f>
        <v>0</v>
      </c>
      <c r="BC124" s="66">
        <f>Financials20263[[#This Row],[Jan AC]]-Financials20263[[#This Row],[Jan FC]]</f>
        <v>0</v>
      </c>
      <c r="BD124" s="66">
        <f>Financials20263[[#This Row],[Feb AC]]-Financials20263[[#This Row],[Feb FC]]</f>
        <v>0</v>
      </c>
      <c r="BE124" s="66">
        <f>Financials20263[[#This Row],[Mar AC]]-Financials20263[[#This Row],[Mar FC]]</f>
        <v>0</v>
      </c>
      <c r="BF124" s="66">
        <f>Financials20263[[#This Row],[Apr AC]]-Financials20263[[#This Row],[Apr FC]]</f>
        <v>0</v>
      </c>
      <c r="BG124" s="66">
        <f>Financials20263[[#This Row],[May AC]]-Financials20263[[#This Row],[May FC]]</f>
        <v>0</v>
      </c>
      <c r="BH124" s="66">
        <f>Financials20263[[#This Row],[Jun AC]]-Financials20263[[#This Row],[Jun FC]]</f>
        <v>0</v>
      </c>
      <c r="BI124" s="66">
        <f>Financials20263[[#This Row],[Jul AC]]-Financials20263[[#This Row],[Jul FC]]</f>
        <v>0</v>
      </c>
      <c r="BJ124" s="66">
        <f>Financials20263[[#This Row],[Aug AC]]-Financials20263[[#This Row],[Aug FC]]</f>
        <v>0</v>
      </c>
      <c r="BK124" s="66">
        <f>Financials20263[[#This Row],[Sep AC]]-Financials20263[[#This Row],[Sep FC]]</f>
        <v>0</v>
      </c>
      <c r="BL124" s="66">
        <f>Financials20263[[#This Row],[Oct AC]]-Financials20263[[#This Row],[Oct FC]]</f>
        <v>0</v>
      </c>
      <c r="BM124" s="66">
        <f>Financials20263[[#This Row],[Nov AC]]-Financials20263[[#This Row],[Nov FC]]</f>
        <v>0</v>
      </c>
      <c r="BN124" s="66">
        <f>Financials20263[[#This Row],[Dec AC]]-Financials20263[[#This Row],[Dec FC]]</f>
        <v>0</v>
      </c>
      <c r="BO124" s="66">
        <f>SUM(Financials20263[[#This Row],[Jan Opp/Risk]:[Dec Opp./Risk]])</f>
        <v>0</v>
      </c>
      <c r="BP124" s="82" t="s">
        <v>672</v>
      </c>
      <c r="BQ124" s="44">
        <f>SUM(Financials20263[[#This Row],[Jan AC]:[Jun AC]])</f>
        <v>0</v>
      </c>
      <c r="BR124" s="6">
        <f t="shared" si="46"/>
        <v>0</v>
      </c>
      <c r="BS124" s="6">
        <f>Financials20263[[#This Row],[Jul-Dec FC]]+Financials20263[[#This Row],[Pending Jan-Jun]]</f>
        <v>0</v>
      </c>
      <c r="BT124" s="6"/>
      <c r="BU124" s="6"/>
      <c r="BV124" s="6"/>
    </row>
    <row r="125" spans="1:74" hidden="1">
      <c r="A125" s="20" t="s">
        <v>320</v>
      </c>
      <c r="B125" s="19" t="s">
        <v>58</v>
      </c>
      <c r="C125" s="19" t="s">
        <v>441</v>
      </c>
      <c r="D125" s="10" t="s">
        <v>673</v>
      </c>
      <c r="E125" s="7" t="s">
        <v>674</v>
      </c>
      <c r="F125" s="3" t="s">
        <v>444</v>
      </c>
      <c r="G125" s="3" t="s">
        <v>22</v>
      </c>
      <c r="H125" s="4"/>
      <c r="I125" s="4"/>
      <c r="J125" s="3"/>
      <c r="K125" s="3" t="str">
        <f t="shared" si="30"/>
        <v>Prj000489-Implement - Strategic Modules for LIQ</v>
      </c>
      <c r="L125" s="19" t="s">
        <v>251</v>
      </c>
      <c r="M125" s="19" t="s">
        <v>10</v>
      </c>
      <c r="N125" s="19" t="s">
        <v>614</v>
      </c>
      <c r="O125" s="19"/>
      <c r="P125" s="19" t="s">
        <v>326</v>
      </c>
      <c r="Q125" s="19" t="s">
        <v>355</v>
      </c>
      <c r="R125" s="19" t="s">
        <v>349</v>
      </c>
      <c r="S125" s="3" t="s">
        <v>667</v>
      </c>
      <c r="T125" s="5">
        <v>0</v>
      </c>
      <c r="U125" s="5">
        <v>50000</v>
      </c>
      <c r="V125" s="5">
        <f>50000-50000</f>
        <v>0</v>
      </c>
      <c r="W125" s="15">
        <f t="shared" si="44"/>
        <v>0</v>
      </c>
      <c r="X125" s="15">
        <f t="shared" si="35"/>
        <v>0</v>
      </c>
      <c r="Y125" s="15">
        <f t="shared" si="32"/>
        <v>0</v>
      </c>
      <c r="Z125" s="15">
        <f>SUM(Financials20263[[#This Row],[2026 Opportunity]:[2026 Risk]])</f>
        <v>0</v>
      </c>
      <c r="AA125" s="3" t="s">
        <v>675</v>
      </c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>
        <f>SUM(Financials20263[[#This Row],[Jan FC]:[Dec FC]])</f>
        <v>0</v>
      </c>
      <c r="AO125" s="15">
        <f>SUM(Financials20263[[#This Row],[Jul FC]:[Dec FC]])</f>
        <v>0</v>
      </c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75">
        <f>SUM(Financials20263[[#This Row],[Jan AC]:[Dec AC]])</f>
        <v>0</v>
      </c>
      <c r="BC125" s="66">
        <f>Financials20263[[#This Row],[Jan AC]]-Financials20263[[#This Row],[Jan FC]]</f>
        <v>0</v>
      </c>
      <c r="BD125" s="66">
        <f>Financials20263[[#This Row],[Feb AC]]-Financials20263[[#This Row],[Feb FC]]</f>
        <v>0</v>
      </c>
      <c r="BE125" s="66">
        <f>Financials20263[[#This Row],[Mar AC]]-Financials20263[[#This Row],[Mar FC]]</f>
        <v>0</v>
      </c>
      <c r="BF125" s="66">
        <f>Financials20263[[#This Row],[Apr AC]]-Financials20263[[#This Row],[Apr FC]]</f>
        <v>0</v>
      </c>
      <c r="BG125" s="66">
        <f>Financials20263[[#This Row],[May AC]]-Financials20263[[#This Row],[May FC]]</f>
        <v>0</v>
      </c>
      <c r="BH125" s="66">
        <f>Financials20263[[#This Row],[Jun AC]]-Financials20263[[#This Row],[Jun FC]]</f>
        <v>0</v>
      </c>
      <c r="BI125" s="66">
        <f>Financials20263[[#This Row],[Jul AC]]-Financials20263[[#This Row],[Jul FC]]</f>
        <v>0</v>
      </c>
      <c r="BJ125" s="66">
        <f>Financials20263[[#This Row],[Aug AC]]-Financials20263[[#This Row],[Aug FC]]</f>
        <v>0</v>
      </c>
      <c r="BK125" s="66">
        <f>Financials20263[[#This Row],[Sep AC]]-Financials20263[[#This Row],[Sep FC]]</f>
        <v>0</v>
      </c>
      <c r="BL125" s="66">
        <f>Financials20263[[#This Row],[Oct AC]]-Financials20263[[#This Row],[Oct FC]]</f>
        <v>0</v>
      </c>
      <c r="BM125" s="66">
        <f>Financials20263[[#This Row],[Nov AC]]-Financials20263[[#This Row],[Nov FC]]</f>
        <v>0</v>
      </c>
      <c r="BN125" s="66">
        <f>Financials20263[[#This Row],[Dec AC]]-Financials20263[[#This Row],[Dec FC]]</f>
        <v>0</v>
      </c>
      <c r="BO125" s="66">
        <f>SUM(Financials20263[[#This Row],[Jan Opp/Risk]:[Dec Opp./Risk]])</f>
        <v>0</v>
      </c>
      <c r="BP125" s="82" t="s">
        <v>672</v>
      </c>
      <c r="BQ125" s="44">
        <f>SUM(Financials20263[[#This Row],[Jan AC]:[Jun AC]])</f>
        <v>0</v>
      </c>
      <c r="BR125" s="6">
        <f t="shared" si="46"/>
        <v>0</v>
      </c>
      <c r="BS125" s="6">
        <f>Financials20263[[#This Row],[Jul-Dec FC]]+Financials20263[[#This Row],[Pending Jan-Jun]]</f>
        <v>0</v>
      </c>
      <c r="BT125" s="6" t="s">
        <v>616</v>
      </c>
      <c r="BU125" s="6"/>
      <c r="BV125" s="6"/>
    </row>
    <row r="126" spans="1:74" hidden="1">
      <c r="A126" s="20" t="s">
        <v>320</v>
      </c>
      <c r="B126" s="19" t="s">
        <v>64</v>
      </c>
      <c r="C126" s="19" t="s">
        <v>602</v>
      </c>
      <c r="D126" s="10" t="s">
        <v>676</v>
      </c>
      <c r="E126" s="7" t="s">
        <v>677</v>
      </c>
      <c r="F126" s="3" t="s">
        <v>444</v>
      </c>
      <c r="G126" s="3" t="s">
        <v>22</v>
      </c>
      <c r="H126" s="4"/>
      <c r="I126" s="4"/>
      <c r="J126" s="3"/>
      <c r="K126" s="3" t="str">
        <f t="shared" si="30"/>
        <v>Prj000482-Implement - WSO Own Instance (AM)</v>
      </c>
      <c r="L126" s="19" t="s">
        <v>251</v>
      </c>
      <c r="M126" s="19" t="s">
        <v>10</v>
      </c>
      <c r="N126" s="19" t="s">
        <v>614</v>
      </c>
      <c r="O126" s="19"/>
      <c r="P126" s="19" t="s">
        <v>326</v>
      </c>
      <c r="Q126" s="19" t="s">
        <v>355</v>
      </c>
      <c r="R126" s="19" t="s">
        <v>349</v>
      </c>
      <c r="S126" s="3" t="s">
        <v>667</v>
      </c>
      <c r="T126" s="5"/>
      <c r="U126" s="17">
        <v>850000</v>
      </c>
      <c r="V126" s="17">
        <v>336000</v>
      </c>
      <c r="W126" s="15">
        <f t="shared" si="44"/>
        <v>0</v>
      </c>
      <c r="X126" s="15">
        <f t="shared" si="35"/>
        <v>-336000</v>
      </c>
      <c r="Y126" s="15">
        <f t="shared" si="32"/>
        <v>0</v>
      </c>
      <c r="Z126" s="15">
        <f>SUM(Financials20263[[#This Row],[2026 Opportunity]:[2026 Risk]])</f>
        <v>-336000</v>
      </c>
      <c r="AA126" s="3" t="s">
        <v>678</v>
      </c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3"/>
      <c r="AN126" s="70">
        <f>SUM(Financials20263[[#This Row],[Jan FC]:[Dec FC]])</f>
        <v>0</v>
      </c>
      <c r="AO126" s="15">
        <f>SUM(Financials20263[[#This Row],[Jul FC]:[Dec FC]])</f>
        <v>0</v>
      </c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75">
        <f>SUM(Financials20263[[#This Row],[Jan AC]:[Dec AC]])</f>
        <v>0</v>
      </c>
      <c r="BC126" s="66">
        <f>Financials20263[[#This Row],[Jan AC]]-Financials20263[[#This Row],[Jan FC]]</f>
        <v>0</v>
      </c>
      <c r="BD126" s="66">
        <f>Financials20263[[#This Row],[Feb AC]]-Financials20263[[#This Row],[Feb FC]]</f>
        <v>0</v>
      </c>
      <c r="BE126" s="66">
        <f>Financials20263[[#This Row],[Mar AC]]-Financials20263[[#This Row],[Mar FC]]</f>
        <v>0</v>
      </c>
      <c r="BF126" s="66">
        <f>Financials20263[[#This Row],[Apr AC]]-Financials20263[[#This Row],[Apr FC]]</f>
        <v>0</v>
      </c>
      <c r="BG126" s="66">
        <f>Financials20263[[#This Row],[May AC]]-Financials20263[[#This Row],[May FC]]</f>
        <v>0</v>
      </c>
      <c r="BH126" s="66">
        <f>Financials20263[[#This Row],[Jun AC]]-Financials20263[[#This Row],[Jun FC]]</f>
        <v>0</v>
      </c>
      <c r="BI126" s="66">
        <f>Financials20263[[#This Row],[Jul AC]]-Financials20263[[#This Row],[Jul FC]]</f>
        <v>0</v>
      </c>
      <c r="BJ126" s="66">
        <f>Financials20263[[#This Row],[Aug AC]]-Financials20263[[#This Row],[Aug FC]]</f>
        <v>0</v>
      </c>
      <c r="BK126" s="66">
        <f>Financials20263[[#This Row],[Sep AC]]-Financials20263[[#This Row],[Sep FC]]</f>
        <v>0</v>
      </c>
      <c r="BL126" s="66">
        <f>Financials20263[[#This Row],[Oct AC]]-Financials20263[[#This Row],[Oct FC]]</f>
        <v>0</v>
      </c>
      <c r="BM126" s="66">
        <f>Financials20263[[#This Row],[Nov AC]]-Financials20263[[#This Row],[Nov FC]]</f>
        <v>0</v>
      </c>
      <c r="BN126" s="66">
        <f>Financials20263[[#This Row],[Dec AC]]-Financials20263[[#This Row],[Dec FC]]</f>
        <v>0</v>
      </c>
      <c r="BO126" s="66">
        <f>SUM(Financials20263[[#This Row],[Jan Opp/Risk]:[Dec Opp./Risk]])</f>
        <v>0</v>
      </c>
      <c r="BP126" s="82" t="s">
        <v>679</v>
      </c>
      <c r="BQ126" s="44">
        <f>SUM(Financials20263[[#This Row],[Jan AC]:[Jun AC]])</f>
        <v>0</v>
      </c>
      <c r="BR126" s="6">
        <f t="shared" si="46"/>
        <v>0</v>
      </c>
      <c r="BS126" s="6">
        <f>Financials20263[[#This Row],[Jul-Dec FC]]+Financials20263[[#This Row],[Pending Jan-Jun]]</f>
        <v>0</v>
      </c>
      <c r="BT126" s="6" t="s">
        <v>616</v>
      </c>
      <c r="BU126" s="6"/>
      <c r="BV126" s="6"/>
    </row>
    <row r="127" spans="1:74" hidden="1">
      <c r="A127" s="20" t="s">
        <v>320</v>
      </c>
      <c r="B127" s="19" t="s">
        <v>64</v>
      </c>
      <c r="C127" s="19" t="s">
        <v>602</v>
      </c>
      <c r="D127" s="10" t="s">
        <v>676</v>
      </c>
      <c r="E127" s="7" t="s">
        <v>677</v>
      </c>
      <c r="F127" s="3" t="s">
        <v>444</v>
      </c>
      <c r="G127" s="3" t="s">
        <v>22</v>
      </c>
      <c r="H127" s="4"/>
      <c r="I127" s="4"/>
      <c r="J127" s="3"/>
      <c r="K127" s="3" t="str">
        <f t="shared" si="30"/>
        <v>Prj000482-Implement - WSO Own Instance (AM)</v>
      </c>
      <c r="L127" s="19" t="s">
        <v>251</v>
      </c>
      <c r="M127" s="19" t="s">
        <v>10</v>
      </c>
      <c r="N127" s="19" t="s">
        <v>614</v>
      </c>
      <c r="O127" s="19"/>
      <c r="P127" s="19" t="s">
        <v>326</v>
      </c>
      <c r="Q127" s="19" t="s">
        <v>355</v>
      </c>
      <c r="R127" s="19" t="s">
        <v>349</v>
      </c>
      <c r="S127" s="3" t="s">
        <v>667</v>
      </c>
      <c r="T127" s="5"/>
      <c r="U127" s="17">
        <v>850000</v>
      </c>
      <c r="V127" s="17">
        <v>163600</v>
      </c>
      <c r="W127" s="15">
        <f t="shared" si="44"/>
        <v>293500</v>
      </c>
      <c r="X127" s="15">
        <f t="shared" si="35"/>
        <v>0</v>
      </c>
      <c r="Y127" s="15">
        <f t="shared" si="32"/>
        <v>129900</v>
      </c>
      <c r="Z127" s="15">
        <f>SUM(Financials20263[[#This Row],[2026 Opportunity]:[2026 Risk]])</f>
        <v>129900</v>
      </c>
      <c r="AA127" s="3" t="s">
        <v>680</v>
      </c>
      <c r="AB127" s="47"/>
      <c r="AC127" s="47"/>
      <c r="AD127" s="47"/>
      <c r="AE127" s="47">
        <v>10000</v>
      </c>
      <c r="AF127" s="47"/>
      <c r="AG127" s="47"/>
      <c r="AH127" s="47"/>
      <c r="AI127" s="47"/>
      <c r="AJ127" s="47">
        <v>25000</v>
      </c>
      <c r="AK127" s="47">
        <v>258500</v>
      </c>
      <c r="AL127" s="47"/>
      <c r="AM127" s="47"/>
      <c r="AN127" s="70">
        <f>SUM(Financials20263[[#This Row],[Jan FC]:[Dec FC]])</f>
        <v>293500</v>
      </c>
      <c r="AO127" s="15">
        <f>SUM(Financials20263[[#This Row],[Jul FC]:[Dec FC]])</f>
        <v>283500</v>
      </c>
      <c r="AP127" s="56"/>
      <c r="AQ127" s="56"/>
      <c r="AR127" s="56"/>
      <c r="AS127" s="56">
        <v>10000</v>
      </c>
      <c r="AT127" s="56"/>
      <c r="AU127" s="56"/>
      <c r="AV127" s="56"/>
      <c r="AW127" s="56"/>
      <c r="AX127" s="56"/>
      <c r="AY127" s="56"/>
      <c r="AZ127" s="56"/>
      <c r="BA127" s="56"/>
      <c r="BB127" s="75">
        <f>SUM(Financials20263[[#This Row],[Jan AC]:[Dec AC]])</f>
        <v>10000</v>
      </c>
      <c r="BC127" s="66">
        <f>Financials20263[[#This Row],[Jan AC]]-Financials20263[[#This Row],[Jan FC]]</f>
        <v>0</v>
      </c>
      <c r="BD127" s="66">
        <f>Financials20263[[#This Row],[Feb AC]]-Financials20263[[#This Row],[Feb FC]]</f>
        <v>0</v>
      </c>
      <c r="BE127" s="66">
        <f>Financials20263[[#This Row],[Mar AC]]-Financials20263[[#This Row],[Mar FC]]</f>
        <v>0</v>
      </c>
      <c r="BF127" s="66">
        <f>Financials20263[[#This Row],[Apr AC]]-Financials20263[[#This Row],[Apr FC]]</f>
        <v>0</v>
      </c>
      <c r="BG127" s="66">
        <f>Financials20263[[#This Row],[May AC]]-Financials20263[[#This Row],[May FC]]</f>
        <v>0</v>
      </c>
      <c r="BH127" s="66">
        <f>Financials20263[[#This Row],[Jun AC]]-Financials20263[[#This Row],[Jun FC]]</f>
        <v>0</v>
      </c>
      <c r="BI127" s="66">
        <f>Financials20263[[#This Row],[Jul AC]]-Financials20263[[#This Row],[Jul FC]]</f>
        <v>0</v>
      </c>
      <c r="BJ127" s="66">
        <f>Financials20263[[#This Row],[Aug AC]]-Financials20263[[#This Row],[Aug FC]]</f>
        <v>0</v>
      </c>
      <c r="BK127" s="66">
        <f>Financials20263[[#This Row],[Sep AC]]-Financials20263[[#This Row],[Sep FC]]</f>
        <v>-25000</v>
      </c>
      <c r="BL127" s="66">
        <f>Financials20263[[#This Row],[Oct AC]]-Financials20263[[#This Row],[Oct FC]]</f>
        <v>-258500</v>
      </c>
      <c r="BM127" s="66">
        <f>Financials20263[[#This Row],[Nov AC]]-Financials20263[[#This Row],[Nov FC]]</f>
        <v>0</v>
      </c>
      <c r="BN127" s="66">
        <f>Financials20263[[#This Row],[Dec AC]]-Financials20263[[#This Row],[Dec FC]]</f>
        <v>0</v>
      </c>
      <c r="BO127" s="66">
        <f>SUM(Financials20263[[#This Row],[Jan Opp/Risk]:[Dec Opp./Risk]])</f>
        <v>-283500</v>
      </c>
      <c r="BP127" s="82" t="s">
        <v>681</v>
      </c>
      <c r="BQ127" s="44">
        <f>SUM(Financials20263[[#This Row],[Jan AC]:[Jun AC]])</f>
        <v>10000</v>
      </c>
      <c r="BR127" s="6">
        <f t="shared" si="46"/>
        <v>0</v>
      </c>
      <c r="BS127" s="6">
        <f>Financials20263[[#This Row],[Jul-Dec FC]]+Financials20263[[#This Row],[Pending Jan-Jun]]</f>
        <v>283500</v>
      </c>
      <c r="BT127" s="6"/>
      <c r="BU127" s="6"/>
      <c r="BV127" s="6"/>
    </row>
    <row r="128" spans="1:74" hidden="1">
      <c r="A128" s="20" t="s">
        <v>320</v>
      </c>
      <c r="B128" s="19" t="s">
        <v>44</v>
      </c>
      <c r="C128" s="19"/>
      <c r="D128" s="10" t="s">
        <v>676</v>
      </c>
      <c r="E128" s="7" t="s">
        <v>677</v>
      </c>
      <c r="F128" s="3" t="s">
        <v>444</v>
      </c>
      <c r="G128" s="3" t="s">
        <v>22</v>
      </c>
      <c r="H128" s="4">
        <v>46157</v>
      </c>
      <c r="I128" s="4">
        <v>46234</v>
      </c>
      <c r="J128" s="3"/>
      <c r="K128" s="3" t="str">
        <f t="shared" si="30"/>
        <v>Prj000482-Implement - WSO Own Instance (AM)</v>
      </c>
      <c r="L128" s="19" t="s">
        <v>251</v>
      </c>
      <c r="M128" s="19" t="s">
        <v>10</v>
      </c>
      <c r="N128" s="19" t="s">
        <v>614</v>
      </c>
      <c r="O128" s="19"/>
      <c r="P128" s="19" t="s">
        <v>326</v>
      </c>
      <c r="Q128" s="19" t="s">
        <v>355</v>
      </c>
      <c r="R128" s="19" t="s">
        <v>349</v>
      </c>
      <c r="S128" s="19" t="s">
        <v>350</v>
      </c>
      <c r="T128" s="5"/>
      <c r="U128" s="17">
        <v>0</v>
      </c>
      <c r="V128" s="17">
        <v>120000</v>
      </c>
      <c r="W128" s="15">
        <f t="shared" si="44"/>
        <v>120000</v>
      </c>
      <c r="X128" s="15">
        <f t="shared" si="35"/>
        <v>0</v>
      </c>
      <c r="Y128" s="15">
        <f t="shared" si="32"/>
        <v>0</v>
      </c>
      <c r="Z128" s="15">
        <f>SUM(Financials20263[[#This Row],[2026 Opportunity]:[2026 Risk]])</f>
        <v>0</v>
      </c>
      <c r="AA128" s="3" t="s">
        <v>682</v>
      </c>
      <c r="AB128" s="47"/>
      <c r="AC128" s="47"/>
      <c r="AD128" s="47"/>
      <c r="AE128" s="47"/>
      <c r="AF128" s="47">
        <v>40000</v>
      </c>
      <c r="AG128" s="47">
        <v>40000</v>
      </c>
      <c r="AH128" s="47">
        <v>40000</v>
      </c>
      <c r="AI128" s="47"/>
      <c r="AJ128" s="47"/>
      <c r="AK128" s="47"/>
      <c r="AL128" s="47"/>
      <c r="AM128" s="47"/>
      <c r="AN128" s="70">
        <f>SUM(Financials20263[[#This Row],[Jan FC]:[Dec FC]])</f>
        <v>120000</v>
      </c>
      <c r="AO128" s="15">
        <f>SUM(Financials20263[[#This Row],[Jul FC]:[Dec FC]])</f>
        <v>40000</v>
      </c>
      <c r="AP128" s="56"/>
      <c r="AQ128" s="56"/>
      <c r="AR128" s="56"/>
      <c r="AS128" s="56"/>
      <c r="AT128" s="56">
        <v>40000</v>
      </c>
      <c r="AU128" s="56"/>
      <c r="AV128" s="56"/>
      <c r="AW128" s="56"/>
      <c r="AX128" s="56"/>
      <c r="AY128" s="56"/>
      <c r="AZ128" s="56"/>
      <c r="BA128" s="56"/>
      <c r="BB128" s="75">
        <f>SUM(Financials20263[[#This Row],[Jan AC]:[Dec AC]])</f>
        <v>40000</v>
      </c>
      <c r="BC128" s="66">
        <f>Financials20263[[#This Row],[Jan AC]]-Financials20263[[#This Row],[Jan FC]]</f>
        <v>0</v>
      </c>
      <c r="BD128" s="66">
        <f>Financials20263[[#This Row],[Feb AC]]-Financials20263[[#This Row],[Feb FC]]</f>
        <v>0</v>
      </c>
      <c r="BE128" s="66">
        <f>Financials20263[[#This Row],[Mar AC]]-Financials20263[[#This Row],[Mar FC]]</f>
        <v>0</v>
      </c>
      <c r="BF128" s="66">
        <f>Financials20263[[#This Row],[Apr AC]]-Financials20263[[#This Row],[Apr FC]]</f>
        <v>0</v>
      </c>
      <c r="BG128" s="66">
        <f>Financials20263[[#This Row],[May AC]]-Financials20263[[#This Row],[May FC]]</f>
        <v>0</v>
      </c>
      <c r="BH128" s="66">
        <f>Financials20263[[#This Row],[Jun AC]]-Financials20263[[#This Row],[Jun FC]]</f>
        <v>-40000</v>
      </c>
      <c r="BI128" s="66">
        <f>Financials20263[[#This Row],[Jul AC]]-Financials20263[[#This Row],[Jul FC]]</f>
        <v>-40000</v>
      </c>
      <c r="BJ128" s="66">
        <f>Financials20263[[#This Row],[Aug AC]]-Financials20263[[#This Row],[Aug FC]]</f>
        <v>0</v>
      </c>
      <c r="BK128" s="66">
        <f>Financials20263[[#This Row],[Sep AC]]-Financials20263[[#This Row],[Sep FC]]</f>
        <v>0</v>
      </c>
      <c r="BL128" s="66">
        <f>Financials20263[[#This Row],[Oct AC]]-Financials20263[[#This Row],[Oct FC]]</f>
        <v>0</v>
      </c>
      <c r="BM128" s="66">
        <f>Financials20263[[#This Row],[Nov AC]]-Financials20263[[#This Row],[Nov FC]]</f>
        <v>0</v>
      </c>
      <c r="BN128" s="66">
        <f>Financials20263[[#This Row],[Dec AC]]-Financials20263[[#This Row],[Dec FC]]</f>
        <v>0</v>
      </c>
      <c r="BO128" s="66">
        <f>SUM(Financials20263[[#This Row],[Jan Opp/Risk]:[Dec Opp./Risk]])</f>
        <v>-80000</v>
      </c>
      <c r="BP128" s="82" t="s">
        <v>683</v>
      </c>
      <c r="BQ128" s="44">
        <f>SUM(Financials20263[[#This Row],[Jan AC]:[Jun AC]])</f>
        <v>40000</v>
      </c>
      <c r="BR128" s="6">
        <f t="shared" si="46"/>
        <v>40000</v>
      </c>
      <c r="BS128" s="6">
        <f>Financials20263[[#This Row],[Jul-Dec FC]]+Financials20263[[#This Row],[Pending Jan-Jun]]</f>
        <v>80000</v>
      </c>
      <c r="BT128" s="6"/>
      <c r="BU128" s="6"/>
      <c r="BV128" s="6"/>
    </row>
    <row r="129" spans="1:74" hidden="1">
      <c r="A129" s="20" t="s">
        <v>320</v>
      </c>
      <c r="B129" s="19" t="s">
        <v>64</v>
      </c>
      <c r="C129" s="19" t="s">
        <v>602</v>
      </c>
      <c r="D129" s="10" t="s">
        <v>684</v>
      </c>
      <c r="E129" s="7" t="s">
        <v>685</v>
      </c>
      <c r="F129" s="3" t="s">
        <v>444</v>
      </c>
      <c r="G129" s="3" t="s">
        <v>22</v>
      </c>
      <c r="H129" s="4"/>
      <c r="I129" s="4"/>
      <c r="J129" s="3"/>
      <c r="K129" s="3" t="str">
        <f t="shared" si="30"/>
        <v>Prj000211-Implement - WSO Balance Sheet Mig &amp; Reporting</v>
      </c>
      <c r="L129" s="19" t="s">
        <v>251</v>
      </c>
      <c r="M129" s="19" t="s">
        <v>10</v>
      </c>
      <c r="N129" s="19" t="s">
        <v>614</v>
      </c>
      <c r="O129" s="19"/>
      <c r="P129" s="19" t="s">
        <v>326</v>
      </c>
      <c r="Q129" s="19" t="s">
        <v>355</v>
      </c>
      <c r="R129" s="19" t="s">
        <v>349</v>
      </c>
      <c r="S129" s="3" t="s">
        <v>667</v>
      </c>
      <c r="T129" s="5"/>
      <c r="U129" s="17">
        <v>500000</v>
      </c>
      <c r="V129" s="17">
        <f>500000-500000</f>
        <v>0</v>
      </c>
      <c r="W129" s="15">
        <f t="shared" si="44"/>
        <v>0</v>
      </c>
      <c r="X129" s="15">
        <f t="shared" si="35"/>
        <v>0</v>
      </c>
      <c r="Y129" s="15">
        <f t="shared" si="32"/>
        <v>0</v>
      </c>
      <c r="Z129" s="15">
        <f>SUM(Financials20263[[#This Row],[2026 Opportunity]:[2026 Risk]])</f>
        <v>0</v>
      </c>
      <c r="AA129" s="3" t="s">
        <v>686</v>
      </c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70">
        <f>SUM(Financials20263[[#This Row],[Jan FC]:[Dec FC]])</f>
        <v>0</v>
      </c>
      <c r="AO129" s="15">
        <f>SUM(Financials20263[[#This Row],[Jul FC]:[Dec FC]])</f>
        <v>0</v>
      </c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75">
        <f>SUM(Financials20263[[#This Row],[Jan AC]:[Dec AC]])</f>
        <v>0</v>
      </c>
      <c r="BC129" s="66">
        <f>Financials20263[[#This Row],[Jan AC]]-Financials20263[[#This Row],[Jan FC]]</f>
        <v>0</v>
      </c>
      <c r="BD129" s="66">
        <f>Financials20263[[#This Row],[Feb AC]]-Financials20263[[#This Row],[Feb FC]]</f>
        <v>0</v>
      </c>
      <c r="BE129" s="66">
        <f>Financials20263[[#This Row],[Mar AC]]-Financials20263[[#This Row],[Mar FC]]</f>
        <v>0</v>
      </c>
      <c r="BF129" s="66">
        <f>Financials20263[[#This Row],[Apr AC]]-Financials20263[[#This Row],[Apr FC]]</f>
        <v>0</v>
      </c>
      <c r="BG129" s="66">
        <f>Financials20263[[#This Row],[May AC]]-Financials20263[[#This Row],[May FC]]</f>
        <v>0</v>
      </c>
      <c r="BH129" s="66">
        <f>Financials20263[[#This Row],[Jun AC]]-Financials20263[[#This Row],[Jun FC]]</f>
        <v>0</v>
      </c>
      <c r="BI129" s="66">
        <f>Financials20263[[#This Row],[Jul AC]]-Financials20263[[#This Row],[Jul FC]]</f>
        <v>0</v>
      </c>
      <c r="BJ129" s="66">
        <f>Financials20263[[#This Row],[Aug AC]]-Financials20263[[#This Row],[Aug FC]]</f>
        <v>0</v>
      </c>
      <c r="BK129" s="66">
        <f>Financials20263[[#This Row],[Sep AC]]-Financials20263[[#This Row],[Sep FC]]</f>
        <v>0</v>
      </c>
      <c r="BL129" s="66">
        <f>Financials20263[[#This Row],[Oct AC]]-Financials20263[[#This Row],[Oct FC]]</f>
        <v>0</v>
      </c>
      <c r="BM129" s="66">
        <f>Financials20263[[#This Row],[Nov AC]]-Financials20263[[#This Row],[Nov FC]]</f>
        <v>0</v>
      </c>
      <c r="BN129" s="66">
        <f>Financials20263[[#This Row],[Dec AC]]-Financials20263[[#This Row],[Dec FC]]</f>
        <v>0</v>
      </c>
      <c r="BO129" s="66">
        <f>SUM(Financials20263[[#This Row],[Jan Opp/Risk]:[Dec Opp./Risk]])</f>
        <v>0</v>
      </c>
      <c r="BP129" s="82" t="s">
        <v>672</v>
      </c>
      <c r="BQ129" s="44">
        <f>SUM(Financials20263[[#This Row],[Jan AC]:[Jun AC]])</f>
        <v>0</v>
      </c>
      <c r="BR129" s="6">
        <f t="shared" si="46"/>
        <v>0</v>
      </c>
      <c r="BS129" s="6">
        <f>Financials20263[[#This Row],[Jul-Dec FC]]+Financials20263[[#This Row],[Pending Jan-Jun]]</f>
        <v>0</v>
      </c>
      <c r="BT129" s="6" t="s">
        <v>616</v>
      </c>
      <c r="BU129" s="6"/>
      <c r="BV129" s="6"/>
    </row>
    <row r="130" spans="1:74" hidden="1">
      <c r="A130" s="20" t="s">
        <v>320</v>
      </c>
      <c r="B130" s="19" t="s">
        <v>44</v>
      </c>
      <c r="C130" s="19" t="s">
        <v>448</v>
      </c>
      <c r="D130" s="10" t="s">
        <v>687</v>
      </c>
      <c r="E130" s="7" t="s">
        <v>688</v>
      </c>
      <c r="F130" s="3" t="s">
        <v>451</v>
      </c>
      <c r="G130" s="3" t="s">
        <v>20</v>
      </c>
      <c r="H130" s="4"/>
      <c r="I130" s="4"/>
      <c r="J130" s="3" t="s">
        <v>689</v>
      </c>
      <c r="K130" s="3" t="str">
        <f t="shared" ref="K130:K142" si="52">D130 &amp; "-" &amp;E130</f>
        <v>Prj000477-Implement - Odyssey Reporting &amp; Exception Mgmt</v>
      </c>
      <c r="L130" s="19" t="s">
        <v>251</v>
      </c>
      <c r="M130" s="19" t="s">
        <v>10</v>
      </c>
      <c r="N130" s="19" t="s">
        <v>614</v>
      </c>
      <c r="O130" s="19"/>
      <c r="P130" s="19" t="s">
        <v>347</v>
      </c>
      <c r="Q130" s="19" t="s">
        <v>348</v>
      </c>
      <c r="R130" s="19" t="s">
        <v>349</v>
      </c>
      <c r="S130" s="3" t="s">
        <v>667</v>
      </c>
      <c r="T130" s="5">
        <v>0</v>
      </c>
      <c r="U130" s="17">
        <v>600000</v>
      </c>
      <c r="V130" s="17">
        <f>600000*0</f>
        <v>0</v>
      </c>
      <c r="W130" s="15">
        <f t="shared" ref="W130:W150" si="53">AO130+IF(ISBLANK(AP130),AB130,AP130)+IF(ISBLANK(AQ130),AC130,AQ130)+IF(ISBLANK(AR130),AD130,AR130)+IF(ISBLANK(AS130),AE130,AS130)+IF(ISBLANK(AT130),AF130,AT130)+IF(ISBLANK(AU130),AG130,AU130)</f>
        <v>0</v>
      </c>
      <c r="X130" s="15">
        <f t="shared" si="35"/>
        <v>0</v>
      </c>
      <c r="Y130" s="15">
        <f t="shared" ref="Y130:Y148" si="54">IF(W130 &gt; V130, W130 - V130, 0)</f>
        <v>0</v>
      </c>
      <c r="Z130" s="15">
        <f>SUM(Financials20263[[#This Row],[2026 Opportunity]:[2026 Risk]])</f>
        <v>0</v>
      </c>
      <c r="AA130" s="3" t="s">
        <v>690</v>
      </c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3"/>
      <c r="AN130" s="70">
        <f>SUM(Financials20263[[#This Row],[Jan FC]:[Dec FC]])</f>
        <v>0</v>
      </c>
      <c r="AO130" s="15">
        <f>SUM(Financials20263[[#This Row],[Jul FC]:[Dec FC]])</f>
        <v>0</v>
      </c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75">
        <f>SUM(Financials20263[[#This Row],[Jan AC]:[Dec AC]])</f>
        <v>0</v>
      </c>
      <c r="BC130" s="66">
        <f>Financials20263[[#This Row],[Jan AC]]-Financials20263[[#This Row],[Jan FC]]</f>
        <v>0</v>
      </c>
      <c r="BD130" s="66">
        <f>Financials20263[[#This Row],[Feb AC]]-Financials20263[[#This Row],[Feb FC]]</f>
        <v>0</v>
      </c>
      <c r="BE130" s="66">
        <f>Financials20263[[#This Row],[Mar AC]]-Financials20263[[#This Row],[Mar FC]]</f>
        <v>0</v>
      </c>
      <c r="BF130" s="66">
        <f>Financials20263[[#This Row],[Apr AC]]-Financials20263[[#This Row],[Apr FC]]</f>
        <v>0</v>
      </c>
      <c r="BG130" s="66">
        <f>Financials20263[[#This Row],[May AC]]-Financials20263[[#This Row],[May FC]]</f>
        <v>0</v>
      </c>
      <c r="BH130" s="66">
        <f>Financials20263[[#This Row],[Jun AC]]-Financials20263[[#This Row],[Jun FC]]</f>
        <v>0</v>
      </c>
      <c r="BI130" s="66">
        <f>Financials20263[[#This Row],[Jul AC]]-Financials20263[[#This Row],[Jul FC]]</f>
        <v>0</v>
      </c>
      <c r="BJ130" s="66">
        <f>Financials20263[[#This Row],[Aug AC]]-Financials20263[[#This Row],[Aug FC]]</f>
        <v>0</v>
      </c>
      <c r="BK130" s="66">
        <f>Financials20263[[#This Row],[Sep AC]]-Financials20263[[#This Row],[Sep FC]]</f>
        <v>0</v>
      </c>
      <c r="BL130" s="66">
        <f>Financials20263[[#This Row],[Oct AC]]-Financials20263[[#This Row],[Oct FC]]</f>
        <v>0</v>
      </c>
      <c r="BM130" s="66">
        <f>Financials20263[[#This Row],[Nov AC]]-Financials20263[[#This Row],[Nov FC]]</f>
        <v>0</v>
      </c>
      <c r="BN130" s="66">
        <f>Financials20263[[#This Row],[Dec AC]]-Financials20263[[#This Row],[Dec FC]]</f>
        <v>0</v>
      </c>
      <c r="BO130" s="66">
        <f>SUM(Financials20263[[#This Row],[Jan Opp/Risk]:[Dec Opp./Risk]])</f>
        <v>0</v>
      </c>
      <c r="BP130" s="82" t="s">
        <v>672</v>
      </c>
      <c r="BQ130" s="44">
        <f>SUM(Financials20263[[#This Row],[Jan AC]:[Jun AC]])</f>
        <v>0</v>
      </c>
      <c r="BR130" s="6">
        <f t="shared" ref="BR130:BR150" si="55">IF(OR(AP130="",AP130=0),AB130,0)+IF(OR(AQ130="",AQ130=0),AC130,0)+IF(OR(AR130="",AR130=0),AD130,0)+IF(OR(AS130="",AS130=0),AE130,0)+IF(OR(AT130="",AT130=0),AF130,0)+IF(OR(AU130="",AU130=0),AG130,0)</f>
        <v>0</v>
      </c>
      <c r="BS130" s="6">
        <f>Financials20263[[#This Row],[Jul-Dec FC]]+Financials20263[[#This Row],[Pending Jan-Jun]]</f>
        <v>0</v>
      </c>
      <c r="BT130" s="6"/>
      <c r="BU130" s="6"/>
      <c r="BV130" s="6"/>
    </row>
    <row r="131" spans="1:74" hidden="1">
      <c r="A131" s="20" t="s">
        <v>320</v>
      </c>
      <c r="B131" s="19" t="s">
        <v>44</v>
      </c>
      <c r="C131" s="19" t="s">
        <v>448</v>
      </c>
      <c r="D131" s="10" t="s">
        <v>454</v>
      </c>
      <c r="E131" s="7" t="s">
        <v>455</v>
      </c>
      <c r="F131" s="3" t="s">
        <v>451</v>
      </c>
      <c r="G131" s="3" t="s">
        <v>20</v>
      </c>
      <c r="H131" s="4"/>
      <c r="I131" s="4"/>
      <c r="J131" s="3" t="s">
        <v>689</v>
      </c>
      <c r="K131" s="3" t="str">
        <f t="shared" si="52"/>
        <v>Prj000548-Implement - Reporting for Internal Audit</v>
      </c>
      <c r="L131" s="19" t="s">
        <v>251</v>
      </c>
      <c r="M131" s="19" t="s">
        <v>10</v>
      </c>
      <c r="N131" s="19" t="s">
        <v>614</v>
      </c>
      <c r="O131" s="19"/>
      <c r="P131" s="19" t="s">
        <v>347</v>
      </c>
      <c r="Q131" s="19" t="s">
        <v>348</v>
      </c>
      <c r="R131" s="19" t="s">
        <v>349</v>
      </c>
      <c r="S131" s="3" t="s">
        <v>667</v>
      </c>
      <c r="T131" s="5">
        <v>0</v>
      </c>
      <c r="U131" s="17">
        <v>500000</v>
      </c>
      <c r="V131" s="17">
        <f>500000-500000</f>
        <v>0</v>
      </c>
      <c r="W131" s="15">
        <f t="shared" si="53"/>
        <v>0</v>
      </c>
      <c r="X131" s="15">
        <f t="shared" si="35"/>
        <v>0</v>
      </c>
      <c r="Y131" s="15">
        <f t="shared" si="54"/>
        <v>0</v>
      </c>
      <c r="Z131" s="15">
        <f>SUM(Financials20263[[#This Row],[2026 Opportunity]:[2026 Risk]])</f>
        <v>0</v>
      </c>
      <c r="AA131" s="3" t="s">
        <v>691</v>
      </c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70">
        <f>SUM(Financials20263[[#This Row],[Jan FC]:[Dec FC]])</f>
        <v>0</v>
      </c>
      <c r="AO131" s="15">
        <f>SUM(Financials20263[[#This Row],[Jul FC]:[Dec FC]])</f>
        <v>0</v>
      </c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75">
        <f>SUM(Financials20263[[#This Row],[Jan AC]:[Dec AC]])</f>
        <v>0</v>
      </c>
      <c r="BC131" s="66">
        <f>Financials20263[[#This Row],[Jan AC]]-Financials20263[[#This Row],[Jan FC]]</f>
        <v>0</v>
      </c>
      <c r="BD131" s="66">
        <f>Financials20263[[#This Row],[Feb AC]]-Financials20263[[#This Row],[Feb FC]]</f>
        <v>0</v>
      </c>
      <c r="BE131" s="66">
        <f>Financials20263[[#This Row],[Mar AC]]-Financials20263[[#This Row],[Mar FC]]</f>
        <v>0</v>
      </c>
      <c r="BF131" s="66">
        <f>Financials20263[[#This Row],[Apr AC]]-Financials20263[[#This Row],[Apr FC]]</f>
        <v>0</v>
      </c>
      <c r="BG131" s="66">
        <f>Financials20263[[#This Row],[May AC]]-Financials20263[[#This Row],[May FC]]</f>
        <v>0</v>
      </c>
      <c r="BH131" s="66">
        <f>Financials20263[[#This Row],[Jun AC]]-Financials20263[[#This Row],[Jun FC]]</f>
        <v>0</v>
      </c>
      <c r="BI131" s="66">
        <f>Financials20263[[#This Row],[Jul AC]]-Financials20263[[#This Row],[Jul FC]]</f>
        <v>0</v>
      </c>
      <c r="BJ131" s="66">
        <f>Financials20263[[#This Row],[Aug AC]]-Financials20263[[#This Row],[Aug FC]]</f>
        <v>0</v>
      </c>
      <c r="BK131" s="66">
        <f>Financials20263[[#This Row],[Sep AC]]-Financials20263[[#This Row],[Sep FC]]</f>
        <v>0</v>
      </c>
      <c r="BL131" s="66">
        <f>Financials20263[[#This Row],[Oct AC]]-Financials20263[[#This Row],[Oct FC]]</f>
        <v>0</v>
      </c>
      <c r="BM131" s="66">
        <f>Financials20263[[#This Row],[Nov AC]]-Financials20263[[#This Row],[Nov FC]]</f>
        <v>0</v>
      </c>
      <c r="BN131" s="66">
        <f>Financials20263[[#This Row],[Dec AC]]-Financials20263[[#This Row],[Dec FC]]</f>
        <v>0</v>
      </c>
      <c r="BO131" s="66">
        <f>SUM(Financials20263[[#This Row],[Jan Opp/Risk]:[Dec Opp./Risk]])</f>
        <v>0</v>
      </c>
      <c r="BP131" s="82" t="s">
        <v>672</v>
      </c>
      <c r="BQ131" s="44">
        <f>SUM(Financials20263[[#This Row],[Jan AC]:[Jun AC]])</f>
        <v>0</v>
      </c>
      <c r="BR131" s="6">
        <f t="shared" si="55"/>
        <v>0</v>
      </c>
      <c r="BS131" s="6">
        <f>Financials20263[[#This Row],[Jul-Dec FC]]+Financials20263[[#This Row],[Pending Jan-Jun]]</f>
        <v>0</v>
      </c>
      <c r="BT131" s="6" t="s">
        <v>616</v>
      </c>
      <c r="BU131" s="6"/>
      <c r="BV131" s="6"/>
    </row>
    <row r="132" spans="1:74" hidden="1">
      <c r="A132" s="20" t="s">
        <v>320</v>
      </c>
      <c r="B132" s="19" t="s">
        <v>132</v>
      </c>
      <c r="C132" s="19" t="s">
        <v>527</v>
      </c>
      <c r="D132" s="10" t="s">
        <v>692</v>
      </c>
      <c r="E132" s="7" t="s">
        <v>693</v>
      </c>
      <c r="F132" s="3" t="s">
        <v>324</v>
      </c>
      <c r="G132" s="3" t="s">
        <v>21</v>
      </c>
      <c r="H132" s="4">
        <v>46023</v>
      </c>
      <c r="I132" s="4">
        <v>46194</v>
      </c>
      <c r="J132" s="3" t="s">
        <v>694</v>
      </c>
      <c r="K132" s="3" t="str">
        <f t="shared" si="52"/>
        <v>Prj000447-Implement - Minor Enhancements SNOW - Phase 2</v>
      </c>
      <c r="L132" s="19" t="s">
        <v>251</v>
      </c>
      <c r="M132" s="19" t="s">
        <v>14</v>
      </c>
      <c r="N132" s="19" t="s">
        <v>346</v>
      </c>
      <c r="O132" s="19" t="s">
        <v>594</v>
      </c>
      <c r="P132" s="19" t="s">
        <v>326</v>
      </c>
      <c r="Q132" s="19" t="s">
        <v>355</v>
      </c>
      <c r="R132" s="19" t="s">
        <v>355</v>
      </c>
      <c r="S132" s="19" t="s">
        <v>350</v>
      </c>
      <c r="T132" s="5">
        <v>0</v>
      </c>
      <c r="U132" s="17">
        <v>178500</v>
      </c>
      <c r="V132" s="17">
        <v>178500</v>
      </c>
      <c r="W132" s="15">
        <f t="shared" si="53"/>
        <v>174169.56</v>
      </c>
      <c r="X132" s="15">
        <f t="shared" si="35"/>
        <v>-4330.4400000000023</v>
      </c>
      <c r="Y132" s="15">
        <f t="shared" si="54"/>
        <v>0</v>
      </c>
      <c r="Z132" s="15">
        <f>SUM(Financials20263[[#This Row],[2026 Opportunity]:[2026 Risk]])</f>
        <v>-4330.4400000000023</v>
      </c>
      <c r="AA132" s="3" t="s">
        <v>695</v>
      </c>
      <c r="AB132" s="47">
        <v>29028.26</v>
      </c>
      <c r="AC132" s="47">
        <v>29028.26</v>
      </c>
      <c r="AD132" s="47">
        <v>29028.26</v>
      </c>
      <c r="AE132" s="47">
        <v>29028.26</v>
      </c>
      <c r="AF132" s="47">
        <v>29028.26</v>
      </c>
      <c r="AG132" s="47">
        <v>29028.26</v>
      </c>
      <c r="AH132" s="47"/>
      <c r="AI132" s="47"/>
      <c r="AJ132" s="47"/>
      <c r="AK132" s="47"/>
      <c r="AL132" s="47"/>
      <c r="AM132" s="47"/>
      <c r="AN132" s="70">
        <f>SUM(Financials20263[[#This Row],[Jan FC]:[Dec FC]])</f>
        <v>174169.56</v>
      </c>
      <c r="AO132" s="15">
        <f>SUM(Financials20263[[#This Row],[Jul FC]:[Dec FC]])</f>
        <v>0</v>
      </c>
      <c r="AP132" s="56">
        <v>29028.26</v>
      </c>
      <c r="AQ132" s="56">
        <v>29028.26</v>
      </c>
      <c r="AR132" s="56">
        <v>29028.26</v>
      </c>
      <c r="AS132" s="56">
        <v>29028.26</v>
      </c>
      <c r="AT132" s="56">
        <v>29028.26</v>
      </c>
      <c r="AU132" s="56">
        <v>29028.26</v>
      </c>
      <c r="AV132" s="56"/>
      <c r="AW132" s="56"/>
      <c r="AX132" s="56"/>
      <c r="AY132" s="56"/>
      <c r="AZ132" s="56"/>
      <c r="BA132" s="56"/>
      <c r="BB132" s="75">
        <f>SUM(Financials20263[[#This Row],[Jan AC]:[Dec AC]])</f>
        <v>174169.56</v>
      </c>
      <c r="BC132" s="66">
        <f>Financials20263[[#This Row],[Jan AC]]-Financials20263[[#This Row],[Jan FC]]</f>
        <v>0</v>
      </c>
      <c r="BD132" s="66">
        <f>Financials20263[[#This Row],[Feb AC]]-Financials20263[[#This Row],[Feb FC]]</f>
        <v>0</v>
      </c>
      <c r="BE132" s="66">
        <f>Financials20263[[#This Row],[Mar AC]]-Financials20263[[#This Row],[Mar FC]]</f>
        <v>0</v>
      </c>
      <c r="BF132" s="66">
        <f>Financials20263[[#This Row],[Apr AC]]-Financials20263[[#This Row],[Apr FC]]</f>
        <v>0</v>
      </c>
      <c r="BG132" s="66">
        <f>Financials20263[[#This Row],[May AC]]-Financials20263[[#This Row],[May FC]]</f>
        <v>0</v>
      </c>
      <c r="BH132" s="66">
        <f>Financials20263[[#This Row],[Jun AC]]-Financials20263[[#This Row],[Jun FC]]</f>
        <v>0</v>
      </c>
      <c r="BI132" s="66">
        <f>Financials20263[[#This Row],[Jul AC]]-Financials20263[[#This Row],[Jul FC]]</f>
        <v>0</v>
      </c>
      <c r="BJ132" s="66">
        <f>Financials20263[[#This Row],[Aug AC]]-Financials20263[[#This Row],[Aug FC]]</f>
        <v>0</v>
      </c>
      <c r="BK132" s="66">
        <f>Financials20263[[#This Row],[Sep AC]]-Financials20263[[#This Row],[Sep FC]]</f>
        <v>0</v>
      </c>
      <c r="BL132" s="66">
        <f>Financials20263[[#This Row],[Oct AC]]-Financials20263[[#This Row],[Oct FC]]</f>
        <v>0</v>
      </c>
      <c r="BM132" s="66">
        <f>Financials20263[[#This Row],[Nov AC]]-Financials20263[[#This Row],[Nov FC]]</f>
        <v>0</v>
      </c>
      <c r="BN132" s="66">
        <f>Financials20263[[#This Row],[Dec AC]]-Financials20263[[#This Row],[Dec FC]]</f>
        <v>0</v>
      </c>
      <c r="BO132" s="66">
        <f>SUM(Financials20263[[#This Row],[Jan Opp/Risk]:[Dec Opp./Risk]])</f>
        <v>0</v>
      </c>
      <c r="BP132" s="82" t="s">
        <v>377</v>
      </c>
      <c r="BQ132" s="44">
        <f>SUM(Financials20263[[#This Row],[Jan AC]:[Jun AC]])</f>
        <v>174169.56</v>
      </c>
      <c r="BR132" s="6">
        <f t="shared" si="55"/>
        <v>0</v>
      </c>
      <c r="BS132" s="6">
        <f>Financials20263[[#This Row],[Jul-Dec FC]]+Financials20263[[#This Row],[Pending Jan-Jun]]</f>
        <v>0</v>
      </c>
      <c r="BT132" s="6"/>
      <c r="BU132" s="6"/>
      <c r="BV132" s="6"/>
    </row>
    <row r="133" spans="1:74" hidden="1">
      <c r="A133" s="20" t="s">
        <v>320</v>
      </c>
      <c r="B133" s="19" t="s">
        <v>179</v>
      </c>
      <c r="C133" s="19" t="s">
        <v>542</v>
      </c>
      <c r="D133" s="10" t="s">
        <v>696</v>
      </c>
      <c r="E133" s="7" t="s">
        <v>697</v>
      </c>
      <c r="F133" s="3" t="s">
        <v>451</v>
      </c>
      <c r="G133" s="3" t="s">
        <v>20</v>
      </c>
      <c r="H133" s="4">
        <v>45943</v>
      </c>
      <c r="I133" s="4">
        <v>46109</v>
      </c>
      <c r="J133" s="3" t="s">
        <v>698</v>
      </c>
      <c r="K133" s="3" t="str">
        <f t="shared" si="52"/>
        <v>Prj000476-Implement - Reporting to Support DGC</v>
      </c>
      <c r="L133" s="19" t="s">
        <v>252</v>
      </c>
      <c r="M133" s="19" t="s">
        <v>16</v>
      </c>
      <c r="N133" s="19" t="s">
        <v>16</v>
      </c>
      <c r="O133" s="19"/>
      <c r="P133" s="19" t="s">
        <v>326</v>
      </c>
      <c r="Q133" s="19" t="s">
        <v>327</v>
      </c>
      <c r="R133" s="19" t="s">
        <v>327</v>
      </c>
      <c r="S133" s="19" t="s">
        <v>354</v>
      </c>
      <c r="T133" s="5">
        <v>3529.53</v>
      </c>
      <c r="U133" s="5">
        <v>7470</v>
      </c>
      <c r="V133" s="5">
        <v>7470</v>
      </c>
      <c r="W133" s="15">
        <f t="shared" si="53"/>
        <v>7470</v>
      </c>
      <c r="X133" s="15">
        <f t="shared" si="35"/>
        <v>0</v>
      </c>
      <c r="Y133" s="15">
        <f t="shared" si="54"/>
        <v>0</v>
      </c>
      <c r="Z133" s="15">
        <f>SUM(Financials20263[[#This Row],[2026 Opportunity]:[2026 Risk]])</f>
        <v>0</v>
      </c>
      <c r="AA133" s="3" t="s">
        <v>699</v>
      </c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>
        <v>7470</v>
      </c>
      <c r="AM133" s="47"/>
      <c r="AN133" s="47">
        <f>SUM(Financials20263[[#This Row],[Jan FC]:[Dec FC]])</f>
        <v>7470</v>
      </c>
      <c r="AO133" s="15">
        <f>SUM(Financials20263[[#This Row],[Jul FC]:[Dec FC]])</f>
        <v>7470</v>
      </c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75">
        <f>SUM(Financials20263[[#This Row],[Jan AC]:[Dec AC]])</f>
        <v>0</v>
      </c>
      <c r="BC133" s="66">
        <f>Financials20263[[#This Row],[Jan AC]]-Financials20263[[#This Row],[Jan FC]]</f>
        <v>0</v>
      </c>
      <c r="BD133" s="66">
        <f>Financials20263[[#This Row],[Feb AC]]-Financials20263[[#This Row],[Feb FC]]</f>
        <v>0</v>
      </c>
      <c r="BE133" s="66">
        <f>Financials20263[[#This Row],[Mar AC]]-Financials20263[[#This Row],[Mar FC]]</f>
        <v>0</v>
      </c>
      <c r="BF133" s="66">
        <f>Financials20263[[#This Row],[Apr AC]]-Financials20263[[#This Row],[Apr FC]]</f>
        <v>0</v>
      </c>
      <c r="BG133" s="66">
        <f>Financials20263[[#This Row],[May AC]]-Financials20263[[#This Row],[May FC]]</f>
        <v>0</v>
      </c>
      <c r="BH133" s="66">
        <f>Financials20263[[#This Row],[Jun AC]]-Financials20263[[#This Row],[Jun FC]]</f>
        <v>0</v>
      </c>
      <c r="BI133" s="66">
        <f>Financials20263[[#This Row],[Jul AC]]-Financials20263[[#This Row],[Jul FC]]</f>
        <v>0</v>
      </c>
      <c r="BJ133" s="66">
        <f>Financials20263[[#This Row],[Aug AC]]-Financials20263[[#This Row],[Aug FC]]</f>
        <v>0</v>
      </c>
      <c r="BK133" s="66">
        <f>Financials20263[[#This Row],[Sep AC]]-Financials20263[[#This Row],[Sep FC]]</f>
        <v>0</v>
      </c>
      <c r="BL133" s="66">
        <f>Financials20263[[#This Row],[Oct AC]]-Financials20263[[#This Row],[Oct FC]]</f>
        <v>0</v>
      </c>
      <c r="BM133" s="66">
        <f>Financials20263[[#This Row],[Nov AC]]-Financials20263[[#This Row],[Nov FC]]</f>
        <v>-7470</v>
      </c>
      <c r="BN133" s="66">
        <f>Financials20263[[#This Row],[Dec AC]]-Financials20263[[#This Row],[Dec FC]]</f>
        <v>0</v>
      </c>
      <c r="BO133" s="66">
        <f>SUM(Financials20263[[#This Row],[Jan Opp/Risk]:[Dec Opp./Risk]])</f>
        <v>-7470</v>
      </c>
      <c r="BP133" s="82"/>
      <c r="BQ133" s="44">
        <f>SUM(Financials20263[[#This Row],[Jan AC]:[Jun AC]])</f>
        <v>0</v>
      </c>
      <c r="BR133" s="6">
        <f t="shared" si="55"/>
        <v>0</v>
      </c>
      <c r="BS133" s="6">
        <f>Financials20263[[#This Row],[Jul-Dec FC]]+Financials20263[[#This Row],[Pending Jan-Jun]]</f>
        <v>7470</v>
      </c>
      <c r="BT133" s="6"/>
      <c r="BU133" s="6"/>
      <c r="BV133" s="6"/>
    </row>
    <row r="134" spans="1:74" hidden="1">
      <c r="A134" s="20" t="s">
        <v>320</v>
      </c>
      <c r="B134" s="19" t="s">
        <v>44</v>
      </c>
      <c r="C134" s="19" t="s">
        <v>448</v>
      </c>
      <c r="D134" s="10" t="s">
        <v>700</v>
      </c>
      <c r="E134" s="7" t="s">
        <v>701</v>
      </c>
      <c r="F134" s="3" t="s">
        <v>396</v>
      </c>
      <c r="G134" s="3" t="s">
        <v>23</v>
      </c>
      <c r="H134" s="4"/>
      <c r="I134" s="4"/>
      <c r="J134" s="3"/>
      <c r="K134" s="3" t="str">
        <f t="shared" si="52"/>
        <v>Prj000402-Implement - Minor Enhancements for Data Services</v>
      </c>
      <c r="L134" s="19" t="s">
        <v>251</v>
      </c>
      <c r="M134" s="19" t="s">
        <v>14</v>
      </c>
      <c r="N134" s="19" t="s">
        <v>346</v>
      </c>
      <c r="O134" s="19"/>
      <c r="P134" s="19" t="s">
        <v>347</v>
      </c>
      <c r="Q134" s="19" t="s">
        <v>348</v>
      </c>
      <c r="R134" s="19" t="s">
        <v>349</v>
      </c>
      <c r="S134" s="3" t="s">
        <v>667</v>
      </c>
      <c r="T134" s="5">
        <v>0</v>
      </c>
      <c r="U134" s="5">
        <v>100000</v>
      </c>
      <c r="V134" s="5">
        <f>100000-100000</f>
        <v>0</v>
      </c>
      <c r="W134" s="15">
        <f t="shared" si="53"/>
        <v>0</v>
      </c>
      <c r="X134" s="15">
        <f t="shared" si="35"/>
        <v>0</v>
      </c>
      <c r="Y134" s="15">
        <f t="shared" si="54"/>
        <v>0</v>
      </c>
      <c r="Z134" s="15">
        <f>SUM(Financials20263[[#This Row],[2026 Opportunity]:[2026 Risk]])</f>
        <v>0</v>
      </c>
      <c r="AA134" s="3" t="s">
        <v>668</v>
      </c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3"/>
      <c r="AN134" s="47">
        <f>SUM(Financials20263[[#This Row],[Jan FC]:[Dec FC]])</f>
        <v>0</v>
      </c>
      <c r="AO134" s="15">
        <f>SUM(Financials20263[[#This Row],[Jul FC]:[Dec FC]])</f>
        <v>0</v>
      </c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75">
        <f>SUM(Financials20263[[#This Row],[Jan AC]:[Dec AC]])</f>
        <v>0</v>
      </c>
      <c r="BC134" s="66">
        <f>Financials20263[[#This Row],[Jan AC]]-Financials20263[[#This Row],[Jan FC]]</f>
        <v>0</v>
      </c>
      <c r="BD134" s="66">
        <f>Financials20263[[#This Row],[Feb AC]]-Financials20263[[#This Row],[Feb FC]]</f>
        <v>0</v>
      </c>
      <c r="BE134" s="66">
        <f>Financials20263[[#This Row],[Mar AC]]-Financials20263[[#This Row],[Mar FC]]</f>
        <v>0</v>
      </c>
      <c r="BF134" s="66">
        <f>Financials20263[[#This Row],[Apr AC]]-Financials20263[[#This Row],[Apr FC]]</f>
        <v>0</v>
      </c>
      <c r="BG134" s="66">
        <f>Financials20263[[#This Row],[May AC]]-Financials20263[[#This Row],[May FC]]</f>
        <v>0</v>
      </c>
      <c r="BH134" s="66">
        <f>Financials20263[[#This Row],[Jun AC]]-Financials20263[[#This Row],[Jun FC]]</f>
        <v>0</v>
      </c>
      <c r="BI134" s="66">
        <f>Financials20263[[#This Row],[Jul AC]]-Financials20263[[#This Row],[Jul FC]]</f>
        <v>0</v>
      </c>
      <c r="BJ134" s="66">
        <f>Financials20263[[#This Row],[Aug AC]]-Financials20263[[#This Row],[Aug FC]]</f>
        <v>0</v>
      </c>
      <c r="BK134" s="66">
        <f>Financials20263[[#This Row],[Sep AC]]-Financials20263[[#This Row],[Sep FC]]</f>
        <v>0</v>
      </c>
      <c r="BL134" s="66">
        <f>Financials20263[[#This Row],[Oct AC]]-Financials20263[[#This Row],[Oct FC]]</f>
        <v>0</v>
      </c>
      <c r="BM134" s="66">
        <f>Financials20263[[#This Row],[Nov AC]]-Financials20263[[#This Row],[Nov FC]]</f>
        <v>0</v>
      </c>
      <c r="BN134" s="66">
        <f>Financials20263[[#This Row],[Dec AC]]-Financials20263[[#This Row],[Dec FC]]</f>
        <v>0</v>
      </c>
      <c r="BO134" s="66">
        <f>SUM(Financials20263[[#This Row],[Jan Opp/Risk]:[Dec Opp./Risk]])</f>
        <v>0</v>
      </c>
      <c r="BP134" s="82" t="s">
        <v>672</v>
      </c>
      <c r="BQ134" s="44">
        <f>SUM(Financials20263[[#This Row],[Jan AC]:[Jun AC]])</f>
        <v>0</v>
      </c>
      <c r="BR134" s="6">
        <f t="shared" si="55"/>
        <v>0</v>
      </c>
      <c r="BS134" s="6">
        <f>Financials20263[[#This Row],[Jul-Dec FC]]+Financials20263[[#This Row],[Pending Jan-Jun]]</f>
        <v>0</v>
      </c>
      <c r="BT134" s="6"/>
      <c r="BU134" s="6"/>
      <c r="BV134" s="6"/>
    </row>
    <row r="135" spans="1:74" hidden="1">
      <c r="A135" s="20" t="s">
        <v>320</v>
      </c>
      <c r="B135" s="19" t="s">
        <v>53</v>
      </c>
      <c r="C135" s="19"/>
      <c r="D135" s="10" t="s">
        <v>702</v>
      </c>
      <c r="E135" s="7" t="s">
        <v>703</v>
      </c>
      <c r="F135" s="3" t="s">
        <v>345</v>
      </c>
      <c r="G135" s="3" t="s">
        <v>22</v>
      </c>
      <c r="H135" s="4"/>
      <c r="I135" s="4"/>
      <c r="J135" s="3"/>
      <c r="K135" s="3" t="str">
        <f t="shared" si="52"/>
        <v>Prj000278-Implement - Fund Acctn Modules to Support BS Transition</v>
      </c>
      <c r="L135" s="19" t="s">
        <v>251</v>
      </c>
      <c r="M135" s="19" t="s">
        <v>10</v>
      </c>
      <c r="N135" s="19" t="s">
        <v>625</v>
      </c>
      <c r="O135" s="19"/>
      <c r="P135" s="19" t="s">
        <v>619</v>
      </c>
      <c r="Q135" s="19" t="s">
        <v>620</v>
      </c>
      <c r="R135" s="19" t="s">
        <v>368</v>
      </c>
      <c r="S135" s="3" t="s">
        <v>667</v>
      </c>
      <c r="T135" s="5">
        <v>0</v>
      </c>
      <c r="U135" s="5">
        <v>250000</v>
      </c>
      <c r="V135" s="5">
        <f>250000-100000</f>
        <v>150000</v>
      </c>
      <c r="W135" s="15">
        <f t="shared" si="53"/>
        <v>150000</v>
      </c>
      <c r="X135" s="15">
        <f t="shared" si="35"/>
        <v>0</v>
      </c>
      <c r="Y135" s="15">
        <f t="shared" si="54"/>
        <v>0</v>
      </c>
      <c r="Z135" s="15">
        <f>SUM(Financials20263[[#This Row],[2026 Opportunity]:[2026 Risk]])</f>
        <v>0</v>
      </c>
      <c r="AA135" s="3" t="s">
        <v>675</v>
      </c>
      <c r="AB135" s="47"/>
      <c r="AC135" s="47"/>
      <c r="AD135" s="47"/>
      <c r="AE135" s="47"/>
      <c r="AF135" s="47"/>
      <c r="AG135" s="47"/>
      <c r="AH135" s="47"/>
      <c r="AI135" s="47">
        <v>3500</v>
      </c>
      <c r="AJ135" s="47"/>
      <c r="AK135" s="47"/>
      <c r="AL135" s="47"/>
      <c r="AM135" s="43">
        <f>150000-3500</f>
        <v>146500</v>
      </c>
      <c r="AN135" s="47">
        <f>SUM(Financials20263[[#This Row],[Jan FC]:[Dec FC]])</f>
        <v>150000</v>
      </c>
      <c r="AO135" s="15">
        <f>SUM(Financials20263[[#This Row],[Jul FC]:[Dec FC]])</f>
        <v>150000</v>
      </c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75">
        <f>SUM(Financials20263[[#This Row],[Jan AC]:[Dec AC]])</f>
        <v>0</v>
      </c>
      <c r="BC135" s="66">
        <f>Financials20263[[#This Row],[Jan AC]]-Financials20263[[#This Row],[Jan FC]]</f>
        <v>0</v>
      </c>
      <c r="BD135" s="66">
        <f>Financials20263[[#This Row],[Feb AC]]-Financials20263[[#This Row],[Feb FC]]</f>
        <v>0</v>
      </c>
      <c r="BE135" s="66">
        <f>Financials20263[[#This Row],[Mar AC]]-Financials20263[[#This Row],[Mar FC]]</f>
        <v>0</v>
      </c>
      <c r="BF135" s="66">
        <f>Financials20263[[#This Row],[Apr AC]]-Financials20263[[#This Row],[Apr FC]]</f>
        <v>0</v>
      </c>
      <c r="BG135" s="66">
        <f>Financials20263[[#This Row],[May AC]]-Financials20263[[#This Row],[May FC]]</f>
        <v>0</v>
      </c>
      <c r="BH135" s="66">
        <f>Financials20263[[#This Row],[Jun AC]]-Financials20263[[#This Row],[Jun FC]]</f>
        <v>0</v>
      </c>
      <c r="BI135" s="66">
        <f>Financials20263[[#This Row],[Jul AC]]-Financials20263[[#This Row],[Jul FC]]</f>
        <v>0</v>
      </c>
      <c r="BJ135" s="66">
        <f>Financials20263[[#This Row],[Aug AC]]-Financials20263[[#This Row],[Aug FC]]</f>
        <v>-3500</v>
      </c>
      <c r="BK135" s="66">
        <f>Financials20263[[#This Row],[Sep AC]]-Financials20263[[#This Row],[Sep FC]]</f>
        <v>0</v>
      </c>
      <c r="BL135" s="66">
        <f>Financials20263[[#This Row],[Oct AC]]-Financials20263[[#This Row],[Oct FC]]</f>
        <v>0</v>
      </c>
      <c r="BM135" s="66">
        <f>Financials20263[[#This Row],[Nov AC]]-Financials20263[[#This Row],[Nov FC]]</f>
        <v>0</v>
      </c>
      <c r="BN135" s="66">
        <f>Financials20263[[#This Row],[Dec AC]]-Financials20263[[#This Row],[Dec FC]]</f>
        <v>-146500</v>
      </c>
      <c r="BO135" s="66">
        <f>SUM(Financials20263[[#This Row],[Jan Opp/Risk]:[Dec Opp./Risk]])</f>
        <v>-150000</v>
      </c>
      <c r="BP135" s="82" t="s">
        <v>672</v>
      </c>
      <c r="BQ135" s="44">
        <f>SUM(Financials20263[[#This Row],[Jan AC]:[Jun AC]])</f>
        <v>0</v>
      </c>
      <c r="BR135" s="6">
        <f t="shared" si="55"/>
        <v>0</v>
      </c>
      <c r="BS135" s="6">
        <f>Financials20263[[#This Row],[Jul-Dec FC]]+Financials20263[[#This Row],[Pending Jan-Jun]]</f>
        <v>150000</v>
      </c>
      <c r="BT135" s="6" t="s">
        <v>616</v>
      </c>
      <c r="BU135" s="6"/>
      <c r="BV135" s="6"/>
    </row>
    <row r="136" spans="1:74" hidden="1">
      <c r="A136" s="20" t="s">
        <v>320</v>
      </c>
      <c r="B136" s="19" t="s">
        <v>238</v>
      </c>
      <c r="C136" s="19"/>
      <c r="D136" s="10" t="s">
        <v>704</v>
      </c>
      <c r="E136" s="7" t="s">
        <v>705</v>
      </c>
      <c r="F136" s="3" t="s">
        <v>335</v>
      </c>
      <c r="G136" s="3" t="s">
        <v>25</v>
      </c>
      <c r="H136" s="4">
        <v>45971</v>
      </c>
      <c r="I136" s="4">
        <v>46190</v>
      </c>
      <c r="J136" s="3"/>
      <c r="K136" s="3" t="str">
        <f t="shared" si="52"/>
        <v>Prj000296-Support - PMO Governance &amp; Reporting Activities</v>
      </c>
      <c r="L136" s="19" t="s">
        <v>252</v>
      </c>
      <c r="M136" s="19" t="s">
        <v>16</v>
      </c>
      <c r="N136" s="19" t="s">
        <v>16</v>
      </c>
      <c r="O136" s="19"/>
      <c r="P136" s="19" t="s">
        <v>326</v>
      </c>
      <c r="Q136" s="19" t="s">
        <v>437</v>
      </c>
      <c r="R136" s="19" t="s">
        <v>437</v>
      </c>
      <c r="S136" s="3" t="s">
        <v>328</v>
      </c>
      <c r="T136" s="5">
        <v>52988.05</v>
      </c>
      <c r="U136" s="5">
        <v>100000</v>
      </c>
      <c r="V136" s="5">
        <v>100000</v>
      </c>
      <c r="W136" s="15">
        <f t="shared" si="53"/>
        <v>113850</v>
      </c>
      <c r="X136" s="15">
        <f t="shared" si="35"/>
        <v>0</v>
      </c>
      <c r="Y136" s="15">
        <f t="shared" si="54"/>
        <v>13850</v>
      </c>
      <c r="Z136" s="15">
        <f>SUM(Financials20263[[#This Row],[2026 Opportunity]:[2026 Risk]])</f>
        <v>13850</v>
      </c>
      <c r="AA136" s="3" t="s">
        <v>706</v>
      </c>
      <c r="AB136" s="47"/>
      <c r="AC136" s="47"/>
      <c r="AD136" s="47"/>
      <c r="AE136" s="47"/>
      <c r="AF136" s="47"/>
      <c r="AG136" s="47">
        <v>113850</v>
      </c>
      <c r="AH136" s="47"/>
      <c r="AI136" s="47"/>
      <c r="AJ136" s="47"/>
      <c r="AK136" s="47"/>
      <c r="AL136" s="47"/>
      <c r="AM136" s="47"/>
      <c r="AN136" s="47">
        <f>SUM(Financials20263[[#This Row],[Jan FC]:[Dec FC]])</f>
        <v>113850</v>
      </c>
      <c r="AO136" s="15">
        <f>SUM(Financials20263[[#This Row],[Jul FC]:[Dec FC]])</f>
        <v>0</v>
      </c>
      <c r="AP136" s="56"/>
      <c r="AQ136" s="56"/>
      <c r="AR136" s="56"/>
      <c r="AS136" s="56"/>
      <c r="AT136" s="56"/>
      <c r="AU136" s="56">
        <v>113850</v>
      </c>
      <c r="AV136" s="56"/>
      <c r="AW136" s="56"/>
      <c r="AX136" s="56"/>
      <c r="AY136" s="56"/>
      <c r="AZ136" s="56"/>
      <c r="BA136" s="56"/>
      <c r="BB136" s="75">
        <f>SUM(Financials20263[[#This Row],[Jan AC]:[Dec AC]])</f>
        <v>113850</v>
      </c>
      <c r="BC136" s="66">
        <f>Financials20263[[#This Row],[Jan AC]]-Financials20263[[#This Row],[Jan FC]]</f>
        <v>0</v>
      </c>
      <c r="BD136" s="66">
        <f>Financials20263[[#This Row],[Feb AC]]-Financials20263[[#This Row],[Feb FC]]</f>
        <v>0</v>
      </c>
      <c r="BE136" s="66">
        <f>Financials20263[[#This Row],[Mar AC]]-Financials20263[[#This Row],[Mar FC]]</f>
        <v>0</v>
      </c>
      <c r="BF136" s="66">
        <f>Financials20263[[#This Row],[Apr AC]]-Financials20263[[#This Row],[Apr FC]]</f>
        <v>0</v>
      </c>
      <c r="BG136" s="66">
        <f>Financials20263[[#This Row],[May AC]]-Financials20263[[#This Row],[May FC]]</f>
        <v>0</v>
      </c>
      <c r="BH136" s="66">
        <f>Financials20263[[#This Row],[Jun AC]]-Financials20263[[#This Row],[Jun FC]]</f>
        <v>0</v>
      </c>
      <c r="BI136" s="66">
        <f>Financials20263[[#This Row],[Jul AC]]-Financials20263[[#This Row],[Jul FC]]</f>
        <v>0</v>
      </c>
      <c r="BJ136" s="66">
        <f>Financials20263[[#This Row],[Aug AC]]-Financials20263[[#This Row],[Aug FC]]</f>
        <v>0</v>
      </c>
      <c r="BK136" s="66">
        <f>Financials20263[[#This Row],[Sep AC]]-Financials20263[[#This Row],[Sep FC]]</f>
        <v>0</v>
      </c>
      <c r="BL136" s="66">
        <f>Financials20263[[#This Row],[Oct AC]]-Financials20263[[#This Row],[Oct FC]]</f>
        <v>0</v>
      </c>
      <c r="BM136" s="66">
        <f>Financials20263[[#This Row],[Nov AC]]-Financials20263[[#This Row],[Nov FC]]</f>
        <v>0</v>
      </c>
      <c r="BN136" s="66">
        <f>Financials20263[[#This Row],[Dec AC]]-Financials20263[[#This Row],[Dec FC]]</f>
        <v>0</v>
      </c>
      <c r="BO136" s="66">
        <f>SUM(Financials20263[[#This Row],[Jan Opp/Risk]:[Dec Opp./Risk]])</f>
        <v>0</v>
      </c>
      <c r="BP136" s="82" t="s">
        <v>707</v>
      </c>
      <c r="BQ136" s="44">
        <f>SUM(Financials20263[[#This Row],[Jan AC]:[Jun AC]])</f>
        <v>113850</v>
      </c>
      <c r="BR136" s="6">
        <f t="shared" si="55"/>
        <v>0</v>
      </c>
      <c r="BS136" s="6">
        <f>Financials20263[[#This Row],[Jul-Dec FC]]+Financials20263[[#This Row],[Pending Jan-Jun]]</f>
        <v>0</v>
      </c>
      <c r="BT136" s="6"/>
      <c r="BU136" s="6"/>
      <c r="BV136" s="6"/>
    </row>
    <row r="137" spans="1:74" ht="43.15" hidden="1">
      <c r="A137" s="20" t="s">
        <v>320</v>
      </c>
      <c r="B137" s="19" t="s">
        <v>41</v>
      </c>
      <c r="C137" s="19"/>
      <c r="D137" s="10" t="s">
        <v>670</v>
      </c>
      <c r="E137" s="7" t="s">
        <v>671</v>
      </c>
      <c r="F137" s="3" t="s">
        <v>408</v>
      </c>
      <c r="G137" s="3" t="s">
        <v>20</v>
      </c>
      <c r="H137" s="4">
        <v>46023</v>
      </c>
      <c r="I137" s="4">
        <v>46112</v>
      </c>
      <c r="J137" s="3"/>
      <c r="K137" s="3" t="str">
        <f t="shared" si="52"/>
        <v>Prj000353-Implement - L1/L2 CoE for Additional Platforms</v>
      </c>
      <c r="L137" s="19" t="s">
        <v>251</v>
      </c>
      <c r="M137" s="19" t="s">
        <v>10</v>
      </c>
      <c r="N137" s="19" t="s">
        <v>614</v>
      </c>
      <c r="O137" s="19"/>
      <c r="P137" s="19" t="s">
        <v>347</v>
      </c>
      <c r="Q137" s="19" t="s">
        <v>348</v>
      </c>
      <c r="R137" s="19" t="s">
        <v>349</v>
      </c>
      <c r="S137" s="3" t="s">
        <v>667</v>
      </c>
      <c r="T137" s="15">
        <v>0</v>
      </c>
      <c r="U137" s="15">
        <v>250000</v>
      </c>
      <c r="V137" s="5">
        <f>250000-197929-30795</f>
        <v>21276</v>
      </c>
      <c r="W137" s="15">
        <f t="shared" si="53"/>
        <v>0</v>
      </c>
      <c r="X137" s="15">
        <f t="shared" ref="X137:X150" si="56">IF(V137 &gt;= W137, V137 - W137, 0)*-1</f>
        <v>-21276</v>
      </c>
      <c r="Y137" s="15">
        <f t="shared" si="54"/>
        <v>0</v>
      </c>
      <c r="Z137" s="15">
        <f>SUM(Financials20263[[#This Row],[2026 Opportunity]:[2026 Risk]])</f>
        <v>-21276</v>
      </c>
      <c r="AA137" s="3" t="s">
        <v>708</v>
      </c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3"/>
      <c r="AN137" s="70">
        <f>SUM(Financials20263[[#This Row],[Jan FC]:[Dec FC]])</f>
        <v>0</v>
      </c>
      <c r="AO137" s="15">
        <f>SUM(Financials20263[[#This Row],[Jul FC]:[Dec FC]])</f>
        <v>0</v>
      </c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75">
        <f>SUM(Financials20263[[#This Row],[Jan AC]:[Dec AC]])</f>
        <v>0</v>
      </c>
      <c r="BC137" s="66">
        <f>Financials20263[[#This Row],[Jan AC]]-Financials20263[[#This Row],[Jan FC]]</f>
        <v>0</v>
      </c>
      <c r="BD137" s="66">
        <f>Financials20263[[#This Row],[Feb AC]]-Financials20263[[#This Row],[Feb FC]]</f>
        <v>0</v>
      </c>
      <c r="BE137" s="66">
        <f>Financials20263[[#This Row],[Mar AC]]-Financials20263[[#This Row],[Mar FC]]</f>
        <v>0</v>
      </c>
      <c r="BF137" s="66">
        <f>Financials20263[[#This Row],[Apr AC]]-Financials20263[[#This Row],[Apr FC]]</f>
        <v>0</v>
      </c>
      <c r="BG137" s="66">
        <f>Financials20263[[#This Row],[May AC]]-Financials20263[[#This Row],[May FC]]</f>
        <v>0</v>
      </c>
      <c r="BH137" s="66">
        <f>Financials20263[[#This Row],[Jun AC]]-Financials20263[[#This Row],[Jun FC]]</f>
        <v>0</v>
      </c>
      <c r="BI137" s="66">
        <f>Financials20263[[#This Row],[Jul AC]]-Financials20263[[#This Row],[Jul FC]]</f>
        <v>0</v>
      </c>
      <c r="BJ137" s="66">
        <f>Financials20263[[#This Row],[Aug AC]]-Financials20263[[#This Row],[Aug FC]]</f>
        <v>0</v>
      </c>
      <c r="BK137" s="66">
        <f>Financials20263[[#This Row],[Sep AC]]-Financials20263[[#This Row],[Sep FC]]</f>
        <v>0</v>
      </c>
      <c r="BL137" s="66">
        <f>Financials20263[[#This Row],[Oct AC]]-Financials20263[[#This Row],[Oct FC]]</f>
        <v>0</v>
      </c>
      <c r="BM137" s="66">
        <f>Financials20263[[#This Row],[Nov AC]]-Financials20263[[#This Row],[Nov FC]]</f>
        <v>0</v>
      </c>
      <c r="BN137" s="66">
        <f>Financials20263[[#This Row],[Dec AC]]-Financials20263[[#This Row],[Dec FC]]</f>
        <v>0</v>
      </c>
      <c r="BO137" s="66">
        <f>SUM(Financials20263[[#This Row],[Jan Opp/Risk]:[Dec Opp./Risk]])</f>
        <v>0</v>
      </c>
      <c r="BP137" s="42" t="s">
        <v>709</v>
      </c>
      <c r="BQ137" s="44">
        <f>SUM(Financials20263[[#This Row],[Jan AC]:[Jun AC]])</f>
        <v>0</v>
      </c>
      <c r="BR137" s="6">
        <f t="shared" si="55"/>
        <v>0</v>
      </c>
      <c r="BS137" s="6">
        <f>Financials20263[[#This Row],[Jul-Dec FC]]+Financials20263[[#This Row],[Pending Jan-Jun]]</f>
        <v>0</v>
      </c>
      <c r="BT137" s="6" t="s">
        <v>616</v>
      </c>
      <c r="BU137" s="6"/>
      <c r="BV137" s="6"/>
    </row>
    <row r="138" spans="1:74" hidden="1">
      <c r="A138" s="20" t="s">
        <v>320</v>
      </c>
      <c r="B138" s="19" t="s">
        <v>41</v>
      </c>
      <c r="C138" s="19"/>
      <c r="D138" s="10" t="s">
        <v>704</v>
      </c>
      <c r="E138" s="7" t="s">
        <v>705</v>
      </c>
      <c r="F138" s="3" t="s">
        <v>335</v>
      </c>
      <c r="G138" s="3" t="s">
        <v>25</v>
      </c>
      <c r="H138" s="4"/>
      <c r="I138" s="4"/>
      <c r="J138" s="3"/>
      <c r="K138" s="3" t="str">
        <f t="shared" si="52"/>
        <v>Prj000296-Support - PMO Governance &amp; Reporting Activities</v>
      </c>
      <c r="L138" s="19" t="s">
        <v>251</v>
      </c>
      <c r="M138" s="19" t="s">
        <v>10</v>
      </c>
      <c r="N138" s="19" t="s">
        <v>614</v>
      </c>
      <c r="O138" s="19"/>
      <c r="P138" s="19" t="s">
        <v>347</v>
      </c>
      <c r="Q138" s="19" t="s">
        <v>348</v>
      </c>
      <c r="R138" s="19" t="s">
        <v>349</v>
      </c>
      <c r="S138" s="3" t="s">
        <v>667</v>
      </c>
      <c r="T138" s="15">
        <v>0</v>
      </c>
      <c r="U138" s="5">
        <v>100000</v>
      </c>
      <c r="V138" s="5">
        <f>100000-100000</f>
        <v>0</v>
      </c>
      <c r="W138" s="15">
        <f t="shared" si="53"/>
        <v>0</v>
      </c>
      <c r="X138" s="15">
        <f t="shared" si="56"/>
        <v>0</v>
      </c>
      <c r="Y138" s="15">
        <f t="shared" si="54"/>
        <v>0</v>
      </c>
      <c r="Z138" s="15">
        <f>SUM(Financials20263[[#This Row],[2026 Opportunity]:[2026 Risk]])</f>
        <v>0</v>
      </c>
      <c r="AA138" s="3" t="s">
        <v>710</v>
      </c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>
        <f>SUM(Financials20263[[#This Row],[Jan FC]:[Dec FC]])</f>
        <v>0</v>
      </c>
      <c r="AO138" s="15">
        <f>SUM(Financials20263[[#This Row],[Jul FC]:[Dec FC]])</f>
        <v>0</v>
      </c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75">
        <f>SUM(Financials20263[[#This Row],[Jan AC]:[Dec AC]])</f>
        <v>0</v>
      </c>
      <c r="BC138" s="66">
        <f>Financials20263[[#This Row],[Jan AC]]-Financials20263[[#This Row],[Jan FC]]</f>
        <v>0</v>
      </c>
      <c r="BD138" s="66">
        <f>Financials20263[[#This Row],[Feb AC]]-Financials20263[[#This Row],[Feb FC]]</f>
        <v>0</v>
      </c>
      <c r="BE138" s="66">
        <f>Financials20263[[#This Row],[Mar AC]]-Financials20263[[#This Row],[Mar FC]]</f>
        <v>0</v>
      </c>
      <c r="BF138" s="66">
        <f>Financials20263[[#This Row],[Apr AC]]-Financials20263[[#This Row],[Apr FC]]</f>
        <v>0</v>
      </c>
      <c r="BG138" s="66">
        <f>Financials20263[[#This Row],[May AC]]-Financials20263[[#This Row],[May FC]]</f>
        <v>0</v>
      </c>
      <c r="BH138" s="66">
        <f>Financials20263[[#This Row],[Jun AC]]-Financials20263[[#This Row],[Jun FC]]</f>
        <v>0</v>
      </c>
      <c r="BI138" s="66">
        <f>Financials20263[[#This Row],[Jul AC]]-Financials20263[[#This Row],[Jul FC]]</f>
        <v>0</v>
      </c>
      <c r="BJ138" s="66">
        <f>Financials20263[[#This Row],[Aug AC]]-Financials20263[[#This Row],[Aug FC]]</f>
        <v>0</v>
      </c>
      <c r="BK138" s="66">
        <f>Financials20263[[#This Row],[Sep AC]]-Financials20263[[#This Row],[Sep FC]]</f>
        <v>0</v>
      </c>
      <c r="BL138" s="66">
        <f>Financials20263[[#This Row],[Oct AC]]-Financials20263[[#This Row],[Oct FC]]</f>
        <v>0</v>
      </c>
      <c r="BM138" s="66">
        <f>Financials20263[[#This Row],[Nov AC]]-Financials20263[[#This Row],[Nov FC]]</f>
        <v>0</v>
      </c>
      <c r="BN138" s="66">
        <f>Financials20263[[#This Row],[Dec AC]]-Financials20263[[#This Row],[Dec FC]]</f>
        <v>0</v>
      </c>
      <c r="BO138" s="66">
        <f>SUM(Financials20263[[#This Row],[Jan Opp/Risk]:[Dec Opp./Risk]])</f>
        <v>0</v>
      </c>
      <c r="BP138" s="82" t="s">
        <v>672</v>
      </c>
      <c r="BQ138" s="44">
        <f>SUM(Financials20263[[#This Row],[Jan AC]:[Jun AC]])</f>
        <v>0</v>
      </c>
      <c r="BR138" s="6">
        <f t="shared" si="55"/>
        <v>0</v>
      </c>
      <c r="BS138" s="6">
        <f>Financials20263[[#This Row],[Jul-Dec FC]]+Financials20263[[#This Row],[Pending Jan-Jun]]</f>
        <v>0</v>
      </c>
      <c r="BT138" s="6" t="s">
        <v>616</v>
      </c>
      <c r="BU138" s="6"/>
      <c r="BV138" s="6"/>
    </row>
    <row r="139" spans="1:74" hidden="1">
      <c r="A139" s="20" t="s">
        <v>320</v>
      </c>
      <c r="B139" s="19" t="s">
        <v>72</v>
      </c>
      <c r="C139" s="19"/>
      <c r="D139" s="10" t="s">
        <v>322</v>
      </c>
      <c r="E139" s="7" t="s">
        <v>323</v>
      </c>
      <c r="F139" s="3" t="s">
        <v>324</v>
      </c>
      <c r="G139" s="3" t="s">
        <v>21</v>
      </c>
      <c r="H139" s="4" t="s">
        <v>336</v>
      </c>
      <c r="I139" s="4" t="s">
        <v>336</v>
      </c>
      <c r="J139" s="3"/>
      <c r="K139" s="3" t="str">
        <f t="shared" si="52"/>
        <v>Prj000350-Support - Infrastructure for Tech</v>
      </c>
      <c r="L139" s="19" t="s">
        <v>252</v>
      </c>
      <c r="M139" s="19" t="s">
        <v>11</v>
      </c>
      <c r="N139" s="19" t="s">
        <v>11</v>
      </c>
      <c r="O139" s="19"/>
      <c r="P139" s="19" t="s">
        <v>326</v>
      </c>
      <c r="Q139" s="19" t="s">
        <v>653</v>
      </c>
      <c r="R139" s="19" t="s">
        <v>653</v>
      </c>
      <c r="S139" s="19" t="s">
        <v>354</v>
      </c>
      <c r="T139" s="5">
        <v>0</v>
      </c>
      <c r="U139" s="5">
        <v>0</v>
      </c>
      <c r="V139" s="5">
        <v>0</v>
      </c>
      <c r="W139" s="15">
        <f t="shared" si="53"/>
        <v>75000</v>
      </c>
      <c r="X139" s="15">
        <f t="shared" si="56"/>
        <v>0</v>
      </c>
      <c r="Y139" s="15">
        <f t="shared" si="54"/>
        <v>75000</v>
      </c>
      <c r="Z139" s="15">
        <f>SUM(Financials20263[[#This Row],[2026 Opportunity]:[2026 Risk]])</f>
        <v>75000</v>
      </c>
      <c r="AA139" s="3" t="s">
        <v>711</v>
      </c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>
        <v>75000</v>
      </c>
      <c r="AN139" s="47">
        <f>SUM(Financials20263[[#This Row],[Jan FC]:[Dec FC]])</f>
        <v>75000</v>
      </c>
      <c r="AO139" s="15">
        <f>SUM(Financials20263[[#This Row],[Jul FC]:[Dec FC]])</f>
        <v>75000</v>
      </c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75">
        <f>SUM(Financials20263[[#This Row],[Jan AC]:[Dec AC]])</f>
        <v>0</v>
      </c>
      <c r="BC139" s="66">
        <f>Financials20263[[#This Row],[Jan AC]]-Financials20263[[#This Row],[Jan FC]]</f>
        <v>0</v>
      </c>
      <c r="BD139" s="66">
        <f>Financials20263[[#This Row],[Feb AC]]-Financials20263[[#This Row],[Feb FC]]</f>
        <v>0</v>
      </c>
      <c r="BE139" s="66">
        <f>Financials20263[[#This Row],[Mar AC]]-Financials20263[[#This Row],[Mar FC]]</f>
        <v>0</v>
      </c>
      <c r="BF139" s="66">
        <f>Financials20263[[#This Row],[Apr AC]]-Financials20263[[#This Row],[Apr FC]]</f>
        <v>0</v>
      </c>
      <c r="BG139" s="66">
        <f>Financials20263[[#This Row],[May AC]]-Financials20263[[#This Row],[May FC]]</f>
        <v>0</v>
      </c>
      <c r="BH139" s="66">
        <f>Financials20263[[#This Row],[Jun AC]]-Financials20263[[#This Row],[Jun FC]]</f>
        <v>0</v>
      </c>
      <c r="BI139" s="66">
        <f>Financials20263[[#This Row],[Jul AC]]-Financials20263[[#This Row],[Jul FC]]</f>
        <v>0</v>
      </c>
      <c r="BJ139" s="66">
        <f>Financials20263[[#This Row],[Aug AC]]-Financials20263[[#This Row],[Aug FC]]</f>
        <v>0</v>
      </c>
      <c r="BK139" s="66">
        <f>Financials20263[[#This Row],[Sep AC]]-Financials20263[[#This Row],[Sep FC]]</f>
        <v>0</v>
      </c>
      <c r="BL139" s="66">
        <f>Financials20263[[#This Row],[Oct AC]]-Financials20263[[#This Row],[Oct FC]]</f>
        <v>0</v>
      </c>
      <c r="BM139" s="66">
        <f>Financials20263[[#This Row],[Nov AC]]-Financials20263[[#This Row],[Nov FC]]</f>
        <v>0</v>
      </c>
      <c r="BN139" s="66">
        <f>Financials20263[[#This Row],[Dec AC]]-Financials20263[[#This Row],[Dec FC]]</f>
        <v>-75000</v>
      </c>
      <c r="BO139" s="66">
        <f>SUM(Financials20263[[#This Row],[Jan Opp/Risk]:[Dec Opp./Risk]])</f>
        <v>-75000</v>
      </c>
      <c r="BP139" s="82" t="s">
        <v>712</v>
      </c>
      <c r="BQ139" s="44">
        <f>SUM(Financials20263[[#This Row],[Jan AC]:[Jun AC]])</f>
        <v>0</v>
      </c>
      <c r="BR139" s="6">
        <f t="shared" si="55"/>
        <v>0</v>
      </c>
      <c r="BS139" s="6">
        <f>Financials20263[[#This Row],[Jul-Dec FC]]+Financials20263[[#This Row],[Pending Jan-Jun]]</f>
        <v>75000</v>
      </c>
      <c r="BT139" s="6"/>
      <c r="BU139" s="6"/>
      <c r="BV139" s="6"/>
    </row>
    <row r="140" spans="1:74" hidden="1">
      <c r="A140" s="20" t="s">
        <v>320</v>
      </c>
      <c r="B140" s="19" t="s">
        <v>194</v>
      </c>
      <c r="C140" s="19"/>
      <c r="D140" s="10" t="s">
        <v>387</v>
      </c>
      <c r="E140" s="7" t="s">
        <v>388</v>
      </c>
      <c r="F140" s="3" t="s">
        <v>389</v>
      </c>
      <c r="G140" s="3" t="s">
        <v>22</v>
      </c>
      <c r="H140" s="4">
        <v>46023</v>
      </c>
      <c r="I140" s="4">
        <v>46387</v>
      </c>
      <c r="J140" s="3" t="s">
        <v>713</v>
      </c>
      <c r="K140" s="3" t="str">
        <f t="shared" si="52"/>
        <v>Prj000381-Support - Prod Support for Credit Apps</v>
      </c>
      <c r="L140" s="19" t="s">
        <v>252</v>
      </c>
      <c r="M140" s="19" t="s">
        <v>16</v>
      </c>
      <c r="N140" s="19" t="s">
        <v>16</v>
      </c>
      <c r="O140" s="19" t="s">
        <v>393</v>
      </c>
      <c r="P140" s="19" t="s">
        <v>326</v>
      </c>
      <c r="Q140" s="19" t="s">
        <v>437</v>
      </c>
      <c r="R140" s="19" t="s">
        <v>437</v>
      </c>
      <c r="S140" s="19" t="s">
        <v>328</v>
      </c>
      <c r="T140" s="5">
        <v>1670024</v>
      </c>
      <c r="U140" s="15">
        <v>1778445.9000000001</v>
      </c>
      <c r="V140" s="15">
        <v>1778445.9000000001</v>
      </c>
      <c r="W140" s="15">
        <f t="shared" si="53"/>
        <v>1864672.0199999998</v>
      </c>
      <c r="X140" s="15">
        <f t="shared" si="56"/>
        <v>0</v>
      </c>
      <c r="Y140" s="15">
        <f t="shared" si="54"/>
        <v>86226.119999999646</v>
      </c>
      <c r="Z140" s="15">
        <f>SUM(Financials20263[[#This Row],[2026 Opportunity]:[2026 Risk]])</f>
        <v>86226.119999999646</v>
      </c>
      <c r="AA140" s="14" t="s">
        <v>714</v>
      </c>
      <c r="AB140" s="47">
        <v>155389.33499999999</v>
      </c>
      <c r="AC140" s="47">
        <v>155389.33499999999</v>
      </c>
      <c r="AD140" s="47">
        <v>155389.33499999999</v>
      </c>
      <c r="AE140" s="47">
        <v>155389.33499999999</v>
      </c>
      <c r="AF140" s="47">
        <v>155389.33499999999</v>
      </c>
      <c r="AG140" s="47">
        <v>155389.33499999999</v>
      </c>
      <c r="AH140" s="47">
        <v>155389.33499999999</v>
      </c>
      <c r="AI140" s="47">
        <v>155389.33499999999</v>
      </c>
      <c r="AJ140" s="47">
        <v>155389.33499999999</v>
      </c>
      <c r="AK140" s="47">
        <v>155389.33499999999</v>
      </c>
      <c r="AL140" s="47">
        <v>155389.33499999999</v>
      </c>
      <c r="AM140" s="47">
        <v>155389.33499999999</v>
      </c>
      <c r="AN140" s="47">
        <f>SUM(Financials20263[[#This Row],[Jan FC]:[Dec FC]])</f>
        <v>1864672.0199999998</v>
      </c>
      <c r="AO140" s="15">
        <f>SUM(Financials20263[[#This Row],[Jul FC]:[Dec FC]])</f>
        <v>932336.00999999989</v>
      </c>
      <c r="AP140" s="56">
        <f t="shared" ref="AP140:BA140" si="57">1864672.02/12</f>
        <v>155389.33499999999</v>
      </c>
      <c r="AQ140" s="56">
        <f t="shared" si="57"/>
        <v>155389.33499999999</v>
      </c>
      <c r="AR140" s="56">
        <f t="shared" si="57"/>
        <v>155389.33499999999</v>
      </c>
      <c r="AS140" s="56">
        <f t="shared" si="57"/>
        <v>155389.33499999999</v>
      </c>
      <c r="AT140" s="56">
        <f t="shared" si="57"/>
        <v>155389.33499999999</v>
      </c>
      <c r="AU140" s="56">
        <f t="shared" si="57"/>
        <v>155389.33499999999</v>
      </c>
      <c r="AV140" s="56">
        <f t="shared" si="57"/>
        <v>155389.33499999999</v>
      </c>
      <c r="AW140" s="56">
        <f t="shared" si="57"/>
        <v>155389.33499999999</v>
      </c>
      <c r="AX140" s="56">
        <f t="shared" si="57"/>
        <v>155389.33499999999</v>
      </c>
      <c r="AY140" s="56">
        <f t="shared" si="57"/>
        <v>155389.33499999999</v>
      </c>
      <c r="AZ140" s="56">
        <f t="shared" si="57"/>
        <v>155389.33499999999</v>
      </c>
      <c r="BA140" s="56">
        <f t="shared" si="57"/>
        <v>155389.33499999999</v>
      </c>
      <c r="BB140" s="75">
        <f>SUM(Financials20263[[#This Row],[Jan AC]:[Dec AC]])</f>
        <v>1864672.0199999998</v>
      </c>
      <c r="BC140" s="66">
        <f>Financials20263[[#This Row],[Jan AC]]-Financials20263[[#This Row],[Jan FC]]</f>
        <v>0</v>
      </c>
      <c r="BD140" s="66">
        <f>Financials20263[[#This Row],[Feb AC]]-Financials20263[[#This Row],[Feb FC]]</f>
        <v>0</v>
      </c>
      <c r="BE140" s="66">
        <f>Financials20263[[#This Row],[Mar AC]]-Financials20263[[#This Row],[Mar FC]]</f>
        <v>0</v>
      </c>
      <c r="BF140" s="66">
        <f>Financials20263[[#This Row],[Apr AC]]-Financials20263[[#This Row],[Apr FC]]</f>
        <v>0</v>
      </c>
      <c r="BG140" s="66">
        <f>Financials20263[[#This Row],[May AC]]-Financials20263[[#This Row],[May FC]]</f>
        <v>0</v>
      </c>
      <c r="BH140" s="66">
        <f>Financials20263[[#This Row],[Jun AC]]-Financials20263[[#This Row],[Jun FC]]</f>
        <v>0</v>
      </c>
      <c r="BI140" s="66">
        <f>Financials20263[[#This Row],[Jul AC]]-Financials20263[[#This Row],[Jul FC]]</f>
        <v>0</v>
      </c>
      <c r="BJ140" s="66">
        <f>Financials20263[[#This Row],[Aug AC]]-Financials20263[[#This Row],[Aug FC]]</f>
        <v>0</v>
      </c>
      <c r="BK140" s="66">
        <f>Financials20263[[#This Row],[Sep AC]]-Financials20263[[#This Row],[Sep FC]]</f>
        <v>0</v>
      </c>
      <c r="BL140" s="66">
        <f>Financials20263[[#This Row],[Oct AC]]-Financials20263[[#This Row],[Oct FC]]</f>
        <v>0</v>
      </c>
      <c r="BM140" s="66">
        <f>Financials20263[[#This Row],[Nov AC]]-Financials20263[[#This Row],[Nov FC]]</f>
        <v>0</v>
      </c>
      <c r="BN140" s="66">
        <f>Financials20263[[#This Row],[Dec AC]]-Financials20263[[#This Row],[Dec FC]]</f>
        <v>0</v>
      </c>
      <c r="BO140" s="66">
        <f>SUM(Financials20263[[#This Row],[Jan Opp/Risk]:[Dec Opp./Risk]])</f>
        <v>0</v>
      </c>
      <c r="BP140" s="82" t="s">
        <v>377</v>
      </c>
      <c r="BQ140" s="44">
        <f>SUM(Financials20263[[#This Row],[Jan AC]:[Jun AC]])</f>
        <v>932336.00999999989</v>
      </c>
      <c r="BR140" s="6">
        <f t="shared" si="55"/>
        <v>0</v>
      </c>
      <c r="BS140" s="6">
        <f>Financials20263[[#This Row],[Jul-Dec FC]]+Financials20263[[#This Row],[Pending Jan-Jun]]</f>
        <v>932336.00999999989</v>
      </c>
      <c r="BT140" s="6"/>
      <c r="BU140" s="6"/>
      <c r="BV140" s="6"/>
    </row>
    <row r="141" spans="1:74" hidden="1">
      <c r="A141" s="20" t="s">
        <v>320</v>
      </c>
      <c r="B141" s="19" t="s">
        <v>207</v>
      </c>
      <c r="C141" s="19" t="s">
        <v>715</v>
      </c>
      <c r="D141" s="10" t="s">
        <v>343</v>
      </c>
      <c r="E141" s="7" t="s">
        <v>344</v>
      </c>
      <c r="F141" s="3" t="s">
        <v>345</v>
      </c>
      <c r="G141" s="3" t="s">
        <v>22</v>
      </c>
      <c r="H141" s="4">
        <v>46013</v>
      </c>
      <c r="I141" s="4">
        <v>46377</v>
      </c>
      <c r="J141" s="3"/>
      <c r="K141" s="3" t="str">
        <f t="shared" si="52"/>
        <v>Prj000344-Support - Prod support for Finance Applications</v>
      </c>
      <c r="L141" s="19" t="s">
        <v>252</v>
      </c>
      <c r="M141" s="19" t="s">
        <v>16</v>
      </c>
      <c r="N141" s="19" t="s">
        <v>16</v>
      </c>
      <c r="O141" s="19"/>
      <c r="P141" s="19" t="s">
        <v>326</v>
      </c>
      <c r="Q141" s="19" t="s">
        <v>327</v>
      </c>
      <c r="R141" s="19" t="s">
        <v>327</v>
      </c>
      <c r="S141" s="19" t="s">
        <v>328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53"/>
        <v>284328.36999999994</v>
      </c>
      <c r="X141" s="15">
        <f t="shared" si="56"/>
        <v>-14216.030000000086</v>
      </c>
      <c r="Y141" s="15">
        <f t="shared" si="54"/>
        <v>0</v>
      </c>
      <c r="Z141" s="15">
        <f>SUM(Financials20263[[#This Row],[2026 Opportunity]:[2026 Risk]])</f>
        <v>-14216.030000000086</v>
      </c>
      <c r="AA141" s="14" t="s">
        <v>714</v>
      </c>
      <c r="AB141" s="47">
        <v>23694.030833333334</v>
      </c>
      <c r="AC141" s="47">
        <v>23694.030833333334</v>
      </c>
      <c r="AD141" s="47">
        <v>23694.030833333334</v>
      </c>
      <c r="AE141" s="47">
        <v>23694.030833333334</v>
      </c>
      <c r="AF141" s="47">
        <v>23694.030833333334</v>
      </c>
      <c r="AG141" s="47">
        <v>23694.030833333334</v>
      </c>
      <c r="AH141" s="47">
        <v>23694.030833333334</v>
      </c>
      <c r="AI141" s="47">
        <v>23694.030833333334</v>
      </c>
      <c r="AJ141" s="47">
        <v>23694.030833333334</v>
      </c>
      <c r="AK141" s="47">
        <v>23694.030833333334</v>
      </c>
      <c r="AL141" s="47">
        <v>23694.030833333334</v>
      </c>
      <c r="AM141" s="47">
        <v>23694.030833333334</v>
      </c>
      <c r="AN141" s="47">
        <f>SUM(Financials20263[[#This Row],[Jan FC]:[Dec FC]])</f>
        <v>284328.36999999994</v>
      </c>
      <c r="AO141" s="15">
        <f>SUM(Financials20263[[#This Row],[Jul FC]:[Dec FC]])</f>
        <v>142164.185</v>
      </c>
      <c r="AP141" s="56">
        <f t="shared" ref="AP141:BA141" si="58">284328.37/12</f>
        <v>23694.030833333334</v>
      </c>
      <c r="AQ141" s="56">
        <f t="shared" si="58"/>
        <v>23694.030833333334</v>
      </c>
      <c r="AR141" s="56">
        <f t="shared" si="58"/>
        <v>23694.030833333334</v>
      </c>
      <c r="AS141" s="56">
        <f t="shared" si="58"/>
        <v>23694.030833333334</v>
      </c>
      <c r="AT141" s="56">
        <f t="shared" si="58"/>
        <v>23694.030833333334</v>
      </c>
      <c r="AU141" s="56">
        <f t="shared" si="58"/>
        <v>23694.030833333334</v>
      </c>
      <c r="AV141" s="56">
        <f t="shared" si="58"/>
        <v>23694.030833333334</v>
      </c>
      <c r="AW141" s="56">
        <f t="shared" si="58"/>
        <v>23694.030833333334</v>
      </c>
      <c r="AX141" s="56">
        <f t="shared" si="58"/>
        <v>23694.030833333334</v>
      </c>
      <c r="AY141" s="56">
        <f t="shared" si="58"/>
        <v>23694.030833333334</v>
      </c>
      <c r="AZ141" s="56">
        <f t="shared" si="58"/>
        <v>23694.030833333334</v>
      </c>
      <c r="BA141" s="56">
        <f t="shared" si="58"/>
        <v>23694.030833333334</v>
      </c>
      <c r="BB141" s="75">
        <f>SUM(Financials20263[[#This Row],[Jan AC]:[Dec AC]])</f>
        <v>284328.36999999994</v>
      </c>
      <c r="BC141" s="66">
        <f>Financials20263[[#This Row],[Jan AC]]-Financials20263[[#This Row],[Jan FC]]</f>
        <v>0</v>
      </c>
      <c r="BD141" s="66">
        <f>Financials20263[[#This Row],[Feb AC]]-Financials20263[[#This Row],[Feb FC]]</f>
        <v>0</v>
      </c>
      <c r="BE141" s="66">
        <f>Financials20263[[#This Row],[Mar AC]]-Financials20263[[#This Row],[Mar FC]]</f>
        <v>0</v>
      </c>
      <c r="BF141" s="66">
        <f>Financials20263[[#This Row],[Apr AC]]-Financials20263[[#This Row],[Apr FC]]</f>
        <v>0</v>
      </c>
      <c r="BG141" s="66">
        <f>Financials20263[[#This Row],[May AC]]-Financials20263[[#This Row],[May FC]]</f>
        <v>0</v>
      </c>
      <c r="BH141" s="66">
        <f>Financials20263[[#This Row],[Jun AC]]-Financials20263[[#This Row],[Jun FC]]</f>
        <v>0</v>
      </c>
      <c r="BI141" s="66">
        <f>Financials20263[[#This Row],[Jul AC]]-Financials20263[[#This Row],[Jul FC]]</f>
        <v>0</v>
      </c>
      <c r="BJ141" s="66">
        <f>Financials20263[[#This Row],[Aug AC]]-Financials20263[[#This Row],[Aug FC]]</f>
        <v>0</v>
      </c>
      <c r="BK141" s="66">
        <f>Financials20263[[#This Row],[Sep AC]]-Financials20263[[#This Row],[Sep FC]]</f>
        <v>0</v>
      </c>
      <c r="BL141" s="66">
        <f>Financials20263[[#This Row],[Oct AC]]-Financials20263[[#This Row],[Oct FC]]</f>
        <v>0</v>
      </c>
      <c r="BM141" s="66">
        <f>Financials20263[[#This Row],[Nov AC]]-Financials20263[[#This Row],[Nov FC]]</f>
        <v>0</v>
      </c>
      <c r="BN141" s="66">
        <f>Financials20263[[#This Row],[Dec AC]]-Financials20263[[#This Row],[Dec FC]]</f>
        <v>0</v>
      </c>
      <c r="BO141" s="66">
        <f>SUM(Financials20263[[#This Row],[Jan Opp/Risk]:[Dec Opp./Risk]])</f>
        <v>0</v>
      </c>
      <c r="BP141" s="82" t="s">
        <v>377</v>
      </c>
      <c r="BQ141" s="44">
        <f>SUM(Financials20263[[#This Row],[Jan AC]:[Jun AC]])</f>
        <v>142164.185</v>
      </c>
      <c r="BR141" s="6">
        <f t="shared" si="55"/>
        <v>0</v>
      </c>
      <c r="BS141" s="6">
        <f>Financials20263[[#This Row],[Jul-Dec FC]]+Financials20263[[#This Row],[Pending Jan-Jun]]</f>
        <v>142164.185</v>
      </c>
      <c r="BT141" s="6"/>
      <c r="BU141" s="6"/>
      <c r="BV141" s="6"/>
    </row>
    <row r="142" spans="1:74" hidden="1">
      <c r="A142" s="20" t="s">
        <v>320</v>
      </c>
      <c r="B142" s="19" t="s">
        <v>64</v>
      </c>
      <c r="C142" s="19" t="s">
        <v>716</v>
      </c>
      <c r="D142" s="10" t="s">
        <v>442</v>
      </c>
      <c r="E142" s="7" t="s">
        <v>443</v>
      </c>
      <c r="F142" s="3" t="s">
        <v>444</v>
      </c>
      <c r="G142" s="3" t="s">
        <v>22</v>
      </c>
      <c r="H142" s="4"/>
      <c r="I142" s="4"/>
      <c r="J142" s="3"/>
      <c r="K142" s="3" t="str">
        <f t="shared" si="52"/>
        <v>Prj000469-Support - Prod Support for Ops Apps</v>
      </c>
      <c r="L142" s="19" t="s">
        <v>252</v>
      </c>
      <c r="M142" s="19" t="s">
        <v>16</v>
      </c>
      <c r="N142" s="19" t="s">
        <v>16</v>
      </c>
      <c r="O142" s="19"/>
      <c r="P142" s="19" t="s">
        <v>326</v>
      </c>
      <c r="Q142" s="19" t="s">
        <v>355</v>
      </c>
      <c r="R142" s="19" t="s">
        <v>355</v>
      </c>
      <c r="S142" s="19" t="s">
        <v>354</v>
      </c>
      <c r="T142" s="5">
        <v>0</v>
      </c>
      <c r="U142" s="15">
        <v>0</v>
      </c>
      <c r="V142" s="15">
        <v>0</v>
      </c>
      <c r="W142" s="15">
        <f t="shared" si="53"/>
        <v>0</v>
      </c>
      <c r="X142" s="15">
        <f t="shared" si="56"/>
        <v>0</v>
      </c>
      <c r="Y142" s="15">
        <f>IF(W142 &gt; V142, W142 - V142, 0)</f>
        <v>0</v>
      </c>
      <c r="Z142" s="15">
        <f>SUM(Financials20263[[#This Row],[2026 Opportunity]:[2026 Risk]])</f>
        <v>0</v>
      </c>
      <c r="AA142" s="3" t="s">
        <v>717</v>
      </c>
      <c r="AB142" s="46"/>
      <c r="AC142" s="46"/>
      <c r="AD142" s="50"/>
      <c r="AE142" s="47"/>
      <c r="AF142" s="51"/>
      <c r="AG142" s="46"/>
      <c r="AH142" s="52"/>
      <c r="AI142" s="47"/>
      <c r="AJ142" s="53"/>
      <c r="AK142" s="54"/>
      <c r="AL142" s="54"/>
      <c r="AM142" s="47"/>
      <c r="AN142" s="47">
        <f>SUM(Financials20263[[#This Row],[Jan FC]:[Dec FC]])</f>
        <v>0</v>
      </c>
      <c r="AO142" s="15">
        <f>SUM(Financials20263[[#This Row],[Jul FC]:[Dec FC]])</f>
        <v>0</v>
      </c>
      <c r="AP142" s="55"/>
      <c r="AQ142" s="55"/>
      <c r="AR142" s="59"/>
      <c r="AS142" s="56"/>
      <c r="AT142" s="60"/>
      <c r="AU142" s="55"/>
      <c r="AV142" s="61"/>
      <c r="AW142" s="56"/>
      <c r="AX142" s="62"/>
      <c r="AY142" s="63"/>
      <c r="AZ142" s="63"/>
      <c r="BA142" s="56"/>
      <c r="BB142" s="75">
        <f>SUM(Financials20263[[#This Row],[Jan AC]:[Dec AC]])</f>
        <v>0</v>
      </c>
      <c r="BC142" s="66">
        <f>Financials20263[[#This Row],[Jan AC]]-Financials20263[[#This Row],[Jan FC]]</f>
        <v>0</v>
      </c>
      <c r="BD142" s="66">
        <f>Financials20263[[#This Row],[Feb AC]]-Financials20263[[#This Row],[Feb FC]]</f>
        <v>0</v>
      </c>
      <c r="BE142" s="66">
        <f>Financials20263[[#This Row],[Mar AC]]-Financials20263[[#This Row],[Mar FC]]</f>
        <v>0</v>
      </c>
      <c r="BF142" s="66">
        <f>Financials20263[[#This Row],[Apr AC]]-Financials20263[[#This Row],[Apr FC]]</f>
        <v>0</v>
      </c>
      <c r="BG142" s="66">
        <f>Financials20263[[#This Row],[May AC]]-Financials20263[[#This Row],[May FC]]</f>
        <v>0</v>
      </c>
      <c r="BH142" s="66">
        <f>Financials20263[[#This Row],[Jun AC]]-Financials20263[[#This Row],[Jun FC]]</f>
        <v>0</v>
      </c>
      <c r="BI142" s="66">
        <f>Financials20263[[#This Row],[Jul AC]]-Financials20263[[#This Row],[Jul FC]]</f>
        <v>0</v>
      </c>
      <c r="BJ142" s="66">
        <f>Financials20263[[#This Row],[Aug AC]]-Financials20263[[#This Row],[Aug FC]]</f>
        <v>0</v>
      </c>
      <c r="BK142" s="66">
        <f>Financials20263[[#This Row],[Sep AC]]-Financials20263[[#This Row],[Sep FC]]</f>
        <v>0</v>
      </c>
      <c r="BL142" s="66">
        <f>Financials20263[[#This Row],[Oct AC]]-Financials20263[[#This Row],[Oct FC]]</f>
        <v>0</v>
      </c>
      <c r="BM142" s="66">
        <f>Financials20263[[#This Row],[Nov AC]]-Financials20263[[#This Row],[Nov FC]]</f>
        <v>0</v>
      </c>
      <c r="BN142" s="66">
        <f>Financials20263[[#This Row],[Dec AC]]-Financials20263[[#This Row],[Dec FC]]</f>
        <v>0</v>
      </c>
      <c r="BO142" s="78">
        <f>SUM(Financials20263[[#This Row],[Jan Opp/Risk]:[Dec Opp./Risk]])</f>
        <v>0</v>
      </c>
      <c r="BP142" s="86" t="s">
        <v>718</v>
      </c>
      <c r="BQ142" s="44">
        <f>SUM(Financials20263[[#This Row],[Jan AC]:[Jun AC]])</f>
        <v>0</v>
      </c>
      <c r="BR142" s="6">
        <f t="shared" si="55"/>
        <v>0</v>
      </c>
      <c r="BS142" s="6">
        <f>Financials20263[[#This Row],[Jul-Dec FC]]+Financials20263[[#This Row],[Pending Jan-Jun]]</f>
        <v>0</v>
      </c>
      <c r="BT142" s="6"/>
      <c r="BU142" s="6"/>
      <c r="BV142" s="6"/>
    </row>
    <row r="143" spans="1:74" hidden="1">
      <c r="A143" s="20" t="s">
        <v>320</v>
      </c>
      <c r="B143" s="19" t="s">
        <v>115</v>
      </c>
      <c r="C143" s="19" t="s">
        <v>617</v>
      </c>
      <c r="D143" s="10" t="s">
        <v>412</v>
      </c>
      <c r="E143" s="7" t="s">
        <v>412</v>
      </c>
      <c r="F143" s="3" t="s">
        <v>607</v>
      </c>
      <c r="G143" s="3" t="s">
        <v>20</v>
      </c>
      <c r="H143" s="4">
        <v>46204</v>
      </c>
      <c r="I143" s="4">
        <v>46387</v>
      </c>
      <c r="J143" s="3" t="s">
        <v>412</v>
      </c>
      <c r="K143" s="3" t="s">
        <v>719</v>
      </c>
      <c r="L143" s="19" t="s">
        <v>251</v>
      </c>
      <c r="M143" s="19" t="s">
        <v>13</v>
      </c>
      <c r="N143" s="19" t="s">
        <v>618</v>
      </c>
      <c r="O143" s="19" t="s">
        <v>412</v>
      </c>
      <c r="P143" s="19" t="s">
        <v>619</v>
      </c>
      <c r="Q143" s="19" t="s">
        <v>620</v>
      </c>
      <c r="R143" s="19" t="s">
        <v>368</v>
      </c>
      <c r="S143" s="19" t="s">
        <v>350</v>
      </c>
      <c r="T143" s="5">
        <v>0</v>
      </c>
      <c r="U143" s="15">
        <v>0</v>
      </c>
      <c r="V143" s="15">
        <v>600000</v>
      </c>
      <c r="W143" s="15">
        <f t="shared" si="53"/>
        <v>606720</v>
      </c>
      <c r="X143" s="15">
        <f t="shared" si="56"/>
        <v>0</v>
      </c>
      <c r="Y143" s="15">
        <f t="shared" si="54"/>
        <v>6720</v>
      </c>
      <c r="Z143" s="15">
        <f>SUM(Financials20263[[#This Row],[2026 Opportunity]:[2026 Risk]])</f>
        <v>6720</v>
      </c>
      <c r="AA143" s="3" t="s">
        <v>720</v>
      </c>
      <c r="AB143" s="47"/>
      <c r="AC143" s="47"/>
      <c r="AD143" s="47"/>
      <c r="AE143" s="47"/>
      <c r="AF143" s="47"/>
      <c r="AG143" s="47"/>
      <c r="AH143" s="47">
        <v>101120</v>
      </c>
      <c r="AI143" s="47">
        <v>101120</v>
      </c>
      <c r="AJ143" s="47">
        <v>101120</v>
      </c>
      <c r="AK143" s="47">
        <v>101120</v>
      </c>
      <c r="AL143" s="47">
        <v>101120</v>
      </c>
      <c r="AM143" s="47">
        <v>101120</v>
      </c>
      <c r="AN143" s="47">
        <f>SUM(Financials20263[[#This Row],[Jan FC]:[Dec FC]])</f>
        <v>606720</v>
      </c>
      <c r="AO143" s="15">
        <f>SUM(Financials20263[[#This Row],[Jul FC]:[Dec FC]])</f>
        <v>606720</v>
      </c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75">
        <f>SUM(Financials20263[[#This Row],[Jan AC]:[Dec AC]])</f>
        <v>0</v>
      </c>
      <c r="BC143" s="66">
        <f>Financials20263[[#This Row],[Jan AC]]-Financials20263[[#This Row],[Jan FC]]</f>
        <v>0</v>
      </c>
      <c r="BD143" s="66">
        <f>Financials20263[[#This Row],[Feb AC]]-Financials20263[[#This Row],[Feb FC]]</f>
        <v>0</v>
      </c>
      <c r="BE143" s="66">
        <f>Financials20263[[#This Row],[Mar AC]]-Financials20263[[#This Row],[Mar FC]]</f>
        <v>0</v>
      </c>
      <c r="BF143" s="66">
        <f>Financials20263[[#This Row],[Apr AC]]-Financials20263[[#This Row],[Apr FC]]</f>
        <v>0</v>
      </c>
      <c r="BG143" s="66">
        <f>Financials20263[[#This Row],[May AC]]-Financials20263[[#This Row],[May FC]]</f>
        <v>0</v>
      </c>
      <c r="BH143" s="66">
        <f>Financials20263[[#This Row],[Jun AC]]-Financials20263[[#This Row],[Jun FC]]</f>
        <v>0</v>
      </c>
      <c r="BI143" s="66">
        <f>Financials20263[[#This Row],[Jul AC]]-Financials20263[[#This Row],[Jul FC]]</f>
        <v>-101120</v>
      </c>
      <c r="BJ143" s="66">
        <f>Financials20263[[#This Row],[Aug AC]]-Financials20263[[#This Row],[Aug FC]]</f>
        <v>-101120</v>
      </c>
      <c r="BK143" s="66">
        <f>Financials20263[[#This Row],[Sep AC]]-Financials20263[[#This Row],[Sep FC]]</f>
        <v>-101120</v>
      </c>
      <c r="BL143" s="66">
        <f>Financials20263[[#This Row],[Oct AC]]-Financials20263[[#This Row],[Oct FC]]</f>
        <v>-101120</v>
      </c>
      <c r="BM143" s="66">
        <f>Financials20263[[#This Row],[Nov AC]]-Financials20263[[#This Row],[Nov FC]]</f>
        <v>-101120</v>
      </c>
      <c r="BN143" s="66">
        <f>Financials20263[[#This Row],[Dec AC]]-Financials20263[[#This Row],[Dec FC]]</f>
        <v>-101120</v>
      </c>
      <c r="BO143" s="66">
        <f>SUM(Financials20263[[#This Row],[Jan Opp/Risk]:[Dec Opp./Risk]])</f>
        <v>-606720</v>
      </c>
      <c r="BP143" s="82" t="s">
        <v>721</v>
      </c>
      <c r="BQ143" s="44">
        <f>SUM(Financials20263[[#This Row],[Jan AC]:[Jun AC]])</f>
        <v>0</v>
      </c>
      <c r="BR143" s="6">
        <f t="shared" si="55"/>
        <v>0</v>
      </c>
      <c r="BS143" s="6">
        <f>Financials20263[[#This Row],[Jul-Dec FC]]+Financials20263[[#This Row],[Pending Jan-Jun]]</f>
        <v>606720</v>
      </c>
      <c r="BT143" s="6"/>
      <c r="BU143" s="6"/>
      <c r="BV143" s="6"/>
    </row>
    <row r="144" spans="1:74" hidden="1">
      <c r="A144" s="20" t="s">
        <v>320</v>
      </c>
      <c r="B144" s="19" t="s">
        <v>44</v>
      </c>
      <c r="C144" s="19" t="s">
        <v>448</v>
      </c>
      <c r="D144" s="10" t="s">
        <v>412</v>
      </c>
      <c r="E144" s="7" t="s">
        <v>412</v>
      </c>
      <c r="F144" s="3" t="s">
        <v>607</v>
      </c>
      <c r="G144" s="3" t="s">
        <v>20</v>
      </c>
      <c r="H144" s="4">
        <v>46204</v>
      </c>
      <c r="I144" s="4">
        <v>46387</v>
      </c>
      <c r="J144" s="3" t="s">
        <v>608</v>
      </c>
      <c r="K144" s="3" t="s">
        <v>719</v>
      </c>
      <c r="L144" s="19" t="s">
        <v>251</v>
      </c>
      <c r="M144" s="19" t="s">
        <v>13</v>
      </c>
      <c r="N144" s="19" t="s">
        <v>415</v>
      </c>
      <c r="O144" s="19" t="s">
        <v>412</v>
      </c>
      <c r="P144" s="19" t="s">
        <v>347</v>
      </c>
      <c r="Q144" s="19" t="s">
        <v>348</v>
      </c>
      <c r="R144" s="19" t="s">
        <v>349</v>
      </c>
      <c r="S144" s="19" t="s">
        <v>350</v>
      </c>
      <c r="T144" s="5">
        <v>0</v>
      </c>
      <c r="U144" s="15">
        <v>0</v>
      </c>
      <c r="V144" s="15">
        <v>1557600</v>
      </c>
      <c r="W144" s="15">
        <f t="shared" si="53"/>
        <v>1557600</v>
      </c>
      <c r="X144" s="15">
        <f t="shared" si="56"/>
        <v>0</v>
      </c>
      <c r="Y144" s="15">
        <f t="shared" si="54"/>
        <v>0</v>
      </c>
      <c r="Z144" s="15">
        <f>SUM(Financials20263[[#This Row],[2026 Opportunity]:[2026 Risk]])</f>
        <v>0</v>
      </c>
      <c r="AA144" s="3" t="s">
        <v>722</v>
      </c>
      <c r="AB144" s="47"/>
      <c r="AC144" s="47"/>
      <c r="AD144" s="47"/>
      <c r="AE144" s="47"/>
      <c r="AF144" s="47"/>
      <c r="AG144" s="47"/>
      <c r="AH144" s="47">
        <v>259600</v>
      </c>
      <c r="AI144" s="47">
        <v>259600</v>
      </c>
      <c r="AJ144" s="47">
        <v>259600</v>
      </c>
      <c r="AK144" s="47">
        <v>259600</v>
      </c>
      <c r="AL144" s="47">
        <v>259600</v>
      </c>
      <c r="AM144" s="47">
        <v>259600</v>
      </c>
      <c r="AN144" s="47">
        <f>SUM(Financials20263[[#This Row],[Jan FC]:[Dec FC]])</f>
        <v>1557600</v>
      </c>
      <c r="AO144" s="15">
        <f>SUM(Financials20263[[#This Row],[Jul FC]:[Dec FC]])</f>
        <v>1557600</v>
      </c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75">
        <f>SUM(Financials20263[[#This Row],[Jan AC]:[Dec AC]])</f>
        <v>0</v>
      </c>
      <c r="BC144" s="66">
        <f>Financials20263[[#This Row],[Jan AC]]-Financials20263[[#This Row],[Jan FC]]</f>
        <v>0</v>
      </c>
      <c r="BD144" s="66">
        <f>Financials20263[[#This Row],[Feb AC]]-Financials20263[[#This Row],[Feb FC]]</f>
        <v>0</v>
      </c>
      <c r="BE144" s="66">
        <f>Financials20263[[#This Row],[Mar AC]]-Financials20263[[#This Row],[Mar FC]]</f>
        <v>0</v>
      </c>
      <c r="BF144" s="66">
        <f>Financials20263[[#This Row],[Apr AC]]-Financials20263[[#This Row],[Apr FC]]</f>
        <v>0</v>
      </c>
      <c r="BG144" s="66">
        <f>Financials20263[[#This Row],[May AC]]-Financials20263[[#This Row],[May FC]]</f>
        <v>0</v>
      </c>
      <c r="BH144" s="66">
        <f>Financials20263[[#This Row],[Jun AC]]-Financials20263[[#This Row],[Jun FC]]</f>
        <v>0</v>
      </c>
      <c r="BI144" s="66">
        <f>Financials20263[[#This Row],[Jul AC]]-Financials20263[[#This Row],[Jul FC]]</f>
        <v>-259600</v>
      </c>
      <c r="BJ144" s="66">
        <f>Financials20263[[#This Row],[Aug AC]]-Financials20263[[#This Row],[Aug FC]]</f>
        <v>-259600</v>
      </c>
      <c r="BK144" s="66">
        <f>Financials20263[[#This Row],[Sep AC]]-Financials20263[[#This Row],[Sep FC]]</f>
        <v>-259600</v>
      </c>
      <c r="BL144" s="66">
        <f>Financials20263[[#This Row],[Oct AC]]-Financials20263[[#This Row],[Oct FC]]</f>
        <v>-259600</v>
      </c>
      <c r="BM144" s="66">
        <f>Financials20263[[#This Row],[Nov AC]]-Financials20263[[#This Row],[Nov FC]]</f>
        <v>-259600</v>
      </c>
      <c r="BN144" s="66">
        <f>Financials20263[[#This Row],[Dec AC]]-Financials20263[[#This Row],[Dec FC]]</f>
        <v>-259600</v>
      </c>
      <c r="BO144" s="66">
        <f>SUM(Financials20263[[#This Row],[Jan Opp/Risk]:[Dec Opp./Risk]])</f>
        <v>-1557600</v>
      </c>
      <c r="BP144" s="82" t="s">
        <v>723</v>
      </c>
      <c r="BQ144" s="44">
        <f>SUM(Financials20263[[#This Row],[Jan AC]:[Jun AC]])</f>
        <v>0</v>
      </c>
      <c r="BR144" s="6">
        <f t="shared" si="55"/>
        <v>0</v>
      </c>
      <c r="BS144" s="6">
        <f>Financials20263[[#This Row],[Jul-Dec FC]]+Financials20263[[#This Row],[Pending Jan-Jun]]</f>
        <v>1557600</v>
      </c>
      <c r="BT144" s="6"/>
      <c r="BU144" s="6"/>
      <c r="BV144" s="6"/>
    </row>
    <row r="145" spans="1:74" hidden="1">
      <c r="A145" s="20" t="s">
        <v>320</v>
      </c>
      <c r="B145" s="19" t="s">
        <v>53</v>
      </c>
      <c r="C145" s="19"/>
      <c r="D145" s="10" t="s">
        <v>704</v>
      </c>
      <c r="E145" s="7" t="s">
        <v>705</v>
      </c>
      <c r="F145" s="3" t="s">
        <v>335</v>
      </c>
      <c r="G145" s="3" t="s">
        <v>25</v>
      </c>
      <c r="H145" s="4" t="s">
        <v>336</v>
      </c>
      <c r="I145" s="4" t="s">
        <v>336</v>
      </c>
      <c r="J145" s="3"/>
      <c r="K145" s="3" t="str">
        <f t="shared" ref="K145:K147" si="59">D145 &amp; "-" &amp;E145</f>
        <v>Prj000296-Support - PMO Governance &amp; Reporting Activities</v>
      </c>
      <c r="L145" s="19" t="s">
        <v>251</v>
      </c>
      <c r="M145" s="19" t="s">
        <v>10</v>
      </c>
      <c r="N145" s="19" t="s">
        <v>614</v>
      </c>
      <c r="O145" s="19"/>
      <c r="P145" s="19" t="s">
        <v>347</v>
      </c>
      <c r="Q145" s="19" t="s">
        <v>348</v>
      </c>
      <c r="R145" s="19" t="s">
        <v>349</v>
      </c>
      <c r="S145" s="19" t="s">
        <v>336</v>
      </c>
      <c r="T145" s="5">
        <v>0</v>
      </c>
      <c r="U145" s="15">
        <v>0</v>
      </c>
      <c r="V145" s="15">
        <f>10848+2048-12254</f>
        <v>642</v>
      </c>
      <c r="W145" s="15">
        <f t="shared" si="53"/>
        <v>0</v>
      </c>
      <c r="X145" s="15">
        <f t="shared" si="56"/>
        <v>-642</v>
      </c>
      <c r="Y145" s="15">
        <f t="shared" si="54"/>
        <v>0</v>
      </c>
      <c r="Z145" s="15">
        <f>SUM(Financials20263[[#This Row],[2026 Opportunity]:[2026 Risk]])</f>
        <v>-642</v>
      </c>
      <c r="AA145" s="3" t="s">
        <v>724</v>
      </c>
      <c r="AB145" s="48">
        <v>0</v>
      </c>
      <c r="AC145" s="48">
        <v>0</v>
      </c>
      <c r="AD145" s="48">
        <v>0</v>
      </c>
      <c r="AE145" s="48">
        <v>0</v>
      </c>
      <c r="AF145" s="48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8">
        <v>0</v>
      </c>
      <c r="AM145" s="48">
        <v>0</v>
      </c>
      <c r="AN145" s="48">
        <f>SUM(Financials20263[[#This Row],[Jan FC]:[Dec FC]])</f>
        <v>0</v>
      </c>
      <c r="AO145" s="15">
        <f>SUM(Financials20263[[#This Row],[Jul FC]:[Dec FC]])</f>
        <v>0</v>
      </c>
      <c r="AP145" s="57">
        <v>0</v>
      </c>
      <c r="AQ145" s="57">
        <v>0</v>
      </c>
      <c r="AR145" s="57">
        <v>0</v>
      </c>
      <c r="AS145" s="57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7">
        <v>0</v>
      </c>
      <c r="AZ145" s="57">
        <v>0</v>
      </c>
      <c r="BA145" s="57">
        <v>0</v>
      </c>
      <c r="BB145" s="76">
        <f>SUM(Financials20263[[#This Row],[Jan AC]:[Dec AC]])</f>
        <v>0</v>
      </c>
      <c r="BC145" s="66">
        <f>Financials20263[[#This Row],[Jan AC]]-Financials20263[[#This Row],[Jan FC]]</f>
        <v>0</v>
      </c>
      <c r="BD145" s="66">
        <f>Financials20263[[#This Row],[Feb AC]]-Financials20263[[#This Row],[Feb FC]]</f>
        <v>0</v>
      </c>
      <c r="BE145" s="66">
        <f>Financials20263[[#This Row],[Mar AC]]-Financials20263[[#This Row],[Mar FC]]</f>
        <v>0</v>
      </c>
      <c r="BF145" s="66">
        <f>Financials20263[[#This Row],[Apr AC]]-Financials20263[[#This Row],[Apr FC]]</f>
        <v>0</v>
      </c>
      <c r="BG145" s="66">
        <f>Financials20263[[#This Row],[May AC]]-Financials20263[[#This Row],[May FC]]</f>
        <v>0</v>
      </c>
      <c r="BH145" s="66">
        <f>Financials20263[[#This Row],[Jun AC]]-Financials20263[[#This Row],[Jun FC]]</f>
        <v>0</v>
      </c>
      <c r="BI145" s="66">
        <f>Financials20263[[#This Row],[Jul AC]]-Financials20263[[#This Row],[Jul FC]]</f>
        <v>0</v>
      </c>
      <c r="BJ145" s="66">
        <f>Financials20263[[#This Row],[Aug AC]]-Financials20263[[#This Row],[Aug FC]]</f>
        <v>0</v>
      </c>
      <c r="BK145" s="66">
        <f>Financials20263[[#This Row],[Sep AC]]-Financials20263[[#This Row],[Sep FC]]</f>
        <v>0</v>
      </c>
      <c r="BL145" s="66">
        <f>Financials20263[[#This Row],[Oct AC]]-Financials20263[[#This Row],[Oct FC]]</f>
        <v>0</v>
      </c>
      <c r="BM145" s="66">
        <f>Financials20263[[#This Row],[Nov AC]]-Financials20263[[#This Row],[Nov FC]]</f>
        <v>0</v>
      </c>
      <c r="BN145" s="66">
        <f>Financials20263[[#This Row],[Dec AC]]-Financials20263[[#This Row],[Dec FC]]</f>
        <v>0</v>
      </c>
      <c r="BO145" s="66">
        <f>SUM(Financials20263[[#This Row],[Jan Opp/Risk]:[Dec Opp./Risk]])</f>
        <v>0</v>
      </c>
      <c r="BP145" s="88" t="s">
        <v>725</v>
      </c>
      <c r="BQ145" s="44">
        <f>SUM(Financials20263[[#This Row],[Jan AC]:[Jun AC]])</f>
        <v>0</v>
      </c>
      <c r="BR145" s="6">
        <f t="shared" si="55"/>
        <v>0</v>
      </c>
      <c r="BS145" s="6">
        <f>Financials20263[[#This Row],[Jul-Dec FC]]+Financials20263[[#This Row],[Pending Jan-Jun]]</f>
        <v>0</v>
      </c>
      <c r="BT145" s="6"/>
      <c r="BU145" s="6"/>
      <c r="BV145" s="6"/>
    </row>
    <row r="146" spans="1:74" hidden="1">
      <c r="A146" s="20" t="s">
        <v>320</v>
      </c>
      <c r="B146" s="19" t="s">
        <v>111</v>
      </c>
      <c r="C146" s="19" t="s">
        <v>417</v>
      </c>
      <c r="D146" s="10" t="s">
        <v>412</v>
      </c>
      <c r="E146" s="7" t="s">
        <v>412</v>
      </c>
      <c r="F146" s="3" t="s">
        <v>413</v>
      </c>
      <c r="G146" s="3" t="s">
        <v>25</v>
      </c>
      <c r="H146" s="4">
        <v>46097</v>
      </c>
      <c r="I146" s="4">
        <v>46387</v>
      </c>
      <c r="J146" s="3"/>
      <c r="K146" s="3" t="str">
        <f t="shared" si="59"/>
        <v>T&amp;M-T&amp;M</v>
      </c>
      <c r="L146" s="19" t="s">
        <v>251</v>
      </c>
      <c r="M146" s="19" t="s">
        <v>13</v>
      </c>
      <c r="N146" s="19" t="s">
        <v>415</v>
      </c>
      <c r="O146" s="19" t="s">
        <v>412</v>
      </c>
      <c r="P146" s="19" t="s">
        <v>347</v>
      </c>
      <c r="Q146" s="19" t="s">
        <v>348</v>
      </c>
      <c r="R146" s="19" t="s">
        <v>349</v>
      </c>
      <c r="S146" s="19" t="s">
        <v>350</v>
      </c>
      <c r="T146" s="5"/>
      <c r="U146" s="15"/>
      <c r="V146" s="15">
        <v>72000</v>
      </c>
      <c r="W146" s="15">
        <f t="shared" si="53"/>
        <v>69325</v>
      </c>
      <c r="X146" s="15">
        <f t="shared" si="56"/>
        <v>-2675</v>
      </c>
      <c r="Y146" s="15">
        <f t="shared" si="54"/>
        <v>0</v>
      </c>
      <c r="Z146" s="15">
        <f>SUM(Financials20263[[#This Row],[2026 Opportunity]:[2026 Risk]])</f>
        <v>-2675</v>
      </c>
      <c r="AA146" s="3" t="s">
        <v>726</v>
      </c>
      <c r="AB146" s="48"/>
      <c r="AC146" s="48"/>
      <c r="AD146" s="47">
        <v>3760</v>
      </c>
      <c r="AE146" s="47">
        <v>7520</v>
      </c>
      <c r="AF146" s="47">
        <v>7520</v>
      </c>
      <c r="AG146" s="47">
        <v>7520</v>
      </c>
      <c r="AH146" s="47">
        <v>7520</v>
      </c>
      <c r="AI146" s="47">
        <v>7520</v>
      </c>
      <c r="AJ146" s="47">
        <v>7520</v>
      </c>
      <c r="AK146" s="47">
        <v>7520</v>
      </c>
      <c r="AL146" s="47">
        <v>7520</v>
      </c>
      <c r="AM146" s="47">
        <v>7520</v>
      </c>
      <c r="AN146" s="47">
        <f>SUM(Financials20263[[#This Row],[Jan FC]:[Dec FC]])</f>
        <v>71440</v>
      </c>
      <c r="AO146" s="15">
        <f>SUM(Financials20263[[#This Row],[Jul FC]:[Dec FC]])</f>
        <v>45120</v>
      </c>
      <c r="AP146" s="57">
        <v>0</v>
      </c>
      <c r="AQ146" s="57"/>
      <c r="AR146" s="56"/>
      <c r="AS146" s="56">
        <v>4888</v>
      </c>
      <c r="AT146" s="56">
        <v>8037</v>
      </c>
      <c r="AU146" s="56"/>
      <c r="AV146" s="56"/>
      <c r="AW146" s="56"/>
      <c r="AX146" s="56"/>
      <c r="AY146" s="56"/>
      <c r="AZ146" s="56"/>
      <c r="BA146" s="56"/>
      <c r="BB146" s="75">
        <f>SUM(Financials20263[[#This Row],[Jan AC]:[Dec AC]])</f>
        <v>12925</v>
      </c>
      <c r="BC146" s="66">
        <f>Financials20263[[#This Row],[Jan AC]]-Financials20263[[#This Row],[Jan FC]]</f>
        <v>0</v>
      </c>
      <c r="BD146" s="66">
        <f>Financials20263[[#This Row],[Feb AC]]-Financials20263[[#This Row],[Feb FC]]</f>
        <v>0</v>
      </c>
      <c r="BE146" s="66">
        <f>Financials20263[[#This Row],[Mar AC]]-Financials20263[[#This Row],[Mar FC]]</f>
        <v>-3760</v>
      </c>
      <c r="BF146" s="66">
        <f>Financials20263[[#This Row],[Apr AC]]-Financials20263[[#This Row],[Apr FC]]</f>
        <v>-2632</v>
      </c>
      <c r="BG146" s="66">
        <f>Financials20263[[#This Row],[May AC]]-Financials20263[[#This Row],[May FC]]</f>
        <v>517</v>
      </c>
      <c r="BH146" s="66">
        <f>Financials20263[[#This Row],[Jun AC]]-Financials20263[[#This Row],[Jun FC]]</f>
        <v>-7520</v>
      </c>
      <c r="BI146" s="66">
        <f>Financials20263[[#This Row],[Jul AC]]-Financials20263[[#This Row],[Jul FC]]</f>
        <v>-7520</v>
      </c>
      <c r="BJ146" s="66">
        <f>Financials20263[[#This Row],[Aug AC]]-Financials20263[[#This Row],[Aug FC]]</f>
        <v>-7520</v>
      </c>
      <c r="BK146" s="66">
        <f>Financials20263[[#This Row],[Sep AC]]-Financials20263[[#This Row],[Sep FC]]</f>
        <v>-7520</v>
      </c>
      <c r="BL146" s="66">
        <f>Financials20263[[#This Row],[Oct AC]]-Financials20263[[#This Row],[Oct FC]]</f>
        <v>-7520</v>
      </c>
      <c r="BM146" s="66">
        <f>Financials20263[[#This Row],[Nov AC]]-Financials20263[[#This Row],[Nov FC]]</f>
        <v>-7520</v>
      </c>
      <c r="BN146" s="66">
        <f>Financials20263[[#This Row],[Dec AC]]-Financials20263[[#This Row],[Dec FC]]</f>
        <v>-7520</v>
      </c>
      <c r="BO146" s="66">
        <f>SUM(Financials20263[[#This Row],[Jan Opp/Risk]:[Dec Opp./Risk]])</f>
        <v>-58515</v>
      </c>
      <c r="BP146" s="83" t="s">
        <v>727</v>
      </c>
      <c r="BQ146" s="44">
        <f>SUM(Financials20263[[#This Row],[Jan AC]:[Jun AC]])</f>
        <v>12925</v>
      </c>
      <c r="BR146" s="6">
        <f t="shared" si="55"/>
        <v>11280</v>
      </c>
      <c r="BS146" s="6">
        <f>Financials20263[[#This Row],[Jul-Dec FC]]+Financials20263[[#This Row],[Pending Jan-Jun]]</f>
        <v>56400</v>
      </c>
      <c r="BT146" s="6"/>
      <c r="BU146" s="6"/>
      <c r="BV146" s="6"/>
    </row>
    <row r="147" spans="1:74" hidden="1">
      <c r="A147" s="20" t="s">
        <v>320</v>
      </c>
      <c r="B147" s="19" t="s">
        <v>111</v>
      </c>
      <c r="C147" s="19" t="s">
        <v>417</v>
      </c>
      <c r="D147" s="10" t="s">
        <v>412</v>
      </c>
      <c r="E147" s="7" t="s">
        <v>412</v>
      </c>
      <c r="F147" s="3" t="s">
        <v>413</v>
      </c>
      <c r="G147" s="3" t="s">
        <v>21</v>
      </c>
      <c r="H147" s="4">
        <v>46057</v>
      </c>
      <c r="I147" s="4">
        <v>46234</v>
      </c>
      <c r="J147" s="3"/>
      <c r="K147" s="3" t="str">
        <f t="shared" si="59"/>
        <v>T&amp;M-T&amp;M</v>
      </c>
      <c r="L147" s="19" t="s">
        <v>251</v>
      </c>
      <c r="M147" s="19" t="s">
        <v>13</v>
      </c>
      <c r="N147" s="19" t="s">
        <v>415</v>
      </c>
      <c r="O147" s="19" t="s">
        <v>412</v>
      </c>
      <c r="P147" s="19" t="s">
        <v>347</v>
      </c>
      <c r="Q147" s="19" t="s">
        <v>348</v>
      </c>
      <c r="R147" s="19" t="s">
        <v>349</v>
      </c>
      <c r="S147" s="19" t="s">
        <v>350</v>
      </c>
      <c r="T147" s="5"/>
      <c r="U147" s="15"/>
      <c r="V147" s="5">
        <v>0</v>
      </c>
      <c r="W147" s="15">
        <f t="shared" si="53"/>
        <v>38822</v>
      </c>
      <c r="X147" s="15">
        <f t="shared" si="56"/>
        <v>0</v>
      </c>
      <c r="Y147" s="15">
        <f t="shared" si="54"/>
        <v>38822</v>
      </c>
      <c r="Z147" s="15">
        <f>SUM(Financials20263[[#This Row],[2026 Opportunity]:[2026 Risk]])</f>
        <v>38822</v>
      </c>
      <c r="AA147" s="14" t="s">
        <v>728</v>
      </c>
      <c r="AB147" s="47"/>
      <c r="AC147" s="47"/>
      <c r="AD147" s="47">
        <v>7520</v>
      </c>
      <c r="AE147" s="47">
        <v>7520</v>
      </c>
      <c r="AF147" s="47">
        <v>7520</v>
      </c>
      <c r="AG147" s="47">
        <v>7520</v>
      </c>
      <c r="AH147" s="47">
        <v>7520</v>
      </c>
      <c r="AI147" s="47"/>
      <c r="AJ147" s="47"/>
      <c r="AK147" s="47"/>
      <c r="AL147" s="47"/>
      <c r="AM147" s="47"/>
      <c r="AN147" s="47">
        <f>SUM(Financials20263[[#This Row],[Jan FC]:[Dec FC]])</f>
        <v>37600</v>
      </c>
      <c r="AO147" s="15">
        <f>SUM(Financials20263[[#This Row],[Jul FC]:[Dec FC]])</f>
        <v>7520</v>
      </c>
      <c r="AP147" s="56">
        <v>0</v>
      </c>
      <c r="AQ147" s="56"/>
      <c r="AR147" s="56">
        <v>7144</v>
      </c>
      <c r="AS147" s="56">
        <v>8272</v>
      </c>
      <c r="AT147" s="56">
        <v>8366</v>
      </c>
      <c r="AU147" s="56"/>
      <c r="AV147" s="56"/>
      <c r="AW147" s="56"/>
      <c r="AX147" s="56"/>
      <c r="AY147" s="56"/>
      <c r="AZ147" s="56"/>
      <c r="BA147" s="56"/>
      <c r="BB147" s="75">
        <f>SUM(Financials20263[[#This Row],[Jan AC]:[Dec AC]])</f>
        <v>23782</v>
      </c>
      <c r="BC147" s="66">
        <f>Financials20263[[#This Row],[Jan AC]]-Financials20263[[#This Row],[Jan FC]]</f>
        <v>0</v>
      </c>
      <c r="BD147" s="66">
        <f>Financials20263[[#This Row],[Feb AC]]-Financials20263[[#This Row],[Feb FC]]</f>
        <v>0</v>
      </c>
      <c r="BE147" s="66">
        <f>Financials20263[[#This Row],[Mar AC]]-Financials20263[[#This Row],[Mar FC]]</f>
        <v>-376</v>
      </c>
      <c r="BF147" s="66">
        <f>Financials20263[[#This Row],[Apr AC]]-Financials20263[[#This Row],[Apr FC]]</f>
        <v>752</v>
      </c>
      <c r="BG147" s="66">
        <f>Financials20263[[#This Row],[May AC]]-Financials20263[[#This Row],[May FC]]</f>
        <v>846</v>
      </c>
      <c r="BH147" s="66">
        <f>Financials20263[[#This Row],[Jun AC]]-Financials20263[[#This Row],[Jun FC]]</f>
        <v>-7520</v>
      </c>
      <c r="BI147" s="66">
        <f>Financials20263[[#This Row],[Jul AC]]-Financials20263[[#This Row],[Jul FC]]</f>
        <v>-7520</v>
      </c>
      <c r="BJ147" s="66">
        <f>Financials20263[[#This Row],[Aug AC]]-Financials20263[[#This Row],[Aug FC]]</f>
        <v>0</v>
      </c>
      <c r="BK147" s="66">
        <f>Financials20263[[#This Row],[Sep AC]]-Financials20263[[#This Row],[Sep FC]]</f>
        <v>0</v>
      </c>
      <c r="BL147" s="66">
        <f>Financials20263[[#This Row],[Oct AC]]-Financials20263[[#This Row],[Oct FC]]</f>
        <v>0</v>
      </c>
      <c r="BM147" s="66">
        <f>Financials20263[[#This Row],[Nov AC]]-Financials20263[[#This Row],[Nov FC]]</f>
        <v>0</v>
      </c>
      <c r="BN147" s="66">
        <f>Financials20263[[#This Row],[Dec AC]]-Financials20263[[#This Row],[Dec FC]]</f>
        <v>0</v>
      </c>
      <c r="BO147" s="66">
        <f>SUM(Financials20263[[#This Row],[Jan Opp/Risk]:[Dec Opp./Risk]])</f>
        <v>-13818</v>
      </c>
      <c r="BP147" s="83" t="s">
        <v>729</v>
      </c>
      <c r="BQ147" s="44">
        <f>SUM(Financials20263[[#This Row],[Jan AC]:[Jun AC]])</f>
        <v>23782</v>
      </c>
      <c r="BR147" s="6">
        <f t="shared" si="55"/>
        <v>7520</v>
      </c>
      <c r="BS147" s="6">
        <f>Financials20263[[#This Row],[Jul-Dec FC]]+Financials20263[[#This Row],[Pending Jan-Jun]]</f>
        <v>15040</v>
      </c>
      <c r="BT147" s="6"/>
    </row>
    <row r="148" spans="1:74" hidden="1">
      <c r="A148" s="30" t="s">
        <v>320</v>
      </c>
      <c r="B148" s="19" t="s">
        <v>146</v>
      </c>
      <c r="C148" s="31" t="s">
        <v>730</v>
      </c>
      <c r="D148" s="10" t="s">
        <v>442</v>
      </c>
      <c r="E148" s="7" t="s">
        <v>443</v>
      </c>
      <c r="F148" s="3" t="s">
        <v>444</v>
      </c>
      <c r="G148" s="3" t="s">
        <v>22</v>
      </c>
      <c r="H148" s="4">
        <v>46082</v>
      </c>
      <c r="I148" s="4">
        <v>46387</v>
      </c>
      <c r="J148" s="33"/>
      <c r="K148" s="33" t="s">
        <v>731</v>
      </c>
      <c r="L148" s="31" t="s">
        <v>252</v>
      </c>
      <c r="M148" s="31" t="s">
        <v>15</v>
      </c>
      <c r="N148" s="31" t="s">
        <v>15</v>
      </c>
      <c r="O148" s="31" t="s">
        <v>652</v>
      </c>
      <c r="P148" s="31" t="s">
        <v>391</v>
      </c>
      <c r="Q148" s="31" t="s">
        <v>391</v>
      </c>
      <c r="R148" s="31" t="s">
        <v>392</v>
      </c>
      <c r="S148" s="31" t="s">
        <v>383</v>
      </c>
      <c r="T148" s="34">
        <v>0</v>
      </c>
      <c r="U148" s="34">
        <v>0</v>
      </c>
      <c r="V148" s="5">
        <v>0</v>
      </c>
      <c r="W148" s="15">
        <f t="shared" si="53"/>
        <v>17623.03</v>
      </c>
      <c r="X148" s="15">
        <f t="shared" si="56"/>
        <v>0</v>
      </c>
      <c r="Y148" s="15">
        <f t="shared" si="54"/>
        <v>17623.03</v>
      </c>
      <c r="Z148" s="15">
        <f>SUM(Financials20263[[#This Row],[2026 Opportunity]:[2026 Risk]])</f>
        <v>17623.03</v>
      </c>
      <c r="AA148" s="40" t="s">
        <v>732</v>
      </c>
      <c r="AB148" s="49"/>
      <c r="AC148" s="49"/>
      <c r="AD148" s="49"/>
      <c r="AE148" s="49">
        <v>15208</v>
      </c>
      <c r="AF148" s="49"/>
      <c r="AG148" s="49"/>
      <c r="AH148" s="49"/>
      <c r="AI148" s="49"/>
      <c r="AJ148" s="49"/>
      <c r="AK148" s="49"/>
      <c r="AL148" s="49"/>
      <c r="AM148" s="49"/>
      <c r="AN148" s="47">
        <f>SUM(Financials20263[[#This Row],[Jan FC]:[Dec FC]])</f>
        <v>15208</v>
      </c>
      <c r="AO148" s="15">
        <f>SUM(Financials20263[[#This Row],[Jul FC]:[Dec FC]])</f>
        <v>0</v>
      </c>
      <c r="AP148" s="58"/>
      <c r="AQ148" s="58"/>
      <c r="AR148" s="58"/>
      <c r="AS148" s="56">
        <v>17623.03</v>
      </c>
      <c r="AT148" s="58"/>
      <c r="AU148" s="58"/>
      <c r="AV148" s="58"/>
      <c r="AW148" s="58"/>
      <c r="AX148" s="58"/>
      <c r="AY148" s="58"/>
      <c r="AZ148" s="58"/>
      <c r="BA148" s="58"/>
      <c r="BB148" s="77">
        <f>SUM(Financials20263[[#This Row],[Jan AC]:[Dec AC]])</f>
        <v>17623.03</v>
      </c>
      <c r="BC148" s="66">
        <f>Financials20263[[#This Row],[Jan AC]]-Financials20263[[#This Row],[Jan FC]]</f>
        <v>0</v>
      </c>
      <c r="BD148" s="66">
        <f>Financials20263[[#This Row],[Feb AC]]-Financials20263[[#This Row],[Feb FC]]</f>
        <v>0</v>
      </c>
      <c r="BE148" s="66">
        <f>Financials20263[[#This Row],[Mar AC]]-Financials20263[[#This Row],[Mar FC]]</f>
        <v>0</v>
      </c>
      <c r="BF148" s="66">
        <f>Financials20263[[#This Row],[Apr AC]]-Financials20263[[#This Row],[Apr FC]]</f>
        <v>2415.0299999999988</v>
      </c>
      <c r="BG148" s="66">
        <f>Financials20263[[#This Row],[May AC]]-Financials20263[[#This Row],[May FC]]</f>
        <v>0</v>
      </c>
      <c r="BH148" s="66">
        <f>Financials20263[[#This Row],[Jun AC]]-Financials20263[[#This Row],[Jun FC]]</f>
        <v>0</v>
      </c>
      <c r="BI148" s="66">
        <f>Financials20263[[#This Row],[Jul AC]]-Financials20263[[#This Row],[Jul FC]]</f>
        <v>0</v>
      </c>
      <c r="BJ148" s="66">
        <f>Financials20263[[#This Row],[Aug AC]]-Financials20263[[#This Row],[Aug FC]]</f>
        <v>0</v>
      </c>
      <c r="BK148" s="66">
        <f>Financials20263[[#This Row],[Sep AC]]-Financials20263[[#This Row],[Sep FC]]</f>
        <v>0</v>
      </c>
      <c r="BL148" s="66">
        <f>Financials20263[[#This Row],[Oct AC]]-Financials20263[[#This Row],[Oct FC]]</f>
        <v>0</v>
      </c>
      <c r="BM148" s="66">
        <f>Financials20263[[#This Row],[Nov AC]]-Financials20263[[#This Row],[Nov FC]]</f>
        <v>0</v>
      </c>
      <c r="BN148" s="66">
        <f>Financials20263[[#This Row],[Dec AC]]-Financials20263[[#This Row],[Dec FC]]</f>
        <v>0</v>
      </c>
      <c r="BO148" s="79">
        <f>SUM(Financials20263[[#This Row],[Jan Opp/Risk]:[Dec Opp./Risk]])</f>
        <v>2415.0299999999988</v>
      </c>
      <c r="BP148" s="89" t="s">
        <v>733</v>
      </c>
      <c r="BQ148" s="44">
        <f>SUM(Financials20263[[#This Row],[Jan AC]:[Jun AC]])</f>
        <v>17623.03</v>
      </c>
      <c r="BR148" s="6">
        <f t="shared" si="55"/>
        <v>0</v>
      </c>
      <c r="BS148" s="6">
        <f>Financials20263[[#This Row],[Jul-Dec FC]]+Financials20263[[#This Row],[Pending Jan-Jun]]</f>
        <v>0</v>
      </c>
      <c r="BT148" s="6"/>
    </row>
    <row r="149" spans="1:74" ht="43.15" hidden="1">
      <c r="A149" s="30" t="s">
        <v>320</v>
      </c>
      <c r="B149" s="19" t="s">
        <v>255</v>
      </c>
      <c r="C149" s="31"/>
      <c r="D149" s="10" t="s">
        <v>412</v>
      </c>
      <c r="E149" s="7" t="s">
        <v>412</v>
      </c>
      <c r="F149" s="3"/>
      <c r="G149" s="3" t="s">
        <v>21</v>
      </c>
      <c r="H149" s="4"/>
      <c r="I149" s="4"/>
      <c r="J149" s="33"/>
      <c r="K149" s="3" t="str">
        <f t="shared" ref="K149" si="60">D149 &amp; "-" &amp;E149</f>
        <v>T&amp;M-T&amp;M</v>
      </c>
      <c r="L149" s="19" t="s">
        <v>251</v>
      </c>
      <c r="M149" s="19" t="s">
        <v>13</v>
      </c>
      <c r="N149" s="19" t="s">
        <v>415</v>
      </c>
      <c r="O149" s="19" t="s">
        <v>412</v>
      </c>
      <c r="P149" s="19" t="s">
        <v>347</v>
      </c>
      <c r="Q149" s="19" t="s">
        <v>348</v>
      </c>
      <c r="R149" s="19" t="s">
        <v>349</v>
      </c>
      <c r="S149" s="31"/>
      <c r="T149" s="34"/>
      <c r="U149" s="34"/>
      <c r="V149" s="34"/>
      <c r="W149" s="15">
        <f t="shared" si="53"/>
        <v>80000</v>
      </c>
      <c r="X149" s="15">
        <f>IF(V149 &gt;= W149, V149 - W149, 0)*-1</f>
        <v>0</v>
      </c>
      <c r="Y149" s="35">
        <f>IF(W149 &gt; V149, W149 - V149, 0)</f>
        <v>80000</v>
      </c>
      <c r="Z149" s="35">
        <f>SUM(Financials20263[[#This Row],[2026 Opportunity]:[2026 Risk]])</f>
        <v>80000</v>
      </c>
      <c r="AA149" s="168" t="s">
        <v>734</v>
      </c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167">
        <v>80000</v>
      </c>
      <c r="AM149" s="49"/>
      <c r="AN149" s="49">
        <f>SUM(Financials20263[[#This Row],[Jan FC]:[Dec FC]])</f>
        <v>80000</v>
      </c>
      <c r="AO149" s="15">
        <f>SUM(Financials20263[[#This Row],[Jul FC]:[Dec FC]])</f>
        <v>80000</v>
      </c>
      <c r="AP149" s="58"/>
      <c r="AQ149" s="58"/>
      <c r="AR149" s="58"/>
      <c r="AS149" s="58"/>
      <c r="AT149" s="58"/>
      <c r="AU149" s="58"/>
      <c r="AV149" s="58"/>
      <c r="AW149" s="58"/>
      <c r="AX149" s="58"/>
      <c r="AY149" s="58"/>
      <c r="AZ149" s="58"/>
      <c r="BA149" s="58"/>
      <c r="BB149" s="77">
        <f>SUM(Financials20263[[#This Row],[Jan AC]:[Dec AC]])</f>
        <v>0</v>
      </c>
      <c r="BC149" s="66">
        <f>Financials20263[[#This Row],[Jan AC]]-Financials20263[[#This Row],[Jan FC]]</f>
        <v>0</v>
      </c>
      <c r="BD149" s="66">
        <f>Financials20263[[#This Row],[Feb AC]]-Financials20263[[#This Row],[Feb FC]]</f>
        <v>0</v>
      </c>
      <c r="BE149" s="66">
        <f>Financials20263[[#This Row],[Mar AC]]-Financials20263[[#This Row],[Mar FC]]</f>
        <v>0</v>
      </c>
      <c r="BF149" s="66">
        <f>Financials20263[[#This Row],[Apr AC]]-Financials20263[[#This Row],[Apr FC]]</f>
        <v>0</v>
      </c>
      <c r="BG149" s="66">
        <f>Financials20263[[#This Row],[May AC]]-Financials20263[[#This Row],[May FC]]</f>
        <v>0</v>
      </c>
      <c r="BH149" s="66">
        <f>Financials20263[[#This Row],[Jun AC]]-Financials20263[[#This Row],[Jun FC]]</f>
        <v>0</v>
      </c>
      <c r="BI149" s="66">
        <f>Financials20263[[#This Row],[Jul AC]]-Financials20263[[#This Row],[Jul FC]]</f>
        <v>0</v>
      </c>
      <c r="BJ149" s="66">
        <f>Financials20263[[#This Row],[Aug AC]]-Financials20263[[#This Row],[Aug FC]]</f>
        <v>0</v>
      </c>
      <c r="BK149" s="66">
        <f>Financials20263[[#This Row],[Sep AC]]-Financials20263[[#This Row],[Sep FC]]</f>
        <v>0</v>
      </c>
      <c r="BL149" s="66">
        <f>Financials20263[[#This Row],[Oct AC]]-Financials20263[[#This Row],[Oct FC]]</f>
        <v>0</v>
      </c>
      <c r="BM149" s="66">
        <f>Financials20263[[#This Row],[Nov AC]]-Financials20263[[#This Row],[Nov FC]]</f>
        <v>-80000</v>
      </c>
      <c r="BN149" s="66">
        <f>Financials20263[[#This Row],[Dec AC]]-Financials20263[[#This Row],[Dec FC]]</f>
        <v>0</v>
      </c>
      <c r="BO149" s="79">
        <f>SUM(Financials20263[[#This Row],[Jan Opp/Risk]:[Dec Opp./Risk]])</f>
        <v>-80000</v>
      </c>
      <c r="BP149" s="89"/>
      <c r="BQ149" s="44">
        <f>SUM(Financials20263[[#This Row],[Jan AC]:[Jun AC]])</f>
        <v>0</v>
      </c>
      <c r="BR149" s="6">
        <f t="shared" si="55"/>
        <v>0</v>
      </c>
      <c r="BS149" s="6">
        <f>Financials20263[[#This Row],[Jul-Dec FC]]+Financials20263[[#This Row],[Pending Jan-Jun]]</f>
        <v>80000</v>
      </c>
      <c r="BT149" s="6"/>
    </row>
    <row r="150" spans="1:74" ht="57.6" hidden="1">
      <c r="A150" s="30" t="s">
        <v>320</v>
      </c>
      <c r="B150" s="19" t="s">
        <v>196</v>
      </c>
      <c r="C150" s="37"/>
      <c r="D150" s="10" t="s">
        <v>442</v>
      </c>
      <c r="E150" s="7" t="s">
        <v>443</v>
      </c>
      <c r="F150" s="3" t="s">
        <v>444</v>
      </c>
      <c r="G150" s="3" t="s">
        <v>22</v>
      </c>
      <c r="H150" s="4">
        <v>45992</v>
      </c>
      <c r="I150" s="4">
        <v>46387</v>
      </c>
      <c r="J150" s="38" t="s">
        <v>441</v>
      </c>
      <c r="K150" s="38" t="str">
        <f>D150 &amp; "-" &amp;E150</f>
        <v>Prj000469-Support - Prod Support for Ops Apps</v>
      </c>
      <c r="L150" s="37" t="s">
        <v>252</v>
      </c>
      <c r="M150" s="37" t="s">
        <v>16</v>
      </c>
      <c r="N150" s="37" t="s">
        <v>16</v>
      </c>
      <c r="O150" s="37" t="s">
        <v>474</v>
      </c>
      <c r="P150" s="37" t="s">
        <v>326</v>
      </c>
      <c r="Q150" s="31" t="s">
        <v>327</v>
      </c>
      <c r="R150" s="37" t="s">
        <v>327</v>
      </c>
      <c r="S150" s="37" t="s">
        <v>354</v>
      </c>
      <c r="T150" s="34">
        <v>0</v>
      </c>
      <c r="U150" s="35">
        <v>0</v>
      </c>
      <c r="V150" s="35">
        <v>0</v>
      </c>
      <c r="W150" s="15">
        <f t="shared" si="53"/>
        <v>102000</v>
      </c>
      <c r="X150" s="15">
        <f t="shared" si="56"/>
        <v>0</v>
      </c>
      <c r="Y150" s="36">
        <f>IF(W150 &gt; V150, W150 - V150, 0)</f>
        <v>102000</v>
      </c>
      <c r="Z150" s="36">
        <f>SUM(Financials20263[[#This Row],[2026 Opportunity]:[2026 Risk]])</f>
        <v>102000</v>
      </c>
      <c r="AA150" s="14" t="s">
        <v>735</v>
      </c>
      <c r="AB150" s="49"/>
      <c r="AC150" s="49"/>
      <c r="AD150" s="49"/>
      <c r="AE150" s="49">
        <v>92000</v>
      </c>
      <c r="AF150" s="49"/>
      <c r="AG150" s="49"/>
      <c r="AH150" s="49"/>
      <c r="AI150" s="49"/>
      <c r="AJ150" s="49"/>
      <c r="AK150" s="49"/>
      <c r="AL150" s="49"/>
      <c r="AM150" s="49">
        <v>10000</v>
      </c>
      <c r="AN150" s="49">
        <f>SUM(Financials20263[[#This Row],[Jan FC]:[Dec FC]])</f>
        <v>102000</v>
      </c>
      <c r="AO150" s="15">
        <f>SUM(Financials20263[[#This Row],[Jul FC]:[Dec FC]])</f>
        <v>10000</v>
      </c>
      <c r="AP150" s="58"/>
      <c r="AQ150" s="58"/>
      <c r="AR150" s="58"/>
      <c r="AS150" s="58">
        <v>92000</v>
      </c>
      <c r="AT150" s="58"/>
      <c r="AU150" s="58"/>
      <c r="AV150" s="58"/>
      <c r="AW150" s="58"/>
      <c r="AX150" s="58"/>
      <c r="AY150" s="58"/>
      <c r="AZ150" s="58"/>
      <c r="BA150" s="58"/>
      <c r="BB150" s="77">
        <f>SUM(Financials20263[[#This Row],[Jan AC]:[Dec AC]])</f>
        <v>92000</v>
      </c>
      <c r="BC150" s="66">
        <f>Financials20263[[#This Row],[Jan AC]]-Financials20263[[#This Row],[Jan FC]]</f>
        <v>0</v>
      </c>
      <c r="BD150" s="66">
        <f>Financials20263[[#This Row],[Feb AC]]-Financials20263[[#This Row],[Feb FC]]</f>
        <v>0</v>
      </c>
      <c r="BE150" s="66">
        <f>Financials20263[[#This Row],[Mar AC]]-Financials20263[[#This Row],[Mar FC]]</f>
        <v>0</v>
      </c>
      <c r="BF150" s="66">
        <f>Financials20263[[#This Row],[Apr AC]]-Financials20263[[#This Row],[Apr FC]]</f>
        <v>0</v>
      </c>
      <c r="BG150" s="66">
        <f>Financials20263[[#This Row],[May AC]]-Financials20263[[#This Row],[May FC]]</f>
        <v>0</v>
      </c>
      <c r="BH150" s="66">
        <f>Financials20263[[#This Row],[Jun AC]]-Financials20263[[#This Row],[Jun FC]]</f>
        <v>0</v>
      </c>
      <c r="BI150" s="66">
        <f>Financials20263[[#This Row],[Jul AC]]-Financials20263[[#This Row],[Jul FC]]</f>
        <v>0</v>
      </c>
      <c r="BJ150" s="66">
        <f>Financials20263[[#This Row],[Aug AC]]-Financials20263[[#This Row],[Aug FC]]</f>
        <v>0</v>
      </c>
      <c r="BK150" s="66">
        <f>Financials20263[[#This Row],[Sep AC]]-Financials20263[[#This Row],[Sep FC]]</f>
        <v>0</v>
      </c>
      <c r="BL150" s="66">
        <f>Financials20263[[#This Row],[Oct AC]]-Financials20263[[#This Row],[Oct FC]]</f>
        <v>0</v>
      </c>
      <c r="BM150" s="66">
        <f>Financials20263[[#This Row],[Nov AC]]-Financials20263[[#This Row],[Nov FC]]</f>
        <v>0</v>
      </c>
      <c r="BN150" s="66">
        <f>Financials20263[[#This Row],[Dec AC]]-Financials20263[[#This Row],[Dec FC]]</f>
        <v>-10000</v>
      </c>
      <c r="BO150" s="79">
        <f>SUM(Financials20263[[#This Row],[Jan Opp/Risk]:[Dec Opp./Risk]])</f>
        <v>-10000</v>
      </c>
      <c r="BP150" s="90" t="s">
        <v>736</v>
      </c>
      <c r="BQ150" s="44">
        <f>SUM(Financials20263[[#This Row],[Jan AC]:[Jun AC]])</f>
        <v>92000</v>
      </c>
      <c r="BR150" s="6">
        <f t="shared" si="55"/>
        <v>0</v>
      </c>
      <c r="BS150" s="6">
        <f>Financials20263[[#This Row],[Jul-Dec FC]]+Financials20263[[#This Row],[Pending Jan-Jun]]</f>
        <v>10000</v>
      </c>
      <c r="BT150" s="6"/>
    </row>
    <row r="151" spans="1:74">
      <c r="A151" s="129"/>
      <c r="B151" s="129"/>
      <c r="C151" s="130"/>
      <c r="D151"/>
      <c r="G151"/>
      <c r="J151" s="131"/>
      <c r="K151" s="131"/>
      <c r="L151" s="130"/>
      <c r="M151" s="130"/>
      <c r="N151" s="130"/>
      <c r="O151" s="130"/>
      <c r="P151" s="130"/>
      <c r="Q151" s="129"/>
      <c r="R151" s="130"/>
      <c r="S151" s="130"/>
      <c r="T151" s="6"/>
      <c r="U151" s="132"/>
      <c r="V151" s="132"/>
      <c r="W151" s="132"/>
      <c r="X151" s="132"/>
      <c r="Y151" s="133"/>
      <c r="Z151" s="133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4">
      <c r="A152" s="97"/>
      <c r="B152" s="97" t="s">
        <v>737</v>
      </c>
      <c r="C152" s="97"/>
      <c r="D152" s="98"/>
      <c r="E152" s="97"/>
      <c r="F152" s="97"/>
      <c r="G152" s="98"/>
      <c r="H152" s="99"/>
      <c r="I152" s="99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100">
        <f t="shared" ref="T152:AY152" si="61">SUBTOTAL(9,T2:T151)</f>
        <v>230262.5</v>
      </c>
      <c r="U152" s="100">
        <f t="shared" si="61"/>
        <v>238897.86250000002</v>
      </c>
      <c r="V152" s="100">
        <f t="shared" si="61"/>
        <v>238897.86250000002</v>
      </c>
      <c r="W152" s="100">
        <f t="shared" si="61"/>
        <v>238926.24</v>
      </c>
      <c r="X152" s="100">
        <f t="shared" si="61"/>
        <v>0</v>
      </c>
      <c r="Y152" s="100">
        <f t="shared" si="61"/>
        <v>28.377499999973224</v>
      </c>
      <c r="Z152" s="100">
        <f t="shared" si="61"/>
        <v>28.377499999973224</v>
      </c>
      <c r="AA152" s="100">
        <f t="shared" si="61"/>
        <v>0</v>
      </c>
      <c r="AB152" s="100">
        <f t="shared" si="61"/>
        <v>0</v>
      </c>
      <c r="AC152" s="100">
        <f t="shared" si="61"/>
        <v>0</v>
      </c>
      <c r="AD152" s="100">
        <f t="shared" si="61"/>
        <v>0</v>
      </c>
      <c r="AE152" s="100">
        <f t="shared" si="61"/>
        <v>0</v>
      </c>
      <c r="AF152" s="100">
        <f t="shared" si="61"/>
        <v>232868.65</v>
      </c>
      <c r="AG152" s="100">
        <f t="shared" si="61"/>
        <v>0</v>
      </c>
      <c r="AH152" s="100">
        <f t="shared" si="61"/>
        <v>0</v>
      </c>
      <c r="AI152" s="100">
        <f t="shared" si="61"/>
        <v>0</v>
      </c>
      <c r="AJ152" s="100">
        <f t="shared" si="61"/>
        <v>0</v>
      </c>
      <c r="AK152" s="100">
        <f t="shared" si="61"/>
        <v>0</v>
      </c>
      <c r="AL152" s="100">
        <f t="shared" si="61"/>
        <v>0</v>
      </c>
      <c r="AM152" s="100">
        <f t="shared" si="61"/>
        <v>0</v>
      </c>
      <c r="AN152" s="100">
        <f t="shared" si="61"/>
        <v>232868.65</v>
      </c>
      <c r="AO152" s="100">
        <f t="shared" si="61"/>
        <v>0</v>
      </c>
      <c r="AP152" s="100">
        <f t="shared" si="61"/>
        <v>0</v>
      </c>
      <c r="AQ152" s="100">
        <f t="shared" si="61"/>
        <v>0</v>
      </c>
      <c r="AR152" s="100">
        <f t="shared" si="61"/>
        <v>0</v>
      </c>
      <c r="AS152" s="100">
        <f t="shared" si="61"/>
        <v>0</v>
      </c>
      <c r="AT152" s="100">
        <f t="shared" si="61"/>
        <v>238926.24</v>
      </c>
      <c r="AU152" s="100">
        <f t="shared" si="61"/>
        <v>0</v>
      </c>
      <c r="AV152" s="100">
        <f t="shared" si="61"/>
        <v>0</v>
      </c>
      <c r="AW152" s="100">
        <f t="shared" si="61"/>
        <v>0</v>
      </c>
      <c r="AX152" s="100">
        <f t="shared" si="61"/>
        <v>0</v>
      </c>
      <c r="AY152" s="100">
        <f t="shared" si="61"/>
        <v>0</v>
      </c>
      <c r="AZ152" s="100">
        <f t="shared" ref="AZ152:BS152" si="62">SUBTOTAL(9,AZ2:AZ151)</f>
        <v>0</v>
      </c>
      <c r="BA152" s="100">
        <f t="shared" si="62"/>
        <v>0</v>
      </c>
      <c r="BB152" s="100">
        <f t="shared" si="62"/>
        <v>238926.24</v>
      </c>
      <c r="BC152" s="100">
        <f t="shared" si="62"/>
        <v>0</v>
      </c>
      <c r="BD152" s="100">
        <f t="shared" si="62"/>
        <v>0</v>
      </c>
      <c r="BE152" s="100">
        <f t="shared" si="62"/>
        <v>0</v>
      </c>
      <c r="BF152" s="100">
        <f t="shared" si="62"/>
        <v>0</v>
      </c>
      <c r="BG152" s="100">
        <f t="shared" si="62"/>
        <v>6057.5899999999965</v>
      </c>
      <c r="BH152" s="100">
        <f t="shared" si="62"/>
        <v>0</v>
      </c>
      <c r="BI152" s="100">
        <f t="shared" si="62"/>
        <v>0</v>
      </c>
      <c r="BJ152" s="100">
        <f t="shared" si="62"/>
        <v>0</v>
      </c>
      <c r="BK152" s="100">
        <f t="shared" si="62"/>
        <v>0</v>
      </c>
      <c r="BL152" s="100">
        <f t="shared" si="62"/>
        <v>0</v>
      </c>
      <c r="BM152" s="100">
        <f t="shared" si="62"/>
        <v>0</v>
      </c>
      <c r="BN152" s="100">
        <f t="shared" si="62"/>
        <v>0</v>
      </c>
      <c r="BO152" s="100">
        <f t="shared" si="62"/>
        <v>6057.5899999999965</v>
      </c>
      <c r="BP152" s="100">
        <f t="shared" si="62"/>
        <v>0</v>
      </c>
      <c r="BQ152" s="100">
        <f t="shared" si="62"/>
        <v>238926.24</v>
      </c>
      <c r="BR152" s="100">
        <f t="shared" si="62"/>
        <v>0</v>
      </c>
      <c r="BS152" s="100">
        <f t="shared" si="62"/>
        <v>0</v>
      </c>
    </row>
    <row r="154" spans="1:74">
      <c r="T154" s="6"/>
      <c r="U154" s="125"/>
      <c r="V154" s="128"/>
      <c r="AH154" s="6"/>
    </row>
    <row r="155" spans="1:74">
      <c r="U155" s="41"/>
      <c r="AE155"/>
      <c r="AF155"/>
      <c r="AG155" s="6"/>
      <c r="AH155" s="135"/>
      <c r="AP155" s="185"/>
      <c r="AU155" s="185"/>
    </row>
    <row r="156" spans="1:74">
      <c r="U156" s="6"/>
      <c r="AP156" s="185"/>
    </row>
    <row r="157" spans="1:74">
      <c r="AP157" s="185"/>
    </row>
    <row r="161" spans="40:41">
      <c r="AN161"/>
    </row>
    <row r="162" spans="40:41">
      <c r="AN162"/>
    </row>
    <row r="163" spans="40:41">
      <c r="AN163"/>
    </row>
    <row r="164" spans="40:41">
      <c r="AN164"/>
    </row>
    <row r="165" spans="40:41">
      <c r="AN165"/>
      <c r="AO165" s="127"/>
    </row>
    <row r="166" spans="40:41">
      <c r="AN166"/>
    </row>
    <row r="167" spans="40:41">
      <c r="AN167"/>
    </row>
    <row r="168" spans="40:41">
      <c r="AN168"/>
    </row>
    <row r="169" spans="40:41">
      <c r="AN169"/>
    </row>
  </sheetData>
  <conditionalFormatting sqref="Y1:Z151">
    <cfRule type="cellIs" dxfId="75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AI2" activePane="bottomRight" state="frozen"/>
      <selection pane="bottomRight" activeCell="AU8" sqref="AU8"/>
      <selection pane="bottomLeft" activeCell="A2" sqref="A2"/>
      <selection pane="topRight" activeCell="C1" sqref="C1"/>
    </sheetView>
  </sheetViews>
  <sheetFormatPr defaultRowHeight="14.45"/>
  <cols>
    <col min="1" max="1" width="15" bestFit="1" customWidth="1"/>
    <col min="2" max="2" width="21.42578125" bestFit="1" customWidth="1"/>
    <col min="3" max="3" width="20.7109375" bestFit="1" customWidth="1"/>
    <col min="4" max="4" width="9.28515625" bestFit="1" customWidth="1"/>
    <col min="5" max="5" width="29.28515625" bestFit="1" customWidth="1"/>
    <col min="6" max="6" width="28.7109375" bestFit="1" customWidth="1"/>
    <col min="7" max="7" width="15.42578125" bestFit="1" customWidth="1"/>
    <col min="8" max="8" width="12.7109375" bestFit="1" customWidth="1"/>
    <col min="9" max="9" width="11.7109375" bestFit="1" customWidth="1"/>
    <col min="10" max="10" width="10.7109375" bestFit="1" customWidth="1"/>
    <col min="11" max="11" width="13.28515625" bestFit="1" customWidth="1"/>
    <col min="12" max="12" width="9.7109375" bestFit="1" customWidth="1"/>
    <col min="13" max="14" width="13.28515625" bestFit="1" customWidth="1"/>
    <col min="15" max="15" width="13.7109375" bestFit="1" customWidth="1"/>
    <col min="16" max="16" width="29.7109375" bestFit="1" customWidth="1"/>
    <col min="17" max="17" width="17.5703125" bestFit="1" customWidth="1"/>
    <col min="18" max="18" width="16.85546875" bestFit="1" customWidth="1"/>
    <col min="19" max="19" width="19.28515625" bestFit="1" customWidth="1"/>
    <col min="20" max="20" width="11.5703125" bestFit="1" customWidth="1"/>
    <col min="21" max="21" width="16.42578125" bestFit="1" customWidth="1"/>
    <col min="22" max="22" width="15.7109375" bestFit="1" customWidth="1"/>
    <col min="23" max="23" width="22.140625" bestFit="1" customWidth="1"/>
    <col min="24" max="24" width="15.42578125" bestFit="1" customWidth="1"/>
    <col min="26" max="26" width="15.5703125" bestFit="1" customWidth="1"/>
    <col min="27" max="27" width="108" bestFit="1" customWidth="1"/>
    <col min="28" max="39" width="9.28515625" bestFit="1" customWidth="1"/>
    <col min="40" max="41" width="10.7109375" bestFit="1" customWidth="1"/>
    <col min="42" max="42" width="6.28515625" bestFit="1" customWidth="1"/>
    <col min="43" max="43" width="6.7109375" bestFit="1" customWidth="1"/>
    <col min="44" max="44" width="7.5703125" bestFit="1" customWidth="1"/>
    <col min="45" max="46" width="8.5703125" bestFit="1" customWidth="1"/>
    <col min="47" max="48" width="6.5703125" bestFit="1" customWidth="1"/>
    <col min="49" max="49" width="6.7109375" bestFit="1" customWidth="1"/>
    <col min="50" max="50" width="8.5703125" bestFit="1" customWidth="1"/>
    <col min="51" max="51" width="6.7109375" bestFit="1" customWidth="1"/>
    <col min="52" max="53" width="6.85546875" bestFit="1" customWidth="1"/>
    <col min="54" max="54" width="11.7109375" bestFit="1" customWidth="1"/>
    <col min="55" max="55" width="14" bestFit="1" customWidth="1"/>
  </cols>
  <sheetData>
    <row r="1" spans="1:55">
      <c r="A1" s="103" t="s">
        <v>0</v>
      </c>
      <c r="B1" s="103" t="s">
        <v>33</v>
      </c>
      <c r="C1" s="103" t="s">
        <v>256</v>
      </c>
      <c r="D1" s="103" t="s">
        <v>257</v>
      </c>
      <c r="E1" s="103" t="s">
        <v>258</v>
      </c>
      <c r="F1" s="103" t="s">
        <v>259</v>
      </c>
      <c r="G1" s="103" t="s">
        <v>30</v>
      </c>
      <c r="H1" s="104" t="s">
        <v>260</v>
      </c>
      <c r="I1" s="104" t="s">
        <v>261</v>
      </c>
      <c r="J1" s="104" t="s">
        <v>262</v>
      </c>
      <c r="K1" s="103" t="s">
        <v>263</v>
      </c>
      <c r="L1" s="103" t="s">
        <v>4</v>
      </c>
      <c r="M1" s="103" t="s">
        <v>18</v>
      </c>
      <c r="N1" s="103" t="s">
        <v>264</v>
      </c>
      <c r="O1" s="105" t="s">
        <v>265</v>
      </c>
      <c r="P1" s="103" t="s">
        <v>266</v>
      </c>
      <c r="Q1" s="103" t="s">
        <v>267</v>
      </c>
      <c r="R1" s="103" t="s">
        <v>268</v>
      </c>
      <c r="S1" s="103" t="s">
        <v>269</v>
      </c>
      <c r="T1" s="105" t="s">
        <v>270</v>
      </c>
      <c r="U1" s="106" t="s">
        <v>271</v>
      </c>
      <c r="V1" s="106" t="s">
        <v>34</v>
      </c>
      <c r="W1" s="106" t="s">
        <v>37</v>
      </c>
      <c r="X1" s="107" t="s">
        <v>272</v>
      </c>
      <c r="Y1" s="108" t="s">
        <v>273</v>
      </c>
      <c r="Z1" s="108" t="s">
        <v>738</v>
      </c>
      <c r="AA1" s="109" t="s">
        <v>274</v>
      </c>
      <c r="AB1" s="106" t="s">
        <v>275</v>
      </c>
      <c r="AC1" s="106" t="s">
        <v>276</v>
      </c>
      <c r="AD1" s="106" t="s">
        <v>277</v>
      </c>
      <c r="AE1" s="106" t="s">
        <v>278</v>
      </c>
      <c r="AF1" s="105" t="s">
        <v>279</v>
      </c>
      <c r="AG1" s="105" t="s">
        <v>280</v>
      </c>
      <c r="AH1" s="105" t="s">
        <v>281</v>
      </c>
      <c r="AI1" s="105" t="s">
        <v>282</v>
      </c>
      <c r="AJ1" s="105" t="s">
        <v>283</v>
      </c>
      <c r="AK1" s="105" t="s">
        <v>284</v>
      </c>
      <c r="AL1" s="105" t="s">
        <v>285</v>
      </c>
      <c r="AM1" s="105" t="s">
        <v>286</v>
      </c>
      <c r="AN1" s="105" t="s">
        <v>287</v>
      </c>
      <c r="AO1" s="110" t="s">
        <v>739</v>
      </c>
      <c r="AP1" s="111" t="s">
        <v>289</v>
      </c>
      <c r="AQ1" s="111" t="s">
        <v>290</v>
      </c>
      <c r="AR1" s="111" t="s">
        <v>291</v>
      </c>
      <c r="AS1" s="111" t="s">
        <v>292</v>
      </c>
      <c r="AT1" s="112" t="s">
        <v>293</v>
      </c>
      <c r="AU1" s="112" t="s">
        <v>294</v>
      </c>
      <c r="AV1" s="112" t="s">
        <v>295</v>
      </c>
      <c r="AW1" s="112" t="s">
        <v>296</v>
      </c>
      <c r="AX1" s="112" t="s">
        <v>297</v>
      </c>
      <c r="AY1" s="112" t="s">
        <v>298</v>
      </c>
      <c r="AZ1" s="112" t="s">
        <v>299</v>
      </c>
      <c r="BA1" s="112" t="s">
        <v>300</v>
      </c>
      <c r="BB1" s="113" t="s">
        <v>301</v>
      </c>
      <c r="BC1" s="114" t="s">
        <v>315</v>
      </c>
    </row>
    <row r="2" spans="1:55">
      <c r="A2" s="115" t="s">
        <v>740</v>
      </c>
      <c r="B2" s="115" t="s">
        <v>741</v>
      </c>
      <c r="C2" s="115"/>
      <c r="D2" s="10" t="s">
        <v>742</v>
      </c>
      <c r="E2" s="7" t="s">
        <v>743</v>
      </c>
      <c r="F2" s="116" t="s">
        <v>335</v>
      </c>
      <c r="G2" s="116" t="s">
        <v>25</v>
      </c>
      <c r="H2" s="117"/>
      <c r="I2" s="117"/>
      <c r="J2" s="115"/>
      <c r="K2" s="116"/>
      <c r="L2" s="115" t="s">
        <v>252</v>
      </c>
      <c r="M2" s="115" t="s">
        <v>16</v>
      </c>
      <c r="N2" s="115" t="s">
        <v>16</v>
      </c>
      <c r="O2" s="115" t="s">
        <v>26</v>
      </c>
      <c r="P2" s="115" t="s">
        <v>326</v>
      </c>
      <c r="Q2" s="115" t="s">
        <v>327</v>
      </c>
      <c r="R2" s="115" t="s">
        <v>327</v>
      </c>
      <c r="S2" s="115"/>
      <c r="T2" s="118"/>
      <c r="U2" s="119"/>
      <c r="V2" s="119">
        <v>-2002970</v>
      </c>
      <c r="W2" s="119">
        <f t="shared" ref="W2" si="0">AO2+IF(ISBLANK(AP2),AB2,AP2)+IF(ISBLANK(AQ2),AC2,AQ2)+IF(ISBLANK(AR2),AD2,AR2)+IF(ISBLANK(AS2),AE2,AS2)</f>
        <v>-2002970.0000000002</v>
      </c>
      <c r="X2" s="119">
        <f>IF(V2 &gt;= W2, V2 - W2, 0)*-1</f>
        <v>-2.3283064365386963E-10</v>
      </c>
      <c r="Y2" s="119">
        <f t="shared" ref="Y2" si="1">IF(W2 &gt; V2, W2 - V2, 0)</f>
        <v>0</v>
      </c>
      <c r="Z2" s="119">
        <f>SUM(X2:Y2)</f>
        <v>-2.3283064365386963E-10</v>
      </c>
      <c r="AA2" s="116"/>
      <c r="AB2" s="46">
        <f t="shared" ref="AB2:AM2" si="2">(2002970/12)*-1</f>
        <v>-166914.16666666666</v>
      </c>
      <c r="AC2" s="46">
        <f t="shared" si="2"/>
        <v>-166914.16666666666</v>
      </c>
      <c r="AD2" s="46">
        <f t="shared" si="2"/>
        <v>-166914.16666666666</v>
      </c>
      <c r="AE2" s="46">
        <f t="shared" si="2"/>
        <v>-166914.16666666666</v>
      </c>
      <c r="AF2" s="46">
        <f t="shared" si="2"/>
        <v>-166914.16666666666</v>
      </c>
      <c r="AG2" s="46">
        <f t="shared" si="2"/>
        <v>-166914.16666666666</v>
      </c>
      <c r="AH2" s="46">
        <f t="shared" si="2"/>
        <v>-166914.16666666666</v>
      </c>
      <c r="AI2" s="46">
        <f t="shared" si="2"/>
        <v>-166914.16666666666</v>
      </c>
      <c r="AJ2" s="46">
        <f t="shared" si="2"/>
        <v>-166914.16666666666</v>
      </c>
      <c r="AK2" s="46">
        <f t="shared" si="2"/>
        <v>-166914.16666666666</v>
      </c>
      <c r="AL2" s="46">
        <f t="shared" si="2"/>
        <v>-166914.16666666666</v>
      </c>
      <c r="AM2" s="46">
        <f t="shared" si="2"/>
        <v>-166914.16666666666</v>
      </c>
      <c r="AN2" s="46">
        <f>SUM(AB2:AM2)</f>
        <v>-2002970.0000000002</v>
      </c>
      <c r="AO2" s="119">
        <f>SUM(AF2:AM2)</f>
        <v>-1335313.3333333333</v>
      </c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120">
        <f>SUM(AP2:BA2)</f>
        <v>0</v>
      </c>
      <c r="BC2" s="121"/>
    </row>
    <row r="3" spans="1:55">
      <c r="A3" s="115" t="s">
        <v>320</v>
      </c>
      <c r="B3" s="115" t="s">
        <v>744</v>
      </c>
      <c r="C3" s="115"/>
      <c r="D3" s="10" t="s">
        <v>742</v>
      </c>
      <c r="E3" s="7" t="s">
        <v>743</v>
      </c>
      <c r="F3" s="116" t="s">
        <v>335</v>
      </c>
      <c r="G3" s="116" t="s">
        <v>25</v>
      </c>
      <c r="H3" s="117">
        <v>46111</v>
      </c>
      <c r="I3" s="117">
        <v>46252</v>
      </c>
      <c r="J3" s="115"/>
      <c r="K3" s="116"/>
      <c r="L3" s="115" t="s">
        <v>252</v>
      </c>
      <c r="M3" s="115" t="s">
        <v>16</v>
      </c>
      <c r="N3" s="115" t="s">
        <v>412</v>
      </c>
      <c r="O3" s="115" t="s">
        <v>745</v>
      </c>
      <c r="P3" s="115" t="s">
        <v>326</v>
      </c>
      <c r="Q3" s="115" t="s">
        <v>327</v>
      </c>
      <c r="R3" s="115" t="s">
        <v>327</v>
      </c>
      <c r="S3" s="115" t="s">
        <v>745</v>
      </c>
      <c r="T3" s="122">
        <v>0</v>
      </c>
      <c r="U3" s="122">
        <v>0</v>
      </c>
      <c r="V3" s="119">
        <v>1096541</v>
      </c>
      <c r="W3" s="119">
        <f t="shared" ref="W3:W6" si="3">AO3+IF(ISBLANK(AP3),AB3,AP3)+IF(ISBLANK(AQ3),AC3,AQ3)+IF(ISBLANK(AR3),AD3,AR3)+IF(ISBLANK(AS3),AE3,AS3)</f>
        <v>1108803</v>
      </c>
      <c r="X3" s="119">
        <f t="shared" ref="X3:X6" si="4">IF(V3 &gt;= W3, V3 - W3, 0)*-1</f>
        <v>0</v>
      </c>
      <c r="Y3" s="119">
        <f t="shared" ref="Y3:Y6" si="5">IF(W3 &gt; V3, W3 - V3, 0)</f>
        <v>12262</v>
      </c>
      <c r="Z3" s="119">
        <f t="shared" ref="Z3:Z6" si="6">SUM(X3:Y3)</f>
        <v>12262</v>
      </c>
      <c r="AA3" s="116"/>
      <c r="AB3" s="46"/>
      <c r="AC3" s="46"/>
      <c r="AD3" s="46"/>
      <c r="AE3" s="46">
        <v>198480</v>
      </c>
      <c r="AF3" s="46"/>
      <c r="AG3" s="46"/>
      <c r="AH3" s="46"/>
      <c r="AI3" s="46">
        <v>898061</v>
      </c>
      <c r="AJ3" s="46"/>
      <c r="AK3" s="46"/>
      <c r="AL3" s="46"/>
      <c r="AM3" s="46"/>
      <c r="AN3" s="46">
        <f t="shared" ref="AN3:AN7" si="7">SUM(AB3:AM3)</f>
        <v>1096541</v>
      </c>
      <c r="AO3" s="119">
        <f t="shared" ref="AO3:AO7" si="8">SUM(AF3:AM3)</f>
        <v>898061</v>
      </c>
      <c r="AP3" s="55"/>
      <c r="AQ3" s="55"/>
      <c r="AR3" s="55">
        <v>15750</v>
      </c>
      <c r="AS3" s="55">
        <v>194992</v>
      </c>
      <c r="AT3" s="55">
        <f>193728.63+9610.73</f>
        <v>203339.36000000002</v>
      </c>
      <c r="AU3" s="55"/>
      <c r="AV3" s="55"/>
      <c r="AW3" s="55"/>
      <c r="AX3" s="55"/>
      <c r="AY3" s="55"/>
      <c r="AZ3" s="55"/>
      <c r="BA3" s="55"/>
      <c r="BB3" s="120">
        <f t="shared" ref="BB3:BB8" si="9">SUM(AP3:BA3)</f>
        <v>414081.36</v>
      </c>
      <c r="BC3" s="121" t="s">
        <v>746</v>
      </c>
    </row>
    <row r="4" spans="1:55">
      <c r="A4" s="115" t="s">
        <v>320</v>
      </c>
      <c r="B4" s="115" t="s">
        <v>747</v>
      </c>
      <c r="C4" s="115"/>
      <c r="D4" s="10" t="s">
        <v>742</v>
      </c>
      <c r="E4" s="7" t="s">
        <v>743</v>
      </c>
      <c r="F4" s="116" t="s">
        <v>335</v>
      </c>
      <c r="G4" s="116" t="s">
        <v>25</v>
      </c>
      <c r="H4" s="117">
        <v>46083</v>
      </c>
      <c r="I4" s="117">
        <v>46129</v>
      </c>
      <c r="J4" s="115"/>
      <c r="K4" s="116"/>
      <c r="L4" s="115" t="s">
        <v>252</v>
      </c>
      <c r="M4" s="115" t="s">
        <v>16</v>
      </c>
      <c r="N4" s="115" t="s">
        <v>748</v>
      </c>
      <c r="O4" s="115" t="s">
        <v>749</v>
      </c>
      <c r="P4" s="115" t="s">
        <v>326</v>
      </c>
      <c r="Q4" s="115" t="s">
        <v>327</v>
      </c>
      <c r="R4" s="115" t="s">
        <v>327</v>
      </c>
      <c r="S4" s="115" t="s">
        <v>10</v>
      </c>
      <c r="T4" s="122">
        <v>0</v>
      </c>
      <c r="U4" s="122">
        <v>0</v>
      </c>
      <c r="V4" s="119">
        <v>84400</v>
      </c>
      <c r="W4" s="119">
        <f t="shared" si="3"/>
        <v>0</v>
      </c>
      <c r="X4" s="119">
        <f t="shared" si="4"/>
        <v>-84400</v>
      </c>
      <c r="Y4" s="119">
        <f t="shared" si="5"/>
        <v>0</v>
      </c>
      <c r="Z4" s="119">
        <f t="shared" si="6"/>
        <v>-84400</v>
      </c>
      <c r="AA4" s="116" t="s">
        <v>750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>
        <f t="shared" si="7"/>
        <v>0</v>
      </c>
      <c r="AO4" s="119">
        <f t="shared" si="8"/>
        <v>0</v>
      </c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120">
        <f t="shared" si="9"/>
        <v>0</v>
      </c>
      <c r="BC4" s="121"/>
    </row>
    <row r="5" spans="1:55">
      <c r="A5" s="115" t="s">
        <v>320</v>
      </c>
      <c r="B5" s="115" t="s">
        <v>751</v>
      </c>
      <c r="C5" s="115" t="s">
        <v>752</v>
      </c>
      <c r="D5" s="10" t="s">
        <v>742</v>
      </c>
      <c r="E5" s="7" t="s">
        <v>743</v>
      </c>
      <c r="F5" s="116" t="s">
        <v>335</v>
      </c>
      <c r="G5" s="116" t="s">
        <v>25</v>
      </c>
      <c r="H5" s="117">
        <v>46155</v>
      </c>
      <c r="I5" s="117">
        <v>47374</v>
      </c>
      <c r="J5" s="115"/>
      <c r="K5" s="116"/>
      <c r="L5" s="115" t="s">
        <v>252</v>
      </c>
      <c r="M5" s="115" t="s">
        <v>16</v>
      </c>
      <c r="N5" s="115" t="s">
        <v>393</v>
      </c>
      <c r="O5" s="115" t="s">
        <v>436</v>
      </c>
      <c r="P5" s="115" t="s">
        <v>326</v>
      </c>
      <c r="Q5" s="115" t="s">
        <v>327</v>
      </c>
      <c r="R5" s="115" t="s">
        <v>327</v>
      </c>
      <c r="S5" s="115" t="s">
        <v>753</v>
      </c>
      <c r="T5" s="122">
        <v>0</v>
      </c>
      <c r="U5" s="122">
        <v>0</v>
      </c>
      <c r="V5" s="119">
        <f>183812</f>
        <v>183812</v>
      </c>
      <c r="W5" s="119">
        <f t="shared" si="3"/>
        <v>183812</v>
      </c>
      <c r="X5" s="119">
        <f t="shared" si="4"/>
        <v>0</v>
      </c>
      <c r="Y5" s="119">
        <f t="shared" si="5"/>
        <v>0</v>
      </c>
      <c r="Z5" s="119">
        <f t="shared" si="6"/>
        <v>0</v>
      </c>
      <c r="AA5" s="116" t="s">
        <v>754</v>
      </c>
      <c r="AB5" s="46"/>
      <c r="AC5" s="46"/>
      <c r="AD5" s="46"/>
      <c r="AE5" s="46"/>
      <c r="AF5" s="46"/>
      <c r="AG5" s="46"/>
      <c r="AH5" s="46"/>
      <c r="AI5" s="46"/>
      <c r="AJ5" s="46">
        <f>183812</f>
        <v>183812</v>
      </c>
      <c r="AK5" s="46"/>
      <c r="AL5" s="46"/>
      <c r="AM5" s="46"/>
      <c r="AN5" s="46">
        <f t="shared" si="7"/>
        <v>183812</v>
      </c>
      <c r="AO5" s="119">
        <f t="shared" si="8"/>
        <v>183812</v>
      </c>
      <c r="AP5" s="55"/>
      <c r="AQ5" s="55"/>
      <c r="AR5" s="55"/>
      <c r="AS5" s="55"/>
      <c r="AT5" s="55"/>
      <c r="AU5" s="55"/>
      <c r="AV5" s="55"/>
      <c r="AW5" s="55"/>
      <c r="AX5" s="55">
        <v>183812</v>
      </c>
      <c r="AY5" s="55"/>
      <c r="AZ5" s="55"/>
      <c r="BA5" s="55"/>
      <c r="BB5" s="120">
        <f t="shared" si="9"/>
        <v>183812</v>
      </c>
      <c r="BC5" s="121" t="s">
        <v>755</v>
      </c>
    </row>
    <row r="6" spans="1:55">
      <c r="A6" s="115" t="s">
        <v>320</v>
      </c>
      <c r="B6" s="115" t="s">
        <v>756</v>
      </c>
      <c r="C6" s="115"/>
      <c r="D6" s="10" t="s">
        <v>742</v>
      </c>
      <c r="E6" s="7" t="s">
        <v>743</v>
      </c>
      <c r="F6" s="116" t="s">
        <v>335</v>
      </c>
      <c r="G6" s="116" t="s">
        <v>25</v>
      </c>
      <c r="H6" s="117">
        <v>46174</v>
      </c>
      <c r="I6" s="117">
        <v>47269</v>
      </c>
      <c r="J6" s="115"/>
      <c r="K6" s="116"/>
      <c r="L6" s="115" t="s">
        <v>252</v>
      </c>
      <c r="M6" s="115" t="s">
        <v>16</v>
      </c>
      <c r="N6" s="115" t="s">
        <v>393</v>
      </c>
      <c r="O6" s="115" t="s">
        <v>757</v>
      </c>
      <c r="P6" s="115" t="s">
        <v>326</v>
      </c>
      <c r="Q6" s="115" t="s">
        <v>327</v>
      </c>
      <c r="R6" s="115" t="s">
        <v>327</v>
      </c>
      <c r="S6" s="115"/>
      <c r="T6" s="122">
        <v>0</v>
      </c>
      <c r="U6" s="122">
        <v>0</v>
      </c>
      <c r="V6" s="119">
        <v>240000</v>
      </c>
      <c r="W6" s="119">
        <f t="shared" si="3"/>
        <v>240000</v>
      </c>
      <c r="X6" s="119">
        <f t="shared" si="4"/>
        <v>0</v>
      </c>
      <c r="Y6" s="119">
        <f t="shared" si="5"/>
        <v>0</v>
      </c>
      <c r="Z6" s="119">
        <f t="shared" si="6"/>
        <v>0</v>
      </c>
      <c r="AA6" s="116" t="s">
        <v>758</v>
      </c>
      <c r="AB6" s="46"/>
      <c r="AC6" s="46"/>
      <c r="AD6" s="46"/>
      <c r="AE6" s="46"/>
      <c r="AF6" s="46"/>
      <c r="AG6" s="46">
        <v>40000</v>
      </c>
      <c r="AH6" s="46"/>
      <c r="AI6" s="46"/>
      <c r="AJ6" s="46"/>
      <c r="AK6" s="46">
        <v>200000</v>
      </c>
      <c r="AL6" s="46"/>
      <c r="AM6" s="46"/>
      <c r="AN6" s="46">
        <f t="shared" si="7"/>
        <v>240000</v>
      </c>
      <c r="AO6" s="119">
        <f t="shared" si="8"/>
        <v>240000</v>
      </c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120">
        <f t="shared" si="9"/>
        <v>0</v>
      </c>
      <c r="BC6" s="121" t="s">
        <v>759</v>
      </c>
    </row>
    <row r="7" spans="1:55">
      <c r="A7" s="115" t="s">
        <v>320</v>
      </c>
      <c r="B7" s="115" t="s">
        <v>760</v>
      </c>
      <c r="C7" s="115"/>
      <c r="D7" s="10" t="s">
        <v>742</v>
      </c>
      <c r="E7" s="7" t="s">
        <v>743</v>
      </c>
      <c r="F7" s="116" t="s">
        <v>335</v>
      </c>
      <c r="G7" s="116" t="s">
        <v>25</v>
      </c>
      <c r="H7" s="117">
        <v>46143</v>
      </c>
      <c r="I7" s="117">
        <v>46234</v>
      </c>
      <c r="J7" s="115"/>
      <c r="K7" s="116"/>
      <c r="L7" s="115" t="s">
        <v>252</v>
      </c>
      <c r="M7" s="115" t="s">
        <v>16</v>
      </c>
      <c r="N7" s="115" t="s">
        <v>393</v>
      </c>
      <c r="O7" s="115" t="s">
        <v>393</v>
      </c>
      <c r="P7" s="115" t="s">
        <v>326</v>
      </c>
      <c r="Q7" s="115" t="s">
        <v>327</v>
      </c>
      <c r="R7" s="115" t="s">
        <v>327</v>
      </c>
      <c r="S7" s="115" t="s">
        <v>761</v>
      </c>
      <c r="T7" s="122">
        <v>0</v>
      </c>
      <c r="U7" s="122">
        <v>0</v>
      </c>
      <c r="V7" s="119">
        <v>2828.06</v>
      </c>
      <c r="W7" s="119">
        <f t="shared" ref="W7" si="10">AO7+IF(ISBLANK(AP7),AB7,AP7)+IF(ISBLANK(AQ7),AC7,AQ7)+IF(ISBLANK(AR7),AD7,AR7)+IF(ISBLANK(AS7),AE7,AS7)</f>
        <v>2828.06</v>
      </c>
      <c r="X7" s="119">
        <f t="shared" ref="X7" si="11">IF(V7 &gt;= W7, V7 - W7, 0)*-1</f>
        <v>0</v>
      </c>
      <c r="Y7" s="119">
        <f t="shared" ref="Y7" si="12">IF(W7 &gt; V7, W7 - V7, 0)</f>
        <v>0</v>
      </c>
      <c r="Z7" s="119">
        <f t="shared" ref="Z7" si="13">SUM(X7:Y7)</f>
        <v>0</v>
      </c>
      <c r="AA7" s="116" t="s">
        <v>762</v>
      </c>
      <c r="AB7" s="46"/>
      <c r="AC7" s="46"/>
      <c r="AD7" s="46"/>
      <c r="AE7" s="46"/>
      <c r="AF7" s="46">
        <v>2828.06</v>
      </c>
      <c r="AG7" s="46"/>
      <c r="AH7" s="46"/>
      <c r="AI7" s="46"/>
      <c r="AJ7" s="46"/>
      <c r="AK7" s="46"/>
      <c r="AL7" s="46"/>
      <c r="AM7" s="46"/>
      <c r="AN7" s="46">
        <f t="shared" si="7"/>
        <v>2828.06</v>
      </c>
      <c r="AO7" s="119">
        <f t="shared" si="8"/>
        <v>2828.06</v>
      </c>
      <c r="AP7" s="55"/>
      <c r="AQ7" s="55"/>
      <c r="AR7" s="55"/>
      <c r="AS7" s="55"/>
      <c r="AT7" s="55">
        <v>2913.55</v>
      </c>
      <c r="AU7" s="55"/>
      <c r="AV7" s="55"/>
      <c r="AW7" s="55"/>
      <c r="AX7" s="55"/>
      <c r="AY7" s="55"/>
      <c r="AZ7" s="55"/>
      <c r="BA7" s="55"/>
      <c r="BB7" s="120">
        <f t="shared" si="9"/>
        <v>2913.55</v>
      </c>
      <c r="BC7" s="121"/>
    </row>
    <row r="8" spans="1:55">
      <c r="A8" s="115" t="s">
        <v>320</v>
      </c>
      <c r="B8" s="115" t="s">
        <v>763</v>
      </c>
      <c r="C8" s="115" t="s">
        <v>764</v>
      </c>
      <c r="D8" s="10" t="s">
        <v>742</v>
      </c>
      <c r="E8" s="7" t="s">
        <v>743</v>
      </c>
      <c r="F8" s="116" t="s">
        <v>335</v>
      </c>
      <c r="G8" s="116" t="s">
        <v>25</v>
      </c>
      <c r="H8" s="117"/>
      <c r="I8" s="117"/>
      <c r="J8" s="115"/>
      <c r="K8" s="116"/>
      <c r="L8" s="115" t="s">
        <v>252</v>
      </c>
      <c r="M8" s="115" t="s">
        <v>16</v>
      </c>
      <c r="N8" s="115"/>
      <c r="O8" s="115"/>
      <c r="P8" s="115" t="s">
        <v>326</v>
      </c>
      <c r="Q8" s="115" t="s">
        <v>327</v>
      </c>
      <c r="R8" s="115" t="s">
        <v>327</v>
      </c>
      <c r="S8" s="115"/>
      <c r="T8" s="122">
        <v>0</v>
      </c>
      <c r="U8" s="122">
        <v>0</v>
      </c>
      <c r="V8" s="119"/>
      <c r="W8" s="119"/>
      <c r="X8" s="119"/>
      <c r="Y8" s="119"/>
      <c r="Z8" s="119"/>
      <c r="AA8" s="116" t="s">
        <v>765</v>
      </c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>
        <f t="shared" ref="AN8" si="14">SUM(AB8:AM8)</f>
        <v>0</v>
      </c>
      <c r="AO8" s="119">
        <f t="shared" ref="AO8" si="15">SUM(AF8:AM8)</f>
        <v>0</v>
      </c>
      <c r="AP8" s="55"/>
      <c r="AQ8" s="55"/>
      <c r="AR8" s="55">
        <f>575+5920</f>
        <v>6495</v>
      </c>
      <c r="AS8" s="55"/>
      <c r="AT8" s="55">
        <v>2300</v>
      </c>
      <c r="AU8" s="55">
        <f>1150+1776.77</f>
        <v>2926.77</v>
      </c>
      <c r="AV8" s="55">
        <f>23566.93/12</f>
        <v>1963.9108333333334</v>
      </c>
      <c r="AW8" s="55">
        <f t="shared" ref="AW8:BA8" si="16">23566.93/12</f>
        <v>1963.9108333333334</v>
      </c>
      <c r="AX8" s="55">
        <f t="shared" si="16"/>
        <v>1963.9108333333334</v>
      </c>
      <c r="AY8" s="55">
        <f t="shared" si="16"/>
        <v>1963.9108333333334</v>
      </c>
      <c r="AZ8" s="55">
        <f t="shared" si="16"/>
        <v>1963.9108333333334</v>
      </c>
      <c r="BA8" s="55">
        <f t="shared" si="16"/>
        <v>1963.9108333333334</v>
      </c>
      <c r="BB8" s="120">
        <f t="shared" si="9"/>
        <v>23505.235000000008</v>
      </c>
      <c r="BC8" s="121"/>
    </row>
    <row r="10" spans="1:55" s="123" customFormat="1">
      <c r="U10" s="123" t="s">
        <v>766</v>
      </c>
      <c r="V10" s="124">
        <f>SUM(V2:V8)</f>
        <v>-395388.94</v>
      </c>
      <c r="W10" s="124">
        <f t="shared" ref="W10:BB10" si="17">SUM(W2:W8)</f>
        <v>-467526.94000000024</v>
      </c>
      <c r="X10" s="124">
        <f t="shared" si="17"/>
        <v>-84400.000000000233</v>
      </c>
      <c r="Y10" s="124">
        <f t="shared" si="17"/>
        <v>12262</v>
      </c>
      <c r="Z10" s="124">
        <f t="shared" si="17"/>
        <v>-72138.000000000233</v>
      </c>
      <c r="AA10" s="124"/>
      <c r="AB10" s="124">
        <f t="shared" si="17"/>
        <v>-166914.16666666666</v>
      </c>
      <c r="AC10" s="124">
        <f t="shared" si="17"/>
        <v>-166914.16666666666</v>
      </c>
      <c r="AD10" s="124">
        <f t="shared" si="17"/>
        <v>-166914.16666666666</v>
      </c>
      <c r="AE10" s="124">
        <f t="shared" si="17"/>
        <v>31565.833333333343</v>
      </c>
      <c r="AF10" s="124">
        <f t="shared" si="17"/>
        <v>-164086.10666666666</v>
      </c>
      <c r="AG10" s="124">
        <f t="shared" si="17"/>
        <v>-126914.16666666666</v>
      </c>
      <c r="AH10" s="124">
        <f t="shared" si="17"/>
        <v>-166914.16666666666</v>
      </c>
      <c r="AI10" s="124">
        <f t="shared" si="17"/>
        <v>731146.83333333337</v>
      </c>
      <c r="AJ10" s="124">
        <f t="shared" si="17"/>
        <v>16897.833333333343</v>
      </c>
      <c r="AK10" s="124">
        <f t="shared" si="17"/>
        <v>33085.833333333343</v>
      </c>
      <c r="AL10" s="124">
        <f t="shared" si="17"/>
        <v>-166914.16666666666</v>
      </c>
      <c r="AM10" s="124">
        <f t="shared" si="17"/>
        <v>-166914.16666666666</v>
      </c>
      <c r="AN10" s="124">
        <f t="shared" si="17"/>
        <v>-479788.94000000024</v>
      </c>
      <c r="AO10" s="124">
        <f t="shared" si="17"/>
        <v>-10612.273333333256</v>
      </c>
      <c r="AP10" s="124">
        <f t="shared" si="17"/>
        <v>0</v>
      </c>
      <c r="AQ10" s="124">
        <f t="shared" si="17"/>
        <v>0</v>
      </c>
      <c r="AR10" s="124">
        <f t="shared" si="17"/>
        <v>22245</v>
      </c>
      <c r="AS10" s="124">
        <f t="shared" si="17"/>
        <v>194992</v>
      </c>
      <c r="AT10" s="124">
        <f t="shared" si="17"/>
        <v>208552.91</v>
      </c>
      <c r="AU10" s="124">
        <f t="shared" si="17"/>
        <v>2926.77</v>
      </c>
      <c r="AV10" s="124">
        <f t="shared" si="17"/>
        <v>1963.9108333333334</v>
      </c>
      <c r="AW10" s="124">
        <f t="shared" si="17"/>
        <v>1963.9108333333334</v>
      </c>
      <c r="AX10" s="124">
        <f t="shared" si="17"/>
        <v>185775.91083333333</v>
      </c>
      <c r="AY10" s="124">
        <f t="shared" si="17"/>
        <v>1963.9108333333334</v>
      </c>
      <c r="AZ10" s="124">
        <f t="shared" si="17"/>
        <v>1963.9108333333334</v>
      </c>
      <c r="BA10" s="124">
        <f t="shared" si="17"/>
        <v>1963.9108333333334</v>
      </c>
      <c r="BB10" s="124">
        <f t="shared" si="17"/>
        <v>624312.14500000002</v>
      </c>
    </row>
  </sheetData>
  <conditionalFormatting sqref="Y1:Z8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X93"/>
  <sheetViews>
    <sheetView workbookViewId="0">
      <pane xSplit="1" ySplit="2" topLeftCell="O3" activePane="bottomRight" state="frozen"/>
      <selection pane="bottomRight" activeCell="U9" sqref="U9"/>
      <selection pane="bottomLeft" activeCell="A3" sqref="A3"/>
      <selection pane="topRight" activeCell="B1" sqref="B1"/>
    </sheetView>
  </sheetViews>
  <sheetFormatPr defaultRowHeight="14.45"/>
  <cols>
    <col min="1" max="1" width="21" bestFit="1" customWidth="1"/>
    <col min="2" max="2" width="36.7109375" bestFit="1" customWidth="1"/>
    <col min="3" max="3" width="23.85546875" bestFit="1" customWidth="1"/>
    <col min="4" max="4" width="21.7109375" bestFit="1" customWidth="1"/>
    <col min="5" max="5" width="22.85546875" bestFit="1" customWidth="1"/>
    <col min="6" max="6" width="30.7109375" bestFit="1" customWidth="1"/>
    <col min="7" max="7" width="29.42578125" bestFit="1" customWidth="1"/>
    <col min="8" max="8" width="13.42578125" hidden="1" customWidth="1"/>
    <col min="9" max="9" width="15.5703125" hidden="1" customWidth="1"/>
    <col min="10" max="10" width="11.42578125" hidden="1" customWidth="1"/>
    <col min="11" max="11" width="26.28515625" bestFit="1" customWidth="1"/>
    <col min="12" max="13" width="21.7109375" bestFit="1" customWidth="1"/>
    <col min="14" max="14" width="25" bestFit="1" customWidth="1"/>
    <col min="15" max="15" width="26" bestFit="1" customWidth="1"/>
    <col min="16" max="16" width="26.28515625" bestFit="1" customWidth="1"/>
    <col min="17" max="17" width="21.85546875" bestFit="1" customWidth="1"/>
    <col min="18" max="18" width="26.42578125" bestFit="1" customWidth="1"/>
    <col min="19" max="19" width="25" bestFit="1" customWidth="1"/>
    <col min="20" max="20" width="26" bestFit="1" customWidth="1"/>
    <col min="21" max="21" width="26.28515625" bestFit="1" customWidth="1"/>
  </cols>
  <sheetData>
    <row r="1" spans="1:24">
      <c r="A1" s="8" t="s">
        <v>18</v>
      </c>
      <c r="B1" t="s">
        <v>1</v>
      </c>
    </row>
    <row r="2" spans="1:24" ht="15" thickBot="1">
      <c r="A2" s="8" t="s">
        <v>33</v>
      </c>
      <c r="B2" t="s">
        <v>767</v>
      </c>
    </row>
    <row r="3" spans="1:24">
      <c r="N3" s="188" t="s">
        <v>768</v>
      </c>
      <c r="O3" s="188" t="s">
        <v>769</v>
      </c>
      <c r="P3" s="189" t="s">
        <v>20</v>
      </c>
      <c r="Q3" s="188" t="s">
        <v>696</v>
      </c>
      <c r="R3" s="189">
        <v>210</v>
      </c>
      <c r="S3" s="189">
        <v>136</v>
      </c>
      <c r="T3" s="189">
        <v>28560</v>
      </c>
      <c r="U3" s="189">
        <v>28560</v>
      </c>
      <c r="V3" s="189">
        <v>136</v>
      </c>
      <c r="W3" s="189">
        <v>26655627</v>
      </c>
      <c r="X3" s="190">
        <v>0</v>
      </c>
    </row>
    <row r="4" spans="1:24">
      <c r="C4" s="8" t="s">
        <v>29</v>
      </c>
      <c r="N4" s="188" t="s">
        <v>768</v>
      </c>
      <c r="O4" s="188" t="s">
        <v>769</v>
      </c>
      <c r="P4" s="191" t="s">
        <v>20</v>
      </c>
      <c r="Q4" s="188" t="s">
        <v>687</v>
      </c>
      <c r="R4" s="191">
        <v>210</v>
      </c>
      <c r="S4" s="191">
        <v>32</v>
      </c>
      <c r="T4" s="191">
        <v>6720</v>
      </c>
      <c r="U4" s="191">
        <v>6720</v>
      </c>
      <c r="V4" s="191">
        <v>32</v>
      </c>
      <c r="W4" s="191">
        <v>26655627</v>
      </c>
      <c r="X4" s="192">
        <v>0</v>
      </c>
    </row>
    <row r="5" spans="1:24">
      <c r="A5" s="8" t="s">
        <v>257</v>
      </c>
      <c r="B5" s="8" t="s">
        <v>256</v>
      </c>
      <c r="C5" t="s">
        <v>5</v>
      </c>
      <c r="D5" t="s">
        <v>249</v>
      </c>
      <c r="E5" t="s">
        <v>250</v>
      </c>
      <c r="F5" t="s">
        <v>6</v>
      </c>
      <c r="G5" t="s">
        <v>9</v>
      </c>
      <c r="H5" s="169"/>
      <c r="I5" s="184"/>
      <c r="N5" s="188" t="s">
        <v>768</v>
      </c>
      <c r="O5" s="188" t="s">
        <v>770</v>
      </c>
      <c r="P5" s="191" t="s">
        <v>23</v>
      </c>
      <c r="Q5" s="188" t="s">
        <v>676</v>
      </c>
      <c r="R5" s="191">
        <v>120</v>
      </c>
      <c r="S5" s="191">
        <v>166</v>
      </c>
      <c r="T5" s="191">
        <v>19920</v>
      </c>
      <c r="U5" s="191">
        <v>19920</v>
      </c>
      <c r="V5" s="191">
        <v>166</v>
      </c>
      <c r="W5" s="191">
        <v>26655627</v>
      </c>
      <c r="X5" s="192">
        <v>0</v>
      </c>
    </row>
    <row r="6" spans="1:24">
      <c r="A6" t="s">
        <v>629</v>
      </c>
      <c r="B6" t="s">
        <v>771</v>
      </c>
      <c r="C6" s="131">
        <v>1441947</v>
      </c>
      <c r="D6" s="131">
        <v>720973.30500000017</v>
      </c>
      <c r="E6" s="131">
        <v>720973.30500000017</v>
      </c>
      <c r="F6" s="131">
        <v>1441946.6100000003</v>
      </c>
      <c r="G6" s="131">
        <v>-0.38999999966472387</v>
      </c>
      <c r="H6" s="169"/>
      <c r="I6" s="184"/>
      <c r="N6" s="188" t="s">
        <v>768</v>
      </c>
      <c r="O6" s="188" t="s">
        <v>772</v>
      </c>
      <c r="P6" s="191" t="s">
        <v>23</v>
      </c>
      <c r="Q6" s="188" t="s">
        <v>773</v>
      </c>
      <c r="R6" s="191">
        <v>150</v>
      </c>
      <c r="S6" s="191">
        <v>63</v>
      </c>
      <c r="T6" s="191">
        <v>9450</v>
      </c>
      <c r="U6" s="191">
        <v>9450</v>
      </c>
      <c r="V6" s="191">
        <v>63</v>
      </c>
      <c r="W6" s="191">
        <v>26655627</v>
      </c>
      <c r="X6" s="192">
        <v>0</v>
      </c>
    </row>
    <row r="7" spans="1:24">
      <c r="A7" t="s">
        <v>684</v>
      </c>
      <c r="B7" t="s">
        <v>602</v>
      </c>
      <c r="C7" s="131">
        <v>0</v>
      </c>
      <c r="D7" s="131">
        <v>0</v>
      </c>
      <c r="E7" s="131">
        <v>0</v>
      </c>
      <c r="F7" s="131">
        <v>0</v>
      </c>
      <c r="G7" s="131">
        <v>0</v>
      </c>
      <c r="H7" s="169"/>
      <c r="I7" s="184"/>
      <c r="N7" s="188" t="s">
        <v>768</v>
      </c>
      <c r="O7" s="188" t="s">
        <v>772</v>
      </c>
      <c r="P7" s="191" t="s">
        <v>23</v>
      </c>
      <c r="Q7" s="188" t="s">
        <v>774</v>
      </c>
      <c r="R7" s="191">
        <v>150</v>
      </c>
      <c r="S7" s="191">
        <v>63</v>
      </c>
      <c r="T7" s="191">
        <v>9450</v>
      </c>
      <c r="U7" s="191">
        <v>9450</v>
      </c>
      <c r="V7" s="191">
        <v>63</v>
      </c>
      <c r="W7" s="191">
        <v>26655627</v>
      </c>
      <c r="X7" s="192">
        <v>0</v>
      </c>
    </row>
    <row r="8" spans="1:24">
      <c r="A8" t="s">
        <v>662</v>
      </c>
      <c r="B8" t="s">
        <v>771</v>
      </c>
      <c r="C8" s="131">
        <v>160000</v>
      </c>
      <c r="D8" s="131">
        <v>75000</v>
      </c>
      <c r="E8" s="131">
        <v>85000</v>
      </c>
      <c r="F8" s="131">
        <v>160000</v>
      </c>
      <c r="G8" s="131">
        <v>0</v>
      </c>
      <c r="H8" s="169"/>
      <c r="I8" s="131"/>
      <c r="N8" s="188" t="s">
        <v>768</v>
      </c>
      <c r="O8" s="188" t="s">
        <v>772</v>
      </c>
      <c r="P8" s="191" t="s">
        <v>23</v>
      </c>
      <c r="Q8" s="188" t="s">
        <v>665</v>
      </c>
      <c r="R8" s="191">
        <v>150</v>
      </c>
      <c r="S8" s="191">
        <v>42</v>
      </c>
      <c r="T8" s="191">
        <v>6300</v>
      </c>
      <c r="U8" s="191">
        <v>6300</v>
      </c>
      <c r="V8" s="191">
        <v>42</v>
      </c>
      <c r="W8" s="191">
        <v>26655627</v>
      </c>
      <c r="X8" s="192">
        <v>0</v>
      </c>
    </row>
    <row r="9" spans="1:24" ht="15" thickBot="1">
      <c r="A9" t="s">
        <v>333</v>
      </c>
      <c r="B9" t="s">
        <v>571</v>
      </c>
      <c r="C9" s="131">
        <v>32760</v>
      </c>
      <c r="D9" s="131">
        <v>0</v>
      </c>
      <c r="E9" s="131">
        <v>32760</v>
      </c>
      <c r="F9" s="131">
        <v>32760</v>
      </c>
      <c r="G9" s="131">
        <v>0</v>
      </c>
      <c r="H9" s="169"/>
      <c r="I9" s="184"/>
      <c r="N9" s="188" t="s">
        <v>768</v>
      </c>
      <c r="O9" s="188" t="s">
        <v>775</v>
      </c>
      <c r="P9" s="193" t="s">
        <v>25</v>
      </c>
      <c r="Q9" s="188" t="s">
        <v>776</v>
      </c>
      <c r="R9" s="193">
        <v>34</v>
      </c>
      <c r="S9" s="193">
        <v>168</v>
      </c>
      <c r="T9" s="193">
        <v>5712</v>
      </c>
      <c r="U9" s="193">
        <v>5712</v>
      </c>
      <c r="V9" s="193">
        <v>168</v>
      </c>
      <c r="W9" s="193">
        <v>26655627</v>
      </c>
      <c r="X9" s="194">
        <v>0</v>
      </c>
    </row>
    <row r="10" spans="1:24">
      <c r="B10" t="s">
        <v>403</v>
      </c>
      <c r="C10" s="131">
        <v>17099</v>
      </c>
      <c r="D10" s="131">
        <v>0</v>
      </c>
      <c r="E10" s="131">
        <v>17099</v>
      </c>
      <c r="F10" s="131">
        <v>17099</v>
      </c>
      <c r="G10" s="131">
        <v>0</v>
      </c>
      <c r="H10" s="169"/>
      <c r="I10" s="131"/>
    </row>
    <row r="11" spans="1:24">
      <c r="B11" t="s">
        <v>398</v>
      </c>
      <c r="C11" s="131">
        <v>378000</v>
      </c>
      <c r="D11" s="131">
        <v>0</v>
      </c>
      <c r="E11" s="131">
        <v>378000</v>
      </c>
      <c r="F11" s="131">
        <v>378000</v>
      </c>
      <c r="G11" s="131">
        <v>0</v>
      </c>
      <c r="H11" s="169"/>
      <c r="I11" s="184"/>
    </row>
    <row r="12" spans="1:24">
      <c r="B12" t="s">
        <v>574</v>
      </c>
      <c r="C12" s="131">
        <v>8137</v>
      </c>
      <c r="D12" s="131">
        <v>8136.97</v>
      </c>
      <c r="E12" s="131">
        <v>0</v>
      </c>
      <c r="F12" s="131">
        <v>8136.97</v>
      </c>
      <c r="G12" s="131">
        <v>-2.9999999999745341E-2</v>
      </c>
      <c r="U12">
        <f>SUM(U3:U4)</f>
        <v>35280</v>
      </c>
    </row>
    <row r="13" spans="1:24" ht="14.45" customHeight="1" thickBot="1">
      <c r="B13" t="s">
        <v>771</v>
      </c>
      <c r="C13" s="131">
        <v>292</v>
      </c>
      <c r="D13" s="131">
        <v>0</v>
      </c>
      <c r="E13" s="131">
        <v>292</v>
      </c>
      <c r="F13" s="131">
        <v>292</v>
      </c>
      <c r="G13" s="131">
        <v>0</v>
      </c>
      <c r="U13">
        <f>SUM(U5:U8)</f>
        <v>45120</v>
      </c>
    </row>
    <row r="14" spans="1:24" ht="15" thickTop="1">
      <c r="B14" t="s">
        <v>163</v>
      </c>
      <c r="C14" s="131">
        <v>259449</v>
      </c>
      <c r="D14" s="131">
        <v>103095.66</v>
      </c>
      <c r="E14" s="131">
        <v>156353</v>
      </c>
      <c r="F14" s="131">
        <v>259448.65999999997</v>
      </c>
      <c r="G14" s="131">
        <v>-0.34000000002561137</v>
      </c>
    </row>
    <row r="15" spans="1:24">
      <c r="B15" t="s">
        <v>109</v>
      </c>
      <c r="C15" s="131">
        <v>2900</v>
      </c>
      <c r="D15" s="131">
        <v>1956.31</v>
      </c>
      <c r="E15" s="131">
        <v>944</v>
      </c>
      <c r="F15" s="131">
        <v>2900.31</v>
      </c>
      <c r="G15" s="131">
        <v>0.30999999999994543</v>
      </c>
    </row>
    <row r="16" spans="1:24">
      <c r="A16" t="s">
        <v>702</v>
      </c>
      <c r="B16" t="s">
        <v>771</v>
      </c>
      <c r="C16" s="131">
        <v>150000</v>
      </c>
      <c r="D16" s="131">
        <v>0</v>
      </c>
      <c r="E16" s="131">
        <v>150000</v>
      </c>
      <c r="F16" s="131">
        <v>150000</v>
      </c>
      <c r="G16" s="131">
        <v>0</v>
      </c>
    </row>
    <row r="17" spans="1:7">
      <c r="A17" t="s">
        <v>364</v>
      </c>
      <c r="B17" t="s">
        <v>493</v>
      </c>
      <c r="C17" s="131">
        <v>238897.86250000002</v>
      </c>
      <c r="D17" s="131">
        <v>238926.24</v>
      </c>
      <c r="E17" s="131">
        <v>0</v>
      </c>
      <c r="F17" s="131">
        <v>238926.24</v>
      </c>
      <c r="G17" s="131">
        <v>28.377499999973224</v>
      </c>
    </row>
    <row r="18" spans="1:7">
      <c r="B18" t="s">
        <v>363</v>
      </c>
      <c r="C18" s="131">
        <v>187499.9</v>
      </c>
      <c r="D18" s="131">
        <v>68500</v>
      </c>
      <c r="E18" s="131">
        <v>119000</v>
      </c>
      <c r="F18" s="131">
        <v>187500</v>
      </c>
      <c r="G18" s="131">
        <v>0.10000000000582077</v>
      </c>
    </row>
    <row r="19" spans="1:7">
      <c r="B19" t="s">
        <v>771</v>
      </c>
      <c r="C19" s="131">
        <v>1211473.9924999999</v>
      </c>
      <c r="D19" s="131">
        <v>734338.64000000013</v>
      </c>
      <c r="E19" s="131">
        <v>477135.06</v>
      </c>
      <c r="F19" s="131">
        <v>1211473.7</v>
      </c>
      <c r="G19" s="131">
        <v>-0.29249999998137355</v>
      </c>
    </row>
    <row r="20" spans="1:7">
      <c r="A20" t="s">
        <v>704</v>
      </c>
      <c r="B20" t="s">
        <v>771</v>
      </c>
      <c r="C20" s="131">
        <v>100642</v>
      </c>
      <c r="D20" s="131">
        <v>113850</v>
      </c>
      <c r="E20" s="131">
        <v>0</v>
      </c>
      <c r="F20" s="131">
        <v>113850</v>
      </c>
      <c r="G20" s="131">
        <v>13208</v>
      </c>
    </row>
    <row r="21" spans="1:7">
      <c r="A21" t="s">
        <v>467</v>
      </c>
      <c r="B21" t="s">
        <v>484</v>
      </c>
      <c r="C21" s="131">
        <v>33096.819000000003</v>
      </c>
      <c r="D21" s="131">
        <v>0</v>
      </c>
      <c r="E21" s="131">
        <v>33096.819000000003</v>
      </c>
      <c r="F21" s="131">
        <v>33096.819000000003</v>
      </c>
      <c r="G21" s="131">
        <v>0</v>
      </c>
    </row>
    <row r="22" spans="1:7">
      <c r="B22" t="s">
        <v>549</v>
      </c>
      <c r="C22" s="131">
        <v>5407.5</v>
      </c>
      <c r="D22" s="131">
        <v>0</v>
      </c>
      <c r="E22" s="131">
        <v>5407.5</v>
      </c>
      <c r="F22" s="131">
        <v>5407.5</v>
      </c>
      <c r="G22" s="131">
        <v>0</v>
      </c>
    </row>
    <row r="23" spans="1:7">
      <c r="B23" t="s">
        <v>771</v>
      </c>
      <c r="C23" s="131">
        <v>7500000</v>
      </c>
      <c r="D23" s="131">
        <v>3782589.08</v>
      </c>
      <c r="E23" s="131">
        <v>3717411</v>
      </c>
      <c r="F23" s="131">
        <v>7500000.0800000001</v>
      </c>
      <c r="G23" s="131">
        <v>8.0000000074505806E-2</v>
      </c>
    </row>
    <row r="24" spans="1:7">
      <c r="A24" t="s">
        <v>343</v>
      </c>
      <c r="B24" t="s">
        <v>498</v>
      </c>
      <c r="C24" s="131">
        <v>12600</v>
      </c>
      <c r="D24" s="131">
        <v>12000</v>
      </c>
      <c r="E24" s="131">
        <v>0</v>
      </c>
      <c r="F24" s="131">
        <v>12000</v>
      </c>
      <c r="G24" s="131">
        <v>-600</v>
      </c>
    </row>
    <row r="25" spans="1:7">
      <c r="B25" t="s">
        <v>448</v>
      </c>
      <c r="C25" s="131">
        <v>115751</v>
      </c>
      <c r="D25" s="131">
        <v>101291</v>
      </c>
      <c r="E25" s="131">
        <v>14460</v>
      </c>
      <c r="F25" s="131">
        <v>115751</v>
      </c>
      <c r="G25" s="131">
        <v>0</v>
      </c>
    </row>
    <row r="26" spans="1:7">
      <c r="B26" t="s">
        <v>517</v>
      </c>
      <c r="C26" s="131">
        <v>2751</v>
      </c>
      <c r="D26" s="131">
        <v>3192.75</v>
      </c>
      <c r="E26" s="131">
        <v>0</v>
      </c>
      <c r="F26" s="131">
        <v>3192.75</v>
      </c>
      <c r="G26" s="131">
        <v>441.74999999999977</v>
      </c>
    </row>
    <row r="27" spans="1:7">
      <c r="B27" t="s">
        <v>715</v>
      </c>
      <c r="C27" s="131">
        <v>298544.40000000002</v>
      </c>
      <c r="D27" s="131">
        <v>142164.185</v>
      </c>
      <c r="E27" s="131">
        <v>142164.185</v>
      </c>
      <c r="F27" s="131">
        <v>284328.36999999994</v>
      </c>
      <c r="G27" s="131">
        <v>-14216.030000000086</v>
      </c>
    </row>
    <row r="28" spans="1:7">
      <c r="B28" t="s">
        <v>771</v>
      </c>
      <c r="C28" s="131">
        <v>114700</v>
      </c>
      <c r="D28" s="131">
        <v>54415</v>
      </c>
      <c r="E28" s="131">
        <v>60285</v>
      </c>
      <c r="F28" s="131">
        <v>114700</v>
      </c>
      <c r="G28" s="131">
        <v>0</v>
      </c>
    </row>
    <row r="29" spans="1:7">
      <c r="A29" t="s">
        <v>322</v>
      </c>
      <c r="B29" t="s">
        <v>636</v>
      </c>
      <c r="C29" s="131">
        <v>36345</v>
      </c>
      <c r="D29" s="131">
        <v>9883.380000000001</v>
      </c>
      <c r="E29" s="131">
        <v>27258.75</v>
      </c>
      <c r="F29" s="131">
        <v>37142.130000000005</v>
      </c>
      <c r="G29" s="131">
        <v>797.13000000000466</v>
      </c>
    </row>
    <row r="30" spans="1:7">
      <c r="B30" t="s">
        <v>477</v>
      </c>
      <c r="C30" s="131">
        <v>149949.723</v>
      </c>
      <c r="D30" s="131">
        <v>12219.259999999998</v>
      </c>
      <c r="E30" s="131">
        <v>139123.67174999998</v>
      </c>
      <c r="F30" s="131">
        <v>151342.93174999999</v>
      </c>
      <c r="G30" s="131">
        <v>1393.2087499999834</v>
      </c>
    </row>
    <row r="31" spans="1:7">
      <c r="B31" t="s">
        <v>353</v>
      </c>
      <c r="C31" s="131">
        <v>61830</v>
      </c>
      <c r="D31" s="131">
        <v>0</v>
      </c>
      <c r="E31" s="131">
        <v>61830</v>
      </c>
      <c r="F31" s="131">
        <v>61830</v>
      </c>
      <c r="G31" s="131">
        <v>0</v>
      </c>
    </row>
    <row r="32" spans="1:7">
      <c r="B32" t="s">
        <v>566</v>
      </c>
      <c r="C32" s="131">
        <v>5250</v>
      </c>
      <c r="D32" s="131">
        <v>0</v>
      </c>
      <c r="E32" s="131">
        <v>5250</v>
      </c>
      <c r="F32" s="131">
        <v>5250</v>
      </c>
      <c r="G32" s="131">
        <v>0</v>
      </c>
    </row>
    <row r="33" spans="1:14">
      <c r="B33" t="s">
        <v>378</v>
      </c>
      <c r="C33" s="131">
        <v>25439</v>
      </c>
      <c r="D33" s="131">
        <v>12115.970000000001</v>
      </c>
      <c r="E33" s="131">
        <v>12719.499999999998</v>
      </c>
      <c r="F33" s="131">
        <v>24835.47</v>
      </c>
      <c r="G33" s="131">
        <v>-603.52999999999884</v>
      </c>
    </row>
    <row r="34" spans="1:14">
      <c r="B34" t="s">
        <v>321</v>
      </c>
      <c r="C34" s="131">
        <v>540000</v>
      </c>
      <c r="D34" s="131">
        <v>225000</v>
      </c>
      <c r="E34" s="131">
        <v>420316.4</v>
      </c>
      <c r="F34" s="131">
        <v>645316.39999999991</v>
      </c>
      <c r="G34" s="131">
        <v>105316.39999999991</v>
      </c>
    </row>
    <row r="35" spans="1:14">
      <c r="B35" t="s">
        <v>527</v>
      </c>
      <c r="C35" s="131">
        <v>453011.9645</v>
      </c>
      <c r="D35" s="131">
        <v>251825.97499999995</v>
      </c>
      <c r="E35" s="131">
        <v>301817.94366666663</v>
      </c>
      <c r="F35" s="131">
        <v>553643.91866666661</v>
      </c>
      <c r="G35" s="131">
        <v>100631.95416666666</v>
      </c>
    </row>
    <row r="36" spans="1:14">
      <c r="B36" t="s">
        <v>550</v>
      </c>
      <c r="C36" s="131">
        <v>81590</v>
      </c>
      <c r="D36" s="131">
        <v>28603.27</v>
      </c>
      <c r="E36" s="131">
        <v>53127</v>
      </c>
      <c r="F36" s="131">
        <v>81730.27</v>
      </c>
      <c r="G36" s="131">
        <v>140.27000000000174</v>
      </c>
    </row>
    <row r="37" spans="1:14">
      <c r="B37" t="s">
        <v>520</v>
      </c>
      <c r="C37" s="131">
        <v>1900385</v>
      </c>
      <c r="D37" s="131">
        <v>791827.08333333326</v>
      </c>
      <c r="E37" s="131">
        <v>1282093.6333333333</v>
      </c>
      <c r="F37" s="131">
        <v>2073920.716666667</v>
      </c>
      <c r="G37" s="131">
        <v>173535.71666666702</v>
      </c>
    </row>
    <row r="38" spans="1:14">
      <c r="B38" t="s">
        <v>771</v>
      </c>
      <c r="C38" s="131">
        <v>2457703.9550000001</v>
      </c>
      <c r="D38" s="131">
        <v>601803.43333333335</v>
      </c>
      <c r="E38" s="131">
        <v>1923248.0133333334</v>
      </c>
      <c r="F38" s="131">
        <v>2525051.4466666668</v>
      </c>
      <c r="G38" s="131">
        <v>67347.491666666523</v>
      </c>
    </row>
    <row r="39" spans="1:14">
      <c r="B39" t="s">
        <v>98</v>
      </c>
      <c r="C39" s="131">
        <v>52500</v>
      </c>
      <c r="D39" s="131">
        <v>0</v>
      </c>
      <c r="E39" s="131">
        <v>52500</v>
      </c>
      <c r="F39" s="131">
        <v>52500</v>
      </c>
      <c r="G39" s="131">
        <v>0</v>
      </c>
    </row>
    <row r="40" spans="1:14">
      <c r="A40" t="s">
        <v>670</v>
      </c>
      <c r="B40" t="s">
        <v>771</v>
      </c>
      <c r="C40" s="131">
        <v>21276</v>
      </c>
      <c r="D40" s="131">
        <v>0</v>
      </c>
      <c r="E40" s="131">
        <v>0</v>
      </c>
      <c r="F40" s="131">
        <v>0</v>
      </c>
      <c r="G40" s="131">
        <v>-21276</v>
      </c>
      <c r="N40" s="91"/>
    </row>
    <row r="41" spans="1:14">
      <c r="A41" t="s">
        <v>487</v>
      </c>
      <c r="B41" t="s">
        <v>484</v>
      </c>
      <c r="C41" s="131">
        <v>63325.5</v>
      </c>
      <c r="D41" s="131">
        <v>1100.47</v>
      </c>
      <c r="E41" s="131">
        <v>62225.03</v>
      </c>
      <c r="F41" s="131">
        <v>63325.5</v>
      </c>
      <c r="G41" s="131">
        <v>0</v>
      </c>
      <c r="N41" s="91"/>
    </row>
    <row r="42" spans="1:14">
      <c r="A42" t="s">
        <v>387</v>
      </c>
      <c r="B42" t="s">
        <v>771</v>
      </c>
      <c r="C42" s="131">
        <v>2204879.4000000004</v>
      </c>
      <c r="D42" s="131">
        <v>1211055.9899999998</v>
      </c>
      <c r="E42" s="131">
        <v>1211056.0699999998</v>
      </c>
      <c r="F42" s="131">
        <v>2422112.0599999996</v>
      </c>
      <c r="G42" s="131">
        <v>217232.65999999954</v>
      </c>
      <c r="N42" s="91"/>
    </row>
    <row r="43" spans="1:14">
      <c r="A43" t="s">
        <v>700</v>
      </c>
      <c r="B43" t="s">
        <v>448</v>
      </c>
      <c r="C43" s="131">
        <v>0</v>
      </c>
      <c r="D43" s="131">
        <v>0</v>
      </c>
      <c r="E43" s="131">
        <v>0</v>
      </c>
      <c r="F43" s="131">
        <v>0</v>
      </c>
      <c r="G43" s="131">
        <v>0</v>
      </c>
      <c r="N43" s="91"/>
    </row>
    <row r="44" spans="1:14">
      <c r="A44" t="s">
        <v>406</v>
      </c>
      <c r="B44" t="s">
        <v>490</v>
      </c>
      <c r="C44" s="131">
        <v>10080</v>
      </c>
      <c r="D44" s="131">
        <v>4800</v>
      </c>
      <c r="E44" s="131">
        <v>5280</v>
      </c>
      <c r="F44" s="131">
        <v>10080</v>
      </c>
      <c r="G44" s="131">
        <v>0</v>
      </c>
      <c r="N44" s="91"/>
    </row>
    <row r="45" spans="1:14">
      <c r="B45" t="s">
        <v>559</v>
      </c>
      <c r="C45" s="131">
        <v>100844.1</v>
      </c>
      <c r="D45" s="131">
        <v>96041.64</v>
      </c>
      <c r="E45" s="131">
        <v>0</v>
      </c>
      <c r="F45" s="131">
        <v>96041.64</v>
      </c>
      <c r="G45" s="131">
        <v>-4802.4600000000064</v>
      </c>
      <c r="N45" s="91"/>
    </row>
    <row r="46" spans="1:14">
      <c r="B46" t="s">
        <v>567</v>
      </c>
      <c r="C46" s="131">
        <v>117539.0055</v>
      </c>
      <c r="D46" s="131">
        <v>15595.36</v>
      </c>
      <c r="E46" s="131">
        <v>102536.75</v>
      </c>
      <c r="F46" s="131">
        <v>118132.11</v>
      </c>
      <c r="G46" s="131">
        <v>593.10450000000128</v>
      </c>
      <c r="N46" s="91"/>
    </row>
    <row r="47" spans="1:14">
      <c r="B47" t="s">
        <v>448</v>
      </c>
      <c r="C47" s="131">
        <v>277395.33999999997</v>
      </c>
      <c r="D47" s="131">
        <v>120149</v>
      </c>
      <c r="E47" s="131">
        <v>157246</v>
      </c>
      <c r="F47" s="131">
        <v>277395</v>
      </c>
      <c r="G47" s="131">
        <v>-0.33999999999650754</v>
      </c>
      <c r="N47" s="91"/>
    </row>
    <row r="48" spans="1:14">
      <c r="B48" t="s">
        <v>771</v>
      </c>
      <c r="C48" s="131">
        <v>1454747</v>
      </c>
      <c r="D48" s="131">
        <v>697777</v>
      </c>
      <c r="E48" s="131">
        <v>756970</v>
      </c>
      <c r="F48" s="131">
        <v>1454747</v>
      </c>
      <c r="G48" s="131">
        <v>0</v>
      </c>
      <c r="N48" s="91"/>
    </row>
    <row r="49" spans="1:7">
      <c r="A49" t="s">
        <v>425</v>
      </c>
      <c r="B49" t="s">
        <v>771</v>
      </c>
      <c r="C49" s="131">
        <v>735000</v>
      </c>
      <c r="D49" s="131">
        <v>315500</v>
      </c>
      <c r="E49" s="131">
        <v>471500</v>
      </c>
      <c r="F49" s="131">
        <v>787000</v>
      </c>
      <c r="G49" s="131">
        <v>52000</v>
      </c>
    </row>
    <row r="50" spans="1:7">
      <c r="A50" t="s">
        <v>511</v>
      </c>
      <c r="B50" t="s">
        <v>510</v>
      </c>
      <c r="C50" s="131">
        <v>27790.5285</v>
      </c>
      <c r="D50" s="131">
        <v>28087.82</v>
      </c>
      <c r="E50" s="131">
        <v>1726</v>
      </c>
      <c r="F50" s="131">
        <v>29813.82</v>
      </c>
      <c r="G50" s="131">
        <v>2023.2914999999975</v>
      </c>
    </row>
    <row r="51" spans="1:7">
      <c r="B51" t="s">
        <v>524</v>
      </c>
      <c r="C51" s="131">
        <v>307613.80000000005</v>
      </c>
      <c r="D51" s="131">
        <v>150416.66666666666</v>
      </c>
      <c r="E51" s="131">
        <v>155250</v>
      </c>
      <c r="F51" s="131">
        <v>305666.66666666669</v>
      </c>
      <c r="G51" s="131">
        <v>-1947.1333333333605</v>
      </c>
    </row>
    <row r="52" spans="1:7">
      <c r="A52" t="s">
        <v>394</v>
      </c>
      <c r="B52" t="s">
        <v>545</v>
      </c>
      <c r="C52" s="131">
        <v>39305.700000000004</v>
      </c>
      <c r="D52" s="131">
        <v>2808</v>
      </c>
      <c r="E52" s="131">
        <v>36498</v>
      </c>
      <c r="F52" s="131">
        <v>39306</v>
      </c>
      <c r="G52" s="131">
        <v>0.29999999999563443</v>
      </c>
    </row>
    <row r="53" spans="1:7">
      <c r="B53" t="s">
        <v>546</v>
      </c>
      <c r="C53" s="131">
        <v>174825</v>
      </c>
      <c r="D53" s="131">
        <v>87412.5</v>
      </c>
      <c r="E53" s="131">
        <v>87412.5</v>
      </c>
      <c r="F53" s="131">
        <v>174825</v>
      </c>
      <c r="G53" s="131">
        <v>0</v>
      </c>
    </row>
    <row r="54" spans="1:7">
      <c r="B54" t="s">
        <v>771</v>
      </c>
      <c r="C54" s="131">
        <v>12200</v>
      </c>
      <c r="D54" s="131">
        <v>0</v>
      </c>
      <c r="E54" s="131">
        <v>12200</v>
      </c>
      <c r="F54" s="131">
        <v>12200</v>
      </c>
      <c r="G54" s="131">
        <v>0</v>
      </c>
    </row>
    <row r="55" spans="1:7">
      <c r="A55" t="s">
        <v>508</v>
      </c>
      <c r="B55" t="s">
        <v>507</v>
      </c>
      <c r="C55" s="131">
        <v>1260</v>
      </c>
      <c r="D55" s="131">
        <v>1260</v>
      </c>
      <c r="E55" s="131">
        <v>0</v>
      </c>
      <c r="F55" s="131">
        <v>1260</v>
      </c>
      <c r="G55" s="131">
        <v>0</v>
      </c>
    </row>
    <row r="56" spans="1:7">
      <c r="A56" t="s">
        <v>459</v>
      </c>
      <c r="B56" t="s">
        <v>587</v>
      </c>
      <c r="C56" s="131">
        <v>50400</v>
      </c>
      <c r="D56" s="131">
        <v>0</v>
      </c>
      <c r="E56" s="131">
        <v>50400</v>
      </c>
      <c r="F56" s="131">
        <v>50400</v>
      </c>
      <c r="G56" s="131">
        <v>0</v>
      </c>
    </row>
    <row r="57" spans="1:7">
      <c r="B57" t="s">
        <v>232</v>
      </c>
      <c r="C57" s="131">
        <v>3150</v>
      </c>
      <c r="D57" s="131">
        <v>0</v>
      </c>
      <c r="E57" s="131">
        <v>3150</v>
      </c>
      <c r="F57" s="131">
        <v>3150</v>
      </c>
      <c r="G57" s="131">
        <v>0</v>
      </c>
    </row>
    <row r="58" spans="1:7">
      <c r="B58" t="s">
        <v>237</v>
      </c>
      <c r="C58" s="131">
        <v>2594.5500000000002</v>
      </c>
      <c r="D58" s="131">
        <v>0</v>
      </c>
      <c r="E58" s="131">
        <v>2595</v>
      </c>
      <c r="F58" s="131">
        <v>2595</v>
      </c>
      <c r="G58" s="131">
        <v>0.4499999999998181</v>
      </c>
    </row>
    <row r="59" spans="1:7">
      <c r="B59" t="s">
        <v>499</v>
      </c>
      <c r="C59" s="131">
        <v>90000</v>
      </c>
      <c r="D59" s="131">
        <v>0</v>
      </c>
      <c r="E59" s="131">
        <v>90000</v>
      </c>
      <c r="F59" s="131">
        <v>90000</v>
      </c>
      <c r="G59" s="131">
        <v>0</v>
      </c>
    </row>
    <row r="60" spans="1:7">
      <c r="B60" t="s">
        <v>541</v>
      </c>
      <c r="C60" s="131">
        <v>72888.816000000006</v>
      </c>
      <c r="D60" s="131">
        <v>69417.919999999998</v>
      </c>
      <c r="E60" s="131">
        <v>0</v>
      </c>
      <c r="F60" s="131">
        <v>69417.919999999998</v>
      </c>
      <c r="G60" s="131">
        <v>-3470.8960000000079</v>
      </c>
    </row>
    <row r="61" spans="1:7">
      <c r="B61" t="s">
        <v>473</v>
      </c>
      <c r="C61" s="131">
        <v>131625</v>
      </c>
      <c r="D61" s="131">
        <v>80609.25</v>
      </c>
      <c r="E61" s="131">
        <v>48600</v>
      </c>
      <c r="F61" s="131">
        <v>129209.25</v>
      </c>
      <c r="G61" s="131">
        <v>-2415.75</v>
      </c>
    </row>
    <row r="62" spans="1:7">
      <c r="B62" t="s">
        <v>562</v>
      </c>
      <c r="C62" s="131">
        <v>70432.698000000004</v>
      </c>
      <c r="D62" s="131">
        <v>1063.52</v>
      </c>
      <c r="E62" s="131">
        <v>69368.698000000004</v>
      </c>
      <c r="F62" s="131">
        <v>70432.217999999993</v>
      </c>
      <c r="G62" s="131">
        <v>-0.48000000001047738</v>
      </c>
    </row>
    <row r="63" spans="1:7">
      <c r="B63" t="s">
        <v>771</v>
      </c>
      <c r="C63" s="131">
        <v>628636.55000000005</v>
      </c>
      <c r="D63" s="131">
        <v>223206.80000000002</v>
      </c>
      <c r="E63" s="131">
        <v>405426.86666666676</v>
      </c>
      <c r="F63" s="131">
        <v>628633.66666666674</v>
      </c>
      <c r="G63" s="131">
        <v>-2.8833333332440816</v>
      </c>
    </row>
    <row r="64" spans="1:7">
      <c r="A64" t="s">
        <v>692</v>
      </c>
      <c r="B64" t="s">
        <v>527</v>
      </c>
      <c r="C64" s="131">
        <v>178500</v>
      </c>
      <c r="D64" s="131">
        <v>174169.56</v>
      </c>
      <c r="E64" s="131">
        <v>0</v>
      </c>
      <c r="F64" s="131">
        <v>174169.56</v>
      </c>
      <c r="G64" s="131">
        <v>-4330.4400000000023</v>
      </c>
    </row>
    <row r="65" spans="1:7">
      <c r="A65" t="s">
        <v>449</v>
      </c>
      <c r="B65" t="s">
        <v>584</v>
      </c>
      <c r="C65" s="131">
        <v>191646</v>
      </c>
      <c r="D65" s="131">
        <v>42755.002500000002</v>
      </c>
      <c r="E65" s="131">
        <v>85510.005000000005</v>
      </c>
      <c r="F65" s="131">
        <v>128265.00749999999</v>
      </c>
      <c r="G65" s="131">
        <v>-63380.992500000008</v>
      </c>
    </row>
    <row r="66" spans="1:7">
      <c r="B66" t="s">
        <v>448</v>
      </c>
      <c r="C66" s="131">
        <v>1210968.58415</v>
      </c>
      <c r="D66" s="131">
        <v>559955.94000000006</v>
      </c>
      <c r="E66" s="131">
        <v>651013.02249999996</v>
      </c>
      <c r="F66" s="131">
        <v>1210968.9624999999</v>
      </c>
      <c r="G66" s="131">
        <v>0.37834999988263007</v>
      </c>
    </row>
    <row r="67" spans="1:7">
      <c r="B67" t="s">
        <v>542</v>
      </c>
      <c r="C67" s="131">
        <v>44460.15</v>
      </c>
      <c r="D67" s="131">
        <v>46713</v>
      </c>
      <c r="E67" s="131">
        <v>0</v>
      </c>
      <c r="F67" s="131">
        <v>46713</v>
      </c>
      <c r="G67" s="131">
        <v>2252.8499999999985</v>
      </c>
    </row>
    <row r="68" spans="1:7">
      <c r="B68" t="s">
        <v>550</v>
      </c>
      <c r="C68" s="131">
        <v>68250</v>
      </c>
      <c r="D68" s="131">
        <v>0</v>
      </c>
      <c r="E68" s="131">
        <v>68250</v>
      </c>
      <c r="F68" s="131">
        <v>68250</v>
      </c>
      <c r="G68" s="131">
        <v>0</v>
      </c>
    </row>
    <row r="69" spans="1:7">
      <c r="B69" t="s">
        <v>578</v>
      </c>
      <c r="C69" s="131">
        <v>139684</v>
      </c>
      <c r="D69" s="131">
        <v>69842</v>
      </c>
      <c r="E69" s="131">
        <v>69842</v>
      </c>
      <c r="F69" s="131">
        <v>139683.99999999997</v>
      </c>
      <c r="G69" s="131">
        <v>-2.9103830456733704E-11</v>
      </c>
    </row>
    <row r="70" spans="1:7">
      <c r="A70" t="s">
        <v>422</v>
      </c>
      <c r="B70" t="s">
        <v>421</v>
      </c>
      <c r="C70" s="131">
        <v>190000</v>
      </c>
      <c r="D70" s="131">
        <v>80950</v>
      </c>
      <c r="E70" s="131">
        <v>35700</v>
      </c>
      <c r="F70" s="131">
        <v>116650</v>
      </c>
      <c r="G70" s="131">
        <v>-73350</v>
      </c>
    </row>
    <row r="71" spans="1:7">
      <c r="B71" t="s">
        <v>550</v>
      </c>
      <c r="C71" s="131">
        <v>98942.917499999996</v>
      </c>
      <c r="D71" s="131">
        <v>957.23</v>
      </c>
      <c r="E71" s="131">
        <v>97986</v>
      </c>
      <c r="F71" s="131">
        <v>98943.23</v>
      </c>
      <c r="G71" s="131">
        <v>0.3125</v>
      </c>
    </row>
    <row r="72" spans="1:7">
      <c r="A72" t="s">
        <v>442</v>
      </c>
      <c r="B72" t="s">
        <v>441</v>
      </c>
      <c r="C72" s="131">
        <v>3617396</v>
      </c>
      <c r="D72" s="131">
        <v>2070815.5899999999</v>
      </c>
      <c r="E72" s="131">
        <v>2002659.7799999998</v>
      </c>
      <c r="F72" s="131">
        <v>4073475.3699999992</v>
      </c>
      <c r="G72" s="131">
        <v>456079.36999999918</v>
      </c>
    </row>
    <row r="73" spans="1:7">
      <c r="B73" t="s">
        <v>651</v>
      </c>
      <c r="C73" s="131">
        <v>67470</v>
      </c>
      <c r="D73" s="131">
        <v>34242.9</v>
      </c>
      <c r="E73" s="131">
        <v>33735</v>
      </c>
      <c r="F73" s="131">
        <v>67977.899999999994</v>
      </c>
      <c r="G73" s="131">
        <v>507.89999999999418</v>
      </c>
    </row>
    <row r="74" spans="1:7">
      <c r="B74" t="s">
        <v>730</v>
      </c>
      <c r="C74" s="131">
        <v>0</v>
      </c>
      <c r="D74" s="131">
        <v>17623.03</v>
      </c>
      <c r="E74" s="131">
        <v>0</v>
      </c>
      <c r="F74" s="131">
        <v>17623.03</v>
      </c>
      <c r="G74" s="131">
        <v>17623.03</v>
      </c>
    </row>
    <row r="75" spans="1:7">
      <c r="B75" t="s">
        <v>538</v>
      </c>
      <c r="C75" s="131">
        <v>8435.7000000000007</v>
      </c>
      <c r="D75" s="131">
        <v>0</v>
      </c>
      <c r="E75" s="131">
        <v>8436</v>
      </c>
      <c r="F75" s="131">
        <v>8436</v>
      </c>
      <c r="G75" s="131">
        <v>0.2999999999992724</v>
      </c>
    </row>
    <row r="76" spans="1:7">
      <c r="B76" t="s">
        <v>602</v>
      </c>
      <c r="C76" s="131">
        <v>3500000</v>
      </c>
      <c r="D76" s="131">
        <v>1543370.93</v>
      </c>
      <c r="E76" s="131">
        <v>1842462.4033333336</v>
      </c>
      <c r="F76" s="131">
        <v>3385833.333333333</v>
      </c>
      <c r="G76" s="131">
        <v>-114166.66666666698</v>
      </c>
    </row>
    <row r="77" spans="1:7">
      <c r="B77" t="s">
        <v>716</v>
      </c>
      <c r="C77" s="131">
        <v>0</v>
      </c>
      <c r="D77" s="131">
        <v>0</v>
      </c>
      <c r="E77" s="131">
        <v>0</v>
      </c>
      <c r="F77" s="131">
        <v>0</v>
      </c>
      <c r="G77" s="131">
        <v>0</v>
      </c>
    </row>
    <row r="78" spans="1:7">
      <c r="B78" t="s">
        <v>771</v>
      </c>
      <c r="C78" s="131">
        <v>37809</v>
      </c>
      <c r="D78" s="131">
        <v>104982.8</v>
      </c>
      <c r="E78" s="131">
        <v>35000</v>
      </c>
      <c r="F78" s="131">
        <v>139982.79999999999</v>
      </c>
      <c r="G78" s="131">
        <v>102173.8</v>
      </c>
    </row>
    <row r="79" spans="1:7">
      <c r="A79" t="s">
        <v>611</v>
      </c>
      <c r="B79" t="s">
        <v>448</v>
      </c>
      <c r="C79" s="131">
        <v>1075296</v>
      </c>
      <c r="D79" s="131">
        <v>960000</v>
      </c>
      <c r="E79" s="131">
        <v>0</v>
      </c>
      <c r="F79" s="131">
        <v>960000</v>
      </c>
      <c r="G79" s="131">
        <v>-115296</v>
      </c>
    </row>
    <row r="80" spans="1:7">
      <c r="A80" t="s">
        <v>696</v>
      </c>
      <c r="B80" t="s">
        <v>542</v>
      </c>
      <c r="C80" s="131">
        <v>7470</v>
      </c>
      <c r="D80" s="131">
        <v>0</v>
      </c>
      <c r="E80" s="131">
        <v>7470</v>
      </c>
      <c r="F80" s="131">
        <v>7470</v>
      </c>
      <c r="G80" s="131">
        <v>0</v>
      </c>
    </row>
    <row r="81" spans="1:7">
      <c r="A81" t="s">
        <v>687</v>
      </c>
      <c r="B81" t="s">
        <v>448</v>
      </c>
      <c r="C81" s="131">
        <v>0</v>
      </c>
      <c r="D81" s="131">
        <v>0</v>
      </c>
      <c r="E81" s="131">
        <v>0</v>
      </c>
      <c r="F81" s="131">
        <v>0</v>
      </c>
      <c r="G81" s="131">
        <v>0</v>
      </c>
    </row>
    <row r="82" spans="1:7">
      <c r="A82" t="s">
        <v>676</v>
      </c>
      <c r="B82" t="s">
        <v>602</v>
      </c>
      <c r="C82" s="131">
        <v>499600</v>
      </c>
      <c r="D82" s="131">
        <v>10000</v>
      </c>
      <c r="E82" s="131">
        <v>283500</v>
      </c>
      <c r="F82" s="131">
        <v>293500</v>
      </c>
      <c r="G82" s="131">
        <v>-206100</v>
      </c>
    </row>
    <row r="83" spans="1:7">
      <c r="B83" t="s">
        <v>771</v>
      </c>
      <c r="C83" s="131">
        <v>120000</v>
      </c>
      <c r="D83" s="131">
        <v>40000</v>
      </c>
      <c r="E83" s="131">
        <v>80000</v>
      </c>
      <c r="F83" s="131">
        <v>120000</v>
      </c>
      <c r="G83" s="131">
        <v>0</v>
      </c>
    </row>
    <row r="84" spans="1:7">
      <c r="A84" t="s">
        <v>673</v>
      </c>
      <c r="B84" t="s">
        <v>441</v>
      </c>
      <c r="C84" s="131">
        <v>0</v>
      </c>
      <c r="D84" s="131">
        <v>0</v>
      </c>
      <c r="E84" s="131">
        <v>0</v>
      </c>
      <c r="F84" s="131">
        <v>0</v>
      </c>
      <c r="G84" s="131">
        <v>0</v>
      </c>
    </row>
    <row r="85" spans="1:7">
      <c r="A85" t="s">
        <v>454</v>
      </c>
      <c r="B85" t="s">
        <v>448</v>
      </c>
      <c r="C85" s="131">
        <v>200000</v>
      </c>
      <c r="D85" s="131">
        <v>100000.00000000001</v>
      </c>
      <c r="E85" s="131">
        <v>100000.00000000001</v>
      </c>
      <c r="F85" s="131">
        <v>199999.99999999997</v>
      </c>
      <c r="G85" s="131">
        <v>-2.9103830456733704E-11</v>
      </c>
    </row>
    <row r="86" spans="1:7">
      <c r="B86" t="s">
        <v>550</v>
      </c>
      <c r="C86" s="131">
        <v>48667.5</v>
      </c>
      <c r="D86" s="131">
        <v>0</v>
      </c>
      <c r="E86" s="131">
        <v>48667.5</v>
      </c>
      <c r="F86" s="131">
        <v>48667.5</v>
      </c>
      <c r="G86" s="131">
        <v>0</v>
      </c>
    </row>
    <row r="87" spans="1:7">
      <c r="A87" t="s">
        <v>665</v>
      </c>
      <c r="B87" t="s">
        <v>771</v>
      </c>
      <c r="C87" s="131">
        <v>0</v>
      </c>
      <c r="D87" s="131">
        <v>0</v>
      </c>
      <c r="E87" s="131">
        <v>0</v>
      </c>
      <c r="F87" s="131">
        <v>0</v>
      </c>
      <c r="G87" s="131">
        <v>0</v>
      </c>
    </row>
    <row r="88" spans="1:7">
      <c r="A88" t="s">
        <v>359</v>
      </c>
      <c r="B88" t="s">
        <v>771</v>
      </c>
      <c r="C88" s="131"/>
      <c r="D88" s="131">
        <v>9900</v>
      </c>
      <c r="E88" s="131">
        <v>31350</v>
      </c>
      <c r="F88" s="131">
        <v>41250</v>
      </c>
      <c r="G88" s="131">
        <v>41250</v>
      </c>
    </row>
    <row r="89" spans="1:7">
      <c r="A89" t="s">
        <v>412</v>
      </c>
      <c r="B89" t="s">
        <v>417</v>
      </c>
      <c r="C89" s="131">
        <v>3721280</v>
      </c>
      <c r="D89" s="131">
        <v>1485626</v>
      </c>
      <c r="E89" s="131">
        <v>1881080</v>
      </c>
      <c r="F89" s="131">
        <v>3366706</v>
      </c>
      <c r="G89" s="131">
        <v>-354574</v>
      </c>
    </row>
    <row r="90" spans="1:7">
      <c r="B90" t="s">
        <v>617</v>
      </c>
      <c r="C90" s="131">
        <v>1540800</v>
      </c>
      <c r="D90" s="131">
        <v>823464</v>
      </c>
      <c r="E90" s="131">
        <v>606720</v>
      </c>
      <c r="F90" s="131">
        <v>1430184</v>
      </c>
      <c r="G90" s="131">
        <v>-110616</v>
      </c>
    </row>
    <row r="91" spans="1:7">
      <c r="B91" t="s">
        <v>448</v>
      </c>
      <c r="C91" s="131">
        <v>2041200</v>
      </c>
      <c r="D91" s="131">
        <v>395600</v>
      </c>
      <c r="E91" s="131">
        <v>1645600</v>
      </c>
      <c r="F91" s="131">
        <v>2041200</v>
      </c>
      <c r="G91" s="131">
        <v>0</v>
      </c>
    </row>
    <row r="92" spans="1:7">
      <c r="B92" t="s">
        <v>771</v>
      </c>
      <c r="C92" s="131">
        <v>1546760</v>
      </c>
      <c r="D92" s="131">
        <v>810977.91999999993</v>
      </c>
      <c r="E92" s="131">
        <v>899000</v>
      </c>
      <c r="F92" s="131">
        <v>1709977.92</v>
      </c>
      <c r="G92" s="131">
        <v>163217.91999999993</v>
      </c>
    </row>
    <row r="93" spans="1:7">
      <c r="A93" t="s">
        <v>17</v>
      </c>
      <c r="C93" s="131">
        <v>44788397.956150003</v>
      </c>
      <c r="D93" s="131">
        <v>20581955.350833334</v>
      </c>
      <c r="E93" s="131">
        <v>24633088.406583335</v>
      </c>
      <c r="F93" s="131">
        <v>45215043.757416666</v>
      </c>
      <c r="G93" s="131">
        <v>426645.80126666569</v>
      </c>
    </row>
  </sheetData>
  <sortState xmlns:xlrd2="http://schemas.microsoft.com/office/spreadsheetml/2017/richdata2" ref="N3:X9">
    <sortCondition ref="P3:P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ANTARESITDMO-1057074058-8716</_dlc_DocId>
    <_dlc_DocIdUrl xmlns="26d0a970-2ab3-49ef-b4d7-820ab6496716">
      <Url>https://antarescap.sharepoint.com/sites/AntaresITDemo/IT Internal/TechPMO/_layouts/15/DocIdRedir.aspx?ID=ANTARESITDMO-1057074058-8716</Url>
      <Description>ANTARESITDMO-1057074058-8716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Props1.xml><?xml version="1.0" encoding="utf-8"?>
<ds:datastoreItem xmlns:ds="http://schemas.openxmlformats.org/officeDocument/2006/customXml" ds:itemID="{5956ADFD-9F0B-4014-AB0F-A7994769C96B}"/>
</file>

<file path=customXml/itemProps2.xml><?xml version="1.0" encoding="utf-8"?>
<ds:datastoreItem xmlns:ds="http://schemas.openxmlformats.org/officeDocument/2006/customXml" ds:itemID="{752E5132-1B41-43EF-9789-926D57A44BCD}"/>
</file>

<file path=customXml/itemProps3.xml><?xml version="1.0" encoding="utf-8"?>
<ds:datastoreItem xmlns:ds="http://schemas.openxmlformats.org/officeDocument/2006/customXml" ds:itemID="{C8C03080-4184-4D10-A253-B15D1E7875D8}"/>
</file>

<file path=customXml/itemProps4.xml><?xml version="1.0" encoding="utf-8"?>
<ds:datastoreItem xmlns:ds="http://schemas.openxmlformats.org/officeDocument/2006/customXml" ds:itemID="{97F2BD98-16E9-44DC-A814-3235BD57F27A}"/>
</file>

<file path=customXml/itemProps5.xml><?xml version="1.0" encoding="utf-8"?>
<ds:datastoreItem xmlns:ds="http://schemas.openxmlformats.org/officeDocument/2006/customXml" ds:itemID="{32E2E58D-7571-4D1E-B0F3-701D55D92D79}"/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Ari Gurovich</cp:lastModifiedBy>
  <cp:revision/>
  <dcterms:created xsi:type="dcterms:W3CDTF">2025-09-17T12:25:50Z</dcterms:created>
  <dcterms:modified xsi:type="dcterms:W3CDTF">2026-07-22T20:06:42Z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122ec27e-bfe6-4d09-a42c-d94243624f9a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