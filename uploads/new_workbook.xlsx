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1 - Budget &amp; Forecasting/05 - 5+7 - 2026 Actuals/"/>
    </mc:Choice>
  </mc:AlternateContent>
  <xr:revisionPtr revIDLastSave="26" documentId="8_{E0A95180-4EEB-4A34-99A0-7D323D169483}" xr6:coauthVersionLast="47" xr6:coauthVersionMax="47" xr10:uidLastSave="{8CB61F4F-9901-4E94-8B0D-C789B84D4D41}"/>
  <bookViews>
    <workbookView xWindow="-108" yWindow="-108" windowWidth="23256" windowHeight="13896" tabRatio="843" xr2:uid="{6E86A890-6511-465B-97CD-9F3B99500F42}"/>
  </bookViews>
  <sheets>
    <sheet name="YTD Financials Run Rate" sheetId="65" r:id="rId1"/>
    <sheet name="Notes - R&amp;O" sheetId="89" r:id="rId2"/>
    <sheet name="Monthly Run Rate (Jan-Mar)" sheetId="83" r:id="rId3"/>
    <sheet name="Master Data (DO NOT EDIT)" sheetId="88" r:id="rId4"/>
    <sheet name="AI Budget Tracking" sheetId="87" r:id="rId5"/>
    <sheet name="Budget Slide" sheetId="84" r:id="rId6"/>
    <sheet name="Program Slide" sheetId="94" r:id="rId7"/>
    <sheet name="Vendor - SW" sheetId="90" r:id="rId8"/>
    <sheet name="Vendor - Labor" sheetId="91" r:id="rId9"/>
    <sheet name="Vendor - Infra" sheetId="92" r:id="rId10"/>
    <sheet name="Vendor - OOE" sheetId="93" r:id="rId11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9" hidden="1">'Vendor - Infra'!$A$4:$B$50</definedName>
    <definedName name="_xlnm._FilterDatabase" localSheetId="8" hidden="1">'Vendor - Labor'!$A$4:$B$50</definedName>
    <definedName name="_xlnm._FilterDatabase" localSheetId="10" hidden="1">'Vendor - OOE'!$A$4:$B$50</definedName>
    <definedName name="_xlnm._FilterDatabase" localSheetId="7" hidden="1">'Vendor - SW'!$A$4:$B$50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5">#REF!</definedName>
    <definedName name="Macro2" localSheetId="1">#REF!</definedName>
    <definedName name="Macro2" localSheetId="6">#REF!</definedName>
    <definedName name="Macro2" localSheetId="9">#REF!</definedName>
    <definedName name="Macro2" localSheetId="8">#REF!</definedName>
    <definedName name="Macro2" localSheetId="10">#REF!</definedName>
    <definedName name="Macro2" localSheetId="7">#REF!</definedName>
    <definedName name="Macro2">#REF!</definedName>
    <definedName name="Macro3" localSheetId="5">#REF!</definedName>
    <definedName name="Macro3" localSheetId="1">#REF!</definedName>
    <definedName name="Macro3" localSheetId="6">#REF!</definedName>
    <definedName name="Macro3" localSheetId="9">#REF!</definedName>
    <definedName name="Macro3" localSheetId="8">#REF!</definedName>
    <definedName name="Macro3" localSheetId="10">#REF!</definedName>
    <definedName name="Macro3" localSheetId="7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12"/>
    <pivotCache cacheId="1" r:id="rId13"/>
    <pivotCache cacheId="1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88" l="1"/>
  <c r="V21" i="88"/>
  <c r="C21" i="94"/>
  <c r="C18" i="94"/>
  <c r="C16" i="94"/>
  <c r="C15" i="94"/>
  <c r="C19" i="94"/>
  <c r="C20" i="94"/>
  <c r="K149" i="88" l="1"/>
  <c r="AN149" i="88"/>
  <c r="AO149" i="88"/>
  <c r="W149" i="88" s="1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BQ149" i="88"/>
  <c r="BT149" i="88"/>
  <c r="V121" i="88"/>
  <c r="V130" i="88"/>
  <c r="BO149" i="88" l="1"/>
  <c r="X149" i="88"/>
  <c r="Y149" i="88"/>
  <c r="BR149" i="88"/>
  <c r="BS149" i="88" s="1"/>
  <c r="BU149" i="88" s="1"/>
  <c r="AM4" i="88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T150" i="88"/>
  <c r="BQ150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AO150" i="88"/>
  <c r="AN150" i="88"/>
  <c r="K150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AO148" i="88"/>
  <c r="W148" i="88" s="1"/>
  <c r="AN148" i="88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AO147" i="88"/>
  <c r="W147" i="88" s="1"/>
  <c r="AN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O146" i="88"/>
  <c r="W146" i="88" s="1"/>
  <c r="Y146" i="88" s="1"/>
  <c r="AN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AO144" i="88"/>
  <c r="W144" i="88" s="1"/>
  <c r="AN144" i="88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AO143" i="88"/>
  <c r="W143" i="88" s="1"/>
  <c r="AN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AO142" i="88"/>
  <c r="W142" i="88" s="1"/>
  <c r="AN142" i="88"/>
  <c r="K142" i="88"/>
  <c r="BT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AO139" i="88"/>
  <c r="W139" i="88" s="1"/>
  <c r="AN139" i="88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AO138" i="88"/>
  <c r="W138" i="88" s="1"/>
  <c r="AN138" i="88"/>
  <c r="K138" i="88"/>
  <c r="BT137" i="88"/>
  <c r="BQ137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AO134" i="88"/>
  <c r="W134" i="88" s="1"/>
  <c r="AN134" i="88"/>
  <c r="K134" i="88"/>
  <c r="BT133" i="88"/>
  <c r="BQ133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AO130" i="88"/>
  <c r="W130" i="88" s="1"/>
  <c r="AN130" i="88"/>
  <c r="K130" i="88"/>
  <c r="BT129" i="88"/>
  <c r="BQ129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W126" i="88" s="1"/>
  <c r="AN126" i="88"/>
  <c r="K126" i="88"/>
  <c r="BT125" i="88"/>
  <c r="BQ125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AO123" i="88"/>
  <c r="AN123" i="88"/>
  <c r="K123" i="88"/>
  <c r="BN122" i="88"/>
  <c r="BM122" i="88"/>
  <c r="BL122" i="88"/>
  <c r="BC122" i="88"/>
  <c r="AX122" i="88"/>
  <c r="AW122" i="88"/>
  <c r="AV122" i="88"/>
  <c r="AU122" i="88"/>
  <c r="AT122" i="88"/>
  <c r="AS122" i="88"/>
  <c r="BF122" i="88" s="1"/>
  <c r="AR122" i="88"/>
  <c r="BE122" i="88" s="1"/>
  <c r="AQ122" i="88"/>
  <c r="AP122" i="88"/>
  <c r="AJ122" i="88"/>
  <c r="BK122" i="88" s="1"/>
  <c r="AI122" i="88"/>
  <c r="BJ122" i="88" s="1"/>
  <c r="AH122" i="88"/>
  <c r="AG122" i="88"/>
  <c r="AF122" i="88"/>
  <c r="AE122" i="88"/>
  <c r="AD122" i="88"/>
  <c r="AC122" i="88"/>
  <c r="AB122" i="88"/>
  <c r="K122" i="88"/>
  <c r="BT121" i="88"/>
  <c r="BQ121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W120" i="88" s="1"/>
  <c r="AN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AP118" i="88"/>
  <c r="BC118" i="88" s="1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W117" i="88" s="1"/>
  <c r="Y117" i="88" s="1"/>
  <c r="AN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AO115" i="88"/>
  <c r="W115" i="88" s="1"/>
  <c r="AN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AN113" i="88"/>
  <c r="K113" i="88"/>
  <c r="BQ112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BI112" i="88" s="1"/>
  <c r="AG112" i="88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W111" i="88" s="1"/>
  <c r="AN111" i="88"/>
  <c r="K111" i="88"/>
  <c r="BT110" i="88"/>
  <c r="BQ110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E105" i="88"/>
  <c r="BD105" i="88"/>
  <c r="BC105" i="88"/>
  <c r="AS105" i="88"/>
  <c r="BF105" i="88" s="1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AO101" i="88"/>
  <c r="W101" i="88" s="1"/>
  <c r="AN101" i="88"/>
  <c r="K101" i="88"/>
  <c r="BA100" i="88"/>
  <c r="AZ100" i="88"/>
  <c r="BM100" i="88" s="1"/>
  <c r="AY100" i="88"/>
  <c r="AX100" i="88"/>
  <c r="AW100" i="88"/>
  <c r="BJ100" i="88" s="1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BI100" i="88" s="1"/>
  <c r="AG100" i="88"/>
  <c r="AF100" i="88"/>
  <c r="AE100" i="88"/>
  <c r="AD100" i="88"/>
  <c r="AC100" i="88"/>
  <c r="AB100" i="88"/>
  <c r="K100" i="88"/>
  <c r="BT99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B98" i="88"/>
  <c r="AG98" i="88"/>
  <c r="AO98" i="88" s="1"/>
  <c r="AF98" i="88"/>
  <c r="BG98" i="88" s="1"/>
  <c r="AE98" i="88"/>
  <c r="BF98" i="88" s="1"/>
  <c r="AD98" i="88"/>
  <c r="BE98" i="88" s="1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AO96" i="88"/>
  <c r="W96" i="88" s="1"/>
  <c r="AN96" i="88"/>
  <c r="K96" i="88"/>
  <c r="BT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W95" i="88" s="1"/>
  <c r="Y95" i="88" s="1"/>
  <c r="AN95" i="88"/>
  <c r="K95" i="88"/>
  <c r="BF94" i="88"/>
  <c r="BA94" i="88"/>
  <c r="BN94" i="88" s="1"/>
  <c r="AZ94" i="88"/>
  <c r="BM94" i="88" s="1"/>
  <c r="AY94" i="88"/>
  <c r="AX94" i="88"/>
  <c r="BK94" i="88" s="1"/>
  <c r="AW94" i="88"/>
  <c r="AV94" i="88"/>
  <c r="AU94" i="88"/>
  <c r="AT94" i="88"/>
  <c r="AS94" i="88"/>
  <c r="AR94" i="88"/>
  <c r="BE94" i="88" s="1"/>
  <c r="AQ94" i="88"/>
  <c r="BD94" i="88" s="1"/>
  <c r="AP94" i="88"/>
  <c r="BQ94" i="88" s="1"/>
  <c r="AM94" i="88"/>
  <c r="AL94" i="88"/>
  <c r="AK94" i="88"/>
  <c r="AJ94" i="88"/>
  <c r="AI94" i="88"/>
  <c r="AH94" i="88"/>
  <c r="BI94" i="88" s="1"/>
  <c r="AG94" i="88"/>
  <c r="AF94" i="88"/>
  <c r="BG94" i="88" s="1"/>
  <c r="AE94" i="88"/>
  <c r="AD94" i="88"/>
  <c r="AC94" i="88"/>
  <c r="AB94" i="88"/>
  <c r="K94" i="88"/>
  <c r="BT93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AS92" i="88"/>
  <c r="AR92" i="88"/>
  <c r="AP92" i="88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AO91" i="88"/>
  <c r="AN91" i="88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AO88" i="88"/>
  <c r="W88" i="88" s="1"/>
  <c r="AN88" i="88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AO86" i="88"/>
  <c r="W86" i="88" s="1"/>
  <c r="AN86" i="88"/>
  <c r="K86" i="88"/>
  <c r="BT85" i="88"/>
  <c r="BM85" i="88"/>
  <c r="BJ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AV85" i="88"/>
  <c r="BI85" i="88" s="1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AO84" i="88"/>
  <c r="W84" i="88" s="1"/>
  <c r="AN84" i="88"/>
  <c r="K84" i="88"/>
  <c r="BT83" i="88"/>
  <c r="BQ83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AO83" i="88"/>
  <c r="W83" i="88" s="1"/>
  <c r="AN83" i="88"/>
  <c r="K83" i="88"/>
  <c r="BL82" i="88"/>
  <c r="BK82" i="88"/>
  <c r="BI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AO79" i="88"/>
  <c r="W79" i="88" s="1"/>
  <c r="AN79" i="88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F76" i="88"/>
  <c r="BE76" i="88"/>
  <c r="BD76" i="88"/>
  <c r="AU76" i="88"/>
  <c r="BH76" i="88" s="1"/>
  <c r="AT76" i="88"/>
  <c r="BG76" i="88" s="1"/>
  <c r="AS76" i="88"/>
  <c r="AR76" i="88"/>
  <c r="AQ76" i="88"/>
  <c r="AP76" i="88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AO75" i="88"/>
  <c r="W75" i="88" s="1"/>
  <c r="AN75" i="88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AO74" i="88"/>
  <c r="W74" i="88" s="1"/>
  <c r="AN74" i="88"/>
  <c r="K74" i="88"/>
  <c r="BT73" i="88"/>
  <c r="BQ73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AO72" i="88"/>
  <c r="W72" i="88" s="1"/>
  <c r="AN72" i="88"/>
  <c r="K72" i="88"/>
  <c r="BT71" i="88"/>
  <c r="BQ71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AS68" i="88"/>
  <c r="AR68" i="88"/>
  <c r="BE68" i="88" s="1"/>
  <c r="AQ68" i="88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F68" i="88"/>
  <c r="AE68" i="88"/>
  <c r="AD68" i="88"/>
  <c r="AC68" i="88"/>
  <c r="AB68" i="88"/>
  <c r="K68" i="88"/>
  <c r="BT67" i="88"/>
  <c r="BQ67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BM67" i="88" s="1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W66" i="88" s="1"/>
  <c r="AN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AO65" i="88"/>
  <c r="W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AO63" i="88"/>
  <c r="W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W62" i="88" s="1"/>
  <c r="AN62" i="88"/>
  <c r="K62" i="88"/>
  <c r="BT61" i="88"/>
  <c r="BN61" i="88"/>
  <c r="BH61" i="88"/>
  <c r="BF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AR61" i="88"/>
  <c r="BE61" i="88" s="1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D60" i="88"/>
  <c r="AT60" i="88"/>
  <c r="AS60" i="88"/>
  <c r="BF60" i="88" s="1"/>
  <c r="AR60" i="88"/>
  <c r="BE60" i="88" s="1"/>
  <c r="AQ60" i="88"/>
  <c r="AP60" i="88"/>
  <c r="BC60" i="88" s="1"/>
  <c r="AO60" i="88"/>
  <c r="AN60" i="88"/>
  <c r="K60" i="88"/>
  <c r="BL59" i="88"/>
  <c r="BJ59" i="88"/>
  <c r="AT59" i="88"/>
  <c r="AS59" i="88"/>
  <c r="AR59" i="88"/>
  <c r="AQ59" i="88"/>
  <c r="AP59" i="88"/>
  <c r="BC59" i="88" s="1"/>
  <c r="AM59" i="88"/>
  <c r="BN59" i="88" s="1"/>
  <c r="AL59" i="88"/>
  <c r="BM59" i="88" s="1"/>
  <c r="AK59" i="88"/>
  <c r="AJ59" i="88"/>
  <c r="BK59" i="88" s="1"/>
  <c r="AI59" i="88"/>
  <c r="AH59" i="88"/>
  <c r="BI59" i="88" s="1"/>
  <c r="AG59" i="88"/>
  <c r="BH59" i="88" s="1"/>
  <c r="AF59" i="88"/>
  <c r="AE59" i="88"/>
  <c r="BF59" i="88" s="1"/>
  <c r="AD59" i="88"/>
  <c r="AC59" i="88"/>
  <c r="BD59" i="88" s="1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AO58" i="88"/>
  <c r="W58" i="88" s="1"/>
  <c r="AN58" i="88"/>
  <c r="K58" i="88"/>
  <c r="BT57" i="88"/>
  <c r="BQ57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W56" i="88" s="1"/>
  <c r="Y56" i="88" s="1"/>
  <c r="AN56" i="88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AO55" i="88"/>
  <c r="W55" i="88" s="1"/>
  <c r="AN55" i="88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AO54" i="88"/>
  <c r="W54" i="88" s="1"/>
  <c r="AN54" i="88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O53" i="88"/>
  <c r="W53" i="88" s="1"/>
  <c r="X53" i="88" s="1"/>
  <c r="AN53" i="88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AO50" i="88"/>
  <c r="W50" i="88" s="1"/>
  <c r="AN50" i="88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AO49" i="88"/>
  <c r="W49" i="88" s="1"/>
  <c r="AN49" i="88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AO47" i="88" s="1"/>
  <c r="W47" i="88" s="1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AO46" i="88"/>
  <c r="W46" i="88" s="1"/>
  <c r="AN46" i="88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AO45" i="88"/>
  <c r="W45" i="88" s="1"/>
  <c r="AN45" i="88"/>
  <c r="K45" i="88"/>
  <c r="BT44" i="88"/>
  <c r="BQ44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W43" i="88" s="1"/>
  <c r="AM43" i="88"/>
  <c r="AN43" i="88" s="1"/>
  <c r="K43" i="88"/>
  <c r="AV42" i="88"/>
  <c r="BI42" i="88" s="1"/>
  <c r="AU42" i="88"/>
  <c r="AT42" i="88"/>
  <c r="BG42" i="88" s="1"/>
  <c r="AS42" i="88"/>
  <c r="BF42" i="88" s="1"/>
  <c r="AR42" i="88"/>
  <c r="AQ42" i="88"/>
  <c r="AP42" i="88"/>
  <c r="AM42" i="88"/>
  <c r="BN42" i="88" s="1"/>
  <c r="AL42" i="88"/>
  <c r="BM42" i="88" s="1"/>
  <c r="AK42" i="88"/>
  <c r="BL42" i="88" s="1"/>
  <c r="AJ42" i="88"/>
  <c r="BK42" i="88" s="1"/>
  <c r="AI42" i="88"/>
  <c r="BJ42" i="88" s="1"/>
  <c r="AH42" i="88"/>
  <c r="AG42" i="88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AU41" i="88"/>
  <c r="BH41" i="88" s="1"/>
  <c r="AT41" i="88"/>
  <c r="AS41" i="88"/>
  <c r="BF41" i="88" s="1"/>
  <c r="AR41" i="88"/>
  <c r="BE41" i="88" s="1"/>
  <c r="AQ41" i="88"/>
  <c r="BD41" i="88" s="1"/>
  <c r="AP41" i="88"/>
  <c r="BC41" i="88" s="1"/>
  <c r="AM41" i="88"/>
  <c r="BN41" i="88" s="1"/>
  <c r="K41" i="88"/>
  <c r="BQ40" i="88"/>
  <c r="BM40" i="88"/>
  <c r="BL40" i="88"/>
  <c r="BK40" i="88"/>
  <c r="BJ40" i="88"/>
  <c r="BI40" i="88"/>
  <c r="BH40" i="88"/>
  <c r="BE40" i="88"/>
  <c r="BD40" i="88"/>
  <c r="BC40" i="88"/>
  <c r="BB40" i="88"/>
  <c r="AM40" i="88"/>
  <c r="BN40" i="88" s="1"/>
  <c r="AF40" i="88"/>
  <c r="BG40" i="88" s="1"/>
  <c r="AE40" i="88"/>
  <c r="K40" i="88"/>
  <c r="BD39" i="88"/>
  <c r="BC39" i="88"/>
  <c r="BA39" i="88"/>
  <c r="AZ39" i="88"/>
  <c r="AY39" i="88"/>
  <c r="AX39" i="88"/>
  <c r="AW39" i="88"/>
  <c r="AV39" i="88"/>
  <c r="AU39" i="88"/>
  <c r="BH39" i="88" s="1"/>
  <c r="AT39" i="88"/>
  <c r="AS39" i="88"/>
  <c r="AR39" i="88"/>
  <c r="AM39" i="88"/>
  <c r="AL39" i="88"/>
  <c r="AK39" i="88"/>
  <c r="AJ39" i="88"/>
  <c r="AI39" i="88"/>
  <c r="AH39" i="88"/>
  <c r="BI39" i="88" s="1"/>
  <c r="AG39" i="88"/>
  <c r="AF39" i="88"/>
  <c r="AE39" i="88"/>
  <c r="AD39" i="88"/>
  <c r="K39" i="88"/>
  <c r="AT38" i="88"/>
  <c r="BG38" i="88" s="1"/>
  <c r="AS38" i="88"/>
  <c r="BF38" i="88" s="1"/>
  <c r="AR38" i="88"/>
  <c r="BE38" i="88" s="1"/>
  <c r="AQ38" i="88"/>
  <c r="AP38" i="88"/>
  <c r="BC38" i="88" s="1"/>
  <c r="AF38" i="88"/>
  <c r="AG38" i="88" s="1"/>
  <c r="AE38" i="88"/>
  <c r="AD38" i="88"/>
  <c r="AC38" i="88"/>
  <c r="AB38" i="88"/>
  <c r="K38" i="88"/>
  <c r="BJ37" i="88"/>
  <c r="AU37" i="88"/>
  <c r="AT37" i="88"/>
  <c r="AS37" i="88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BI37" i="88" s="1"/>
  <c r="AG37" i="88"/>
  <c r="AF37" i="88"/>
  <c r="AE37" i="88"/>
  <c r="AD37" i="88"/>
  <c r="BE37" i="88" s="1"/>
  <c r="AC37" i="88"/>
  <c r="AB37" i="88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AO36" i="88"/>
  <c r="AN36" i="88"/>
  <c r="K36" i="88"/>
  <c r="BT35" i="88"/>
  <c r="BG35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K35" i="88"/>
  <c r="BT34" i="88"/>
  <c r="BN34" i="88"/>
  <c r="BM34" i="88"/>
  <c r="BK34" i="88"/>
  <c r="BJ34" i="88"/>
  <c r="BI34" i="88"/>
  <c r="BG34" i="88"/>
  <c r="AU34" i="88"/>
  <c r="BH34" i="88" s="1"/>
  <c r="AT34" i="88"/>
  <c r="AS34" i="88"/>
  <c r="BF34" i="88" s="1"/>
  <c r="AR34" i="88"/>
  <c r="BE34" i="88" s="1"/>
  <c r="AQ34" i="88"/>
  <c r="BD34" i="88" s="1"/>
  <c r="AP34" i="88"/>
  <c r="BC34" i="88" s="1"/>
  <c r="AO34" i="88"/>
  <c r="AN34" i="88"/>
  <c r="AK34" i="88"/>
  <c r="BL34" i="88" s="1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AO33" i="88"/>
  <c r="W33" i="88" s="1"/>
  <c r="AN33" i="88"/>
  <c r="K33" i="88"/>
  <c r="BQ32" i="88"/>
  <c r="BJ32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AH32" i="88"/>
  <c r="BI32" i="88" s="1"/>
  <c r="AG32" i="88"/>
  <c r="AF32" i="88"/>
  <c r="BG32" i="88" s="1"/>
  <c r="AE32" i="88"/>
  <c r="BF32" i="88" s="1"/>
  <c r="AB32" i="88"/>
  <c r="BT32" i="88" s="1"/>
  <c r="K32" i="88"/>
  <c r="BQ31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BI31" i="88" s="1"/>
  <c r="AG31" i="88"/>
  <c r="AF31" i="88"/>
  <c r="BG31" i="88" s="1"/>
  <c r="AE31" i="88"/>
  <c r="BF31" i="88" s="1"/>
  <c r="AD31" i="88"/>
  <c r="BE31" i="88" s="1"/>
  <c r="AC31" i="88"/>
  <c r="BD31" i="88" s="1"/>
  <c r="AB31" i="88"/>
  <c r="K31" i="88"/>
  <c r="BQ30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BI30" i="88" s="1"/>
  <c r="AG30" i="88"/>
  <c r="BH30" i="88" s="1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BI29" i="88" s="1"/>
  <c r="AG29" i="88"/>
  <c r="AF29" i="88"/>
  <c r="BG29" i="88" s="1"/>
  <c r="AE29" i="88"/>
  <c r="BF29" i="88" s="1"/>
  <c r="AD29" i="88"/>
  <c r="BE29" i="88" s="1"/>
  <c r="AC29" i="88"/>
  <c r="AB29" i="88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C28" i="88"/>
  <c r="BD28" i="88" s="1"/>
  <c r="AB28" i="88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AO27" i="88"/>
  <c r="W27" i="88" s="1"/>
  <c r="AN27" i="88"/>
  <c r="K27" i="88"/>
  <c r="AT26" i="88"/>
  <c r="AS26" i="88"/>
  <c r="BB26" i="88" s="1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BI26" i="88" s="1"/>
  <c r="AG26" i="88"/>
  <c r="BH26" i="88" s="1"/>
  <c r="AF26" i="88"/>
  <c r="BG26" i="88" s="1"/>
  <c r="AE26" i="88"/>
  <c r="BF26" i="88" s="1"/>
  <c r="AD26" i="88"/>
  <c r="BE26" i="88" s="1"/>
  <c r="AC26" i="88"/>
  <c r="BD26" i="88" s="1"/>
  <c r="AB26" i="88"/>
  <c r="BC26" i="88" s="1"/>
  <c r="K26" i="88"/>
  <c r="BQ25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BI25" i="88" s="1"/>
  <c r="AG25" i="88"/>
  <c r="BH25" i="88" s="1"/>
  <c r="AF25" i="88"/>
  <c r="BG25" i="88" s="1"/>
  <c r="AE25" i="88"/>
  <c r="BF25" i="88" s="1"/>
  <c r="AD25" i="88"/>
  <c r="BE25" i="88" s="1"/>
  <c r="AC25" i="88"/>
  <c r="BD25" i="88" s="1"/>
  <c r="AB25" i="88"/>
  <c r="K25" i="88"/>
  <c r="BT24" i="88"/>
  <c r="BJ24" i="88"/>
  <c r="BI24" i="88"/>
  <c r="BF24" i="88"/>
  <c r="BE24" i="88"/>
  <c r="BD24" i="88"/>
  <c r="BC24" i="88"/>
  <c r="AT24" i="88"/>
  <c r="AS24" i="88"/>
  <c r="AR24" i="88"/>
  <c r="BQ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Q23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BH23" i="88" s="1"/>
  <c r="AF23" i="88"/>
  <c r="BG23" i="88" s="1"/>
  <c r="AE23" i="88"/>
  <c r="BF23" i="88" s="1"/>
  <c r="AD23" i="88"/>
  <c r="AC23" i="88"/>
  <c r="BD23" i="88" s="1"/>
  <c r="AB23" i="88"/>
  <c r="BC23" i="88" s="1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O19" i="88"/>
  <c r="W19" i="88" s="1"/>
  <c r="Y19" i="88" s="1"/>
  <c r="AN19" i="88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AO16" i="88"/>
  <c r="W16" i="88" s="1"/>
  <c r="AN16" i="88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O14" i="88"/>
  <c r="W14" i="88" s="1"/>
  <c r="Y14" i="88" s="1"/>
  <c r="AN14" i="88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AO13" i="88"/>
  <c r="W13" i="88" s="1"/>
  <c r="AN13" i="88"/>
  <c r="K13" i="88"/>
  <c r="BQ12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BI12" i="88" s="1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T11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AO10" i="88"/>
  <c r="W10" i="88" s="1"/>
  <c r="AN10" i="88"/>
  <c r="K10" i="88"/>
  <c r="BQ9" i="88"/>
  <c r="BN9" i="88"/>
  <c r="BL9" i="88"/>
  <c r="BJ9" i="88"/>
  <c r="BB9" i="88"/>
  <c r="AL9" i="88"/>
  <c r="BM9" i="88" s="1"/>
  <c r="AK9" i="88"/>
  <c r="AJ9" i="88"/>
  <c r="BK9" i="88" s="1"/>
  <c r="AI9" i="88"/>
  <c r="AH9" i="88"/>
  <c r="BI9" i="88" s="1"/>
  <c r="AG9" i="88"/>
  <c r="AF9" i="88"/>
  <c r="BG9" i="88" s="1"/>
  <c r="AE9" i="88"/>
  <c r="BF9" i="88" s="1"/>
  <c r="AD9" i="88"/>
  <c r="BE9" i="88" s="1"/>
  <c r="AC9" i="88"/>
  <c r="BD9" i="88" s="1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AO7" i="88"/>
  <c r="W7" i="88" s="1"/>
  <c r="AN7" i="88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AO6" i="88"/>
  <c r="W6" i="88" s="1"/>
  <c r="AN6" i="88"/>
  <c r="K6" i="88"/>
  <c r="BT5" i="88"/>
  <c r="BQ5" i="88"/>
  <c r="BN5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AO4" i="88"/>
  <c r="AN4" i="88"/>
  <c r="K4" i="88"/>
  <c r="AT3" i="88"/>
  <c r="AS3" i="88"/>
  <c r="BF3" i="88" s="1"/>
  <c r="AR3" i="88"/>
  <c r="BE3" i="88" s="1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BI3" i="88" s="1"/>
  <c r="AG3" i="88"/>
  <c r="AF3" i="88"/>
  <c r="AE3" i="88"/>
  <c r="AD3" i="88"/>
  <c r="AC3" i="88"/>
  <c r="BD3" i="88" s="1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BI2" i="88" s="1"/>
  <c r="AG2" i="88"/>
  <c r="BH2" i="88" s="1"/>
  <c r="AF2" i="88"/>
  <c r="BG2" i="88" s="1"/>
  <c r="AE2" i="88"/>
  <c r="AD2" i="88"/>
  <c r="AC2" i="88"/>
  <c r="AB2" i="88"/>
  <c r="K2" i="88"/>
  <c r="F15" i="89" l="1"/>
  <c r="D21" i="89"/>
  <c r="AR152" i="88"/>
  <c r="BT3" i="88"/>
  <c r="BG3" i="88"/>
  <c r="BD38" i="88"/>
  <c r="BK39" i="88"/>
  <c r="AN40" i="88"/>
  <c r="BT40" i="88"/>
  <c r="BH42" i="88"/>
  <c r="AO68" i="88"/>
  <c r="W68" i="88" s="1"/>
  <c r="BD68" i="88"/>
  <c r="BL71" i="88"/>
  <c r="BQ76" i="88"/>
  <c r="AO94" i="88"/>
  <c r="W94" i="88" s="1"/>
  <c r="BL94" i="88"/>
  <c r="BF100" i="88"/>
  <c r="BN100" i="88"/>
  <c r="AO122" i="88"/>
  <c r="BG122" i="88"/>
  <c r="AO37" i="88"/>
  <c r="AN39" i="88"/>
  <c r="BL39" i="88"/>
  <c r="BH122" i="88"/>
  <c r="AT152" i="88"/>
  <c r="AO31" i="88"/>
  <c r="W31" i="88" s="1"/>
  <c r="W35" i="88"/>
  <c r="Y35" i="88" s="1"/>
  <c r="BE39" i="88"/>
  <c r="BM39" i="88"/>
  <c r="BQ51" i="88"/>
  <c r="BB60" i="88"/>
  <c r="BF68" i="88"/>
  <c r="BG82" i="88"/>
  <c r="BB93" i="88"/>
  <c r="BI122" i="88"/>
  <c r="BC9" i="88"/>
  <c r="BF37" i="88"/>
  <c r="AO39" i="88"/>
  <c r="W39" i="88" s="1"/>
  <c r="BF39" i="88"/>
  <c r="BN39" i="88"/>
  <c r="AO40" i="88"/>
  <c r="W40" i="88" s="1"/>
  <c r="X40" i="88" s="1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AO9" i="88"/>
  <c r="BT9" i="88"/>
  <c r="BB24" i="88"/>
  <c r="AO32" i="88"/>
  <c r="W32" i="88" s="1"/>
  <c r="BT37" i="88"/>
  <c r="BG37" i="88"/>
  <c r="AU38" i="88"/>
  <c r="AV38" i="88" s="1"/>
  <c r="AW38" i="88" s="1"/>
  <c r="AW152" i="88" s="1"/>
  <c r="BG39" i="88"/>
  <c r="AO41" i="88"/>
  <c r="W41" i="88" s="1"/>
  <c r="AO42" i="88"/>
  <c r="W42" i="88" s="1"/>
  <c r="BD42" i="88"/>
  <c r="W60" i="88"/>
  <c r="BQ82" i="88"/>
  <c r="BE92" i="88"/>
  <c r="BO92" i="88" s="1"/>
  <c r="BH94" i="88"/>
  <c r="BD122" i="88"/>
  <c r="BT122" i="88"/>
  <c r="AO3" i="88"/>
  <c r="W3" i="88" s="1"/>
  <c r="BB11" i="88"/>
  <c r="BT31" i="88"/>
  <c r="BH37" i="88"/>
  <c r="BJ39" i="88"/>
  <c r="BQ41" i="88"/>
  <c r="BE42" i="88"/>
  <c r="BQ60" i="88"/>
  <c r="BJ82" i="88"/>
  <c r="BC100" i="88"/>
  <c r="BK100" i="88"/>
  <c r="BT107" i="88"/>
  <c r="BB76" i="88"/>
  <c r="BB82" i="88"/>
  <c r="BC82" i="88"/>
  <c r="BT94" i="88"/>
  <c r="BH100" i="88"/>
  <c r="Z149" i="88"/>
  <c r="BR74" i="88"/>
  <c r="BS74" i="88" s="1"/>
  <c r="BU74" i="88" s="1"/>
  <c r="BR144" i="88"/>
  <c r="BS144" i="88" s="1"/>
  <c r="BU144" i="88" s="1"/>
  <c r="BR50" i="88"/>
  <c r="BS50" i="88" s="1"/>
  <c r="BU50" i="88" s="1"/>
  <c r="BR54" i="88"/>
  <c r="BR148" i="88"/>
  <c r="BS148" i="88" s="1"/>
  <c r="BU148" i="88" s="1"/>
  <c r="BR63" i="88"/>
  <c r="BR138" i="88"/>
  <c r="BS138" i="88" s="1"/>
  <c r="BU138" i="88" s="1"/>
  <c r="BR6" i="88"/>
  <c r="BS6" i="88" s="1"/>
  <c r="BU6" i="88" s="1"/>
  <c r="BR27" i="88"/>
  <c r="BS27" i="88" s="1"/>
  <c r="BU27" i="88" s="1"/>
  <c r="BR111" i="88"/>
  <c r="BS111" i="88" s="1"/>
  <c r="BU111" i="88" s="1"/>
  <c r="BR142" i="88"/>
  <c r="BS142" i="88" s="1"/>
  <c r="BU142" i="88" s="1"/>
  <c r="BR126" i="88"/>
  <c r="BS126" i="88" s="1"/>
  <c r="BU126" i="88" s="1"/>
  <c r="BR134" i="88"/>
  <c r="BS134" i="88" s="1"/>
  <c r="BU134" i="88" s="1"/>
  <c r="BR16" i="88"/>
  <c r="BS16" i="88" s="1"/>
  <c r="BU16" i="88" s="1"/>
  <c r="BR139" i="88"/>
  <c r="BS139" i="88" s="1"/>
  <c r="BU139" i="88" s="1"/>
  <c r="AE152" i="88"/>
  <c r="AN28" i="88"/>
  <c r="AN30" i="88"/>
  <c r="BR7" i="88"/>
  <c r="BS7" i="88" s="1"/>
  <c r="BU7" i="88" s="1"/>
  <c r="BR43" i="88"/>
  <c r="BS43" i="88" s="1"/>
  <c r="BU43" i="88" s="1"/>
  <c r="BR55" i="88"/>
  <c r="BS55" i="88" s="1"/>
  <c r="BU55" i="88" s="1"/>
  <c r="BO63" i="88"/>
  <c r="Y53" i="88"/>
  <c r="Z53" i="88" s="1"/>
  <c r="BR49" i="88"/>
  <c r="BS49" i="88" s="1"/>
  <c r="BU49" i="88" s="1"/>
  <c r="BO137" i="88"/>
  <c r="AF152" i="88"/>
  <c r="AO12" i="88"/>
  <c r="W12" i="88" s="1"/>
  <c r="BR46" i="88"/>
  <c r="BS46" i="88" s="1"/>
  <c r="BU46" i="88" s="1"/>
  <c r="BO106" i="88"/>
  <c r="BO110" i="88"/>
  <c r="BO115" i="88"/>
  <c r="AB152" i="88"/>
  <c r="AC152" i="88"/>
  <c r="AD152" i="88"/>
  <c r="BD29" i="88"/>
  <c r="X33" i="88"/>
  <c r="Y33" i="88"/>
  <c r="BR130" i="88"/>
  <c r="BS130" i="88" s="1"/>
  <c r="BU130" i="88" s="1"/>
  <c r="Y130" i="88"/>
  <c r="X130" i="88"/>
  <c r="BR75" i="88"/>
  <c r="BS75" i="88" s="1"/>
  <c r="BU75" i="88" s="1"/>
  <c r="X75" i="88"/>
  <c r="BR79" i="88"/>
  <c r="BS79" i="88" s="1"/>
  <c r="BU79" i="88" s="1"/>
  <c r="X79" i="88"/>
  <c r="BR101" i="88"/>
  <c r="BS101" i="88" s="1"/>
  <c r="BU101" i="88" s="1"/>
  <c r="X101" i="88"/>
  <c r="Y101" i="88"/>
  <c r="BR58" i="88"/>
  <c r="BS58" i="88" s="1"/>
  <c r="BU58" i="88" s="1"/>
  <c r="Y58" i="88"/>
  <c r="X58" i="88"/>
  <c r="BR88" i="88"/>
  <c r="BS88" i="88" s="1"/>
  <c r="BU88" i="88" s="1"/>
  <c r="X88" i="88"/>
  <c r="BR45" i="88"/>
  <c r="BS45" i="88" s="1"/>
  <c r="BU45" i="88" s="1"/>
  <c r="Y45" i="88"/>
  <c r="X45" i="88"/>
  <c r="BR84" i="88"/>
  <c r="BS84" i="88" s="1"/>
  <c r="BU84" i="88" s="1"/>
  <c r="X84" i="88"/>
  <c r="BO7" i="88"/>
  <c r="X27" i="88"/>
  <c r="BC29" i="88"/>
  <c r="BO45" i="88"/>
  <c r="X55" i="88"/>
  <c r="X74" i="88"/>
  <c r="BO75" i="88"/>
  <c r="BO83" i="88"/>
  <c r="BO90" i="88"/>
  <c r="BR95" i="88"/>
  <c r="BS95" i="88" s="1"/>
  <c r="BU95" i="88" s="1"/>
  <c r="X117" i="88"/>
  <c r="Z117" i="88" s="1"/>
  <c r="X134" i="88"/>
  <c r="BO10" i="88"/>
  <c r="BH12" i="88"/>
  <c r="BO14" i="88"/>
  <c r="BO15" i="88"/>
  <c r="BO21" i="88"/>
  <c r="AO29" i="88"/>
  <c r="W29" i="88" s="1"/>
  <c r="BO46" i="88"/>
  <c r="BO48" i="88"/>
  <c r="BO49" i="88"/>
  <c r="BR65" i="88"/>
  <c r="BS65" i="88" s="1"/>
  <c r="BU65" i="88" s="1"/>
  <c r="BO84" i="88"/>
  <c r="BO91" i="88"/>
  <c r="BO127" i="88"/>
  <c r="BO129" i="88"/>
  <c r="Y134" i="88"/>
  <c r="BO145" i="88"/>
  <c r="BO148" i="88"/>
  <c r="AN12" i="88"/>
  <c r="BO16" i="88"/>
  <c r="AO23" i="88"/>
  <c r="W23" i="88" s="1"/>
  <c r="BO36" i="88"/>
  <c r="BO54" i="88"/>
  <c r="BO77" i="88"/>
  <c r="BO79" i="88"/>
  <c r="BO81" i="88"/>
  <c r="BO97" i="88"/>
  <c r="BO105" i="88"/>
  <c r="X126" i="88"/>
  <c r="BO130" i="88"/>
  <c r="BO132" i="88"/>
  <c r="BO138" i="88"/>
  <c r="BO142" i="88"/>
  <c r="BO143" i="88"/>
  <c r="BO135" i="88"/>
  <c r="BO13" i="88"/>
  <c r="BT28" i="88"/>
  <c r="BH29" i="88"/>
  <c r="AH38" i="88"/>
  <c r="AI38" i="88" s="1"/>
  <c r="AJ38" i="88" s="1"/>
  <c r="AK38" i="88" s="1"/>
  <c r="AL38" i="88" s="1"/>
  <c r="AM38" i="88" s="1"/>
  <c r="X54" i="88"/>
  <c r="BO58" i="88"/>
  <c r="BO86" i="88"/>
  <c r="BO88" i="88"/>
  <c r="BO101" i="88"/>
  <c r="X111" i="88"/>
  <c r="W113" i="88"/>
  <c r="Y126" i="88"/>
  <c r="X138" i="88"/>
  <c r="BO139" i="88"/>
  <c r="X142" i="88"/>
  <c r="BO17" i="88"/>
  <c r="BI23" i="88"/>
  <c r="BO27" i="88"/>
  <c r="AN29" i="88"/>
  <c r="AO30" i="88"/>
  <c r="W30" i="88" s="1"/>
  <c r="BC30" i="88"/>
  <c r="BO30" i="88" s="1"/>
  <c r="BT30" i="88"/>
  <c r="BO33" i="88"/>
  <c r="BO50" i="88"/>
  <c r="Y54" i="88"/>
  <c r="BO55" i="88"/>
  <c r="BO71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AO25" i="88"/>
  <c r="W25" i="88" s="1"/>
  <c r="BO26" i="88"/>
  <c r="BO41" i="88"/>
  <c r="BO57" i="88"/>
  <c r="BO64" i="88"/>
  <c r="BO65" i="88"/>
  <c r="BO69" i="88"/>
  <c r="BO70" i="88"/>
  <c r="BO74" i="88"/>
  <c r="W91" i="88"/>
  <c r="BR91" i="88" s="1"/>
  <c r="BS91" i="88" s="1"/>
  <c r="BU91" i="88" s="1"/>
  <c r="BO121" i="88"/>
  <c r="BO134" i="88"/>
  <c r="BO136" i="88"/>
  <c r="BO146" i="88"/>
  <c r="BO6" i="88"/>
  <c r="BO18" i="88"/>
  <c r="BO44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BR15" i="88"/>
  <c r="BS15" i="88" s="1"/>
  <c r="BU15" i="88" s="1"/>
  <c r="Y15" i="88"/>
  <c r="X15" i="88"/>
  <c r="W11" i="88"/>
  <c r="Y13" i="88"/>
  <c r="X13" i="88"/>
  <c r="BR13" i="88"/>
  <c r="BS13" i="88" s="1"/>
  <c r="BU13" i="88" s="1"/>
  <c r="Y10" i="88"/>
  <c r="X10" i="88"/>
  <c r="BR10" i="88"/>
  <c r="BS10" i="88" s="1"/>
  <c r="BU10" i="88" s="1"/>
  <c r="Y17" i="88"/>
  <c r="X17" i="88"/>
  <c r="BR17" i="88"/>
  <c r="BS17" i="88" s="1"/>
  <c r="BU17" i="88" s="1"/>
  <c r="Y21" i="88"/>
  <c r="X21" i="88"/>
  <c r="BR21" i="88"/>
  <c r="BS21" i="88" s="1"/>
  <c r="BU21" i="88" s="1"/>
  <c r="W5" i="88"/>
  <c r="X20" i="88"/>
  <c r="BR20" i="88"/>
  <c r="BS20" i="88" s="1"/>
  <c r="BU20" i="88" s="1"/>
  <c r="Y20" i="88"/>
  <c r="W9" i="88"/>
  <c r="BC12" i="88"/>
  <c r="BT12" i="88"/>
  <c r="W37" i="88"/>
  <c r="BR41" i="88"/>
  <c r="BS41" i="88" s="1"/>
  <c r="BU41" i="88" s="1"/>
  <c r="Y41" i="88"/>
  <c r="X41" i="88"/>
  <c r="X52" i="88"/>
  <c r="BR52" i="88"/>
  <c r="BS52" i="88" s="1"/>
  <c r="BU52" i="88" s="1"/>
  <c r="Y52" i="88"/>
  <c r="AN8" i="88"/>
  <c r="BR18" i="88"/>
  <c r="BS18" i="88" s="1"/>
  <c r="BU18" i="88" s="1"/>
  <c r="BT22" i="88"/>
  <c r="BC22" i="88"/>
  <c r="BO22" i="88" s="1"/>
  <c r="AN23" i="88"/>
  <c r="BE23" i="88"/>
  <c r="BT23" i="88"/>
  <c r="BQ2" i="88"/>
  <c r="X6" i="88"/>
  <c r="W4" i="88"/>
  <c r="AN5" i="88"/>
  <c r="Y6" i="88"/>
  <c r="AO8" i="88"/>
  <c r="BC11" i="88"/>
  <c r="BR14" i="88"/>
  <c r="BS14" i="88" s="1"/>
  <c r="BU14" i="88" s="1"/>
  <c r="X16" i="88"/>
  <c r="BR19" i="88"/>
  <c r="BS19" i="88" s="1"/>
  <c r="BU19" i="88" s="1"/>
  <c r="AN22" i="88"/>
  <c r="BB2" i="88"/>
  <c r="X7" i="88"/>
  <c r="AN11" i="88"/>
  <c r="Y16" i="88"/>
  <c r="W22" i="88"/>
  <c r="BT25" i="88"/>
  <c r="AN2" i="88"/>
  <c r="BC2" i="88"/>
  <c r="BK2" i="88"/>
  <c r="BT2" i="88"/>
  <c r="BH3" i="88"/>
  <c r="BQ3" i="88"/>
  <c r="Y7" i="88"/>
  <c r="AN24" i="88"/>
  <c r="AG152" i="88"/>
  <c r="BL2" i="88"/>
  <c r="X18" i="88"/>
  <c r="Z18" i="88" s="1"/>
  <c r="BO20" i="88"/>
  <c r="Y47" i="88"/>
  <c r="X47" i="88"/>
  <c r="BR47" i="88"/>
  <c r="BS47" i="88" s="1"/>
  <c r="BU47" i="88" s="1"/>
  <c r="BD2" i="88"/>
  <c r="AP152" i="88"/>
  <c r="BE2" i="88"/>
  <c r="BM2" i="88"/>
  <c r="BB3" i="88"/>
  <c r="BH9" i="88"/>
  <c r="BO9" i="88" s="1"/>
  <c r="X14" i="88"/>
  <c r="Z14" i="88" s="1"/>
  <c r="X19" i="88"/>
  <c r="Z19" i="88" s="1"/>
  <c r="BO34" i="88"/>
  <c r="AO2" i="88"/>
  <c r="AQ152" i="88"/>
  <c r="BF2" i="88"/>
  <c r="BN2" i="88"/>
  <c r="AN3" i="88"/>
  <c r="BH11" i="88"/>
  <c r="X48" i="88"/>
  <c r="BR48" i="88"/>
  <c r="BS48" i="88" s="1"/>
  <c r="BU48" i="88" s="1"/>
  <c r="Y48" i="88"/>
  <c r="AN26" i="88"/>
  <c r="BQ29" i="88"/>
  <c r="AN32" i="88"/>
  <c r="BH32" i="88"/>
  <c r="W34" i="88"/>
  <c r="BQ37" i="88"/>
  <c r="BQ39" i="88"/>
  <c r="BG51" i="88"/>
  <c r="BO51" i="88" s="1"/>
  <c r="W67" i="88"/>
  <c r="W78" i="88"/>
  <c r="Y86" i="88"/>
  <c r="X86" i="88"/>
  <c r="BR86" i="88"/>
  <c r="BS86" i="88" s="1"/>
  <c r="BU86" i="88" s="1"/>
  <c r="AO26" i="88"/>
  <c r="BQ35" i="88"/>
  <c r="BR35" i="88" s="1"/>
  <c r="BS35" i="88" s="1"/>
  <c r="AN44" i="88"/>
  <c r="X49" i="88"/>
  <c r="AN51" i="88"/>
  <c r="X73" i="88"/>
  <c r="BR73" i="88"/>
  <c r="BS73" i="88" s="1"/>
  <c r="BU73" i="88" s="1"/>
  <c r="Y73" i="88"/>
  <c r="W87" i="88"/>
  <c r="AO24" i="88"/>
  <c r="AN25" i="88"/>
  <c r="BQ26" i="88"/>
  <c r="Y27" i="88"/>
  <c r="W28" i="88"/>
  <c r="BB29" i="88"/>
  <c r="X35" i="88"/>
  <c r="Z35" i="88" s="1"/>
  <c r="AN37" i="88"/>
  <c r="BB37" i="88"/>
  <c r="BQ38" i="88"/>
  <c r="BB39" i="88"/>
  <c r="X43" i="88"/>
  <c r="AO44" i="88"/>
  <c r="X46" i="88"/>
  <c r="Y49" i="88"/>
  <c r="W51" i="88"/>
  <c r="Y55" i="88"/>
  <c r="X56" i="88"/>
  <c r="Z56" i="88" s="1"/>
  <c r="BE59" i="88"/>
  <c r="BT59" i="88"/>
  <c r="BR62" i="88"/>
  <c r="BS62" i="88" s="1"/>
  <c r="BU62" i="88" s="1"/>
  <c r="Y62" i="88"/>
  <c r="X62" i="88"/>
  <c r="BR66" i="88"/>
  <c r="BS66" i="88" s="1"/>
  <c r="BU66" i="88" s="1"/>
  <c r="Y66" i="88"/>
  <c r="X66" i="88"/>
  <c r="BO67" i="88"/>
  <c r="Y69" i="88"/>
  <c r="X69" i="88"/>
  <c r="BR69" i="88"/>
  <c r="BS69" i="88" s="1"/>
  <c r="BU69" i="88" s="1"/>
  <c r="BG24" i="88"/>
  <c r="BO24" i="88" s="1"/>
  <c r="BC28" i="88"/>
  <c r="BO28" i="88" s="1"/>
  <c r="BT29" i="88"/>
  <c r="BC32" i="88"/>
  <c r="BR33" i="88"/>
  <c r="BS33" i="88" s="1"/>
  <c r="BU33" i="88" s="1"/>
  <c r="BQ34" i="88"/>
  <c r="BB35" i="88"/>
  <c r="BC37" i="88"/>
  <c r="BT39" i="88"/>
  <c r="BF40" i="88"/>
  <c r="BO40" i="88" s="1"/>
  <c r="BQ42" i="88"/>
  <c r="Y43" i="88"/>
  <c r="Y46" i="88"/>
  <c r="X50" i="88"/>
  <c r="BR53" i="88"/>
  <c r="BS53" i="88" s="1"/>
  <c r="BU53" i="88" s="1"/>
  <c r="BR56" i="88"/>
  <c r="BS56" i="88" s="1"/>
  <c r="BU56" i="88" s="1"/>
  <c r="W57" i="88"/>
  <c r="BB59" i="88"/>
  <c r="AN68" i="88"/>
  <c r="AN31" i="88"/>
  <c r="BH31" i="88"/>
  <c r="BQ36" i="88"/>
  <c r="AN42" i="88"/>
  <c r="BN43" i="88"/>
  <c r="BO43" i="88" s="1"/>
  <c r="Y50" i="88"/>
  <c r="BS54" i="88"/>
  <c r="BU54" i="88" s="1"/>
  <c r="AN59" i="88"/>
  <c r="Y64" i="88"/>
  <c r="X64" i="88"/>
  <c r="BR64" i="88"/>
  <c r="BS64" i="88" s="1"/>
  <c r="BU64" i="88" s="1"/>
  <c r="BR70" i="88"/>
  <c r="BS70" i="88" s="1"/>
  <c r="BU70" i="88" s="1"/>
  <c r="Y70" i="88"/>
  <c r="X70" i="88"/>
  <c r="BO89" i="88"/>
  <c r="BC25" i="88"/>
  <c r="BO25" i="88" s="1"/>
  <c r="BT26" i="88"/>
  <c r="BB34" i="88"/>
  <c r="AV152" i="88"/>
  <c r="BL35" i="88"/>
  <c r="BT38" i="88"/>
  <c r="BB42" i="88"/>
  <c r="BO52" i="88"/>
  <c r="AO59" i="88"/>
  <c r="W71" i="88"/>
  <c r="Y80" i="88"/>
  <c r="X80" i="88"/>
  <c r="BR80" i="88"/>
  <c r="BS80" i="88" s="1"/>
  <c r="BU80" i="88" s="1"/>
  <c r="W82" i="88"/>
  <c r="X83" i="88"/>
  <c r="BR83" i="88"/>
  <c r="BS83" i="88" s="1"/>
  <c r="BU83" i="88" s="1"/>
  <c r="Y83" i="88"/>
  <c r="BM35" i="88"/>
  <c r="BB36" i="88"/>
  <c r="BO56" i="88"/>
  <c r="BQ59" i="88"/>
  <c r="BO60" i="88"/>
  <c r="W61" i="88"/>
  <c r="BO62" i="88"/>
  <c r="X65" i="88"/>
  <c r="BO66" i="88"/>
  <c r="BC31" i="88"/>
  <c r="BN35" i="88"/>
  <c r="W36" i="88"/>
  <c r="BO61" i="88"/>
  <c r="Y63" i="88"/>
  <c r="X63" i="88"/>
  <c r="BS63" i="88"/>
  <c r="BU63" i="88" s="1"/>
  <c r="Y65" i="88"/>
  <c r="Y72" i="88"/>
  <c r="X72" i="88"/>
  <c r="BR72" i="88"/>
  <c r="BS72" i="88" s="1"/>
  <c r="BU72" i="88" s="1"/>
  <c r="Y77" i="88"/>
  <c r="X77" i="88"/>
  <c r="BR77" i="88"/>
  <c r="BS77" i="88" s="1"/>
  <c r="BU77" i="88" s="1"/>
  <c r="X81" i="88"/>
  <c r="BR81" i="88"/>
  <c r="BS81" i="88" s="1"/>
  <c r="BU81" i="88" s="1"/>
  <c r="Y81" i="88"/>
  <c r="BR90" i="88"/>
  <c r="BS90" i="88" s="1"/>
  <c r="BU90" i="88" s="1"/>
  <c r="Y90" i="88"/>
  <c r="X90" i="88"/>
  <c r="Y96" i="88"/>
  <c r="X96" i="88"/>
  <c r="BR96" i="88"/>
  <c r="BS96" i="88" s="1"/>
  <c r="BU96" i="88" s="1"/>
  <c r="W98" i="88"/>
  <c r="AN82" i="88"/>
  <c r="BH82" i="88"/>
  <c r="BT92" i="88"/>
  <c r="BC93" i="88"/>
  <c r="BO93" i="88" s="1"/>
  <c r="BR97" i="88"/>
  <c r="BS97" i="88" s="1"/>
  <c r="BU97" i="88" s="1"/>
  <c r="AO100" i="88"/>
  <c r="BB102" i="88"/>
  <c r="W103" i="88"/>
  <c r="BD103" i="88"/>
  <c r="BO103" i="88" s="1"/>
  <c r="Y120" i="88"/>
  <c r="X120" i="88"/>
  <c r="BR143" i="88"/>
  <c r="BS143" i="88" s="1"/>
  <c r="BU143" i="88" s="1"/>
  <c r="Y143" i="88"/>
  <c r="X143" i="88"/>
  <c r="Y145" i="88"/>
  <c r="X145" i="88"/>
  <c r="BR145" i="88"/>
  <c r="BS145" i="88" s="1"/>
  <c r="BU145" i="88" s="1"/>
  <c r="BB68" i="88"/>
  <c r="BB85" i="88"/>
  <c r="AN94" i="88"/>
  <c r="BJ99" i="88"/>
  <c r="Y119" i="88"/>
  <c r="X119" i="88"/>
  <c r="W128" i="88"/>
  <c r="Y137" i="88"/>
  <c r="X137" i="88"/>
  <c r="BR137" i="88"/>
  <c r="BS137" i="88" s="1"/>
  <c r="BU137" i="88" s="1"/>
  <c r="BC68" i="88"/>
  <c r="BT68" i="88"/>
  <c r="Y74" i="88"/>
  <c r="AO76" i="88"/>
  <c r="BC76" i="88"/>
  <c r="BO76" i="88" s="1"/>
  <c r="BN78" i="88"/>
  <c r="BO78" i="88" s="1"/>
  <c r="Y84" i="88"/>
  <c r="W85" i="88"/>
  <c r="BN87" i="88"/>
  <c r="BO87" i="88" s="1"/>
  <c r="AO89" i="88"/>
  <c r="AN92" i="88"/>
  <c r="BJ94" i="88"/>
  <c r="BH98" i="88"/>
  <c r="AL99" i="88"/>
  <c r="BK99" i="88"/>
  <c r="BD100" i="88"/>
  <c r="BL100" i="88"/>
  <c r="BB103" i="88"/>
  <c r="W107" i="88"/>
  <c r="BO113" i="88"/>
  <c r="BE119" i="88"/>
  <c r="BO119" i="88" s="1"/>
  <c r="BB119" i="88"/>
  <c r="BQ119" i="88"/>
  <c r="BR119" i="88" s="1"/>
  <c r="BS119" i="88" s="1"/>
  <c r="W121" i="88"/>
  <c r="W122" i="88"/>
  <c r="BQ6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BU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50" i="88"/>
  <c r="Y75" i="88"/>
  <c r="AN78" i="88"/>
  <c r="Y79" i="88"/>
  <c r="AN87" i="88"/>
  <c r="Y88" i="88"/>
  <c r="Z88" i="88" s="1"/>
  <c r="BQ93" i="88"/>
  <c r="BO95" i="88"/>
  <c r="BB99" i="88"/>
  <c r="AN100" i="88"/>
  <c r="BT100" i="88"/>
  <c r="BO107" i="88"/>
  <c r="W108" i="88"/>
  <c r="Y115" i="88"/>
  <c r="X115" i="88"/>
  <c r="BO117" i="88"/>
  <c r="W140" i="88"/>
  <c r="BR147" i="88"/>
  <c r="BS147" i="88" s="1"/>
  <c r="BU147" i="88" s="1"/>
  <c r="Y147" i="88"/>
  <c r="X147" i="88"/>
  <c r="BB61" i="88"/>
  <c r="BF85" i="88"/>
  <c r="BO85" i="88" s="1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BR110" i="88"/>
  <c r="BS110" i="88" s="1"/>
  <c r="BU110" i="88" s="1"/>
  <c r="BO114" i="88"/>
  <c r="BR115" i="88"/>
  <c r="BS115" i="88" s="1"/>
  <c r="BU115" i="88" s="1"/>
  <c r="Y129" i="88"/>
  <c r="X129" i="88"/>
  <c r="BR129" i="88"/>
  <c r="BS129" i="88" s="1"/>
  <c r="BU129" i="88" s="1"/>
  <c r="W136" i="88"/>
  <c r="BO140" i="88"/>
  <c r="BO150" i="88"/>
  <c r="AN71" i="88"/>
  <c r="X95" i="88"/>
  <c r="Z95" i="88" s="1"/>
  <c r="BQ103" i="88"/>
  <c r="AO105" i="88"/>
  <c r="AN105" i="88"/>
  <c r="BO108" i="88"/>
  <c r="W109" i="88"/>
  <c r="BO111" i="88"/>
  <c r="BT112" i="88"/>
  <c r="BR117" i="88"/>
  <c r="BS117" i="88" s="1"/>
  <c r="BU117" i="88" s="1"/>
  <c r="BQ118" i="88"/>
  <c r="BQ122" i="88"/>
  <c r="BC94" i="88"/>
  <c r="BT98" i="88"/>
  <c r="BC98" i="88"/>
  <c r="BB105" i="88"/>
  <c r="BQ105" i="88"/>
  <c r="W106" i="88"/>
  <c r="BF118" i="88"/>
  <c r="BO118" i="88" s="1"/>
  <c r="BB118" i="88"/>
  <c r="BB122" i="88"/>
  <c r="Y125" i="88"/>
  <c r="X125" i="88"/>
  <c r="BR125" i="88"/>
  <c r="BS125" i="88" s="1"/>
  <c r="BU125" i="88" s="1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X148" i="88"/>
  <c r="BF120" i="88"/>
  <c r="BO120" i="88" s="1"/>
  <c r="Y139" i="88"/>
  <c r="BQ140" i="88"/>
  <c r="BB141" i="88"/>
  <c r="Y144" i="88"/>
  <c r="Y148" i="88"/>
  <c r="BQ120" i="88"/>
  <c r="BR120" i="88" s="1"/>
  <c r="BS120" i="88" s="1"/>
  <c r="BB140" i="88"/>
  <c r="BO122" i="88" l="1"/>
  <c r="BH38" i="88"/>
  <c r="BH152" i="88" s="1"/>
  <c r="BR60" i="88"/>
  <c r="BS60" i="88" s="1"/>
  <c r="BU60" i="88" s="1"/>
  <c r="AI152" i="88"/>
  <c r="AH152" i="88"/>
  <c r="BR40" i="88"/>
  <c r="BS40" i="88" s="1"/>
  <c r="BU40" i="88" s="1"/>
  <c r="AU152" i="88"/>
  <c r="Y40" i="88"/>
  <c r="Z40" i="88" s="1"/>
  <c r="BO82" i="88"/>
  <c r="BO39" i="88"/>
  <c r="BO42" i="88"/>
  <c r="BO68" i="88"/>
  <c r="X60" i="88"/>
  <c r="BO59" i="88"/>
  <c r="Y60" i="88"/>
  <c r="BO37" i="88"/>
  <c r="Z79" i="88"/>
  <c r="X91" i="88"/>
  <c r="BI38" i="88"/>
  <c r="BI152" i="88" s="1"/>
  <c r="Z125" i="88"/>
  <c r="Z55" i="88"/>
  <c r="Z74" i="88"/>
  <c r="BO29" i="88"/>
  <c r="BO98" i="88"/>
  <c r="BO23" i="88"/>
  <c r="Z75" i="88"/>
  <c r="AN38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AJ152" i="88"/>
  <c r="Z48" i="88"/>
  <c r="Z13" i="88"/>
  <c r="Z96" i="88"/>
  <c r="Z66" i="88"/>
  <c r="Z15" i="88"/>
  <c r="Z142" i="88"/>
  <c r="Z45" i="88"/>
  <c r="Z101" i="88"/>
  <c r="AK152" i="88"/>
  <c r="Z110" i="88"/>
  <c r="Z58" i="88"/>
  <c r="Z27" i="88"/>
  <c r="Z20" i="88"/>
  <c r="BO100" i="88"/>
  <c r="Z145" i="88"/>
  <c r="Z72" i="88"/>
  <c r="Z138" i="88"/>
  <c r="Z83" i="88"/>
  <c r="Z52" i="88"/>
  <c r="BR113" i="88"/>
  <c r="BS113" i="88" s="1"/>
  <c r="BU113" i="88" s="1"/>
  <c r="Y113" i="88"/>
  <c r="X113" i="88"/>
  <c r="AO38" i="88"/>
  <c r="W38" i="88" s="1"/>
  <c r="BR38" i="88" s="1"/>
  <c r="BS38" i="88" s="1"/>
  <c r="BU38" i="88" s="1"/>
  <c r="Z134" i="88"/>
  <c r="Z115" i="88"/>
  <c r="BO12" i="88"/>
  <c r="Z111" i="88"/>
  <c r="Z126" i="88"/>
  <c r="BO94" i="88"/>
  <c r="Z69" i="88"/>
  <c r="Z41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G42" i="89" s="1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G73" i="89" s="1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BR127" i="88"/>
  <c r="BS127" i="88" s="1"/>
  <c r="BU127" i="88" s="1"/>
  <c r="Y127" i="88"/>
  <c r="X127" i="88"/>
  <c r="W105" i="88"/>
  <c r="Y136" i="88"/>
  <c r="X136" i="88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BR28" i="88"/>
  <c r="BS28" i="88" s="1"/>
  <c r="BU28" i="88" s="1"/>
  <c r="BG152" i="88"/>
  <c r="Y37" i="88"/>
  <c r="X37" i="88"/>
  <c r="BR37" i="88"/>
  <c r="BS37" i="88" s="1"/>
  <c r="BU37" i="88" s="1"/>
  <c r="BR23" i="88"/>
  <c r="BS23" i="88" s="1"/>
  <c r="BU23" i="88" s="1"/>
  <c r="Y23" i="88"/>
  <c r="X23" i="88"/>
  <c r="Z10" i="88"/>
  <c r="Y102" i="88"/>
  <c r="BR102" i="88"/>
  <c r="BS102" i="88" s="1"/>
  <c r="BU102" i="88" s="1"/>
  <c r="X102" i="88"/>
  <c r="BR36" i="88"/>
  <c r="BS36" i="88" s="1"/>
  <c r="BU36" i="88" s="1"/>
  <c r="Y36" i="88"/>
  <c r="X36" i="88"/>
  <c r="Z65" i="88"/>
  <c r="Y82" i="88"/>
  <c r="BR82" i="88"/>
  <c r="BS82" i="88" s="1"/>
  <c r="BU82" i="88" s="1"/>
  <c r="X82" i="88"/>
  <c r="Y51" i="88"/>
  <c r="X51" i="88"/>
  <c r="BR51" i="88"/>
  <c r="BS51" i="88" s="1"/>
  <c r="BU51" i="88" s="1"/>
  <c r="W26" i="88"/>
  <c r="X68" i="88"/>
  <c r="BR68" i="88"/>
  <c r="BS68" i="88" s="1"/>
  <c r="BU68" i="88" s="1"/>
  <c r="Y68" i="88"/>
  <c r="Y39" i="88"/>
  <c r="BR39" i="88"/>
  <c r="BS39" i="88" s="1"/>
  <c r="BU39" i="88" s="1"/>
  <c r="X39" i="88"/>
  <c r="W8" i="88"/>
  <c r="Y12" i="88"/>
  <c r="BR12" i="88"/>
  <c r="BS12" i="88" s="1"/>
  <c r="BU12" i="88" s="1"/>
  <c r="X12" i="88"/>
  <c r="X118" i="88"/>
  <c r="BR118" i="88"/>
  <c r="BS118" i="88" s="1"/>
  <c r="BU118" i="88" s="1"/>
  <c r="Y118" i="88"/>
  <c r="Y150" i="88"/>
  <c r="X150" i="88"/>
  <c r="BR150" i="88"/>
  <c r="BS150" i="88" s="1"/>
  <c r="BU150" i="88" s="1"/>
  <c r="Y122" i="88"/>
  <c r="X122" i="88"/>
  <c r="BR122" i="88"/>
  <c r="BS122" i="88" s="1"/>
  <c r="BU122" i="88" s="1"/>
  <c r="BR103" i="88"/>
  <c r="BS103" i="88" s="1"/>
  <c r="BU103" i="88" s="1"/>
  <c r="Y103" i="88"/>
  <c r="X103" i="88"/>
  <c r="BR34" i="88"/>
  <c r="BS34" i="88" s="1"/>
  <c r="BU34" i="88" s="1"/>
  <c r="Y34" i="88"/>
  <c r="X34" i="88"/>
  <c r="BF152" i="88"/>
  <c r="Y31" i="88"/>
  <c r="BR31" i="88"/>
  <c r="BS31" i="88" s="1"/>
  <c r="BU31" i="88" s="1"/>
  <c r="X31" i="88"/>
  <c r="BR114" i="88"/>
  <c r="BS114" i="88" s="1"/>
  <c r="BU114" i="88" s="1"/>
  <c r="X114" i="88"/>
  <c r="Y114" i="88"/>
  <c r="Z147" i="88"/>
  <c r="Z133" i="88"/>
  <c r="W112" i="88"/>
  <c r="W76" i="88"/>
  <c r="Z137" i="88"/>
  <c r="Z63" i="88"/>
  <c r="Y61" i="88"/>
  <c r="X61" i="88"/>
  <c r="BR61" i="88"/>
  <c r="BS61" i="88" s="1"/>
  <c r="BU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2" i="88"/>
  <c r="Z47" i="88"/>
  <c r="Z7" i="88"/>
  <c r="Y42" i="88"/>
  <c r="X42" i="88"/>
  <c r="BR42" i="88"/>
  <c r="BS42" i="88" s="1"/>
  <c r="BU42" i="88" s="1"/>
  <c r="Y32" i="88"/>
  <c r="X32" i="88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W89" i="88"/>
  <c r="W100" i="88"/>
  <c r="Y98" i="88"/>
  <c r="X98" i="88"/>
  <c r="BR98" i="88"/>
  <c r="BS98" i="88" s="1"/>
  <c r="BU98" i="88" s="1"/>
  <c r="W59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AO99" i="88" s="1"/>
  <c r="BM99" i="88"/>
  <c r="Z46" i="88"/>
  <c r="Z49" i="88"/>
  <c r="BD152" i="88"/>
  <c r="BC152" i="88"/>
  <c r="BO2" i="88"/>
  <c r="Z16" i="88"/>
  <c r="Y25" i="88"/>
  <c r="BR25" i="88"/>
  <c r="BS25" i="88" s="1"/>
  <c r="BU25" i="88" s="1"/>
  <c r="X25" i="88"/>
  <c r="Y141" i="88"/>
  <c r="BR141" i="88"/>
  <c r="BS141" i="88" s="1"/>
  <c r="BU141" i="88" s="1"/>
  <c r="X141" i="88"/>
  <c r="Y121" i="88"/>
  <c r="X121" i="88"/>
  <c r="BR121" i="88"/>
  <c r="BS121" i="88" s="1"/>
  <c r="BU121" i="88" s="1"/>
  <c r="Y140" i="88"/>
  <c r="BR140" i="88"/>
  <c r="BS140" i="88" s="1"/>
  <c r="BU140" i="88" s="1"/>
  <c r="X140" i="88"/>
  <c r="Y124" i="88"/>
  <c r="X124" i="88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BR85" i="88"/>
  <c r="BS85" i="88" s="1"/>
  <c r="BU85" i="88" s="1"/>
  <c r="Y128" i="88"/>
  <c r="X128" i="88"/>
  <c r="BR128" i="88"/>
  <c r="BS128" i="88" s="1"/>
  <c r="BU128" i="88" s="1"/>
  <c r="Z81" i="88"/>
  <c r="W44" i="88"/>
  <c r="BR78" i="88"/>
  <c r="BS78" i="88" s="1"/>
  <c r="BU78" i="88" s="1"/>
  <c r="Y78" i="88"/>
  <c r="X78" i="88"/>
  <c r="BR30" i="88"/>
  <c r="BS30" i="88" s="1"/>
  <c r="BU30" i="88" s="1"/>
  <c r="X30" i="88"/>
  <c r="Y30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BR131" i="88"/>
  <c r="BS131" i="88" s="1"/>
  <c r="BU131" i="88" s="1"/>
  <c r="Y131" i="88"/>
  <c r="X131" i="88"/>
  <c r="Y132" i="88"/>
  <c r="X132" i="88"/>
  <c r="BR132" i="88"/>
  <c r="BS132" i="88" s="1"/>
  <c r="BU132" i="88" s="1"/>
  <c r="BU119" i="88"/>
  <c r="Z143" i="88"/>
  <c r="Y94" i="88"/>
  <c r="BR94" i="88"/>
  <c r="BS94" i="88" s="1"/>
  <c r="BU94" i="88" s="1"/>
  <c r="X94" i="88"/>
  <c r="Z50" i="88"/>
  <c r="Z43" i="88"/>
  <c r="BR87" i="88"/>
  <c r="BS87" i="88" s="1"/>
  <c r="BU87" i="88" s="1"/>
  <c r="Y87" i="88"/>
  <c r="X87" i="88"/>
  <c r="BU35" i="88"/>
  <c r="AL152" i="88"/>
  <c r="BO11" i="88"/>
  <c r="BQ152" i="88"/>
  <c r="X11" i="88"/>
  <c r="BR11" i="88"/>
  <c r="BS11" i="88" s="1"/>
  <c r="BU11" i="88" s="1"/>
  <c r="Y11" i="88"/>
  <c r="G147" i="89" l="1"/>
  <c r="Z91" i="88"/>
  <c r="Z60" i="88"/>
  <c r="Z132" i="88"/>
  <c r="AO152" i="88"/>
  <c r="Z135" i="88"/>
  <c r="Z23" i="88"/>
  <c r="Y38" i="88"/>
  <c r="Z140" i="88"/>
  <c r="Z93" i="88"/>
  <c r="Z32" i="88"/>
  <c r="Z31" i="88"/>
  <c r="Z103" i="88"/>
  <c r="Z39" i="88"/>
  <c r="Z136" i="88"/>
  <c r="Z68" i="88"/>
  <c r="Z114" i="88"/>
  <c r="Z113" i="88"/>
  <c r="Z25" i="88"/>
  <c r="Z128" i="88"/>
  <c r="Z106" i="88"/>
  <c r="Z82" i="88"/>
  <c r="Z87" i="88"/>
  <c r="Z85" i="88"/>
  <c r="Z36" i="88"/>
  <c r="Z28" i="88"/>
  <c r="X38" i="88"/>
  <c r="Z94" i="88"/>
  <c r="Z78" i="88"/>
  <c r="Z124" i="88"/>
  <c r="Z121" i="88"/>
  <c r="Z98" i="88"/>
  <c r="Z34" i="88"/>
  <c r="Z127" i="88"/>
  <c r="G59" i="89"/>
  <c r="G15" i="89"/>
  <c r="H147" i="89"/>
  <c r="H73" i="89"/>
  <c r="G149" i="89"/>
  <c r="H15" i="89"/>
  <c r="H59" i="89"/>
  <c r="BR24" i="88"/>
  <c r="BS24" i="88" s="1"/>
  <c r="BU24" i="88" s="1"/>
  <c r="Y24" i="88"/>
  <c r="X24" i="88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5" i="88"/>
  <c r="Z61" i="88"/>
  <c r="Z150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BR89" i="88"/>
  <c r="BS89" i="88" s="1"/>
  <c r="BU89" i="88" s="1"/>
  <c r="Z57" i="88"/>
  <c r="BR26" i="88"/>
  <c r="BS26" i="88" s="1"/>
  <c r="BU26" i="88" s="1"/>
  <c r="Y26" i="88"/>
  <c r="X26" i="88"/>
  <c r="Y105" i="88"/>
  <c r="X105" i="88"/>
  <c r="BR105" i="88"/>
  <c r="BS105" i="88" s="1"/>
  <c r="BU105" i="88" s="1"/>
  <c r="Z11" i="88"/>
  <c r="Z29" i="88"/>
  <c r="Y59" i="88"/>
  <c r="X59" i="88"/>
  <c r="BR59" i="88"/>
  <c r="BS59" i="88" s="1"/>
  <c r="BU59" i="88" s="1"/>
  <c r="W152" i="88"/>
  <c r="Y2" i="88"/>
  <c r="X2" i="88"/>
  <c r="BR2" i="88"/>
  <c r="BS2" i="88" s="1"/>
  <c r="BU2" i="88" s="1"/>
  <c r="Y44" i="88"/>
  <c r="X44" i="88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2" i="88"/>
  <c r="AN99" i="88"/>
  <c r="AN152" i="88" s="1"/>
  <c r="Z3" i="88"/>
  <c r="BK38" i="88"/>
  <c r="BK152" i="88" s="1"/>
  <c r="AY38" i="88"/>
  <c r="AX152" i="88"/>
  <c r="Y76" i="88"/>
  <c r="X76" i="88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" i="88"/>
  <c r="BJ152" i="88"/>
  <c r="Z42" i="88"/>
  <c r="Z51" i="88"/>
  <c r="Z108" i="88"/>
  <c r="H149" i="89" l="1"/>
  <c r="Z38" i="88"/>
  <c r="Z76" i="88"/>
  <c r="Z44" i="88"/>
  <c r="Z100" i="88"/>
  <c r="Z92" i="88"/>
  <c r="Z26" i="88"/>
  <c r="Z24" i="88"/>
  <c r="Z89" i="88"/>
  <c r="Z105" i="88"/>
  <c r="Z59" i="88"/>
  <c r="BL38" i="88"/>
  <c r="BL152" i="88" s="1"/>
  <c r="AZ38" i="88"/>
  <c r="AY152" i="88"/>
  <c r="Z8" i="88"/>
  <c r="Z112" i="88"/>
  <c r="Z104" i="88"/>
  <c r="Z2" i="88"/>
  <c r="Y99" i="88"/>
  <c r="Y152" i="88" s="1"/>
  <c r="X99" i="88"/>
  <c r="BR99" i="88"/>
  <c r="BS99" i="88" s="1"/>
  <c r="BU99" i="88" s="1"/>
  <c r="AN8" i="87"/>
  <c r="AO8" i="87"/>
  <c r="BB8" i="87"/>
  <c r="AR8" i="87"/>
  <c r="Z99" i="88" l="1"/>
  <c r="X152" i="88"/>
  <c r="Z152" i="88"/>
  <c r="BM38" i="88"/>
  <c r="BA38" i="88"/>
  <c r="AZ152" i="88"/>
  <c r="BN38" i="88" l="1"/>
  <c r="BN152" i="88" s="1"/>
  <c r="BA152" i="88"/>
  <c r="BB38" i="88"/>
  <c r="BB152" i="88" s="1"/>
  <c r="BM152" i="88"/>
  <c r="J3" i="65"/>
  <c r="BO38" i="88" l="1"/>
  <c r="BO152" i="88" s="1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M2" i="87" l="1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<sst xmlns="http://schemas.openxmlformats.org/spreadsheetml/2006/main" count="3873" uniqueCount="761">
  <si>
    <t>Transaction Type</t>
  </si>
  <si>
    <t>(Multiple Items)</t>
  </si>
  <si>
    <t>Overall YTD Results</t>
  </si>
  <si>
    <t>2026 Final Approved Budget</t>
  </si>
  <si>
    <t>Category</t>
  </si>
  <si>
    <t>Sum of 2026 Final Budget</t>
  </si>
  <si>
    <t>Sum of 2026 (Actuals + Forecast)</t>
  </si>
  <si>
    <t>Sum of 2026 Risk</t>
  </si>
  <si>
    <t>Sum of 2026 Opportunity</t>
  </si>
  <si>
    <t>Sum of 2026 Net Position</t>
  </si>
  <si>
    <t>FPC</t>
  </si>
  <si>
    <t>Hardware</t>
  </si>
  <si>
    <t>Infrastructure</t>
  </si>
  <si>
    <t>Labor/ T&amp;M</t>
  </si>
  <si>
    <t>MS</t>
  </si>
  <si>
    <t>OOE</t>
  </si>
  <si>
    <t>Software</t>
  </si>
  <si>
    <t>Grand Total</t>
  </si>
  <si>
    <t>Sub-Category1</t>
  </si>
  <si>
    <t>Row Labels</t>
  </si>
  <si>
    <t>Dan Royer</t>
  </si>
  <si>
    <t>Danny Borkowski</t>
  </si>
  <si>
    <t>Devang Shah</t>
  </si>
  <si>
    <t>Erik Wynkoop</t>
  </si>
  <si>
    <t>John Spencer</t>
  </si>
  <si>
    <t>Melissa Tumminia</t>
  </si>
  <si>
    <t>N/A</t>
  </si>
  <si>
    <t xml:space="preserve">$ in Millions </t>
  </si>
  <si>
    <t>Domain Level YTD Results</t>
  </si>
  <si>
    <t>Values</t>
  </si>
  <si>
    <t>Domain Owner</t>
  </si>
  <si>
    <t>YTD Actuals</t>
  </si>
  <si>
    <t>Spend Category</t>
  </si>
  <si>
    <t>D365 Legal Vendor name</t>
  </si>
  <si>
    <t>2026 Final Budget</t>
  </si>
  <si>
    <t>Actuals (Jan-May)</t>
  </si>
  <si>
    <t>Forecast (Jun - Dec)</t>
  </si>
  <si>
    <t>2026 Net Position</t>
  </si>
  <si>
    <t>2026 Risk/(Opportunity)</t>
  </si>
  <si>
    <t>Notes - Risk/Opportunity</t>
  </si>
  <si>
    <t>Risk/Opportunity Type</t>
  </si>
  <si>
    <t>Coforge DPA NA Inc.</t>
  </si>
  <si>
    <t>$98K Opportunity: L1/L2 COE BoW 2026 - unutilized funds for new initiatives planned in 2026.
Driver: Unutilized funds for planned initiatives.</t>
  </si>
  <si>
    <t>Soft Opportunity</t>
  </si>
  <si>
    <t>Indus Valley Partners Corporation</t>
  </si>
  <si>
    <t>$884K Opportunity:
• IVP Implementation $384K saving on contract (Budget $1.34M vs Actual $960K)
• IVP Internal Audit BoW 2026 $500K - unutilized funds
Driver: Contract savings + unutilized funds for planned initiatives.</t>
  </si>
  <si>
    <t>Hard Opportunity</t>
  </si>
  <si>
    <t>Dark Green Font</t>
  </si>
  <si>
    <t>Dark Green Fill, white font</t>
  </si>
  <si>
    <t>Dan Royer Total</t>
  </si>
  <si>
    <t>Hard Risk</t>
  </si>
  <si>
    <t>Dark Red Font</t>
  </si>
  <si>
    <t>Dark Red Fill, white font</t>
  </si>
  <si>
    <t>2026 PH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</si>
  <si>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</si>
  <si>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</si>
  <si>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</si>
  <si>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Finastra Technology, Inc</t>
  </si>
  <si>
    <t>$50K Opportunity: FPC BoW 2026 - unutilized funds for new LIQ initiatives.
Driver: Unutilized funds for planned initiatives.</t>
  </si>
  <si>
    <t>Soft Risk</t>
  </si>
  <si>
    <t>Light Red Font</t>
  </si>
  <si>
    <t>Light Red Fill, white font</t>
  </si>
  <si>
    <t>On track. Tracking to budget.
Driver: Tracking to plan.</t>
  </si>
  <si>
    <t>Neutral</t>
  </si>
  <si>
    <t>MARKIT NORTH AMERICA, INC.</t>
  </si>
  <si>
    <t>$706K Opportunity: Markit BoW 2026 - unutilized funds for new initiatives planned in 2026. ($500K - Balance sheet reporting + $206K WSO)
Driver: Unutilized funds for planned initiatives.</t>
  </si>
  <si>
    <t>Devang Shah Total</t>
  </si>
  <si>
    <t>$100K Opportunity: FPC Coforge QA COE - unutilized funds for 2026 initiatives.
Driver: Unutilized funds for planned initiatives.</t>
  </si>
  <si>
    <t>Erik Wynkoop Total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</si>
  <si>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</si>
  <si>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</si>
  <si>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Melissa Tumminia Total</t>
  </si>
  <si>
    <t>FPC Total</t>
  </si>
  <si>
    <t>SHI International Corp</t>
  </si>
  <si>
    <t>CDW DIRECT LLC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</si>
  <si>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</si>
  <si>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</si>
  <si>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Danny Borkowski Total</t>
  </si>
  <si>
    <t>Hardware Total</t>
  </si>
  <si>
    <t>AT&amp;T Corp</t>
  </si>
  <si>
    <t>On track. Minor variance (&lt;$1K).
Driver: Tracking to plan.</t>
  </si>
  <si>
    <t>Beanfield Technologies, Inc.</t>
  </si>
  <si>
    <t>Bell Mobility Inc.</t>
  </si>
  <si>
    <t>$15K Opportunity: Favorable variance - Budget $180K vs Net Position $165K.
Driver: Favorable budget vs actual variance.</t>
  </si>
  <si>
    <t>Cisco Systems, Inc.</t>
  </si>
  <si>
    <t>$1.7K Opportunity: Webex service cancelled in Dec'25 - Budget $1.7K, no 2026 spend expected.
Driver: Service cancellation generating savings.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</si>
  <si>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</si>
  <si>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</si>
  <si>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</si>
  <si>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</si>
  <si>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</si>
  <si>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</si>
  <si>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</si>
  <si>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</si>
  <si>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Verizon Wireless Services LLC</t>
  </si>
  <si>
    <t>$14K Opportunity: Wireless costs tracking favorable to budget. Budget $421K v/s Actual + Forecast $407K
Driver: Favorable budget vs actual variance.</t>
  </si>
  <si>
    <t>Zoom Video Communications, Inc.</t>
  </si>
  <si>
    <t>Amazon Capital Services, Inc.</t>
  </si>
  <si>
    <t>General Office Expense - Refer to Concur</t>
  </si>
  <si>
    <t>Infrastructure Total</t>
  </si>
  <si>
    <t>Andersen Tax Holdings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</si>
  <si>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</si>
  <si>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</si>
  <si>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</si>
  <si>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Intelligent Business Platforms LLC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</si>
  <si>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</si>
  <si>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</si>
  <si>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</si>
  <si>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</si>
  <si>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</si>
  <si>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</si>
  <si>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</si>
  <si>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Cognizant Worldwide Limited</t>
  </si>
  <si>
    <t>$5K Opportunity: Cognizant T&amp;M (4 resources) - YTD actuals tracking ~10% below forecast due to resource time off/holidays.
Driver: Resource time off/holiday driving favorable variance.</t>
  </si>
  <si>
    <t>Labor/ T&amp;M Total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</si>
  <si>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</si>
  <si>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</si>
  <si>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Virteva LLC</t>
  </si>
  <si>
    <t>$73K Opportunity: Budget $190K vs Contract $180K. Revised contract at $5,950/mo (Previously $15K/mo) tracking favorable.
Driver: Contract favorable vs budget.</t>
  </si>
  <si>
    <t>NewRocket, LLC</t>
  </si>
  <si>
    <t>$4K Opportunity: NewRocket ServiceNow MS - Budget $179K vs FC $174K tracking favorable.
Driver: Favorable budget vs actual variance.</t>
  </si>
  <si>
    <t>Archetype Consulting, Inc.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</si>
  <si>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</si>
  <si>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</si>
  <si>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</si>
  <si>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BWise Internal Control Inc.</t>
  </si>
  <si>
    <t>On track. BWise prepaid tracking to budget - minor $391 favorable variance.
Driver: Tracking to plan.</t>
  </si>
  <si>
    <t>MS Total</t>
  </si>
  <si>
    <t>ASX Benchmarks PTY limited</t>
  </si>
  <si>
    <t>$574 Risk: Minor actual over budget variance due to AUD currency fluctuation.
Driver: Currency variance.</t>
  </si>
  <si>
    <t>Bloomberg Finance L.P.</t>
  </si>
  <si>
    <t>$2K Opportunity: Subscription costs tracking below budget.
Driver: Favorable budget vs actual variance.</t>
  </si>
  <si>
    <t>ICE Benchmark Administration Ltd</t>
  </si>
  <si>
    <t>$400 Opportunity: Subscription tracking below budget.
Driver: Favorable budget vs actual variance.</t>
  </si>
  <si>
    <t>Norske Finansielle Referanser AS</t>
  </si>
  <si>
    <t>$15K Risk: New vendor cost not budgeted (Refinitiv data source requirement).
Driver: Unbudgeted new vendor.</t>
  </si>
  <si>
    <t>THOMSON REUTERS MARKETS LLC</t>
  </si>
  <si>
    <t>On track. Subscription tracking to budget - minor $495 variance.
Driver: Tracking to plan.</t>
  </si>
  <si>
    <t>TSX Inc.</t>
  </si>
  <si>
    <t>On track. Subscription tracking to budget.
Driver: Tracking to plan.</t>
  </si>
  <si>
    <t>PitchBook Data, Inc.</t>
  </si>
  <si>
    <t>On track. Subscription paid, tracking to budget.
Driver: Tracking to plan.</t>
  </si>
  <si>
    <t>Fitch Solutions, Inc.</t>
  </si>
  <si>
    <t>On track. No material R/O.
Driver: Tracking to plan.</t>
  </si>
  <si>
    <t>John Spencer Total</t>
  </si>
  <si>
    <t>City of Chicago</t>
  </si>
  <si>
    <t>On track. Sales tax placeholder, no material R/O.
Driver: Tracking to plan.</t>
  </si>
  <si>
    <t>New York State Department of Taxation and Finance</t>
  </si>
  <si>
    <t>Nterone Corporation</t>
  </si>
  <si>
    <t>On track. Training budget tracking to plan.
Driver: Tracking to plan.</t>
  </si>
  <si>
    <t>T&amp;E - Refer to Concur</t>
  </si>
  <si>
    <t>$50K Opportunity: T&amp;E saving expected based on projected travel plan. YTD tracking under plan.
Driver: Budget buffer.</t>
  </si>
  <si>
    <t>Amortization/Multiple</t>
  </si>
  <si>
    <t>$198K Risk: Amortisation expense relating to pre-2025 capitalised costs was missed from budget. We recommend offsetting this gap against a placeholder.
Driver: Amortization timing variance.</t>
  </si>
  <si>
    <t>N/A Total</t>
  </si>
  <si>
    <t>OOE Total</t>
  </si>
  <si>
    <t>Alation Inc.</t>
  </si>
  <si>
    <t>$63K Opportunity: Alation prepaid - Budget $192K vs Actuals $171K ($22K savings) + $43K timing variance on prepaid recognition (Jan-Mar 2027).
Driver: Prepaid/timing variance.</t>
  </si>
  <si>
    <t>Cloud Navigators LLC</t>
  </si>
  <si>
    <t>Cloud Software Group (formally Tibco)</t>
  </si>
  <si>
    <t>On track. Prepaid tracking to budget.
Driver: Tracking to plan.</t>
  </si>
  <si>
    <t>$5K Opportunity: UiPath license favorable - Budget $101K vs $96K actual.
Driver: Favorable license cost vs budget.</t>
  </si>
  <si>
    <t>Datadog, Inc.</t>
  </si>
  <si>
    <t>On track. Minor variance (&lt;$100).
Driver: Tracking to plan.</t>
  </si>
  <si>
    <t>$216K Opportunity: IVP software (EDM/Polaris/SecMaster) tracking below budget. Prepaid terms favorable. If renewed in November, opportunity will be utilised.
Driver: Favorable budget vs actual variance.</t>
  </si>
  <si>
    <t>SALESFORCE COM INC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</si>
  <si>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</si>
  <si>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</si>
  <si>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</si>
  <si>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DigiCert, Inc.</t>
  </si>
  <si>
    <t>On track. Certificate costs tracking to budget.
Driver: Tracking to plan.</t>
  </si>
  <si>
    <t>Lucid Software, Inc.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</si>
  <si>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</si>
  <si>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</si>
  <si>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Monday.com Ltd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</si>
  <si>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</si>
  <si>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</si>
  <si>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</si>
  <si>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SonarSource SA</t>
  </si>
  <si>
    <t>VPMA Global Services LLC</t>
  </si>
  <si>
    <t>On track. Control M tracking to budget.
Driver: Tracking to plan.</t>
  </si>
  <si>
    <t>Allvue Systems, LLC</t>
  </si>
  <si>
    <t>$86K Risk: CPI increase + tax component not budgeted in original estimate.
Driver: CPI increase and tax not budgeted.</t>
  </si>
  <si>
    <t>CME Group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</si>
  <si>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</si>
  <si>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</si>
  <si>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G Treasury SS, LLC</t>
  </si>
  <si>
    <t>$41K Risk: Unbudgeted Solvexia Bank Reconciliation ImplementationFees
Driver: Unplanned cost</t>
  </si>
  <si>
    <t>HSO Enterprise Solutions LLC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</si>
  <si>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</si>
  <si>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</si>
  <si>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Macabacus, Inc.</t>
  </si>
  <si>
    <t>On track. Minor variance (&lt;$500).
Driver: Tracking to plan.</t>
  </si>
  <si>
    <t>$118K Risk: WSO AUM 2025 overusage variance expected to be charged back to Operations. 
Driver: Overusage chargeback from prior year.</t>
  </si>
  <si>
    <t>OneStream Software, LLC</t>
  </si>
  <si>
    <t>$14K Opportunity: Budget vs actuals favorable (prepaid).
Driver: Favorable budget vs actual variance.</t>
  </si>
  <si>
    <t>Oracle America, Inc.</t>
  </si>
  <si>
    <t>PactFi Inc.</t>
  </si>
  <si>
    <t>$133K Risk: Contract $544K vs $411K POC budget. To be capitalized in Q2.
Driver: Contract exceeds POC budget.</t>
  </si>
  <si>
    <t>Inogic Tech India Private Limited</t>
  </si>
  <si>
    <t>On track. License paid, tracking to budget.
Driver: Tracking to plan.</t>
  </si>
  <si>
    <t>Siemens Industry Software, Inc.</t>
  </si>
  <si>
    <t>SS&amp;C GIDS, Inc.</t>
  </si>
  <si>
    <t>Broadridge Output  Solutions</t>
  </si>
  <si>
    <t>FinDox Inc.</t>
  </si>
  <si>
    <t>$6K Opportunity: Favorable contract saving.
Driver: Favorable budget vs actual variance.</t>
  </si>
  <si>
    <t>Sky Road</t>
  </si>
  <si>
    <t>On track. Tracking to budget (prepaid).
Driver: Tracking to plan.</t>
  </si>
  <si>
    <t>SuperTrader, Inc.</t>
  </si>
  <si>
    <t>$6K Opportunity: Minor favorable variance (prepaid).
Driver: Favorable budget vs actual variance.</t>
  </si>
  <si>
    <t>BroadVantage</t>
  </si>
  <si>
    <t>$6K Risk: Thinkcell renewal higher then budgeted 
Driver: Minor budget variance.</t>
  </si>
  <si>
    <t>ClickTime.com Inc.</t>
  </si>
  <si>
    <t>CloudFlare</t>
  </si>
  <si>
    <t>Equisolve, Inc.</t>
  </si>
  <si>
    <t>Incloud, LLC</t>
  </si>
  <si>
    <t>Litera</t>
  </si>
  <si>
    <t>OpenAI, L.L.C. (“OpenAI”)</t>
  </si>
  <si>
    <t>$13K Risk: Unbudgeted Tax
Driver: Minor budget variance.</t>
  </si>
  <si>
    <t>RFPIO INC. (Responsive)</t>
  </si>
  <si>
    <t>$3K Opportunity: Actuals below budget.
Driver: Favorable budget vs actual variance.</t>
  </si>
  <si>
    <t>Seismic Software Inc.</t>
  </si>
  <si>
    <t>Smarsh Inc.</t>
  </si>
  <si>
    <t xml:space="preserve">$122 Opportunity: YTD actual slightly under budget </t>
  </si>
  <si>
    <t>Workday, Inc.</t>
  </si>
  <si>
    <t>Software Total</t>
  </si>
  <si>
    <t>Project ID</t>
  </si>
  <si>
    <t>Total</t>
  </si>
  <si>
    <t>Amortization</t>
  </si>
  <si>
    <t>Prj000266</t>
  </si>
  <si>
    <t>Prj000290</t>
  </si>
  <si>
    <t>Prj000381</t>
  </si>
  <si>
    <t>Prj000426</t>
  </si>
  <si>
    <t>Prj000469</t>
  </si>
  <si>
    <t>DBA / AKA / Passthrough</t>
  </si>
  <si>
    <t>Project Name</t>
  </si>
  <si>
    <t>Domain</t>
  </si>
  <si>
    <t>Contract Start</t>
  </si>
  <si>
    <t>Contract End</t>
  </si>
  <si>
    <t>Application</t>
  </si>
  <si>
    <t>Project Details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</si>
  <si>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</si>
  <si>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</si>
  <si>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</si>
  <si>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</si>
  <si>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</si>
  <si>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</si>
  <si>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</si>
  <si>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</si>
  <si>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(Actuals + Forecast)</t>
  </si>
  <si>
    <t>2026 Opportunity</t>
  </si>
  <si>
    <t>2026 Risk</t>
  </si>
  <si>
    <t>Notes</t>
  </si>
  <si>
    <t>Jan FC</t>
  </si>
  <si>
    <t>Feb FC</t>
  </si>
  <si>
    <t>Mar FC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</si>
  <si>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</si>
  <si>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</si>
  <si>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</si>
  <si>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</si>
  <si>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</si>
  <si>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</si>
  <si>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</si>
  <si>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</si>
  <si>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</si>
  <si>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Total - FC</t>
  </si>
  <si>
    <t>Jun-Dec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</si>
  <si>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</si>
  <si>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</si>
  <si>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</si>
  <si>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</si>
  <si>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</si>
  <si>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</si>
  <si>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</si>
  <si>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</si>
  <si>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</si>
  <si>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</si>
  <si>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</si>
  <si>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</si>
  <si>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Total Actuals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</si>
  <si>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</si>
  <si>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</si>
  <si>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</si>
  <si>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</si>
  <si>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</si>
  <si>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</si>
  <si>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</si>
  <si>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</si>
  <si>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</si>
  <si>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</si>
  <si>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</si>
  <si>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</si>
  <si>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</si>
  <si>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Notes - Swati</t>
  </si>
  <si>
    <t>Jan-May Actuals</t>
  </si>
  <si>
    <t xml:space="preserve">Jan-May Forecast </t>
  </si>
  <si>
    <t>Forecast Jun-Dec</t>
  </si>
  <si>
    <t>Forecast Jan-May</t>
  </si>
  <si>
    <t>Actual+Forecast</t>
  </si>
  <si>
    <t>Non-Comitted</t>
  </si>
  <si>
    <t>New Spend Category</t>
  </si>
  <si>
    <t>Program</t>
  </si>
  <si>
    <t>Contract</t>
  </si>
  <si>
    <t>Microsoft D365 F&amp;O and CRM</t>
  </si>
  <si>
    <t>Prj000350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</si>
  <si>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</si>
  <si>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</si>
  <si>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</si>
  <si>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</si>
  <si>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</si>
  <si>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</si>
  <si>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</si>
  <si>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Renewed 6/1/25, anniversary date true-up-CRM (Prepaid)</t>
  </si>
  <si>
    <t>Production Support &amp; Minor Enhancements</t>
  </si>
  <si>
    <t>F&amp;O Lic</t>
  </si>
  <si>
    <t>Renewed 6/1/25, anniversary date true-up-F&amp;O (Prepaid)</t>
  </si>
  <si>
    <t>event driven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</si>
  <si>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</si>
  <si>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</si>
  <si>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</si>
  <si>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</si>
  <si>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</si>
  <si>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</si>
  <si>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</si>
  <si>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>$100K not to be utilised as per Leon's instructions, CHANGE</t>
  </si>
  <si>
    <t>Concur project reimbursement cost can't be predicted, hence buffer kept in Dec</t>
  </si>
  <si>
    <t>Other Operating Expenses</t>
  </si>
  <si>
    <t>Prj000344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</si>
  <si>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</si>
  <si>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</si>
  <si>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</si>
  <si>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</si>
  <si>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</si>
  <si>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</si>
  <si>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</si>
  <si>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</si>
  <si>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</si>
  <si>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Budget v/s Actuals, additional work for April'26 invoiced in May</t>
  </si>
  <si>
    <t>Labor Spend</t>
  </si>
  <si>
    <t>Control M</t>
  </si>
  <si>
    <t>Annual Expensed</t>
  </si>
  <si>
    <t>Managed Service - Core</t>
  </si>
  <si>
    <t>Support Services</t>
  </si>
  <si>
    <t>Potential Opportunity</t>
  </si>
  <si>
    <t>Potential Opp.</t>
  </si>
  <si>
    <t>Prj000603</t>
  </si>
  <si>
    <t>Implement - Cash Matching Recon Solution</t>
  </si>
  <si>
    <t>Solvexia Bank Reconciliation ImplementationFees</t>
  </si>
  <si>
    <t>New risk, unbudgeted - cash matching Gtreausry</t>
  </si>
  <si>
    <t>Cash Matching &amp; Reconciliation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</si>
  <si>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</si>
  <si>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</si>
  <si>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</si>
  <si>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</si>
  <si>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</si>
  <si>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</si>
  <si>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</si>
  <si>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This cost is not fixed and will be fluctuating per month,</t>
  </si>
  <si>
    <t>Managed Service - Network</t>
  </si>
  <si>
    <t>Network Managed Services (Network Operation Centre (NOC))</t>
  </si>
  <si>
    <t>Budget v/s Actuals, revised rate as per new contract, ad hoc 240/hr charge for engeenering support part of contract</t>
  </si>
  <si>
    <t>MS Network</t>
  </si>
  <si>
    <t xml:space="preserve">  </t>
  </si>
  <si>
    <t>Budget v/s Actuals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</si>
  <si>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</si>
  <si>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</si>
  <si>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</si>
  <si>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</si>
  <si>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</si>
  <si>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</si>
  <si>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</si>
  <si>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</si>
  <si>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</si>
  <si>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</si>
  <si>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</si>
  <si>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</si>
  <si>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</si>
  <si>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</si>
  <si>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</si>
  <si>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Implement - Minor Enhancements for Sales</t>
  </si>
  <si>
    <t>Asset Management Technology &amp; Data Services</t>
  </si>
  <si>
    <t>2 Yrs yr1 11845 (paid in 2025) &amp; yr2 12200 (to be paid in 2026)</t>
  </si>
  <si>
    <t>Sales VAT Tax</t>
  </si>
  <si>
    <t>HST &amp; sales VAT tax</t>
  </si>
  <si>
    <t>Sales Tax VAT</t>
  </si>
  <si>
    <t>Sales Tax Expense</t>
  </si>
  <si>
    <t>Parked for 2026 Sales Tax</t>
  </si>
  <si>
    <t>Nterone</t>
  </si>
  <si>
    <t>Training/Seminars/Conference Spend</t>
  </si>
  <si>
    <t>External Training</t>
  </si>
  <si>
    <t>Prj000403</t>
  </si>
  <si>
    <t>Support - L2 CoE Management for Tech Horizontals</t>
  </si>
  <si>
    <t>Tech Shared Services</t>
  </si>
  <si>
    <t>L2 SOW FPC</t>
  </si>
  <si>
    <t>L2 SOW FPC, CHANGE</t>
  </si>
  <si>
    <t>L2 DBA resource starting July 1 to expand coverage</t>
  </si>
  <si>
    <t>T&amp;M</t>
  </si>
  <si>
    <t/>
  </si>
  <si>
    <t>D365 CRM</t>
  </si>
  <si>
    <t>RTB- T&amp;M</t>
  </si>
  <si>
    <t>Budget v/s Actuals, allocations are based on capacity planning forecast</t>
  </si>
  <si>
    <t>1Rivet</t>
  </si>
  <si>
    <t>Support SOW + Desktop Support- T&amp;M, QA is not part of our budget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</si>
  <si>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</si>
  <si>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</si>
  <si>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Crossfuze</t>
  </si>
  <si>
    <t>Prj000467</t>
  </si>
  <si>
    <t>Support - Enterprise Tech Helpdesk</t>
  </si>
  <si>
    <t>Revised contract - $5950/pm from June previously $15K/pm, new contract aligns more with cost as per actual consumption</t>
  </si>
  <si>
    <t>Prj000404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</si>
  <si>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</si>
  <si>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</si>
  <si>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</si>
  <si>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</si>
  <si>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T&amp;M - [KA - Feb 23] - Forcast updated from Feb to Dec, based on Raymond's exit. This T&amp;M forecast is adjusted in the new QA contract. Adjusted monthly rate starting Apr based on Shanky's exit</t>
  </si>
  <si>
    <t>Raymonds exit gave 26k T&amp;M oppurtunity since Feb but QA resources were hired at same cost, QA book work reallocation from L1/L2 support per new QA contract that superseded original.</t>
  </si>
  <si>
    <t>Opp offset with 1Rivet risk (Swati replacinf Shanky) + Budget v/s Actuals</t>
  </si>
  <si>
    <t>New UAT hired, New 2026 BoW utilised, WSO</t>
  </si>
  <si>
    <t>New UAT lead Anand, WSO placeholder utilised</t>
  </si>
  <si>
    <t>Centry CLO</t>
  </si>
  <si>
    <t>License</t>
  </si>
  <si>
    <t>Software - Core</t>
  </si>
  <si>
    <t>Quarterly Prepaid</t>
  </si>
  <si>
    <t>Quarterly Prepaid, Manor park license fees unbudgeted</t>
  </si>
  <si>
    <t>Budget v/s Actuals, ends this year will be renewed next year for half the cost of this year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</si>
  <si>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</si>
  <si>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</si>
  <si>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</si>
  <si>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</si>
  <si>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</si>
  <si>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Sales tax unbudgeted + actual over budget estimated</t>
  </si>
  <si>
    <t>IVP</t>
  </si>
  <si>
    <t>Prj000458</t>
  </si>
  <si>
    <t>Support - Data Analytics Office</t>
  </si>
  <si>
    <t>Enterprise Architecture, Data Analytics &amp; AI</t>
  </si>
  <si>
    <t>Polaris/EDM/SecMast Core</t>
  </si>
  <si>
    <t>IVP EDM, Polaris, Security Master Year 3 SaaS Fees/ Production License Fee + Annual Consulting Fee for IVP EDM, Polaris, Security Master-Prepaid</t>
  </si>
  <si>
    <t>Prj000548</t>
  </si>
  <si>
    <t>Implement - Reporting for Internal Audit</t>
  </si>
  <si>
    <t>Polaris/EDM/SecMast Hosting</t>
  </si>
  <si>
    <t>Polaris/EDM/SecMast- Prod. &amp; UAT Hosting Fee-Prepaid till Jun2026, to be renewed post Jun2026</t>
  </si>
  <si>
    <t>Polaris/EDM/SecMast- Disaster Recovery Hosting Fee-Prepaid till Apr2027, to be renewed post Apr2027</t>
  </si>
  <si>
    <t>Prj000446</t>
  </si>
  <si>
    <t>Implement - Minor Enhancements for Enterprise Apps</t>
  </si>
  <si>
    <t>Workday</t>
  </si>
  <si>
    <t>Misposting PREPAID in 2025; paid $419,687/- in Mar2025. Renewed as Prepaid in Mar 2026.-Added opportunity in Dec for extra support work as rec. my Melissa</t>
  </si>
  <si>
    <t>Extra added in Dec for extra support work requested by Melissa</t>
  </si>
  <si>
    <t>Monthly Incremental</t>
  </si>
  <si>
    <t>Monthly Incremental - Potential Opportunity-Monthly Incremental - Potential Opportunity</t>
  </si>
  <si>
    <t>Fluctuation per month, Dec has buffer</t>
  </si>
  <si>
    <t>Prj000342</t>
  </si>
  <si>
    <t>Support - Site Reliability Engineering for Tech</t>
  </si>
  <si>
    <t>MS Cloud</t>
  </si>
  <si>
    <t>Managed Service - Cloud</t>
  </si>
  <si>
    <t>3 YR $16MM Commitment;
Potential Incremental spend for Project Evolution-MS Cloud</t>
  </si>
  <si>
    <t>Fluctuation per month, Risk adjusted in Dec</t>
  </si>
  <si>
    <t>SAI360</t>
  </si>
  <si>
    <t>Software License</t>
  </si>
  <si>
    <t>Prepaid-Prepaid</t>
  </si>
  <si>
    <t>CDW (b)</t>
  </si>
  <si>
    <t>NCE M365 Jan - Dec Mthly Invoice</t>
  </si>
  <si>
    <t>NCE M365 E5</t>
  </si>
  <si>
    <t>Microsoft 365 E5 &amp; Teams Room Pro</t>
  </si>
  <si>
    <t>Proofpoint</t>
  </si>
  <si>
    <t>Proofpoint Sftwr, paid in 2025. To be renewed in Q3/Q4 2026</t>
  </si>
  <si>
    <t>proofpoint patrol for organisation</t>
  </si>
  <si>
    <t>CDW Microsoft (a)</t>
  </si>
  <si>
    <t>Syskit Point</t>
  </si>
  <si>
    <t>Syskit Point Sftwr</t>
  </si>
  <si>
    <t>Prj000358</t>
  </si>
  <si>
    <t>Support - Security Operations for Cybersecurity</t>
  </si>
  <si>
    <t>Misc Other Software - New Joiners-Potential Opp</t>
  </si>
  <si>
    <t>Cloud Navigator</t>
  </si>
  <si>
    <t>IAM Cloud – Cloud Drive Mapper Corporate 300 users - 1 year</t>
  </si>
  <si>
    <t>Maybe an opportunity unless any further contract pending</t>
  </si>
  <si>
    <t>FinDox is now Octus</t>
  </si>
  <si>
    <t>FinDox Core</t>
  </si>
  <si>
    <t>Annual Software</t>
  </si>
  <si>
    <t>Total contract - 342k IT cost 232k recharge to Liquid Credit 109k</t>
  </si>
  <si>
    <t>Saving on budget v/s actual, prepaid cost of 232k expected for 12 months. Kindly spread for 9 months, total 342k our cost 232k, 109k is of liquid credit team</t>
  </si>
  <si>
    <t>AKA Enterprises</t>
  </si>
  <si>
    <t>Ontra</t>
  </si>
  <si>
    <t>Ontra / Insight Funds</t>
  </si>
  <si>
    <t>Prepaid in 2025-confirm if IT is taking this cost in 2026</t>
  </si>
  <si>
    <t>Recon, this annual cost was projected at 96K but actuals cost was 101k since over threshold it is spread over 12 months as prepaid from May'26-Apr'26 in accounting records</t>
  </si>
  <si>
    <t>Prepaid, to be deferred</t>
  </si>
  <si>
    <t>ExpMgr Hositng</t>
  </si>
  <si>
    <t>ExpMgr</t>
  </si>
  <si>
    <t>Navigate</t>
  </si>
  <si>
    <t>Maplytics</t>
  </si>
  <si>
    <t>Prj000427</t>
  </si>
  <si>
    <t>Implement - Minor Enhancements for Marketing</t>
  </si>
  <si>
    <t>Lucid Software</t>
  </si>
  <si>
    <t>Prj000410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</si>
  <si>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</si>
  <si>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</si>
  <si>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</si>
  <si>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</si>
  <si>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</si>
  <si>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</si>
  <si>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</si>
  <si>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</si>
  <si>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</si>
  <si>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</si>
  <si>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Renewed 6/1/25, anniversary date true-up-Entpr Lic (Prepaid)</t>
  </si>
  <si>
    <t>Monday.com</t>
  </si>
  <si>
    <t>Management Enterprise 600 Seats</t>
  </si>
  <si>
    <t>Paid as Prepaid in 2025; to be renewed in 2026-Paid as Prepaid in 2025; to be renewed in 2026</t>
  </si>
  <si>
    <t>Unbudgeted tax</t>
  </si>
  <si>
    <t>ServiceNow Liac</t>
  </si>
  <si>
    <t>ServiceNow Agile Team + Various</t>
  </si>
  <si>
    <t>Software License 1</t>
  </si>
  <si>
    <t>Prepaid in 2025; to be renewed in Dec 2026-Prepaid in 2025; to be renewed in Dec 2026</t>
  </si>
  <si>
    <t>This was to be charged back to Cyber, but now tech has to bear the cost. Danny's email is proof</t>
  </si>
  <si>
    <t>ServiceNow Security Operations Enterprise - VR NRUSCINV-000450</t>
  </si>
  <si>
    <t>Amount per Invoice</t>
  </si>
  <si>
    <t>Paid for 2025 in Dec 2024, need to renew in 2026-Paid for 2025 in Dec 2024, need to renew in 2026</t>
  </si>
  <si>
    <t>Strategic Portfolio Management (SPM) Pro</t>
  </si>
  <si>
    <t>Software License 3</t>
  </si>
  <si>
    <t>Strategic Portfolio Management (SPM) Pro, paid in Dec2025, to be renewed in Dec2026-Strategic Portfolio Management (SPM) Pro, paid in Dec2025, to be renewed in Dec2026</t>
  </si>
  <si>
    <t>Oracle</t>
  </si>
  <si>
    <t xml:space="preserve">Oracle Java </t>
  </si>
  <si>
    <t>LIQ Java</t>
  </si>
  <si>
    <t>Responsive</t>
  </si>
  <si>
    <t>Salesforce</t>
  </si>
  <si>
    <t>Tableau Creator (5) + Viewer (40) + Explorer (10)</t>
  </si>
  <si>
    <t>SAAS Lics</t>
  </si>
  <si>
    <t>Mendix</t>
  </si>
  <si>
    <t>Wealth Distribution Tool (Vendor TBD)</t>
  </si>
  <si>
    <t>Walletshare Alts</t>
  </si>
  <si>
    <t>Walletshare renews Sep2026, Set as Prepaid in 2025-Walletshare renews Sep2026, Set as Prepaid in 2025</t>
  </si>
  <si>
    <t>Sonarsource</t>
  </si>
  <si>
    <t>SHI</t>
  </si>
  <si>
    <t>Quest Software &amp; Maintenance</t>
  </si>
  <si>
    <t>Quest Software- One Identity-Cost of Quest Sofware for 2 years - material diff if we renew for 1 vs 2 yrs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</si>
  <si>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</si>
  <si>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</si>
  <si>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</si>
  <si>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</si>
  <si>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</si>
  <si>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</si>
  <si>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</si>
  <si>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</si>
  <si>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UiPath Sftwr-UiPath Sftwr</t>
  </si>
  <si>
    <t>Smarsh</t>
  </si>
  <si>
    <t>Levpro</t>
  </si>
  <si>
    <t>estimated</t>
  </si>
  <si>
    <t>Software (Prepaid)</t>
  </si>
  <si>
    <t>Digicert</t>
  </si>
  <si>
    <t>DataDog</t>
  </si>
  <si>
    <t>Sftwr- Potential Risk to look for</t>
  </si>
  <si>
    <t>Budget v/s actuals</t>
  </si>
  <si>
    <t>Sftwr- Mis-posting Prepaid</t>
  </si>
  <si>
    <t>ClickTime</t>
  </si>
  <si>
    <t>Renewed/ paid in Dec2025, to be renewed in Dec2026-Renewed/ paid in Dec2025, to be renewed in Dec2026</t>
  </si>
  <si>
    <t>15% - Chicago Personal Property Lease Transaction Tax (PPLTT)</t>
  </si>
  <si>
    <t>Think-Cell</t>
  </si>
  <si>
    <t>Think-cell parnership</t>
  </si>
  <si>
    <t>Think Cell</t>
  </si>
  <si>
    <t>Thinkcell renewal higher than budgted</t>
  </si>
  <si>
    <t>TIBCO Spotfire</t>
  </si>
  <si>
    <t>Spotfire</t>
  </si>
  <si>
    <t>Production</t>
  </si>
  <si>
    <t>Paid as prepaid in 2025, to be renewed in Aug/Sep 2026</t>
  </si>
  <si>
    <t>Potential Opp.- we moved to Equisolve to host our website</t>
  </si>
  <si>
    <t>Litera Compare Desktop</t>
  </si>
  <si>
    <t>Alation</t>
  </si>
  <si>
    <t>Contract is Apr-Mar Budegetd 26 - 191K v/s Actual 172K</t>
  </si>
  <si>
    <t>$43K is prepaid for Jan-Mar 2027, actual saving is $19K budet vs actuals</t>
  </si>
  <si>
    <t>BoardVantage</t>
  </si>
  <si>
    <t>Software for Board of Directors - Potential Opportunity - No activity in 2025 as well</t>
  </si>
  <si>
    <t>Modelling fees</t>
  </si>
  <si>
    <t>No cost noted in Mar &amp; Apr</t>
  </si>
  <si>
    <t>TBC with Danny</t>
  </si>
  <si>
    <t>Comprised of 7 different invoices - SmartNet, Prisma and PA until Jul'25; New Price effective Aug'25 for 5 yr contract
5 years starting Aug is only Prisma and PA. No SmartNet.</t>
  </si>
  <si>
    <t>Polaris/EDM/SecMast Core l2</t>
  </si>
  <si>
    <t>Managed Services</t>
  </si>
  <si>
    <t>IVP L2 Tech MS</t>
  </si>
  <si>
    <t>Budget v/s Actuals, incremental recon hosting fees CPI -5.3% since May</t>
  </si>
  <si>
    <t>Data MS</t>
  </si>
  <si>
    <t>Data Managed Srvc</t>
  </si>
  <si>
    <t>Errouneously paid by BDC CC -32K, Incremental spend 20K-LoungeLizard budget transferred to Equisolve</t>
  </si>
  <si>
    <t>Addditional work - Site Refresh in March $9.9K &amp; Form modification in April $195</t>
  </si>
  <si>
    <t>S&amp;P Global</t>
  </si>
  <si>
    <t>RISK AUM-Potential Dec. Opp WSO</t>
  </si>
  <si>
    <t>WSO Web service + Orion CLO + Levpro implementation $10k in March</t>
  </si>
  <si>
    <t>MS Core, Co-pilot, Azure-Prepaid, renewed in June at $687K 1 year</t>
  </si>
  <si>
    <t>Renewal at $687K from June26-May-27, paid upfront</t>
  </si>
  <si>
    <t>Infra Svcs &amp; User Enblt Tech</t>
  </si>
  <si>
    <t>Prj Mgmt T&amp;M</t>
  </si>
  <si>
    <t>T&amp;M IVP Mgmt (TOM)- Rahul &amp; Vaibhav + 2</t>
  </si>
  <si>
    <t>Budgeted only for 2 headcount, actual contract was signed for 4 headcounts</t>
  </si>
  <si>
    <t>Prj000472</t>
  </si>
  <si>
    <t>Implement - Build Pipes from CORE Systems to IVP</t>
  </si>
  <si>
    <t>Polaris/EDM/SecMast Core Implementation</t>
  </si>
  <si>
    <t>RTB- FPC</t>
  </si>
  <si>
    <t>FPC- IVP Implementation Post Contract - Capitalizable-160K per month from Jan to June 2026 - Capitalizable</t>
  </si>
  <si>
    <t>Y</t>
  </si>
  <si>
    <t>Enterprise Data Governance &amp; Quality</t>
  </si>
  <si>
    <t>Intellibus</t>
  </si>
  <si>
    <t>CTB- T&amp;M</t>
  </si>
  <si>
    <t>Consulting</t>
  </si>
  <si>
    <t>Consulting Change the Business</t>
  </si>
  <si>
    <t>T&amp;M - Intellibus</t>
  </si>
  <si>
    <t>FPC TBD Dependent on Investor Reporting Integration into Seismic - Prepaid</t>
  </si>
  <si>
    <t>Capitalization</t>
  </si>
  <si>
    <t>Software Capitalization</t>
  </si>
  <si>
    <t>CTB- FPC</t>
  </si>
  <si>
    <t>Software Cap</t>
  </si>
  <si>
    <t>Management cap on Capitalized Software</t>
  </si>
  <si>
    <t>Capitalisation target</t>
  </si>
  <si>
    <t>Capitalisation</t>
  </si>
  <si>
    <t>Hosting Agreement Amortization</t>
  </si>
  <si>
    <t>Amortization - Capitalized costs for hosting arrangements</t>
  </si>
  <si>
    <t>Amortisation expense relating to pre-2025 capitalised costs was missed from budget. We recommend offsetting this gap against a placeholder., CHANGE</t>
  </si>
  <si>
    <t>All the amortization lines have been merged to one, source is capitalization schedule shared by Darlene. This risk could be setoff againt PH and any other opp on YTD</t>
  </si>
  <si>
    <t>PactFi Annual Platform Fee</t>
  </si>
  <si>
    <t>Year 1 of 3: 1/26/26 to 1/25/27 - Capitalizable</t>
  </si>
  <si>
    <t>ACC Business</t>
  </si>
  <si>
    <t>Network</t>
  </si>
  <si>
    <t>We are trying to get the invoices from vendor, incorporate new contract</t>
  </si>
  <si>
    <t>In CAD</t>
  </si>
  <si>
    <t>Office Exp / Supplies / Misc Software</t>
  </si>
  <si>
    <t>Office Exp / Supplies / Misc Software/ Printing/ Photocopying/ Stationery</t>
  </si>
  <si>
    <t>AI Budget reclass pending</t>
  </si>
  <si>
    <t>Claude purchased by Danny for AI Initiative $6495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</si>
  <si>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</si>
  <si>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</si>
  <si>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</si>
  <si>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</si>
  <si>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</si>
  <si>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Webex service  has been cancelled in Dec'25, confirmed by Danny</t>
  </si>
  <si>
    <t>in AUD</t>
  </si>
  <si>
    <t>LSEG / Refinitive</t>
  </si>
  <si>
    <t>Market Data</t>
  </si>
  <si>
    <t>Hardware - Desktop Equipment</t>
  </si>
  <si>
    <t>Budget v/s Actuals, Techsmith renewal for 1 year included in April</t>
  </si>
  <si>
    <t>Papercut SaaS Maintenance</t>
  </si>
  <si>
    <t>Not part of original budget; risk added, category updated from software to hardware since laptop purchase, Unplanned expansion not budgeted by HR and Tech, CHANGE</t>
  </si>
  <si>
    <t>Surface laptop 7, Logitech keyboard and Mouse, Starlite Cable, Monitor unbudgeted, 3 laptops to be charged back to Private Credit</t>
  </si>
  <si>
    <t>Variable Monthly Usage</t>
  </si>
  <si>
    <t>Variable Monthly Usage - Not budgeted</t>
  </si>
  <si>
    <t>Hard Risk, unbudgeted</t>
  </si>
  <si>
    <t>CHANGE</t>
  </si>
  <si>
    <t>Prj000228</t>
  </si>
  <si>
    <t>Implement - Portfolio Optimization Tool for LC</t>
  </si>
  <si>
    <t>Capitalizable</t>
  </si>
  <si>
    <t>Prj000556</t>
  </si>
  <si>
    <t>Implement - QA CoE to Additional Platforms</t>
  </si>
  <si>
    <t>New 2026 BoW</t>
  </si>
  <si>
    <t>Placeholder funds for new initiatives have been forecasted as per Leon's instruction for utilisation and potential opportunities</t>
  </si>
  <si>
    <t>Tech Mandatory</t>
  </si>
  <si>
    <t>Prj000353</t>
  </si>
  <si>
    <t>Implement - L1/L2 CoE for Additional Platforms</t>
  </si>
  <si>
    <t>New 2026 BoW, CHANGE</t>
  </si>
  <si>
    <t>Prj000489</t>
  </si>
  <si>
    <t>Implement - Strategic Modules for LIQ</t>
  </si>
  <si>
    <t>New 2026 BoW (Capitalizable)</t>
  </si>
  <si>
    <t>Prj000482</t>
  </si>
  <si>
    <t>Implement - WSO Own Instance (AM)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</si>
  <si>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</si>
  <si>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</si>
  <si>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WSO Platform Modernization</t>
  </si>
  <si>
    <t>New 2026 BoW, WSO</t>
  </si>
  <si>
    <t xml:space="preserve"> Onetime implementation cost for WSO migration web to hosting,$10K is part of WSO web to hosting transistion and should be part of $504K</t>
  </si>
  <si>
    <t>WSO Migration – IVP Apps Integration, New 2026 BoW utilised</t>
  </si>
  <si>
    <t>New FPC &amp; T&amp;M contract with IVP for WSO Migration, we have allocated unutilised funds from Markit to this contract and not considered this as risk</t>
  </si>
  <si>
    <t>Prj000211</t>
  </si>
  <si>
    <t>Implement - WSO Balance Sheet Mig &amp; Reporting</t>
  </si>
  <si>
    <t>New 2026 BoW (Capitalizable)  Full opportunity as per Leon</t>
  </si>
  <si>
    <t>Prj000477</t>
  </si>
  <si>
    <t>Implement - Odyssey Reporting &amp; Exception Mgmt</t>
  </si>
  <si>
    <t>New FPC BOW</t>
  </si>
  <si>
    <t>New 2026 BoW (Capitalizable), CHANGE</t>
  </si>
  <si>
    <t>New 2026 BoW full opportunity as per Leon</t>
  </si>
  <si>
    <t>Prj000447</t>
  </si>
  <si>
    <t>Implement - Minor Enhancements SNOW - Phase 2</t>
  </si>
  <si>
    <t>ServiceNow</t>
  </si>
  <si>
    <t>Monthly SOW</t>
  </si>
  <si>
    <t>Prj000476</t>
  </si>
  <si>
    <t>Implement - Reporting to Support DGC</t>
  </si>
  <si>
    <t>Tableau Licenses</t>
  </si>
  <si>
    <t>Paid till Mar2026, might need till 03/2027- Capitalizable</t>
  </si>
  <si>
    <t>Prj000402</t>
  </si>
  <si>
    <t>Implement - Minor Enhancements for Data Services</t>
  </si>
  <si>
    <t>Prj000278</t>
  </si>
  <si>
    <t>Implement - Fund Acctn Modules to Support BS Transition</t>
  </si>
  <si>
    <t>Investor Reporting &amp; Insights</t>
  </si>
  <si>
    <t>Prj000296</t>
  </si>
  <si>
    <t>Support - PMO Governance &amp; Reporting Activities</t>
  </si>
  <si>
    <t>Unbudgeted tax, new 2026 bow utilised</t>
  </si>
  <si>
    <t>T&amp;M- Implementing CoE for L1/L2 Platforms, new 2026 bow, offset with amortisation, CHANGE</t>
  </si>
  <si>
    <t>Changed from T&amp;M to FPC as per Shanky's KT, March billing to decide final Opp/Risk</t>
  </si>
  <si>
    <t>New 2026 BoW (batch orchestraion work)</t>
  </si>
  <si>
    <t>2026 Laptops - Danny- Risk</t>
  </si>
  <si>
    <t>New laptops, unbudgeted</t>
  </si>
  <si>
    <t>BMS</t>
  </si>
  <si>
    <t>Prepaid 2026</t>
  </si>
  <si>
    <t>OneStream</t>
  </si>
  <si>
    <t>S&amp;P Global/ WSO</t>
  </si>
  <si>
    <t>WSO Web Services - Subs/ WSO Web/AUM/SubVar- Potential Risk</t>
  </si>
  <si>
    <t>Unbudgeted risk for 2025 AUM Overusage to be charged back to Operations</t>
  </si>
  <si>
    <t>T&amp;M-T&amp;M</t>
  </si>
  <si>
    <t>T&amp;M- H2-2026 Risk unbudgeted extension, CHANGE</t>
  </si>
  <si>
    <t>Contract expected to extend in second half of 2026, unbudgeted</t>
  </si>
  <si>
    <t>Renaissance, H2 unbudgeted extension</t>
  </si>
  <si>
    <t>Contract expected to extend in second half of 2026, unbudgeted.  Viabhav-0 .5 Rahul-0 .5 Vedang, + 2 Offshore FTE</t>
  </si>
  <si>
    <t>Hard Opportunity- Variance from OneStream Budget vs IT Budget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</si>
  <si>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</si>
  <si>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Swati Yadav</t>
  </si>
  <si>
    <t>Cost to be setoff with Coforge (Swati replacing Shanky)</t>
  </si>
  <si>
    <t>Danny's extra 1Rivet HC - Risk</t>
  </si>
  <si>
    <t>Extra resource requested by Danny from 1Rivet to replace Acenture resources, unbudgeted (Arif Inamdar)</t>
  </si>
  <si>
    <t>Nore</t>
  </si>
  <si>
    <t>Prj000469-Support - Prod Support for Ops Apps</t>
  </si>
  <si>
    <t>Nore is data source provider for Refinitive - not part of initial budget</t>
  </si>
  <si>
    <t>PH-TBC</t>
  </si>
  <si>
    <t>80K - Network engineer consultant T&amp;M
, CHANGE</t>
  </si>
  <si>
    <t>This was not part of initial budget</t>
  </si>
  <si>
    <t>Unbudgeted, New risk - CME Group SOFR License, $1K per month charge back expected from</t>
  </si>
  <si>
    <t>SUBTOTAL</t>
  </si>
  <si>
    <t>May-Dec FC</t>
  </si>
  <si>
    <t>Budget</t>
  </si>
  <si>
    <t>AI Initiatives</t>
  </si>
  <si>
    <t>Prj000599</t>
  </si>
  <si>
    <t>Implement - Antares AI Capabilities</t>
  </si>
  <si>
    <t>Capco</t>
  </si>
  <si>
    <t>Milestone</t>
  </si>
  <si>
    <t xml:space="preserve">Nimble Gravity </t>
  </si>
  <si>
    <t>MS -Core</t>
  </si>
  <si>
    <t>Milestone - FPC</t>
  </si>
  <si>
    <t>Nimble Gravity cost is $0 to Antares because the full $84.4K project is funded by End Customer Investment Funds (Microsoft program)</t>
  </si>
  <si>
    <t>Graphwise or GraphDB</t>
  </si>
  <si>
    <t>Graph DB</t>
  </si>
  <si>
    <t>POC</t>
  </si>
  <si>
    <t>Contract is of 3 years with different amounts each year, POC for 4 months so no cost</t>
  </si>
  <si>
    <t>1 year prepaid</t>
  </si>
  <si>
    <t>Metaphacts</t>
  </si>
  <si>
    <t>Platform Fees</t>
  </si>
  <si>
    <t>First 5 months: MVP / pilot phase, Then: converts into full 3-year subscription</t>
  </si>
  <si>
    <t>$200K is 1 year</t>
  </si>
  <si>
    <t>Figma</t>
  </si>
  <si>
    <t>Quarter Expense</t>
  </si>
  <si>
    <t>Figma Platform – Enterprise Subscription</t>
  </si>
  <si>
    <t>Anthropic</t>
  </si>
  <si>
    <t>Claude</t>
  </si>
  <si>
    <t>Contract pending</t>
  </si>
  <si>
    <t>Balance left</t>
  </si>
  <si>
    <t>Sum of Actual+Forecast</t>
  </si>
  <si>
    <t>Sum of T&amp;M Cost</t>
  </si>
  <si>
    <t>Antares Data Management</t>
  </si>
  <si>
    <t>Enterprise Evolution</t>
  </si>
  <si>
    <t>Others</t>
  </si>
  <si>
    <t>#N/A</t>
  </si>
  <si>
    <t>Portfolio Analytics &amp; Management</t>
  </si>
  <si>
    <t>Renaissance</t>
  </si>
  <si>
    <t>Total Cost</t>
  </si>
  <si>
    <t>Trade &amp; Workflow Optimization</t>
  </si>
  <si>
    <t>Sum of Jan-May Actuals</t>
  </si>
  <si>
    <t>Concur</t>
  </si>
  <si>
    <t>PH -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</si>
</sst>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7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44" fontId="0" fillId="0" borderId="0" xfId="0" applyNumberFormat="1"/>
    <xf numFmtId="167" fontId="0" fillId="0" borderId="0" xfId="0" applyNumberFormat="1"/>
    <xf numFmtId="0" fontId="11" fillId="2" borderId="0" xfId="0" applyFont="1" applyFill="1" applyAlignment="1">
      <alignment horizontal="left"/>
    </xf>
    <xf numFmtId="44" fontId="11" fillId="2" borderId="0" xfId="2" applyFont="1" applyFill="1"/>
    <xf numFmtId="44" fontId="12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5" fontId="0" fillId="0" borderId="0" xfId="0" applyNumberFormat="1"/>
    <xf numFmtId="0" fontId="0" fillId="15" borderId="0" xfId="0" applyFill="1" applyAlignment="1">
      <alignment horizontal="left"/>
    </xf>
    <xf numFmtId="0" fontId="3" fillId="3" borderId="20" xfId="0" applyFont="1" applyFill="1" applyBorder="1" applyAlignment="1">
      <alignment horizontal="center"/>
    </xf>
    <xf numFmtId="166" fontId="0" fillId="0" borderId="0" xfId="2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3" fillId="17" borderId="0" xfId="0" applyFont="1" applyFill="1" applyAlignment="1">
      <alignment horizontal="center" vertical="center"/>
    </xf>
    <xf numFmtId="43" fontId="13" fillId="17" borderId="0" xfId="1" applyFont="1" applyFill="1" applyAlignment="1">
      <alignment horizontal="center" vertic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137"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numFmt numFmtId="166" formatCode="&quot;$&quot;#,##0"/>
    </dxf>
    <dxf>
      <alignment horizontal="center"/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_(* #,##0_);_(* \(#,##0\);_(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 Approved</a:t>
            </a:r>
            <a:r>
              <a:rPr lang="en-US" baseline="0"/>
              <a:t> </a:t>
            </a:r>
            <a:r>
              <a:rPr lang="en-US"/>
              <a:t>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&quot;$&quot;#,##0.0,,&quot;M&quot;" sourceLinked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0.23961864206910916"/>
              <c:y val="-2.8089887640449437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2.4576270981447108E-2"/>
              <c:y val="-5.016051364365972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531356636766341"/>
                  <c:h val="0.14483417803111689"/>
                </c:manualLayout>
              </c15:layout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355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695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37E-2"/>
              <c:y val="6.01926163723915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'Budget Slide'!$C$3:$C$4</c:f>
              <c:strCache>
                <c:ptCount val="1"/>
                <c:pt idx="0">
                  <c:v>Sum of 2026 Final Budget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82D-4237-AC20-94BA99A03A74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E82D-4237-AC20-94BA99A03A74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E82D-4237-AC20-94BA99A03A74}"/>
                </c:ext>
              </c:extLst>
            </c:dLbl>
            <c:dLbl>
              <c:idx val="2"/>
              <c:layout>
                <c:manualLayout>
                  <c:x val="-0.23961864206910916"/>
                  <c:y val="-2.8089887640449437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E82D-4237-AC20-94BA99A03A74}"/>
                </c:ext>
              </c:extLst>
            </c:dLbl>
            <c:dLbl>
              <c:idx val="3"/>
              <c:layout>
                <c:manualLayout>
                  <c:x val="-2.4576270981447108E-2"/>
                  <c:y val="-5.016051364365972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531356636766341"/>
                      <c:h val="0.1448341780311168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E82D-4237-AC20-94BA99A03A74}"/>
                </c:ext>
              </c:extLst>
            </c:dLbl>
            <c:numFmt formatCode="&quot;$&quot;#,##0.0,,&quot;M&quot;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Slide'!$C$5:$C$9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82D-4237-AC20-94BA99A03A74}"/>
            </c:ext>
          </c:extLst>
        </c:ser>
        <c:ser>
          <c:idx val="1"/>
          <c:order val="1"/>
          <c:tx>
            <c:strRef>
              <c:f>'Budget Slide'!$D$3:$D$4</c:f>
              <c:strCache>
                <c:ptCount val="1"/>
                <c:pt idx="0">
                  <c:v>Sum of Actual+Forecast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E82D-4237-AC20-94BA99A03A74}"/>
              </c:ext>
            </c:extLst>
          </c:dPt>
          <c:dLbls>
            <c:dLbl>
              <c:idx val="0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9-E82D-4237-AC20-94BA99A03A74}"/>
                </c:ext>
              </c:extLst>
            </c:dLbl>
            <c:dLbl>
              <c:idx val="1"/>
              <c:layout>
                <c:manualLayout>
                  <c:x val="8.2944793616168355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A-E82D-4237-AC20-94BA99A03A74}"/>
                </c:ext>
              </c:extLst>
            </c:dLbl>
            <c:dLbl>
              <c:idx val="2"/>
              <c:layout>
                <c:manualLayout>
                  <c:x val="8.2944793616168466E-2"/>
                  <c:y val="-1.4713580696267087E-16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B-E82D-4237-AC20-94BA99A03A74}"/>
                </c:ext>
              </c:extLst>
            </c:dLbl>
            <c:dLbl>
              <c:idx val="3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C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Slide'!$D$5:$D$9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82D-4237-AC20-94BA99A03A74}"/>
            </c:ext>
          </c:extLst>
        </c:ser>
        <c:ser>
          <c:idx val="2"/>
          <c:order val="2"/>
          <c:tx>
            <c:strRef>
              <c:f>'Budget Slide'!$E$3:$E$4</c:f>
              <c:strCache>
                <c:ptCount val="1"/>
                <c:pt idx="0">
                  <c:v>Sum of 2026 Net Position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E82D-4237-AC20-94BA99A03A74}"/>
              </c:ext>
            </c:extLst>
          </c:dPt>
          <c:dLbls>
            <c:dLbl>
              <c:idx val="0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2D-4237-AC20-94BA99A03A74}"/>
                </c:ext>
              </c:extLst>
            </c:dLbl>
            <c:dLbl>
              <c:idx val="1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2D-4237-AC20-94BA99A03A74}"/>
                </c:ext>
              </c:extLst>
            </c:dLbl>
            <c:dLbl>
              <c:idx val="2"/>
              <c:layout>
                <c:manualLayout>
                  <c:x val="3.3792372599489695E-2"/>
                  <c:y val="-1.4713580696267087E-16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2D-4237-AC20-94BA99A03A74}"/>
                </c:ext>
              </c:extLst>
            </c:dLbl>
            <c:dLbl>
              <c:idx val="3"/>
              <c:layout>
                <c:manualLayout>
                  <c:x val="3.3792372599489737E-2"/>
                  <c:y val="6.0192616372391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Slide'!$E$5:$E$9</c:f>
              <c:numCache>
                <c:formatCode>_(* #,##0_);_(* \(#,##0\);_(* "-"??_);_(@_)</c:formatCode>
                <c:ptCount val="4"/>
                <c:pt idx="0">
                  <c:v>36231.950900000404</c:v>
                </c:pt>
                <c:pt idx="1">
                  <c:v>-651942.60999999987</c:v>
                </c:pt>
                <c:pt idx="2">
                  <c:v>-15709.779999999697</c:v>
                </c:pt>
                <c:pt idx="3">
                  <c:v>1078563.616516666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2D-4237-AC20-94BA99A03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Slide'!$H$3:$H$4</c:f>
              <c:strCache>
                <c:ptCount val="1"/>
                <c:pt idx="0">
                  <c:v>Sum of 2026 Final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Slide'!$H$5:$H$9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A-4F6B-B64E-D867D720658E}"/>
            </c:ext>
          </c:extLst>
        </c:ser>
        <c:ser>
          <c:idx val="1"/>
          <c:order val="1"/>
          <c:tx>
            <c:strRef>
              <c:f>'Budget Slide'!$I$3:$I$4</c:f>
              <c:strCache>
                <c:ptCount val="1"/>
                <c:pt idx="0">
                  <c:v>Sum of Actual+Forecast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Slide'!$I$5:$I$9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A-4F6B-B64E-D867D72065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5475136"/>
        <c:axId val="1165461216"/>
      </c:barChart>
      <c:catAx>
        <c:axId val="116547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61216"/>
        <c:crosses val="autoZero"/>
        <c:auto val="1"/>
        <c:lblAlgn val="ctr"/>
        <c:lblOffset val="100"/>
        <c:noMultiLvlLbl val="0"/>
      </c:catAx>
      <c:valAx>
        <c:axId val="11654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7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96520</xdr:rowOff>
    </xdr:from>
    <xdr:to>
      <xdr:col>4</xdr:col>
      <xdr:colOff>141189</xdr:colOff>
      <xdr:row>27</xdr:row>
      <xdr:rowOff>152400</xdr:rowOff>
    </xdr:to>
    <xdr:graphicFrame macro="">
      <xdr:nvGraphicFramePr>
        <xdr:cNvPr id="2" name="Budget Pie Chart">
          <a:extLst>
            <a:ext uri="{FF2B5EF4-FFF2-40B4-BE49-F238E27FC236}">
              <a16:creationId xmlns:a16="http://schemas.microsoft.com/office/drawing/2014/main" id="{7373E54A-F6F7-CE9A-A673-D7A764049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354330</xdr:colOff>
      <xdr:row>10</xdr:row>
      <xdr:rowOff>102870</xdr:rowOff>
    </xdr:from>
    <xdr:to>
      <xdr:col>9</xdr:col>
      <xdr:colOff>491490</xdr:colOff>
      <xdr:row>25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ACAE22-4F65-EF57-EBA4-F8C86208E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swati_yadav_antares_com/Documents/Desktop/Swati/Project%20Analysis%20-%20H2%20Planning/Revised%20H2%20Planning%20Project_Program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05.828202083336" createdVersion="8" refreshedVersion="8" minRefreshableVersion="3" recordCount="71" xr:uid="{D5D6D22B-A004-44B5-AD10-AE1564024BC2}">
  <cacheSource type="worksheet">
    <worksheetSource ref="A2:N73" sheet="Sheet9" r:id="rId2"/>
  </cacheSource>
  <cacheFields count="14">
    <cacheField name="Project ID" numFmtId="0">
      <sharedItems/>
    </cacheField>
    <cacheField name="Business Initiative" numFmtId="0">
      <sharedItems/>
    </cacheField>
    <cacheField name="Tech Project Grouping" numFmtId="0">
      <sharedItems count="12">
        <s v="Production Support &amp; Minor Enhancements"/>
        <s v="WSO Platform Modernization"/>
        <s v="Trade &amp; Workflow Optimization"/>
        <s v="Investor Reporting &amp; Insights"/>
        <s v="Tech Mandatory"/>
        <s v="Portfolio Analytics &amp; Management"/>
        <s v="Enterprise Data Governance &amp; Quality"/>
        <s v="Cash Matching &amp; Reconciliation"/>
        <s v="Enterprise Evolution"/>
        <s v="Antares Data Management"/>
        <s v="Others"/>
        <s v="Renaissance"/>
      </sharedItems>
    </cacheField>
    <cacheField name="FTE Cost" numFmtId="166">
      <sharedItems containsSemiMixedTypes="0" containsString="0" containsNumber="1" minValue="0" maxValue="736666.58000000042"/>
    </cacheField>
    <cacheField name="T&amp;M Cost" numFmtId="166">
      <sharedItems containsSemiMixedTypes="0" containsString="0" containsNumber="1" minValue="0" maxValue="788880"/>
    </cacheField>
    <cacheField name="FPC Cost" numFmtId="166">
      <sharedItems containsSemiMixedTypes="0" containsString="0" containsNumber="1" containsInteger="1" minValue="0" maxValue="960000"/>
    </cacheField>
    <cacheField name="MS Cost" numFmtId="166">
      <sharedItems containsSemiMixedTypes="0" containsString="0" containsNumber="1" minValue="0" maxValue="1636947"/>
    </cacheField>
    <cacheField name="External Total" numFmtId="166">
      <sharedItems containsSemiMixedTypes="0" containsString="0" containsNumber="1" minValue="0" maxValue="1827411"/>
    </cacheField>
    <cacheField name="S/W Cost" numFmtId="166">
      <sharedItems containsSemiMixedTypes="0" containsString="0" containsNumber="1" minValue="0" maxValue="7814399"/>
    </cacheField>
    <cacheField name="H/W Cost" numFmtId="166">
      <sharedItems containsSemiMixedTypes="0" containsString="0" containsNumber="1" minValue="0" maxValue="115925.69333333333"/>
    </cacheField>
    <cacheField name="Infra Cost" numFmtId="166">
      <sharedItems containsSemiMixedTypes="0" containsString="0" containsNumber="1" minValue="0" maxValue="7477394.7100000009"/>
    </cacheField>
    <cacheField name="OOE Cost" numFmtId="166">
      <sharedItems containsSemiMixedTypes="0" containsString="0" containsNumber="1" minValue="0" maxValue="654547.71"/>
    </cacheField>
    <cacheField name="S/W &amp; OpEx" numFmtId="166">
      <sharedItems containsSemiMixedTypes="0" containsString="0" containsNumber="1" minValue="0" maxValue="7919678"/>
    </cacheField>
    <cacheField name="Total Cost" numFmtId="166">
      <sharedItems containsSemiMixedTypes="0" containsString="0" containsNumber="1" minValue="0" maxValue="8349440.95750000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2.924882870371" createdVersion="8" refreshedVersion="8" minRefreshableVersion="3" recordCount="149" xr:uid="{14834CBE-76E0-4F7D-A076-F066E6A489B9}">
  <cacheSource type="worksheet">
    <worksheetSource name="Financials20263"/>
  </cacheSource>
  <cacheFields count="76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T&amp;E - Refer to Concur" u="1"/>
        <s v="Other" u="1"/>
        <s v="General Office Expense - Refer to Concur" u="1"/>
      </sharedItems>
    </cacheField>
    <cacheField name="DBA / AKA / Passthrough" numFmtId="0">
      <sharedItems containsBlank="1"/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s v="Amortization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  <cacheField name="Non-Comitted" numFmtId="166">
      <sharedItems containsBlank="1"/>
    </cacheField>
    <cacheField name="New Spend Category" numFmtId="0">
      <sharedItems count="5">
        <s v="Software"/>
        <s v="Other Operating Expenses"/>
        <s v="Labor Spend"/>
        <s v="Infrastructure"/>
        <s v="Capitalisation"/>
      </sharedItems>
    </cacheField>
    <cacheField name="Program" numFmtId="166">
      <sharedItems count="7">
        <s v="Production Support &amp; Minor Enhancements"/>
        <s v="Cash Matching &amp; Reconciliation"/>
        <e v="#N/A"/>
        <s v="Enterprise Data Governance &amp; Quality"/>
        <s v="Tech Mandatory"/>
        <s v="WSO Platform Modernization"/>
        <s v="Investor Reporting &amp; Insight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s v="Prj000203"/>
    <s v="Prj000203 - Support - Tech Risk &amp; Control Activities"/>
    <x v="0"/>
    <n v="393833.28700000019"/>
    <n v="0"/>
    <n v="0"/>
    <n v="0"/>
    <n v="0"/>
    <n v="0"/>
    <n v="0"/>
    <n v="0"/>
    <n v="0"/>
    <n v="0"/>
    <n v="393833.28700000019"/>
  </r>
  <r>
    <s v="Prj000211"/>
    <s v="Prj000211 - Implement - WSO Balance Sheet Mig &amp; Reporting"/>
    <x v="1"/>
    <n v="232333.3060000001"/>
    <n v="46008"/>
    <n v="0"/>
    <n v="0"/>
    <n v="46008"/>
    <n v="0"/>
    <n v="0"/>
    <n v="0"/>
    <n v="0"/>
    <n v="0"/>
    <n v="278341.3060000001"/>
  </r>
  <r>
    <s v="Prj000235"/>
    <s v="Prj000235 - Implement - PactFi Integration"/>
    <x v="2"/>
    <n v="260666.63600000012"/>
    <n v="107309.99999999999"/>
    <n v="75000"/>
    <n v="0"/>
    <n v="182310"/>
    <n v="0"/>
    <n v="0"/>
    <n v="0"/>
    <n v="0"/>
    <n v="0"/>
    <n v="442976.63600000012"/>
  </r>
  <r>
    <s v="Prj000266"/>
    <s v="Prj000266 - Support - Internal Tech Workforce Activities"/>
    <x v="0"/>
    <n v="42499.99500000001"/>
    <n v="0"/>
    <n v="0"/>
    <n v="0"/>
    <n v="0"/>
    <n v="40896.97"/>
    <n v="0"/>
    <n v="7310"/>
    <n v="654547.71"/>
    <n v="702754.67999999993"/>
    <n v="745254.67499999993"/>
  </r>
  <r>
    <s v="Prj000278"/>
    <s v="Prj000278 - Implement - Fund Accounting solution"/>
    <x v="3"/>
    <n v="127499.98500000006"/>
    <n v="10944"/>
    <n v="150000"/>
    <n v="0"/>
    <n v="160944"/>
    <n v="0"/>
    <n v="0"/>
    <n v="0"/>
    <n v="0"/>
    <n v="0"/>
    <n v="288443.98500000004"/>
  </r>
  <r>
    <s v="Prj000281"/>
    <s v="Prj000281 - Implement - Investor Reporting Capability"/>
    <x v="3"/>
    <n v="736666.58000000042"/>
    <n v="64799.999999999993"/>
    <n v="0"/>
    <n v="0"/>
    <n v="64799.999999999993"/>
    <n v="0"/>
    <n v="0"/>
    <n v="0"/>
    <n v="0"/>
    <n v="0"/>
    <n v="801466.58000000042"/>
  </r>
  <r>
    <s v="Prj000290"/>
    <s v="Prj000290 - Support - Asset Management Applications"/>
    <x v="0"/>
    <n v="101999.98800000004"/>
    <n v="16415.999999999996"/>
    <n v="0"/>
    <n v="0"/>
    <n v="16415.999999999996"/>
    <n v="1608791.4733333332"/>
    <n v="0"/>
    <n v="0"/>
    <n v="359"/>
    <n v="1609150.4733333332"/>
    <n v="1727566.4613333333"/>
  </r>
  <r>
    <s v="Prj000295"/>
    <s v="Prj000295 - Implement - Minor Enhancements for AM Platforms"/>
    <x v="0"/>
    <n v="678583.25350000034"/>
    <n v="80064"/>
    <n v="0"/>
    <n v="0"/>
    <n v="80064"/>
    <n v="0"/>
    <n v="0"/>
    <n v="0"/>
    <n v="0"/>
    <n v="0"/>
    <n v="758647.25350000034"/>
  </r>
  <r>
    <s v="Prj000296"/>
    <s v="Prj000296 - Support - PMO Governance &amp; Reporting Activities"/>
    <x v="0"/>
    <n v="160083.31450000007"/>
    <n v="0"/>
    <n v="100000"/>
    <n v="0"/>
    <n v="100000"/>
    <n v="0"/>
    <n v="0"/>
    <n v="0"/>
    <n v="0"/>
    <n v="0"/>
    <n v="260083.31450000007"/>
  </r>
  <r>
    <s v="Prj000326"/>
    <s v="Prj000326 - Support - FP&amp;A Budgeting, Forecasting Activities"/>
    <x v="0"/>
    <n v="189833.31100000007"/>
    <n v="226536"/>
    <n v="0"/>
    <n v="0"/>
    <n v="226536"/>
    <n v="0"/>
    <n v="0"/>
    <n v="0"/>
    <n v="0"/>
    <n v="0"/>
    <n v="416369.3110000001"/>
  </r>
  <r>
    <s v="Prj000342"/>
    <s v="Prj000342 - Support - Site Reliability Engineering for Tech"/>
    <x v="0"/>
    <n v="607749.92850000027"/>
    <n v="225792"/>
    <n v="0"/>
    <n v="0"/>
    <n v="225792"/>
    <n v="38504.319000000003"/>
    <n v="0"/>
    <n v="7477394.7100000009"/>
    <n v="0"/>
    <n v="7515899.029000001"/>
    <n v="8349440.9575000014"/>
  </r>
  <r>
    <s v="Prj000344"/>
    <s v="Prj000344 - Support - Finance Applications"/>
    <x v="0"/>
    <n v="42499.99500000001"/>
    <n v="157440"/>
    <n v="0"/>
    <n v="92275"/>
    <n v="249715"/>
    <n v="558116"/>
    <n v="0"/>
    <n v="0"/>
    <n v="86167"/>
    <n v="644283"/>
    <n v="936497.995"/>
  </r>
  <r>
    <s v="Prj000347"/>
    <s v="Prj000347 - Support - Business Continuity"/>
    <x v="0"/>
    <n v="196916.64350000006"/>
    <n v="8272"/>
    <n v="0"/>
    <n v="0"/>
    <n v="8272"/>
    <n v="0"/>
    <n v="0"/>
    <n v="0"/>
    <n v="0"/>
    <n v="0"/>
    <n v="205188.64350000006"/>
  </r>
  <r>
    <s v="Prj000350"/>
    <s v="Prj000350 - Support - Infrastructure for Tech"/>
    <x v="0"/>
    <n v="512833.27300000022"/>
    <n v="0"/>
    <n v="0"/>
    <n v="0"/>
    <n v="0"/>
    <n v="5240079.5364166666"/>
    <n v="115925.69333333333"/>
    <n v="827897.89003333333"/>
    <n v="0"/>
    <n v="6183903.1197833335"/>
    <n v="6696736.3927833335"/>
  </r>
  <r>
    <s v="Prj000353"/>
    <s v="Prj000353 - Implement - L1/L2 CoE for Additional Platforms"/>
    <x v="4"/>
    <n v="113333.32000000005"/>
    <n v="3840"/>
    <n v="152500"/>
    <n v="165000"/>
    <n v="321340"/>
    <n v="0"/>
    <n v="0"/>
    <n v="0"/>
    <n v="0"/>
    <n v="0"/>
    <n v="434673.32000000007"/>
  </r>
  <r>
    <s v="Prj000358"/>
    <s v="Prj000358 - Support - Security Operations for Cybersecurity"/>
    <x v="0"/>
    <n v="169999.98000000007"/>
    <n v="36104"/>
    <n v="0"/>
    <n v="0"/>
    <n v="36104"/>
    <n v="1325.5"/>
    <n v="0"/>
    <n v="0"/>
    <n v="0"/>
    <n v="1325.5"/>
    <n v="207429.48000000007"/>
  </r>
  <r>
    <s v="Prj000361"/>
    <s v="Prj000361 - Support - Systems Administration for Tech"/>
    <x v="0"/>
    <n v="456166.61300000019"/>
    <n v="159800"/>
    <n v="0"/>
    <n v="0"/>
    <n v="159800"/>
    <n v="0"/>
    <n v="0"/>
    <n v="0"/>
    <n v="0"/>
    <n v="0"/>
    <n v="615966.61300000013"/>
  </r>
  <r>
    <s v="Prj000381"/>
    <s v="Prj000381 - Support - Prod Support for Credit Apps"/>
    <x v="0"/>
    <n v="127499.98500000004"/>
    <n v="13649.999999999998"/>
    <n v="0"/>
    <n v="0"/>
    <n v="13649.999999999998"/>
    <n v="2409048"/>
    <n v="0"/>
    <n v="0"/>
    <n v="93276"/>
    <n v="2502324"/>
    <n v="2643473.9849999999"/>
  </r>
  <r>
    <s v="Prj000399"/>
    <s v="Prj000399 - Implement - Minor Enhancements for Ops Apps"/>
    <x v="0"/>
    <n v="409416.61850000016"/>
    <n v="156192"/>
    <n v="0"/>
    <n v="0"/>
    <n v="156192"/>
    <n v="0"/>
    <n v="0"/>
    <n v="0"/>
    <n v="0"/>
    <n v="0"/>
    <n v="565608.6185000001"/>
  </r>
  <r>
    <s v="Prj000402"/>
    <s v="Prj000402 - Implement - Minor Enhancements for Data Services"/>
    <x v="0"/>
    <n v="301749.96450000018"/>
    <n v="50400.000000000015"/>
    <n v="0"/>
    <n v="100000"/>
    <n v="150400"/>
    <n v="0"/>
    <n v="0"/>
    <n v="0"/>
    <n v="0"/>
    <n v="0"/>
    <n v="452149.96450000018"/>
  </r>
  <r>
    <s v="Prj000403"/>
    <s v="Prj000403 - Support - L2 CoE Management for Tech Horizontals"/>
    <x v="0"/>
    <n v="131749.98450000008"/>
    <n v="190464"/>
    <n v="0"/>
    <n v="1636947"/>
    <n v="1827411"/>
    <n v="223660.07"/>
    <n v="0"/>
    <n v="0"/>
    <n v="0"/>
    <n v="223660.07"/>
    <n v="2182821.0545000001"/>
  </r>
  <r>
    <s v="Prj000404"/>
    <s v="Prj000404 - Support - QA CoE Management for Tech Horizontals"/>
    <x v="0"/>
    <n v="21249.997500000009"/>
    <n v="76400"/>
    <n v="0"/>
    <n v="592000"/>
    <n v="668400"/>
    <n v="0"/>
    <n v="0"/>
    <n v="0"/>
    <n v="0"/>
    <n v="0"/>
    <n v="689649.99750000006"/>
  </r>
  <r>
    <s v="Prj000408"/>
    <s v="Prj000408 - Implement - Bugatti Phase 2 Rl 5&amp;6"/>
    <x v="2"/>
    <n v="130333.31800000004"/>
    <n v="70176"/>
    <n v="0"/>
    <n v="0"/>
    <n v="70176"/>
    <n v="0"/>
    <n v="0"/>
    <n v="0"/>
    <n v="0"/>
    <n v="0"/>
    <n v="200509.31800000003"/>
  </r>
  <r>
    <s v="Prj000410"/>
    <s v="Prj000410 - Support - Tech Enablement 2026"/>
    <x v="0"/>
    <n v="480249.94350000017"/>
    <n v="0"/>
    <n v="0"/>
    <n v="0"/>
    <n v="0"/>
    <n v="331774.05"/>
    <n v="0"/>
    <n v="0"/>
    <n v="0"/>
    <n v="331774.05"/>
    <n v="812023.9935000001"/>
  </r>
  <r>
    <s v="Prj000426"/>
    <s v="Prj000426 - Implement - Minor Enhancements for Sales"/>
    <x v="0"/>
    <n v="177083.31250000006"/>
    <n v="98496"/>
    <n v="0"/>
    <n v="0"/>
    <n v="98496"/>
    <n v="214131"/>
    <n v="0"/>
    <n v="0"/>
    <n v="12200"/>
    <n v="226331"/>
    <n v="501910.31250000006"/>
  </r>
  <r>
    <s v="Prj000427"/>
    <s v="Prj000427 - Implement - Minor Enhancements for Marketing"/>
    <x v="0"/>
    <n v="215333.30800000011"/>
    <n v="0"/>
    <n v="0"/>
    <n v="0"/>
    <n v="0"/>
    <n v="1260"/>
    <n v="0"/>
    <n v="0"/>
    <n v="0"/>
    <n v="1260"/>
    <n v="216593.30800000011"/>
  </r>
  <r>
    <s v="Prj000428"/>
    <s v="Prj000428 - Implement - Minor Enhancements for CDM"/>
    <x v="0"/>
    <n v="65166.659000000043"/>
    <n v="32831.999999999993"/>
    <n v="0"/>
    <n v="0"/>
    <n v="32831.999999999993"/>
    <n v="0"/>
    <n v="0"/>
    <n v="0"/>
    <n v="0"/>
    <n v="0"/>
    <n v="97998.659000000043"/>
  </r>
  <r>
    <s v="Prj000446"/>
    <s v="Prj000446 - Implement - Minor Enhancements for Enterprise Apps"/>
    <x v="0"/>
    <n v="216749.97450000007"/>
    <n v="0"/>
    <n v="0"/>
    <n v="32009.25"/>
    <n v="32009.25"/>
    <n v="1012419.1846666669"/>
    <n v="0"/>
    <n v="0"/>
    <n v="0"/>
    <n v="1012419.1846666669"/>
    <n v="1261178.4091666669"/>
  </r>
  <r>
    <s v="Prj000447"/>
    <s v="Prj000447 - Implement - Minor Enhancements SNOW - Phase 2"/>
    <x v="0"/>
    <n v="73666.658000000025"/>
    <n v="0"/>
    <n v="0"/>
    <n v="174169.56"/>
    <n v="174169.56"/>
    <n v="0"/>
    <n v="0"/>
    <n v="0"/>
    <n v="0"/>
    <n v="0"/>
    <n v="247836.21800000002"/>
  </r>
  <r>
    <s v="Prj000458"/>
    <s v="Prj000458 - Support - Data Analytics Office"/>
    <x v="0"/>
    <n v="298916.63150000008"/>
    <n v="660080"/>
    <n v="0"/>
    <n v="0"/>
    <n v="660080"/>
    <n v="1391856"/>
    <n v="0"/>
    <n v="0"/>
    <n v="0"/>
    <n v="1391856"/>
    <n v="2350852.6315000001"/>
  </r>
  <r>
    <s v="Prj000467"/>
    <s v="Prj000467 - Support - Enterprise Tech Helpdesk"/>
    <x v="0"/>
    <n v="101999.98800000004"/>
    <n v="748800"/>
    <n v="0"/>
    <n v="116650"/>
    <n v="865450"/>
    <n v="98943"/>
    <n v="66307"/>
    <n v="0"/>
    <n v="0"/>
    <n v="165250"/>
    <n v="1132699.9879999999"/>
  </r>
  <r>
    <s v="Prj000468"/>
    <s v="Prj000468 - Implement - Minor Enhancements for Credit Apps"/>
    <x v="0"/>
    <n v="351333.29200000013"/>
    <n v="172700"/>
    <n v="0"/>
    <n v="0"/>
    <n v="172700"/>
    <n v="0"/>
    <n v="0"/>
    <n v="0"/>
    <n v="0"/>
    <n v="0"/>
    <n v="524033.29200000013"/>
  </r>
  <r>
    <s v="Prj000469"/>
    <s v="Prj000469 - Support - Prod Support for Ops Apps"/>
    <x v="0"/>
    <n v="144499.98300000004"/>
    <n v="70528"/>
    <n v="0"/>
    <n v="0"/>
    <n v="70528"/>
    <n v="7814399"/>
    <n v="0"/>
    <n v="0"/>
    <n v="105279"/>
    <n v="7919678"/>
    <n v="8134705.983"/>
  </r>
  <r>
    <s v="Prj000470"/>
    <s v="Prj000470 - Support - Azure API Management for Tech"/>
    <x v="0"/>
    <n v="135999.98400000005"/>
    <n v="28224"/>
    <n v="0"/>
    <n v="0"/>
    <n v="28224"/>
    <n v="0"/>
    <n v="0"/>
    <n v="0"/>
    <n v="0"/>
    <n v="0"/>
    <n v="164223.98400000005"/>
  </r>
  <r>
    <s v="Prj000471"/>
    <s v="Prj000471 - Implement - Titan Data Services for AM"/>
    <x v="5"/>
    <n v="229499.97300000009"/>
    <n v="128256"/>
    <n v="0"/>
    <n v="0"/>
    <n v="128256"/>
    <n v="0"/>
    <n v="0"/>
    <n v="0"/>
    <n v="0"/>
    <n v="0"/>
    <n v="357755.97300000011"/>
  </r>
  <r>
    <s v="Prj000472"/>
    <s v="Prj000472 - Implement - Build Pipes from CORE Systems to IVP"/>
    <x v="6"/>
    <n v="65166.659000000029"/>
    <n v="202800"/>
    <n v="960000"/>
    <n v="0"/>
    <n v="1162800"/>
    <n v="0"/>
    <n v="0"/>
    <n v="0"/>
    <n v="0"/>
    <n v="0"/>
    <n v="1227966.659"/>
  </r>
  <r>
    <s v="Prj000473"/>
    <s v="Prj000473 - Implement - Data Governance Processes for DGC"/>
    <x v="6"/>
    <n v="42499.995000000017"/>
    <n v="178272"/>
    <n v="0"/>
    <n v="0"/>
    <n v="178272"/>
    <n v="0"/>
    <n v="0"/>
    <n v="0"/>
    <n v="0"/>
    <n v="0"/>
    <n v="220771.99500000002"/>
  </r>
  <r>
    <s v="Prj000476"/>
    <s v="Prj000476 - Implement - Reporting to Support DGC"/>
    <x v="6"/>
    <n v="59499.993000000024"/>
    <n v="149952"/>
    <n v="0"/>
    <n v="0"/>
    <n v="149952"/>
    <n v="7470"/>
    <n v="0"/>
    <n v="0"/>
    <n v="0"/>
    <n v="7470"/>
    <n v="216921.99300000002"/>
  </r>
  <r>
    <s v="Prj000477"/>
    <s v="Prj000477 - Implement - Odyssey Reporting &amp; Exception Mgmt"/>
    <x v="6"/>
    <n v="148749.98250000004"/>
    <n v="346816"/>
    <n v="600000"/>
    <n v="0"/>
    <n v="946816"/>
    <n v="0"/>
    <n v="0"/>
    <n v="0"/>
    <n v="0"/>
    <n v="0"/>
    <n v="1095565.9824999999"/>
  </r>
  <r>
    <s v="Prj000478"/>
    <s v="Prj000478 - Implement - Odyssey Workflow for Golden Datasets"/>
    <x v="6"/>
    <n v="154416.64850000007"/>
    <n v="413552"/>
    <n v="0"/>
    <n v="0"/>
    <n v="413552"/>
    <n v="0"/>
    <n v="0"/>
    <n v="0"/>
    <n v="0"/>
    <n v="0"/>
    <n v="567968.64850000013"/>
  </r>
  <r>
    <s v="Prj000479"/>
    <s v="Prj000479 - Implement - Titan Data Services for Silver &amp; Gold"/>
    <x v="6"/>
    <n v="169999.98000000007"/>
    <n v="103152"/>
    <n v="0"/>
    <n v="0"/>
    <n v="103152"/>
    <n v="0"/>
    <n v="0"/>
    <n v="0"/>
    <n v="0"/>
    <n v="0"/>
    <n v="273151.9800000001"/>
  </r>
  <r>
    <s v="Prj000482"/>
    <s v="Prj000482 - Implement - WSO Antares Instance (AM)"/>
    <x v="1"/>
    <n v="279083.30050000013"/>
    <n v="31536"/>
    <n v="450000"/>
    <n v="0"/>
    <n v="481536"/>
    <n v="0"/>
    <n v="0"/>
    <n v="0"/>
    <n v="0"/>
    <n v="0"/>
    <n v="760619.30050000013"/>
  </r>
  <r>
    <s v="Prj000489"/>
    <s v="Prj000489 - Implement - Strategic Modules for LIQ"/>
    <x v="7"/>
    <n v="291833.29900000012"/>
    <n v="77119.999999999985"/>
    <n v="0"/>
    <n v="0"/>
    <n v="77119.999999999985"/>
    <n v="0"/>
    <n v="0"/>
    <n v="0"/>
    <n v="0"/>
    <n v="0"/>
    <n v="368953.29900000012"/>
  </r>
  <r>
    <s v="Prj000498"/>
    <s v="Prj000498 - Implement - Send TradeData Extracts to 3rd Parties"/>
    <x v="2"/>
    <n v="191249.9775000001"/>
    <n v="42000"/>
    <n v="0"/>
    <n v="0"/>
    <n v="42000"/>
    <n v="0"/>
    <n v="0"/>
    <n v="0"/>
    <n v="0"/>
    <n v="0"/>
    <n v="233249.9775000001"/>
  </r>
  <r>
    <s v="Prj000547"/>
    <s v="Prj000547 - Implement - Minor Enhancement for Finance Apps"/>
    <x v="0"/>
    <n v="155833.31500000006"/>
    <n v="353280"/>
    <n v="0"/>
    <n v="0"/>
    <n v="353280"/>
    <n v="0"/>
    <n v="0"/>
    <n v="0"/>
    <n v="0"/>
    <n v="0"/>
    <n v="509113.31500000006"/>
  </r>
  <r>
    <s v="Prj000548"/>
    <s v="Prj000548 - Implement - Reporting for Internal Audit"/>
    <x v="0"/>
    <n v="50999.994000000021"/>
    <n v="14112"/>
    <n v="75000"/>
    <n v="0"/>
    <n v="89112"/>
    <n v="248668"/>
    <n v="0"/>
    <n v="0"/>
    <n v="0"/>
    <n v="248668"/>
    <n v="388779.99400000001"/>
  </r>
  <r>
    <s v="Prj000549"/>
    <s v="Prj000549 - Implement - Minor Enhancements for Infrastructure"/>
    <x v="0"/>
    <n v="422166.61700000032"/>
    <n v="62791.999999999993"/>
    <n v="0"/>
    <n v="0"/>
    <n v="62791.999999999993"/>
    <n v="0"/>
    <n v="0"/>
    <n v="0"/>
    <n v="0"/>
    <n v="0"/>
    <n v="484958.61700000032"/>
  </r>
  <r>
    <s v="Prj000556"/>
    <s v="Prj000556 - Implement - QA CoE to Additional Platforms"/>
    <x v="4"/>
    <n v="31166.663000000011"/>
    <n v="103200"/>
    <n v="150000"/>
    <n v="0"/>
    <n v="253200"/>
    <n v="0"/>
    <n v="0"/>
    <n v="0"/>
    <n v="0"/>
    <n v="0"/>
    <n v="284366.663"/>
  </r>
  <r>
    <s v="Prj000565"/>
    <s v="Prj000565 - Implement - Evolution for Enterprise Phase 2"/>
    <x v="8"/>
    <n v="140249.98350000006"/>
    <n v="18944"/>
    <n v="0"/>
    <n v="0"/>
    <n v="18944"/>
    <n v="0"/>
    <n v="0"/>
    <n v="0"/>
    <n v="0"/>
    <n v="0"/>
    <n v="159193.98350000006"/>
  </r>
  <r>
    <s v="Prj000575"/>
    <s v="Prj000575 - Implement - Migrate AM Reporting to IVP &amp; Odyssey"/>
    <x v="6"/>
    <n v="100583.32150000005"/>
    <n v="262416"/>
    <n v="0"/>
    <n v="0"/>
    <n v="262416"/>
    <n v="0"/>
    <n v="0"/>
    <n v="0"/>
    <n v="0"/>
    <n v="0"/>
    <n v="362999.32150000008"/>
  </r>
  <r>
    <s v="Prj000590"/>
    <s v="Prj000590 - Feasibility - Cash Matching Process Reengineering"/>
    <x v="7"/>
    <n v="16999.998000000011"/>
    <n v="32184"/>
    <n v="0"/>
    <n v="0"/>
    <n v="32184"/>
    <n v="0"/>
    <n v="0"/>
    <n v="0"/>
    <n v="0"/>
    <n v="0"/>
    <n v="49183.998000000007"/>
  </r>
  <r>
    <s v="Prj000592"/>
    <s v="Prj000592 - Implement - Legal Entity Flows for the Enterprise"/>
    <x v="6"/>
    <n v="0"/>
    <n v="0"/>
    <n v="0"/>
    <n v="0"/>
    <n v="0"/>
    <n v="0"/>
    <n v="0"/>
    <n v="0"/>
    <n v="0"/>
    <n v="0"/>
    <n v="0"/>
  </r>
  <r>
    <s v="Prj000593"/>
    <s v="Prj000593 - Implement - Strategic Reporting Projects"/>
    <x v="9"/>
    <n v="0"/>
    <n v="0"/>
    <n v="0"/>
    <n v="0"/>
    <n v="0"/>
    <n v="0"/>
    <n v="0"/>
    <n v="0"/>
    <n v="0"/>
    <n v="0"/>
    <n v="0"/>
  </r>
  <r>
    <s v="Prj000594"/>
    <s v="Prj000594 - Implement - Analytics &amp; AI Solutions Projects"/>
    <x v="9"/>
    <n v="0"/>
    <n v="0"/>
    <n v="0"/>
    <n v="0"/>
    <n v="0"/>
    <n v="0"/>
    <n v="0"/>
    <n v="0"/>
    <n v="0"/>
    <n v="0"/>
    <n v="0"/>
  </r>
  <r>
    <s v="Prj000595"/>
    <s v="Prj000595 - Implement - Minor Enhancements for Reporting"/>
    <x v="0"/>
    <n v="33999.996000000014"/>
    <n v="524256"/>
    <n v="0"/>
    <n v="0"/>
    <n v="524256"/>
    <n v="0"/>
    <n v="0"/>
    <n v="0"/>
    <n v="0"/>
    <n v="0"/>
    <n v="558255.99600000004"/>
  </r>
  <r>
    <s v="Prj000596"/>
    <s v="Prj000596 - Implement - Transformation Office Driven Projects"/>
    <x v="9"/>
    <n v="0"/>
    <n v="0"/>
    <n v="0"/>
    <n v="0"/>
    <n v="0"/>
    <n v="0"/>
    <n v="0"/>
    <n v="0"/>
    <n v="0"/>
    <n v="0"/>
    <n v="0"/>
  </r>
  <r>
    <s v="Prj000597"/>
    <s v="Prj000597 - Implement - Finance &amp; Operation Projects"/>
    <x v="9"/>
    <n v="0"/>
    <n v="0"/>
    <n v="0"/>
    <n v="0"/>
    <n v="0"/>
    <n v="0"/>
    <n v="0"/>
    <n v="0"/>
    <n v="0"/>
    <n v="0"/>
    <n v="0"/>
  </r>
  <r>
    <s v="Prj000598"/>
    <s v="Prj000598 - Implement - Asset Management Projects"/>
    <x v="9"/>
    <n v="0"/>
    <n v="0"/>
    <n v="0"/>
    <n v="0"/>
    <n v="0"/>
    <n v="0"/>
    <n v="0"/>
    <n v="0"/>
    <n v="0"/>
    <n v="0"/>
    <n v="0"/>
  </r>
  <r>
    <s v="Prj000600"/>
    <s v="Prj000600 - Implement - Antares Brand Refresh"/>
    <x v="10"/>
    <n v="76499.991000000038"/>
    <n v="0"/>
    <n v="0"/>
    <n v="0"/>
    <n v="0"/>
    <n v="0"/>
    <n v="0"/>
    <n v="0"/>
    <n v="0"/>
    <n v="0"/>
    <n v="76499.991000000038"/>
  </r>
  <r>
    <s v="Prj000601"/>
    <s v="Prj000601 - Implement - Build Toronto Office for Expansion"/>
    <x v="0"/>
    <n v="0"/>
    <n v="0"/>
    <n v="0"/>
    <n v="0"/>
    <n v="0"/>
    <n v="0"/>
    <n v="0"/>
    <n v="0"/>
    <n v="0"/>
    <n v="0"/>
    <n v="0"/>
  </r>
  <r>
    <s v="Prj000602"/>
    <s v="Prj000602 - Implement - Minor Enhancements for IR"/>
    <x v="0"/>
    <n v="291833.29900000012"/>
    <n v="0"/>
    <n v="0"/>
    <n v="0"/>
    <n v="0"/>
    <n v="0"/>
    <n v="0"/>
    <n v="0"/>
    <n v="0"/>
    <n v="0"/>
    <n v="291833.29900000012"/>
  </r>
  <r>
    <s v="Prj000603"/>
    <s v="Prj000603 - Implement - Cash Matching Recon Solution"/>
    <x v="7"/>
    <n v="141666.65000000005"/>
    <n v="111744"/>
    <n v="0"/>
    <n v="0"/>
    <n v="111744"/>
    <n v="40000"/>
    <n v="0"/>
    <n v="0"/>
    <n v="0"/>
    <n v="40000"/>
    <n v="293410.65000000002"/>
  </r>
  <r>
    <s v="Prj000604"/>
    <s v="Prj000604 - Feasibility - WSO Balance sheet Mig &amp; Reporting"/>
    <x v="1"/>
    <n v="113333.32000000005"/>
    <n v="0"/>
    <n v="0"/>
    <n v="0"/>
    <n v="0"/>
    <n v="0"/>
    <n v="0"/>
    <n v="0"/>
    <n v="0"/>
    <n v="0"/>
    <n v="113333.32000000005"/>
  </r>
  <r>
    <s v="Prj000607"/>
    <s v="Prj000607 - Implement Data Products for the Enterprise"/>
    <x v="11"/>
    <n v="161499.98100000009"/>
    <n v="788880"/>
    <n v="0"/>
    <n v="0"/>
    <n v="788880"/>
    <n v="0"/>
    <n v="0"/>
    <n v="0"/>
    <n v="0"/>
    <n v="0"/>
    <n v="950379.98100000015"/>
  </r>
  <r>
    <s v="Prj000608"/>
    <s v="Prj000608 - Implement Process &amp; Workflows for the Enterprise"/>
    <x v="11"/>
    <n v="331499.96100000018"/>
    <n v="241920"/>
    <n v="0"/>
    <n v="0"/>
    <n v="241920"/>
    <n v="0"/>
    <n v="0"/>
    <n v="0"/>
    <n v="0"/>
    <n v="0"/>
    <n v="573419.96100000013"/>
  </r>
  <r>
    <s v="Prj000609"/>
    <s v="Prj000609 - Implement Enterprise Reporting for the Enterprise"/>
    <x v="11"/>
    <n v="220999.9740000001"/>
    <n v="427104"/>
    <n v="0"/>
    <n v="0"/>
    <n v="427104"/>
    <n v="0"/>
    <n v="0"/>
    <n v="0"/>
    <n v="0"/>
    <n v="0"/>
    <n v="648103.97400000016"/>
  </r>
  <r>
    <s v="Prj000610"/>
    <s v="Prj000610 - Implement Investor Reporting for Investor Relations"/>
    <x v="11"/>
    <n v="203999.97600000008"/>
    <n v="119328"/>
    <n v="0"/>
    <n v="0"/>
    <n v="119328"/>
    <n v="0"/>
    <n v="0"/>
    <n v="0"/>
    <n v="0"/>
    <n v="0"/>
    <n v="323327.97600000008"/>
  </r>
  <r>
    <s v="Prj000611"/>
    <s v="Prj000611 - Implement Data Distributionfor the Enterprise"/>
    <x v="11"/>
    <n v="362666.62400000019"/>
    <n v="75072"/>
    <n v="0"/>
    <n v="0"/>
    <n v="75072"/>
    <n v="0"/>
    <n v="0"/>
    <n v="0"/>
    <n v="0"/>
    <n v="0"/>
    <n v="437738.62400000019"/>
  </r>
  <r>
    <s v="Prj000613"/>
    <s v="Prj000613 - Implement AI - Atlas for Liquidity Solutions"/>
    <x v="11"/>
    <n v="144499.98300000007"/>
    <n v="27808"/>
    <n v="0"/>
    <n v="0"/>
    <n v="27808"/>
    <n v="0"/>
    <n v="0"/>
    <n v="0"/>
    <n v="0"/>
    <n v="0"/>
    <n v="172307.98300000007"/>
  </r>
  <r>
    <s v="Prj000614"/>
    <s v="Prj000614 - Implement - Build Toronto Office - Ph2"/>
    <x v="11"/>
    <n v="19833.331000000009"/>
    <n v="0"/>
    <n v="0"/>
    <n v="0"/>
    <n v="0"/>
    <n v="0"/>
    <n v="0"/>
    <n v="0"/>
    <n v="0"/>
    <n v="0"/>
    <n v="19833.331000000009"/>
  </r>
  <r>
    <s v="Prj000615"/>
    <s v="Prj000615 - Implement - Valuation Services"/>
    <x v="11"/>
    <n v="0"/>
    <n v="0"/>
    <n v="0"/>
    <n v="0"/>
    <n v="0"/>
    <n v="310000"/>
    <n v="0"/>
    <n v="0"/>
    <n v="0"/>
    <n v="310000"/>
    <n v="310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  <m/>
    <x v="0"/>
    <x v="0"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  <m/>
    <x v="0"/>
    <x v="0"/>
  </r>
  <r>
    <x v="1"/>
    <x v="1"/>
    <s v="T&amp;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29670.84999999998"/>
    <n v="-29778.150000000023"/>
    <n v="0"/>
    <n v="-29778.150000000023"/>
    <s v="$100K not to be utilised as per Leon's instructions, CHANGE"/>
    <n v="11185.549999999997"/>
    <n v="7399.97"/>
    <n v="16129.190000000002"/>
    <n v="25262"/>
    <n v="23681.14"/>
    <m/>
    <m/>
    <m/>
    <m/>
    <m/>
    <m/>
    <n v="146013"/>
    <n v="229670.85"/>
    <n v="146013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46013"/>
    <n v="-146013"/>
    <s v="Concur project reimbursement cost can't be predicted, hence buffer kept in Dec"/>
    <n v="83657.850000000006"/>
    <n v="0"/>
    <n v="146013"/>
    <n v="83657.850000000006"/>
    <n v="229670.85"/>
    <m/>
    <x v="1"/>
    <x v="0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  <m/>
    <x v="2"/>
    <x v="0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  <m/>
    <x v="0"/>
    <x v="0"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  <m/>
    <x v="0"/>
    <x v="0"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  <m/>
    <x v="0"/>
    <x v="1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  <m/>
    <x v="0"/>
    <x v="0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  <m/>
    <x v="3"/>
    <x v="0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  <m/>
    <x v="3"/>
    <x v="0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  <m/>
    <x v="3"/>
    <x v="0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  <m/>
    <x v="3"/>
    <x v="0"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  <m/>
    <x v="3"/>
    <x v="0"/>
  </r>
  <r>
    <x v="2"/>
    <x v="11"/>
    <s v="Other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  <m/>
    <x v="3"/>
    <x v="0"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  <m/>
    <x v="1"/>
    <x v="0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  <m/>
    <x v="1"/>
    <x v="0"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  <m/>
    <x v="1"/>
    <x v="0"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  <m/>
    <x v="1"/>
    <x v="0"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  <m/>
    <x v="1"/>
    <x v="0"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454747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87716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0"/>
    <n v="877160"/>
    <n v="577587"/>
    <n v="1443640"/>
    <m/>
    <x v="2"/>
    <x v="0"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  <m/>
    <x v="2"/>
    <x v="2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  <m/>
    <x v="2"/>
    <x v="2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  <m/>
    <x v="2"/>
    <x v="2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  <m/>
    <x v="2"/>
    <x v="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  <m/>
    <x v="2"/>
    <x v="2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  <m/>
    <x v="2"/>
    <x v="0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  <m/>
    <x v="2"/>
    <x v="0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  <m/>
    <x v="2"/>
    <x v="2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  <m/>
    <x v="2"/>
    <x v="2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  <m/>
    <x v="2"/>
    <x v="2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  <m/>
    <x v="2"/>
    <x v="2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  <m/>
    <x v="2"/>
    <x v="2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  <m/>
    <x v="0"/>
    <x v="0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  <m/>
    <x v="0"/>
    <x v="0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  <m/>
    <x v="0"/>
    <x v="0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  <m/>
    <x v="0"/>
    <x v="0"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  <m/>
    <x v="0"/>
    <x v="0"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  <m/>
    <x v="0"/>
    <x v="0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  <m/>
    <x v="0"/>
    <x v="0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  <m/>
    <x v="3"/>
    <x v="0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  <m/>
    <x v="0"/>
    <x v="0"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  <m/>
    <x v="0"/>
    <x v="0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  <m/>
    <x v="0"/>
    <x v="0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  <m/>
    <x v="0"/>
    <x v="0"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  <m/>
    <x v="0"/>
    <x v="0"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  <m/>
    <x v="0"/>
    <x v="0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  <m/>
    <x v="0"/>
    <x v="0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  <m/>
    <x v="0"/>
    <x v="0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  <m/>
    <x v="0"/>
    <x v="0"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  <m/>
    <x v="0"/>
    <x v="0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  <m/>
    <x v="0"/>
    <x v="0"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  <m/>
    <x v="0"/>
    <x v="0"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  <m/>
    <x v="0"/>
    <x v="0"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  <m/>
    <x v="0"/>
    <x v="0"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  <m/>
    <x v="0"/>
    <x v="0"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  <m/>
    <x v="0"/>
    <x v="0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  <m/>
    <x v="0"/>
    <x v="0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  <m/>
    <x v="0"/>
    <x v="0"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  <m/>
    <x v="0"/>
    <x v="0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  <m/>
    <x v="0"/>
    <x v="0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  <m/>
    <x v="0"/>
    <x v="0"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  <m/>
    <x v="0"/>
    <x v="0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  <m/>
    <x v="0"/>
    <x v="0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  <m/>
    <x v="0"/>
    <x v="0"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  <m/>
    <x v="0"/>
    <x v="0"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  <m/>
    <x v="0"/>
    <x v="0"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0"/>
    <x v="0"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  <m/>
    <x v="0"/>
    <x v="0"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  <m/>
    <x v="0"/>
    <x v="0"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  <m/>
    <x v="0"/>
    <x v="0"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  <m/>
    <x v="0"/>
    <x v="0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  <m/>
    <x v="0"/>
    <x v="0"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  <m/>
    <x v="0"/>
    <x v="0"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  <m/>
    <x v="0"/>
    <x v="0"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  <m/>
    <x v="0"/>
    <x v="0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  <m/>
    <x v="0"/>
    <x v="0"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  <m/>
    <x v="0"/>
    <x v="0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  <m/>
    <x v="0"/>
    <x v="0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  <m/>
    <x v="0"/>
    <x v="0"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  <m/>
    <x v="0"/>
    <x v="0"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  <m/>
    <x v="0"/>
    <x v="0"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  <m/>
    <x v="0"/>
    <x v="0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  <m/>
    <x v="0"/>
    <x v="0"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  <m/>
    <x v="0"/>
    <x v="0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  <m/>
    <x v="2"/>
    <x v="0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  <m/>
    <x v="0"/>
    <x v="0"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  <m/>
    <x v="2"/>
    <x v="0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  <m/>
    <x v="2"/>
    <x v="0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  <m/>
    <x v="0"/>
    <x v="0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  <m/>
    <x v="0"/>
    <x v="0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  <m/>
    <x v="0"/>
    <x v="0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  <m/>
    <x v="2"/>
    <x v="2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  <s v="Y"/>
    <x v="2"/>
    <x v="3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  <m/>
    <x v="0"/>
    <x v="0"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  <m/>
    <x v="2"/>
    <x v="2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  <m/>
    <x v="0"/>
    <x v="0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  <m/>
    <x v="4"/>
    <x v="2"/>
  </r>
  <r>
    <x v="4"/>
    <x v="56"/>
    <m/>
    <x v="21"/>
    <s v="Amortization"/>
    <s v="Amortization"/>
    <x v="7"/>
    <s v="N/A"/>
    <s v="N/A"/>
    <s v="N/A"/>
    <s v="Amortization-Amortization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  <m/>
    <x v="1"/>
    <x v="2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  <m/>
    <x v="0"/>
    <x v="0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  <m/>
    <x v="3"/>
    <x v="0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  <m/>
    <x v="3"/>
    <x v="0"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  <m/>
    <x v="3"/>
    <x v="0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  <m/>
    <x v="3"/>
    <x v="0"/>
  </r>
  <r>
    <x v="1"/>
    <x v="1"/>
    <s v="General Office Expens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  <m/>
    <x v="3"/>
    <x v="0"/>
  </r>
  <r>
    <x v="0"/>
    <x v="62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  <m/>
    <x v="1"/>
    <x v="0"/>
  </r>
  <r>
    <x v="0"/>
    <x v="63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  <m/>
    <x v="3"/>
    <x v="0"/>
  </r>
  <r>
    <x v="2"/>
    <x v="64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  <m/>
    <x v="3"/>
    <x v="0"/>
  </r>
  <r>
    <x v="2"/>
    <x v="65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  <m/>
    <x v="3"/>
    <x v="0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  <m/>
    <x v="3"/>
    <x v="0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  <m/>
    <x v="3"/>
    <x v="0"/>
  </r>
  <r>
    <x v="0"/>
    <x v="68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  <m/>
    <x v="1"/>
    <x v="0"/>
  </r>
  <r>
    <x v="0"/>
    <x v="69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  <m/>
    <x v="1"/>
    <x v="0"/>
  </r>
  <r>
    <x v="0"/>
    <x v="70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  <m/>
    <x v="1"/>
    <x v="0"/>
  </r>
  <r>
    <x v="0"/>
    <x v="71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  <m/>
    <x v="1"/>
    <x v="0"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  <m/>
    <x v="3"/>
    <x v="0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81590"/>
    <n v="81589.55"/>
    <n v="-0.44999999999708962"/>
    <n v="0"/>
    <n v="-0.44999999999708962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0698.550000000003"/>
    <n v="0"/>
    <n v="60891"/>
    <n v="0"/>
    <n v="81589.55"/>
    <m/>
    <x v="3"/>
    <x v="0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  <m/>
    <x v="3"/>
    <x v="0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3"/>
    <x v="0"/>
  </r>
  <r>
    <x v="0"/>
    <x v="72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  <m/>
    <x v="0"/>
    <x v="2"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4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4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1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  <s v="Y"/>
    <x v="2"/>
    <x v="5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  <m/>
    <x v="2"/>
    <x v="5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  <m/>
    <x v="2"/>
    <x v="5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5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3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  <m/>
    <x v="2"/>
    <x v="0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  <m/>
    <x v="0"/>
    <x v="3"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0"/>
  </r>
  <r>
    <x v="0"/>
    <x v="73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6"/>
  </r>
  <r>
    <x v="0"/>
    <x v="74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  <m/>
    <x v="0"/>
    <x v="0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n v="0"/>
    <n v="0"/>
    <s v="Y"/>
    <x v="2"/>
    <x v="4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  <m/>
    <x v="3"/>
    <x v="0"/>
  </r>
  <r>
    <x v="0"/>
    <x v="75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  <m/>
    <x v="0"/>
    <x v="0"/>
  </r>
  <r>
    <x v="0"/>
    <x v="76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  <m/>
    <x v="0"/>
    <x v="0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  <m/>
    <x v="0"/>
    <x v="0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  <m/>
    <x v="2"/>
    <x v="2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  <m/>
    <x v="2"/>
    <x v="2"/>
  </r>
  <r>
    <x v="0"/>
    <x v="73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  <m/>
    <x v="2"/>
    <x v="0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  <m/>
    <x v="2"/>
    <x v="2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  <m/>
    <x v="2"/>
    <x v="2"/>
  </r>
  <r>
    <x v="0"/>
    <x v="77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  <m/>
    <x v="1"/>
    <x v="0"/>
  </r>
  <r>
    <x v="0"/>
    <x v="78"/>
    <m/>
    <x v="8"/>
    <s v="T&amp;M"/>
    <m/>
    <x v="0"/>
    <m/>
    <m/>
    <m/>
    <s v="T&amp;M-T&amp;M"/>
    <s v="Labor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n v="0"/>
    <n v="80000"/>
    <m/>
    <x v="2"/>
    <x v="2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6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h="1"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127">
      <pivotArea outline="0" collapsedLevelsAreSubtotals="1" fieldPosition="0"/>
    </format>
    <format dxfId="126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1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6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field="6" type="button" dataOnly="0" labelOnly="1" outline="0" axis="axisRow" fieldPosition="0"/>
    </format>
    <format dxfId="134">
      <pivotArea field="12" type="button" dataOnly="0" labelOnly="1" outline="0" axis="axisRow" fieldPosition="1"/>
    </format>
    <format dxfId="1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2">
      <pivotArea field="6" type="button" dataOnly="0" labelOnly="1" outline="0" axis="axisRow" fieldPosition="0"/>
    </format>
    <format dxfId="131">
      <pivotArea field="12" type="button" dataOnly="0" labelOnly="1" outline="0" axis="axisRow" fieldPosition="1"/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1" firstHeaderRow="2" firstDataRow="2" firstDataCol="1" rowPageCount="1" colPageCount="1"/>
  <pivotFields count="76">
    <pivotField compact="0" outline="0" showAll="0"/>
    <pivotField compact="0" outline="0" showAll="0"/>
    <pivotField compact="0" outline="0" showAll="0"/>
    <pivotField axis="axisRow" compact="0" outline="0" showAll="0">
      <items count="35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7">
    <i>
      <x/>
    </i>
    <i>
      <x v="4"/>
    </i>
    <i>
      <x v="6"/>
    </i>
    <i>
      <x v="13"/>
    </i>
    <i>
      <x v="18"/>
    </i>
    <i>
      <x v="24"/>
    </i>
    <i t="grand">
      <x/>
    </i>
  </rowItems>
  <colItems count="1">
    <i/>
  </colItems>
  <pageFields count="1">
    <pageField fld="12" item="6" hier="-1"/>
  </pageFields>
  <dataFields count="1">
    <dataField name="Sum of 2026 Net Position" fld="25" baseField="0" baseItem="0" numFmtId="164"/>
  </dataFields>
  <formats count="1">
    <format dxfId="1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9">
  <location ref="A3:E9" firstHeaderRow="1" firstDataRow="2" firstDataCol="2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h="1" sd="0" x="6"/>
        <item sd="0" x="5"/>
        <item sd="0" x="7"/>
        <item sd="0" x="3"/>
        <item sd="0" x="4"/>
        <item sd="0" x="2"/>
        <item sd="0" x="1"/>
        <item sd="0" x="0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2">
    <field x="74"/>
    <field x="1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45">
      <pivotArea outline="0" collapsedLevelsAreSubtotals="1" fieldPosition="0"/>
    </format>
  </formats>
  <chartFormats count="15"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4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74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4" count="1" selected="0">
            <x v="3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74" count="1" selected="0">
            <x v="4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1"/>
          </reference>
          <reference field="7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1"/>
          </reference>
          <reference field="7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1"/>
          </reference>
          <reference field="74" count="1" selected="0">
            <x v="3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1"/>
          </reference>
          <reference field="74" count="1" selected="0">
            <x v="4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2"/>
          </reference>
          <reference field="74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2"/>
          </reference>
          <reference field="74" count="1" selected="0">
            <x v="2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2"/>
          </reference>
          <reference field="74" count="1" selected="0">
            <x v="3"/>
          </reference>
        </references>
      </pivotArea>
    </chartFormat>
    <chartFormat chart="1" format="12">
      <pivotArea type="data" outline="0" fieldPosition="0">
        <references count="2">
          <reference field="4294967294" count="1" selected="0">
            <x v="2"/>
          </reference>
          <reference field="7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43E8F-CE96-4D48-9B4F-54939EE2B065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2">
  <location ref="G3:I9" firstHeaderRow="1" firstDataRow="2" firstDataCol="1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h="1"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74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2026 Final Budget" fld="21" baseField="0" baseItem="0"/>
    <dataField name="Sum of Actual+Forecast" fld="72" baseField="0" baseItem="0"/>
  </dataFields>
  <formats count="1">
    <format dxfId="46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E297DF-6C2D-41D3-AC4F-ACD8E7D7EFE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B3:E12" firstHeaderRow="1" firstDataRow="2" firstDataCol="1" rowPageCount="1" colPageCount="1"/>
  <pivotFields count="76">
    <pivotField axis="axisPage" compact="0" outline="0" multipleItemSelectionAllowed="1" showAll="0">
      <items count="6">
        <item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1"/>
        <item x="3"/>
        <item x="6"/>
        <item x="0"/>
        <item x="4"/>
        <item x="5"/>
        <item x="2"/>
        <item t="default"/>
      </items>
    </pivotField>
  </pivotFields>
  <rowFields count="1">
    <field x="7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C4E735-DF1B-4AD6-8E2D-4D6C7E79296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17" firstHeaderRow="1" firstDataRow="1" firstDataCol="1"/>
  <pivotFields count="14">
    <pivotField showAll="0"/>
    <pivotField showAll="0"/>
    <pivotField axis="axisRow" showAll="0">
      <items count="13">
        <item x="9"/>
        <item x="7"/>
        <item x="6"/>
        <item x="8"/>
        <item x="3"/>
        <item x="10"/>
        <item x="5"/>
        <item x="0"/>
        <item x="11"/>
        <item x="4"/>
        <item x="2"/>
        <item x="1"/>
        <item t="default"/>
      </items>
    </pivotField>
    <pivotField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&amp;M Cost" fld="4" baseField="0" baseItem="0" numFmtId="166"/>
  </dataFields>
  <formats count="6">
    <format dxfId="44">
      <pivotArea dataOnly="0" labelOnly="1" fieldPosition="0">
        <references count="1">
          <reference field="2" count="1">
            <x v="9"/>
          </reference>
        </references>
      </pivotArea>
    </format>
    <format dxfId="43">
      <pivotArea dataOnly="0" labelOnly="1" fieldPosition="0">
        <references count="1">
          <reference field="2" count="1">
            <x v="11"/>
          </reference>
        </references>
      </pivotArea>
    </format>
    <format dxfId="42">
      <pivotArea dataOnly="0" labelOnly="1" fieldPosition="0">
        <references count="1">
          <reference field="2" count="1">
            <x v="1"/>
          </reference>
        </references>
      </pivotArea>
    </format>
    <format dxfId="41">
      <pivotArea dataOnly="0" labelOnly="1" fieldPosition="0">
        <references count="1">
          <reference field="2" count="1">
            <x v="7"/>
          </reference>
        </references>
      </pivotArea>
    </format>
    <format dxfId="40">
      <pivotArea dataOnly="0" labelOnly="1" fieldPosition="0">
        <references count="1">
          <reference field="2" count="1">
            <x v="2"/>
          </reference>
        </references>
      </pivotArea>
    </format>
    <format dxfId="39">
      <pivotArea dataOnly="0" labelOnly="1" fieldPosition="0">
        <references count="1">
          <reference field="2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F9556-2389-4E28-B2F4-F467D707ED5F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50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46">
    <i>
      <x v="30"/>
    </i>
    <i>
      <x v="47"/>
    </i>
    <i>
      <x v="48"/>
    </i>
    <i>
      <x v="2"/>
    </i>
    <i>
      <x v="38"/>
    </i>
    <i>
      <x v="12"/>
    </i>
    <i>
      <x v="58"/>
    </i>
    <i>
      <x v="51"/>
    </i>
    <i>
      <x v="49"/>
    </i>
    <i>
      <x v="54"/>
    </i>
    <i>
      <x v="79"/>
    </i>
    <i>
      <x v="23"/>
    </i>
    <i>
      <x v="22"/>
    </i>
    <i>
      <x v="71"/>
    </i>
    <i>
      <x v="61"/>
    </i>
    <i>
      <x v="67"/>
    </i>
    <i>
      <x v="20"/>
    </i>
    <i>
      <x v="72"/>
    </i>
    <i>
      <x v="64"/>
    </i>
    <i>
      <x v="63"/>
    </i>
    <i>
      <x v="14"/>
    </i>
    <i>
      <x v="1"/>
    </i>
    <i>
      <x v="15"/>
    </i>
    <i>
      <x v="27"/>
    </i>
    <i>
      <x v="35"/>
    </i>
    <i>
      <x v="33"/>
    </i>
    <i>
      <x v="29"/>
    </i>
    <i>
      <x v="19"/>
    </i>
    <i>
      <x v="46"/>
    </i>
    <i>
      <x v="66"/>
    </i>
    <i>
      <x v="39"/>
    </i>
    <i>
      <x v="65"/>
    </i>
    <i>
      <x v="68"/>
    </i>
    <i>
      <x v="45"/>
    </i>
    <i>
      <x v="31"/>
    </i>
    <i>
      <x v="21"/>
    </i>
    <i>
      <x v="18"/>
    </i>
    <i>
      <x v="28"/>
    </i>
    <i>
      <x v="70"/>
    </i>
    <i>
      <x v="37"/>
    </i>
    <i>
      <x v="55"/>
    </i>
    <i>
      <x v="78"/>
    </i>
    <i>
      <x v="56"/>
    </i>
    <i>
      <x v="13"/>
    </i>
    <i>
      <x v="43"/>
    </i>
    <i t="grand">
      <x/>
    </i>
  </rowItems>
  <colItems count="1">
    <i/>
  </colItems>
  <pageFields count="1">
    <pageField fld="74" item="4" hier="-1"/>
  </pageFields>
  <dataFields count="1">
    <dataField name="Sum of Jan-May Actuals" fld="68" baseField="0" baseItem="0"/>
  </dataFields>
  <formats count="2">
    <format dxfId="37">
      <pivotArea outline="0" collapsedLevelsAreSubtotals="1" fieldPosition="0"/>
    </format>
    <format dxfId="36">
      <pivotArea outline="0" fieldPosition="0">
        <references count="1">
          <reference field="1" count="15" selected="0">
            <x v="2"/>
            <x v="12"/>
            <x v="22"/>
            <x v="23"/>
            <x v="30"/>
            <x v="38"/>
            <x v="47"/>
            <x v="48"/>
            <x v="49"/>
            <x v="51"/>
            <x v="54"/>
            <x v="58"/>
            <x v="61"/>
            <x v="71"/>
            <x v="7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3D52A5-2AF6-418B-9422-6E67675A20C2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5"/>
    </i>
    <i>
      <x v="23"/>
    </i>
    <i>
      <x v="38"/>
    </i>
    <i>
      <x v="40"/>
    </i>
    <i>
      <x v="51"/>
    </i>
    <i>
      <x v="26"/>
    </i>
    <i>
      <x v="77"/>
    </i>
    <i>
      <x v="6"/>
    </i>
    <i>
      <x v="14"/>
    </i>
    <i>
      <x v="47"/>
    </i>
    <i>
      <x v="59"/>
    </i>
    <i>
      <x/>
    </i>
    <i>
      <x v="30"/>
    </i>
    <i t="grand">
      <x/>
    </i>
  </rowItems>
  <colItems count="1">
    <i/>
  </colItems>
  <pageFields count="1">
    <pageField fld="74" item="2" hier="-1"/>
  </pageFields>
  <dataFields count="1">
    <dataField name="Sum of Jan-May Actuals" fld="68" baseField="0" baseItem="0"/>
  </dataFields>
  <formats count="2">
    <format dxfId="35">
      <pivotArea outline="0" collapsedLevelsAreSubtotals="1" fieldPosition="0"/>
    </format>
    <format dxfId="34">
      <pivotArea outline="0" fieldPosition="0">
        <references count="1">
          <reference field="1" count="5" selected="0">
            <x v="5"/>
            <x v="23"/>
            <x v="38"/>
            <x v="40"/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7105B-4258-476A-BCCC-252D29F534F0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23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9">
    <i>
      <x v="48"/>
    </i>
    <i>
      <x v="76"/>
    </i>
    <i>
      <x v="15"/>
    </i>
    <i>
      <x v="65"/>
    </i>
    <i>
      <x v="25"/>
    </i>
    <i>
      <x v="44"/>
    </i>
    <i>
      <x v="42"/>
    </i>
    <i>
      <x v="8"/>
    </i>
    <i>
      <x v="41"/>
    </i>
    <i>
      <x v="24"/>
    </i>
    <i>
      <x v="62"/>
    </i>
    <i>
      <x v="81"/>
    </i>
    <i>
      <x v="9"/>
    </i>
    <i>
      <x v="82"/>
    </i>
    <i>
      <x v="80"/>
    </i>
    <i>
      <x v="16"/>
    </i>
    <i>
      <x v="3"/>
    </i>
    <i>
      <x v="10"/>
    </i>
    <i t="grand">
      <x/>
    </i>
  </rowItems>
  <colItems count="1">
    <i/>
  </colItems>
  <pageFields count="1">
    <pageField fld="74" item="1" hier="-1"/>
  </pageFields>
  <dataFields count="1">
    <dataField name="Sum of Jan-May Actuals" fld="68" baseField="0" baseItem="0"/>
  </dataFields>
  <formats count="2">
    <format dxfId="33">
      <pivotArea outline="0" collapsedLevelsAreSubtotals="1" fieldPosition="0"/>
    </format>
    <format dxfId="32">
      <pivotArea outline="0" fieldPosition="0">
        <references count="1">
          <reference field="1" count="5" selected="0">
            <x v="15"/>
            <x v="25"/>
            <x v="48"/>
            <x v="65"/>
            <x v="7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E37BC-E86A-43F9-9A39-2520B13A2DF3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4"/>
    </i>
    <i>
      <x v="81"/>
    </i>
    <i>
      <x v="74"/>
    </i>
    <i>
      <x v="52"/>
    </i>
    <i>
      <x v="36"/>
    </i>
    <i>
      <x v="11"/>
    </i>
    <i>
      <x v="7"/>
    </i>
    <i>
      <x v="60"/>
    </i>
    <i>
      <x v="32"/>
    </i>
    <i>
      <x v="75"/>
    </i>
    <i>
      <x v="17"/>
    </i>
    <i>
      <x v="53"/>
    </i>
    <i>
      <x v="50"/>
    </i>
    <i t="grand">
      <x/>
    </i>
  </rowItems>
  <colItems count="1">
    <i/>
  </colItems>
  <pageFields count="1">
    <pageField fld="74" item="3" hier="-1"/>
  </pageFields>
  <dataFields count="1">
    <dataField name="Sum of Jan-May Actuals" fld="68" baseField="0" baseItem="0"/>
  </dataFields>
  <formats count="1">
    <format dxfId="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X150" totalsRowShown="0" headerRowBorderDxfId="124" tableBorderDxfId="123">
  <autoFilter ref="A1:BX150" xr:uid="{A492086E-22C3-4E96-A6F5-F99E42618563}"/>
  <tableColumns count="76">
    <tableColumn id="1" xr3:uid="{242EDFF6-742E-412A-994F-DE5685E22BB0}" name="Transaction Type" dataDxfId="122"/>
    <tableColumn id="2" xr3:uid="{08616251-7DE6-4D23-92E4-2E85B1D94360}" name="D365 Legal Vendor name" dataDxfId="121"/>
    <tableColumn id="3" xr3:uid="{BD70789C-92D9-4A27-B8C3-E2607261E720}" name="DBA / AKA / Passthrough" dataDxfId="120"/>
    <tableColumn id="4" xr3:uid="{3918E27D-D871-43A2-9D6A-94FB14F654EC}" name="Project ID" dataDxfId="119"/>
    <tableColumn id="5" xr3:uid="{A028ADB0-AF1A-40E1-8A52-FF282B40DE64}" name="Project Name" dataDxfId="118"/>
    <tableColumn id="6" xr3:uid="{B4F67E57-8B0C-436C-BF42-2CAC2B8245C1}" name="Domain" dataDxfId="117"/>
    <tableColumn id="7" xr3:uid="{91E0CA19-9704-4FB2-9B82-EB394E89DF85}" name="Domain Owner" dataDxfId="116"/>
    <tableColumn id="9" xr3:uid="{090B133E-C581-4D72-9CCF-C2D174AB0F43}" name="Contract Start" dataDxfId="115"/>
    <tableColumn id="10" xr3:uid="{610CA386-C3EA-4064-9F45-507F0B25669D}" name="Contract End" dataDxfId="114"/>
    <tableColumn id="11" xr3:uid="{7A9CDD19-1472-4FAD-ACF7-98BC097996DE}" name="Application" dataDxfId="113"/>
    <tableColumn id="12" xr3:uid="{F6177E08-E03D-4CE8-A8C5-24F7F0CE38DF}" name="Project Details" dataDxfId="112">
      <calculatedColumnFormula>D2 &amp; "-" &amp;E2</calculatedColumnFormula>
    </tableColumn>
    <tableColumn id="13" xr3:uid="{F8731934-20F7-4424-BF3E-888C8F3E250E}" name="Category" dataDxfId="111"/>
    <tableColumn id="14" xr3:uid="{97F74ECF-D3E1-4544-B389-0D70673967E8}" name="Sub-Category1" dataDxfId="110"/>
    <tableColumn id="17" xr3:uid="{4C848037-D78D-42C1-A2C6-E6309704016E}" name="Sub-Category2" dataDxfId="109"/>
    <tableColumn id="21" xr3:uid="{0122725A-C30C-4CEE-B8D6-2422E3E10326}" name="Contract Type" dataDxfId="108"/>
    <tableColumn id="15" xr3:uid="{DCD4FDCF-43FF-4308-9293-62EA996620ED}" name="MGMT View Category (OneStream)" dataDxfId="107"/>
    <tableColumn id="18" xr3:uid="{658A4718-1DA7-4FBE-8992-7FAE7F4C7F49}" name="Onestream Account" dataDxfId="106"/>
    <tableColumn id="19" xr3:uid="{5267CF94-3623-462E-97AF-E18156B00053}" name="A/P Account Name" dataDxfId="105"/>
    <tableColumn id="20" xr3:uid="{5E0DC275-3907-45A6-9C4F-937BDB02153F}" name="Accounting Treatment" dataDxfId="104"/>
    <tableColumn id="22" xr3:uid="{16BEBE99-AC2A-471E-8FD9-AAE62FE8D83D}" name="2025 Actuals" dataDxfId="103"/>
    <tableColumn id="23" xr3:uid="{AB3393C9-D921-4085-AF5F-B7B623848FCC}" name="2026 Initial Budget" dataDxfId="102" dataCellStyle="Comma"/>
    <tableColumn id="25" xr3:uid="{BD95F986-B575-45C9-B565-3F5A5D25B661}" name="2026 Final Budget" dataDxfId="101" dataCellStyle="Comma"/>
    <tableColumn id="26" xr3:uid="{FE8AB3AA-8105-4CAA-9C84-BF99E639D702}" name="2026 (Actuals + Forecast)" dataDxfId="100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99" dataCellStyle="Comma">
      <calculatedColumnFormula>IF(V2 &gt;= W2, V2 - W2, 0)*-1</calculatedColumnFormula>
    </tableColumn>
    <tableColumn id="28" xr3:uid="{3E8C9BC3-A36F-4429-ADF1-E2E31EDFB123}" name="2026 Risk" dataDxfId="98" dataCellStyle="Comma">
      <calculatedColumnFormula>IF(W2 &gt; V2, W2 - V2, 0)</calculatedColumnFormula>
    </tableColumn>
    <tableColumn id="16" xr3:uid="{A2223374-A086-4670-9148-44C5B80D2F38}" name="2026 Net Position" dataDxfId="97" dataCellStyle="Comma">
      <calculatedColumnFormula>SUM(Financials20263[[#This Row],[2026 Opportunity]:[2026 Risk]])</calculatedColumnFormula>
    </tableColumn>
    <tableColumn id="29" xr3:uid="{9340939D-B61A-4867-A6FB-35598984DFC3}" name="Notes" dataDxfId="96"/>
    <tableColumn id="31" xr3:uid="{CAB5AFB6-CA5B-483A-9BAF-5761679A373B}" name="Jan FC" dataDxfId="95" dataCellStyle="Comma"/>
    <tableColumn id="32" xr3:uid="{5E6FFDA7-DF5F-495F-BC8D-D67F03329023}" name="Feb FC" dataDxfId="94" dataCellStyle="Comma"/>
    <tableColumn id="33" xr3:uid="{5058D119-6F17-43D3-AEF2-4F273CEBA31A}" name="Mar FC" dataDxfId="93" dataCellStyle="Comma"/>
    <tableColumn id="34" xr3:uid="{A3AC516B-B770-430E-B148-E1D3D9567FAD}" name="Apr FC" dataDxfId="92" dataCellStyle="Comma"/>
    <tableColumn id="35" xr3:uid="{ECEA33AD-45C5-4E82-A009-017E85D7DB44}" name="May FC" dataDxfId="91" dataCellStyle="Comma"/>
    <tableColumn id="36" xr3:uid="{E9DB8B47-323F-434B-807B-8748ED61ED34}" name="Jun FC" dataDxfId="90" dataCellStyle="Comma"/>
    <tableColumn id="37" xr3:uid="{6374D5F8-607B-41C2-B794-601F25EB418D}" name="Jul FC" dataDxfId="89" dataCellStyle="Comma"/>
    <tableColumn id="38" xr3:uid="{B4C16149-C9F0-45EC-B182-FD3B8B7429E0}" name="Aug FC" dataDxfId="88" dataCellStyle="Comma"/>
    <tableColumn id="39" xr3:uid="{26B14811-E5F5-4106-A54B-40DE00366D76}" name="Sep FC" dataDxfId="87" dataCellStyle="Comma"/>
    <tableColumn id="40" xr3:uid="{9E952692-1BDD-4D56-A183-37BF4A11F526}" name="Oct FC" dataDxfId="86" dataCellStyle="Comma"/>
    <tableColumn id="41" xr3:uid="{A049F4C1-34D3-4A29-86A7-C671D5C6D98B}" name="Nov FC" dataDxfId="85" dataCellStyle="Comma"/>
    <tableColumn id="42" xr3:uid="{5705BE95-DF6B-473B-8FA4-9E4226201603}" name="Dec FC" dataDxfId="84" dataCellStyle="Comma"/>
    <tableColumn id="74" xr3:uid="{9D40B7D4-7BAE-4A98-8145-9A222ED326B8}" name="Total - FC" dataDxfId="83" dataCellStyle="Comma">
      <calculatedColumnFormula>SUM(Financials20263[[#This Row],[Jan FC]:[Dec FC]])</calculatedColumnFormula>
    </tableColumn>
    <tableColumn id="43" xr3:uid="{91FD6C06-93AB-414D-9B76-887643EEED96}" name="Jun-Dec FC" dataDxfId="82" dataCellStyle="Comma">
      <calculatedColumnFormula>SUM(AG2:AM2)</calculatedColumnFormula>
    </tableColumn>
    <tableColumn id="56" xr3:uid="{F69A83C4-B9A3-4262-A8CB-8CE81864D5FA}" name="Jan AC" dataDxfId="81" dataCellStyle="Comma"/>
    <tableColumn id="55" xr3:uid="{1E9D6300-4AD1-4261-A1FF-6366DF423E92}" name="Feb AC" dataDxfId="80" dataCellStyle="Comma"/>
    <tableColumn id="54" xr3:uid="{13FFF1FD-26A1-4FD6-97E8-9386AB4AC43C}" name="Mar AC" dataDxfId="79" dataCellStyle="Comma"/>
    <tableColumn id="53" xr3:uid="{4528A9EB-DCC4-4768-9C74-B00744D89F2E}" name="Apr AC" dataDxfId="78" dataCellStyle="Comma"/>
    <tableColumn id="52" xr3:uid="{09BBCE26-5305-4845-8E95-2938F78951A1}" name="May AC" dataDxfId="77" dataCellStyle="Comma"/>
    <tableColumn id="51" xr3:uid="{B53E3A5E-4C7A-47F6-98EF-98D0339ED7EF}" name="Jun AC" dataDxfId="76" dataCellStyle="Comma"/>
    <tableColumn id="50" xr3:uid="{1B3A42E1-1A4A-4F02-AB85-F321F9298327}" name="Jul AC" dataDxfId="75" dataCellStyle="Comma"/>
    <tableColumn id="49" xr3:uid="{DB3FF538-4DFF-4E76-A4ED-65067E509D32}" name="Aug AC" dataDxfId="74" dataCellStyle="Comma"/>
    <tableColumn id="48" xr3:uid="{7811DD89-220A-4A96-BB76-DDA3AB708625}" name="Sep AC" dataDxfId="73" dataCellStyle="Comma"/>
    <tableColumn id="47" xr3:uid="{A17FFA7D-49AE-4866-91BB-54ABF4DBC444}" name="Oct AC" dataDxfId="72" dataCellStyle="Comma"/>
    <tableColumn id="46" xr3:uid="{41435EA0-FEC7-48B7-855E-47C16BC64CF6}" name="Nov AC" dataDxfId="71" dataCellStyle="Comma"/>
    <tableColumn id="30" xr3:uid="{A2239101-D3EE-49BD-BE0C-6704F209BED4}" name="Dec AC" dataDxfId="70" dataCellStyle="Comma"/>
    <tableColumn id="75" xr3:uid="{C6B2B2DB-BFC6-4CA1-A44B-AB1642CA5DF4}" name="Total Actuals" dataDxfId="69" dataCellStyle="Comma">
      <calculatedColumnFormula>SUM(Financials20263[[#This Row],[Jan AC]:[Dec AC]])</calculatedColumnFormula>
    </tableColumn>
    <tableColumn id="58" xr3:uid="{C27E561F-EC4E-4A83-860E-89EDAFD8273C}" name="Jan Opp/Risk" dataDxfId="68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67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66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65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64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63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62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61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60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59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58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57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56" dataCellStyle="Comma">
      <calculatedColumnFormula>SUM(Financials20263[[#This Row],[Jan Opp/Risk]:[Dec Opp./Risk]])</calculatedColumnFormula>
    </tableColumn>
    <tableColumn id="45" xr3:uid="{40E9183E-CE83-4399-9E89-734953B2AD7E}" name="Notes - Swati" dataDxfId="55" dataCellStyle="Comma"/>
    <tableColumn id="57" xr3:uid="{71A027C0-CE0B-44F4-9BEA-44F1E025C29C}" name="Jan-May Actuals" dataDxfId="54" dataCellStyle="Comma">
      <calculatedColumnFormula>SUM(Financials20263[[#This Row],[Jan AC]:[May AC]])</calculatedColumnFormula>
    </tableColumn>
    <tableColumn id="8" xr3:uid="{A4CDF58C-06B8-490E-851A-3E8597DB1ABC}" name="Jan-May Forecast " dataDxfId="53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52">
      <calculatedColumnFormula>Financials20263[[#This Row],[Jun-Dec FC]]+Financials20263[[#This Row],[Jan-May Forecast ]]</calculatedColumnFormula>
    </tableColumn>
    <tableColumn id="44" xr3:uid="{A205C803-FAD6-4776-8381-5DC72A34682B}" name="Forecast Jan-May" dataDxfId="51">
      <calculatedColumnFormula>SUM(Financials20263[[#This Row],[Jan FC]:[May FC]])</calculatedColumnFormula>
    </tableColumn>
    <tableColumn id="70" xr3:uid="{DAAE9D59-198D-4744-9647-FCD523ED7658}" name="Actual+Forecast" dataDxfId="50">
      <calculatedColumnFormula>Financials20263[[#This Row],[Jan-May Actuals]]+Financials20263[[#This Row],[Forecast Jun-Dec]]</calculatedColumnFormula>
    </tableColumn>
    <tableColumn id="71" xr3:uid="{E2A7DC33-E1C7-4989-AFA3-667DE437DAE3}" name="Non-Comitted" dataDxfId="49"/>
    <tableColumn id="72" xr3:uid="{44CD82D9-3812-4738-AE32-6EE8D64BAF92}" name="New Spend Category" dataDxfId="48"/>
    <tableColumn id="73" xr3:uid="{5B58AA2D-7602-4BAE-BC03-03EE858C3082}" name="Program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8" sqref="F8"/>
    </sheetView>
  </sheetViews>
  <sheetFormatPr defaultRowHeight="14.4" x14ac:dyDescent="0.3"/>
  <cols>
    <col min="1" max="1" width="14.5546875" bestFit="1" customWidth="1"/>
    <col min="2" max="2" width="17.77734375" bestFit="1" customWidth="1"/>
    <col min="3" max="3" width="21.88671875" bestFit="1" customWidth="1"/>
    <col min="4" max="4" width="12.44140625" bestFit="1" customWidth="1"/>
    <col min="5" max="5" width="14.44140625" bestFit="1" customWidth="1"/>
    <col min="6" max="6" width="21.77734375" bestFit="1" customWidth="1"/>
    <col min="7" max="7" width="4.33203125" customWidth="1"/>
    <col min="8" max="8" width="4.44140625" customWidth="1"/>
    <col min="9" max="9" width="3.6640625" customWidth="1"/>
    <col min="10" max="10" width="25.6640625" bestFit="1" customWidth="1"/>
  </cols>
  <sheetData>
    <row r="1" spans="1:10" x14ac:dyDescent="0.3">
      <c r="A1" s="8" t="s">
        <v>0</v>
      </c>
      <c r="B1" t="s">
        <v>1</v>
      </c>
      <c r="C1" s="185" t="s">
        <v>2</v>
      </c>
      <c r="D1" s="185"/>
      <c r="E1" s="185"/>
      <c r="F1" s="185"/>
      <c r="J1" s="19" t="s">
        <v>3</v>
      </c>
    </row>
    <row r="2" spans="1:10" x14ac:dyDescent="0.3">
      <c r="C2" s="185"/>
      <c r="D2" s="185"/>
      <c r="E2" s="185"/>
      <c r="F2" s="185"/>
      <c r="J2" s="20">
        <v>44788398</v>
      </c>
    </row>
    <row r="3" spans="1:10" x14ac:dyDescent="0.3">
      <c r="A3" s="8" t="s">
        <v>4</v>
      </c>
      <c r="B3" s="16" t="s">
        <v>5</v>
      </c>
      <c r="C3" t="s">
        <v>6</v>
      </c>
      <c r="D3" s="16" t="s">
        <v>7</v>
      </c>
      <c r="E3" s="16" t="s">
        <v>8</v>
      </c>
      <c r="F3" s="16" t="s">
        <v>9</v>
      </c>
      <c r="J3" s="138">
        <f>GETPIVOTDATA("Sum of 2026 Final Budget",$A$3)-J2</f>
        <v>-4.385000467300415E-2</v>
      </c>
    </row>
    <row r="4" spans="1:10" x14ac:dyDescent="0.3">
      <c r="A4" s="9" t="s">
        <v>10</v>
      </c>
      <c r="B4" s="6">
        <v>3678567</v>
      </c>
      <c r="C4" s="6">
        <v>1686396</v>
      </c>
      <c r="D4" s="6">
        <v>129900</v>
      </c>
      <c r="E4" s="6">
        <v>-2122071</v>
      </c>
      <c r="F4" s="6">
        <v>-1992171</v>
      </c>
      <c r="J4" s="45"/>
    </row>
    <row r="5" spans="1:10" x14ac:dyDescent="0.3">
      <c r="A5" s="9" t="s">
        <v>11</v>
      </c>
      <c r="B5" s="6">
        <v>116236</v>
      </c>
      <c r="C5" s="6">
        <v>181931.40333333332</v>
      </c>
      <c r="D5" s="6">
        <v>75000</v>
      </c>
      <c r="E5" s="6">
        <v>-9304.5966666666609</v>
      </c>
      <c r="F5" s="6">
        <v>65695.403333333335</v>
      </c>
    </row>
    <row r="6" spans="1:10" x14ac:dyDescent="0.3">
      <c r="A6" s="9" t="s">
        <v>12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">
      <c r="A7" s="9" t="s">
        <v>13</v>
      </c>
      <c r="B7" s="6">
        <v>7271840</v>
      </c>
      <c r="C7" s="6">
        <v>8627695.9199999999</v>
      </c>
      <c r="D7" s="6">
        <v>2222391.92</v>
      </c>
      <c r="E7" s="6">
        <v>-866536</v>
      </c>
      <c r="F7" s="6">
        <v>1355855.92</v>
      </c>
    </row>
    <row r="8" spans="1:10" x14ac:dyDescent="0.3">
      <c r="A8" s="9" t="s">
        <v>14</v>
      </c>
      <c r="B8" s="6">
        <v>2751491.34</v>
      </c>
      <c r="C8" s="6">
        <v>2735863.81</v>
      </c>
      <c r="D8" s="6">
        <v>247000</v>
      </c>
      <c r="E8" s="6">
        <v>-262627.53000000003</v>
      </c>
      <c r="F8" s="6">
        <v>-15627.529999999999</v>
      </c>
    </row>
    <row r="9" spans="1:10" x14ac:dyDescent="0.3">
      <c r="A9" s="9" t="s">
        <v>15</v>
      </c>
      <c r="B9" s="6">
        <v>2229219</v>
      </c>
      <c r="C9" s="6">
        <v>2213509.2200000002</v>
      </c>
      <c r="D9" s="6">
        <v>16289.699999999993</v>
      </c>
      <c r="E9" s="6">
        <v>-31999.47999999969</v>
      </c>
      <c r="F9" s="6">
        <v>-15709.779999999697</v>
      </c>
    </row>
    <row r="10" spans="1:10" x14ac:dyDescent="0.3">
      <c r="A10" s="9" t="s">
        <v>16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">
      <c r="A11" s="9" t="s">
        <v>17</v>
      </c>
      <c r="B11" s="6">
        <v>44788397.956149995</v>
      </c>
      <c r="C11" s="6">
        <v>45235541.13356667</v>
      </c>
      <c r="D11" s="6">
        <v>4195926.8775666654</v>
      </c>
      <c r="E11" s="6">
        <v>-3748783.7001499985</v>
      </c>
      <c r="F11" s="6">
        <v>447143.17741666653</v>
      </c>
    </row>
    <row r="12" spans="1:10" x14ac:dyDescent="0.3">
      <c r="F12" s="138"/>
    </row>
    <row r="13" spans="1:10" hidden="1" x14ac:dyDescent="0.3">
      <c r="A13" s="8" t="s">
        <v>0</v>
      </c>
      <c r="B13" t="s">
        <v>1</v>
      </c>
      <c r="E13" s="6"/>
      <c r="F13" s="6"/>
    </row>
    <row r="14" spans="1:10" hidden="1" x14ac:dyDescent="0.3">
      <c r="A14" s="8" t="s">
        <v>18</v>
      </c>
      <c r="B14" t="s">
        <v>1</v>
      </c>
    </row>
    <row r="15" spans="1:10" hidden="1" x14ac:dyDescent="0.3"/>
    <row r="16" spans="1:10" hidden="1" x14ac:dyDescent="0.3">
      <c r="A16" s="8" t="s">
        <v>19</v>
      </c>
      <c r="B16" t="s">
        <v>7</v>
      </c>
      <c r="C16" t="s">
        <v>8</v>
      </c>
      <c r="D16" t="s">
        <v>5</v>
      </c>
    </row>
    <row r="17" spans="1:6" hidden="1" x14ac:dyDescent="0.3">
      <c r="A17" s="9" t="s">
        <v>20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">
      <c r="A18" s="9" t="s">
        <v>21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">
      <c r="A19" s="9" t="s">
        <v>22</v>
      </c>
      <c r="B19" s="6">
        <v>1087555.4199999985</v>
      </c>
      <c r="C19" s="6">
        <v>-1280770.97</v>
      </c>
      <c r="D19" s="6">
        <v>13152468.5</v>
      </c>
    </row>
    <row r="20" spans="1:6" hidden="1" x14ac:dyDescent="0.3">
      <c r="A20" s="9" t="s">
        <v>23</v>
      </c>
      <c r="B20" s="6">
        <v>247000.3</v>
      </c>
      <c r="C20" s="6">
        <v>-405360</v>
      </c>
      <c r="D20" s="6">
        <v>1752990.7</v>
      </c>
    </row>
    <row r="21" spans="1:6" hidden="1" x14ac:dyDescent="0.3">
      <c r="A21" s="9" t="s">
        <v>24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">
      <c r="A22" s="9" t="s">
        <v>25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">
      <c r="A23" s="9" t="s">
        <v>26</v>
      </c>
      <c r="B23" s="6">
        <v>32669.254166666651</v>
      </c>
      <c r="C23" s="6">
        <v>0</v>
      </c>
      <c r="D23" s="6">
        <v>1244018</v>
      </c>
    </row>
    <row r="24" spans="1:6" hidden="1" x14ac:dyDescent="0.3">
      <c r="A24" s="9" t="s">
        <v>17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">
      <c r="A25" s="98" t="s">
        <v>27</v>
      </c>
      <c r="B25" s="99">
        <f>B11/1000000</f>
        <v>44.788397956149993</v>
      </c>
      <c r="C25" s="100">
        <f t="shared" ref="C25:F25" si="0">C11/1000000</f>
        <v>45.23554113356667</v>
      </c>
      <c r="D25" s="100">
        <f t="shared" si="0"/>
        <v>4.1959268775666656</v>
      </c>
      <c r="E25" s="100">
        <f t="shared" si="0"/>
        <v>-3.7487837001499984</v>
      </c>
      <c r="F25" s="100">
        <f t="shared" si="0"/>
        <v>0.44714317741666654</v>
      </c>
    </row>
    <row r="26" spans="1:6" x14ac:dyDescent="0.3">
      <c r="B26" s="43"/>
      <c r="C26" s="43"/>
      <c r="D26" s="43"/>
      <c r="E26" s="43"/>
      <c r="F26" s="43"/>
    </row>
    <row r="27" spans="1:6" x14ac:dyDescent="0.3">
      <c r="A27" s="8" t="s">
        <v>0</v>
      </c>
      <c r="B27" t="s">
        <v>1</v>
      </c>
      <c r="C27" s="186" t="s">
        <v>28</v>
      </c>
      <c r="D27" s="186"/>
      <c r="E27" s="186"/>
    </row>
    <row r="28" spans="1:6" x14ac:dyDescent="0.3">
      <c r="C28" s="186"/>
      <c r="D28" s="186"/>
      <c r="E28" s="186"/>
    </row>
    <row r="29" spans="1:6" x14ac:dyDescent="0.3">
      <c r="C29" s="8" t="s">
        <v>29</v>
      </c>
    </row>
    <row r="30" spans="1:6" ht="28.8" x14ac:dyDescent="0.3">
      <c r="A30" s="101" t="s">
        <v>30</v>
      </c>
      <c r="B30" s="101" t="s">
        <v>18</v>
      </c>
      <c r="C30" s="102" t="s">
        <v>5</v>
      </c>
      <c r="D30" s="102" t="s">
        <v>31</v>
      </c>
      <c r="E30" s="103" t="s">
        <v>9</v>
      </c>
    </row>
    <row r="31" spans="1:6" x14ac:dyDescent="0.3">
      <c r="A31" t="s">
        <v>20</v>
      </c>
      <c r="C31" s="97">
        <v>9728294.5971499998</v>
      </c>
      <c r="D31" s="97">
        <v>4972139.854166666</v>
      </c>
      <c r="E31" s="97">
        <v>591020.90284999984</v>
      </c>
    </row>
    <row r="32" spans="1:6" x14ac:dyDescent="0.3">
      <c r="A32" t="s">
        <v>21</v>
      </c>
      <c r="C32" s="97">
        <v>14299443.790000001</v>
      </c>
      <c r="D32" s="97">
        <v>6208235.1634000018</v>
      </c>
      <c r="E32" s="97">
        <v>477861.89890000061</v>
      </c>
    </row>
    <row r="33" spans="1:6" x14ac:dyDescent="0.3">
      <c r="A33" t="s">
        <v>22</v>
      </c>
      <c r="C33" s="97">
        <v>13152468.5</v>
      </c>
      <c r="D33" s="97">
        <v>9518331.629999999</v>
      </c>
      <c r="E33" s="97">
        <v>-258807.14666666748</v>
      </c>
    </row>
    <row r="34" spans="1:6" x14ac:dyDescent="0.3">
      <c r="A34" t="s">
        <v>23</v>
      </c>
      <c r="C34" s="97">
        <v>1752990.7</v>
      </c>
      <c r="D34" s="97">
        <v>442226.75</v>
      </c>
      <c r="E34" s="97">
        <v>-231959.7</v>
      </c>
    </row>
    <row r="35" spans="1:6" x14ac:dyDescent="0.3">
      <c r="A35" t="s">
        <v>24</v>
      </c>
      <c r="C35" s="97">
        <v>1785617.7549999999</v>
      </c>
      <c r="D35" s="97">
        <v>915338.64000000013</v>
      </c>
      <c r="E35" s="97">
        <v>-6029.0883333333768</v>
      </c>
    </row>
    <row r="36" spans="1:6" x14ac:dyDescent="0.3">
      <c r="A36" t="s">
        <v>25</v>
      </c>
      <c r="C36" s="97">
        <v>2627635.6140000001</v>
      </c>
      <c r="D36" s="97">
        <v>973665.95000000007</v>
      </c>
      <c r="E36" s="97">
        <v>-124943.29933333333</v>
      </c>
    </row>
    <row r="37" spans="1:6" x14ac:dyDescent="0.3">
      <c r="A37" t="s">
        <v>17</v>
      </c>
      <c r="C37" s="97">
        <v>43346450.95615001</v>
      </c>
      <c r="D37" s="97">
        <v>23029937.987566669</v>
      </c>
      <c r="E37" s="97">
        <v>447143.56741666648</v>
      </c>
      <c r="F37" s="96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topLeftCell="E1" workbookViewId="0">
      <selection activeCell="I1" sqref="I1"/>
    </sheetView>
  </sheetViews>
  <sheetFormatPr defaultRowHeight="14.4" outlineLevelRow="2" x14ac:dyDescent="0.3"/>
  <cols>
    <col min="1" max="1" width="18.5546875" customWidth="1"/>
    <col min="2" max="2" width="22.33203125" customWidth="1"/>
    <col min="3" max="3" width="37" customWidth="1"/>
    <col min="4" max="7" width="20.33203125" customWidth="1"/>
    <col min="8" max="8" width="22.33203125" customWidth="1"/>
    <col min="9" max="9" width="74.109375" style="103" customWidth="1"/>
    <col min="10" max="10" width="27.6640625" style="102" customWidth="1"/>
  </cols>
  <sheetData>
    <row r="1" spans="1:15" x14ac:dyDescent="0.3">
      <c r="A1" s="147" t="s">
        <v>32</v>
      </c>
      <c r="B1" s="148" t="s">
        <v>30</v>
      </c>
      <c r="C1" s="148" t="s">
        <v>33</v>
      </c>
      <c r="D1" s="148" t="s">
        <v>34</v>
      </c>
      <c r="E1" s="148" t="s">
        <v>35</v>
      </c>
      <c r="F1" s="148" t="s">
        <v>36</v>
      </c>
      <c r="G1" s="148" t="s">
        <v>37</v>
      </c>
      <c r="H1" s="148" t="s">
        <v>38</v>
      </c>
      <c r="I1" s="149" t="s">
        <v>39</v>
      </c>
      <c r="J1" s="150" t="s">
        <v>40</v>
      </c>
    </row>
    <row r="2" spans="1:15" ht="43.2" outlineLevel="2" x14ac:dyDescent="0.3">
      <c r="A2" s="151" t="s">
        <v>10</v>
      </c>
      <c r="B2" s="152" t="s">
        <v>20</v>
      </c>
      <c r="C2" s="152" t="s">
        <v>41</v>
      </c>
      <c r="D2" s="153">
        <v>250000</v>
      </c>
      <c r="E2" s="153">
        <v>0</v>
      </c>
      <c r="F2" s="153">
        <v>152500</v>
      </c>
      <c r="G2" s="153">
        <f>E2+F2</f>
        <v>152500</v>
      </c>
      <c r="H2" s="153">
        <f>G2-D2</f>
        <v>-97500</v>
      </c>
      <c r="I2" s="154" t="s">
        <v>42</v>
      </c>
      <c r="J2" s="155" t="s">
        <v>43</v>
      </c>
      <c r="M2" s="150" t="s">
        <v>40</v>
      </c>
      <c r="N2" s="149" t="s">
        <v>39</v>
      </c>
      <c r="O2" s="150" t="s">
        <v>40</v>
      </c>
    </row>
    <row r="3" spans="1:15" ht="57.6" outlineLevel="2" x14ac:dyDescent="0.3">
      <c r="A3" s="151" t="s">
        <v>10</v>
      </c>
      <c r="B3" s="152" t="s">
        <v>20</v>
      </c>
      <c r="C3" s="152" t="s">
        <v>44</v>
      </c>
      <c r="D3" s="153">
        <v>2444000</v>
      </c>
      <c r="E3" s="153">
        <v>800000</v>
      </c>
      <c r="F3" s="153">
        <v>760000</v>
      </c>
      <c r="G3" s="153">
        <f>E3+F3</f>
        <v>1560000</v>
      </c>
      <c r="H3" s="153">
        <f>G3-D3</f>
        <v>-884000</v>
      </c>
      <c r="I3" s="156" t="s">
        <v>45</v>
      </c>
      <c r="J3" s="155" t="s">
        <v>43</v>
      </c>
      <c r="M3" t="s">
        <v>46</v>
      </c>
      <c r="N3" t="s">
        <v>47</v>
      </c>
      <c r="O3" t="s">
        <v>48</v>
      </c>
    </row>
    <row r="4" spans="1:15" outlineLevel="1" x14ac:dyDescent="0.3">
      <c r="A4" s="157" t="s">
        <v>10</v>
      </c>
      <c r="B4" s="158" t="s">
        <v>49</v>
      </c>
      <c r="C4" s="158"/>
      <c r="D4" s="159">
        <f>SUM(D2:D3)</f>
        <v>2694000</v>
      </c>
      <c r="E4" s="159">
        <f>SUM(E2:E3)</f>
        <v>800000</v>
      </c>
      <c r="F4" s="159">
        <f>SUM(F2:F3)</f>
        <v>912500</v>
      </c>
      <c r="G4" s="159">
        <f>SUM(G2:G3)</f>
        <v>1712500</v>
      </c>
      <c r="H4" s="159">
        <f>SUM(H2:H3)</f>
        <v>-981500</v>
      </c>
      <c r="I4" s="160"/>
      <c r="J4" s="161"/>
      <c r="M4" t="s">
        <v>50</v>
      </c>
      <c r="N4" t="s">
        <v>51</v>
      </c>
      <c r="O4" t="s">
        <v>52</v>
      </c>
    </row>
    <row r="5" spans="1:15" ht="43.2" outlineLevel="2" x14ac:dyDescent="0.3">
      <c r="A5" s="151" t="s">
        <v>10</v>
      </c>
      <c r="B5" s="152" t="s">
        <v>22</v>
      </c>
      <c r="C5" s="152" t="s">
        <v>53</v>
      </c>
      <c r="D5" s="153">
        <v>250000</v>
      </c>
      <c r="E5" s="153">
        <v>0</v>
      </c>
      <c r="F5" s="153">
        <v>150000</v>
      </c>
      <c r="G5" s="153">
        <f>E5+F5</f>
        <v>150000</v>
      </c>
      <c r="H5" s="153">
        <f>G5-D5</f>
        <v>-100000</v>
      </c>
      <c r="I5" s="156" t="s">
        <v>54</v>
      </c>
      <c r="J5" s="155" t="s">
        <v>43</v>
      </c>
      <c r="M5" t="s">
        <v>43</v>
      </c>
      <c r="N5" t="s">
        <v>55</v>
      </c>
      <c r="O5" t="s">
        <v>56</v>
      </c>
    </row>
    <row r="6" spans="1:15" ht="28.8" outlineLevel="2" x14ac:dyDescent="0.3">
      <c r="A6" s="151" t="s">
        <v>10</v>
      </c>
      <c r="B6" s="152" t="s">
        <v>22</v>
      </c>
      <c r="C6" s="152" t="s">
        <v>57</v>
      </c>
      <c r="D6" s="153">
        <v>50000</v>
      </c>
      <c r="E6" s="153">
        <v>0</v>
      </c>
      <c r="F6" s="153">
        <v>0</v>
      </c>
      <c r="G6" s="153">
        <f>E6+F6</f>
        <v>0</v>
      </c>
      <c r="H6" s="153">
        <f>G6-D6</f>
        <v>-50000</v>
      </c>
      <c r="I6" s="156" t="s">
        <v>58</v>
      </c>
      <c r="J6" s="155" t="s">
        <v>43</v>
      </c>
      <c r="M6" t="s">
        <v>59</v>
      </c>
      <c r="N6" t="s">
        <v>60</v>
      </c>
      <c r="O6" t="s">
        <v>61</v>
      </c>
    </row>
    <row r="7" spans="1:15" ht="28.8" outlineLevel="2" x14ac:dyDescent="0.3">
      <c r="A7" s="151" t="s">
        <v>10</v>
      </c>
      <c r="B7" s="152" t="s">
        <v>22</v>
      </c>
      <c r="C7" s="152" t="s">
        <v>44</v>
      </c>
      <c r="D7" s="153">
        <v>120000</v>
      </c>
      <c r="E7" s="153">
        <v>0</v>
      </c>
      <c r="F7" s="153">
        <v>120000</v>
      </c>
      <c r="G7" s="153">
        <f>E7+F7</f>
        <v>120000</v>
      </c>
      <c r="H7" s="153">
        <f>G7-D7</f>
        <v>0</v>
      </c>
      <c r="I7" s="162" t="s">
        <v>62</v>
      </c>
      <c r="J7" s="163" t="s">
        <v>63</v>
      </c>
    </row>
    <row r="8" spans="1:15" ht="43.2" outlineLevel="2" x14ac:dyDescent="0.3">
      <c r="A8" s="151" t="s">
        <v>10</v>
      </c>
      <c r="B8" s="152" t="s">
        <v>22</v>
      </c>
      <c r="C8" s="152" t="s">
        <v>64</v>
      </c>
      <c r="D8" s="153">
        <v>999600</v>
      </c>
      <c r="E8" s="153">
        <v>10000</v>
      </c>
      <c r="F8" s="153">
        <v>283500</v>
      </c>
      <c r="G8" s="153">
        <f>E8+F8</f>
        <v>293500</v>
      </c>
      <c r="H8" s="153">
        <f>G8-D8</f>
        <v>-706100</v>
      </c>
      <c r="I8" s="156" t="s">
        <v>65</v>
      </c>
      <c r="J8" s="155" t="s">
        <v>43</v>
      </c>
    </row>
    <row r="9" spans="1:15" outlineLevel="1" x14ac:dyDescent="0.3">
      <c r="A9" s="157" t="s">
        <v>10</v>
      </c>
      <c r="B9" s="158" t="s">
        <v>66</v>
      </c>
      <c r="C9" s="158"/>
      <c r="D9" s="159">
        <f>SUM(D5:D8)</f>
        <v>1419600</v>
      </c>
      <c r="E9" s="159">
        <f>SUM(E5:E8)</f>
        <v>10000</v>
      </c>
      <c r="F9" s="159">
        <f>SUM(F5:F8)</f>
        <v>553500</v>
      </c>
      <c r="G9" s="159">
        <f>SUM(G5:G8)</f>
        <v>563500</v>
      </c>
      <c r="H9" s="159">
        <f>SUM(H5:H8)</f>
        <v>-856100</v>
      </c>
      <c r="I9" s="160"/>
      <c r="J9" s="161"/>
    </row>
    <row r="10" spans="1:15" ht="28.8" outlineLevel="2" x14ac:dyDescent="0.3">
      <c r="A10" s="151" t="s">
        <v>10</v>
      </c>
      <c r="B10" s="152" t="s">
        <v>23</v>
      </c>
      <c r="C10" s="152" t="s">
        <v>41</v>
      </c>
      <c r="D10" s="153">
        <v>250000</v>
      </c>
      <c r="E10" s="153">
        <v>0</v>
      </c>
      <c r="F10" s="153">
        <v>150000</v>
      </c>
      <c r="G10" s="153">
        <f>E10+F10</f>
        <v>150000</v>
      </c>
      <c r="H10" s="153">
        <f>G10-D10</f>
        <v>-100000</v>
      </c>
      <c r="I10" s="156" t="s">
        <v>67</v>
      </c>
      <c r="J10" s="155" t="s">
        <v>43</v>
      </c>
    </row>
    <row r="11" spans="1:15" outlineLevel="1" x14ac:dyDescent="0.3">
      <c r="A11" s="157" t="s">
        <v>10</v>
      </c>
      <c r="B11" s="158" t="s">
        <v>68</v>
      </c>
      <c r="C11" s="158"/>
      <c r="D11" s="159">
        <f>SUM(D10:D10)</f>
        <v>250000</v>
      </c>
      <c r="E11" s="159">
        <f>SUM(E10:E10)</f>
        <v>0</v>
      </c>
      <c r="F11" s="159">
        <f>SUM(F10:F10)</f>
        <v>150000</v>
      </c>
      <c r="G11" s="159">
        <f>SUM(G10:G10)</f>
        <v>150000</v>
      </c>
      <c r="H11" s="159">
        <f>SUM(H10:H10)</f>
        <v>-100000</v>
      </c>
      <c r="I11" s="160"/>
      <c r="J11" s="161"/>
    </row>
    <row r="12" spans="1:15" ht="28.8" outlineLevel="2" x14ac:dyDescent="0.3">
      <c r="A12" s="151" t="s">
        <v>10</v>
      </c>
      <c r="B12" s="152" t="s">
        <v>25</v>
      </c>
      <c r="C12" s="152" t="s">
        <v>53</v>
      </c>
      <c r="D12" s="153">
        <v>12896</v>
      </c>
      <c r="E12" s="153">
        <v>0</v>
      </c>
      <c r="F12" s="153">
        <v>12896</v>
      </c>
      <c r="G12" s="153">
        <f>E12+F12</f>
        <v>12896</v>
      </c>
      <c r="H12" s="153">
        <f>G12-D12</f>
        <v>0</v>
      </c>
      <c r="I12" s="162" t="s">
        <v>69</v>
      </c>
      <c r="J12" s="163" t="s">
        <v>63</v>
      </c>
    </row>
    <row r="13" spans="1:15" ht="43.2" outlineLevel="2" x14ac:dyDescent="0.3">
      <c r="A13" s="151" t="s">
        <v>10</v>
      </c>
      <c r="B13" s="152" t="s">
        <v>25</v>
      </c>
      <c r="C13" s="152" t="s">
        <v>41</v>
      </c>
      <c r="D13" s="153">
        <v>100000</v>
      </c>
      <c r="E13" s="153">
        <v>0</v>
      </c>
      <c r="F13" s="153">
        <v>0</v>
      </c>
      <c r="G13" s="153">
        <f>E13+F13</f>
        <v>0</v>
      </c>
      <c r="H13" s="153">
        <f>G13-D13</f>
        <v>-100000</v>
      </c>
      <c r="I13" s="156" t="s">
        <v>70</v>
      </c>
      <c r="J13" s="155" t="s">
        <v>43</v>
      </c>
    </row>
    <row r="14" spans="1:15" outlineLevel="1" x14ac:dyDescent="0.3">
      <c r="A14" s="157" t="s">
        <v>10</v>
      </c>
      <c r="B14" s="158" t="s">
        <v>71</v>
      </c>
      <c r="C14" s="158"/>
      <c r="D14" s="159">
        <f>SUM(D12:D13)</f>
        <v>112896</v>
      </c>
      <c r="E14" s="159">
        <f>SUM(E12:E13)</f>
        <v>0</v>
      </c>
      <c r="F14" s="159">
        <f>SUM(F12:F13)</f>
        <v>12896</v>
      </c>
      <c r="G14" s="159">
        <f>SUM(G12:G13)</f>
        <v>12896</v>
      </c>
      <c r="H14" s="159">
        <f>SUM(H12:H13)</f>
        <v>-100000</v>
      </c>
      <c r="I14" s="160"/>
      <c r="J14" s="161"/>
    </row>
    <row r="15" spans="1:15" x14ac:dyDescent="0.3">
      <c r="A15" s="164" t="s">
        <v>72</v>
      </c>
      <c r="B15" s="165"/>
      <c r="C15" s="165"/>
      <c r="D15" s="166">
        <f>SUM(D4,D9,D11,D14)</f>
        <v>4476496</v>
      </c>
      <c r="E15" s="166">
        <f>SUM(E4,E9,E11,E14)</f>
        <v>810000</v>
      </c>
      <c r="F15" s="166">
        <f>SUM(F4,F9,F11,F14)</f>
        <v>1628896</v>
      </c>
      <c r="G15" s="166">
        <f>SUM(G4,G9,G11,G14)</f>
        <v>2438896</v>
      </c>
      <c r="H15" s="166">
        <f>SUM(H4,H9,H11,H14)</f>
        <v>-2037600</v>
      </c>
      <c r="I15" s="160"/>
      <c r="J15" s="161"/>
    </row>
    <row r="16" spans="1:15" ht="28.8" outlineLevel="2" x14ac:dyDescent="0.3">
      <c r="A16" s="151" t="s">
        <v>11</v>
      </c>
      <c r="B16" s="152" t="s">
        <v>20</v>
      </c>
      <c r="C16" s="152" t="s">
        <v>73</v>
      </c>
      <c r="D16" s="153">
        <v>81590</v>
      </c>
      <c r="E16" s="153">
        <v>0</v>
      </c>
      <c r="F16" s="153">
        <v>81590</v>
      </c>
      <c r="G16" s="153">
        <f>E16+F16</f>
        <v>81590</v>
      </c>
      <c r="H16" s="153">
        <f>G16-D16</f>
        <v>0</v>
      </c>
      <c r="I16" s="162" t="s">
        <v>69</v>
      </c>
      <c r="J16" s="163" t="s">
        <v>63</v>
      </c>
    </row>
    <row r="17" spans="1:10" outlineLevel="1" x14ac:dyDescent="0.3">
      <c r="A17" s="157" t="s">
        <v>11</v>
      </c>
      <c r="B17" s="158" t="s">
        <v>49</v>
      </c>
      <c r="C17" s="158"/>
      <c r="D17" s="159">
        <f>SUM(D16:D16)</f>
        <v>81590</v>
      </c>
      <c r="E17" s="159">
        <f>SUM(E16:E16)</f>
        <v>0</v>
      </c>
      <c r="F17" s="159">
        <f>SUM(F16:F16)</f>
        <v>81590</v>
      </c>
      <c r="G17" s="159">
        <f>SUM(G16:G16)</f>
        <v>81590</v>
      </c>
      <c r="H17" s="159">
        <f>SUM(H16:H16)</f>
        <v>0</v>
      </c>
      <c r="I17" s="160"/>
      <c r="J17" s="161"/>
    </row>
    <row r="18" spans="1:10" ht="43.2" outlineLevel="2" x14ac:dyDescent="0.3">
      <c r="A18" s="151" t="s">
        <v>11</v>
      </c>
      <c r="B18" s="152" t="s">
        <v>21</v>
      </c>
      <c r="C18" s="152" t="s">
        <v>74</v>
      </c>
      <c r="D18" s="153">
        <v>34646</v>
      </c>
      <c r="E18" s="153">
        <v>2244.52</v>
      </c>
      <c r="F18" s="153">
        <v>98097.333333333343</v>
      </c>
      <c r="G18" s="153">
        <f>E18+F18</f>
        <v>100341.85333333335</v>
      </c>
      <c r="H18" s="153">
        <f>G18-D18</f>
        <v>65695.853333333347</v>
      </c>
      <c r="I18" s="167" t="s">
        <v>75</v>
      </c>
      <c r="J18" s="168" t="s">
        <v>50</v>
      </c>
    </row>
    <row r="19" spans="1:10" ht="43.2" outlineLevel="2" x14ac:dyDescent="0.3">
      <c r="A19" s="151" t="s">
        <v>11</v>
      </c>
      <c r="B19" s="152" t="s">
        <v>21</v>
      </c>
      <c r="C19" s="152" t="s">
        <v>73</v>
      </c>
      <c r="D19" s="153">
        <v>0</v>
      </c>
      <c r="E19" s="153">
        <v>20698.550000000003</v>
      </c>
      <c r="F19" s="153">
        <v>0</v>
      </c>
      <c r="G19" s="153">
        <f>E19+F19</f>
        <v>20698.550000000003</v>
      </c>
      <c r="H19" s="153">
        <f>G19-D19</f>
        <v>20698.550000000003</v>
      </c>
      <c r="I19" s="167" t="s">
        <v>76</v>
      </c>
      <c r="J19" s="168" t="s">
        <v>50</v>
      </c>
    </row>
    <row r="20" spans="1:10" outlineLevel="1" x14ac:dyDescent="0.3">
      <c r="A20" s="157" t="s">
        <v>11</v>
      </c>
      <c r="B20" s="158" t="s">
        <v>77</v>
      </c>
      <c r="C20" s="158"/>
      <c r="D20" s="159">
        <f>SUM(D18:D19)</f>
        <v>34646</v>
      </c>
      <c r="E20" s="159">
        <f>SUM(E18:E19)</f>
        <v>22943.070000000003</v>
      </c>
      <c r="F20" s="159">
        <f>SUM(F18:F19)</f>
        <v>98097.333333333343</v>
      </c>
      <c r="G20" s="159">
        <f>SUM(G18:G19)</f>
        <v>121040.40333333335</v>
      </c>
      <c r="H20" s="159">
        <f>SUM(H18:H19)</f>
        <v>86394.40333333335</v>
      </c>
      <c r="I20" s="160"/>
      <c r="J20" s="161"/>
    </row>
    <row r="21" spans="1:10" x14ac:dyDescent="0.3">
      <c r="A21" s="164" t="s">
        <v>78</v>
      </c>
      <c r="B21" s="165"/>
      <c r="C21" s="165"/>
      <c r="D21" s="166">
        <f>SUM(D17,D20)</f>
        <v>116236</v>
      </c>
      <c r="E21" s="166">
        <f>SUM(E17,E20)</f>
        <v>22943.070000000003</v>
      </c>
      <c r="F21" s="166">
        <f>SUM(F17,F20)</f>
        <v>179687.33333333334</v>
      </c>
      <c r="G21" s="166">
        <f>SUM(G17,G20)</f>
        <v>202630.40333333335</v>
      </c>
      <c r="H21" s="166">
        <f>SUM(H17,H20)</f>
        <v>86394.40333333335</v>
      </c>
      <c r="I21" s="160"/>
      <c r="J21" s="161"/>
    </row>
    <row r="22" spans="1:10" ht="28.8" outlineLevel="2" x14ac:dyDescent="0.3">
      <c r="A22" s="151" t="s">
        <v>12</v>
      </c>
      <c r="B22" s="152" t="s">
        <v>21</v>
      </c>
      <c r="C22" s="152" t="s">
        <v>79</v>
      </c>
      <c r="D22" s="153">
        <v>36345</v>
      </c>
      <c r="E22" s="153">
        <v>9883.380000000001</v>
      </c>
      <c r="F22" s="153">
        <v>27258.750000000004</v>
      </c>
      <c r="G22" s="153">
        <f t="shared" ref="G22:G37" si="0">E22+F22</f>
        <v>37142.130000000005</v>
      </c>
      <c r="H22" s="153">
        <f t="shared" ref="H22:H37" si="1">G22-D22</f>
        <v>797.13000000000466</v>
      </c>
      <c r="I22" s="162" t="s">
        <v>80</v>
      </c>
      <c r="J22" s="163" t="s">
        <v>63</v>
      </c>
    </row>
    <row r="23" spans="1:10" ht="28.8" outlineLevel="2" x14ac:dyDescent="0.3">
      <c r="A23" s="151" t="s">
        <v>12</v>
      </c>
      <c r="B23" s="152" t="s">
        <v>21</v>
      </c>
      <c r="C23" s="152" t="s">
        <v>81</v>
      </c>
      <c r="D23" s="153">
        <v>4230</v>
      </c>
      <c r="E23" s="153">
        <v>1861.8799999999999</v>
      </c>
      <c r="F23" s="153">
        <v>2465</v>
      </c>
      <c r="G23" s="153">
        <f t="shared" si="0"/>
        <v>4326.88</v>
      </c>
      <c r="H23" s="153">
        <f t="shared" si="1"/>
        <v>96.880000000000109</v>
      </c>
      <c r="I23" s="162" t="s">
        <v>80</v>
      </c>
      <c r="J23" s="163" t="s">
        <v>63</v>
      </c>
    </row>
    <row r="24" spans="1:10" ht="28.8" outlineLevel="2" x14ac:dyDescent="0.3">
      <c r="A24" s="151" t="s">
        <v>12</v>
      </c>
      <c r="B24" s="152" t="s">
        <v>21</v>
      </c>
      <c r="C24" s="152" t="s">
        <v>82</v>
      </c>
      <c r="D24" s="153">
        <v>2863</v>
      </c>
      <c r="E24" s="153">
        <v>0</v>
      </c>
      <c r="F24" s="153">
        <v>2863</v>
      </c>
      <c r="G24" s="153">
        <f t="shared" si="0"/>
        <v>2863</v>
      </c>
      <c r="H24" s="153">
        <f t="shared" si="1"/>
        <v>0</v>
      </c>
      <c r="I24" s="162" t="s">
        <v>80</v>
      </c>
      <c r="J24" s="163" t="s">
        <v>63</v>
      </c>
    </row>
    <row r="25" spans="1:10" ht="28.8" outlineLevel="2" x14ac:dyDescent="0.3">
      <c r="A25" s="151" t="s">
        <v>12</v>
      </c>
      <c r="B25" s="152" t="s">
        <v>21</v>
      </c>
      <c r="C25" s="152" t="s">
        <v>74</v>
      </c>
      <c r="D25" s="153">
        <v>180000</v>
      </c>
      <c r="E25" s="153">
        <v>55025.7</v>
      </c>
      <c r="F25" s="153">
        <v>110075</v>
      </c>
      <c r="G25" s="153">
        <f t="shared" si="0"/>
        <v>165100.70000000001</v>
      </c>
      <c r="H25" s="153">
        <f t="shared" si="1"/>
        <v>-14899.299999999988</v>
      </c>
      <c r="I25" s="156" t="s">
        <v>83</v>
      </c>
      <c r="J25" s="155" t="s">
        <v>43</v>
      </c>
    </row>
    <row r="26" spans="1:10" ht="43.2" outlineLevel="2" x14ac:dyDescent="0.3">
      <c r="A26" s="151" t="s">
        <v>12</v>
      </c>
      <c r="B26" s="152" t="s">
        <v>21</v>
      </c>
      <c r="C26" s="152" t="s">
        <v>84</v>
      </c>
      <c r="D26" s="153">
        <v>1674</v>
      </c>
      <c r="E26" s="153">
        <v>0</v>
      </c>
      <c r="F26" s="153">
        <v>0</v>
      </c>
      <c r="G26" s="153">
        <f t="shared" si="0"/>
        <v>0</v>
      </c>
      <c r="H26" s="153">
        <f t="shared" si="1"/>
        <v>-1674</v>
      </c>
      <c r="I26" s="156" t="s">
        <v>85</v>
      </c>
      <c r="J26" s="155" t="s">
        <v>46</v>
      </c>
    </row>
    <row r="27" spans="1:10" ht="28.8" outlineLevel="2" x14ac:dyDescent="0.3">
      <c r="A27" s="151" t="s">
        <v>12</v>
      </c>
      <c r="B27" s="152" t="s">
        <v>21</v>
      </c>
      <c r="C27" s="152" t="s">
        <v>86</v>
      </c>
      <c r="D27" s="153">
        <v>7043</v>
      </c>
      <c r="E27" s="153">
        <v>3133.6658999999995</v>
      </c>
      <c r="F27" s="153">
        <v>4108</v>
      </c>
      <c r="G27" s="153">
        <f t="shared" si="0"/>
        <v>7241.6659</v>
      </c>
      <c r="H27" s="153">
        <f t="shared" si="1"/>
        <v>198.66589999999997</v>
      </c>
      <c r="I27" s="162" t="s">
        <v>80</v>
      </c>
      <c r="J27" s="163" t="s">
        <v>63</v>
      </c>
    </row>
    <row r="28" spans="1:10" ht="28.8" outlineLevel="2" x14ac:dyDescent="0.3">
      <c r="A28" s="151" t="s">
        <v>12</v>
      </c>
      <c r="B28" s="152" t="s">
        <v>21</v>
      </c>
      <c r="C28" s="152" t="s">
        <v>87</v>
      </c>
      <c r="D28" s="153">
        <v>35314</v>
      </c>
      <c r="E28" s="153">
        <v>15103.55</v>
      </c>
      <c r="F28" s="153">
        <v>20599</v>
      </c>
      <c r="G28" s="153">
        <f t="shared" si="0"/>
        <v>35702.550000000003</v>
      </c>
      <c r="H28" s="153">
        <f t="shared" si="1"/>
        <v>388.55000000000291</v>
      </c>
      <c r="I28" s="162" t="s">
        <v>80</v>
      </c>
      <c r="J28" s="163" t="s">
        <v>63</v>
      </c>
    </row>
    <row r="29" spans="1:10" ht="28.8" outlineLevel="2" x14ac:dyDescent="0.3">
      <c r="A29" s="151" t="s">
        <v>12</v>
      </c>
      <c r="B29" s="152" t="s">
        <v>21</v>
      </c>
      <c r="C29" s="152" t="s">
        <v>88</v>
      </c>
      <c r="D29" s="153">
        <v>18865</v>
      </c>
      <c r="E29" s="153">
        <v>6681.98</v>
      </c>
      <c r="F29" s="153">
        <v>12829</v>
      </c>
      <c r="G29" s="153">
        <f t="shared" si="0"/>
        <v>19510.98</v>
      </c>
      <c r="H29" s="153">
        <f t="shared" si="1"/>
        <v>645.97999999999956</v>
      </c>
      <c r="I29" s="162" t="s">
        <v>80</v>
      </c>
      <c r="J29" s="163" t="s">
        <v>63</v>
      </c>
    </row>
    <row r="30" spans="1:10" ht="28.8" outlineLevel="2" x14ac:dyDescent="0.3">
      <c r="A30" s="151" t="s">
        <v>12</v>
      </c>
      <c r="B30" s="152" t="s">
        <v>21</v>
      </c>
      <c r="C30" s="152" t="s">
        <v>89</v>
      </c>
      <c r="D30" s="153">
        <v>25439</v>
      </c>
      <c r="E30" s="153">
        <v>10096.52</v>
      </c>
      <c r="F30" s="153">
        <v>14839.416666666664</v>
      </c>
      <c r="G30" s="153">
        <f t="shared" si="0"/>
        <v>24935.936666666665</v>
      </c>
      <c r="H30" s="153">
        <f t="shared" si="1"/>
        <v>-503.06333333333532</v>
      </c>
      <c r="I30" s="162" t="s">
        <v>80</v>
      </c>
      <c r="J30" s="163" t="s">
        <v>63</v>
      </c>
    </row>
    <row r="31" spans="1:10" ht="28.8" outlineLevel="2" x14ac:dyDescent="0.3">
      <c r="A31" s="151" t="s">
        <v>12</v>
      </c>
      <c r="B31" s="152" t="s">
        <v>21</v>
      </c>
      <c r="C31" s="152" t="s">
        <v>90</v>
      </c>
      <c r="D31" s="153">
        <v>34537</v>
      </c>
      <c r="E31" s="153">
        <v>13707.25</v>
      </c>
      <c r="F31" s="153">
        <v>20146.583333333332</v>
      </c>
      <c r="G31" s="153">
        <f t="shared" si="0"/>
        <v>33853.833333333328</v>
      </c>
      <c r="H31" s="153">
        <f t="shared" si="1"/>
        <v>-683.16666666667152</v>
      </c>
      <c r="I31" s="162" t="s">
        <v>80</v>
      </c>
      <c r="J31" s="163" t="s">
        <v>63</v>
      </c>
    </row>
    <row r="32" spans="1:10" ht="28.8" outlineLevel="2" x14ac:dyDescent="0.3">
      <c r="A32" s="151" t="s">
        <v>12</v>
      </c>
      <c r="B32" s="152" t="s">
        <v>21</v>
      </c>
      <c r="C32" s="152" t="s">
        <v>91</v>
      </c>
      <c r="D32" s="153">
        <v>7500000</v>
      </c>
      <c r="E32" s="153">
        <v>3127568.56</v>
      </c>
      <c r="F32" s="153">
        <v>4372431</v>
      </c>
      <c r="G32" s="153">
        <f t="shared" si="0"/>
        <v>7499999.5600000005</v>
      </c>
      <c r="H32" s="153">
        <f t="shared" si="1"/>
        <v>-0.43999999947845936</v>
      </c>
      <c r="I32" s="162" t="s">
        <v>80</v>
      </c>
      <c r="J32" s="163" t="s">
        <v>63</v>
      </c>
    </row>
    <row r="33" spans="1:10" ht="28.8" outlineLevel="2" x14ac:dyDescent="0.3">
      <c r="A33" s="151" t="s">
        <v>12</v>
      </c>
      <c r="B33" s="152" t="s">
        <v>21</v>
      </c>
      <c r="C33" s="152" t="s">
        <v>92</v>
      </c>
      <c r="D33" s="153">
        <v>52500</v>
      </c>
      <c r="E33" s="153">
        <v>0</v>
      </c>
      <c r="F33" s="153">
        <v>52500</v>
      </c>
      <c r="G33" s="153">
        <f t="shared" si="0"/>
        <v>52500</v>
      </c>
      <c r="H33" s="153">
        <f t="shared" si="1"/>
        <v>0</v>
      </c>
      <c r="I33" s="162" t="s">
        <v>80</v>
      </c>
      <c r="J33" s="163" t="s">
        <v>63</v>
      </c>
    </row>
    <row r="34" spans="1:10" ht="28.8" outlineLevel="2" x14ac:dyDescent="0.3">
      <c r="A34" s="151" t="s">
        <v>12</v>
      </c>
      <c r="B34" s="152" t="s">
        <v>21</v>
      </c>
      <c r="C34" s="152" t="s">
        <v>93</v>
      </c>
      <c r="D34" s="153">
        <v>3150</v>
      </c>
      <c r="E34" s="153">
        <v>3000</v>
      </c>
      <c r="F34" s="153">
        <v>0</v>
      </c>
      <c r="G34" s="153">
        <f t="shared" si="0"/>
        <v>3000</v>
      </c>
      <c r="H34" s="153">
        <f t="shared" si="1"/>
        <v>-150</v>
      </c>
      <c r="I34" s="162" t="s">
        <v>80</v>
      </c>
      <c r="J34" s="163" t="s">
        <v>63</v>
      </c>
    </row>
    <row r="35" spans="1:10" ht="28.8" outlineLevel="2" x14ac:dyDescent="0.3">
      <c r="A35" s="151" t="s">
        <v>12</v>
      </c>
      <c r="B35" s="152" t="s">
        <v>21</v>
      </c>
      <c r="C35" s="152" t="s">
        <v>73</v>
      </c>
      <c r="D35" s="153">
        <v>0</v>
      </c>
      <c r="E35" s="153">
        <v>139.94</v>
      </c>
      <c r="F35" s="153">
        <v>0</v>
      </c>
      <c r="G35" s="153">
        <f t="shared" si="0"/>
        <v>139.94</v>
      </c>
      <c r="H35" s="153">
        <f t="shared" si="1"/>
        <v>139.94</v>
      </c>
      <c r="I35" s="162" t="s">
        <v>80</v>
      </c>
      <c r="J35" s="163" t="s">
        <v>63</v>
      </c>
    </row>
    <row r="36" spans="1:10" ht="43.2" outlineLevel="2" x14ac:dyDescent="0.3">
      <c r="A36" s="151" t="s">
        <v>12</v>
      </c>
      <c r="B36" s="152" t="s">
        <v>21</v>
      </c>
      <c r="C36" s="152" t="s">
        <v>94</v>
      </c>
      <c r="D36" s="153">
        <v>421713.07500000007</v>
      </c>
      <c r="E36" s="153">
        <v>122576.03</v>
      </c>
      <c r="F36" s="153">
        <v>285316.66666666663</v>
      </c>
      <c r="G36" s="153">
        <f t="shared" si="0"/>
        <v>407892.69666666666</v>
      </c>
      <c r="H36" s="153">
        <f t="shared" si="1"/>
        <v>-13820.378333333414</v>
      </c>
      <c r="I36" s="156" t="s">
        <v>95</v>
      </c>
      <c r="J36" s="155" t="s">
        <v>43</v>
      </c>
    </row>
    <row r="37" spans="1:10" ht="28.8" outlineLevel="2" x14ac:dyDescent="0.3">
      <c r="A37" s="151" t="s">
        <v>12</v>
      </c>
      <c r="B37" s="152" t="s">
        <v>21</v>
      </c>
      <c r="C37" s="152" t="s">
        <v>96</v>
      </c>
      <c r="D37" s="153">
        <v>15750</v>
      </c>
      <c r="E37" s="153">
        <v>0</v>
      </c>
      <c r="F37" s="153">
        <v>15750</v>
      </c>
      <c r="G37" s="153">
        <f t="shared" si="0"/>
        <v>15750</v>
      </c>
      <c r="H37" s="153">
        <f t="shared" si="1"/>
        <v>0</v>
      </c>
      <c r="I37" s="162" t="s">
        <v>80</v>
      </c>
      <c r="J37" s="163" t="s">
        <v>63</v>
      </c>
    </row>
    <row r="38" spans="1:10" outlineLevel="1" x14ac:dyDescent="0.3">
      <c r="A38" s="157" t="s">
        <v>12</v>
      </c>
      <c r="B38" s="158" t="s">
        <v>77</v>
      </c>
      <c r="C38" s="158"/>
      <c r="D38" s="159">
        <f>SUM(D22:D37)</f>
        <v>8339423.0750000002</v>
      </c>
      <c r="E38" s="159">
        <f>SUM(E22:E37)</f>
        <v>3368778.4558999999</v>
      </c>
      <c r="F38" s="159">
        <f>SUM(F22:F37)</f>
        <v>4941181.416666667</v>
      </c>
      <c r="G38" s="159">
        <f>SUM(G22:G37)</f>
        <v>8309959.8725666674</v>
      </c>
      <c r="H38" s="159">
        <f>SUM(H22:H37)</f>
        <v>-29463.202433332881</v>
      </c>
      <c r="I38" s="160"/>
      <c r="J38" s="161"/>
    </row>
    <row r="39" spans="1:10" ht="28.8" outlineLevel="2" x14ac:dyDescent="0.3">
      <c r="A39" s="151" t="s">
        <v>12</v>
      </c>
      <c r="B39" s="152" t="s">
        <v>25</v>
      </c>
      <c r="C39" s="152" t="s">
        <v>97</v>
      </c>
      <c r="D39" s="153">
        <v>292</v>
      </c>
      <c r="E39" s="153">
        <v>0</v>
      </c>
      <c r="F39" s="153">
        <v>292</v>
      </c>
      <c r="G39" s="153">
        <f>E39+F39</f>
        <v>292</v>
      </c>
      <c r="H39" s="153">
        <f>G39-D39</f>
        <v>0</v>
      </c>
      <c r="I39" s="162" t="s">
        <v>80</v>
      </c>
      <c r="J39" s="163" t="s">
        <v>63</v>
      </c>
    </row>
    <row r="40" spans="1:10" ht="28.8" outlineLevel="2" x14ac:dyDescent="0.3">
      <c r="A40" s="151" t="s">
        <v>12</v>
      </c>
      <c r="B40" s="152" t="s">
        <v>25</v>
      </c>
      <c r="C40" s="152" t="s">
        <v>98</v>
      </c>
      <c r="D40" s="153">
        <v>2900</v>
      </c>
      <c r="E40" s="153">
        <v>1912.75</v>
      </c>
      <c r="F40" s="153">
        <v>987</v>
      </c>
      <c r="G40" s="153">
        <f>E40+F40</f>
        <v>2899.75</v>
      </c>
      <c r="H40" s="153">
        <f>G40-D40</f>
        <v>-0.25</v>
      </c>
      <c r="I40" s="162" t="s">
        <v>80</v>
      </c>
      <c r="J40" s="163" t="s">
        <v>63</v>
      </c>
    </row>
    <row r="41" spans="1:10" outlineLevel="1" x14ac:dyDescent="0.3">
      <c r="A41" s="157" t="s">
        <v>12</v>
      </c>
      <c r="B41" s="158" t="s">
        <v>71</v>
      </c>
      <c r="C41" s="158"/>
      <c r="D41" s="159">
        <f>SUM(D39:D40)</f>
        <v>3192</v>
      </c>
      <c r="E41" s="159">
        <f>SUM(E39:E40)</f>
        <v>1912.75</v>
      </c>
      <c r="F41" s="159">
        <f>SUM(F39:F40)</f>
        <v>1279</v>
      </c>
      <c r="G41" s="159">
        <f>SUM(G39:G40)</f>
        <v>3191.75</v>
      </c>
      <c r="H41" s="159">
        <f>SUM(H39:H40)</f>
        <v>-0.25</v>
      </c>
      <c r="I41" s="160"/>
      <c r="J41" s="161"/>
    </row>
    <row r="42" spans="1:10" x14ac:dyDescent="0.3">
      <c r="A42" s="164" t="s">
        <v>99</v>
      </c>
      <c r="B42" s="165"/>
      <c r="C42" s="165"/>
      <c r="D42" s="166">
        <f>SUM(D38,D41)</f>
        <v>8342615.0750000002</v>
      </c>
      <c r="E42" s="166">
        <f>SUM(E38,E41)</f>
        <v>3370691.2058999999</v>
      </c>
      <c r="F42" s="166">
        <f>SUM(F38,F41)</f>
        <v>4942460.416666667</v>
      </c>
      <c r="G42" s="166">
        <f>SUM(G38,G41)</f>
        <v>8313151.6225666674</v>
      </c>
      <c r="H42" s="166">
        <f>SUM(H38,H41)</f>
        <v>-29463.452433332881</v>
      </c>
      <c r="I42" s="160"/>
      <c r="J42" s="161"/>
    </row>
    <row r="43" spans="1:10" ht="57.6" outlineLevel="2" x14ac:dyDescent="0.3">
      <c r="A43" s="151" t="s">
        <v>13</v>
      </c>
      <c r="B43" s="152" t="s">
        <v>20</v>
      </c>
      <c r="C43" s="152" t="s">
        <v>100</v>
      </c>
      <c r="D43" s="153">
        <v>1438080</v>
      </c>
      <c r="E43" s="153">
        <v>638729</v>
      </c>
      <c r="F43" s="153">
        <v>838880</v>
      </c>
      <c r="G43" s="153">
        <f>E43+F43</f>
        <v>1477609</v>
      </c>
      <c r="H43" s="153">
        <f>G43-D43</f>
        <v>39529</v>
      </c>
      <c r="I43" s="156" t="s">
        <v>101</v>
      </c>
      <c r="J43" s="155" t="s">
        <v>59</v>
      </c>
    </row>
    <row r="44" spans="1:10" ht="72" outlineLevel="2" x14ac:dyDescent="0.3">
      <c r="A44" s="151" t="s">
        <v>13</v>
      </c>
      <c r="B44" s="152" t="s">
        <v>20</v>
      </c>
      <c r="C44" s="152" t="s">
        <v>41</v>
      </c>
      <c r="D44" s="153">
        <v>403200</v>
      </c>
      <c r="E44" s="153">
        <v>323563.92</v>
      </c>
      <c r="F44" s="153">
        <v>235200</v>
      </c>
      <c r="G44" s="153">
        <f>E44+F44</f>
        <v>558763.91999999993</v>
      </c>
      <c r="H44" s="153">
        <f>G44-D44</f>
        <v>155563.91999999993</v>
      </c>
      <c r="I44" s="105" t="s">
        <v>102</v>
      </c>
      <c r="J44" s="169" t="s">
        <v>59</v>
      </c>
    </row>
    <row r="45" spans="1:10" ht="72" outlineLevel="2" x14ac:dyDescent="0.3">
      <c r="A45" s="151" t="s">
        <v>13</v>
      </c>
      <c r="B45" s="152" t="s">
        <v>20</v>
      </c>
      <c r="C45" s="152" t="s">
        <v>44</v>
      </c>
      <c r="D45" s="153">
        <v>216000</v>
      </c>
      <c r="E45" s="153">
        <v>312400</v>
      </c>
      <c r="F45" s="153">
        <v>1733600</v>
      </c>
      <c r="G45" s="153">
        <f>E45+F45</f>
        <v>2046000</v>
      </c>
      <c r="H45" s="153">
        <f>G45-D45</f>
        <v>1830000</v>
      </c>
      <c r="I45" s="167" t="s">
        <v>103</v>
      </c>
      <c r="J45" s="168" t="s">
        <v>50</v>
      </c>
    </row>
    <row r="46" spans="1:10" ht="72" outlineLevel="2" x14ac:dyDescent="0.3">
      <c r="A46" s="151" t="s">
        <v>13</v>
      </c>
      <c r="B46" s="152" t="s">
        <v>20</v>
      </c>
      <c r="C46" s="152" t="s">
        <v>104</v>
      </c>
      <c r="D46" s="153">
        <v>940800</v>
      </c>
      <c r="E46" s="153">
        <v>718868</v>
      </c>
      <c r="F46" s="153">
        <v>763520</v>
      </c>
      <c r="G46" s="153">
        <f>E46+F46</f>
        <v>1482388</v>
      </c>
      <c r="H46" s="153">
        <f>G46-D46</f>
        <v>541588</v>
      </c>
      <c r="I46" s="167" t="s">
        <v>105</v>
      </c>
      <c r="J46" s="168" t="s">
        <v>50</v>
      </c>
    </row>
    <row r="47" spans="1:10" outlineLevel="1" x14ac:dyDescent="0.3">
      <c r="A47" s="157" t="s">
        <v>13</v>
      </c>
      <c r="B47" s="158" t="s">
        <v>49</v>
      </c>
      <c r="C47" s="158"/>
      <c r="D47" s="159">
        <f>SUM(D43:D46)</f>
        <v>2998080</v>
      </c>
      <c r="E47" s="159">
        <f>SUM(E43:E46)</f>
        <v>1993560.92</v>
      </c>
      <c r="F47" s="159">
        <f>SUM(F43:F46)</f>
        <v>3571200</v>
      </c>
      <c r="G47" s="159">
        <f>SUM(G43:G46)</f>
        <v>5564760.9199999999</v>
      </c>
      <c r="H47" s="159">
        <f>SUM(H43:H46)</f>
        <v>2566680.92</v>
      </c>
      <c r="I47" s="160"/>
      <c r="J47" s="161"/>
    </row>
    <row r="48" spans="1:10" ht="28.8" outlineLevel="2" x14ac:dyDescent="0.3">
      <c r="A48" s="151" t="s">
        <v>13</v>
      </c>
      <c r="B48" s="152" t="s">
        <v>21</v>
      </c>
      <c r="C48" s="152" t="s">
        <v>100</v>
      </c>
      <c r="D48" s="153">
        <v>414080</v>
      </c>
      <c r="E48" s="153">
        <v>182644</v>
      </c>
      <c r="F48" s="153">
        <v>174080</v>
      </c>
      <c r="G48" s="153">
        <f>E48+F48</f>
        <v>356724</v>
      </c>
      <c r="H48" s="153">
        <f>G48-D48</f>
        <v>-57356</v>
      </c>
      <c r="I48" s="156" t="s">
        <v>106</v>
      </c>
      <c r="J48" s="155" t="s">
        <v>43</v>
      </c>
    </row>
    <row r="49" spans="1:10" outlineLevel="1" x14ac:dyDescent="0.3">
      <c r="A49" s="157" t="s">
        <v>13</v>
      </c>
      <c r="B49" s="158" t="s">
        <v>77</v>
      </c>
      <c r="C49" s="158"/>
      <c r="D49" s="159">
        <f>SUM(D48:D48)</f>
        <v>414080</v>
      </c>
      <c r="E49" s="159">
        <f>SUM(E48:E48)</f>
        <v>182644</v>
      </c>
      <c r="F49" s="159">
        <f>SUM(F48:F48)</f>
        <v>174080</v>
      </c>
      <c r="G49" s="159">
        <f>SUM(G48:G48)</f>
        <v>356724</v>
      </c>
      <c r="H49" s="159">
        <f>SUM(H48:H48)</f>
        <v>-57356</v>
      </c>
      <c r="I49" s="160"/>
      <c r="J49" s="161"/>
    </row>
    <row r="50" spans="1:10" ht="72" outlineLevel="2" x14ac:dyDescent="0.3">
      <c r="A50" s="151" t="s">
        <v>13</v>
      </c>
      <c r="B50" s="152" t="s">
        <v>22</v>
      </c>
      <c r="C50" s="152" t="s">
        <v>100</v>
      </c>
      <c r="D50" s="153">
        <v>1505280</v>
      </c>
      <c r="E50" s="153">
        <v>527296</v>
      </c>
      <c r="F50" s="153">
        <v>641480</v>
      </c>
      <c r="G50" s="153">
        <f>E50+F50</f>
        <v>1168776</v>
      </c>
      <c r="H50" s="153">
        <f>G50-D50</f>
        <v>-336504</v>
      </c>
      <c r="I50" s="156" t="s">
        <v>107</v>
      </c>
      <c r="J50" s="155" t="s">
        <v>43</v>
      </c>
    </row>
    <row r="51" spans="1:10" ht="43.2" outlineLevel="2" x14ac:dyDescent="0.3">
      <c r="A51" s="151" t="s">
        <v>13</v>
      </c>
      <c r="B51" s="152" t="s">
        <v>22</v>
      </c>
      <c r="C51" s="152" t="s">
        <v>41</v>
      </c>
      <c r="D51" s="153">
        <v>252000</v>
      </c>
      <c r="E51" s="153">
        <v>97650</v>
      </c>
      <c r="F51" s="153">
        <v>147000</v>
      </c>
      <c r="G51" s="153">
        <f>E51+F51</f>
        <v>244650</v>
      </c>
      <c r="H51" s="153">
        <f>G51-D51</f>
        <v>-7350</v>
      </c>
      <c r="I51" s="156" t="s">
        <v>108</v>
      </c>
      <c r="J51" s="155" t="s">
        <v>43</v>
      </c>
    </row>
    <row r="52" spans="1:10" outlineLevel="1" x14ac:dyDescent="0.3">
      <c r="A52" s="157" t="s">
        <v>13</v>
      </c>
      <c r="B52" s="158" t="s">
        <v>66</v>
      </c>
      <c r="C52" s="158"/>
      <c r="D52" s="159">
        <f>SUM(D50:D51)</f>
        <v>1757280</v>
      </c>
      <c r="E52" s="159">
        <f>SUM(E50:E51)</f>
        <v>624946</v>
      </c>
      <c r="F52" s="159">
        <f>SUM(F50:F51)</f>
        <v>788480</v>
      </c>
      <c r="G52" s="159">
        <f>SUM(G50:G51)</f>
        <v>1413426</v>
      </c>
      <c r="H52" s="159">
        <f>SUM(H50:H51)</f>
        <v>-343854</v>
      </c>
      <c r="I52" s="160"/>
      <c r="J52" s="161"/>
    </row>
    <row r="53" spans="1:10" ht="57.6" outlineLevel="2" x14ac:dyDescent="0.3">
      <c r="A53" s="151" t="s">
        <v>13</v>
      </c>
      <c r="B53" s="152" t="s">
        <v>23</v>
      </c>
      <c r="C53" s="152" t="s">
        <v>41</v>
      </c>
      <c r="D53" s="153">
        <v>830400</v>
      </c>
      <c r="E53" s="153">
        <v>153040</v>
      </c>
      <c r="F53" s="153">
        <v>398400</v>
      </c>
      <c r="G53" s="153">
        <f>E53+F53</f>
        <v>551440</v>
      </c>
      <c r="H53" s="153">
        <f>G53-D53</f>
        <v>-278960</v>
      </c>
      <c r="I53" s="156" t="s">
        <v>109</v>
      </c>
      <c r="J53" s="155" t="s">
        <v>43</v>
      </c>
    </row>
    <row r="54" spans="1:10" outlineLevel="1" x14ac:dyDescent="0.3">
      <c r="A54" s="157" t="s">
        <v>13</v>
      </c>
      <c r="B54" s="158" t="s">
        <v>68</v>
      </c>
      <c r="C54" s="158"/>
      <c r="D54" s="159">
        <f>SUM(D53:D53)</f>
        <v>830400</v>
      </c>
      <c r="E54" s="159">
        <f>SUM(E53:E53)</f>
        <v>153040</v>
      </c>
      <c r="F54" s="159">
        <f>SUM(F53:F53)</f>
        <v>398400</v>
      </c>
      <c r="G54" s="159">
        <f>SUM(G53:G53)</f>
        <v>551440</v>
      </c>
      <c r="H54" s="159">
        <f>SUM(H53:H53)</f>
        <v>-278960</v>
      </c>
      <c r="I54" s="160"/>
      <c r="J54" s="161"/>
    </row>
    <row r="55" spans="1:10" ht="57.6" outlineLevel="2" x14ac:dyDescent="0.3">
      <c r="A55" s="151" t="s">
        <v>13</v>
      </c>
      <c r="B55" s="152" t="s">
        <v>25</v>
      </c>
      <c r="C55" s="152" t="s">
        <v>100</v>
      </c>
      <c r="D55" s="153">
        <v>291840</v>
      </c>
      <c r="E55" s="153">
        <v>136957</v>
      </c>
      <c r="F55" s="153">
        <v>226640</v>
      </c>
      <c r="G55" s="153">
        <f>E55+F55</f>
        <v>363597</v>
      </c>
      <c r="H55" s="153">
        <f>G55-D55</f>
        <v>71757</v>
      </c>
      <c r="I55" s="167" t="s">
        <v>110</v>
      </c>
      <c r="J55" s="168" t="s">
        <v>50</v>
      </c>
    </row>
    <row r="56" spans="1:10" ht="57.6" outlineLevel="2" x14ac:dyDescent="0.3">
      <c r="A56" s="151" t="s">
        <v>13</v>
      </c>
      <c r="B56" s="152" t="s">
        <v>25</v>
      </c>
      <c r="C56" s="152" t="s">
        <v>41</v>
      </c>
      <c r="D56" s="153">
        <v>161280</v>
      </c>
      <c r="E56" s="153">
        <v>46096</v>
      </c>
      <c r="F56" s="153">
        <v>38080</v>
      </c>
      <c r="G56" s="153">
        <f>E56+F56</f>
        <v>84176</v>
      </c>
      <c r="H56" s="153">
        <f>G56-D56</f>
        <v>-77104</v>
      </c>
      <c r="I56" s="156" t="s">
        <v>111</v>
      </c>
      <c r="J56" s="155" t="s">
        <v>46</v>
      </c>
    </row>
    <row r="57" spans="1:10" ht="43.2" outlineLevel="2" x14ac:dyDescent="0.3">
      <c r="A57" s="151" t="s">
        <v>13</v>
      </c>
      <c r="B57" s="152" t="s">
        <v>25</v>
      </c>
      <c r="C57" s="152" t="s">
        <v>112</v>
      </c>
      <c r="D57" s="153">
        <v>218880</v>
      </c>
      <c r="E57" s="153">
        <v>85892</v>
      </c>
      <c r="F57" s="153">
        <v>127680</v>
      </c>
      <c r="G57" s="153">
        <f>E57+F57</f>
        <v>213572</v>
      </c>
      <c r="H57" s="153">
        <f>G57-D57</f>
        <v>-5308</v>
      </c>
      <c r="I57" s="156" t="s">
        <v>113</v>
      </c>
      <c r="J57" s="155" t="s">
        <v>43</v>
      </c>
    </row>
    <row r="58" spans="1:10" outlineLevel="1" x14ac:dyDescent="0.3">
      <c r="A58" s="157" t="s">
        <v>13</v>
      </c>
      <c r="B58" s="158" t="s">
        <v>71</v>
      </c>
      <c r="C58" s="158"/>
      <c r="D58" s="159">
        <f>SUM(D55:D57)</f>
        <v>672000</v>
      </c>
      <c r="E58" s="159">
        <f>SUM(E55:E57)</f>
        <v>268945</v>
      </c>
      <c r="F58" s="159">
        <f>SUM(F55:F57)</f>
        <v>392400</v>
      </c>
      <c r="G58" s="159">
        <f>SUM(G55:G57)</f>
        <v>661345</v>
      </c>
      <c r="H58" s="159">
        <f>SUM(H55:H57)</f>
        <v>-10655</v>
      </c>
      <c r="I58" s="160"/>
      <c r="J58" s="161"/>
    </row>
    <row r="59" spans="1:10" x14ac:dyDescent="0.3">
      <c r="A59" s="164" t="s">
        <v>114</v>
      </c>
      <c r="B59" s="165"/>
      <c r="C59" s="165"/>
      <c r="D59" s="166">
        <f>SUM(D47,D49,D52,D54,D58)</f>
        <v>6671840</v>
      </c>
      <c r="E59" s="166">
        <f>SUM(E47,E49,E52,E54,E58)</f>
        <v>3223135.92</v>
      </c>
      <c r="F59" s="166">
        <f>SUM(F47,F49,F52,F54,F58)</f>
        <v>5324560</v>
      </c>
      <c r="G59" s="166">
        <f>SUM(G47,G49,G52,G54,G58)</f>
        <v>8547695.9199999999</v>
      </c>
      <c r="H59" s="166">
        <f>SUM(H47,H49,H52,H54,H58)</f>
        <v>1875855.92</v>
      </c>
      <c r="I59" s="160"/>
      <c r="J59" s="161"/>
    </row>
    <row r="60" spans="1:10" ht="43.2" outlineLevel="2" x14ac:dyDescent="0.3">
      <c r="A60" s="151" t="s">
        <v>14</v>
      </c>
      <c r="B60" s="152" t="s">
        <v>20</v>
      </c>
      <c r="C60" s="152" t="s">
        <v>41</v>
      </c>
      <c r="D60" s="153">
        <v>1524552</v>
      </c>
      <c r="E60" s="153">
        <v>566480</v>
      </c>
      <c r="F60" s="153">
        <v>1044659</v>
      </c>
      <c r="G60" s="153">
        <f>E60+F60</f>
        <v>1611139</v>
      </c>
      <c r="H60" s="153">
        <f>G60-D60</f>
        <v>86587</v>
      </c>
      <c r="I60" s="170" t="s">
        <v>115</v>
      </c>
      <c r="J60" s="169" t="s">
        <v>50</v>
      </c>
    </row>
    <row r="61" spans="1:10" ht="28.8" outlineLevel="2" x14ac:dyDescent="0.3">
      <c r="A61" s="151" t="s">
        <v>14</v>
      </c>
      <c r="B61" s="152" t="s">
        <v>20</v>
      </c>
      <c r="C61" s="152" t="s">
        <v>44</v>
      </c>
      <c r="D61" s="153">
        <v>281039.33999999997</v>
      </c>
      <c r="E61" s="153">
        <v>111814</v>
      </c>
      <c r="F61" s="153">
        <v>165581</v>
      </c>
      <c r="G61" s="153">
        <f>E61+F61</f>
        <v>277395</v>
      </c>
      <c r="H61" s="153">
        <f>G61-D61</f>
        <v>-3644.3399999999674</v>
      </c>
      <c r="I61" s="156" t="s">
        <v>116</v>
      </c>
      <c r="J61" s="155" t="s">
        <v>43</v>
      </c>
    </row>
    <row r="62" spans="1:10" ht="43.2" outlineLevel="2" x14ac:dyDescent="0.3">
      <c r="A62" s="151" t="s">
        <v>14</v>
      </c>
      <c r="B62" s="152" t="s">
        <v>20</v>
      </c>
      <c r="C62" s="152" t="s">
        <v>117</v>
      </c>
      <c r="D62" s="153">
        <v>190000</v>
      </c>
      <c r="E62" s="153">
        <v>75000</v>
      </c>
      <c r="F62" s="153">
        <v>41650</v>
      </c>
      <c r="G62" s="153">
        <f>E62+F62</f>
        <v>116650</v>
      </c>
      <c r="H62" s="153">
        <f>G62-D62</f>
        <v>-73350</v>
      </c>
      <c r="I62" s="156" t="s">
        <v>118</v>
      </c>
      <c r="J62" s="155" t="s">
        <v>46</v>
      </c>
    </row>
    <row r="63" spans="1:10" outlineLevel="1" x14ac:dyDescent="0.3">
      <c r="A63" s="157" t="s">
        <v>14</v>
      </c>
      <c r="B63" s="158" t="s">
        <v>49</v>
      </c>
      <c r="C63" s="158"/>
      <c r="D63" s="159">
        <f>SUM(D60:D62)</f>
        <v>1995591.3399999999</v>
      </c>
      <c r="E63" s="159">
        <f>SUM(E60:E62)</f>
        <v>753294</v>
      </c>
      <c r="F63" s="159">
        <f>SUM(F60:F62)</f>
        <v>1251890</v>
      </c>
      <c r="G63" s="159">
        <f>SUM(G60:G62)</f>
        <v>2005184</v>
      </c>
      <c r="H63" s="159">
        <f>SUM(H60:H62)</f>
        <v>9592.6600000000326</v>
      </c>
      <c r="I63" s="160"/>
      <c r="J63" s="161"/>
    </row>
    <row r="64" spans="1:10" ht="43.2" outlineLevel="2" x14ac:dyDescent="0.3">
      <c r="A64" s="151" t="s">
        <v>14</v>
      </c>
      <c r="B64" s="152" t="s">
        <v>21</v>
      </c>
      <c r="C64" s="152" t="s">
        <v>119</v>
      </c>
      <c r="D64" s="153">
        <v>178500</v>
      </c>
      <c r="E64" s="153">
        <v>145141.29999999999</v>
      </c>
      <c r="F64" s="153">
        <v>29028.26</v>
      </c>
      <c r="G64" s="153">
        <f>E64+F64</f>
        <v>174169.56</v>
      </c>
      <c r="H64" s="153">
        <f>G64-D64</f>
        <v>-4330.4400000000023</v>
      </c>
      <c r="I64" s="156" t="s">
        <v>120</v>
      </c>
      <c r="J64" s="155" t="s">
        <v>43</v>
      </c>
    </row>
    <row r="65" spans="1:10" outlineLevel="1" x14ac:dyDescent="0.3">
      <c r="A65" s="157" t="s">
        <v>14</v>
      </c>
      <c r="B65" s="158" t="s">
        <v>77</v>
      </c>
      <c r="C65" s="158"/>
      <c r="D65" s="159">
        <f>SUM(D64:D64)</f>
        <v>178500</v>
      </c>
      <c r="E65" s="159">
        <f>SUM(E64:E64)</f>
        <v>145141.29999999999</v>
      </c>
      <c r="F65" s="159">
        <f>SUM(F64:F64)</f>
        <v>29028.26</v>
      </c>
      <c r="G65" s="159">
        <f>SUM(G64:G64)</f>
        <v>174169.56</v>
      </c>
      <c r="H65" s="159">
        <f>SUM(H64:H64)</f>
        <v>-4330.4400000000023</v>
      </c>
      <c r="I65" s="160"/>
      <c r="J65" s="161"/>
    </row>
    <row r="66" spans="1:10" ht="43.2" outlineLevel="2" x14ac:dyDescent="0.3">
      <c r="A66" s="151" t="s">
        <v>14</v>
      </c>
      <c r="B66" s="152" t="s">
        <v>22</v>
      </c>
      <c r="C66" s="152" t="s">
        <v>121</v>
      </c>
      <c r="D66" s="153">
        <v>100000</v>
      </c>
      <c r="E66" s="153">
        <v>46815</v>
      </c>
      <c r="F66" s="153">
        <v>53185</v>
      </c>
      <c r="G66" s="153">
        <f>E66+F66</f>
        <v>100000</v>
      </c>
      <c r="H66" s="153">
        <f>G66-D66</f>
        <v>0</v>
      </c>
      <c r="I66" s="162" t="s">
        <v>122</v>
      </c>
      <c r="J66" s="163" t="s">
        <v>63</v>
      </c>
    </row>
    <row r="67" spans="1:10" outlineLevel="1" x14ac:dyDescent="0.3">
      <c r="A67" s="157" t="s">
        <v>14</v>
      </c>
      <c r="B67" s="158" t="s">
        <v>66</v>
      </c>
      <c r="C67" s="158"/>
      <c r="D67" s="159">
        <f>SUM(D66:D66)</f>
        <v>100000</v>
      </c>
      <c r="E67" s="159">
        <f>SUM(E66:E66)</f>
        <v>46815</v>
      </c>
      <c r="F67" s="159">
        <f>SUM(F66:F66)</f>
        <v>53185</v>
      </c>
      <c r="G67" s="159">
        <f>SUM(G66:G66)</f>
        <v>100000</v>
      </c>
      <c r="H67" s="159">
        <f>SUM(H66:H66)</f>
        <v>0</v>
      </c>
      <c r="I67" s="160"/>
      <c r="J67" s="161"/>
    </row>
    <row r="68" spans="1:10" ht="57.6" outlineLevel="2" x14ac:dyDescent="0.3">
      <c r="A68" s="151" t="s">
        <v>14</v>
      </c>
      <c r="B68" s="152" t="s">
        <v>23</v>
      </c>
      <c r="C68" s="152" t="s">
        <v>41</v>
      </c>
      <c r="D68" s="153">
        <v>345000</v>
      </c>
      <c r="E68" s="153">
        <v>154000</v>
      </c>
      <c r="F68" s="153">
        <v>438000</v>
      </c>
      <c r="G68" s="153">
        <f>E68+F68</f>
        <v>592000</v>
      </c>
      <c r="H68" s="153">
        <f>G68-D68</f>
        <v>247000</v>
      </c>
      <c r="I68" s="106" t="s">
        <v>123</v>
      </c>
      <c r="J68" s="169" t="s">
        <v>59</v>
      </c>
    </row>
    <row r="69" spans="1:10" ht="28.8" outlineLevel="2" x14ac:dyDescent="0.3">
      <c r="A69" s="151" t="s">
        <v>14</v>
      </c>
      <c r="B69" s="152" t="s">
        <v>23</v>
      </c>
      <c r="C69" s="152" t="s">
        <v>44</v>
      </c>
      <c r="D69" s="153">
        <v>100000</v>
      </c>
      <c r="E69" s="153">
        <v>0</v>
      </c>
      <c r="F69" s="153">
        <v>100000</v>
      </c>
      <c r="G69" s="153">
        <f>E69+F69</f>
        <v>100000</v>
      </c>
      <c r="H69" s="153">
        <f>G69-D69</f>
        <v>0</v>
      </c>
      <c r="I69" s="162" t="s">
        <v>124</v>
      </c>
      <c r="J69" s="163" t="s">
        <v>63</v>
      </c>
    </row>
    <row r="70" spans="1:10" outlineLevel="1" x14ac:dyDescent="0.3">
      <c r="A70" s="157" t="s">
        <v>14</v>
      </c>
      <c r="B70" s="158" t="s">
        <v>68</v>
      </c>
      <c r="C70" s="158"/>
      <c r="D70" s="159">
        <f>SUM(D68:D69)</f>
        <v>445000</v>
      </c>
      <c r="E70" s="159">
        <f>SUM(E68:E69)</f>
        <v>154000</v>
      </c>
      <c r="F70" s="159">
        <f>SUM(F68:F69)</f>
        <v>538000</v>
      </c>
      <c r="G70" s="159">
        <f>SUM(G68:G69)</f>
        <v>692000</v>
      </c>
      <c r="H70" s="159">
        <f>SUM(H68:H69)</f>
        <v>247000</v>
      </c>
      <c r="I70" s="160"/>
      <c r="J70" s="161"/>
    </row>
    <row r="71" spans="1:10" ht="28.8" outlineLevel="2" x14ac:dyDescent="0.3">
      <c r="A71" s="151" t="s">
        <v>14</v>
      </c>
      <c r="B71" s="152" t="s">
        <v>25</v>
      </c>
      <c r="C71" s="152" t="s">
        <v>125</v>
      </c>
      <c r="D71" s="153">
        <v>32400</v>
      </c>
      <c r="E71" s="153">
        <v>32009.25</v>
      </c>
      <c r="F71" s="153">
        <v>0</v>
      </c>
      <c r="G71" s="153">
        <f>E71+F71</f>
        <v>32009.25</v>
      </c>
      <c r="H71" s="153">
        <f>G71-D71</f>
        <v>-390.75</v>
      </c>
      <c r="I71" s="162" t="s">
        <v>126</v>
      </c>
      <c r="J71" s="163" t="s">
        <v>46</v>
      </c>
    </row>
    <row r="72" spans="1:10" outlineLevel="1" x14ac:dyDescent="0.3">
      <c r="A72" s="157" t="s">
        <v>14</v>
      </c>
      <c r="B72" s="158" t="s">
        <v>71</v>
      </c>
      <c r="C72" s="158"/>
      <c r="D72" s="159">
        <f>SUM(D71:D71)</f>
        <v>32400</v>
      </c>
      <c r="E72" s="159">
        <f>SUM(E71:E71)</f>
        <v>32009.25</v>
      </c>
      <c r="F72" s="159">
        <f>SUM(F71:F71)</f>
        <v>0</v>
      </c>
      <c r="G72" s="159">
        <f>SUM(G71:G71)</f>
        <v>32009.25</v>
      </c>
      <c r="H72" s="159">
        <f>SUM(H71:H71)</f>
        <v>-390.75</v>
      </c>
      <c r="I72" s="160"/>
      <c r="J72" s="161"/>
    </row>
    <row r="73" spans="1:10" x14ac:dyDescent="0.3">
      <c r="A73" s="164" t="s">
        <v>127</v>
      </c>
      <c r="B73" s="165"/>
      <c r="C73" s="165"/>
      <c r="D73" s="166">
        <f>SUM(D63,D65,D67,D70,D72)</f>
        <v>2751491.34</v>
      </c>
      <c r="E73" s="166">
        <f>SUM(E63,E65,E67,E70,E72)</f>
        <v>1131259.55</v>
      </c>
      <c r="F73" s="166">
        <f>SUM(F63,F65,F67,F70,F72)</f>
        <v>1872103.26</v>
      </c>
      <c r="G73" s="166">
        <f>SUM(G63,G65,G67,G70,G72)</f>
        <v>3003362.81</v>
      </c>
      <c r="H73" s="166">
        <f>SUM(H63,H65,H67,H70,H72)</f>
        <v>251871.47000000003</v>
      </c>
      <c r="I73" s="160"/>
      <c r="J73" s="161"/>
    </row>
    <row r="74" spans="1:10" ht="28.8" outlineLevel="2" x14ac:dyDescent="0.3">
      <c r="A74" s="151" t="s">
        <v>15</v>
      </c>
      <c r="B74" s="152" t="s">
        <v>22</v>
      </c>
      <c r="C74" s="152" t="s">
        <v>128</v>
      </c>
      <c r="D74" s="153">
        <v>4409</v>
      </c>
      <c r="E74" s="153">
        <v>4982.8</v>
      </c>
      <c r="F74" s="153">
        <v>0</v>
      </c>
      <c r="G74" s="153">
        <f t="shared" ref="G74:G79" si="2">E74+F74</f>
        <v>4982.8</v>
      </c>
      <c r="H74" s="153">
        <f t="shared" ref="H74:H79" si="3">G74-D74</f>
        <v>573.80000000000018</v>
      </c>
      <c r="I74" s="162" t="s">
        <v>129</v>
      </c>
      <c r="J74" s="163" t="s">
        <v>59</v>
      </c>
    </row>
    <row r="75" spans="1:10" ht="28.8" outlineLevel="2" x14ac:dyDescent="0.3">
      <c r="A75" s="151" t="s">
        <v>15</v>
      </c>
      <c r="B75" s="152" t="s">
        <v>22</v>
      </c>
      <c r="C75" s="152" t="s">
        <v>130</v>
      </c>
      <c r="D75" s="153">
        <v>14886</v>
      </c>
      <c r="E75" s="153">
        <v>5443.74</v>
      </c>
      <c r="F75" s="153">
        <v>7621.3200000000006</v>
      </c>
      <c r="G75" s="153">
        <f t="shared" si="2"/>
        <v>13065.060000000001</v>
      </c>
      <c r="H75" s="153">
        <f t="shared" si="3"/>
        <v>-1820.9399999999987</v>
      </c>
      <c r="I75" s="156" t="s">
        <v>131</v>
      </c>
      <c r="J75" s="155" t="s">
        <v>43</v>
      </c>
    </row>
    <row r="76" spans="1:10" ht="28.8" outlineLevel="2" x14ac:dyDescent="0.3">
      <c r="A76" s="151" t="s">
        <v>15</v>
      </c>
      <c r="B76" s="152" t="s">
        <v>22</v>
      </c>
      <c r="C76" s="152" t="s">
        <v>132</v>
      </c>
      <c r="D76" s="153">
        <v>8400</v>
      </c>
      <c r="E76" s="153">
        <v>8000</v>
      </c>
      <c r="F76" s="153">
        <v>0</v>
      </c>
      <c r="G76" s="153">
        <f t="shared" si="2"/>
        <v>8000</v>
      </c>
      <c r="H76" s="153">
        <f t="shared" si="3"/>
        <v>-400</v>
      </c>
      <c r="I76" s="162" t="s">
        <v>133</v>
      </c>
      <c r="J76" s="155" t="s">
        <v>43</v>
      </c>
    </row>
    <row r="77" spans="1:10" ht="28.8" outlineLevel="2" x14ac:dyDescent="0.3">
      <c r="A77" s="151" t="s">
        <v>15</v>
      </c>
      <c r="B77" s="152" t="s">
        <v>22</v>
      </c>
      <c r="C77" s="152" t="s">
        <v>134</v>
      </c>
      <c r="D77" s="153">
        <v>0</v>
      </c>
      <c r="E77" s="153">
        <v>15208</v>
      </c>
      <c r="F77" s="153">
        <v>0</v>
      </c>
      <c r="G77" s="153">
        <f t="shared" si="2"/>
        <v>15208</v>
      </c>
      <c r="H77" s="153">
        <f t="shared" si="3"/>
        <v>15208</v>
      </c>
      <c r="I77" s="167" t="s">
        <v>135</v>
      </c>
      <c r="J77" s="168" t="s">
        <v>50</v>
      </c>
    </row>
    <row r="78" spans="1:10" ht="28.8" outlineLevel="2" x14ac:dyDescent="0.3">
      <c r="A78" s="151" t="s">
        <v>15</v>
      </c>
      <c r="B78" s="152" t="s">
        <v>22</v>
      </c>
      <c r="C78" s="152" t="s">
        <v>136</v>
      </c>
      <c r="D78" s="153">
        <v>67470</v>
      </c>
      <c r="E78" s="153">
        <v>34242.9</v>
      </c>
      <c r="F78" s="153">
        <v>33735</v>
      </c>
      <c r="G78" s="153">
        <f t="shared" si="2"/>
        <v>67977.899999999994</v>
      </c>
      <c r="H78" s="153">
        <f t="shared" si="3"/>
        <v>507.89999999999418</v>
      </c>
      <c r="I78" s="162" t="s">
        <v>137</v>
      </c>
      <c r="J78" s="163" t="s">
        <v>59</v>
      </c>
    </row>
    <row r="79" spans="1:10" ht="28.8" outlineLevel="2" x14ac:dyDescent="0.3">
      <c r="A79" s="151" t="s">
        <v>15</v>
      </c>
      <c r="B79" s="152" t="s">
        <v>22</v>
      </c>
      <c r="C79" s="152" t="s">
        <v>138</v>
      </c>
      <c r="D79" s="153">
        <v>25000</v>
      </c>
      <c r="E79" s="153">
        <v>0</v>
      </c>
      <c r="F79" s="153">
        <v>25000</v>
      </c>
      <c r="G79" s="153">
        <f t="shared" si="2"/>
        <v>25000</v>
      </c>
      <c r="H79" s="153">
        <f t="shared" si="3"/>
        <v>0</v>
      </c>
      <c r="I79" s="162" t="s">
        <v>139</v>
      </c>
      <c r="J79" s="163" t="s">
        <v>63</v>
      </c>
    </row>
    <row r="80" spans="1:10" outlineLevel="1" x14ac:dyDescent="0.3">
      <c r="A80" s="157" t="s">
        <v>15</v>
      </c>
      <c r="B80" s="158" t="s">
        <v>66</v>
      </c>
      <c r="C80" s="158"/>
      <c r="D80" s="159">
        <f>SUM(D74:D79)</f>
        <v>120165</v>
      </c>
      <c r="E80" s="159">
        <f>SUM(E74:E79)</f>
        <v>67877.440000000002</v>
      </c>
      <c r="F80" s="159">
        <f>SUM(F74:F79)</f>
        <v>66356.320000000007</v>
      </c>
      <c r="G80" s="159">
        <f>SUM(G74:G79)</f>
        <v>134233.76</v>
      </c>
      <c r="H80" s="159">
        <f>SUM(H74:H79)</f>
        <v>14068.759999999995</v>
      </c>
      <c r="I80" s="160"/>
      <c r="J80" s="161"/>
    </row>
    <row r="81" spans="1:10" ht="28.8" outlineLevel="2" x14ac:dyDescent="0.3">
      <c r="A81" s="151" t="s">
        <v>15</v>
      </c>
      <c r="B81" s="152" t="s">
        <v>23</v>
      </c>
      <c r="C81" s="152" t="s">
        <v>140</v>
      </c>
      <c r="D81" s="153">
        <v>12200</v>
      </c>
      <c r="E81" s="153">
        <v>0</v>
      </c>
      <c r="F81" s="153">
        <v>12200</v>
      </c>
      <c r="G81" s="153">
        <f>E81+F81</f>
        <v>12200</v>
      </c>
      <c r="H81" s="153">
        <f>G81-D81</f>
        <v>0</v>
      </c>
      <c r="I81" s="162" t="s">
        <v>141</v>
      </c>
      <c r="J81" s="163" t="s">
        <v>63</v>
      </c>
    </row>
    <row r="82" spans="1:10" outlineLevel="1" x14ac:dyDescent="0.3">
      <c r="A82" s="157" t="s">
        <v>15</v>
      </c>
      <c r="B82" s="158" t="s">
        <v>68</v>
      </c>
      <c r="C82" s="158"/>
      <c r="D82" s="159">
        <f>SUM(D81:D81)</f>
        <v>12200</v>
      </c>
      <c r="E82" s="159">
        <f>SUM(E81:E81)</f>
        <v>0</v>
      </c>
      <c r="F82" s="159">
        <f>SUM(F81:F81)</f>
        <v>12200</v>
      </c>
      <c r="G82" s="159">
        <f>SUM(G81:G81)</f>
        <v>12200</v>
      </c>
      <c r="H82" s="159">
        <f>SUM(H81:H81)</f>
        <v>0</v>
      </c>
      <c r="I82" s="160"/>
      <c r="J82" s="161"/>
    </row>
    <row r="83" spans="1:10" ht="28.8" outlineLevel="2" x14ac:dyDescent="0.3">
      <c r="A83" s="151" t="s">
        <v>15</v>
      </c>
      <c r="B83" s="152" t="s">
        <v>24</v>
      </c>
      <c r="C83" s="152" t="s">
        <v>142</v>
      </c>
      <c r="D83" s="153">
        <v>359</v>
      </c>
      <c r="E83" s="153">
        <v>0</v>
      </c>
      <c r="F83" s="153">
        <v>359</v>
      </c>
      <c r="G83" s="153">
        <f>E83+F83</f>
        <v>359</v>
      </c>
      <c r="H83" s="153">
        <f>G83-D83</f>
        <v>0</v>
      </c>
      <c r="I83" s="162" t="s">
        <v>143</v>
      </c>
      <c r="J83" s="163" t="s">
        <v>63</v>
      </c>
    </row>
    <row r="84" spans="1:10" outlineLevel="1" x14ac:dyDescent="0.3">
      <c r="A84" s="157" t="s">
        <v>15</v>
      </c>
      <c r="B84" s="158" t="s">
        <v>144</v>
      </c>
      <c r="C84" s="158"/>
      <c r="D84" s="159">
        <f>SUM(D83:D83)</f>
        <v>359</v>
      </c>
      <c r="E84" s="159">
        <f>SUM(E83:E83)</f>
        <v>0</v>
      </c>
      <c r="F84" s="159">
        <f>SUM(F83:F83)</f>
        <v>359</v>
      </c>
      <c r="G84" s="159">
        <f>SUM(G83:G83)</f>
        <v>359</v>
      </c>
      <c r="H84" s="159">
        <f>SUM(H83:H83)</f>
        <v>0</v>
      </c>
      <c r="I84" s="160"/>
      <c r="J84" s="161"/>
    </row>
    <row r="85" spans="1:10" ht="28.8" outlineLevel="2" x14ac:dyDescent="0.3">
      <c r="A85" s="151" t="s">
        <v>15</v>
      </c>
      <c r="B85" s="152" t="s">
        <v>25</v>
      </c>
      <c r="C85" s="152" t="s">
        <v>145</v>
      </c>
      <c r="D85" s="153">
        <v>236250</v>
      </c>
      <c r="E85" s="153">
        <v>0</v>
      </c>
      <c r="F85" s="153">
        <v>236250</v>
      </c>
      <c r="G85" s="153">
        <f>E85+F85</f>
        <v>236250</v>
      </c>
      <c r="H85" s="153">
        <f>G85-D85</f>
        <v>0</v>
      </c>
      <c r="I85" s="162" t="s">
        <v>146</v>
      </c>
      <c r="J85" s="163" t="s">
        <v>63</v>
      </c>
    </row>
    <row r="86" spans="1:10" ht="28.8" outlineLevel="2" x14ac:dyDescent="0.3">
      <c r="A86" s="151" t="s">
        <v>15</v>
      </c>
      <c r="B86" s="152" t="s">
        <v>25</v>
      </c>
      <c r="C86" s="152" t="s">
        <v>147</v>
      </c>
      <c r="D86" s="153">
        <v>141750</v>
      </c>
      <c r="E86" s="153">
        <v>0</v>
      </c>
      <c r="F86" s="153">
        <v>141750</v>
      </c>
      <c r="G86" s="153">
        <f>E86+F86</f>
        <v>141750</v>
      </c>
      <c r="H86" s="153">
        <f>G86-D86</f>
        <v>0</v>
      </c>
      <c r="I86" s="162" t="s">
        <v>146</v>
      </c>
      <c r="J86" s="163" t="s">
        <v>63</v>
      </c>
    </row>
    <row r="87" spans="1:10" ht="28.8" outlineLevel="2" x14ac:dyDescent="0.3">
      <c r="A87" s="151" t="s">
        <v>15</v>
      </c>
      <c r="B87" s="152" t="s">
        <v>25</v>
      </c>
      <c r="C87" s="152" t="s">
        <v>148</v>
      </c>
      <c r="D87" s="153">
        <v>17099</v>
      </c>
      <c r="E87" s="153">
        <v>0</v>
      </c>
      <c r="F87" s="153">
        <v>17099</v>
      </c>
      <c r="G87" s="153">
        <f>E87+F87</f>
        <v>17099</v>
      </c>
      <c r="H87" s="153">
        <f>G87-D87</f>
        <v>0</v>
      </c>
      <c r="I87" s="162" t="s">
        <v>149</v>
      </c>
      <c r="J87" s="163" t="s">
        <v>63</v>
      </c>
    </row>
    <row r="88" spans="1:10" ht="43.2" outlineLevel="2" x14ac:dyDescent="0.3">
      <c r="A88" s="151" t="s">
        <v>15</v>
      </c>
      <c r="B88" s="152" t="s">
        <v>25</v>
      </c>
      <c r="C88" s="152" t="s">
        <v>150</v>
      </c>
      <c r="D88" s="153">
        <v>259449</v>
      </c>
      <c r="E88" s="153">
        <v>83657.850000000006</v>
      </c>
      <c r="F88" s="153">
        <v>125791</v>
      </c>
      <c r="G88" s="153">
        <f>E88+F88</f>
        <v>209448.85</v>
      </c>
      <c r="H88" s="153">
        <f>G88-D88</f>
        <v>-50000.149999999994</v>
      </c>
      <c r="I88" s="156" t="s">
        <v>151</v>
      </c>
      <c r="J88" s="155" t="s">
        <v>43</v>
      </c>
    </row>
    <row r="89" spans="1:10" outlineLevel="1" x14ac:dyDescent="0.3">
      <c r="A89" s="157" t="s">
        <v>15</v>
      </c>
      <c r="B89" s="158" t="s">
        <v>71</v>
      </c>
      <c r="C89" s="158"/>
      <c r="D89" s="159">
        <f>SUM(D85:D88)</f>
        <v>654548</v>
      </c>
      <c r="E89" s="159">
        <f>SUM(E85:E88)</f>
        <v>83657.850000000006</v>
      </c>
      <c r="F89" s="159">
        <f>SUM(F85:F88)</f>
        <v>520890</v>
      </c>
      <c r="G89" s="159">
        <f>SUM(G85:G88)</f>
        <v>604547.85</v>
      </c>
      <c r="H89" s="159">
        <f>SUM(H85:H88)</f>
        <v>-50000.149999999994</v>
      </c>
      <c r="I89" s="160"/>
      <c r="J89" s="161"/>
    </row>
    <row r="90" spans="1:10" ht="43.2" outlineLevel="2" x14ac:dyDescent="0.3">
      <c r="A90" s="151" t="s">
        <v>15</v>
      </c>
      <c r="B90" s="152" t="s">
        <v>26</v>
      </c>
      <c r="C90" s="152" t="s">
        <v>152</v>
      </c>
      <c r="D90" s="153">
        <v>1244018</v>
      </c>
      <c r="E90" s="153">
        <v>600811.08750000014</v>
      </c>
      <c r="F90" s="153">
        <v>841135.5225000002</v>
      </c>
      <c r="G90" s="153">
        <f>E90+F90</f>
        <v>1441946.6100000003</v>
      </c>
      <c r="H90" s="153">
        <f>G90-D90</f>
        <v>197928.61000000034</v>
      </c>
      <c r="I90" s="170" t="s">
        <v>153</v>
      </c>
      <c r="J90" s="169" t="s">
        <v>50</v>
      </c>
    </row>
    <row r="91" spans="1:10" outlineLevel="1" x14ac:dyDescent="0.3">
      <c r="A91" s="157" t="s">
        <v>15</v>
      </c>
      <c r="B91" s="158" t="s">
        <v>154</v>
      </c>
      <c r="C91" s="158"/>
      <c r="D91" s="159">
        <f>SUM(D90:D90)</f>
        <v>1244018</v>
      </c>
      <c r="E91" s="159">
        <f>SUM(E90:E90)</f>
        <v>600811.08750000014</v>
      </c>
      <c r="F91" s="159">
        <f>SUM(F90:F90)</f>
        <v>841135.5225000002</v>
      </c>
      <c r="G91" s="159">
        <f>SUM(G90:G90)</f>
        <v>1441946.6100000003</v>
      </c>
      <c r="H91" s="159">
        <f>SUM(H90:H90)</f>
        <v>197928.61000000034</v>
      </c>
      <c r="I91" s="160"/>
      <c r="J91" s="161"/>
    </row>
    <row r="92" spans="1:10" x14ac:dyDescent="0.3">
      <c r="A92" s="164" t="s">
        <v>155</v>
      </c>
      <c r="B92" s="165"/>
      <c r="C92" s="165"/>
      <c r="D92" s="166">
        <f>SUM(D80,D82,D84,D89,D91)</f>
        <v>2031290</v>
      </c>
      <c r="E92" s="166">
        <f>SUM(E80,E82,E84,E89,E91)</f>
        <v>752346.37750000018</v>
      </c>
      <c r="F92" s="166">
        <f>SUM(F80,F82,F84,F89,F91)</f>
        <v>1440940.8425000003</v>
      </c>
      <c r="G92" s="166">
        <f>SUM(G80,G82,G84,G89,G91)</f>
        <v>2193287.2200000002</v>
      </c>
      <c r="H92" s="166">
        <f>SUM(H80,H82,H84,H89,H91)</f>
        <v>161997.22000000032</v>
      </c>
      <c r="I92" s="160"/>
      <c r="J92" s="161"/>
    </row>
    <row r="93" spans="1:10" ht="43.2" outlineLevel="2" x14ac:dyDescent="0.3">
      <c r="A93" s="151" t="s">
        <v>16</v>
      </c>
      <c r="B93" s="152" t="s">
        <v>20</v>
      </c>
      <c r="C93" s="152" t="s">
        <v>156</v>
      </c>
      <c r="D93" s="153">
        <v>191646</v>
      </c>
      <c r="E93" s="153">
        <v>28503.335000000003</v>
      </c>
      <c r="F93" s="153">
        <v>99761.672500000001</v>
      </c>
      <c r="G93" s="153">
        <f t="shared" ref="G93:G100" si="4">E93+F93</f>
        <v>128265.00750000001</v>
      </c>
      <c r="H93" s="153">
        <f t="shared" ref="H93:H100" si="5">G93-D93</f>
        <v>-63380.992499999993</v>
      </c>
      <c r="I93" s="156" t="s">
        <v>157</v>
      </c>
      <c r="J93" s="155" t="s">
        <v>43</v>
      </c>
    </row>
    <row r="94" spans="1:10" ht="28.8" outlineLevel="2" x14ac:dyDescent="0.3">
      <c r="A94" s="151" t="s">
        <v>16</v>
      </c>
      <c r="B94" s="152" t="s">
        <v>20</v>
      </c>
      <c r="C94" s="152" t="s">
        <v>158</v>
      </c>
      <c r="D94" s="153">
        <v>10080</v>
      </c>
      <c r="E94" s="153">
        <v>4800</v>
      </c>
      <c r="F94" s="153">
        <v>5280</v>
      </c>
      <c r="G94" s="153">
        <f t="shared" si="4"/>
        <v>10080</v>
      </c>
      <c r="H94" s="153">
        <f t="shared" si="5"/>
        <v>0</v>
      </c>
      <c r="I94" s="162" t="s">
        <v>62</v>
      </c>
      <c r="J94" s="163" t="s">
        <v>63</v>
      </c>
    </row>
    <row r="95" spans="1:10" ht="28.8" outlineLevel="2" x14ac:dyDescent="0.3">
      <c r="A95" s="151" t="s">
        <v>16</v>
      </c>
      <c r="B95" s="152" t="s">
        <v>20</v>
      </c>
      <c r="C95" s="152" t="s">
        <v>159</v>
      </c>
      <c r="D95" s="153">
        <v>139684</v>
      </c>
      <c r="E95" s="153">
        <v>58201.666666666672</v>
      </c>
      <c r="F95" s="153">
        <v>81482.333333333328</v>
      </c>
      <c r="G95" s="153">
        <f t="shared" si="4"/>
        <v>139684</v>
      </c>
      <c r="H95" s="153">
        <f t="shared" si="5"/>
        <v>0</v>
      </c>
      <c r="I95" s="162" t="s">
        <v>160</v>
      </c>
      <c r="J95" s="163" t="s">
        <v>63</v>
      </c>
    </row>
    <row r="96" spans="1:10" ht="28.8" outlineLevel="2" x14ac:dyDescent="0.3">
      <c r="A96" s="151" t="s">
        <v>16</v>
      </c>
      <c r="B96" s="152" t="s">
        <v>20</v>
      </c>
      <c r="C96" s="152" t="s">
        <v>41</v>
      </c>
      <c r="D96" s="153">
        <v>100844.1</v>
      </c>
      <c r="E96" s="153">
        <v>96041.64</v>
      </c>
      <c r="F96" s="153">
        <v>0</v>
      </c>
      <c r="G96" s="153">
        <f t="shared" si="4"/>
        <v>96041.64</v>
      </c>
      <c r="H96" s="153">
        <f t="shared" si="5"/>
        <v>-4802.4600000000064</v>
      </c>
      <c r="I96" s="156" t="s">
        <v>161</v>
      </c>
      <c r="J96" s="155" t="s">
        <v>46</v>
      </c>
    </row>
    <row r="97" spans="1:10" ht="28.8" outlineLevel="2" x14ac:dyDescent="0.3">
      <c r="A97" s="151" t="s">
        <v>16</v>
      </c>
      <c r="B97" s="152" t="s">
        <v>20</v>
      </c>
      <c r="C97" s="152" t="s">
        <v>162</v>
      </c>
      <c r="D97" s="153">
        <v>117539.0055</v>
      </c>
      <c r="E97" s="153">
        <v>14025.49</v>
      </c>
      <c r="F97" s="153">
        <v>103536.75</v>
      </c>
      <c r="G97" s="153">
        <f t="shared" si="4"/>
        <v>117562.24000000001</v>
      </c>
      <c r="H97" s="153">
        <f t="shared" si="5"/>
        <v>23.234500000005937</v>
      </c>
      <c r="I97" s="162" t="s">
        <v>163</v>
      </c>
      <c r="J97" s="163" t="s">
        <v>63</v>
      </c>
    </row>
    <row r="98" spans="1:10" ht="43.2" outlineLevel="2" x14ac:dyDescent="0.3">
      <c r="A98" s="151" t="s">
        <v>16</v>
      </c>
      <c r="B98" s="152" t="s">
        <v>20</v>
      </c>
      <c r="C98" s="152" t="s">
        <v>44</v>
      </c>
      <c r="D98" s="153">
        <v>1410968.58415</v>
      </c>
      <c r="E98" s="153">
        <v>553592.44999999995</v>
      </c>
      <c r="F98" s="153">
        <v>641600.51250000007</v>
      </c>
      <c r="G98" s="153">
        <f t="shared" si="4"/>
        <v>1195192.9624999999</v>
      </c>
      <c r="H98" s="153">
        <f t="shared" si="5"/>
        <v>-215775.6216500001</v>
      </c>
      <c r="I98" s="156" t="s">
        <v>164</v>
      </c>
      <c r="J98" s="155" t="s">
        <v>43</v>
      </c>
    </row>
    <row r="99" spans="1:10" ht="28.8" outlineLevel="2" x14ac:dyDescent="0.3">
      <c r="A99" s="151" t="s">
        <v>16</v>
      </c>
      <c r="B99" s="152" t="s">
        <v>20</v>
      </c>
      <c r="C99" s="152" t="s">
        <v>165</v>
      </c>
      <c r="D99" s="153">
        <v>51930.15</v>
      </c>
      <c r="E99" s="153">
        <v>46713</v>
      </c>
      <c r="F99" s="153">
        <v>7470</v>
      </c>
      <c r="G99" s="153">
        <f t="shared" si="4"/>
        <v>54183</v>
      </c>
      <c r="H99" s="153">
        <f t="shared" si="5"/>
        <v>2252.8499999999985</v>
      </c>
      <c r="I99" s="170" t="s">
        <v>166</v>
      </c>
      <c r="J99" s="169" t="s">
        <v>50</v>
      </c>
    </row>
    <row r="100" spans="1:10" ht="28.8" outlineLevel="2" x14ac:dyDescent="0.3">
      <c r="A100" s="151" t="s">
        <v>16</v>
      </c>
      <c r="B100" s="152" t="s">
        <v>20</v>
      </c>
      <c r="C100" s="152" t="s">
        <v>73</v>
      </c>
      <c r="D100" s="153">
        <v>215860.41749999998</v>
      </c>
      <c r="E100" s="153">
        <v>957.23</v>
      </c>
      <c r="F100" s="153">
        <v>214903.5</v>
      </c>
      <c r="G100" s="153">
        <f t="shared" si="4"/>
        <v>215860.73</v>
      </c>
      <c r="H100" s="153">
        <f t="shared" si="5"/>
        <v>0.31250000002910383</v>
      </c>
      <c r="I100" s="162" t="s">
        <v>167</v>
      </c>
      <c r="J100" s="163" t="s">
        <v>63</v>
      </c>
    </row>
    <row r="101" spans="1:10" outlineLevel="1" x14ac:dyDescent="0.3">
      <c r="A101" s="157" t="s">
        <v>16</v>
      </c>
      <c r="B101" s="158" t="s">
        <v>49</v>
      </c>
      <c r="C101" s="158"/>
      <c r="D101" s="159">
        <f>SUM(D93:D100)</f>
        <v>2238552.25715</v>
      </c>
      <c r="E101" s="159">
        <f>SUM(E93:E100)</f>
        <v>802834.81166666653</v>
      </c>
      <c r="F101" s="159">
        <f>SUM(F93:F100)</f>
        <v>1154034.7683333335</v>
      </c>
      <c r="G101" s="159">
        <f>SUM(G93:G100)</f>
        <v>1956869.5799999998</v>
      </c>
      <c r="H101" s="159">
        <f>SUM(H93:H100)</f>
        <v>-281682.67715000012</v>
      </c>
      <c r="I101" s="160"/>
      <c r="J101" s="161"/>
    </row>
    <row r="102" spans="1:10" ht="28.8" outlineLevel="2" x14ac:dyDescent="0.3">
      <c r="A102" s="151" t="s">
        <v>16</v>
      </c>
      <c r="B102" s="152" t="s">
        <v>21</v>
      </c>
      <c r="C102" s="152" t="s">
        <v>74</v>
      </c>
      <c r="D102" s="153">
        <v>1338002.9220000003</v>
      </c>
      <c r="E102" s="153">
        <v>7579.2400000000007</v>
      </c>
      <c r="F102" s="153">
        <v>1330423.9310000001</v>
      </c>
      <c r="G102" s="153">
        <f t="shared" ref="G102:G110" si="6">E102+F102</f>
        <v>1338003.1710000001</v>
      </c>
      <c r="H102" s="153">
        <f t="shared" ref="H102:H110" si="7">G102-D102</f>
        <v>0.24899999983608723</v>
      </c>
      <c r="I102" s="162" t="s">
        <v>168</v>
      </c>
      <c r="J102" s="163" t="s">
        <v>63</v>
      </c>
    </row>
    <row r="103" spans="1:10" ht="28.8" outlineLevel="2" x14ac:dyDescent="0.3">
      <c r="A103" s="151" t="s">
        <v>16</v>
      </c>
      <c r="B103" s="152" t="s">
        <v>21</v>
      </c>
      <c r="C103" s="152" t="s">
        <v>169</v>
      </c>
      <c r="D103" s="153">
        <v>5250</v>
      </c>
      <c r="E103" s="153">
        <v>0</v>
      </c>
      <c r="F103" s="153">
        <v>5250</v>
      </c>
      <c r="G103" s="153">
        <f t="shared" si="6"/>
        <v>5250</v>
      </c>
      <c r="H103" s="153">
        <f t="shared" si="7"/>
        <v>0</v>
      </c>
      <c r="I103" s="162" t="s">
        <v>170</v>
      </c>
      <c r="J103" s="163" t="s">
        <v>63</v>
      </c>
    </row>
    <row r="104" spans="1:10" ht="28.8" outlineLevel="2" x14ac:dyDescent="0.3">
      <c r="A104" s="151" t="s">
        <v>16</v>
      </c>
      <c r="B104" s="152" t="s">
        <v>21</v>
      </c>
      <c r="C104" s="152" t="s">
        <v>171</v>
      </c>
      <c r="D104" s="153">
        <v>27790.5285</v>
      </c>
      <c r="E104" s="153">
        <v>0</v>
      </c>
      <c r="F104" s="153">
        <v>27791</v>
      </c>
      <c r="G104" s="153">
        <f t="shared" si="6"/>
        <v>27791</v>
      </c>
      <c r="H104" s="153">
        <f t="shared" si="7"/>
        <v>0.47149999999965075</v>
      </c>
      <c r="I104" s="162" t="s">
        <v>172</v>
      </c>
      <c r="J104" s="163" t="s">
        <v>63</v>
      </c>
    </row>
    <row r="105" spans="1:10" ht="43.2" outlineLevel="2" x14ac:dyDescent="0.3">
      <c r="A105" s="151" t="s">
        <v>16</v>
      </c>
      <c r="B105" s="152" t="s">
        <v>21</v>
      </c>
      <c r="C105" s="152" t="s">
        <v>91</v>
      </c>
      <c r="D105" s="153">
        <v>3052298</v>
      </c>
      <c r="E105" s="153">
        <v>1263122.23</v>
      </c>
      <c r="F105" s="153">
        <v>2113806.3666666667</v>
      </c>
      <c r="G105" s="153">
        <f t="shared" si="6"/>
        <v>3376928.5966666667</v>
      </c>
      <c r="H105" s="153">
        <f t="shared" si="7"/>
        <v>324630.59666666668</v>
      </c>
      <c r="I105" s="170" t="s">
        <v>173</v>
      </c>
      <c r="J105" s="168" t="s">
        <v>50</v>
      </c>
    </row>
    <row r="106" spans="1:10" ht="28.8" outlineLevel="2" x14ac:dyDescent="0.3">
      <c r="A106" s="151" t="s">
        <v>16</v>
      </c>
      <c r="B106" s="152" t="s">
        <v>21</v>
      </c>
      <c r="C106" s="152" t="s">
        <v>174</v>
      </c>
      <c r="D106" s="153">
        <v>307613.80000000005</v>
      </c>
      <c r="E106" s="153">
        <v>124541.66666666666</v>
      </c>
      <c r="F106" s="153">
        <v>181125</v>
      </c>
      <c r="G106" s="153">
        <f t="shared" si="6"/>
        <v>305666.66666666663</v>
      </c>
      <c r="H106" s="153">
        <f t="shared" si="7"/>
        <v>-1947.1333333334187</v>
      </c>
      <c r="I106" s="156" t="s">
        <v>175</v>
      </c>
      <c r="J106" s="155" t="s">
        <v>46</v>
      </c>
    </row>
    <row r="107" spans="1:10" ht="43.2" outlineLevel="2" x14ac:dyDescent="0.3">
      <c r="A107" s="151" t="s">
        <v>16</v>
      </c>
      <c r="B107" s="152" t="s">
        <v>21</v>
      </c>
      <c r="C107" s="152" t="s">
        <v>119</v>
      </c>
      <c r="D107" s="153">
        <v>453011.9645</v>
      </c>
      <c r="E107" s="153">
        <v>209854.97916666663</v>
      </c>
      <c r="F107" s="153">
        <v>343788.93949999998</v>
      </c>
      <c r="G107" s="153">
        <f t="shared" si="6"/>
        <v>553643.91866666661</v>
      </c>
      <c r="H107" s="153">
        <f t="shared" si="7"/>
        <v>100631.9541666666</v>
      </c>
      <c r="I107" s="167" t="s">
        <v>176</v>
      </c>
      <c r="J107" s="168" t="s">
        <v>50</v>
      </c>
    </row>
    <row r="108" spans="1:10" ht="28.8" outlineLevel="2" x14ac:dyDescent="0.3">
      <c r="A108" s="151" t="s">
        <v>16</v>
      </c>
      <c r="B108" s="152" t="s">
        <v>21</v>
      </c>
      <c r="C108" s="152" t="s">
        <v>73</v>
      </c>
      <c r="D108" s="153">
        <v>0</v>
      </c>
      <c r="E108" s="153">
        <v>0</v>
      </c>
      <c r="F108" s="153">
        <v>0</v>
      </c>
      <c r="G108" s="153">
        <f t="shared" si="6"/>
        <v>0</v>
      </c>
      <c r="H108" s="153">
        <f t="shared" si="7"/>
        <v>0</v>
      </c>
      <c r="I108" s="162" t="s">
        <v>177</v>
      </c>
      <c r="J108" s="163" t="s">
        <v>63</v>
      </c>
    </row>
    <row r="109" spans="1:10" ht="28.8" outlineLevel="2" x14ac:dyDescent="0.3">
      <c r="A109" s="151" t="s">
        <v>16</v>
      </c>
      <c r="B109" s="152" t="s">
        <v>21</v>
      </c>
      <c r="C109" s="152" t="s">
        <v>178</v>
      </c>
      <c r="D109" s="153">
        <v>5407.5</v>
      </c>
      <c r="E109" s="153">
        <v>0</v>
      </c>
      <c r="F109" s="153">
        <v>5407.5</v>
      </c>
      <c r="G109" s="153">
        <f t="shared" si="6"/>
        <v>5407.5</v>
      </c>
      <c r="H109" s="153">
        <f t="shared" si="7"/>
        <v>0</v>
      </c>
      <c r="I109" s="162" t="s">
        <v>62</v>
      </c>
      <c r="J109" s="163" t="s">
        <v>63</v>
      </c>
    </row>
    <row r="110" spans="1:10" ht="28.8" outlineLevel="2" x14ac:dyDescent="0.3">
      <c r="A110" s="151" t="s">
        <v>16</v>
      </c>
      <c r="B110" s="152" t="s">
        <v>21</v>
      </c>
      <c r="C110" s="152" t="s">
        <v>179</v>
      </c>
      <c r="D110" s="153">
        <v>61830</v>
      </c>
      <c r="E110" s="153">
        <v>0</v>
      </c>
      <c r="F110" s="153">
        <v>61830</v>
      </c>
      <c r="G110" s="153">
        <f t="shared" si="6"/>
        <v>61830</v>
      </c>
      <c r="H110" s="153">
        <f t="shared" si="7"/>
        <v>0</v>
      </c>
      <c r="I110" s="162" t="s">
        <v>180</v>
      </c>
      <c r="J110" s="163" t="s">
        <v>63</v>
      </c>
    </row>
    <row r="111" spans="1:10" outlineLevel="1" x14ac:dyDescent="0.3">
      <c r="A111" s="157" t="s">
        <v>16</v>
      </c>
      <c r="B111" s="158" t="s">
        <v>77</v>
      </c>
      <c r="C111" s="158"/>
      <c r="D111" s="159">
        <f>SUM(D102:D110)</f>
        <v>5251204.7149999999</v>
      </c>
      <c r="E111" s="159">
        <f>SUM(E102:E110)</f>
        <v>1605098.1158333332</v>
      </c>
      <c r="F111" s="159">
        <f>SUM(F102:F110)</f>
        <v>4069422.7371666669</v>
      </c>
      <c r="G111" s="159">
        <f>SUM(G102:G110)</f>
        <v>5674520.8530000001</v>
      </c>
      <c r="H111" s="159">
        <f>SUM(H102:H110)</f>
        <v>423316.13799999969</v>
      </c>
      <c r="I111" s="160"/>
      <c r="J111" s="161"/>
    </row>
    <row r="112" spans="1:10" ht="28.8" outlineLevel="2" x14ac:dyDescent="0.3">
      <c r="A112" s="151" t="s">
        <v>16</v>
      </c>
      <c r="B112" s="152" t="s">
        <v>22</v>
      </c>
      <c r="C112" s="152" t="s">
        <v>181</v>
      </c>
      <c r="D112" s="153">
        <v>1778445.9000000001</v>
      </c>
      <c r="E112" s="153">
        <v>776946.67499999993</v>
      </c>
      <c r="F112" s="153">
        <v>1087725.345</v>
      </c>
      <c r="G112" s="153">
        <f t="shared" ref="G112:G122" si="8">E112+F112</f>
        <v>1864672.02</v>
      </c>
      <c r="H112" s="153">
        <f t="shared" ref="H112:H122" si="9">G112-D112</f>
        <v>86226.119999999879</v>
      </c>
      <c r="I112" s="167" t="s">
        <v>182</v>
      </c>
      <c r="J112" s="168" t="s">
        <v>50</v>
      </c>
    </row>
    <row r="113" spans="1:10" ht="28.8" outlineLevel="2" x14ac:dyDescent="0.3">
      <c r="A113" s="151" t="s">
        <v>16</v>
      </c>
      <c r="B113" s="152" t="s">
        <v>22</v>
      </c>
      <c r="C113" s="152" t="s">
        <v>183</v>
      </c>
      <c r="D113" s="153">
        <v>0</v>
      </c>
      <c r="E113" s="153">
        <v>92000</v>
      </c>
      <c r="F113" s="153">
        <v>10000</v>
      </c>
      <c r="G113" s="153">
        <f t="shared" si="8"/>
        <v>102000</v>
      </c>
      <c r="H113" s="153">
        <f t="shared" si="9"/>
        <v>102000</v>
      </c>
      <c r="I113" s="167" t="s">
        <v>184</v>
      </c>
      <c r="J113" s="168" t="s">
        <v>50</v>
      </c>
    </row>
    <row r="114" spans="1:10" ht="43.2" outlineLevel="2" x14ac:dyDescent="0.3">
      <c r="A114" s="151" t="s">
        <v>16</v>
      </c>
      <c r="B114" s="152" t="s">
        <v>22</v>
      </c>
      <c r="C114" s="152" t="s">
        <v>57</v>
      </c>
      <c r="D114" s="153">
        <v>3617396</v>
      </c>
      <c r="E114" s="153">
        <v>1737038.96</v>
      </c>
      <c r="F114" s="153">
        <v>2336436.4099999997</v>
      </c>
      <c r="G114" s="153">
        <f t="shared" si="8"/>
        <v>4073475.3699999996</v>
      </c>
      <c r="H114" s="153">
        <f t="shared" si="9"/>
        <v>456079.36999999965</v>
      </c>
      <c r="I114" s="167" t="s">
        <v>185</v>
      </c>
      <c r="J114" s="168" t="s">
        <v>50</v>
      </c>
    </row>
    <row r="115" spans="1:10" ht="28.8" outlineLevel="2" x14ac:dyDescent="0.3">
      <c r="A115" s="151" t="s">
        <v>16</v>
      </c>
      <c r="B115" s="152" t="s">
        <v>22</v>
      </c>
      <c r="C115" s="152" t="s">
        <v>186</v>
      </c>
      <c r="D115" s="153">
        <v>14700</v>
      </c>
      <c r="E115" s="153">
        <v>9900</v>
      </c>
      <c r="F115" s="153">
        <v>46050</v>
      </c>
      <c r="G115" s="153">
        <f t="shared" si="8"/>
        <v>55950</v>
      </c>
      <c r="H115" s="153">
        <f t="shared" si="9"/>
        <v>41250</v>
      </c>
      <c r="I115" s="170" t="s">
        <v>187</v>
      </c>
      <c r="J115" s="169" t="s">
        <v>50</v>
      </c>
    </row>
    <row r="116" spans="1:10" ht="28.8" outlineLevel="2" x14ac:dyDescent="0.3">
      <c r="A116" s="151" t="s">
        <v>16</v>
      </c>
      <c r="B116" s="152" t="s">
        <v>22</v>
      </c>
      <c r="C116" s="152" t="s">
        <v>188</v>
      </c>
      <c r="D116" s="153">
        <v>12600</v>
      </c>
      <c r="E116" s="153">
        <v>12000</v>
      </c>
      <c r="F116" s="153">
        <v>0</v>
      </c>
      <c r="G116" s="153">
        <f t="shared" si="8"/>
        <v>12000</v>
      </c>
      <c r="H116" s="153">
        <f t="shared" si="9"/>
        <v>-600</v>
      </c>
      <c r="I116" s="162" t="s">
        <v>189</v>
      </c>
      <c r="J116" s="163" t="s">
        <v>46</v>
      </c>
    </row>
    <row r="117" spans="1:10" ht="43.2" outlineLevel="2" x14ac:dyDescent="0.3">
      <c r="A117" s="151" t="s">
        <v>16</v>
      </c>
      <c r="B117" s="152" t="s">
        <v>22</v>
      </c>
      <c r="C117" s="152" t="s">
        <v>44</v>
      </c>
      <c r="D117" s="153">
        <v>111003</v>
      </c>
      <c r="E117" s="153">
        <v>101291</v>
      </c>
      <c r="F117" s="153">
        <v>14460</v>
      </c>
      <c r="G117" s="153">
        <f t="shared" si="8"/>
        <v>115751</v>
      </c>
      <c r="H117" s="153">
        <f t="shared" si="9"/>
        <v>4748</v>
      </c>
      <c r="I117" s="170" t="s">
        <v>190</v>
      </c>
      <c r="J117" s="169" t="s">
        <v>50</v>
      </c>
    </row>
    <row r="118" spans="1:10" ht="28.8" outlineLevel="2" x14ac:dyDescent="0.3">
      <c r="A118" s="151" t="s">
        <v>16</v>
      </c>
      <c r="B118" s="152" t="s">
        <v>22</v>
      </c>
      <c r="C118" s="152" t="s">
        <v>191</v>
      </c>
      <c r="D118" s="153">
        <v>2751</v>
      </c>
      <c r="E118" s="153">
        <v>3192.75</v>
      </c>
      <c r="F118" s="153">
        <v>0</v>
      </c>
      <c r="G118" s="153">
        <f t="shared" si="8"/>
        <v>3192.75</v>
      </c>
      <c r="H118" s="153">
        <f t="shared" si="9"/>
        <v>441.75</v>
      </c>
      <c r="I118" s="162" t="s">
        <v>192</v>
      </c>
      <c r="J118" s="163" t="s">
        <v>63</v>
      </c>
    </row>
    <row r="119" spans="1:10" ht="43.2" outlineLevel="2" x14ac:dyDescent="0.3">
      <c r="A119" s="151" t="s">
        <v>16</v>
      </c>
      <c r="B119" s="152" t="s">
        <v>22</v>
      </c>
      <c r="C119" s="152" t="s">
        <v>64</v>
      </c>
      <c r="D119" s="153">
        <v>3500000</v>
      </c>
      <c r="E119" s="153">
        <v>1522576.67</v>
      </c>
      <c r="F119" s="153">
        <v>2095744.4133333336</v>
      </c>
      <c r="G119" s="153">
        <f t="shared" si="8"/>
        <v>3618321.0833333335</v>
      </c>
      <c r="H119" s="153">
        <f t="shared" si="9"/>
        <v>118321.08333333349</v>
      </c>
      <c r="I119" s="170" t="s">
        <v>193</v>
      </c>
      <c r="J119" s="169" t="s">
        <v>59</v>
      </c>
    </row>
    <row r="120" spans="1:10" ht="28.8" outlineLevel="2" x14ac:dyDescent="0.3">
      <c r="A120" s="151" t="s">
        <v>16</v>
      </c>
      <c r="B120" s="152" t="s">
        <v>22</v>
      </c>
      <c r="C120" s="152" t="s">
        <v>194</v>
      </c>
      <c r="D120" s="153">
        <v>298544.40000000002</v>
      </c>
      <c r="E120" s="153">
        <v>118470.15416666667</v>
      </c>
      <c r="F120" s="153">
        <v>165858.21583333332</v>
      </c>
      <c r="G120" s="153">
        <f t="shared" si="8"/>
        <v>284328.37</v>
      </c>
      <c r="H120" s="153">
        <f t="shared" si="9"/>
        <v>-14216.030000000028</v>
      </c>
      <c r="I120" s="156" t="s">
        <v>195</v>
      </c>
      <c r="J120" s="155" t="s">
        <v>46</v>
      </c>
    </row>
    <row r="121" spans="1:10" ht="28.8" outlineLevel="2" x14ac:dyDescent="0.3">
      <c r="A121" s="151" t="s">
        <v>16</v>
      </c>
      <c r="B121" s="152" t="s">
        <v>22</v>
      </c>
      <c r="C121" s="152" t="s">
        <v>196</v>
      </c>
      <c r="D121" s="153">
        <v>8435.7000000000007</v>
      </c>
      <c r="E121" s="153">
        <v>0</v>
      </c>
      <c r="F121" s="153">
        <v>8436</v>
      </c>
      <c r="G121" s="153">
        <f t="shared" si="8"/>
        <v>8436</v>
      </c>
      <c r="H121" s="153">
        <f t="shared" si="9"/>
        <v>0.2999999999992724</v>
      </c>
      <c r="I121" s="162" t="s">
        <v>172</v>
      </c>
      <c r="J121" s="163" t="s">
        <v>63</v>
      </c>
    </row>
    <row r="122" spans="1:10" ht="28.8" outlineLevel="2" x14ac:dyDescent="0.3">
      <c r="A122" s="151" t="s">
        <v>16</v>
      </c>
      <c r="B122" s="152" t="s">
        <v>22</v>
      </c>
      <c r="C122" s="152" t="s">
        <v>197</v>
      </c>
      <c r="D122" s="153">
        <v>411547.5</v>
      </c>
      <c r="E122" s="153">
        <v>226822.91666666669</v>
      </c>
      <c r="F122" s="153">
        <v>317552.08333333331</v>
      </c>
      <c r="G122" s="153">
        <f t="shared" si="8"/>
        <v>544375</v>
      </c>
      <c r="H122" s="153">
        <f t="shared" si="9"/>
        <v>132827.5</v>
      </c>
      <c r="I122" s="167" t="s">
        <v>198</v>
      </c>
      <c r="J122" s="168" t="s">
        <v>50</v>
      </c>
    </row>
    <row r="123" spans="1:10" outlineLevel="1" x14ac:dyDescent="0.3">
      <c r="A123" s="157" t="s">
        <v>16</v>
      </c>
      <c r="B123" s="158" t="s">
        <v>66</v>
      </c>
      <c r="C123" s="158"/>
      <c r="D123" s="159">
        <f>SUM(D112:D122)</f>
        <v>9755423.5</v>
      </c>
      <c r="E123" s="159">
        <f>SUM(E112:E122)</f>
        <v>4600239.1258333335</v>
      </c>
      <c r="F123" s="159">
        <f>SUM(F112:F122)</f>
        <v>6082262.4674999993</v>
      </c>
      <c r="G123" s="159">
        <f>SUM(G112:G122)</f>
        <v>10682501.593333332</v>
      </c>
      <c r="H123" s="159">
        <f>SUM(H112:H122)</f>
        <v>927078.09333333303</v>
      </c>
      <c r="I123" s="160"/>
      <c r="J123" s="161"/>
    </row>
    <row r="124" spans="1:10" ht="28.8" outlineLevel="2" x14ac:dyDescent="0.3">
      <c r="A124" s="151" t="s">
        <v>16</v>
      </c>
      <c r="B124" s="152" t="s">
        <v>23</v>
      </c>
      <c r="C124" s="152" t="s">
        <v>199</v>
      </c>
      <c r="D124" s="153">
        <v>1260</v>
      </c>
      <c r="E124" s="153">
        <v>1260</v>
      </c>
      <c r="F124" s="153">
        <v>0</v>
      </c>
      <c r="G124" s="153">
        <f>E124+F124</f>
        <v>1260</v>
      </c>
      <c r="H124" s="153">
        <f>G124-D124</f>
        <v>0</v>
      </c>
      <c r="I124" s="162" t="s">
        <v>200</v>
      </c>
      <c r="J124" s="163" t="s">
        <v>63</v>
      </c>
    </row>
    <row r="125" spans="1:10" ht="28.8" outlineLevel="2" x14ac:dyDescent="0.3">
      <c r="A125" s="151" t="s">
        <v>16</v>
      </c>
      <c r="B125" s="152" t="s">
        <v>23</v>
      </c>
      <c r="C125" s="152" t="s">
        <v>201</v>
      </c>
      <c r="D125" s="153">
        <v>39305.700000000004</v>
      </c>
      <c r="E125" s="153">
        <v>2808</v>
      </c>
      <c r="F125" s="153">
        <v>36498</v>
      </c>
      <c r="G125" s="153">
        <f>E125+F125</f>
        <v>39306</v>
      </c>
      <c r="H125" s="153">
        <f>G125-D125</f>
        <v>0.29999999999563443</v>
      </c>
      <c r="I125" s="162" t="s">
        <v>172</v>
      </c>
      <c r="J125" s="163" t="s">
        <v>63</v>
      </c>
    </row>
    <row r="126" spans="1:10" ht="28.8" outlineLevel="2" x14ac:dyDescent="0.3">
      <c r="A126" s="151" t="s">
        <v>16</v>
      </c>
      <c r="B126" s="152" t="s">
        <v>23</v>
      </c>
      <c r="C126" s="152" t="s">
        <v>202</v>
      </c>
      <c r="D126" s="153">
        <v>174825</v>
      </c>
      <c r="E126" s="153">
        <v>72843.75</v>
      </c>
      <c r="F126" s="153">
        <v>101981.25</v>
      </c>
      <c r="G126" s="153">
        <f>E126+F126</f>
        <v>174825</v>
      </c>
      <c r="H126" s="153">
        <f>G126-D126</f>
        <v>0</v>
      </c>
      <c r="I126" s="162" t="s">
        <v>62</v>
      </c>
      <c r="J126" s="163" t="s">
        <v>63</v>
      </c>
    </row>
    <row r="127" spans="1:10" outlineLevel="1" x14ac:dyDescent="0.3">
      <c r="A127" s="157" t="s">
        <v>16</v>
      </c>
      <c r="B127" s="158" t="s">
        <v>68</v>
      </c>
      <c r="C127" s="158"/>
      <c r="D127" s="159">
        <f>SUM(D124:D126)</f>
        <v>215390.7</v>
      </c>
      <c r="E127" s="159">
        <f>SUM(E124:E126)</f>
        <v>76911.75</v>
      </c>
      <c r="F127" s="159">
        <f>SUM(F124:F126)</f>
        <v>138479.25</v>
      </c>
      <c r="G127" s="159">
        <f>SUM(G124:G126)</f>
        <v>215391</v>
      </c>
      <c r="H127" s="159">
        <f>SUM(H124:H126)</f>
        <v>0.29999999999563443</v>
      </c>
      <c r="I127" s="160"/>
      <c r="J127" s="161"/>
    </row>
    <row r="128" spans="1:10" ht="28.8" outlineLevel="2" x14ac:dyDescent="0.3">
      <c r="A128" s="151" t="s">
        <v>16</v>
      </c>
      <c r="B128" s="152" t="s">
        <v>24</v>
      </c>
      <c r="C128" s="152" t="s">
        <v>203</v>
      </c>
      <c r="D128" s="153">
        <v>1211114.9924999999</v>
      </c>
      <c r="E128" s="153">
        <v>635699.3433333335</v>
      </c>
      <c r="F128" s="153">
        <v>575415.35666666669</v>
      </c>
      <c r="G128" s="153">
        <f>E128+F128</f>
        <v>1211114.7000000002</v>
      </c>
      <c r="H128" s="153">
        <f>G128-D128</f>
        <v>-0.2924999997485429</v>
      </c>
      <c r="I128" s="162" t="s">
        <v>62</v>
      </c>
      <c r="J128" s="163" t="s">
        <v>63</v>
      </c>
    </row>
    <row r="129" spans="1:10" ht="28.8" outlineLevel="2" x14ac:dyDescent="0.3">
      <c r="A129" s="151" t="s">
        <v>16</v>
      </c>
      <c r="B129" s="152" t="s">
        <v>24</v>
      </c>
      <c r="C129" s="152" t="s">
        <v>204</v>
      </c>
      <c r="D129" s="153">
        <v>238897.86250000002</v>
      </c>
      <c r="E129" s="153">
        <v>0</v>
      </c>
      <c r="F129" s="153">
        <v>232868.65</v>
      </c>
      <c r="G129" s="153">
        <f>E129+F129</f>
        <v>232868.65</v>
      </c>
      <c r="H129" s="153">
        <f>G129-D129</f>
        <v>-6029.2125000000233</v>
      </c>
      <c r="I129" s="156" t="s">
        <v>205</v>
      </c>
      <c r="J129" s="155" t="s">
        <v>43</v>
      </c>
    </row>
    <row r="130" spans="1:10" ht="28.8" outlineLevel="2" x14ac:dyDescent="0.3">
      <c r="A130" s="151" t="s">
        <v>16</v>
      </c>
      <c r="B130" s="152" t="s">
        <v>24</v>
      </c>
      <c r="C130" s="152" t="s">
        <v>206</v>
      </c>
      <c r="D130" s="153">
        <v>160000</v>
      </c>
      <c r="E130" s="153">
        <v>62500</v>
      </c>
      <c r="F130" s="153">
        <v>97500</v>
      </c>
      <c r="G130" s="153">
        <f>E130+F130</f>
        <v>160000</v>
      </c>
      <c r="H130" s="153">
        <f>G130-D130</f>
        <v>0</v>
      </c>
      <c r="I130" s="162" t="s">
        <v>207</v>
      </c>
      <c r="J130" s="163" t="s">
        <v>63</v>
      </c>
    </row>
    <row r="131" spans="1:10" ht="28.8" outlineLevel="2" x14ac:dyDescent="0.3">
      <c r="A131" s="151" t="s">
        <v>16</v>
      </c>
      <c r="B131" s="152" t="s">
        <v>24</v>
      </c>
      <c r="C131" s="152" t="s">
        <v>208</v>
      </c>
      <c r="D131" s="153">
        <v>175245.90000000002</v>
      </c>
      <c r="E131" s="153">
        <v>57666.666666666672</v>
      </c>
      <c r="F131" s="153">
        <v>117579.65</v>
      </c>
      <c r="G131" s="153">
        <f>E131+F131</f>
        <v>175246.31666666665</v>
      </c>
      <c r="H131" s="153">
        <f>G131-D131</f>
        <v>0.41666666662786156</v>
      </c>
      <c r="I131" s="156" t="s">
        <v>209</v>
      </c>
      <c r="J131" s="155" t="s">
        <v>43</v>
      </c>
    </row>
    <row r="132" spans="1:10" outlineLevel="1" x14ac:dyDescent="0.3">
      <c r="A132" s="157" t="s">
        <v>16</v>
      </c>
      <c r="B132" s="158" t="s">
        <v>144</v>
      </c>
      <c r="C132" s="158"/>
      <c r="D132" s="159">
        <f>SUM(D128:D131)</f>
        <v>1785258.7549999999</v>
      </c>
      <c r="E132" s="159">
        <f>SUM(E128:E131)</f>
        <v>755866.01000000013</v>
      </c>
      <c r="F132" s="159">
        <f>SUM(F128:F131)</f>
        <v>1023363.6566666667</v>
      </c>
      <c r="G132" s="159">
        <f>SUM(G128:G131)</f>
        <v>1779229.6666666667</v>
      </c>
      <c r="H132" s="159">
        <f>SUM(H128:H131)</f>
        <v>-6029.088333333144</v>
      </c>
      <c r="I132" s="160"/>
      <c r="J132" s="161"/>
    </row>
    <row r="133" spans="1:10" ht="28.8" outlineLevel="2" x14ac:dyDescent="0.3">
      <c r="A133" s="151" t="s">
        <v>16</v>
      </c>
      <c r="B133" s="152" t="s">
        <v>25</v>
      </c>
      <c r="C133" s="152" t="s">
        <v>210</v>
      </c>
      <c r="D133" s="153">
        <v>50400</v>
      </c>
      <c r="E133" s="153">
        <v>0</v>
      </c>
      <c r="F133" s="153">
        <v>50400</v>
      </c>
      <c r="G133" s="153">
        <f t="shared" ref="G133:G145" si="10">E133+F133</f>
        <v>50400</v>
      </c>
      <c r="H133" s="153">
        <f t="shared" ref="H133:H145" si="11">G133-D133</f>
        <v>0</v>
      </c>
      <c r="I133" s="162" t="s">
        <v>62</v>
      </c>
      <c r="J133" s="163" t="s">
        <v>63</v>
      </c>
    </row>
    <row r="134" spans="1:10" ht="28.8" outlineLevel="2" x14ac:dyDescent="0.3">
      <c r="A134" s="151" t="s">
        <v>16</v>
      </c>
      <c r="B134" s="152" t="s">
        <v>25</v>
      </c>
      <c r="C134" s="152" t="s">
        <v>125</v>
      </c>
      <c r="D134" s="153">
        <v>99225</v>
      </c>
      <c r="E134" s="153">
        <v>40500</v>
      </c>
      <c r="F134" s="153">
        <v>58725</v>
      </c>
      <c r="G134" s="153">
        <f t="shared" si="10"/>
        <v>99225</v>
      </c>
      <c r="H134" s="153">
        <f t="shared" si="11"/>
        <v>0</v>
      </c>
      <c r="I134" s="162" t="s">
        <v>62</v>
      </c>
      <c r="J134" s="163" t="s">
        <v>63</v>
      </c>
    </row>
    <row r="135" spans="1:10" ht="28.8" outlineLevel="2" x14ac:dyDescent="0.3">
      <c r="A135" s="151" t="s">
        <v>16</v>
      </c>
      <c r="B135" s="152" t="s">
        <v>25</v>
      </c>
      <c r="C135" s="152" t="s">
        <v>74</v>
      </c>
      <c r="D135" s="153">
        <v>2512</v>
      </c>
      <c r="E135" s="153">
        <v>8136.97</v>
      </c>
      <c r="F135" s="153">
        <v>0</v>
      </c>
      <c r="G135" s="153">
        <f t="shared" si="10"/>
        <v>8136.97</v>
      </c>
      <c r="H135" s="153">
        <f t="shared" si="11"/>
        <v>5624.97</v>
      </c>
      <c r="I135" s="170" t="s">
        <v>211</v>
      </c>
      <c r="J135" s="169" t="s">
        <v>50</v>
      </c>
    </row>
    <row r="136" spans="1:10" ht="28.8" outlineLevel="2" x14ac:dyDescent="0.3">
      <c r="A136" s="151" t="s">
        <v>16</v>
      </c>
      <c r="B136" s="152" t="s">
        <v>25</v>
      </c>
      <c r="C136" s="152" t="s">
        <v>212</v>
      </c>
      <c r="D136" s="153">
        <v>32760</v>
      </c>
      <c r="E136" s="153">
        <v>0</v>
      </c>
      <c r="F136" s="153">
        <v>32760</v>
      </c>
      <c r="G136" s="153">
        <f t="shared" si="10"/>
        <v>32760</v>
      </c>
      <c r="H136" s="153">
        <f t="shared" si="11"/>
        <v>0</v>
      </c>
      <c r="I136" s="162" t="s">
        <v>62</v>
      </c>
      <c r="J136" s="163" t="s">
        <v>63</v>
      </c>
    </row>
    <row r="137" spans="1:10" ht="28.8" outlineLevel="2" x14ac:dyDescent="0.3">
      <c r="A137" s="151" t="s">
        <v>16</v>
      </c>
      <c r="B137" s="152" t="s">
        <v>25</v>
      </c>
      <c r="C137" s="152" t="s">
        <v>213</v>
      </c>
      <c r="D137" s="153">
        <v>3150</v>
      </c>
      <c r="E137" s="153">
        <v>0</v>
      </c>
      <c r="F137" s="153">
        <v>3150</v>
      </c>
      <c r="G137" s="153">
        <f t="shared" si="10"/>
        <v>3150</v>
      </c>
      <c r="H137" s="153">
        <f t="shared" si="11"/>
        <v>0</v>
      </c>
      <c r="I137" s="162" t="s">
        <v>62</v>
      </c>
      <c r="J137" s="163" t="s">
        <v>63</v>
      </c>
    </row>
    <row r="138" spans="1:10" ht="28.8" outlineLevel="2" x14ac:dyDescent="0.3">
      <c r="A138" s="151" t="s">
        <v>16</v>
      </c>
      <c r="B138" s="152" t="s">
        <v>25</v>
      </c>
      <c r="C138" s="152" t="s">
        <v>214</v>
      </c>
      <c r="D138" s="153">
        <v>48934</v>
      </c>
      <c r="E138" s="153">
        <v>8895</v>
      </c>
      <c r="F138" s="153">
        <v>40037</v>
      </c>
      <c r="G138" s="153">
        <f t="shared" si="10"/>
        <v>48932</v>
      </c>
      <c r="H138" s="153">
        <f t="shared" si="11"/>
        <v>-2</v>
      </c>
      <c r="I138" s="162" t="s">
        <v>62</v>
      </c>
      <c r="J138" s="163" t="s">
        <v>63</v>
      </c>
    </row>
    <row r="139" spans="1:10" ht="28.8" outlineLevel="2" x14ac:dyDescent="0.3">
      <c r="A139" s="151" t="s">
        <v>16</v>
      </c>
      <c r="B139" s="152" t="s">
        <v>25</v>
      </c>
      <c r="C139" s="152" t="s">
        <v>215</v>
      </c>
      <c r="D139" s="153">
        <v>90000</v>
      </c>
      <c r="E139" s="153">
        <v>0</v>
      </c>
      <c r="F139" s="153">
        <v>90000</v>
      </c>
      <c r="G139" s="153">
        <f t="shared" si="10"/>
        <v>90000</v>
      </c>
      <c r="H139" s="153">
        <f t="shared" si="11"/>
        <v>0</v>
      </c>
      <c r="I139" s="162" t="s">
        <v>62</v>
      </c>
      <c r="J139" s="163" t="s">
        <v>63</v>
      </c>
    </row>
    <row r="140" spans="1:10" ht="28.8" outlineLevel="2" x14ac:dyDescent="0.3">
      <c r="A140" s="151" t="s">
        <v>16</v>
      </c>
      <c r="B140" s="152" t="s">
        <v>25</v>
      </c>
      <c r="C140" s="152" t="s">
        <v>216</v>
      </c>
      <c r="D140" s="153">
        <v>2594.5500000000002</v>
      </c>
      <c r="E140" s="153">
        <v>0</v>
      </c>
      <c r="F140" s="153">
        <v>2595</v>
      </c>
      <c r="G140" s="153">
        <f t="shared" si="10"/>
        <v>2595</v>
      </c>
      <c r="H140" s="153">
        <f t="shared" si="11"/>
        <v>0.4499999999998181</v>
      </c>
      <c r="I140" s="162" t="s">
        <v>172</v>
      </c>
      <c r="J140" s="163" t="s">
        <v>63</v>
      </c>
    </row>
    <row r="141" spans="1:10" ht="28.8" outlineLevel="2" x14ac:dyDescent="0.3">
      <c r="A141" s="151" t="s">
        <v>16</v>
      </c>
      <c r="B141" s="152" t="s">
        <v>25</v>
      </c>
      <c r="C141" s="152" t="s">
        <v>217</v>
      </c>
      <c r="D141" s="153">
        <v>100000</v>
      </c>
      <c r="E141" s="153">
        <v>0</v>
      </c>
      <c r="F141" s="153">
        <v>113850</v>
      </c>
      <c r="G141" s="153">
        <f t="shared" si="10"/>
        <v>113850</v>
      </c>
      <c r="H141" s="153">
        <f t="shared" si="11"/>
        <v>13850</v>
      </c>
      <c r="I141" s="170" t="s">
        <v>218</v>
      </c>
      <c r="J141" s="169" t="s">
        <v>50</v>
      </c>
    </row>
    <row r="142" spans="1:10" ht="28.8" outlineLevel="2" x14ac:dyDescent="0.3">
      <c r="A142" s="151" t="s">
        <v>16</v>
      </c>
      <c r="B142" s="152" t="s">
        <v>25</v>
      </c>
      <c r="C142" s="152" t="s">
        <v>219</v>
      </c>
      <c r="D142" s="153">
        <v>72888.816000000006</v>
      </c>
      <c r="E142" s="153">
        <v>69417.919999999998</v>
      </c>
      <c r="F142" s="153">
        <v>0</v>
      </c>
      <c r="G142" s="153">
        <f t="shared" si="10"/>
        <v>69417.919999999998</v>
      </c>
      <c r="H142" s="153">
        <f t="shared" si="11"/>
        <v>-3470.8960000000079</v>
      </c>
      <c r="I142" s="156" t="s">
        <v>220</v>
      </c>
      <c r="J142" s="155" t="s">
        <v>46</v>
      </c>
    </row>
    <row r="143" spans="1:10" ht="28.8" outlineLevel="2" x14ac:dyDescent="0.3">
      <c r="A143" s="151" t="s">
        <v>16</v>
      </c>
      <c r="B143" s="152" t="s">
        <v>25</v>
      </c>
      <c r="C143" s="152" t="s">
        <v>221</v>
      </c>
      <c r="D143" s="153">
        <v>139031.20000000001</v>
      </c>
      <c r="E143" s="153">
        <v>56980</v>
      </c>
      <c r="F143" s="153">
        <v>82051.666666666672</v>
      </c>
      <c r="G143" s="153">
        <f t="shared" si="10"/>
        <v>139031.66666666669</v>
      </c>
      <c r="H143" s="153">
        <f t="shared" si="11"/>
        <v>0.46666666667442769</v>
      </c>
      <c r="I143" s="162" t="s">
        <v>172</v>
      </c>
      <c r="J143" s="163" t="s">
        <v>63</v>
      </c>
    </row>
    <row r="144" spans="1:10" outlineLevel="2" x14ac:dyDescent="0.3">
      <c r="A144" s="151" t="s">
        <v>16</v>
      </c>
      <c r="B144" s="152" t="s">
        <v>25</v>
      </c>
      <c r="C144" s="152" t="s">
        <v>222</v>
      </c>
      <c r="D144" s="153">
        <v>70432.698000000004</v>
      </c>
      <c r="E144" s="153">
        <v>878.21</v>
      </c>
      <c r="F144" s="153">
        <v>69432.698000000004</v>
      </c>
      <c r="G144" s="153">
        <f t="shared" si="10"/>
        <v>70310.90800000001</v>
      </c>
      <c r="H144" s="153">
        <f t="shared" si="11"/>
        <v>-121.7899999999936</v>
      </c>
      <c r="I144" s="162" t="s">
        <v>223</v>
      </c>
      <c r="J144" s="163" t="s">
        <v>43</v>
      </c>
    </row>
    <row r="145" spans="1:10" ht="28.8" outlineLevel="2" x14ac:dyDescent="0.3">
      <c r="A145" s="151" t="s">
        <v>16</v>
      </c>
      <c r="B145" s="152" t="s">
        <v>25</v>
      </c>
      <c r="C145" s="152" t="s">
        <v>224</v>
      </c>
      <c r="D145" s="153">
        <v>440671.35000000003</v>
      </c>
      <c r="E145" s="153">
        <v>108702.6</v>
      </c>
      <c r="F145" s="153">
        <v>331968.40000000002</v>
      </c>
      <c r="G145" s="153">
        <f t="shared" si="10"/>
        <v>440671</v>
      </c>
      <c r="H145" s="153">
        <f t="shared" si="11"/>
        <v>-0.3500000000349246</v>
      </c>
      <c r="I145" s="162" t="s">
        <v>172</v>
      </c>
      <c r="J145" s="163" t="s">
        <v>63</v>
      </c>
    </row>
    <row r="146" spans="1:10" outlineLevel="1" x14ac:dyDescent="0.3">
      <c r="A146" s="157" t="s">
        <v>16</v>
      </c>
      <c r="B146" s="158" t="s">
        <v>71</v>
      </c>
      <c r="C146" s="158"/>
      <c r="D146" s="159">
        <f>SUM(D133:D145)</f>
        <v>1152599.6140000001</v>
      </c>
      <c r="E146" s="159">
        <f>SUM(E133:E145)</f>
        <v>293510.7</v>
      </c>
      <c r="F146" s="159">
        <f>SUM(F133:F145)</f>
        <v>874969.76466666674</v>
      </c>
      <c r="G146" s="159">
        <f>SUM(G133:G145)</f>
        <v>1168480.4646666667</v>
      </c>
      <c r="H146" s="159">
        <f>SUM(H133:H145)</f>
        <v>15880.850666666636</v>
      </c>
      <c r="I146" s="160"/>
      <c r="J146" s="161"/>
    </row>
    <row r="147" spans="1:10" x14ac:dyDescent="0.3">
      <c r="A147" s="171" t="s">
        <v>225</v>
      </c>
      <c r="B147" s="172"/>
      <c r="C147" s="172"/>
      <c r="D147" s="173">
        <f>SUM(D101,D111,D123,D127,D132,D146)</f>
        <v>20398429.541149996</v>
      </c>
      <c r="E147" s="173">
        <f>SUM(E101,E111,E123,E127,E132,E146)</f>
        <v>8134460.5133333327</v>
      </c>
      <c r="F147" s="173">
        <f>SUM(F101,F111,F123,F127,F132,F146)</f>
        <v>13342532.644333333</v>
      </c>
      <c r="G147" s="173">
        <f>SUM(G101,G111,G123,G127,G132,G146)</f>
        <v>21476993.157666668</v>
      </c>
      <c r="H147" s="173">
        <f>SUM(H101,H111,H123,H127,H132,H146)</f>
        <v>1078563.6165166663</v>
      </c>
      <c r="I147" s="174"/>
      <c r="J147" s="175"/>
    </row>
    <row r="149" spans="1:10" x14ac:dyDescent="0.3">
      <c r="D149" s="176">
        <f>SUM(D147,D92,D73,D59,D42,D21,D15)</f>
        <v>44788397.956149995</v>
      </c>
      <c r="E149" s="176">
        <f t="shared" ref="E149:H149" si="12">SUM(E147,E92,E73,E59,E42,E21,E15)</f>
        <v>17444836.636733335</v>
      </c>
      <c r="F149" s="176">
        <f t="shared" si="12"/>
        <v>28731180.496833332</v>
      </c>
      <c r="G149" s="176">
        <f t="shared" si="12"/>
        <v>46176017.13356667</v>
      </c>
      <c r="H149" s="176">
        <f t="shared" si="12"/>
        <v>1387619.1774166673</v>
      </c>
    </row>
    <row r="151" spans="1:10" x14ac:dyDescent="0.3">
      <c r="B151" s="177"/>
    </row>
    <row r="152" spans="1:10" x14ac:dyDescent="0.3">
      <c r="B152" s="177"/>
    </row>
  </sheetData>
  <autoFilter ref="A1:O152" xr:uid="{D1E03DB6-5375-4A68-B640-A8140BFCB75E}"/>
  <conditionalFormatting sqref="I2:I43 I45:I67 I69:I149">
    <cfRule type="expression" dxfId="30" priority="1">
      <formula>$J2="Hard Opportunity"</formula>
    </cfRule>
    <cfRule type="expression" dxfId="29" priority="2">
      <formula>$J2="Hard Risk"</formula>
    </cfRule>
    <cfRule type="expression" dxfId="28" priority="3">
      <formula>$J2="Soft Opportunity"</formula>
    </cfRule>
    <cfRule type="expression" dxfId="27" priority="4">
      <formula>$J2="Soft Risk"</formula>
    </cfRule>
  </conditionalFormatting>
  <conditionalFormatting sqref="J2:J149">
    <cfRule type="expression" dxfId="26" priority="5">
      <formula>$J2="Hard Opportunity"</formula>
    </cfRule>
    <cfRule type="expression" dxfId="25" priority="6">
      <formula>$J2="Hard Risk"</formula>
    </cfRule>
    <cfRule type="expression" dxfId="24" priority="7">
      <formula>$J2="Soft Opportunity"</formula>
    </cfRule>
    <cfRule type="expression" dxfId="23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B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RowHeight="14.4" x14ac:dyDescent="0.3"/>
  <cols>
    <col min="1" max="1" width="21.77734375" bestFit="1" customWidth="1"/>
    <col min="2" max="2" width="8.5546875" bestFit="1" customWidth="1"/>
    <col min="3" max="3" width="12.33203125" bestFit="1" customWidth="1"/>
    <col min="4" max="4" width="18" bestFit="1" customWidth="1"/>
    <col min="5" max="6" width="12.6640625" bestFit="1" customWidth="1"/>
    <col min="7" max="7" width="19" bestFit="1" customWidth="1"/>
    <col min="8" max="9" width="12.6640625" bestFit="1" customWidth="1"/>
    <col min="10" max="10" width="19" bestFit="1" customWidth="1"/>
    <col min="11" max="11" width="12.44140625" bestFit="1" customWidth="1"/>
    <col min="12" max="12" width="12.5546875" bestFit="1" customWidth="1"/>
    <col min="13" max="13" width="18.6640625" bestFit="1" customWidth="1"/>
    <col min="14" max="14" width="12.88671875" bestFit="1" customWidth="1"/>
    <col min="15" max="15" width="13.109375" bestFit="1" customWidth="1"/>
    <col min="16" max="16" width="19.33203125" bestFit="1" customWidth="1"/>
  </cols>
  <sheetData>
    <row r="1" spans="1:2" x14ac:dyDescent="0.3">
      <c r="A1" s="8" t="s">
        <v>18</v>
      </c>
      <c r="B1" t="s">
        <v>15</v>
      </c>
    </row>
    <row r="3" spans="1:2" x14ac:dyDescent="0.3">
      <c r="A3" s="8" t="s">
        <v>9</v>
      </c>
    </row>
    <row r="4" spans="1:2" x14ac:dyDescent="0.3">
      <c r="A4" s="8" t="s">
        <v>226</v>
      </c>
      <c r="B4" t="s">
        <v>227</v>
      </c>
    </row>
    <row r="5" spans="1:2" x14ac:dyDescent="0.3">
      <c r="A5" t="s">
        <v>228</v>
      </c>
      <c r="B5" s="142">
        <v>-0.38999999966472387</v>
      </c>
    </row>
    <row r="6" spans="1:2" x14ac:dyDescent="0.3">
      <c r="A6" t="s">
        <v>229</v>
      </c>
      <c r="B6" s="142">
        <v>-29778.150000000023</v>
      </c>
    </row>
    <row r="7" spans="1:2" x14ac:dyDescent="0.3">
      <c r="A7" t="s">
        <v>230</v>
      </c>
      <c r="B7" s="142">
        <v>0</v>
      </c>
    </row>
    <row r="8" spans="1:2" x14ac:dyDescent="0.3">
      <c r="A8" t="s">
        <v>231</v>
      </c>
      <c r="B8" s="142">
        <v>-1820.9400000000005</v>
      </c>
    </row>
    <row r="9" spans="1:2" x14ac:dyDescent="0.3">
      <c r="A9" t="s">
        <v>232</v>
      </c>
      <c r="B9" s="142">
        <v>0</v>
      </c>
    </row>
    <row r="10" spans="1:2" x14ac:dyDescent="0.3">
      <c r="A10" t="s">
        <v>233</v>
      </c>
      <c r="B10" s="142">
        <v>15889.699999999993</v>
      </c>
    </row>
    <row r="11" spans="1:2" x14ac:dyDescent="0.3">
      <c r="A11" t="s">
        <v>17</v>
      </c>
      <c r="B11" s="142">
        <v>-15709.779999999697</v>
      </c>
    </row>
    <row r="12" spans="1:2" ht="15" thickBot="1" x14ac:dyDescent="0.35"/>
    <row r="13" spans="1:2" ht="14.4" customHeight="1" x14ac:dyDescent="0.3"/>
    <row r="15" spans="1:2" ht="15" thickBo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9"/>
  <sheetViews>
    <sheetView zoomScaleNormal="100" workbookViewId="0">
      <pane xSplit="2" ySplit="1" topLeftCell="C101" activePane="bottomRight" state="frozen"/>
      <selection pane="topRight" activeCell="C1" sqref="C1"/>
      <selection pane="bottomLeft" activeCell="A2" sqref="A2"/>
      <selection pane="bottomRight"/>
    </sheetView>
  </sheetViews>
  <sheetFormatPr defaultColWidth="8.88671875" defaultRowHeight="14.4" x14ac:dyDescent="0.3"/>
  <cols>
    <col min="1" max="1" width="19.44140625" bestFit="1" customWidth="1"/>
    <col min="2" max="2" width="42.664062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33203125" customWidth="1"/>
    <col min="12" max="12" width="12.6640625" customWidth="1"/>
    <col min="13" max="14" width="17.6640625" customWidth="1"/>
    <col min="15" max="15" width="18.33203125" customWidth="1"/>
    <col min="16" max="16" width="34.3320312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3320312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664062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3320312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664062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0</v>
      </c>
      <c r="B1" s="23" t="s">
        <v>33</v>
      </c>
      <c r="C1" s="23" t="s">
        <v>234</v>
      </c>
      <c r="D1" s="23" t="s">
        <v>226</v>
      </c>
      <c r="E1" s="23" t="s">
        <v>235</v>
      </c>
      <c r="F1" s="23" t="s">
        <v>236</v>
      </c>
      <c r="G1" s="23" t="s">
        <v>30</v>
      </c>
      <c r="H1" s="24" t="s">
        <v>237</v>
      </c>
      <c r="I1" s="24" t="s">
        <v>238</v>
      </c>
      <c r="J1" s="24" t="s">
        <v>239</v>
      </c>
      <c r="K1" s="23" t="s">
        <v>240</v>
      </c>
      <c r="L1" s="23" t="s">
        <v>4</v>
      </c>
      <c r="M1" s="23" t="s">
        <v>18</v>
      </c>
      <c r="N1" s="23" t="s">
        <v>241</v>
      </c>
      <c r="O1" s="25" t="s">
        <v>242</v>
      </c>
      <c r="P1" s="23" t="s">
        <v>243</v>
      </c>
      <c r="Q1" s="23" t="s">
        <v>244</v>
      </c>
      <c r="R1" s="23" t="s">
        <v>245</v>
      </c>
      <c r="S1" s="23" t="s">
        <v>246</v>
      </c>
      <c r="T1" s="25" t="s">
        <v>247</v>
      </c>
      <c r="U1" s="26" t="s">
        <v>248</v>
      </c>
      <c r="V1" s="26" t="s">
        <v>34</v>
      </c>
      <c r="W1" s="26" t="s">
        <v>249</v>
      </c>
      <c r="X1" s="28" t="s">
        <v>250</v>
      </c>
      <c r="Y1" s="27" t="s">
        <v>251</v>
      </c>
      <c r="Z1" s="27" t="s">
        <v>37</v>
      </c>
      <c r="AA1" s="29" t="s">
        <v>252</v>
      </c>
      <c r="AB1" s="26" t="s">
        <v>253</v>
      </c>
      <c r="AC1" s="26" t="s">
        <v>254</v>
      </c>
      <c r="AD1" s="26" t="s">
        <v>255</v>
      </c>
      <c r="AE1" s="26" t="s">
        <v>256</v>
      </c>
      <c r="AF1" s="25" t="s">
        <v>257</v>
      </c>
      <c r="AG1" s="25" t="s">
        <v>258</v>
      </c>
      <c r="AH1" s="25" t="s">
        <v>259</v>
      </c>
      <c r="AI1" s="25" t="s">
        <v>260</v>
      </c>
      <c r="AJ1" s="25" t="s">
        <v>261</v>
      </c>
      <c r="AK1" s="25" t="s">
        <v>262</v>
      </c>
      <c r="AL1" s="25" t="s">
        <v>263</v>
      </c>
      <c r="AM1" s="25" t="s">
        <v>264</v>
      </c>
      <c r="AN1" s="25" t="s">
        <v>265</v>
      </c>
      <c r="AO1" s="30" t="s">
        <v>266</v>
      </c>
      <c r="AP1" s="69" t="s">
        <v>267</v>
      </c>
      <c r="AQ1" s="69" t="s">
        <v>268</v>
      </c>
      <c r="AR1" s="69" t="s">
        <v>269</v>
      </c>
      <c r="AS1" s="69" t="s">
        <v>270</v>
      </c>
      <c r="AT1" s="70" t="s">
        <v>271</v>
      </c>
      <c r="AU1" s="70" t="s">
        <v>272</v>
      </c>
      <c r="AV1" s="70" t="s">
        <v>273</v>
      </c>
      <c r="AW1" s="70" t="s">
        <v>274</v>
      </c>
      <c r="AX1" s="70" t="s">
        <v>275</v>
      </c>
      <c r="AY1" s="70" t="s">
        <v>276</v>
      </c>
      <c r="AZ1" s="70" t="s">
        <v>277</v>
      </c>
      <c r="BA1" s="70" t="s">
        <v>278</v>
      </c>
      <c r="BB1" s="78" t="s">
        <v>279</v>
      </c>
      <c r="BC1" s="72" t="s">
        <v>280</v>
      </c>
      <c r="BD1" s="72" t="s">
        <v>281</v>
      </c>
      <c r="BE1" s="72" t="s">
        <v>282</v>
      </c>
      <c r="BF1" s="72" t="s">
        <v>283</v>
      </c>
      <c r="BG1" s="73" t="s">
        <v>284</v>
      </c>
      <c r="BH1" s="73" t="s">
        <v>285</v>
      </c>
      <c r="BI1" s="73" t="s">
        <v>286</v>
      </c>
      <c r="BJ1" s="73" t="s">
        <v>287</v>
      </c>
      <c r="BK1" s="73" t="s">
        <v>288</v>
      </c>
      <c r="BL1" s="73" t="s">
        <v>289</v>
      </c>
      <c r="BM1" s="73" t="s">
        <v>290</v>
      </c>
      <c r="BN1" s="74" t="s">
        <v>291</v>
      </c>
      <c r="BO1" s="74" t="s">
        <v>292</v>
      </c>
      <c r="BP1" s="31" t="s">
        <v>293</v>
      </c>
      <c r="BQ1" s="50" t="s">
        <v>294</v>
      </c>
      <c r="BR1" s="50" t="s">
        <v>295</v>
      </c>
      <c r="BS1" s="50" t="s">
        <v>296</v>
      </c>
      <c r="BT1" s="50" t="s">
        <v>297</v>
      </c>
      <c r="BU1" s="50" t="s">
        <v>298</v>
      </c>
      <c r="BV1" s="50" t="s">
        <v>299</v>
      </c>
      <c r="BW1" s="50" t="s">
        <v>300</v>
      </c>
      <c r="BX1" s="50" t="s">
        <v>301</v>
      </c>
    </row>
    <row r="2" spans="1:76" x14ac:dyDescent="0.3">
      <c r="A2" s="22" t="s">
        <v>302</v>
      </c>
      <c r="B2" s="21" t="s">
        <v>91</v>
      </c>
      <c r="C2" s="21" t="s">
        <v>303</v>
      </c>
      <c r="D2" s="10" t="s">
        <v>304</v>
      </c>
      <c r="E2" s="7" t="s">
        <v>305</v>
      </c>
      <c r="F2" s="3" t="s">
        <v>306</v>
      </c>
      <c r="G2" s="3" t="s">
        <v>21</v>
      </c>
      <c r="H2" s="4">
        <v>45809</v>
      </c>
      <c r="I2" s="4">
        <v>46904</v>
      </c>
      <c r="J2" s="21" t="s">
        <v>307</v>
      </c>
      <c r="K2" s="3" t="str">
        <f t="shared" ref="K2:K65" si="0">D2 &amp; "-" &amp;E2</f>
        <v>Prj000350-Support - Infrastructure for Tech</v>
      </c>
      <c r="L2" s="21" t="s">
        <v>308</v>
      </c>
      <c r="M2" s="21" t="s">
        <v>16</v>
      </c>
      <c r="N2" s="21" t="s">
        <v>16</v>
      </c>
      <c r="O2" s="21" t="s">
        <v>307</v>
      </c>
      <c r="P2" s="21" t="s">
        <v>309</v>
      </c>
      <c r="Q2" s="21" t="s">
        <v>310</v>
      </c>
      <c r="R2" s="21" t="s">
        <v>310</v>
      </c>
      <c r="S2" s="21" t="s">
        <v>311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312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6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 t="s">
        <v>16</v>
      </c>
      <c r="BX2" s="6" t="s">
        <v>313</v>
      </c>
    </row>
    <row r="3" spans="1:76" x14ac:dyDescent="0.3">
      <c r="A3" s="22" t="s">
        <v>302</v>
      </c>
      <c r="B3" s="21" t="s">
        <v>91</v>
      </c>
      <c r="C3" s="21" t="s">
        <v>303</v>
      </c>
      <c r="D3" s="10" t="s">
        <v>304</v>
      </c>
      <c r="E3" s="7" t="s">
        <v>305</v>
      </c>
      <c r="F3" s="3" t="s">
        <v>306</v>
      </c>
      <c r="G3" s="3" t="s">
        <v>21</v>
      </c>
      <c r="H3" s="4">
        <v>45809</v>
      </c>
      <c r="I3" s="4">
        <v>46904</v>
      </c>
      <c r="J3" s="21" t="s">
        <v>314</v>
      </c>
      <c r="K3" s="3" t="str">
        <f t="shared" si="0"/>
        <v>Prj000350-Support - Infrastructure for Tech</v>
      </c>
      <c r="L3" s="21" t="s">
        <v>308</v>
      </c>
      <c r="M3" s="21" t="s">
        <v>16</v>
      </c>
      <c r="N3" s="21" t="s">
        <v>16</v>
      </c>
      <c r="O3" s="21" t="s">
        <v>314</v>
      </c>
      <c r="P3" s="21" t="s">
        <v>309</v>
      </c>
      <c r="Q3" s="21" t="s">
        <v>310</v>
      </c>
      <c r="R3" s="21" t="s">
        <v>310</v>
      </c>
      <c r="S3" s="21" t="s">
        <v>311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315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6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 t="s">
        <v>16</v>
      </c>
      <c r="BX3" s="6" t="s">
        <v>313</v>
      </c>
    </row>
    <row r="4" spans="1:76" x14ac:dyDescent="0.3">
      <c r="A4" s="22" t="s">
        <v>316</v>
      </c>
      <c r="B4" s="21" t="s">
        <v>759</v>
      </c>
      <c r="C4" s="21" t="s">
        <v>150</v>
      </c>
      <c r="D4" s="10" t="s">
        <v>229</v>
      </c>
      <c r="E4" s="7" t="s">
        <v>317</v>
      </c>
      <c r="F4" s="3" t="s">
        <v>318</v>
      </c>
      <c r="G4" s="3" t="s">
        <v>25</v>
      </c>
      <c r="H4" s="4" t="s">
        <v>319</v>
      </c>
      <c r="I4" s="4" t="s">
        <v>319</v>
      </c>
      <c r="J4" s="3"/>
      <c r="K4" s="3" t="str">
        <f t="shared" si="0"/>
        <v>Prj000266-Support - Internal Tech Workforce Activities</v>
      </c>
      <c r="L4" s="21" t="s">
        <v>308</v>
      </c>
      <c r="M4" s="21" t="s">
        <v>15</v>
      </c>
      <c r="N4" s="21" t="s">
        <v>15</v>
      </c>
      <c r="O4" s="21"/>
      <c r="P4" s="21" t="s">
        <v>320</v>
      </c>
      <c r="Q4" s="21" t="s">
        <v>321</v>
      </c>
      <c r="R4" s="21" t="s">
        <v>322</v>
      </c>
      <c r="S4" s="21" t="s">
        <v>323</v>
      </c>
      <c r="T4" s="5">
        <v>211257</v>
      </c>
      <c r="U4" s="15">
        <v>259449</v>
      </c>
      <c r="V4" s="15">
        <v>259449</v>
      </c>
      <c r="W4" s="15">
        <f t="shared" si="1"/>
        <v>229670.84999999998</v>
      </c>
      <c r="X4" s="15">
        <f t="shared" si="7"/>
        <v>-29778.150000000023</v>
      </c>
      <c r="Y4" s="15">
        <f t="shared" si="2"/>
        <v>0</v>
      </c>
      <c r="Z4" s="15">
        <f>SUM(Financials20263[[#This Row],[2026 Opportunity]:[2026 Risk]])</f>
        <v>-29778.150000000023</v>
      </c>
      <c r="AA4" s="14" t="s">
        <v>324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159449-83658+50000+20222</f>
        <v>146013</v>
      </c>
      <c r="AN4" s="46">
        <f>SUM(Financials20263[[#This Row],[Jan FC]:[Dec FC]])</f>
        <v>229670.85</v>
      </c>
      <c r="AO4" s="15">
        <f t="shared" si="5"/>
        <v>146013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-146013</v>
      </c>
      <c r="BO4" s="71">
        <f>SUM(Financials20263[[#This Row],[Jan Opp/Risk]:[Dec Opp./Risk]])</f>
        <v>-146013</v>
      </c>
      <c r="BP4" s="87" t="s">
        <v>325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146013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229670.85</v>
      </c>
      <c r="BV4" s="6"/>
      <c r="BW4" s="6" t="s">
        <v>326</v>
      </c>
      <c r="BX4" s="6" t="s">
        <v>313</v>
      </c>
    </row>
    <row r="5" spans="1:76" x14ac:dyDescent="0.3">
      <c r="A5" s="22" t="s">
        <v>302</v>
      </c>
      <c r="B5" s="21" t="s">
        <v>121</v>
      </c>
      <c r="C5" s="21"/>
      <c r="D5" s="10" t="s">
        <v>327</v>
      </c>
      <c r="E5" s="7" t="s">
        <v>328</v>
      </c>
      <c r="F5" s="3" t="s">
        <v>329</v>
      </c>
      <c r="G5" s="3" t="s">
        <v>22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330</v>
      </c>
      <c r="M5" s="21" t="s">
        <v>14</v>
      </c>
      <c r="N5" s="21" t="s">
        <v>331</v>
      </c>
      <c r="O5" s="21" t="s">
        <v>10</v>
      </c>
      <c r="P5" s="21" t="s">
        <v>332</v>
      </c>
      <c r="Q5" s="21" t="s">
        <v>333</v>
      </c>
      <c r="R5" s="21" t="s">
        <v>334</v>
      </c>
      <c r="S5" s="21" t="s">
        <v>335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336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88" t="s">
        <v>337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 t="s">
        <v>338</v>
      </c>
      <c r="BX5" s="6" t="s">
        <v>313</v>
      </c>
    </row>
    <row r="6" spans="1:76" x14ac:dyDescent="0.3">
      <c r="A6" s="22" t="s">
        <v>302</v>
      </c>
      <c r="B6" s="21" t="s">
        <v>179</v>
      </c>
      <c r="C6" s="21" t="s">
        <v>339</v>
      </c>
      <c r="D6" s="10" t="s">
        <v>304</v>
      </c>
      <c r="E6" s="7" t="s">
        <v>305</v>
      </c>
      <c r="F6" s="3" t="s">
        <v>306</v>
      </c>
      <c r="G6" s="3" t="s">
        <v>21</v>
      </c>
      <c r="H6" s="4">
        <v>45853</v>
      </c>
      <c r="I6" s="4">
        <v>46217</v>
      </c>
      <c r="J6" s="3" t="s">
        <v>339</v>
      </c>
      <c r="K6" s="3" t="str">
        <f t="shared" si="0"/>
        <v>Prj000350-Support - Infrastructure for Tech</v>
      </c>
      <c r="L6" s="21" t="s">
        <v>308</v>
      </c>
      <c r="M6" s="21" t="s">
        <v>16</v>
      </c>
      <c r="N6" s="21" t="s">
        <v>16</v>
      </c>
      <c r="O6" s="21"/>
      <c r="P6" s="21" t="s">
        <v>309</v>
      </c>
      <c r="Q6" s="21" t="s">
        <v>310</v>
      </c>
      <c r="R6" s="21" t="s">
        <v>310</v>
      </c>
      <c r="S6" s="21" t="s">
        <v>340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87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 t="s">
        <v>16</v>
      </c>
      <c r="BX6" s="6" t="s">
        <v>313</v>
      </c>
    </row>
    <row r="7" spans="1:76" s="18" customFormat="1" x14ac:dyDescent="0.3">
      <c r="A7" s="22" t="s">
        <v>302</v>
      </c>
      <c r="B7" s="21" t="s">
        <v>186</v>
      </c>
      <c r="C7" s="21"/>
      <c r="D7" s="10" t="s">
        <v>327</v>
      </c>
      <c r="E7" s="7" t="s">
        <v>328</v>
      </c>
      <c r="F7" s="3" t="s">
        <v>329</v>
      </c>
      <c r="G7" s="3" t="s">
        <v>22</v>
      </c>
      <c r="H7" s="4" t="s">
        <v>319</v>
      </c>
      <c r="I7" s="4" t="s">
        <v>319</v>
      </c>
      <c r="J7" s="3"/>
      <c r="K7" s="3" t="str">
        <f t="shared" si="0"/>
        <v>Prj000344-Support - Prod support for Finance Applications</v>
      </c>
      <c r="L7" s="21" t="s">
        <v>308</v>
      </c>
      <c r="M7" s="21" t="s">
        <v>16</v>
      </c>
      <c r="N7" s="21" t="s">
        <v>16</v>
      </c>
      <c r="O7" s="21"/>
      <c r="P7" s="21" t="s">
        <v>309</v>
      </c>
      <c r="Q7" s="21" t="s">
        <v>341</v>
      </c>
      <c r="R7" s="21" t="s">
        <v>342</v>
      </c>
      <c r="S7" s="21" t="s">
        <v>343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344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87"/>
      <c r="BQ7" s="48">
        <f>SUM(Financials20263[[#This Row],[Jan AC]:[May AC]])</f>
        <v>0</v>
      </c>
      <c r="BR7" s="145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 t="s">
        <v>16</v>
      </c>
      <c r="BX7" s="6" t="s">
        <v>313</v>
      </c>
    </row>
    <row r="8" spans="1:76" x14ac:dyDescent="0.3">
      <c r="A8" s="22" t="s">
        <v>302</v>
      </c>
      <c r="B8" s="21" t="s">
        <v>186</v>
      </c>
      <c r="C8" s="21"/>
      <c r="D8" s="10" t="s">
        <v>345</v>
      </c>
      <c r="E8" s="7" t="s">
        <v>346</v>
      </c>
      <c r="F8" s="3" t="s">
        <v>329</v>
      </c>
      <c r="G8" s="3" t="s">
        <v>22</v>
      </c>
      <c r="H8" s="104">
        <v>46120</v>
      </c>
      <c r="I8" s="104">
        <v>46484</v>
      </c>
      <c r="J8" s="3"/>
      <c r="K8" s="3" t="str">
        <f t="shared" si="0"/>
        <v>Prj000603-Implement - Cash Matching Recon Solution</v>
      </c>
      <c r="L8" s="21" t="s">
        <v>308</v>
      </c>
      <c r="M8" s="21" t="s">
        <v>16</v>
      </c>
      <c r="N8" s="21" t="s">
        <v>16</v>
      </c>
      <c r="O8" s="21"/>
      <c r="P8" s="21" t="s">
        <v>309</v>
      </c>
      <c r="Q8" s="21" t="s">
        <v>341</v>
      </c>
      <c r="R8" s="21" t="s">
        <v>342</v>
      </c>
      <c r="S8" s="21" t="s">
        <v>340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347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1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87" t="s">
        <v>348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 t="s">
        <v>16</v>
      </c>
      <c r="BX8" s="6" t="s">
        <v>349</v>
      </c>
    </row>
    <row r="9" spans="1:76" x14ac:dyDescent="0.3">
      <c r="A9" s="22" t="s">
        <v>302</v>
      </c>
      <c r="B9" s="21" t="s">
        <v>208</v>
      </c>
      <c r="C9" s="21" t="s">
        <v>350</v>
      </c>
      <c r="D9" s="10" t="s">
        <v>230</v>
      </c>
      <c r="E9" s="7" t="s">
        <v>351</v>
      </c>
      <c r="F9" s="3" t="s">
        <v>352</v>
      </c>
      <c r="G9" s="3" t="s">
        <v>24</v>
      </c>
      <c r="H9" s="4" t="s">
        <v>353</v>
      </c>
      <c r="I9" s="4" t="s">
        <v>353</v>
      </c>
      <c r="J9" s="3"/>
      <c r="K9" s="3" t="str">
        <f t="shared" si="0"/>
        <v>Prj000290-Support - Asset Management Applications</v>
      </c>
      <c r="L9" s="21" t="s">
        <v>308</v>
      </c>
      <c r="M9" s="21" t="s">
        <v>16</v>
      </c>
      <c r="N9" s="21" t="s">
        <v>16</v>
      </c>
      <c r="O9" s="21" t="s">
        <v>10</v>
      </c>
      <c r="P9" s="21" t="s">
        <v>309</v>
      </c>
      <c r="Q9" s="21" t="s">
        <v>310</v>
      </c>
      <c r="R9" s="21" t="s">
        <v>354</v>
      </c>
      <c r="S9" s="21" t="s">
        <v>355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356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87" t="s">
        <v>357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 t="s">
        <v>16</v>
      </c>
      <c r="BX9" s="6" t="s">
        <v>313</v>
      </c>
    </row>
    <row r="10" spans="1:76" x14ac:dyDescent="0.3">
      <c r="A10" s="22" t="s">
        <v>302</v>
      </c>
      <c r="B10" s="21" t="s">
        <v>74</v>
      </c>
      <c r="C10" s="21"/>
      <c r="D10" s="10" t="s">
        <v>304</v>
      </c>
      <c r="E10" s="7" t="s">
        <v>305</v>
      </c>
      <c r="F10" s="3" t="s">
        <v>306</v>
      </c>
      <c r="G10" s="3" t="s">
        <v>21</v>
      </c>
      <c r="H10" s="4" t="s">
        <v>353</v>
      </c>
      <c r="I10" s="4" t="s">
        <v>353</v>
      </c>
      <c r="J10" s="3"/>
      <c r="K10" s="3" t="str">
        <f t="shared" si="0"/>
        <v>Prj000350-Support - Infrastructure for Tech</v>
      </c>
      <c r="L10" s="21" t="s">
        <v>308</v>
      </c>
      <c r="M10" s="21" t="s">
        <v>12</v>
      </c>
      <c r="N10" s="21" t="s">
        <v>12</v>
      </c>
      <c r="O10" s="21"/>
      <c r="P10" s="21" t="s">
        <v>309</v>
      </c>
      <c r="Q10" s="21" t="s">
        <v>358</v>
      </c>
      <c r="R10" s="21" t="s">
        <v>358</v>
      </c>
      <c r="S10" s="21" t="s">
        <v>335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359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88" t="s">
        <v>360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21" t="s">
        <v>12</v>
      </c>
      <c r="BX10" s="6" t="s">
        <v>313</v>
      </c>
    </row>
    <row r="11" spans="1:76" x14ac:dyDescent="0.3">
      <c r="A11" s="22" t="s">
        <v>302</v>
      </c>
      <c r="B11" s="21" t="s">
        <v>87</v>
      </c>
      <c r="C11" s="21"/>
      <c r="D11" s="10" t="s">
        <v>304</v>
      </c>
      <c r="E11" s="7" t="s">
        <v>305</v>
      </c>
      <c r="F11" s="3" t="s">
        <v>306</v>
      </c>
      <c r="G11" s="3" t="s">
        <v>21</v>
      </c>
      <c r="H11" s="4" t="s">
        <v>353</v>
      </c>
      <c r="I11" s="4" t="s">
        <v>353</v>
      </c>
      <c r="J11" s="3"/>
      <c r="K11" s="3" t="str">
        <f t="shared" si="0"/>
        <v>Prj000350-Support - Infrastructure for Tech</v>
      </c>
      <c r="L11" s="21" t="s">
        <v>308</v>
      </c>
      <c r="M11" s="21" t="s">
        <v>12</v>
      </c>
      <c r="N11" s="21" t="s">
        <v>12</v>
      </c>
      <c r="O11" s="21" t="s">
        <v>361</v>
      </c>
      <c r="P11" s="21" t="s">
        <v>309</v>
      </c>
      <c r="Q11" s="21" t="s">
        <v>358</v>
      </c>
      <c r="R11" s="21" t="s">
        <v>358</v>
      </c>
      <c r="S11" s="21" t="s">
        <v>335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362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87" t="s">
        <v>363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21" t="s">
        <v>12</v>
      </c>
      <c r="BX11" s="6" t="s">
        <v>313</v>
      </c>
    </row>
    <row r="12" spans="1:76" x14ac:dyDescent="0.3">
      <c r="A12" s="22" t="s">
        <v>302</v>
      </c>
      <c r="B12" s="21" t="s">
        <v>89</v>
      </c>
      <c r="C12" s="21" t="s">
        <v>364</v>
      </c>
      <c r="D12" s="10" t="s">
        <v>304</v>
      </c>
      <c r="E12" s="7" t="s">
        <v>305</v>
      </c>
      <c r="F12" s="3" t="s">
        <v>306</v>
      </c>
      <c r="G12" s="3" t="s">
        <v>21</v>
      </c>
      <c r="H12" s="4" t="s">
        <v>353</v>
      </c>
      <c r="I12" s="4" t="s">
        <v>353</v>
      </c>
      <c r="J12" s="3"/>
      <c r="K12" s="3" t="str">
        <f t="shared" si="0"/>
        <v>Prj000350-Support - Infrastructure for Tech</v>
      </c>
      <c r="L12" s="21" t="s">
        <v>308</v>
      </c>
      <c r="M12" s="21" t="s">
        <v>12</v>
      </c>
      <c r="N12" s="21" t="s">
        <v>12</v>
      </c>
      <c r="O12" s="21" t="s">
        <v>361</v>
      </c>
      <c r="P12" s="21" t="s">
        <v>309</v>
      </c>
      <c r="Q12" s="21" t="s">
        <v>358</v>
      </c>
      <c r="R12" s="21" t="s">
        <v>358</v>
      </c>
      <c r="S12" s="21" t="s">
        <v>335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362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87" t="s">
        <v>363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21" t="s">
        <v>12</v>
      </c>
      <c r="BX12" s="6" t="s">
        <v>313</v>
      </c>
    </row>
    <row r="13" spans="1:76" x14ac:dyDescent="0.3">
      <c r="A13" s="22" t="s">
        <v>302</v>
      </c>
      <c r="B13" s="21" t="s">
        <v>82</v>
      </c>
      <c r="C13" s="21"/>
      <c r="D13" s="10" t="s">
        <v>304</v>
      </c>
      <c r="E13" s="7" t="s">
        <v>305</v>
      </c>
      <c r="F13" s="3" t="s">
        <v>306</v>
      </c>
      <c r="G13" s="3" t="s">
        <v>21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308</v>
      </c>
      <c r="M13" s="21" t="s">
        <v>12</v>
      </c>
      <c r="N13" s="21" t="s">
        <v>12</v>
      </c>
      <c r="O13" s="21" t="s">
        <v>365</v>
      </c>
      <c r="P13" s="21" t="s">
        <v>366</v>
      </c>
      <c r="Q13" s="21" t="s">
        <v>367</v>
      </c>
      <c r="R13" s="21" t="s">
        <v>368</v>
      </c>
      <c r="S13" s="21" t="s">
        <v>369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88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21" t="s">
        <v>12</v>
      </c>
      <c r="BX13" s="6" t="s">
        <v>313</v>
      </c>
    </row>
    <row r="14" spans="1:76" x14ac:dyDescent="0.3">
      <c r="A14" s="22" t="s">
        <v>302</v>
      </c>
      <c r="B14" s="21" t="s">
        <v>96</v>
      </c>
      <c r="C14" s="21"/>
      <c r="D14" s="10" t="s">
        <v>304</v>
      </c>
      <c r="E14" s="7" t="s">
        <v>305</v>
      </c>
      <c r="F14" s="3" t="s">
        <v>306</v>
      </c>
      <c r="G14" s="3" t="s">
        <v>21</v>
      </c>
      <c r="H14" s="4">
        <v>45947</v>
      </c>
      <c r="I14" s="4">
        <v>46311</v>
      </c>
      <c r="J14" s="3" t="s">
        <v>370</v>
      </c>
      <c r="K14" s="3" t="str">
        <f t="shared" si="0"/>
        <v>Prj000350-Support - Infrastructure for Tech</v>
      </c>
      <c r="L14" s="21" t="s">
        <v>308</v>
      </c>
      <c r="M14" s="21" t="s">
        <v>12</v>
      </c>
      <c r="N14" s="21" t="s">
        <v>12</v>
      </c>
      <c r="O14" s="21"/>
      <c r="P14" s="21" t="s">
        <v>366</v>
      </c>
      <c r="Q14" s="21" t="s">
        <v>367</v>
      </c>
      <c r="R14" s="21" t="s">
        <v>368</v>
      </c>
      <c r="S14" s="21" t="s">
        <v>340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371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88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21" t="s">
        <v>12</v>
      </c>
      <c r="BX14" s="6" t="s">
        <v>313</v>
      </c>
    </row>
    <row r="15" spans="1:76" x14ac:dyDescent="0.3">
      <c r="A15" s="22" t="s">
        <v>372</v>
      </c>
      <c r="B15" s="21" t="s">
        <v>760</v>
      </c>
      <c r="C15" s="21" t="s">
        <v>92</v>
      </c>
      <c r="D15" s="10" t="s">
        <v>304</v>
      </c>
      <c r="E15" s="7" t="s">
        <v>305</v>
      </c>
      <c r="F15" s="3" t="s">
        <v>306</v>
      </c>
      <c r="G15" s="3" t="s">
        <v>21</v>
      </c>
      <c r="H15" s="4" t="s">
        <v>319</v>
      </c>
      <c r="I15" s="4" t="s">
        <v>319</v>
      </c>
      <c r="J15" s="3"/>
      <c r="K15" s="3" t="str">
        <f t="shared" si="0"/>
        <v>Prj000350-Support - Infrastructure for Tech</v>
      </c>
      <c r="L15" s="21" t="s">
        <v>308</v>
      </c>
      <c r="M15" s="21" t="s">
        <v>12</v>
      </c>
      <c r="N15" s="21" t="s">
        <v>12</v>
      </c>
      <c r="O15" s="21"/>
      <c r="P15" s="21" t="s">
        <v>366</v>
      </c>
      <c r="Q15" s="21" t="s">
        <v>367</v>
      </c>
      <c r="R15" s="21" t="s">
        <v>368</v>
      </c>
      <c r="S15" s="21" t="s">
        <v>343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46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88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21" t="s">
        <v>12</v>
      </c>
      <c r="BX15" s="6" t="s">
        <v>313</v>
      </c>
    </row>
    <row r="16" spans="1:76" x14ac:dyDescent="0.3">
      <c r="A16" s="22" t="s">
        <v>302</v>
      </c>
      <c r="B16" s="21" t="s">
        <v>130</v>
      </c>
      <c r="C16" s="21"/>
      <c r="D16" s="10" t="s">
        <v>231</v>
      </c>
      <c r="E16" s="7" t="s">
        <v>373</v>
      </c>
      <c r="F16" s="3" t="s">
        <v>374</v>
      </c>
      <c r="G16" s="3" t="s">
        <v>22</v>
      </c>
      <c r="H16" s="4" t="s">
        <v>353</v>
      </c>
      <c r="I16" s="4" t="s">
        <v>353</v>
      </c>
      <c r="J16" s="3"/>
      <c r="K16" s="3" t="str">
        <f t="shared" si="0"/>
        <v>Prj000381-Support - Prod Support for Credit Apps</v>
      </c>
      <c r="L16" s="21" t="s">
        <v>308</v>
      </c>
      <c r="M16" s="21" t="s">
        <v>15</v>
      </c>
      <c r="N16" s="21" t="s">
        <v>15</v>
      </c>
      <c r="O16" s="21" t="s">
        <v>375</v>
      </c>
      <c r="P16" s="21" t="s">
        <v>376</v>
      </c>
      <c r="Q16" s="21" t="s">
        <v>376</v>
      </c>
      <c r="R16" s="21" t="s">
        <v>377</v>
      </c>
      <c r="S16" s="21" t="s">
        <v>335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378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87" t="s">
        <v>363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 t="s">
        <v>326</v>
      </c>
      <c r="BX16" s="6" t="s">
        <v>313</v>
      </c>
    </row>
    <row r="17" spans="1:76" x14ac:dyDescent="0.3">
      <c r="A17" s="22" t="s">
        <v>302</v>
      </c>
      <c r="B17" s="21" t="s">
        <v>140</v>
      </c>
      <c r="C17" s="21"/>
      <c r="D17" s="10" t="s">
        <v>232</v>
      </c>
      <c r="E17" s="7" t="s">
        <v>379</v>
      </c>
      <c r="F17" s="3" t="s">
        <v>380</v>
      </c>
      <c r="G17" s="3" t="s">
        <v>23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308</v>
      </c>
      <c r="M17" s="21" t="s">
        <v>15</v>
      </c>
      <c r="N17" s="21" t="s">
        <v>15</v>
      </c>
      <c r="O17" s="21"/>
      <c r="P17" s="21" t="s">
        <v>376</v>
      </c>
      <c r="Q17" s="21" t="s">
        <v>376</v>
      </c>
      <c r="R17" s="21" t="s">
        <v>377</v>
      </c>
      <c r="S17" s="21" t="s">
        <v>340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381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87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 t="s">
        <v>326</v>
      </c>
      <c r="BX17" s="6" t="s">
        <v>313</v>
      </c>
    </row>
    <row r="18" spans="1:76" x14ac:dyDescent="0.3">
      <c r="A18" s="22" t="s">
        <v>316</v>
      </c>
      <c r="B18" s="21" t="s">
        <v>145</v>
      </c>
      <c r="C18" s="21" t="s">
        <v>382</v>
      </c>
      <c r="D18" s="10" t="s">
        <v>229</v>
      </c>
      <c r="E18" s="7" t="s">
        <v>317</v>
      </c>
      <c r="F18" s="3" t="s">
        <v>318</v>
      </c>
      <c r="G18" s="3" t="s">
        <v>25</v>
      </c>
      <c r="H18" s="4" t="s">
        <v>319</v>
      </c>
      <c r="I18" s="4" t="s">
        <v>319</v>
      </c>
      <c r="J18" s="3"/>
      <c r="K18" s="3" t="str">
        <f t="shared" si="0"/>
        <v>Prj000266-Support - Internal Tech Workforce Activities</v>
      </c>
      <c r="L18" s="21" t="s">
        <v>308</v>
      </c>
      <c r="M18" s="21" t="s">
        <v>15</v>
      </c>
      <c r="N18" s="21" t="s">
        <v>15</v>
      </c>
      <c r="O18" s="21"/>
      <c r="P18" s="21" t="s">
        <v>383</v>
      </c>
      <c r="Q18" s="21" t="s">
        <v>384</v>
      </c>
      <c r="R18" s="21" t="s">
        <v>385</v>
      </c>
      <c r="S18" s="21" t="s">
        <v>340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386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88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 t="s">
        <v>326</v>
      </c>
      <c r="BX18" s="6" t="s">
        <v>313</v>
      </c>
    </row>
    <row r="19" spans="1:76" x14ac:dyDescent="0.3">
      <c r="A19" s="22" t="s">
        <v>316</v>
      </c>
      <c r="B19" t="s">
        <v>147</v>
      </c>
      <c r="C19" s="21" t="s">
        <v>382</v>
      </c>
      <c r="D19" s="10" t="s">
        <v>229</v>
      </c>
      <c r="E19" s="7" t="s">
        <v>317</v>
      </c>
      <c r="F19" s="3" t="s">
        <v>318</v>
      </c>
      <c r="G19" s="3" t="s">
        <v>25</v>
      </c>
      <c r="H19" s="4" t="s">
        <v>319</v>
      </c>
      <c r="I19" s="4" t="s">
        <v>319</v>
      </c>
      <c r="J19" s="3"/>
      <c r="K19" s="3" t="str">
        <f t="shared" si="0"/>
        <v>Prj000266-Support - Internal Tech Workforce Activities</v>
      </c>
      <c r="L19" s="21" t="s">
        <v>308</v>
      </c>
      <c r="M19" s="21" t="s">
        <v>15</v>
      </c>
      <c r="N19" s="21" t="s">
        <v>15</v>
      </c>
      <c r="O19" s="21"/>
      <c r="P19" s="21" t="s">
        <v>383</v>
      </c>
      <c r="Q19" s="21" t="s">
        <v>384</v>
      </c>
      <c r="R19" s="21" t="s">
        <v>385</v>
      </c>
      <c r="S19" s="21" t="s">
        <v>340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386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88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 t="s">
        <v>326</v>
      </c>
      <c r="BX19" s="6" t="s">
        <v>313</v>
      </c>
    </row>
    <row r="20" spans="1:76" x14ac:dyDescent="0.3">
      <c r="A20" s="22" t="s">
        <v>316</v>
      </c>
      <c r="B20" s="21" t="s">
        <v>148</v>
      </c>
      <c r="C20" s="21" t="s">
        <v>387</v>
      </c>
      <c r="D20" s="10" t="s">
        <v>229</v>
      </c>
      <c r="E20" s="7" t="s">
        <v>317</v>
      </c>
      <c r="F20" s="3" t="s">
        <v>318</v>
      </c>
      <c r="G20" s="3" t="s">
        <v>25</v>
      </c>
      <c r="H20" s="4" t="s">
        <v>319</v>
      </c>
      <c r="I20" s="4" t="s">
        <v>319</v>
      </c>
      <c r="J20" s="3"/>
      <c r="K20" s="3" t="str">
        <f t="shared" si="0"/>
        <v>Prj000266-Support - Internal Tech Workforce Activities</v>
      </c>
      <c r="L20" s="21" t="s">
        <v>308</v>
      </c>
      <c r="M20" s="21" t="s">
        <v>15</v>
      </c>
      <c r="N20" s="21" t="s">
        <v>15</v>
      </c>
      <c r="O20" s="21"/>
      <c r="P20" s="21" t="s">
        <v>320</v>
      </c>
      <c r="Q20" s="21" t="s">
        <v>388</v>
      </c>
      <c r="R20" s="21" t="s">
        <v>389</v>
      </c>
      <c r="S20" s="21" t="s">
        <v>343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362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88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 t="s">
        <v>326</v>
      </c>
      <c r="BX20" s="6" t="s">
        <v>313</v>
      </c>
    </row>
    <row r="21" spans="1:76" x14ac:dyDescent="0.3">
      <c r="A21" s="22" t="s">
        <v>302</v>
      </c>
      <c r="B21" s="21" t="s">
        <v>41</v>
      </c>
      <c r="C21" s="21"/>
      <c r="D21" s="10" t="s">
        <v>390</v>
      </c>
      <c r="E21" s="7" t="s">
        <v>391</v>
      </c>
      <c r="F21" s="3" t="s">
        <v>392</v>
      </c>
      <c r="G21" s="3" t="s">
        <v>20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330</v>
      </c>
      <c r="M21" s="21" t="s">
        <v>14</v>
      </c>
      <c r="N21" s="21" t="s">
        <v>331</v>
      </c>
      <c r="O21" s="21" t="s">
        <v>393</v>
      </c>
      <c r="P21" s="21" t="s">
        <v>309</v>
      </c>
      <c r="Q21" s="21" t="s">
        <v>341</v>
      </c>
      <c r="R21" s="21" t="s">
        <v>341</v>
      </c>
      <c r="S21" s="21" t="s">
        <v>335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1443640</v>
      </c>
      <c r="X21" s="15">
        <f t="shared" si="7"/>
        <v>-11107</v>
      </c>
      <c r="Y21" s="15">
        <f t="shared" si="2"/>
        <v>0</v>
      </c>
      <c r="Z21" s="15">
        <f>SUM(Financials20263[[#This Row],[2026 Opportunity]:[2026 Risk]])</f>
        <v>-11107</v>
      </c>
      <c r="AA21" s="3" t="s">
        <v>394</v>
      </c>
      <c r="AB21" s="52">
        <v>113296</v>
      </c>
      <c r="AC21" s="52">
        <v>113296</v>
      </c>
      <c r="AD21" s="52">
        <v>113296</v>
      </c>
      <c r="AE21" s="52">
        <v>116743</v>
      </c>
      <c r="AF21" s="52">
        <v>120956</v>
      </c>
      <c r="AG21" s="52">
        <v>120190</v>
      </c>
      <c r="AH21" s="52">
        <v>120190</v>
      </c>
      <c r="AI21" s="52">
        <v>127356</v>
      </c>
      <c r="AJ21" s="52">
        <v>127356</v>
      </c>
      <c r="AK21" s="52">
        <v>127356</v>
      </c>
      <c r="AL21" s="52">
        <v>127356</v>
      </c>
      <c r="AM21" s="52">
        <v>127356</v>
      </c>
      <c r="AN21" s="52">
        <f>SUM(Financials20263[[#This Row],[Jan FC]:[Dec FC]])</f>
        <v>1454747</v>
      </c>
      <c r="AO21" s="15">
        <f t="shared" si="5"/>
        <v>877160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-3447</v>
      </c>
      <c r="BG21" s="71">
        <f>Financials20263[[#This Row],[May AC]]-Financials20263[[#This Row],[May FC]]</f>
        <v>-7660</v>
      </c>
      <c r="BH21" s="71">
        <f>Financials20263[[#This Row],[Jun AC]]-Financials20263[[#This Row],[Jun FC]]</f>
        <v>-120190</v>
      </c>
      <c r="BI21" s="71">
        <f>Financials20263[[#This Row],[Jul AC]]-Financials20263[[#This Row],[Jul FC]]</f>
        <v>-120190</v>
      </c>
      <c r="BJ21" s="71">
        <f>Financials20263[[#This Row],[Aug AC]]-Financials20263[[#This Row],[Aug FC]]</f>
        <v>-127356</v>
      </c>
      <c r="BK21" s="71">
        <f>Financials20263[[#This Row],[Sep AC]]-Financials20263[[#This Row],[Sep FC]]</f>
        <v>-127356</v>
      </c>
      <c r="BL21" s="71">
        <f>Financials20263[[#This Row],[Oct AC]]-Financials20263[[#This Row],[Oct FC]]</f>
        <v>-127356</v>
      </c>
      <c r="BM21" s="71">
        <f>Financials20263[[#This Row],[Nov AC]]-Financials20263[[#This Row],[Nov FC]]</f>
        <v>-127356</v>
      </c>
      <c r="BN21" s="71">
        <f>Financials20263[[#This Row],[Dec AC]]-Financials20263[[#This Row],[Dec FC]]</f>
        <v>-127356</v>
      </c>
      <c r="BO21" s="71">
        <f>SUM(Financials20263[[#This Row],[Jan Opp/Risk]:[Dec Opp./Risk]])</f>
        <v>-888267</v>
      </c>
      <c r="BP21" s="89" t="s">
        <v>395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877160</v>
      </c>
      <c r="BT21" s="6">
        <f>SUM(Financials20263[[#This Row],[Jan FC]:[May FC]])</f>
        <v>577587</v>
      </c>
      <c r="BU21" s="6">
        <f>Financials20263[[#This Row],[Jan-May Actuals]]+Financials20263[[#This Row],[Forecast Jun-Dec]]</f>
        <v>1443640</v>
      </c>
      <c r="BV21" s="6"/>
      <c r="BW21" s="6" t="s">
        <v>338</v>
      </c>
      <c r="BX21" s="6" t="s">
        <v>313</v>
      </c>
    </row>
    <row r="22" spans="1:76" x14ac:dyDescent="0.3">
      <c r="A22" s="22" t="s">
        <v>302</v>
      </c>
      <c r="B22" s="21" t="s">
        <v>112</v>
      </c>
      <c r="C22" s="21"/>
      <c r="D22" s="10" t="s">
        <v>396</v>
      </c>
      <c r="E22" s="7" t="s">
        <v>396</v>
      </c>
      <c r="F22" s="3" t="s">
        <v>397</v>
      </c>
      <c r="G22" s="3" t="s">
        <v>25</v>
      </c>
      <c r="H22" s="4">
        <v>46023</v>
      </c>
      <c r="I22" s="4">
        <v>46387</v>
      </c>
      <c r="J22" s="3" t="s">
        <v>398</v>
      </c>
      <c r="K22" s="3" t="str">
        <f t="shared" si="0"/>
        <v>T&amp;M-T&amp;M</v>
      </c>
      <c r="L22" s="21" t="s">
        <v>330</v>
      </c>
      <c r="M22" s="21" t="s">
        <v>13</v>
      </c>
      <c r="N22" s="21" t="s">
        <v>399</v>
      </c>
      <c r="O22" s="21" t="s">
        <v>396</v>
      </c>
      <c r="P22" s="21" t="s">
        <v>332</v>
      </c>
      <c r="Q22" s="21" t="s">
        <v>333</v>
      </c>
      <c r="R22" s="21" t="s">
        <v>334</v>
      </c>
      <c r="S22" s="21" t="s">
        <v>335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396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89" t="s">
        <v>400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 t="s">
        <v>338</v>
      </c>
      <c r="BX22" s="6" t="e">
        <v>#N/A</v>
      </c>
    </row>
    <row r="23" spans="1:76" x14ac:dyDescent="0.3">
      <c r="A23" s="22" t="s">
        <v>302</v>
      </c>
      <c r="B23" s="21" t="s">
        <v>100</v>
      </c>
      <c r="C23" s="21" t="s">
        <v>401</v>
      </c>
      <c r="D23" s="10" t="s">
        <v>396</v>
      </c>
      <c r="E23" s="7" t="s">
        <v>396</v>
      </c>
      <c r="F23" s="3" t="s">
        <v>397</v>
      </c>
      <c r="G23" s="3" t="s">
        <v>20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330</v>
      </c>
      <c r="M23" s="21" t="s">
        <v>13</v>
      </c>
      <c r="N23" s="21" t="s">
        <v>399</v>
      </c>
      <c r="O23" s="21" t="s">
        <v>396</v>
      </c>
      <c r="P23" s="21" t="s">
        <v>332</v>
      </c>
      <c r="Q23" s="21" t="s">
        <v>333</v>
      </c>
      <c r="R23" s="21" t="s">
        <v>334</v>
      </c>
      <c r="S23" s="21" t="s">
        <v>335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402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89" t="s">
        <v>400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 t="s">
        <v>338</v>
      </c>
      <c r="BX23" s="6" t="e">
        <v>#N/A</v>
      </c>
    </row>
    <row r="24" spans="1:76" x14ac:dyDescent="0.3">
      <c r="A24" s="22" t="s">
        <v>302</v>
      </c>
      <c r="B24" s="21" t="s">
        <v>100</v>
      </c>
      <c r="C24" s="21" t="s">
        <v>401</v>
      </c>
      <c r="D24" s="10" t="s">
        <v>396</v>
      </c>
      <c r="E24" s="7" t="s">
        <v>396</v>
      </c>
      <c r="F24" s="3" t="s">
        <v>397</v>
      </c>
      <c r="G24" s="3" t="s">
        <v>21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330</v>
      </c>
      <c r="M24" s="21" t="s">
        <v>13</v>
      </c>
      <c r="N24" s="21" t="s">
        <v>399</v>
      </c>
      <c r="O24" s="21" t="s">
        <v>396</v>
      </c>
      <c r="P24" s="21" t="s">
        <v>332</v>
      </c>
      <c r="Q24" s="21" t="s">
        <v>333</v>
      </c>
      <c r="R24" s="21" t="s">
        <v>334</v>
      </c>
      <c r="S24" s="21" t="s">
        <v>335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402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89" t="s">
        <v>403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 t="s">
        <v>338</v>
      </c>
      <c r="BX24" s="6" t="e">
        <v>#N/A</v>
      </c>
    </row>
    <row r="25" spans="1:76" x14ac:dyDescent="0.3">
      <c r="A25" s="22" t="s">
        <v>302</v>
      </c>
      <c r="B25" s="21" t="s">
        <v>100</v>
      </c>
      <c r="C25" s="21" t="s">
        <v>401</v>
      </c>
      <c r="D25" s="10" t="s">
        <v>396</v>
      </c>
      <c r="E25" s="7" t="s">
        <v>396</v>
      </c>
      <c r="F25" s="3" t="s">
        <v>397</v>
      </c>
      <c r="G25" s="3" t="s">
        <v>22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330</v>
      </c>
      <c r="M25" s="21" t="s">
        <v>13</v>
      </c>
      <c r="N25" s="21" t="s">
        <v>399</v>
      </c>
      <c r="O25" s="21" t="s">
        <v>396</v>
      </c>
      <c r="P25" s="21" t="s">
        <v>332</v>
      </c>
      <c r="Q25" s="21" t="s">
        <v>333</v>
      </c>
      <c r="R25" s="21" t="s">
        <v>334</v>
      </c>
      <c r="S25" s="21" t="s">
        <v>335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402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89" t="s">
        <v>404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 t="s">
        <v>338</v>
      </c>
      <c r="BX25" s="6" t="e">
        <v>#N/A</v>
      </c>
    </row>
    <row r="26" spans="1:76" x14ac:dyDescent="0.3">
      <c r="A26" s="22" t="s">
        <v>302</v>
      </c>
      <c r="B26" s="21" t="s">
        <v>100</v>
      </c>
      <c r="C26" s="21" t="s">
        <v>401</v>
      </c>
      <c r="D26" s="10" t="s">
        <v>396</v>
      </c>
      <c r="E26" s="7" t="s">
        <v>396</v>
      </c>
      <c r="F26" s="3" t="s">
        <v>397</v>
      </c>
      <c r="G26" s="3" t="s">
        <v>25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330</v>
      </c>
      <c r="M26" s="21" t="s">
        <v>13</v>
      </c>
      <c r="N26" s="21" t="s">
        <v>399</v>
      </c>
      <c r="O26" s="21" t="s">
        <v>396</v>
      </c>
      <c r="P26" s="21" t="s">
        <v>332</v>
      </c>
      <c r="Q26" s="21" t="s">
        <v>333</v>
      </c>
      <c r="R26" s="21" t="s">
        <v>334</v>
      </c>
      <c r="S26" s="21" t="s">
        <v>335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402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89" t="s">
        <v>400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 t="s">
        <v>338</v>
      </c>
      <c r="BX26" s="6" t="e">
        <v>#N/A</v>
      </c>
    </row>
    <row r="27" spans="1:76" x14ac:dyDescent="0.3">
      <c r="A27" s="22" t="s">
        <v>302</v>
      </c>
      <c r="B27" s="21" t="s">
        <v>117</v>
      </c>
      <c r="C27" s="21" t="s">
        <v>405</v>
      </c>
      <c r="D27" s="10" t="s">
        <v>406</v>
      </c>
      <c r="E27" s="7" t="s">
        <v>407</v>
      </c>
      <c r="F27" s="3" t="s">
        <v>392</v>
      </c>
      <c r="G27" s="3" t="s">
        <v>20</v>
      </c>
      <c r="H27" s="4" t="s">
        <v>353</v>
      </c>
      <c r="I27" s="4" t="s">
        <v>353</v>
      </c>
      <c r="J27" s="3"/>
      <c r="K27" s="3" t="str">
        <f t="shared" si="0"/>
        <v>Prj000467-Support - Enterprise Tech Helpdesk</v>
      </c>
      <c r="L27" s="21" t="s">
        <v>330</v>
      </c>
      <c r="M27" s="21" t="s">
        <v>14</v>
      </c>
      <c r="N27" s="21" t="s">
        <v>331</v>
      </c>
      <c r="O27" s="21" t="s">
        <v>10</v>
      </c>
      <c r="P27" s="21" t="s">
        <v>332</v>
      </c>
      <c r="Q27" s="21" t="s">
        <v>333</v>
      </c>
      <c r="R27" s="21" t="s">
        <v>334</v>
      </c>
      <c r="S27" s="21" t="s">
        <v>335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408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87" t="s">
        <v>363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 t="s">
        <v>338</v>
      </c>
      <c r="BX27" s="6" t="s">
        <v>313</v>
      </c>
    </row>
    <row r="28" spans="1:76" ht="72" x14ac:dyDescent="0.3">
      <c r="A28" s="22" t="s">
        <v>302</v>
      </c>
      <c r="B28" s="21" t="s">
        <v>41</v>
      </c>
      <c r="C28" s="21"/>
      <c r="D28" s="10" t="s">
        <v>409</v>
      </c>
      <c r="E28" s="7" t="s">
        <v>410</v>
      </c>
      <c r="F28" s="3" t="s">
        <v>392</v>
      </c>
      <c r="G28" s="3" t="s">
        <v>23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330</v>
      </c>
      <c r="M28" s="21" t="s">
        <v>14</v>
      </c>
      <c r="N28" s="21" t="s">
        <v>331</v>
      </c>
      <c r="O28" s="21" t="s">
        <v>411</v>
      </c>
      <c r="P28" s="21" t="s">
        <v>332</v>
      </c>
      <c r="Q28" s="21" t="s">
        <v>333</v>
      </c>
      <c r="R28" s="21" t="s">
        <v>334</v>
      </c>
      <c r="S28" s="21" t="s">
        <v>335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412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87" t="s">
        <v>413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 t="s">
        <v>338</v>
      </c>
      <c r="BX28" s="6" t="s">
        <v>313</v>
      </c>
    </row>
    <row r="29" spans="1:76" x14ac:dyDescent="0.3">
      <c r="A29" s="22" t="s">
        <v>302</v>
      </c>
      <c r="B29" s="21" t="s">
        <v>41</v>
      </c>
      <c r="C29" s="21"/>
      <c r="D29" s="10" t="s">
        <v>396</v>
      </c>
      <c r="E29" s="7" t="s">
        <v>396</v>
      </c>
      <c r="F29" s="3" t="s">
        <v>397</v>
      </c>
      <c r="G29" s="3" t="s">
        <v>20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330</v>
      </c>
      <c r="M29" s="21" t="s">
        <v>13</v>
      </c>
      <c r="N29" s="21" t="s">
        <v>399</v>
      </c>
      <c r="O29" s="21" t="s">
        <v>396</v>
      </c>
      <c r="P29" s="21" t="s">
        <v>332</v>
      </c>
      <c r="Q29" s="21" t="s">
        <v>333</v>
      </c>
      <c r="R29" s="21" t="s">
        <v>334</v>
      </c>
      <c r="S29" s="21" t="s">
        <v>335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414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89" t="s">
        <v>400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 t="s">
        <v>338</v>
      </c>
      <c r="BX29" s="6" t="e">
        <v>#N/A</v>
      </c>
    </row>
    <row r="30" spans="1:76" x14ac:dyDescent="0.3">
      <c r="A30" s="22" t="s">
        <v>302</v>
      </c>
      <c r="B30" s="21" t="s">
        <v>41</v>
      </c>
      <c r="C30" s="21"/>
      <c r="D30" s="10" t="s">
        <v>396</v>
      </c>
      <c r="E30" s="7" t="s">
        <v>396</v>
      </c>
      <c r="F30" s="3" t="s">
        <v>397</v>
      </c>
      <c r="G30" s="3" t="s">
        <v>22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330</v>
      </c>
      <c r="M30" s="21" t="s">
        <v>13</v>
      </c>
      <c r="N30" s="21" t="s">
        <v>399</v>
      </c>
      <c r="O30" s="21" t="s">
        <v>396</v>
      </c>
      <c r="P30" s="21" t="s">
        <v>332</v>
      </c>
      <c r="Q30" s="21" t="s">
        <v>333</v>
      </c>
      <c r="R30" s="21" t="s">
        <v>334</v>
      </c>
      <c r="S30" s="21" t="s">
        <v>335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414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89" t="s">
        <v>400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 t="s">
        <v>338</v>
      </c>
      <c r="BX30" s="6" t="e">
        <v>#N/A</v>
      </c>
    </row>
    <row r="31" spans="1:76" x14ac:dyDescent="0.3">
      <c r="A31" s="22" t="s">
        <v>302</v>
      </c>
      <c r="B31" s="21" t="s">
        <v>41</v>
      </c>
      <c r="C31" s="21"/>
      <c r="D31" s="10" t="s">
        <v>396</v>
      </c>
      <c r="E31" s="7" t="s">
        <v>396</v>
      </c>
      <c r="F31" s="3" t="s">
        <v>397</v>
      </c>
      <c r="G31" s="3" t="s">
        <v>23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330</v>
      </c>
      <c r="M31" s="21" t="s">
        <v>13</v>
      </c>
      <c r="N31" s="21" t="s">
        <v>399</v>
      </c>
      <c r="O31" s="21" t="s">
        <v>396</v>
      </c>
      <c r="P31" s="21" t="s">
        <v>332</v>
      </c>
      <c r="Q31" s="21" t="s">
        <v>333</v>
      </c>
      <c r="R31" s="21" t="s">
        <v>334</v>
      </c>
      <c r="S31" s="21" t="s">
        <v>335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414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89" t="s">
        <v>415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 t="s">
        <v>338</v>
      </c>
      <c r="BX31" s="6" t="e">
        <v>#N/A</v>
      </c>
    </row>
    <row r="32" spans="1:76" x14ac:dyDescent="0.3">
      <c r="A32" s="22" t="s">
        <v>302</v>
      </c>
      <c r="B32" s="21" t="s">
        <v>41</v>
      </c>
      <c r="C32" s="21"/>
      <c r="D32" s="10" t="s">
        <v>396</v>
      </c>
      <c r="E32" s="7" t="s">
        <v>396</v>
      </c>
      <c r="F32" s="3" t="s">
        <v>397</v>
      </c>
      <c r="G32" s="3" t="s">
        <v>25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330</v>
      </c>
      <c r="M32" s="21" t="s">
        <v>13</v>
      </c>
      <c r="N32" s="21" t="s">
        <v>399</v>
      </c>
      <c r="O32" s="21" t="s">
        <v>396</v>
      </c>
      <c r="P32" s="21" t="s">
        <v>332</v>
      </c>
      <c r="Q32" s="21" t="s">
        <v>333</v>
      </c>
      <c r="R32" s="21" t="s">
        <v>334</v>
      </c>
      <c r="S32" s="21" t="s">
        <v>335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414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89" t="s">
        <v>416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 t="s">
        <v>338</v>
      </c>
      <c r="BX32" s="6" t="e">
        <v>#N/A</v>
      </c>
    </row>
    <row r="33" spans="1:76" x14ac:dyDescent="0.3">
      <c r="A33" s="22" t="s">
        <v>302</v>
      </c>
      <c r="B33" s="21" t="s">
        <v>41</v>
      </c>
      <c r="C33" s="21"/>
      <c r="D33" s="10" t="s">
        <v>396</v>
      </c>
      <c r="E33" s="7" t="s">
        <v>396</v>
      </c>
      <c r="F33" s="3" t="s">
        <v>397</v>
      </c>
      <c r="G33" s="3" t="s">
        <v>23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330</v>
      </c>
      <c r="M33" s="21" t="s">
        <v>13</v>
      </c>
      <c r="N33" s="21" t="s">
        <v>399</v>
      </c>
      <c r="O33" s="21" t="s">
        <v>396</v>
      </c>
      <c r="P33" s="21" t="s">
        <v>332</v>
      </c>
      <c r="Q33" s="21" t="s">
        <v>333</v>
      </c>
      <c r="R33" s="21" t="s">
        <v>334</v>
      </c>
      <c r="S33" s="21" t="s">
        <v>335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417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89" t="s">
        <v>418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 t="s">
        <v>338</v>
      </c>
      <c r="BX33" s="6" t="e">
        <v>#N/A</v>
      </c>
    </row>
    <row r="34" spans="1:76" x14ac:dyDescent="0.3">
      <c r="A34" s="22" t="s">
        <v>302</v>
      </c>
      <c r="B34" s="21" t="s">
        <v>203</v>
      </c>
      <c r="C34" s="21"/>
      <c r="D34" s="10" t="s">
        <v>230</v>
      </c>
      <c r="E34" s="7" t="s">
        <v>351</v>
      </c>
      <c r="F34" s="3" t="s">
        <v>352</v>
      </c>
      <c r="G34" s="3" t="s">
        <v>24</v>
      </c>
      <c r="H34" s="4">
        <v>44545</v>
      </c>
      <c r="I34" s="4">
        <v>46370</v>
      </c>
      <c r="J34" s="3" t="s">
        <v>419</v>
      </c>
      <c r="K34" s="3" t="str">
        <f t="shared" si="0"/>
        <v>Prj000290-Support - Asset Management Applications</v>
      </c>
      <c r="L34" s="21" t="s">
        <v>308</v>
      </c>
      <c r="M34" s="21" t="s">
        <v>16</v>
      </c>
      <c r="N34" s="21" t="s">
        <v>16</v>
      </c>
      <c r="O34" s="21" t="s">
        <v>420</v>
      </c>
      <c r="P34" s="21" t="s">
        <v>309</v>
      </c>
      <c r="Q34" s="21" t="s">
        <v>421</v>
      </c>
      <c r="R34" s="21" t="s">
        <v>421</v>
      </c>
      <c r="S34" s="21" t="s">
        <v>422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423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87" t="s">
        <v>424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 t="s">
        <v>16</v>
      </c>
      <c r="BX34" s="6" t="s">
        <v>313</v>
      </c>
    </row>
    <row r="35" spans="1:76" x14ac:dyDescent="0.3">
      <c r="A35" s="22" t="s">
        <v>302</v>
      </c>
      <c r="B35" s="21" t="s">
        <v>57</v>
      </c>
      <c r="C35" s="21" t="s">
        <v>425</v>
      </c>
      <c r="D35" s="10" t="s">
        <v>233</v>
      </c>
      <c r="E35" s="7" t="s">
        <v>426</v>
      </c>
      <c r="F35" s="3" t="s">
        <v>427</v>
      </c>
      <c r="G35" s="3" t="s">
        <v>22</v>
      </c>
      <c r="H35" s="4">
        <v>46037</v>
      </c>
      <c r="I35" s="4">
        <v>46401</v>
      </c>
      <c r="J35" s="3" t="s">
        <v>428</v>
      </c>
      <c r="K35" s="3" t="str">
        <f t="shared" si="0"/>
        <v>Prj000469-Support - Prod Support for Ops Apps</v>
      </c>
      <c r="L35" s="21" t="s">
        <v>308</v>
      </c>
      <c r="M35" s="21" t="s">
        <v>16</v>
      </c>
      <c r="N35" s="21" t="s">
        <v>16</v>
      </c>
      <c r="O35" s="21" t="s">
        <v>16</v>
      </c>
      <c r="P35" s="21" t="s">
        <v>309</v>
      </c>
      <c r="Q35" s="21" t="s">
        <v>421</v>
      </c>
      <c r="R35" s="21" t="s">
        <v>421</v>
      </c>
      <c r="S35" s="21" t="s">
        <v>311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429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87" t="s">
        <v>430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 t="s">
        <v>16</v>
      </c>
      <c r="BX35" s="6" t="s">
        <v>313</v>
      </c>
    </row>
    <row r="36" spans="1:76" x14ac:dyDescent="0.3">
      <c r="A36" s="22" t="s">
        <v>302</v>
      </c>
      <c r="B36" s="21" t="s">
        <v>44</v>
      </c>
      <c r="C36" s="21" t="s">
        <v>431</v>
      </c>
      <c r="D36" s="10" t="s">
        <v>432</v>
      </c>
      <c r="E36" s="7" t="s">
        <v>433</v>
      </c>
      <c r="F36" s="3" t="s">
        <v>434</v>
      </c>
      <c r="G36" s="3" t="s">
        <v>20</v>
      </c>
      <c r="H36" s="4">
        <v>45968</v>
      </c>
      <c r="I36" s="4">
        <v>46332</v>
      </c>
      <c r="J36" s="3" t="s">
        <v>435</v>
      </c>
      <c r="K36" s="3" t="str">
        <f t="shared" si="0"/>
        <v>Prj000458-Support - Data Analytics Office</v>
      </c>
      <c r="L36" s="21" t="s">
        <v>308</v>
      </c>
      <c r="M36" s="21" t="s">
        <v>16</v>
      </c>
      <c r="N36" s="21" t="s">
        <v>16</v>
      </c>
      <c r="O36" s="21" t="s">
        <v>16</v>
      </c>
      <c r="P36" s="21" t="s">
        <v>309</v>
      </c>
      <c r="Q36" s="21" t="s">
        <v>421</v>
      </c>
      <c r="R36" s="21" t="s">
        <v>421</v>
      </c>
      <c r="S36" s="21" t="s">
        <v>311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436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87" t="s">
        <v>363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 t="s">
        <v>16</v>
      </c>
      <c r="BX36" s="6" t="s">
        <v>313</v>
      </c>
    </row>
    <row r="37" spans="1:76" x14ac:dyDescent="0.3">
      <c r="A37" s="22" t="s">
        <v>302</v>
      </c>
      <c r="B37" s="21" t="s">
        <v>44</v>
      </c>
      <c r="C37" s="21" t="s">
        <v>431</v>
      </c>
      <c r="D37" s="10" t="s">
        <v>437</v>
      </c>
      <c r="E37" s="7" t="s">
        <v>438</v>
      </c>
      <c r="F37" s="3" t="s">
        <v>434</v>
      </c>
      <c r="G37" s="3" t="s">
        <v>20</v>
      </c>
      <c r="H37" s="4">
        <v>45839</v>
      </c>
      <c r="I37" s="4">
        <v>46203</v>
      </c>
      <c r="J37" s="3" t="s">
        <v>439</v>
      </c>
      <c r="K37" s="3" t="str">
        <f t="shared" si="0"/>
        <v>Prj000548-Implement - Reporting for Internal Audit</v>
      </c>
      <c r="L37" s="21" t="s">
        <v>308</v>
      </c>
      <c r="M37" s="21" t="s">
        <v>16</v>
      </c>
      <c r="N37" s="21" t="s">
        <v>16</v>
      </c>
      <c r="O37" s="21"/>
      <c r="P37" s="21" t="s">
        <v>309</v>
      </c>
      <c r="Q37" s="21" t="s">
        <v>421</v>
      </c>
      <c r="R37" s="21" t="s">
        <v>421</v>
      </c>
      <c r="S37" s="21" t="s">
        <v>311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440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87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 t="s">
        <v>16</v>
      </c>
      <c r="BX37" s="6" t="s">
        <v>313</v>
      </c>
    </row>
    <row r="38" spans="1:76" x14ac:dyDescent="0.3">
      <c r="A38" s="22" t="s">
        <v>302</v>
      </c>
      <c r="B38" s="21" t="s">
        <v>44</v>
      </c>
      <c r="C38" s="21" t="s">
        <v>431</v>
      </c>
      <c r="D38" s="10" t="s">
        <v>432</v>
      </c>
      <c r="E38" s="7" t="s">
        <v>433</v>
      </c>
      <c r="F38" s="3" t="s">
        <v>434</v>
      </c>
      <c r="G38" s="3" t="s">
        <v>20</v>
      </c>
      <c r="H38" s="4">
        <v>46143</v>
      </c>
      <c r="I38" s="4">
        <v>46507</v>
      </c>
      <c r="J38" s="3" t="s">
        <v>439</v>
      </c>
      <c r="K38" s="3" t="str">
        <f t="shared" si="0"/>
        <v>Prj000458-Support - Data Analytics Office</v>
      </c>
      <c r="L38" s="21" t="s">
        <v>308</v>
      </c>
      <c r="M38" s="21" t="s">
        <v>16</v>
      </c>
      <c r="N38" s="21" t="s">
        <v>16</v>
      </c>
      <c r="O38" s="21" t="s">
        <v>16</v>
      </c>
      <c r="P38" s="21" t="s">
        <v>309</v>
      </c>
      <c r="Q38" s="21" t="s">
        <v>421</v>
      </c>
      <c r="R38" s="21" t="s">
        <v>421</v>
      </c>
      <c r="S38" s="21" t="s">
        <v>311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441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87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 t="s">
        <v>16</v>
      </c>
      <c r="BX38" s="6" t="s">
        <v>313</v>
      </c>
    </row>
    <row r="39" spans="1:76" x14ac:dyDescent="0.3">
      <c r="A39" s="22" t="s">
        <v>302</v>
      </c>
      <c r="B39" s="21" t="s">
        <v>224</v>
      </c>
      <c r="C39" s="21"/>
      <c r="D39" s="10" t="s">
        <v>442</v>
      </c>
      <c r="E39" s="7" t="s">
        <v>443</v>
      </c>
      <c r="F39" s="3" t="s">
        <v>318</v>
      </c>
      <c r="G39" s="3" t="s">
        <v>25</v>
      </c>
      <c r="H39" s="4">
        <v>46082</v>
      </c>
      <c r="I39" s="4">
        <v>46446</v>
      </c>
      <c r="J39" s="3" t="s">
        <v>444</v>
      </c>
      <c r="K39" s="3" t="str">
        <f t="shared" si="0"/>
        <v>Prj000446-Implement - Minor Enhancements for Enterprise Apps</v>
      </c>
      <c r="L39" s="21" t="s">
        <v>308</v>
      </c>
      <c r="M39" s="21" t="s">
        <v>16</v>
      </c>
      <c r="N39" s="21" t="s">
        <v>16</v>
      </c>
      <c r="O39" s="21" t="s">
        <v>16</v>
      </c>
      <c r="P39" s="21" t="s">
        <v>309</v>
      </c>
      <c r="Q39" s="21" t="s">
        <v>421</v>
      </c>
      <c r="R39" s="21" t="s">
        <v>421</v>
      </c>
      <c r="S39" s="21" t="s">
        <v>311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445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5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87" t="s">
        <v>446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 t="s">
        <v>16</v>
      </c>
      <c r="BX39" s="6" t="s">
        <v>313</v>
      </c>
    </row>
    <row r="40" spans="1:76" x14ac:dyDescent="0.3">
      <c r="A40" s="22" t="s">
        <v>302</v>
      </c>
      <c r="B40" s="21" t="s">
        <v>91</v>
      </c>
      <c r="C40" s="21"/>
      <c r="D40" s="10" t="s">
        <v>304</v>
      </c>
      <c r="E40" s="7" t="s">
        <v>305</v>
      </c>
      <c r="F40" s="3" t="s">
        <v>306</v>
      </c>
      <c r="G40" s="3" t="s">
        <v>21</v>
      </c>
      <c r="H40" s="4" t="s">
        <v>353</v>
      </c>
      <c r="I40" s="4" t="s">
        <v>353</v>
      </c>
      <c r="J40" s="3"/>
      <c r="K40" s="3" t="str">
        <f t="shared" si="0"/>
        <v>Prj000350-Support - Infrastructure for Tech</v>
      </c>
      <c r="L40" s="21" t="s">
        <v>308</v>
      </c>
      <c r="M40" s="21" t="s">
        <v>16</v>
      </c>
      <c r="N40" s="21" t="s">
        <v>16</v>
      </c>
      <c r="O40" s="21" t="s">
        <v>447</v>
      </c>
      <c r="P40" s="21" t="s">
        <v>309</v>
      </c>
      <c r="Q40" s="21" t="s">
        <v>310</v>
      </c>
      <c r="R40" s="21" t="s">
        <v>310</v>
      </c>
      <c r="S40" s="21" t="s">
        <v>335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448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87" t="s">
        <v>449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 t="s">
        <v>16</v>
      </c>
      <c r="BX40" s="6" t="s">
        <v>313</v>
      </c>
    </row>
    <row r="41" spans="1:76" x14ac:dyDescent="0.3">
      <c r="A41" s="22" t="s">
        <v>302</v>
      </c>
      <c r="B41" s="21" t="s">
        <v>91</v>
      </c>
      <c r="C41" s="21"/>
      <c r="D41" s="10" t="s">
        <v>450</v>
      </c>
      <c r="E41" s="7" t="s">
        <v>451</v>
      </c>
      <c r="F41" s="3" t="s">
        <v>306</v>
      </c>
      <c r="G41" s="3" t="s">
        <v>21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308</v>
      </c>
      <c r="M41" s="21" t="s">
        <v>12</v>
      </c>
      <c r="N41" s="21" t="s">
        <v>12</v>
      </c>
      <c r="O41" s="21" t="s">
        <v>452</v>
      </c>
      <c r="P41" s="21" t="s">
        <v>309</v>
      </c>
      <c r="Q41" s="21" t="s">
        <v>453</v>
      </c>
      <c r="R41" s="21" t="s">
        <v>453</v>
      </c>
      <c r="S41" s="21" t="s">
        <v>335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454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89" t="s">
        <v>455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21" t="s">
        <v>12</v>
      </c>
      <c r="BX41" s="6" t="s">
        <v>313</v>
      </c>
    </row>
    <row r="42" spans="1:76" x14ac:dyDescent="0.3">
      <c r="A42" s="22" t="s">
        <v>302</v>
      </c>
      <c r="B42" s="21" t="s">
        <v>125</v>
      </c>
      <c r="C42" s="21" t="s">
        <v>456</v>
      </c>
      <c r="D42" s="10" t="s">
        <v>442</v>
      </c>
      <c r="E42" s="7" t="s">
        <v>443</v>
      </c>
      <c r="F42" s="3" t="s">
        <v>318</v>
      </c>
      <c r="G42" s="3" t="s">
        <v>25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308</v>
      </c>
      <c r="M42" s="21" t="s">
        <v>16</v>
      </c>
      <c r="N42" s="21" t="s">
        <v>16</v>
      </c>
      <c r="O42" s="21" t="s">
        <v>457</v>
      </c>
      <c r="P42" s="21" t="s">
        <v>309</v>
      </c>
      <c r="Q42" s="21" t="s">
        <v>310</v>
      </c>
      <c r="R42" s="21" t="s">
        <v>310</v>
      </c>
      <c r="S42" s="21" t="s">
        <v>311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458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87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 t="s">
        <v>16</v>
      </c>
      <c r="BX42" s="6" t="s">
        <v>313</v>
      </c>
    </row>
    <row r="43" spans="1:76" x14ac:dyDescent="0.3">
      <c r="A43" s="22" t="s">
        <v>302</v>
      </c>
      <c r="B43" s="21" t="s">
        <v>74</v>
      </c>
      <c r="C43" s="21" t="s">
        <v>459</v>
      </c>
      <c r="D43" s="10" t="s">
        <v>304</v>
      </c>
      <c r="E43" s="7" t="s">
        <v>305</v>
      </c>
      <c r="F43" s="3" t="s">
        <v>306</v>
      </c>
      <c r="G43" s="3" t="s">
        <v>21</v>
      </c>
      <c r="H43" s="4">
        <v>46023</v>
      </c>
      <c r="I43" s="4">
        <v>46387</v>
      </c>
      <c r="J43" s="3" t="s">
        <v>460</v>
      </c>
      <c r="K43" s="3" t="str">
        <f t="shared" si="0"/>
        <v>Prj000350-Support - Infrastructure for Tech</v>
      </c>
      <c r="L43" s="21" t="s">
        <v>308</v>
      </c>
      <c r="M43" s="21" t="s">
        <v>16</v>
      </c>
      <c r="N43" s="21" t="s">
        <v>16</v>
      </c>
      <c r="O43" s="21"/>
      <c r="P43" s="21" t="s">
        <v>309</v>
      </c>
      <c r="Q43" s="21" t="s">
        <v>310</v>
      </c>
      <c r="R43" s="21" t="s">
        <v>310</v>
      </c>
      <c r="S43" s="21" t="s">
        <v>335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461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87" t="s">
        <v>462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 t="s">
        <v>16</v>
      </c>
      <c r="BX43" s="6" t="s">
        <v>313</v>
      </c>
    </row>
    <row r="44" spans="1:76" x14ac:dyDescent="0.3">
      <c r="A44" s="22" t="s">
        <v>302</v>
      </c>
      <c r="B44" s="21" t="s">
        <v>74</v>
      </c>
      <c r="C44" s="21" t="s">
        <v>459</v>
      </c>
      <c r="D44" s="10" t="s">
        <v>304</v>
      </c>
      <c r="E44" s="7" t="s">
        <v>305</v>
      </c>
      <c r="F44" s="3" t="s">
        <v>306</v>
      </c>
      <c r="G44" s="3" t="s">
        <v>21</v>
      </c>
      <c r="H44" s="4">
        <v>45931</v>
      </c>
      <c r="I44" s="4">
        <v>46295</v>
      </c>
      <c r="J44" s="3" t="s">
        <v>463</v>
      </c>
      <c r="K44" s="3" t="str">
        <f t="shared" si="0"/>
        <v>Prj000350-Support - Infrastructure for Tech</v>
      </c>
      <c r="L44" s="21" t="s">
        <v>308</v>
      </c>
      <c r="M44" s="21" t="s">
        <v>16</v>
      </c>
      <c r="N44" s="21" t="s">
        <v>16</v>
      </c>
      <c r="O44" s="21"/>
      <c r="P44" s="21" t="s">
        <v>309</v>
      </c>
      <c r="Q44" s="21" t="s">
        <v>310</v>
      </c>
      <c r="R44" s="21" t="s">
        <v>310</v>
      </c>
      <c r="S44" s="21" t="s">
        <v>340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464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87" t="s">
        <v>465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 t="s">
        <v>16</v>
      </c>
      <c r="BX44" s="6" t="s">
        <v>313</v>
      </c>
    </row>
    <row r="45" spans="1:76" x14ac:dyDescent="0.3">
      <c r="A45" s="22" t="s">
        <v>302</v>
      </c>
      <c r="B45" s="21" t="s">
        <v>74</v>
      </c>
      <c r="C45" s="21" t="s">
        <v>466</v>
      </c>
      <c r="D45" s="10" t="s">
        <v>450</v>
      </c>
      <c r="E45" s="7" t="s">
        <v>451</v>
      </c>
      <c r="F45" s="3" t="s">
        <v>306</v>
      </c>
      <c r="G45" s="3" t="s">
        <v>21</v>
      </c>
      <c r="H45" s="4">
        <v>45901</v>
      </c>
      <c r="I45" s="4">
        <v>46265</v>
      </c>
      <c r="J45" s="3" t="s">
        <v>467</v>
      </c>
      <c r="K45" s="3" t="str">
        <f t="shared" si="0"/>
        <v>Prj000342-Support - Site Reliability Engineering for Tech</v>
      </c>
      <c r="L45" s="21" t="s">
        <v>308</v>
      </c>
      <c r="M45" s="21" t="s">
        <v>16</v>
      </c>
      <c r="N45" s="21" t="s">
        <v>16</v>
      </c>
      <c r="O45" s="21"/>
      <c r="P45" s="21" t="s">
        <v>309</v>
      </c>
      <c r="Q45" s="21" t="s">
        <v>310</v>
      </c>
      <c r="R45" s="21" t="s">
        <v>310</v>
      </c>
      <c r="S45" s="21" t="s">
        <v>340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468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87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 t="s">
        <v>16</v>
      </c>
      <c r="BX45" s="6" t="s">
        <v>313</v>
      </c>
    </row>
    <row r="46" spans="1:76" x14ac:dyDescent="0.3">
      <c r="A46" s="22" t="s">
        <v>302</v>
      </c>
      <c r="B46" s="21" t="s">
        <v>74</v>
      </c>
      <c r="C46" s="21" t="s">
        <v>466</v>
      </c>
      <c r="D46" s="10" t="s">
        <v>469</v>
      </c>
      <c r="E46" s="7" t="s">
        <v>470</v>
      </c>
      <c r="F46" s="3" t="s">
        <v>306</v>
      </c>
      <c r="G46" s="3" t="s">
        <v>21</v>
      </c>
      <c r="H46" s="4" t="s">
        <v>319</v>
      </c>
      <c r="I46" s="4" t="s">
        <v>319</v>
      </c>
      <c r="J46" s="3"/>
      <c r="K46" s="3" t="str">
        <f t="shared" si="0"/>
        <v>Prj000358-Support - Security Operations for Cybersecurity</v>
      </c>
      <c r="L46" s="21" t="s">
        <v>308</v>
      </c>
      <c r="M46" s="21" t="s">
        <v>16</v>
      </c>
      <c r="N46" s="21" t="s">
        <v>16</v>
      </c>
      <c r="O46" s="21"/>
      <c r="P46" s="21" t="s">
        <v>309</v>
      </c>
      <c r="Q46" s="21" t="s">
        <v>310</v>
      </c>
      <c r="R46" s="21" t="s">
        <v>310</v>
      </c>
      <c r="S46" s="21" t="s">
        <v>340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471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87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 t="s">
        <v>16</v>
      </c>
      <c r="BX46" s="6" t="s">
        <v>313</v>
      </c>
    </row>
    <row r="47" spans="1:76" x14ac:dyDescent="0.3">
      <c r="A47" s="22" t="s">
        <v>302</v>
      </c>
      <c r="B47" s="21" t="s">
        <v>158</v>
      </c>
      <c r="C47" s="21" t="s">
        <v>472</v>
      </c>
      <c r="D47" s="10" t="s">
        <v>390</v>
      </c>
      <c r="E47" s="7" t="s">
        <v>391</v>
      </c>
      <c r="F47" s="3" t="s">
        <v>392</v>
      </c>
      <c r="G47" s="3" t="s">
        <v>20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308</v>
      </c>
      <c r="M47" s="21" t="s">
        <v>16</v>
      </c>
      <c r="N47" s="21" t="s">
        <v>16</v>
      </c>
      <c r="O47" s="21" t="s">
        <v>16</v>
      </c>
      <c r="P47" s="21" t="s">
        <v>309</v>
      </c>
      <c r="Q47" s="21" t="s">
        <v>310</v>
      </c>
      <c r="R47" s="21" t="s">
        <v>310</v>
      </c>
      <c r="S47" s="21" t="s">
        <v>340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473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87" t="s">
        <v>474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 t="s">
        <v>16</v>
      </c>
      <c r="BX47" s="6" t="s">
        <v>313</v>
      </c>
    </row>
    <row r="48" spans="1:76" x14ac:dyDescent="0.3">
      <c r="A48" s="22" t="s">
        <v>302</v>
      </c>
      <c r="B48" s="21" t="s">
        <v>204</v>
      </c>
      <c r="C48" s="21" t="s">
        <v>475</v>
      </c>
      <c r="D48" s="10" t="s">
        <v>230</v>
      </c>
      <c r="E48" s="7" t="s">
        <v>351</v>
      </c>
      <c r="F48" s="3" t="s">
        <v>352</v>
      </c>
      <c r="G48" s="3" t="s">
        <v>24</v>
      </c>
      <c r="H48" s="4">
        <v>46113</v>
      </c>
      <c r="I48" s="4">
        <v>46477</v>
      </c>
      <c r="J48" s="3" t="s">
        <v>476</v>
      </c>
      <c r="K48" s="3" t="str">
        <f t="shared" si="0"/>
        <v>Prj000290-Support - Asset Management Applications</v>
      </c>
      <c r="L48" s="21" t="s">
        <v>308</v>
      </c>
      <c r="M48" s="21" t="s">
        <v>16</v>
      </c>
      <c r="N48" s="21" t="s">
        <v>16</v>
      </c>
      <c r="O48" s="21" t="s">
        <v>477</v>
      </c>
      <c r="P48" s="21" t="s">
        <v>309</v>
      </c>
      <c r="Q48" s="21" t="s">
        <v>310</v>
      </c>
      <c r="R48" s="21" t="s">
        <v>310</v>
      </c>
      <c r="S48" s="21" t="s">
        <v>340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478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88" t="s">
        <v>479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 t="s">
        <v>16</v>
      </c>
      <c r="BX48" s="6" t="s">
        <v>313</v>
      </c>
    </row>
    <row r="49" spans="1:76" x14ac:dyDescent="0.3">
      <c r="A49" s="22" t="s">
        <v>302</v>
      </c>
      <c r="B49" s="21" t="s">
        <v>188</v>
      </c>
      <c r="C49" s="21" t="s">
        <v>480</v>
      </c>
      <c r="D49" s="10" t="s">
        <v>327</v>
      </c>
      <c r="E49" s="7" t="s">
        <v>328</v>
      </c>
      <c r="F49" s="3" t="s">
        <v>329</v>
      </c>
      <c r="G49" s="3" t="s">
        <v>22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308</v>
      </c>
      <c r="M49" s="21" t="s">
        <v>16</v>
      </c>
      <c r="N49" s="21" t="s">
        <v>16</v>
      </c>
      <c r="O49" s="21"/>
      <c r="P49" s="21" t="s">
        <v>309</v>
      </c>
      <c r="Q49" s="21" t="s">
        <v>310</v>
      </c>
      <c r="R49" s="21" t="s">
        <v>310</v>
      </c>
      <c r="S49" s="21" t="s">
        <v>340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362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87" t="s">
        <v>363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 t="s">
        <v>16</v>
      </c>
      <c r="BX49" s="6" t="s">
        <v>313</v>
      </c>
    </row>
    <row r="50" spans="1:76" x14ac:dyDescent="0.3">
      <c r="A50" s="22" t="s">
        <v>302</v>
      </c>
      <c r="B50" s="21" t="s">
        <v>215</v>
      </c>
      <c r="C50" s="21" t="s">
        <v>481</v>
      </c>
      <c r="D50" s="10" t="s">
        <v>442</v>
      </c>
      <c r="E50" s="7" t="s">
        <v>443</v>
      </c>
      <c r="F50" s="3" t="s">
        <v>318</v>
      </c>
      <c r="G50" s="3" t="s">
        <v>25</v>
      </c>
      <c r="H50" s="4">
        <v>45857</v>
      </c>
      <c r="I50" s="4">
        <v>46221</v>
      </c>
      <c r="J50" s="3" t="s">
        <v>482</v>
      </c>
      <c r="K50" s="3" t="str">
        <f t="shared" si="0"/>
        <v>Prj000446-Implement - Minor Enhancements for Enterprise Apps</v>
      </c>
      <c r="L50" s="21" t="s">
        <v>308</v>
      </c>
      <c r="M50" s="21" t="s">
        <v>16</v>
      </c>
      <c r="N50" s="21" t="s">
        <v>16</v>
      </c>
      <c r="O50" s="21"/>
      <c r="P50" s="21" t="s">
        <v>309</v>
      </c>
      <c r="Q50" s="21" t="s">
        <v>310</v>
      </c>
      <c r="R50" s="21" t="s">
        <v>310</v>
      </c>
      <c r="S50" s="21" t="s">
        <v>340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483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87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 t="s">
        <v>16</v>
      </c>
      <c r="BX50" s="6" t="s">
        <v>313</v>
      </c>
    </row>
    <row r="51" spans="1:76" x14ac:dyDescent="0.3">
      <c r="A51" s="22" t="s">
        <v>302</v>
      </c>
      <c r="B51" s="21" t="s">
        <v>44</v>
      </c>
      <c r="C51" s="21" t="s">
        <v>431</v>
      </c>
      <c r="D51" s="10" t="s">
        <v>327</v>
      </c>
      <c r="E51" s="7" t="s">
        <v>328</v>
      </c>
      <c r="F51" s="3" t="s">
        <v>329</v>
      </c>
      <c r="G51" s="3" t="s">
        <v>22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308</v>
      </c>
      <c r="M51" s="21" t="s">
        <v>16</v>
      </c>
      <c r="N51" s="21" t="s">
        <v>16</v>
      </c>
      <c r="O51" s="21" t="s">
        <v>16</v>
      </c>
      <c r="P51" s="21" t="s">
        <v>309</v>
      </c>
      <c r="Q51" s="21" t="s">
        <v>310</v>
      </c>
      <c r="R51" s="21" t="s">
        <v>310</v>
      </c>
      <c r="S51" s="21" t="s">
        <v>340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484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0" t="s">
        <v>485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 t="s">
        <v>16</v>
      </c>
      <c r="BX51" s="6" t="s">
        <v>313</v>
      </c>
    </row>
    <row r="52" spans="1:76" x14ac:dyDescent="0.3">
      <c r="A52" s="22" t="s">
        <v>302</v>
      </c>
      <c r="B52" s="21" t="s">
        <v>44</v>
      </c>
      <c r="C52" s="21" t="s">
        <v>431</v>
      </c>
      <c r="D52" s="10" t="s">
        <v>327</v>
      </c>
      <c r="E52" s="7" t="s">
        <v>328</v>
      </c>
      <c r="F52" s="3" t="s">
        <v>329</v>
      </c>
      <c r="G52" s="3" t="s">
        <v>22</v>
      </c>
      <c r="H52" s="4">
        <v>45640</v>
      </c>
      <c r="I52" s="4">
        <v>46004</v>
      </c>
      <c r="J52" s="3" t="s">
        <v>486</v>
      </c>
      <c r="K52" s="3" t="str">
        <f t="shared" si="0"/>
        <v>Prj000344-Support - Prod support for Finance Applications</v>
      </c>
      <c r="L52" s="21" t="s">
        <v>308</v>
      </c>
      <c r="M52" s="21" t="s">
        <v>16</v>
      </c>
      <c r="N52" s="21" t="s">
        <v>16</v>
      </c>
      <c r="O52" s="21" t="s">
        <v>16</v>
      </c>
      <c r="P52" s="21" t="s">
        <v>309</v>
      </c>
      <c r="Q52" s="21" t="s">
        <v>310</v>
      </c>
      <c r="R52" s="21" t="s">
        <v>310</v>
      </c>
      <c r="S52" s="21" t="s">
        <v>340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487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0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 t="s">
        <v>16</v>
      </c>
      <c r="BX52" s="6" t="s">
        <v>313</v>
      </c>
    </row>
    <row r="53" spans="1:76" x14ac:dyDescent="0.3">
      <c r="A53" s="22" t="s">
        <v>302</v>
      </c>
      <c r="B53" s="21" t="s">
        <v>44</v>
      </c>
      <c r="C53" s="21" t="s">
        <v>431</v>
      </c>
      <c r="D53" s="10" t="s">
        <v>432</v>
      </c>
      <c r="E53" s="7" t="s">
        <v>433</v>
      </c>
      <c r="F53" s="3" t="s">
        <v>434</v>
      </c>
      <c r="G53" s="3" t="s">
        <v>20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308</v>
      </c>
      <c r="M53" s="21" t="s">
        <v>16</v>
      </c>
      <c r="N53" s="21" t="s">
        <v>16</v>
      </c>
      <c r="O53" s="21" t="s">
        <v>16</v>
      </c>
      <c r="P53" s="21" t="s">
        <v>309</v>
      </c>
      <c r="Q53" s="21" t="s">
        <v>310</v>
      </c>
      <c r="R53" s="21" t="s">
        <v>310</v>
      </c>
      <c r="S53" s="21" t="s">
        <v>340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488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0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 t="s">
        <v>16</v>
      </c>
      <c r="BX53" s="6" t="s">
        <v>313</v>
      </c>
    </row>
    <row r="54" spans="1:76" x14ac:dyDescent="0.3">
      <c r="A54" s="22" t="s">
        <v>302</v>
      </c>
      <c r="B54" s="21" t="s">
        <v>199</v>
      </c>
      <c r="C54" s="21" t="s">
        <v>489</v>
      </c>
      <c r="D54" s="10" t="s">
        <v>490</v>
      </c>
      <c r="E54" s="7" t="s">
        <v>491</v>
      </c>
      <c r="F54" s="3" t="s">
        <v>380</v>
      </c>
      <c r="G54" s="3" t="s">
        <v>23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308</v>
      </c>
      <c r="M54" s="21" t="s">
        <v>16</v>
      </c>
      <c r="N54" s="21" t="s">
        <v>16</v>
      </c>
      <c r="O54" s="21"/>
      <c r="P54" s="21" t="s">
        <v>309</v>
      </c>
      <c r="Q54" s="21" t="s">
        <v>310</v>
      </c>
      <c r="R54" s="21" t="s">
        <v>310</v>
      </c>
      <c r="S54" s="21" t="s">
        <v>340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362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87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 t="s">
        <v>16</v>
      </c>
      <c r="BX54" s="6" t="s">
        <v>313</v>
      </c>
    </row>
    <row r="55" spans="1:76" x14ac:dyDescent="0.3">
      <c r="A55" s="22" t="s">
        <v>302</v>
      </c>
      <c r="B55" s="21" t="s">
        <v>171</v>
      </c>
      <c r="C55" s="21" t="s">
        <v>492</v>
      </c>
      <c r="D55" s="10" t="s">
        <v>493</v>
      </c>
      <c r="E55" s="7" t="s">
        <v>494</v>
      </c>
      <c r="F55" s="3" t="s">
        <v>306</v>
      </c>
      <c r="G55" s="3" t="s">
        <v>21</v>
      </c>
      <c r="H55" s="4">
        <v>45912</v>
      </c>
      <c r="I55" s="4">
        <v>46174</v>
      </c>
      <c r="J55" s="3" t="s">
        <v>495</v>
      </c>
      <c r="K55" s="3" t="str">
        <f t="shared" si="0"/>
        <v>Prj000410-Support - Tech Enablement 2026</v>
      </c>
      <c r="L55" s="21" t="s">
        <v>308</v>
      </c>
      <c r="M55" s="21" t="s">
        <v>16</v>
      </c>
      <c r="N55" s="21" t="s">
        <v>16</v>
      </c>
      <c r="O55" s="21"/>
      <c r="P55" s="21" t="s">
        <v>309</v>
      </c>
      <c r="Q55" s="21" t="s">
        <v>310</v>
      </c>
      <c r="R55" s="21" t="s">
        <v>310</v>
      </c>
      <c r="S55" s="21" t="s">
        <v>340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496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87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 t="s">
        <v>16</v>
      </c>
      <c r="BX55" s="6" t="s">
        <v>313</v>
      </c>
    </row>
    <row r="56" spans="1:76" x14ac:dyDescent="0.3">
      <c r="A56" s="22" t="s">
        <v>302</v>
      </c>
      <c r="B56" s="21" t="s">
        <v>171</v>
      </c>
      <c r="C56" s="21" t="s">
        <v>492</v>
      </c>
      <c r="D56" s="10" t="s">
        <v>493</v>
      </c>
      <c r="E56" s="7" t="s">
        <v>494</v>
      </c>
      <c r="F56" s="3" t="s">
        <v>306</v>
      </c>
      <c r="G56" s="3" t="s">
        <v>21</v>
      </c>
      <c r="H56" s="4">
        <v>45809</v>
      </c>
      <c r="I56" s="4">
        <v>46175</v>
      </c>
      <c r="J56" s="3" t="s">
        <v>495</v>
      </c>
      <c r="K56" s="3" t="str">
        <f t="shared" si="0"/>
        <v>Prj000410-Support - Tech Enablement 2026</v>
      </c>
      <c r="L56" s="21" t="s">
        <v>308</v>
      </c>
      <c r="M56" s="21" t="s">
        <v>16</v>
      </c>
      <c r="N56" s="21" t="s">
        <v>16</v>
      </c>
      <c r="O56" s="21"/>
      <c r="P56" s="21" t="s">
        <v>309</v>
      </c>
      <c r="Q56" s="21" t="s">
        <v>310</v>
      </c>
      <c r="R56" s="21" t="s">
        <v>310</v>
      </c>
      <c r="S56" s="21" t="s">
        <v>340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497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87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 t="s">
        <v>16</v>
      </c>
      <c r="BX56" s="6" t="s">
        <v>313</v>
      </c>
    </row>
    <row r="57" spans="1:76" x14ac:dyDescent="0.3">
      <c r="A57" s="22" t="s">
        <v>302</v>
      </c>
      <c r="B57" s="21" t="s">
        <v>191</v>
      </c>
      <c r="C57" s="21" t="s">
        <v>498</v>
      </c>
      <c r="D57" s="10" t="s">
        <v>327</v>
      </c>
      <c r="E57" s="7" t="s">
        <v>328</v>
      </c>
      <c r="F57" s="3" t="s">
        <v>329</v>
      </c>
      <c r="G57" s="3" t="s">
        <v>22</v>
      </c>
      <c r="H57" s="4">
        <v>45770</v>
      </c>
      <c r="I57" s="4">
        <v>46135</v>
      </c>
      <c r="J57" s="3" t="s">
        <v>499</v>
      </c>
      <c r="K57" s="3" t="str">
        <f t="shared" si="0"/>
        <v>Prj000344-Support - Prod support for Finance Applications</v>
      </c>
      <c r="L57" s="21" t="s">
        <v>308</v>
      </c>
      <c r="M57" s="21" t="s">
        <v>16</v>
      </c>
      <c r="N57" s="21" t="s">
        <v>16</v>
      </c>
      <c r="O57" s="21"/>
      <c r="P57" s="21" t="s">
        <v>309</v>
      </c>
      <c r="Q57" s="21" t="s">
        <v>310</v>
      </c>
      <c r="R57" s="21" t="s">
        <v>310</v>
      </c>
      <c r="S57" s="21" t="s">
        <v>340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362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87" t="s">
        <v>363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 t="s">
        <v>16</v>
      </c>
      <c r="BX57" s="6" t="s">
        <v>313</v>
      </c>
    </row>
    <row r="58" spans="1:76" x14ac:dyDescent="0.3">
      <c r="A58" s="22" t="s">
        <v>302</v>
      </c>
      <c r="B58" s="21" t="s">
        <v>191</v>
      </c>
      <c r="C58" s="21" t="s">
        <v>498</v>
      </c>
      <c r="D58" s="10" t="s">
        <v>327</v>
      </c>
      <c r="E58" s="7" t="s">
        <v>328</v>
      </c>
      <c r="F58" s="3" t="s">
        <v>329</v>
      </c>
      <c r="G58" s="3" t="s">
        <v>22</v>
      </c>
      <c r="H58" s="4">
        <v>46056</v>
      </c>
      <c r="I58" s="4">
        <v>46421</v>
      </c>
      <c r="J58" s="3" t="s">
        <v>500</v>
      </c>
      <c r="K58" s="3" t="str">
        <f t="shared" si="0"/>
        <v>Prj000344-Support - Prod support for Finance Applications</v>
      </c>
      <c r="L58" s="21" t="s">
        <v>308</v>
      </c>
      <c r="M58" s="21" t="s">
        <v>16</v>
      </c>
      <c r="N58" s="21" t="s">
        <v>16</v>
      </c>
      <c r="O58" s="21"/>
      <c r="P58" s="21" t="s">
        <v>309</v>
      </c>
      <c r="Q58" s="21" t="s">
        <v>310</v>
      </c>
      <c r="R58" s="21" t="s">
        <v>310</v>
      </c>
      <c r="S58" s="21" t="s">
        <v>340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362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87" t="s">
        <v>363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 t="s">
        <v>16</v>
      </c>
      <c r="BX58" s="6" t="s">
        <v>313</v>
      </c>
    </row>
    <row r="59" spans="1:76" x14ac:dyDescent="0.3">
      <c r="A59" s="22" t="s">
        <v>302</v>
      </c>
      <c r="B59" s="21" t="s">
        <v>91</v>
      </c>
      <c r="C59" s="21" t="s">
        <v>501</v>
      </c>
      <c r="D59" s="10" t="s">
        <v>304</v>
      </c>
      <c r="E59" s="7" t="s">
        <v>305</v>
      </c>
      <c r="F59" s="3" t="s">
        <v>306</v>
      </c>
      <c r="G59" s="3" t="s">
        <v>21</v>
      </c>
      <c r="H59" s="4">
        <v>45809</v>
      </c>
      <c r="I59" s="4">
        <v>46904</v>
      </c>
      <c r="J59" s="3" t="s">
        <v>502</v>
      </c>
      <c r="K59" s="3" t="str">
        <f t="shared" si="0"/>
        <v>Prj000350-Support - Infrastructure for Tech</v>
      </c>
      <c r="L59" s="21" t="s">
        <v>308</v>
      </c>
      <c r="M59" s="21" t="s">
        <v>16</v>
      </c>
      <c r="N59" s="21" t="s">
        <v>16</v>
      </c>
      <c r="O59" s="21" t="s">
        <v>503</v>
      </c>
      <c r="P59" s="21" t="s">
        <v>309</v>
      </c>
      <c r="Q59" s="21" t="s">
        <v>310</v>
      </c>
      <c r="R59" s="21" t="s">
        <v>310</v>
      </c>
      <c r="S59" s="21" t="s">
        <v>311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504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6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 t="s">
        <v>16</v>
      </c>
      <c r="BX59" s="6" t="s">
        <v>313</v>
      </c>
    </row>
    <row r="60" spans="1:76" x14ac:dyDescent="0.3">
      <c r="A60" s="22" t="s">
        <v>302</v>
      </c>
      <c r="B60" s="21" t="s">
        <v>174</v>
      </c>
      <c r="C60" s="21" t="s">
        <v>505</v>
      </c>
      <c r="D60" s="10" t="s">
        <v>493</v>
      </c>
      <c r="E60" s="7" t="s">
        <v>494</v>
      </c>
      <c r="F60" s="3" t="s">
        <v>306</v>
      </c>
      <c r="G60" s="3" t="s">
        <v>21</v>
      </c>
      <c r="H60" s="4">
        <v>45822</v>
      </c>
      <c r="I60" s="4">
        <v>46186</v>
      </c>
      <c r="J60" s="3" t="s">
        <v>506</v>
      </c>
      <c r="K60" s="3" t="str">
        <f t="shared" si="0"/>
        <v>Prj000410-Support - Tech Enablement 2026</v>
      </c>
      <c r="L60" s="21" t="s">
        <v>308</v>
      </c>
      <c r="M60" s="21" t="s">
        <v>16</v>
      </c>
      <c r="N60" s="21" t="s">
        <v>16</v>
      </c>
      <c r="O60" s="21"/>
      <c r="P60" s="21" t="s">
        <v>309</v>
      </c>
      <c r="Q60" s="21" t="s">
        <v>310</v>
      </c>
      <c r="R60" s="21" t="s">
        <v>310</v>
      </c>
      <c r="S60" s="21" t="s">
        <v>311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507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87" t="s">
        <v>508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 t="s">
        <v>16</v>
      </c>
      <c r="BX60" s="6" t="s">
        <v>313</v>
      </c>
    </row>
    <row r="61" spans="1:76" x14ac:dyDescent="0.3">
      <c r="A61" s="22" t="s">
        <v>302</v>
      </c>
      <c r="B61" s="21" t="s">
        <v>119</v>
      </c>
      <c r="C61" s="21" t="s">
        <v>509</v>
      </c>
      <c r="D61" s="10" t="s">
        <v>304</v>
      </c>
      <c r="E61" s="7" t="s">
        <v>305</v>
      </c>
      <c r="F61" s="3" t="s">
        <v>306</v>
      </c>
      <c r="G61" s="3" t="s">
        <v>21</v>
      </c>
      <c r="H61" s="4">
        <v>46010</v>
      </c>
      <c r="I61" s="4">
        <v>46374</v>
      </c>
      <c r="J61" s="3" t="s">
        <v>510</v>
      </c>
      <c r="K61" s="3" t="str">
        <f t="shared" si="0"/>
        <v>Prj000350-Support - Infrastructure for Tech</v>
      </c>
      <c r="L61" s="21" t="s">
        <v>308</v>
      </c>
      <c r="M61" s="21" t="s">
        <v>16</v>
      </c>
      <c r="N61" s="21" t="s">
        <v>16</v>
      </c>
      <c r="O61" s="21" t="s">
        <v>511</v>
      </c>
      <c r="P61" s="21" t="s">
        <v>309</v>
      </c>
      <c r="Q61" s="21" t="s">
        <v>310</v>
      </c>
      <c r="R61" s="21" t="s">
        <v>310</v>
      </c>
      <c r="S61" s="21" t="s">
        <v>311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512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87" t="s">
        <v>513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 t="s">
        <v>16</v>
      </c>
      <c r="BX61" s="6" t="s">
        <v>313</v>
      </c>
    </row>
    <row r="62" spans="1:76" x14ac:dyDescent="0.3">
      <c r="A62" s="22" t="s">
        <v>302</v>
      </c>
      <c r="B62" s="21" t="s">
        <v>119</v>
      </c>
      <c r="C62" s="21" t="s">
        <v>509</v>
      </c>
      <c r="D62" s="10" t="s">
        <v>304</v>
      </c>
      <c r="E62" s="7" t="s">
        <v>305</v>
      </c>
      <c r="F62" s="3" t="s">
        <v>306</v>
      </c>
      <c r="G62" s="3" t="s">
        <v>21</v>
      </c>
      <c r="H62" s="4">
        <v>45645</v>
      </c>
      <c r="I62" s="4">
        <v>46009</v>
      </c>
      <c r="J62" s="3" t="s">
        <v>514</v>
      </c>
      <c r="K62" s="3" t="str">
        <f t="shared" si="0"/>
        <v>Prj000350-Support - Infrastructure for Tech</v>
      </c>
      <c r="L62" s="21" t="s">
        <v>308</v>
      </c>
      <c r="M62" s="21" t="s">
        <v>16</v>
      </c>
      <c r="N62" s="21" t="s">
        <v>16</v>
      </c>
      <c r="O62" s="21" t="s">
        <v>515</v>
      </c>
      <c r="P62" s="21" t="s">
        <v>309</v>
      </c>
      <c r="Q62" s="21" t="s">
        <v>310</v>
      </c>
      <c r="R62" s="21" t="s">
        <v>310</v>
      </c>
      <c r="S62" s="21" t="s">
        <v>340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516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87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 t="s">
        <v>16</v>
      </c>
      <c r="BX62" s="6" t="s">
        <v>313</v>
      </c>
    </row>
    <row r="63" spans="1:76" x14ac:dyDescent="0.3">
      <c r="A63" s="22" t="s">
        <v>302</v>
      </c>
      <c r="B63" s="21" t="s">
        <v>119</v>
      </c>
      <c r="C63" s="21" t="s">
        <v>509</v>
      </c>
      <c r="D63" s="10" t="s">
        <v>304</v>
      </c>
      <c r="E63" s="7" t="s">
        <v>305</v>
      </c>
      <c r="F63" s="3" t="s">
        <v>306</v>
      </c>
      <c r="G63" s="3" t="s">
        <v>21</v>
      </c>
      <c r="H63" s="4">
        <v>46010</v>
      </c>
      <c r="I63" s="4">
        <v>46374</v>
      </c>
      <c r="J63" s="3" t="s">
        <v>517</v>
      </c>
      <c r="K63" s="3" t="str">
        <f t="shared" si="0"/>
        <v>Prj000350-Support - Infrastructure for Tech</v>
      </c>
      <c r="L63" s="21" t="s">
        <v>308</v>
      </c>
      <c r="M63" s="21" t="s">
        <v>16</v>
      </c>
      <c r="N63" s="21" t="s">
        <v>16</v>
      </c>
      <c r="O63" s="21" t="s">
        <v>518</v>
      </c>
      <c r="P63" s="21" t="s">
        <v>309</v>
      </c>
      <c r="Q63" s="21" t="s">
        <v>310</v>
      </c>
      <c r="R63" s="21" t="s">
        <v>310</v>
      </c>
      <c r="S63" s="21" t="s">
        <v>340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519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1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87" t="s">
        <v>363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 t="s">
        <v>16</v>
      </c>
      <c r="BX63" s="6" t="s">
        <v>313</v>
      </c>
    </row>
    <row r="64" spans="1:76" x14ac:dyDescent="0.3">
      <c r="A64" s="22" t="s">
        <v>302</v>
      </c>
      <c r="B64" s="21" t="s">
        <v>196</v>
      </c>
      <c r="C64" s="21" t="s">
        <v>520</v>
      </c>
      <c r="D64" s="10" t="s">
        <v>233</v>
      </c>
      <c r="E64" s="7" t="s">
        <v>426</v>
      </c>
      <c r="F64" s="3" t="s">
        <v>427</v>
      </c>
      <c r="G64" s="3" t="s">
        <v>22</v>
      </c>
      <c r="H64" s="4">
        <v>45362</v>
      </c>
      <c r="I64" s="4">
        <v>45726</v>
      </c>
      <c r="J64" s="3" t="s">
        <v>521</v>
      </c>
      <c r="K64" s="3" t="str">
        <f t="shared" si="0"/>
        <v>Prj000469-Support - Prod Support for Ops Apps</v>
      </c>
      <c r="L64" s="21" t="s">
        <v>308</v>
      </c>
      <c r="M64" s="21" t="s">
        <v>16</v>
      </c>
      <c r="N64" s="21" t="s">
        <v>16</v>
      </c>
      <c r="O64" s="21"/>
      <c r="P64" s="21" t="s">
        <v>309</v>
      </c>
      <c r="Q64" s="21" t="s">
        <v>310</v>
      </c>
      <c r="R64" s="21" t="s">
        <v>310</v>
      </c>
      <c r="S64" s="21" t="s">
        <v>340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522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87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 t="s">
        <v>16</v>
      </c>
      <c r="BX64" s="6" t="s">
        <v>313</v>
      </c>
    </row>
    <row r="65" spans="1:76" x14ac:dyDescent="0.3">
      <c r="A65" s="22" t="s">
        <v>302</v>
      </c>
      <c r="B65" s="21" t="s">
        <v>219</v>
      </c>
      <c r="C65" s="21" t="s">
        <v>523</v>
      </c>
      <c r="D65" s="10" t="s">
        <v>442</v>
      </c>
      <c r="E65" s="7" t="s">
        <v>443</v>
      </c>
      <c r="F65" s="3" t="s">
        <v>318</v>
      </c>
      <c r="G65" s="3" t="s">
        <v>25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308</v>
      </c>
      <c r="M65" s="21" t="s">
        <v>16</v>
      </c>
      <c r="N65" s="21" t="s">
        <v>16</v>
      </c>
      <c r="O65" s="21"/>
      <c r="P65" s="21" t="s">
        <v>309</v>
      </c>
      <c r="Q65" s="21" t="s">
        <v>310</v>
      </c>
      <c r="R65" s="21" t="s">
        <v>310</v>
      </c>
      <c r="S65" s="21" t="s">
        <v>340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362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87" t="s">
        <v>363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 t="s">
        <v>16</v>
      </c>
      <c r="BX65" s="6" t="s">
        <v>313</v>
      </c>
    </row>
    <row r="66" spans="1:76" x14ac:dyDescent="0.3">
      <c r="A66" s="22" t="s">
        <v>302</v>
      </c>
      <c r="B66" s="21" t="s">
        <v>165</v>
      </c>
      <c r="C66" s="21" t="s">
        <v>524</v>
      </c>
      <c r="D66" s="10" t="s">
        <v>432</v>
      </c>
      <c r="E66" s="7" t="s">
        <v>433</v>
      </c>
      <c r="F66" s="3" t="s">
        <v>434</v>
      </c>
      <c r="G66" s="3" t="s">
        <v>20</v>
      </c>
      <c r="H66" s="4">
        <v>45745</v>
      </c>
      <c r="I66" s="4">
        <v>46109</v>
      </c>
      <c r="J66" s="3" t="s">
        <v>525</v>
      </c>
      <c r="K66" s="3" t="str">
        <f t="shared" ref="K66:K129" si="28">D66 &amp; "-" &amp;E66</f>
        <v>Prj000458-Support - Data Analytics Office</v>
      </c>
      <c r="L66" s="21" t="s">
        <v>308</v>
      </c>
      <c r="M66" s="21" t="s">
        <v>16</v>
      </c>
      <c r="N66" s="21" t="s">
        <v>16</v>
      </c>
      <c r="O66" s="21" t="s">
        <v>526</v>
      </c>
      <c r="P66" s="21" t="s">
        <v>309</v>
      </c>
      <c r="Q66" s="21" t="s">
        <v>310</v>
      </c>
      <c r="R66" s="21" t="s">
        <v>310</v>
      </c>
      <c r="S66" s="21" t="s">
        <v>340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87" t="s">
        <v>50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 t="s">
        <v>16</v>
      </c>
      <c r="BX66" s="6" t="s">
        <v>313</v>
      </c>
    </row>
    <row r="67" spans="1:76" x14ac:dyDescent="0.3">
      <c r="A67" s="22" t="s">
        <v>302</v>
      </c>
      <c r="B67" s="21" t="s">
        <v>201</v>
      </c>
      <c r="C67" s="21" t="s">
        <v>527</v>
      </c>
      <c r="D67" s="10" t="s">
        <v>232</v>
      </c>
      <c r="E67" s="7" t="s">
        <v>379</v>
      </c>
      <c r="F67" s="3" t="s">
        <v>380</v>
      </c>
      <c r="G67" s="3" t="s">
        <v>23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308</v>
      </c>
      <c r="M67" s="21" t="s">
        <v>16</v>
      </c>
      <c r="N67" s="21" t="s">
        <v>16</v>
      </c>
      <c r="O67" s="21"/>
      <c r="P67" s="21" t="s">
        <v>309</v>
      </c>
      <c r="Q67" s="21" t="s">
        <v>310</v>
      </c>
      <c r="R67" s="21" t="s">
        <v>310</v>
      </c>
      <c r="S67" s="21" t="s">
        <v>340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362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87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 t="s">
        <v>16</v>
      </c>
      <c r="BX67" s="6" t="s">
        <v>313</v>
      </c>
    </row>
    <row r="68" spans="1:76" x14ac:dyDescent="0.3">
      <c r="A68" s="22" t="s">
        <v>302</v>
      </c>
      <c r="B68" s="21" t="s">
        <v>202</v>
      </c>
      <c r="C68" s="21" t="s">
        <v>528</v>
      </c>
      <c r="D68" s="10" t="s">
        <v>232</v>
      </c>
      <c r="E68" s="7" t="s">
        <v>379</v>
      </c>
      <c r="F68" s="3" t="s">
        <v>380</v>
      </c>
      <c r="G68" s="3" t="s">
        <v>23</v>
      </c>
      <c r="H68" s="4">
        <v>45904</v>
      </c>
      <c r="I68" s="4">
        <v>46268</v>
      </c>
      <c r="J68" s="3" t="s">
        <v>529</v>
      </c>
      <c r="K68" s="3" t="str">
        <f t="shared" si="28"/>
        <v>Prj000426-Implement - Minor Enhancements for Sales</v>
      </c>
      <c r="L68" s="21" t="s">
        <v>308</v>
      </c>
      <c r="M68" s="21" t="s">
        <v>16</v>
      </c>
      <c r="N68" s="21" t="s">
        <v>16</v>
      </c>
      <c r="O68" s="21"/>
      <c r="P68" s="21" t="s">
        <v>309</v>
      </c>
      <c r="Q68" s="21" t="s">
        <v>310</v>
      </c>
      <c r="R68" s="21" t="s">
        <v>310</v>
      </c>
      <c r="S68" s="21" t="s">
        <v>311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530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87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 t="s">
        <v>16</v>
      </c>
      <c r="BX68" s="6" t="s">
        <v>313</v>
      </c>
    </row>
    <row r="69" spans="1:76" x14ac:dyDescent="0.3">
      <c r="A69" s="22" t="s">
        <v>302</v>
      </c>
      <c r="B69" s="21" t="s">
        <v>178</v>
      </c>
      <c r="C69" s="21" t="s">
        <v>531</v>
      </c>
      <c r="D69" s="10" t="s">
        <v>450</v>
      </c>
      <c r="E69" s="7" t="s">
        <v>451</v>
      </c>
      <c r="F69" s="3" t="s">
        <v>306</v>
      </c>
      <c r="G69" s="3" t="s">
        <v>21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308</v>
      </c>
      <c r="M69" s="21" t="s">
        <v>16</v>
      </c>
      <c r="N69" s="21" t="s">
        <v>16</v>
      </c>
      <c r="O69" s="21"/>
      <c r="P69" s="21" t="s">
        <v>309</v>
      </c>
      <c r="Q69" s="21" t="s">
        <v>310</v>
      </c>
      <c r="R69" s="21" t="s">
        <v>310</v>
      </c>
      <c r="S69" s="21" t="s">
        <v>340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362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87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 t="s">
        <v>16</v>
      </c>
      <c r="BX69" s="6" t="s">
        <v>313</v>
      </c>
    </row>
    <row r="70" spans="1:76" x14ac:dyDescent="0.3">
      <c r="A70" s="22" t="s">
        <v>302</v>
      </c>
      <c r="B70" s="21" t="s">
        <v>73</v>
      </c>
      <c r="C70" s="21" t="s">
        <v>532</v>
      </c>
      <c r="D70" s="10" t="s">
        <v>304</v>
      </c>
      <c r="E70" s="7" t="s">
        <v>305</v>
      </c>
      <c r="F70" s="3" t="s">
        <v>306</v>
      </c>
      <c r="G70" s="3" t="s">
        <v>21</v>
      </c>
      <c r="H70" s="4">
        <v>45947</v>
      </c>
      <c r="I70" s="4">
        <v>46676</v>
      </c>
      <c r="J70" s="3" t="s">
        <v>533</v>
      </c>
      <c r="K70" s="3" t="str">
        <f t="shared" si="28"/>
        <v>Prj000350-Support - Infrastructure for Tech</v>
      </c>
      <c r="L70" s="21" t="s">
        <v>308</v>
      </c>
      <c r="M70" s="21" t="s">
        <v>16</v>
      </c>
      <c r="N70" s="21" t="s">
        <v>16</v>
      </c>
      <c r="O70" s="21" t="s">
        <v>16</v>
      </c>
      <c r="P70" s="21" t="s">
        <v>309</v>
      </c>
      <c r="Q70" s="21" t="s">
        <v>310</v>
      </c>
      <c r="R70" s="21" t="s">
        <v>310</v>
      </c>
      <c r="S70" s="21" t="s">
        <v>319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534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87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 t="s">
        <v>16</v>
      </c>
      <c r="BX70" s="6" t="s">
        <v>313</v>
      </c>
    </row>
    <row r="71" spans="1:76" x14ac:dyDescent="0.3">
      <c r="A71" s="22" t="s">
        <v>302</v>
      </c>
      <c r="B71" s="21" t="s">
        <v>73</v>
      </c>
      <c r="C71" s="21" t="s">
        <v>532</v>
      </c>
      <c r="D71" s="10" t="s">
        <v>406</v>
      </c>
      <c r="E71" s="7" t="s">
        <v>407</v>
      </c>
      <c r="F71" s="3" t="s">
        <v>392</v>
      </c>
      <c r="G71" s="3" t="s">
        <v>20</v>
      </c>
      <c r="H71" s="4">
        <v>45960</v>
      </c>
      <c r="I71" s="4">
        <v>46324</v>
      </c>
      <c r="J71" s="3" t="s">
        <v>535</v>
      </c>
      <c r="K71" s="3" t="str">
        <f t="shared" si="28"/>
        <v>Prj000467-Support - Enterprise Tech Helpdesk</v>
      </c>
      <c r="L71" s="21" t="s">
        <v>308</v>
      </c>
      <c r="M71" s="21" t="s">
        <v>16</v>
      </c>
      <c r="N71" s="21" t="s">
        <v>16</v>
      </c>
      <c r="O71" s="21" t="s">
        <v>16</v>
      </c>
      <c r="P71" s="21" t="s">
        <v>309</v>
      </c>
      <c r="Q71" s="21" t="s">
        <v>310</v>
      </c>
      <c r="R71" s="21" t="s">
        <v>310</v>
      </c>
      <c r="S71" s="21" t="s">
        <v>340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535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87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 t="s">
        <v>16</v>
      </c>
      <c r="BX71" s="6" t="s">
        <v>313</v>
      </c>
    </row>
    <row r="72" spans="1:76" x14ac:dyDescent="0.3">
      <c r="A72" s="22" t="s">
        <v>302</v>
      </c>
      <c r="B72" s="21" t="s">
        <v>73</v>
      </c>
      <c r="C72" s="21" t="s">
        <v>532</v>
      </c>
      <c r="D72" s="10" t="s">
        <v>437</v>
      </c>
      <c r="E72" s="7" t="s">
        <v>438</v>
      </c>
      <c r="F72" s="3" t="s">
        <v>434</v>
      </c>
      <c r="G72" s="3" t="s">
        <v>20</v>
      </c>
      <c r="H72" s="4">
        <v>45870</v>
      </c>
      <c r="I72" s="4">
        <v>46234</v>
      </c>
      <c r="J72" s="3" t="s">
        <v>536</v>
      </c>
      <c r="K72" s="3" t="str">
        <f t="shared" si="28"/>
        <v>Prj000548-Implement - Reporting for Internal Audit</v>
      </c>
      <c r="L72" s="21" t="s">
        <v>308</v>
      </c>
      <c r="M72" s="21" t="s">
        <v>16</v>
      </c>
      <c r="N72" s="21" t="s">
        <v>16</v>
      </c>
      <c r="O72" s="21" t="s">
        <v>16</v>
      </c>
      <c r="P72" s="21" t="s">
        <v>309</v>
      </c>
      <c r="Q72" s="21" t="s">
        <v>310</v>
      </c>
      <c r="R72" s="21" t="s">
        <v>310</v>
      </c>
      <c r="S72" s="21" t="s">
        <v>340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537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87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 t="s">
        <v>16</v>
      </c>
      <c r="BX72" s="6" t="s">
        <v>313</v>
      </c>
    </row>
    <row r="73" spans="1:76" x14ac:dyDescent="0.3">
      <c r="A73" s="22" t="s">
        <v>302</v>
      </c>
      <c r="B73" s="21" t="s">
        <v>73</v>
      </c>
      <c r="C73" s="21" t="s">
        <v>532</v>
      </c>
      <c r="D73" s="10" t="s">
        <v>432</v>
      </c>
      <c r="E73" s="7" t="s">
        <v>433</v>
      </c>
      <c r="F73" s="3" t="s">
        <v>434</v>
      </c>
      <c r="G73" s="3" t="s">
        <v>20</v>
      </c>
      <c r="H73" s="4">
        <v>45896</v>
      </c>
      <c r="I73" s="4">
        <v>46260</v>
      </c>
      <c r="J73" s="3" t="s">
        <v>538</v>
      </c>
      <c r="K73" s="3" t="str">
        <f t="shared" si="28"/>
        <v>Prj000458-Support - Data Analytics Office</v>
      </c>
      <c r="L73" s="21" t="s">
        <v>308</v>
      </c>
      <c r="M73" s="21" t="s">
        <v>16</v>
      </c>
      <c r="N73" s="21" t="s">
        <v>16</v>
      </c>
      <c r="O73" s="21" t="s">
        <v>539</v>
      </c>
      <c r="P73" s="21" t="s">
        <v>309</v>
      </c>
      <c r="Q73" s="21" t="s">
        <v>310</v>
      </c>
      <c r="R73" s="21" t="s">
        <v>310</v>
      </c>
      <c r="S73" s="21" t="s">
        <v>340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540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87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 t="s">
        <v>16</v>
      </c>
      <c r="BX73" s="6" t="s">
        <v>313</v>
      </c>
    </row>
    <row r="74" spans="1:76" x14ac:dyDescent="0.3">
      <c r="A74" s="22" t="s">
        <v>302</v>
      </c>
      <c r="B74" s="21" t="s">
        <v>41</v>
      </c>
      <c r="C74" s="21" t="s">
        <v>541</v>
      </c>
      <c r="D74" s="10" t="s">
        <v>390</v>
      </c>
      <c r="E74" s="7" t="s">
        <v>391</v>
      </c>
      <c r="F74" s="3" t="s">
        <v>392</v>
      </c>
      <c r="G74" s="3" t="s">
        <v>20</v>
      </c>
      <c r="H74" s="4">
        <v>46022</v>
      </c>
      <c r="I74" s="4">
        <v>46386</v>
      </c>
      <c r="J74" s="3" t="s">
        <v>542</v>
      </c>
      <c r="K74" s="3" t="str">
        <f t="shared" si="28"/>
        <v>Prj000403-Support - L2 CoE Management for Tech Horizontals</v>
      </c>
      <c r="L74" s="21" t="s">
        <v>308</v>
      </c>
      <c r="M74" s="21" t="s">
        <v>16</v>
      </c>
      <c r="N74" s="21" t="s">
        <v>16</v>
      </c>
      <c r="O74" s="21" t="s">
        <v>420</v>
      </c>
      <c r="P74" s="21" t="s">
        <v>309</v>
      </c>
      <c r="Q74" s="21" t="s">
        <v>310</v>
      </c>
      <c r="R74" s="21" t="s">
        <v>310</v>
      </c>
      <c r="S74" s="21" t="s">
        <v>340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543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87" t="s">
        <v>363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 t="s">
        <v>16</v>
      </c>
      <c r="BX74" s="6" t="s">
        <v>313</v>
      </c>
    </row>
    <row r="75" spans="1:76" x14ac:dyDescent="0.3">
      <c r="A75" s="22" t="s">
        <v>302</v>
      </c>
      <c r="B75" s="21" t="s">
        <v>222</v>
      </c>
      <c r="C75" s="21" t="s">
        <v>544</v>
      </c>
      <c r="D75" s="10" t="s">
        <v>442</v>
      </c>
      <c r="E75" s="7" t="s">
        <v>443</v>
      </c>
      <c r="F75" s="3" t="s">
        <v>318</v>
      </c>
      <c r="G75" s="3" t="s">
        <v>25</v>
      </c>
      <c r="H75" s="4">
        <v>46017</v>
      </c>
      <c r="I75" s="4">
        <v>46381</v>
      </c>
      <c r="J75" s="3" t="s">
        <v>378</v>
      </c>
      <c r="K75" s="3" t="str">
        <f t="shared" si="28"/>
        <v>Prj000446-Implement - Minor Enhancements for Enterprise Apps</v>
      </c>
      <c r="L75" s="21" t="s">
        <v>308</v>
      </c>
      <c r="M75" s="21" t="s">
        <v>16</v>
      </c>
      <c r="N75" s="21" t="s">
        <v>16</v>
      </c>
      <c r="O75" s="21"/>
      <c r="P75" s="21" t="s">
        <v>309</v>
      </c>
      <c r="Q75" s="21" t="s">
        <v>310</v>
      </c>
      <c r="R75" s="21" t="s">
        <v>310</v>
      </c>
      <c r="S75" s="21" t="s">
        <v>340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87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 t="s">
        <v>16</v>
      </c>
      <c r="BX75" s="6" t="s">
        <v>313</v>
      </c>
    </row>
    <row r="76" spans="1:76" x14ac:dyDescent="0.3">
      <c r="A76" s="22" t="s">
        <v>302</v>
      </c>
      <c r="B76" s="21" t="s">
        <v>208</v>
      </c>
      <c r="C76" s="21" t="s">
        <v>350</v>
      </c>
      <c r="D76" s="10" t="s">
        <v>230</v>
      </c>
      <c r="E76" s="7" t="s">
        <v>351</v>
      </c>
      <c r="F76" s="3" t="s">
        <v>352</v>
      </c>
      <c r="G76" s="3" t="s">
        <v>24</v>
      </c>
      <c r="H76" s="4">
        <v>45831</v>
      </c>
      <c r="I76" s="4">
        <v>46196</v>
      </c>
      <c r="J76" s="3" t="s">
        <v>545</v>
      </c>
      <c r="K76" s="3" t="str">
        <f t="shared" si="28"/>
        <v>Prj000290-Support - Asset Management Applications</v>
      </c>
      <c r="L76" s="21" t="s">
        <v>308</v>
      </c>
      <c r="M76" s="21" t="s">
        <v>16</v>
      </c>
      <c r="N76" s="21" t="s">
        <v>16</v>
      </c>
      <c r="O76" s="21" t="s">
        <v>546</v>
      </c>
      <c r="P76" s="21" t="s">
        <v>309</v>
      </c>
      <c r="Q76" s="21" t="s">
        <v>310</v>
      </c>
      <c r="R76" s="21" t="s">
        <v>310</v>
      </c>
      <c r="S76" s="21" t="s">
        <v>311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547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87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 t="s">
        <v>16</v>
      </c>
      <c r="BX76" s="6" t="s">
        <v>313</v>
      </c>
    </row>
    <row r="77" spans="1:76" x14ac:dyDescent="0.3">
      <c r="A77" s="22" t="s">
        <v>302</v>
      </c>
      <c r="B77" s="21" t="s">
        <v>169</v>
      </c>
      <c r="C77" s="21" t="s">
        <v>548</v>
      </c>
      <c r="D77" s="10" t="s">
        <v>304</v>
      </c>
      <c r="E77" s="7" t="s">
        <v>305</v>
      </c>
      <c r="F77" s="3" t="s">
        <v>306</v>
      </c>
      <c r="G77" s="3" t="s">
        <v>21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308</v>
      </c>
      <c r="M77" s="21" t="s">
        <v>16</v>
      </c>
      <c r="N77" s="21" t="s">
        <v>16</v>
      </c>
      <c r="O77" s="21"/>
      <c r="P77" s="21" t="s">
        <v>309</v>
      </c>
      <c r="Q77" s="21" t="s">
        <v>310</v>
      </c>
      <c r="R77" s="21" t="s">
        <v>310</v>
      </c>
      <c r="S77" s="21" t="s">
        <v>340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88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 t="s">
        <v>16</v>
      </c>
      <c r="BX77" s="6" t="s">
        <v>313</v>
      </c>
    </row>
    <row r="78" spans="1:76" x14ac:dyDescent="0.3">
      <c r="A78" s="22" t="s">
        <v>302</v>
      </c>
      <c r="B78" s="21" t="s">
        <v>162</v>
      </c>
      <c r="C78" s="21" t="s">
        <v>549</v>
      </c>
      <c r="D78" s="10" t="s">
        <v>390</v>
      </c>
      <c r="E78" s="7" t="s">
        <v>391</v>
      </c>
      <c r="F78" s="3" t="s">
        <v>392</v>
      </c>
      <c r="G78" s="3" t="s">
        <v>20</v>
      </c>
      <c r="H78" s="2" t="s">
        <v>353</v>
      </c>
      <c r="I78" s="2" t="s">
        <v>353</v>
      </c>
      <c r="J78" s="3"/>
      <c r="K78" s="3" t="str">
        <f t="shared" si="28"/>
        <v>Prj000403-Support - L2 CoE Management for Tech Horizontals</v>
      </c>
      <c r="L78" s="21" t="s">
        <v>308</v>
      </c>
      <c r="M78" s="21" t="s">
        <v>16</v>
      </c>
      <c r="N78" s="21" t="s">
        <v>16</v>
      </c>
      <c r="O78" s="21" t="s">
        <v>16</v>
      </c>
      <c r="P78" s="21" t="s">
        <v>309</v>
      </c>
      <c r="Q78" s="21" t="s">
        <v>310</v>
      </c>
      <c r="R78" s="21" t="s">
        <v>310</v>
      </c>
      <c r="S78" s="21" t="s">
        <v>335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550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1" t="s">
        <v>551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 t="s">
        <v>16</v>
      </c>
      <c r="BX78" s="6" t="s">
        <v>313</v>
      </c>
    </row>
    <row r="79" spans="1:76" x14ac:dyDescent="0.3">
      <c r="A79" s="22" t="s">
        <v>302</v>
      </c>
      <c r="B79" s="21" t="s">
        <v>162</v>
      </c>
      <c r="C79" s="21" t="s">
        <v>549</v>
      </c>
      <c r="D79" s="10" t="s">
        <v>390</v>
      </c>
      <c r="E79" s="7" t="s">
        <v>391</v>
      </c>
      <c r="F79" s="3" t="s">
        <v>392</v>
      </c>
      <c r="G79" s="3" t="s">
        <v>20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308</v>
      </c>
      <c r="M79" s="21" t="s">
        <v>16</v>
      </c>
      <c r="N79" s="21" t="s">
        <v>16</v>
      </c>
      <c r="O79" s="21" t="s">
        <v>16</v>
      </c>
      <c r="P79" s="21" t="s">
        <v>309</v>
      </c>
      <c r="Q79" s="21" t="s">
        <v>310</v>
      </c>
      <c r="R79" s="21" t="s">
        <v>310</v>
      </c>
      <c r="S79" s="21" t="s">
        <v>340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552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87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 t="s">
        <v>16</v>
      </c>
      <c r="BX79" s="6" t="s">
        <v>313</v>
      </c>
    </row>
    <row r="80" spans="1:76" x14ac:dyDescent="0.3">
      <c r="A80" s="22" t="s">
        <v>302</v>
      </c>
      <c r="B80" s="21" t="s">
        <v>212</v>
      </c>
      <c r="C80" s="21" t="s">
        <v>553</v>
      </c>
      <c r="D80" s="10" t="s">
        <v>229</v>
      </c>
      <c r="E80" s="7" t="s">
        <v>317</v>
      </c>
      <c r="F80" s="3" t="s">
        <v>318</v>
      </c>
      <c r="G80" s="3" t="s">
        <v>25</v>
      </c>
      <c r="H80" s="4">
        <v>45992</v>
      </c>
      <c r="I80" s="4">
        <v>46356</v>
      </c>
      <c r="J80" s="3" t="s">
        <v>553</v>
      </c>
      <c r="K80" s="3" t="str">
        <f t="shared" si="28"/>
        <v>Prj000266-Support - Internal Tech Workforce Activities</v>
      </c>
      <c r="L80" s="21" t="s">
        <v>308</v>
      </c>
      <c r="M80" s="21" t="s">
        <v>16</v>
      </c>
      <c r="N80" s="21" t="s">
        <v>16</v>
      </c>
      <c r="O80" s="21" t="s">
        <v>16</v>
      </c>
      <c r="P80" s="21" t="s">
        <v>309</v>
      </c>
      <c r="Q80" s="21" t="s">
        <v>310</v>
      </c>
      <c r="R80" s="21" t="s">
        <v>310</v>
      </c>
      <c r="S80" s="21" t="s">
        <v>340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554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87" t="s">
        <v>555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 t="s">
        <v>16</v>
      </c>
      <c r="BX80" s="6" t="s">
        <v>313</v>
      </c>
    </row>
    <row r="81" spans="1:76" x14ac:dyDescent="0.3">
      <c r="A81" s="22" t="s">
        <v>302</v>
      </c>
      <c r="B81" s="21" t="s">
        <v>74</v>
      </c>
      <c r="C81" s="21" t="s">
        <v>556</v>
      </c>
      <c r="D81" s="10" t="s">
        <v>229</v>
      </c>
      <c r="E81" s="7" t="s">
        <v>317</v>
      </c>
      <c r="F81" s="3" t="s">
        <v>318</v>
      </c>
      <c r="G81" s="3" t="s">
        <v>25</v>
      </c>
      <c r="H81" s="4">
        <v>45763</v>
      </c>
      <c r="I81" s="4">
        <v>46096</v>
      </c>
      <c r="J81" s="3" t="s">
        <v>557</v>
      </c>
      <c r="K81" s="3" t="str">
        <f t="shared" si="28"/>
        <v>Prj000266-Support - Internal Tech Workforce Activities</v>
      </c>
      <c r="L81" s="21" t="s">
        <v>308</v>
      </c>
      <c r="M81" s="21" t="s">
        <v>16</v>
      </c>
      <c r="N81" s="21" t="s">
        <v>16</v>
      </c>
      <c r="O81" s="21"/>
      <c r="P81" s="21" t="s">
        <v>309</v>
      </c>
      <c r="Q81" s="21" t="s">
        <v>310</v>
      </c>
      <c r="R81" s="21" t="s">
        <v>310</v>
      </c>
      <c r="S81" s="21" t="s">
        <v>340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558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87" t="s">
        <v>559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 t="s">
        <v>16</v>
      </c>
      <c r="BX81" s="6" t="s">
        <v>313</v>
      </c>
    </row>
    <row r="82" spans="1:76" x14ac:dyDescent="0.3">
      <c r="A82" s="22" t="s">
        <v>302</v>
      </c>
      <c r="B82" s="21" t="s">
        <v>159</v>
      </c>
      <c r="C82" s="21" t="s">
        <v>560</v>
      </c>
      <c r="D82" s="10" t="s">
        <v>432</v>
      </c>
      <c r="E82" s="7" t="s">
        <v>433</v>
      </c>
      <c r="F82" s="3" t="s">
        <v>434</v>
      </c>
      <c r="G82" s="3" t="s">
        <v>20</v>
      </c>
      <c r="H82" s="4">
        <v>45900</v>
      </c>
      <c r="I82" s="4">
        <v>46264</v>
      </c>
      <c r="J82" s="3" t="s">
        <v>561</v>
      </c>
      <c r="K82" s="3" t="str">
        <f t="shared" si="28"/>
        <v>Prj000458-Support - Data Analytics Office</v>
      </c>
      <c r="L82" s="21" t="s">
        <v>308</v>
      </c>
      <c r="M82" s="21" t="s">
        <v>16</v>
      </c>
      <c r="N82" s="21" t="s">
        <v>16</v>
      </c>
      <c r="O82" s="21" t="s">
        <v>562</v>
      </c>
      <c r="P82" s="21" t="s">
        <v>309</v>
      </c>
      <c r="Q82" s="21" t="s">
        <v>310</v>
      </c>
      <c r="R82" s="21" t="s">
        <v>310</v>
      </c>
      <c r="S82" s="21" t="s">
        <v>311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563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87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 t="s">
        <v>16</v>
      </c>
      <c r="BX82" s="6" t="s">
        <v>313</v>
      </c>
    </row>
    <row r="83" spans="1:76" x14ac:dyDescent="0.3">
      <c r="A83" s="22" t="s">
        <v>302</v>
      </c>
      <c r="B83" s="21" t="s">
        <v>213</v>
      </c>
      <c r="C83" s="21" t="s">
        <v>213</v>
      </c>
      <c r="D83" s="10" t="s">
        <v>442</v>
      </c>
      <c r="E83" s="7" t="s">
        <v>443</v>
      </c>
      <c r="F83" s="3" t="s">
        <v>318</v>
      </c>
      <c r="G83" s="3" t="s">
        <v>25</v>
      </c>
      <c r="H83" s="2" t="s">
        <v>353</v>
      </c>
      <c r="I83" s="2" t="s">
        <v>353</v>
      </c>
      <c r="J83" s="3"/>
      <c r="K83" s="3" t="str">
        <f t="shared" si="28"/>
        <v>Prj000446-Implement - Minor Enhancements for Enterprise Apps</v>
      </c>
      <c r="L83" s="21" t="s">
        <v>308</v>
      </c>
      <c r="M83" s="21" t="s">
        <v>16</v>
      </c>
      <c r="N83" s="21" t="s">
        <v>16</v>
      </c>
      <c r="O83" s="21" t="s">
        <v>16</v>
      </c>
      <c r="P83" s="21" t="s">
        <v>309</v>
      </c>
      <c r="Q83" s="21" t="s">
        <v>310</v>
      </c>
      <c r="R83" s="21" t="s">
        <v>310</v>
      </c>
      <c r="S83" s="21" t="s">
        <v>340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564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88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 t="s">
        <v>16</v>
      </c>
      <c r="BX83" s="6" t="s">
        <v>313</v>
      </c>
    </row>
    <row r="84" spans="1:76" x14ac:dyDescent="0.3">
      <c r="A84" s="22" t="s">
        <v>302</v>
      </c>
      <c r="B84" s="21" t="s">
        <v>216</v>
      </c>
      <c r="C84" s="21" t="s">
        <v>216</v>
      </c>
      <c r="D84" s="10" t="s">
        <v>442</v>
      </c>
      <c r="E84" s="7" t="s">
        <v>443</v>
      </c>
      <c r="F84" s="3" t="s">
        <v>318</v>
      </c>
      <c r="G84" s="3" t="s">
        <v>25</v>
      </c>
      <c r="H84" s="4">
        <v>45949</v>
      </c>
      <c r="I84" s="4">
        <v>46313</v>
      </c>
      <c r="J84" s="3" t="s">
        <v>565</v>
      </c>
      <c r="K84" s="3" t="str">
        <f t="shared" si="28"/>
        <v>Prj000446-Implement - Minor Enhancements for Enterprise Apps</v>
      </c>
      <c r="L84" s="21" t="s">
        <v>308</v>
      </c>
      <c r="M84" s="21" t="s">
        <v>16</v>
      </c>
      <c r="N84" s="21" t="s">
        <v>16</v>
      </c>
      <c r="O84" s="21" t="s">
        <v>539</v>
      </c>
      <c r="P84" s="21" t="s">
        <v>309</v>
      </c>
      <c r="Q84" s="21" t="s">
        <v>310</v>
      </c>
      <c r="R84" s="21" t="s">
        <v>310</v>
      </c>
      <c r="S84" s="21" t="s">
        <v>340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362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87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 t="s">
        <v>16</v>
      </c>
      <c r="BX84" s="6" t="s">
        <v>313</v>
      </c>
    </row>
    <row r="85" spans="1:76" x14ac:dyDescent="0.3">
      <c r="A85" s="22" t="s">
        <v>302</v>
      </c>
      <c r="B85" s="21" t="s">
        <v>156</v>
      </c>
      <c r="C85" s="21" t="s">
        <v>566</v>
      </c>
      <c r="D85" s="10" t="s">
        <v>432</v>
      </c>
      <c r="E85" s="7" t="s">
        <v>433</v>
      </c>
      <c r="F85" s="3" t="s">
        <v>434</v>
      </c>
      <c r="G85" s="3" t="s">
        <v>20</v>
      </c>
      <c r="H85" s="4">
        <v>45765</v>
      </c>
      <c r="I85" s="4">
        <v>46129</v>
      </c>
      <c r="J85" s="3" t="s">
        <v>566</v>
      </c>
      <c r="K85" s="3" t="str">
        <f t="shared" si="28"/>
        <v>Prj000458-Support - Data Analytics Office</v>
      </c>
      <c r="L85" s="21" t="s">
        <v>308</v>
      </c>
      <c r="M85" s="21" t="s">
        <v>16</v>
      </c>
      <c r="N85" s="21" t="s">
        <v>16</v>
      </c>
      <c r="O85" s="21" t="s">
        <v>378</v>
      </c>
      <c r="P85" s="21" t="s">
        <v>309</v>
      </c>
      <c r="Q85" s="21" t="s">
        <v>310</v>
      </c>
      <c r="R85" s="21" t="s">
        <v>310</v>
      </c>
      <c r="S85" s="21" t="s">
        <v>311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567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88" t="s">
        <v>568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 t="s">
        <v>16</v>
      </c>
      <c r="BX85" s="6" t="s">
        <v>313</v>
      </c>
    </row>
    <row r="86" spans="1:76" x14ac:dyDescent="0.3">
      <c r="A86" s="22" t="s">
        <v>302</v>
      </c>
      <c r="B86" s="21" t="s">
        <v>210</v>
      </c>
      <c r="C86" s="21" t="s">
        <v>569</v>
      </c>
      <c r="D86" s="10" t="s">
        <v>442</v>
      </c>
      <c r="E86" s="7" t="s">
        <v>443</v>
      </c>
      <c r="F86" s="3" t="s">
        <v>318</v>
      </c>
      <c r="G86" s="3" t="s">
        <v>25</v>
      </c>
      <c r="H86" s="4" t="s">
        <v>319</v>
      </c>
      <c r="I86" s="4" t="s">
        <v>319</v>
      </c>
      <c r="J86" s="3"/>
      <c r="K86" s="3" t="str">
        <f t="shared" si="28"/>
        <v>Prj000446-Implement - Minor Enhancements for Enterprise Apps</v>
      </c>
      <c r="L86" s="21" t="s">
        <v>308</v>
      </c>
      <c r="M86" s="21" t="s">
        <v>16</v>
      </c>
      <c r="N86" s="21" t="s">
        <v>16</v>
      </c>
      <c r="O86" s="21"/>
      <c r="P86" s="21" t="s">
        <v>309</v>
      </c>
      <c r="Q86" s="21" t="s">
        <v>310</v>
      </c>
      <c r="R86" s="21" t="s">
        <v>310</v>
      </c>
      <c r="S86" s="21" t="s">
        <v>340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570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87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 t="s">
        <v>16</v>
      </c>
      <c r="BX86" s="6" t="s">
        <v>313</v>
      </c>
    </row>
    <row r="87" spans="1:76" x14ac:dyDescent="0.3">
      <c r="A87" s="22" t="s">
        <v>302</v>
      </c>
      <c r="B87" s="21" t="s">
        <v>203</v>
      </c>
      <c r="C87" s="21"/>
      <c r="D87" s="10" t="s">
        <v>230</v>
      </c>
      <c r="E87" s="7" t="s">
        <v>351</v>
      </c>
      <c r="F87" s="3" t="s">
        <v>352</v>
      </c>
      <c r="G87" s="3" t="s">
        <v>24</v>
      </c>
      <c r="H87" s="4" t="s">
        <v>319</v>
      </c>
      <c r="I87" s="4" t="s">
        <v>319</v>
      </c>
      <c r="J87" s="3"/>
      <c r="K87" s="3" t="str">
        <f t="shared" si="28"/>
        <v>Prj000290-Support - Asset Management Applications</v>
      </c>
      <c r="L87" s="21" t="s">
        <v>308</v>
      </c>
      <c r="M87" s="21" t="s">
        <v>16</v>
      </c>
      <c r="N87" s="21" t="s">
        <v>16</v>
      </c>
      <c r="O87" s="21"/>
      <c r="P87" s="21" t="s">
        <v>309</v>
      </c>
      <c r="Q87" s="21" t="s">
        <v>341</v>
      </c>
      <c r="R87" s="21" t="s">
        <v>342</v>
      </c>
      <c r="S87" s="21" t="s">
        <v>335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571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87" t="s">
        <v>572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 t="s">
        <v>16</v>
      </c>
      <c r="BX87" s="6" t="s">
        <v>313</v>
      </c>
    </row>
    <row r="88" spans="1:76" x14ac:dyDescent="0.3">
      <c r="A88" s="22" t="s">
        <v>302</v>
      </c>
      <c r="B88" s="21" t="s">
        <v>125</v>
      </c>
      <c r="C88" s="21" t="s">
        <v>456</v>
      </c>
      <c r="D88" s="10" t="s">
        <v>442</v>
      </c>
      <c r="E88" s="7" t="s">
        <v>443</v>
      </c>
      <c r="F88" s="3" t="s">
        <v>318</v>
      </c>
      <c r="G88" s="3" t="s">
        <v>25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308</v>
      </c>
      <c r="M88" s="21" t="s">
        <v>14</v>
      </c>
      <c r="N88" s="21" t="s">
        <v>16</v>
      </c>
      <c r="O88" s="21" t="s">
        <v>342</v>
      </c>
      <c r="P88" s="21" t="s">
        <v>332</v>
      </c>
      <c r="Q88" s="21" t="s">
        <v>333</v>
      </c>
      <c r="R88" s="21" t="s">
        <v>334</v>
      </c>
      <c r="S88" s="21" t="s">
        <v>340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87" t="s">
        <v>363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 t="s">
        <v>338</v>
      </c>
      <c r="BX88" s="6" t="s">
        <v>313</v>
      </c>
    </row>
    <row r="89" spans="1:76" ht="100.8" x14ac:dyDescent="0.3">
      <c r="A89" s="22" t="s">
        <v>302</v>
      </c>
      <c r="B89" s="21" t="s">
        <v>74</v>
      </c>
      <c r="C89" s="21"/>
      <c r="D89" s="10" t="s">
        <v>304</v>
      </c>
      <c r="E89" s="7" t="s">
        <v>305</v>
      </c>
      <c r="F89" s="3" t="s">
        <v>306</v>
      </c>
      <c r="G89" s="3" t="s">
        <v>21</v>
      </c>
      <c r="H89" s="4" t="s">
        <v>573</v>
      </c>
      <c r="I89" s="4" t="s">
        <v>573</v>
      </c>
      <c r="J89" s="3"/>
      <c r="K89" s="3" t="str">
        <f t="shared" si="28"/>
        <v>Prj000350-Support - Infrastructure for Tech</v>
      </c>
      <c r="L89" s="21" t="s">
        <v>308</v>
      </c>
      <c r="M89" s="21" t="s">
        <v>16</v>
      </c>
      <c r="N89" s="21" t="s">
        <v>16</v>
      </c>
      <c r="O89" s="21"/>
      <c r="P89" s="21" t="s">
        <v>309</v>
      </c>
      <c r="Q89" s="21" t="s">
        <v>341</v>
      </c>
      <c r="R89" s="21" t="s">
        <v>342</v>
      </c>
      <c r="S89" s="21" t="s">
        <v>335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574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87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 t="s">
        <v>16</v>
      </c>
      <c r="BX89" s="6" t="s">
        <v>313</v>
      </c>
    </row>
    <row r="90" spans="1:76" x14ac:dyDescent="0.3">
      <c r="A90" s="22" t="s">
        <v>302</v>
      </c>
      <c r="B90" s="21" t="s">
        <v>44</v>
      </c>
      <c r="C90" s="21" t="s">
        <v>431</v>
      </c>
      <c r="D90" s="10" t="s">
        <v>390</v>
      </c>
      <c r="E90" s="7" t="s">
        <v>391</v>
      </c>
      <c r="F90" s="3" t="s">
        <v>392</v>
      </c>
      <c r="G90" s="3" t="s">
        <v>20</v>
      </c>
      <c r="H90" s="4">
        <v>45413</v>
      </c>
      <c r="I90" s="4">
        <v>46332</v>
      </c>
      <c r="J90" s="3" t="s">
        <v>575</v>
      </c>
      <c r="K90" s="3" t="str">
        <f t="shared" si="28"/>
        <v>Prj000403-Support - L2 CoE Management for Tech Horizontals</v>
      </c>
      <c r="L90" s="21" t="s">
        <v>330</v>
      </c>
      <c r="M90" s="21" t="s">
        <v>14</v>
      </c>
      <c r="N90" s="21" t="s">
        <v>331</v>
      </c>
      <c r="O90" s="21" t="s">
        <v>576</v>
      </c>
      <c r="P90" s="21" t="s">
        <v>309</v>
      </c>
      <c r="Q90" s="21" t="s">
        <v>341</v>
      </c>
      <c r="R90" s="21" t="s">
        <v>341</v>
      </c>
      <c r="S90" s="21" t="s">
        <v>335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577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87" t="s">
        <v>578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 t="s">
        <v>338</v>
      </c>
      <c r="BX90" s="6" t="s">
        <v>313</v>
      </c>
    </row>
    <row r="91" spans="1:76" x14ac:dyDescent="0.3">
      <c r="A91" s="22" t="s">
        <v>302</v>
      </c>
      <c r="B91" s="21" t="s">
        <v>44</v>
      </c>
      <c r="C91" s="21" t="s">
        <v>431</v>
      </c>
      <c r="D91" s="10" t="s">
        <v>390</v>
      </c>
      <c r="E91" s="7" t="s">
        <v>391</v>
      </c>
      <c r="F91" s="3" t="s">
        <v>392</v>
      </c>
      <c r="G91" s="3" t="s">
        <v>20</v>
      </c>
      <c r="H91" s="4">
        <v>45778</v>
      </c>
      <c r="I91" s="4">
        <v>46332</v>
      </c>
      <c r="J91" s="3" t="s">
        <v>579</v>
      </c>
      <c r="K91" s="3" t="str">
        <f t="shared" si="28"/>
        <v>Prj000403-Support - L2 CoE Management for Tech Horizontals</v>
      </c>
      <c r="L91" s="21" t="s">
        <v>330</v>
      </c>
      <c r="M91" s="21" t="s">
        <v>14</v>
      </c>
      <c r="N91" s="21" t="s">
        <v>331</v>
      </c>
      <c r="O91" s="21" t="s">
        <v>576</v>
      </c>
      <c r="P91" s="21" t="s">
        <v>309</v>
      </c>
      <c r="Q91" s="21" t="s">
        <v>341</v>
      </c>
      <c r="R91" s="21" t="s">
        <v>341</v>
      </c>
      <c r="S91" s="21" t="s">
        <v>335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580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87" t="s">
        <v>363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 t="s">
        <v>338</v>
      </c>
      <c r="BX91" s="6" t="s">
        <v>313</v>
      </c>
    </row>
    <row r="92" spans="1:76" x14ac:dyDescent="0.3">
      <c r="A92" s="22" t="s">
        <v>302</v>
      </c>
      <c r="B92" s="21" t="s">
        <v>214</v>
      </c>
      <c r="C92" s="21"/>
      <c r="D92" s="10" t="s">
        <v>442</v>
      </c>
      <c r="E92" s="7" t="s">
        <v>443</v>
      </c>
      <c r="F92" s="3" t="s">
        <v>318</v>
      </c>
      <c r="G92" s="3" t="s">
        <v>25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308</v>
      </c>
      <c r="M92" s="21" t="s">
        <v>16</v>
      </c>
      <c r="N92" s="21" t="s">
        <v>16</v>
      </c>
      <c r="O92" s="21"/>
      <c r="P92" s="21" t="s">
        <v>309</v>
      </c>
      <c r="Q92" s="21" t="s">
        <v>341</v>
      </c>
      <c r="R92" s="21" t="s">
        <v>341</v>
      </c>
      <c r="S92" s="21" t="s">
        <v>335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581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87" t="s">
        <v>582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 t="s">
        <v>16</v>
      </c>
      <c r="BX92" s="6" t="s">
        <v>313</v>
      </c>
    </row>
    <row r="93" spans="1:76" x14ac:dyDescent="0.3">
      <c r="A93" s="22" t="s">
        <v>302</v>
      </c>
      <c r="B93" s="21" t="s">
        <v>64</v>
      </c>
      <c r="C93" s="21" t="s">
        <v>583</v>
      </c>
      <c r="D93" s="10" t="s">
        <v>233</v>
      </c>
      <c r="E93" s="7" t="s">
        <v>426</v>
      </c>
      <c r="F93" s="3" t="s">
        <v>427</v>
      </c>
      <c r="G93" s="3" t="s">
        <v>22</v>
      </c>
      <c r="H93" s="4"/>
      <c r="I93" s="4"/>
      <c r="J93" s="3"/>
      <c r="K93" s="3" t="str">
        <f t="shared" si="28"/>
        <v>Prj000469-Support - Prod Support for Ops Apps</v>
      </c>
      <c r="L93" s="21" t="s">
        <v>308</v>
      </c>
      <c r="M93" s="21" t="s">
        <v>16</v>
      </c>
      <c r="N93" s="21" t="s">
        <v>16</v>
      </c>
      <c r="O93" s="21"/>
      <c r="P93" s="21" t="s">
        <v>309</v>
      </c>
      <c r="Q93" s="21" t="s">
        <v>341</v>
      </c>
      <c r="R93" s="21" t="s">
        <v>341</v>
      </c>
      <c r="S93" s="21" t="s">
        <v>422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584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89" t="s">
        <v>585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 t="s">
        <v>16</v>
      </c>
      <c r="BX93" s="6" t="s">
        <v>313</v>
      </c>
    </row>
    <row r="94" spans="1:76" x14ac:dyDescent="0.3">
      <c r="A94" s="22" t="s">
        <v>302</v>
      </c>
      <c r="B94" s="21" t="s">
        <v>91</v>
      </c>
      <c r="C94" s="21"/>
      <c r="D94" s="10" t="s">
        <v>304</v>
      </c>
      <c r="E94" s="7" t="s">
        <v>305</v>
      </c>
      <c r="F94" s="3" t="s">
        <v>306</v>
      </c>
      <c r="G94" s="3" t="s">
        <v>21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308</v>
      </c>
      <c r="M94" s="21" t="s">
        <v>16</v>
      </c>
      <c r="N94" s="21" t="s">
        <v>16</v>
      </c>
      <c r="O94" s="21" t="s">
        <v>576</v>
      </c>
      <c r="P94" s="21" t="s">
        <v>309</v>
      </c>
      <c r="Q94" s="21" t="s">
        <v>341</v>
      </c>
      <c r="R94" s="21" t="s">
        <v>342</v>
      </c>
      <c r="S94" s="21" t="s">
        <v>311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586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87" t="s">
        <v>587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 t="s">
        <v>16</v>
      </c>
      <c r="BX94" s="6" t="s">
        <v>313</v>
      </c>
    </row>
    <row r="95" spans="1:76" x14ac:dyDescent="0.3">
      <c r="A95" s="22" t="s">
        <v>302</v>
      </c>
      <c r="B95" s="21" t="s">
        <v>44</v>
      </c>
      <c r="C95" s="21" t="s">
        <v>431</v>
      </c>
      <c r="D95" s="10" t="s">
        <v>396</v>
      </c>
      <c r="E95" s="7" t="s">
        <v>396</v>
      </c>
      <c r="F95" s="3" t="s">
        <v>588</v>
      </c>
      <c r="G95" s="3" t="s">
        <v>20</v>
      </c>
      <c r="H95" s="4">
        <v>46023</v>
      </c>
      <c r="I95" s="4">
        <v>46203</v>
      </c>
      <c r="J95" s="3" t="s">
        <v>589</v>
      </c>
      <c r="K95" s="3" t="str">
        <f t="shared" si="28"/>
        <v>T&amp;M-T&amp;M</v>
      </c>
      <c r="L95" s="21" t="s">
        <v>330</v>
      </c>
      <c r="M95" s="21" t="s">
        <v>13</v>
      </c>
      <c r="N95" s="21" t="s">
        <v>399</v>
      </c>
      <c r="O95" s="21" t="s">
        <v>396</v>
      </c>
      <c r="P95" s="21" t="s">
        <v>332</v>
      </c>
      <c r="Q95" s="21" t="s">
        <v>333</v>
      </c>
      <c r="R95" s="21" t="s">
        <v>334</v>
      </c>
      <c r="S95" s="21" t="s">
        <v>335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590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89" t="s">
        <v>591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 t="s">
        <v>338</v>
      </c>
      <c r="BX95" s="6" t="e">
        <v>#N/A</v>
      </c>
    </row>
    <row r="96" spans="1:76" x14ac:dyDescent="0.3">
      <c r="A96" s="22" t="s">
        <v>302</v>
      </c>
      <c r="B96" s="21" t="s">
        <v>44</v>
      </c>
      <c r="C96" s="21" t="s">
        <v>431</v>
      </c>
      <c r="D96" s="10" t="s">
        <v>592</v>
      </c>
      <c r="E96" s="7" t="s">
        <v>593</v>
      </c>
      <c r="F96" s="3" t="s">
        <v>434</v>
      </c>
      <c r="G96" s="3" t="s">
        <v>20</v>
      </c>
      <c r="H96" s="4">
        <v>46023</v>
      </c>
      <c r="I96" s="4">
        <v>46203</v>
      </c>
      <c r="J96" s="3" t="s">
        <v>594</v>
      </c>
      <c r="K96" s="3" t="str">
        <f t="shared" si="28"/>
        <v>Prj000472-Implement - Build Pipes from CORE Systems to IVP</v>
      </c>
      <c r="L96" s="21" t="s">
        <v>330</v>
      </c>
      <c r="M96" s="21" t="s">
        <v>10</v>
      </c>
      <c r="N96" s="21" t="s">
        <v>595</v>
      </c>
      <c r="O96" s="21"/>
      <c r="P96" s="21" t="s">
        <v>309</v>
      </c>
      <c r="Q96" s="21" t="s">
        <v>341</v>
      </c>
      <c r="R96" s="21" t="s">
        <v>334</v>
      </c>
      <c r="S96" s="21" t="s">
        <v>335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596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87" t="s">
        <v>363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 t="s">
        <v>597</v>
      </c>
      <c r="BW96" s="6" t="s">
        <v>338</v>
      </c>
      <c r="BX96" s="6" t="s">
        <v>598</v>
      </c>
    </row>
    <row r="97" spans="1:76" x14ac:dyDescent="0.3">
      <c r="A97" s="22" t="s">
        <v>302</v>
      </c>
      <c r="B97" s="21" t="s">
        <v>179</v>
      </c>
      <c r="C97" s="21" t="s">
        <v>339</v>
      </c>
      <c r="D97" s="10" t="s">
        <v>304</v>
      </c>
      <c r="E97" s="7" t="s">
        <v>305</v>
      </c>
      <c r="F97" s="3" t="s">
        <v>306</v>
      </c>
      <c r="G97" s="3" t="s">
        <v>21</v>
      </c>
      <c r="H97" s="4" t="s">
        <v>319</v>
      </c>
      <c r="I97" s="4" t="s">
        <v>319</v>
      </c>
      <c r="J97" s="3"/>
      <c r="K97" s="3" t="str">
        <f t="shared" si="28"/>
        <v>Prj000350-Support - Infrastructure for Tech</v>
      </c>
      <c r="L97" s="21" t="s">
        <v>308</v>
      </c>
      <c r="M97" s="21" t="s">
        <v>16</v>
      </c>
      <c r="N97" s="21" t="s">
        <v>16</v>
      </c>
      <c r="O97" s="21" t="s">
        <v>10</v>
      </c>
      <c r="P97" s="21" t="s">
        <v>309</v>
      </c>
      <c r="Q97" s="21" t="s">
        <v>421</v>
      </c>
      <c r="R97" s="21" t="s">
        <v>421</v>
      </c>
      <c r="S97" s="21" t="s">
        <v>340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87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 t="s">
        <v>16</v>
      </c>
      <c r="BX97" s="6" t="s">
        <v>313</v>
      </c>
    </row>
    <row r="98" spans="1:76" x14ac:dyDescent="0.3">
      <c r="A98" s="22" t="s">
        <v>302</v>
      </c>
      <c r="B98" s="21" t="s">
        <v>104</v>
      </c>
      <c r="C98" s="21" t="s">
        <v>599</v>
      </c>
      <c r="D98" s="10" t="s">
        <v>396</v>
      </c>
      <c r="E98" s="7" t="s">
        <v>396</v>
      </c>
      <c r="F98" s="3" t="s">
        <v>588</v>
      </c>
      <c r="G98" s="3" t="s">
        <v>20</v>
      </c>
      <c r="H98" s="4">
        <v>46023</v>
      </c>
      <c r="I98" s="4">
        <v>46203</v>
      </c>
      <c r="J98" s="3" t="s">
        <v>396</v>
      </c>
      <c r="K98" s="3" t="str">
        <f t="shared" si="28"/>
        <v>T&amp;M-T&amp;M</v>
      </c>
      <c r="L98" s="21" t="s">
        <v>330</v>
      </c>
      <c r="M98" s="21" t="s">
        <v>13</v>
      </c>
      <c r="N98" s="21" t="s">
        <v>600</v>
      </c>
      <c r="O98" s="21" t="s">
        <v>396</v>
      </c>
      <c r="P98" s="21" t="s">
        <v>601</v>
      </c>
      <c r="Q98" s="21" t="s">
        <v>602</v>
      </c>
      <c r="R98" s="21" t="s">
        <v>354</v>
      </c>
      <c r="S98" s="21" t="s">
        <v>335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603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89" t="s">
        <v>400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 t="s">
        <v>338</v>
      </c>
      <c r="BX98" s="6" t="e">
        <v>#N/A</v>
      </c>
    </row>
    <row r="99" spans="1:76" x14ac:dyDescent="0.3">
      <c r="A99" s="22" t="s">
        <v>302</v>
      </c>
      <c r="B99" s="21" t="s">
        <v>221</v>
      </c>
      <c r="C99" s="21"/>
      <c r="D99" s="10" t="s">
        <v>442</v>
      </c>
      <c r="E99" s="7" t="s">
        <v>443</v>
      </c>
      <c r="F99" s="3" t="s">
        <v>318</v>
      </c>
      <c r="G99" s="3" t="s">
        <v>25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308</v>
      </c>
      <c r="M99" s="21" t="s">
        <v>16</v>
      </c>
      <c r="N99" s="21" t="s">
        <v>16</v>
      </c>
      <c r="O99" s="21" t="s">
        <v>10</v>
      </c>
      <c r="P99" s="21" t="s">
        <v>309</v>
      </c>
      <c r="Q99" s="21" t="s">
        <v>310</v>
      </c>
      <c r="R99" s="21" t="s">
        <v>354</v>
      </c>
      <c r="S99" s="21" t="s">
        <v>311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604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87" t="s">
        <v>363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 t="s">
        <v>16</v>
      </c>
      <c r="BX99" s="6" t="s">
        <v>313</v>
      </c>
    </row>
    <row r="100" spans="1:76" x14ac:dyDescent="0.3">
      <c r="A100" s="22" t="s">
        <v>605</v>
      </c>
      <c r="B100" s="21" t="s">
        <v>606</v>
      </c>
      <c r="C100" s="21"/>
      <c r="D100" s="3" t="s">
        <v>26</v>
      </c>
      <c r="E100" s="3" t="s">
        <v>26</v>
      </c>
      <c r="F100" s="3" t="s">
        <v>26</v>
      </c>
      <c r="G100" s="3" t="s">
        <v>26</v>
      </c>
      <c r="H100" s="4"/>
      <c r="I100" s="4"/>
      <c r="J100" s="3"/>
      <c r="K100" s="3" t="str">
        <f t="shared" si="28"/>
        <v>N/A-N/A</v>
      </c>
      <c r="L100" s="21" t="s">
        <v>605</v>
      </c>
      <c r="M100" s="21" t="s">
        <v>605</v>
      </c>
      <c r="N100" s="21" t="s">
        <v>607</v>
      </c>
      <c r="O100" s="21" t="s">
        <v>608</v>
      </c>
      <c r="P100" s="21" t="s">
        <v>601</v>
      </c>
      <c r="Q100" s="21" t="s">
        <v>602</v>
      </c>
      <c r="R100" s="21" t="s">
        <v>354</v>
      </c>
      <c r="S100" s="21" t="s">
        <v>605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609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87" t="s">
        <v>610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 t="s">
        <v>611</v>
      </c>
      <c r="BX100" s="6" t="e">
        <v>#N/A</v>
      </c>
    </row>
    <row r="101" spans="1:76" x14ac:dyDescent="0.3">
      <c r="A101" s="32" t="s">
        <v>228</v>
      </c>
      <c r="B101" s="32" t="s">
        <v>152</v>
      </c>
      <c r="C101" s="39"/>
      <c r="D101" s="32" t="s">
        <v>228</v>
      </c>
      <c r="E101" s="32" t="s">
        <v>228</v>
      </c>
      <c r="F101" s="32" t="s">
        <v>228</v>
      </c>
      <c r="G101" s="32" t="s">
        <v>228</v>
      </c>
      <c r="H101" s="34" t="s">
        <v>26</v>
      </c>
      <c r="I101" s="34" t="s">
        <v>26</v>
      </c>
      <c r="J101" s="34" t="s">
        <v>26</v>
      </c>
      <c r="K101" s="35" t="str">
        <f t="shared" si="28"/>
        <v>Amortization-Amortization</v>
      </c>
      <c r="L101" s="33" t="s">
        <v>228</v>
      </c>
      <c r="M101" s="33" t="s">
        <v>15</v>
      </c>
      <c r="N101" s="33" t="s">
        <v>15</v>
      </c>
      <c r="O101" s="33" t="s">
        <v>228</v>
      </c>
      <c r="P101" s="33" t="s">
        <v>309</v>
      </c>
      <c r="Q101" s="33" t="s">
        <v>612</v>
      </c>
      <c r="R101" s="33" t="s">
        <v>613</v>
      </c>
      <c r="S101" s="22" t="s">
        <v>228</v>
      </c>
      <c r="T101" s="36">
        <v>534786</v>
      </c>
      <c r="U101" s="37"/>
      <c r="V101" s="37">
        <f>1244018+197929</f>
        <v>1441947</v>
      </c>
      <c r="W101" s="15">
        <f t="shared" si="29"/>
        <v>1441946.6100000003</v>
      </c>
      <c r="X101" s="15">
        <f t="shared" si="33"/>
        <v>-0.38999999966472387</v>
      </c>
      <c r="Y101" s="15">
        <f t="shared" si="30"/>
        <v>0</v>
      </c>
      <c r="Z101" s="37">
        <f>SUM(Financials20263[[#This Row],[2026 Opportunity]:[2026 Risk]])</f>
        <v>-0.38999999966472387</v>
      </c>
      <c r="AA101" s="41" t="s">
        <v>614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2" t="s">
        <v>615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 t="s">
        <v>326</v>
      </c>
      <c r="BX101" s="6" t="e">
        <v>#N/A</v>
      </c>
    </row>
    <row r="102" spans="1:76" x14ac:dyDescent="0.3">
      <c r="A102" s="22" t="s">
        <v>302</v>
      </c>
      <c r="B102" s="21" t="s">
        <v>197</v>
      </c>
      <c r="C102" s="21"/>
      <c r="D102" s="10" t="s">
        <v>231</v>
      </c>
      <c r="E102" s="7" t="s">
        <v>373</v>
      </c>
      <c r="F102" s="3" t="s">
        <v>374</v>
      </c>
      <c r="G102" s="3" t="s">
        <v>22</v>
      </c>
      <c r="H102" s="4">
        <v>46048</v>
      </c>
      <c r="I102" s="4">
        <v>46412</v>
      </c>
      <c r="J102" s="3" t="s">
        <v>616</v>
      </c>
      <c r="K102" s="3" t="str">
        <f t="shared" si="28"/>
        <v>Prj000381-Support - Prod Support for Credit Apps</v>
      </c>
      <c r="L102" s="21" t="s">
        <v>308</v>
      </c>
      <c r="M102" s="21" t="s">
        <v>16</v>
      </c>
      <c r="N102" s="21" t="s">
        <v>16</v>
      </c>
      <c r="O102" s="21"/>
      <c r="P102" s="21" t="s">
        <v>309</v>
      </c>
      <c r="Q102" s="21" t="s">
        <v>310</v>
      </c>
      <c r="R102" s="21" t="s">
        <v>354</v>
      </c>
      <c r="S102" s="21" t="s">
        <v>311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617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87" t="s">
        <v>363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 t="s">
        <v>16</v>
      </c>
      <c r="BX102" s="6" t="s">
        <v>313</v>
      </c>
    </row>
    <row r="103" spans="1:76" x14ac:dyDescent="0.3">
      <c r="A103" s="22" t="s">
        <v>302</v>
      </c>
      <c r="B103" s="21" t="s">
        <v>79</v>
      </c>
      <c r="C103" s="21" t="s">
        <v>618</v>
      </c>
      <c r="D103" s="10" t="s">
        <v>304</v>
      </c>
      <c r="E103" s="7" t="s">
        <v>305</v>
      </c>
      <c r="F103" s="3" t="s">
        <v>306</v>
      </c>
      <c r="G103" s="3" t="s">
        <v>21</v>
      </c>
      <c r="H103" s="4" t="s">
        <v>353</v>
      </c>
      <c r="I103" s="4" t="s">
        <v>353</v>
      </c>
      <c r="J103" s="3"/>
      <c r="K103" s="3" t="str">
        <f t="shared" si="28"/>
        <v>Prj000350-Support - Infrastructure for Tech</v>
      </c>
      <c r="L103" s="21" t="s">
        <v>308</v>
      </c>
      <c r="M103" s="21" t="s">
        <v>12</v>
      </c>
      <c r="N103" s="21" t="s">
        <v>12</v>
      </c>
      <c r="O103" s="21" t="s">
        <v>619</v>
      </c>
      <c r="P103" s="21" t="s">
        <v>309</v>
      </c>
      <c r="Q103" s="21" t="s">
        <v>358</v>
      </c>
      <c r="R103" s="21" t="s">
        <v>358</v>
      </c>
      <c r="S103" s="21" t="s">
        <v>335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620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88" t="s">
        <v>551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21" t="s">
        <v>12</v>
      </c>
      <c r="BX103" s="6" t="s">
        <v>313</v>
      </c>
    </row>
    <row r="104" spans="1:76" x14ac:dyDescent="0.3">
      <c r="A104" s="22" t="s">
        <v>302</v>
      </c>
      <c r="B104" s="21" t="s">
        <v>81</v>
      </c>
      <c r="C104" s="21"/>
      <c r="D104" s="10" t="s">
        <v>304</v>
      </c>
      <c r="E104" s="7" t="s">
        <v>305</v>
      </c>
      <c r="F104" s="3" t="s">
        <v>306</v>
      </c>
      <c r="G104" s="3" t="s">
        <v>21</v>
      </c>
      <c r="H104" s="4" t="s">
        <v>353</v>
      </c>
      <c r="I104" s="4" t="s">
        <v>353</v>
      </c>
      <c r="J104" s="3"/>
      <c r="K104" s="3" t="str">
        <f t="shared" si="28"/>
        <v>Prj000350-Support - Infrastructure for Tech</v>
      </c>
      <c r="L104" s="21" t="s">
        <v>308</v>
      </c>
      <c r="M104" s="21" t="s">
        <v>12</v>
      </c>
      <c r="N104" s="21" t="s">
        <v>12</v>
      </c>
      <c r="O104" s="21"/>
      <c r="P104" s="21" t="s">
        <v>309</v>
      </c>
      <c r="Q104" s="21" t="s">
        <v>358</v>
      </c>
      <c r="R104" s="21" t="s">
        <v>358</v>
      </c>
      <c r="S104" s="21" t="s">
        <v>335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12">
        <v>372</v>
      </c>
      <c r="AU104" s="11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87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21" t="s">
        <v>12</v>
      </c>
      <c r="BX104" s="6" t="s">
        <v>313</v>
      </c>
    </row>
    <row r="105" spans="1:76" x14ac:dyDescent="0.3">
      <c r="A105" s="22" t="s">
        <v>302</v>
      </c>
      <c r="B105" s="21" t="s">
        <v>86</v>
      </c>
      <c r="C105" s="21"/>
      <c r="D105" s="10" t="s">
        <v>304</v>
      </c>
      <c r="E105" s="7" t="s">
        <v>305</v>
      </c>
      <c r="F105" s="3" t="s">
        <v>306</v>
      </c>
      <c r="G105" s="3" t="s">
        <v>21</v>
      </c>
      <c r="H105" s="4" t="s">
        <v>353</v>
      </c>
      <c r="I105" s="4" t="s">
        <v>353</v>
      </c>
      <c r="J105" s="3"/>
      <c r="K105" s="3" t="str">
        <f t="shared" si="28"/>
        <v>Prj000350-Support - Infrastructure for Tech</v>
      </c>
      <c r="L105" s="21" t="s">
        <v>308</v>
      </c>
      <c r="M105" s="21" t="s">
        <v>12</v>
      </c>
      <c r="N105" s="21" t="s">
        <v>12</v>
      </c>
      <c r="O105" s="21" t="s">
        <v>361</v>
      </c>
      <c r="P105" s="21" t="s">
        <v>309</v>
      </c>
      <c r="Q105" s="21" t="s">
        <v>358</v>
      </c>
      <c r="R105" s="21" t="s">
        <v>358</v>
      </c>
      <c r="S105" s="21" t="s">
        <v>335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621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12">
        <v>628.64919999999995</v>
      </c>
      <c r="AU105" s="11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87" t="s">
        <v>363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21" t="s">
        <v>12</v>
      </c>
      <c r="BX105" s="6" t="s">
        <v>313</v>
      </c>
    </row>
    <row r="106" spans="1:76" x14ac:dyDescent="0.3">
      <c r="A106" s="22" t="s">
        <v>372</v>
      </c>
      <c r="B106" s="21" t="s">
        <v>97</v>
      </c>
      <c r="C106" s="21"/>
      <c r="D106" s="10" t="s">
        <v>229</v>
      </c>
      <c r="E106" s="7" t="s">
        <v>317</v>
      </c>
      <c r="F106" s="3" t="s">
        <v>318</v>
      </c>
      <c r="G106" s="3" t="s">
        <v>25</v>
      </c>
      <c r="H106" s="4" t="s">
        <v>319</v>
      </c>
      <c r="I106" s="4" t="s">
        <v>319</v>
      </c>
      <c r="J106" s="3"/>
      <c r="K106" s="3" t="str">
        <f t="shared" si="28"/>
        <v>Prj000266-Support - Internal Tech Workforce Activities</v>
      </c>
      <c r="L106" s="21" t="s">
        <v>308</v>
      </c>
      <c r="M106" s="21" t="s">
        <v>12</v>
      </c>
      <c r="N106" s="21" t="s">
        <v>12</v>
      </c>
      <c r="O106" s="21"/>
      <c r="P106" s="21" t="s">
        <v>366</v>
      </c>
      <c r="Q106" s="21" t="s">
        <v>367</v>
      </c>
      <c r="R106" s="21" t="s">
        <v>622</v>
      </c>
      <c r="S106" s="21" t="s">
        <v>340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362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87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21" t="s">
        <v>12</v>
      </c>
      <c r="BX106" s="6" t="s">
        <v>313</v>
      </c>
    </row>
    <row r="107" spans="1:76" x14ac:dyDescent="0.3">
      <c r="A107" s="22" t="s">
        <v>316</v>
      </c>
      <c r="B107" s="21" t="s">
        <v>759</v>
      </c>
      <c r="C107" s="21" t="s">
        <v>98</v>
      </c>
      <c r="D107" s="10" t="s">
        <v>229</v>
      </c>
      <c r="E107" s="7" t="s">
        <v>317</v>
      </c>
      <c r="F107" s="3" t="s">
        <v>318</v>
      </c>
      <c r="G107" s="3" t="s">
        <v>25</v>
      </c>
      <c r="H107" s="4" t="s">
        <v>319</v>
      </c>
      <c r="I107" s="4" t="s">
        <v>319</v>
      </c>
      <c r="J107" s="3"/>
      <c r="K107" s="3" t="str">
        <f t="shared" si="28"/>
        <v>Prj000266-Support - Internal Tech Workforce Activities</v>
      </c>
      <c r="L107" s="21" t="s">
        <v>308</v>
      </c>
      <c r="M107" s="21" t="s">
        <v>12</v>
      </c>
      <c r="N107" s="21" t="s">
        <v>12</v>
      </c>
      <c r="O107" s="21"/>
      <c r="P107" s="21" t="s">
        <v>366</v>
      </c>
      <c r="Q107" s="21" t="s">
        <v>367</v>
      </c>
      <c r="R107" s="21" t="s">
        <v>623</v>
      </c>
      <c r="S107" s="21" t="s">
        <v>323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624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87" t="s">
        <v>625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21" t="s">
        <v>12</v>
      </c>
      <c r="BX107" s="6" t="s">
        <v>313</v>
      </c>
    </row>
    <row r="108" spans="1:76" x14ac:dyDescent="0.3">
      <c r="A108" s="22" t="s">
        <v>302</v>
      </c>
      <c r="B108" s="21" t="s">
        <v>132</v>
      </c>
      <c r="C108" s="21"/>
      <c r="D108" s="10" t="s">
        <v>233</v>
      </c>
      <c r="E108" s="7" t="s">
        <v>426</v>
      </c>
      <c r="F108" s="3" t="s">
        <v>427</v>
      </c>
      <c r="G108" s="3" t="s">
        <v>22</v>
      </c>
      <c r="H108" s="4">
        <v>46023</v>
      </c>
      <c r="I108" s="4">
        <v>46387</v>
      </c>
      <c r="J108" s="3" t="s">
        <v>626</v>
      </c>
      <c r="K108" s="3" t="str">
        <f t="shared" si="28"/>
        <v>Prj000469-Support - Prod Support for Ops Apps</v>
      </c>
      <c r="L108" s="21" t="s">
        <v>308</v>
      </c>
      <c r="M108" s="21" t="s">
        <v>15</v>
      </c>
      <c r="N108" s="21" t="s">
        <v>15</v>
      </c>
      <c r="O108" s="21" t="s">
        <v>627</v>
      </c>
      <c r="P108" s="21" t="s">
        <v>366</v>
      </c>
      <c r="Q108" s="21" t="s">
        <v>367</v>
      </c>
      <c r="R108" s="21" t="s">
        <v>628</v>
      </c>
      <c r="S108" s="21" t="s">
        <v>340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629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87" t="s">
        <v>363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 t="s">
        <v>326</v>
      </c>
      <c r="BX108" s="6" t="s">
        <v>313</v>
      </c>
    </row>
    <row r="109" spans="1:76" x14ac:dyDescent="0.3">
      <c r="A109" s="22" t="s">
        <v>302</v>
      </c>
      <c r="B109" s="21" t="s">
        <v>93</v>
      </c>
      <c r="C109" s="21"/>
      <c r="D109" s="10" t="s">
        <v>304</v>
      </c>
      <c r="E109" s="7" t="s">
        <v>305</v>
      </c>
      <c r="F109" s="3" t="s">
        <v>306</v>
      </c>
      <c r="G109" s="3" t="s">
        <v>21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308</v>
      </c>
      <c r="M109" s="21" t="s">
        <v>12</v>
      </c>
      <c r="N109" s="21" t="s">
        <v>12</v>
      </c>
      <c r="O109" s="21"/>
      <c r="P109" s="21" t="s">
        <v>366</v>
      </c>
      <c r="Q109" s="21" t="s">
        <v>367</v>
      </c>
      <c r="R109" s="21" t="s">
        <v>628</v>
      </c>
      <c r="S109" s="21" t="s">
        <v>340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362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87" t="s">
        <v>363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21" t="s">
        <v>12</v>
      </c>
      <c r="BX109" s="6" t="s">
        <v>313</v>
      </c>
    </row>
    <row r="110" spans="1:76" x14ac:dyDescent="0.3">
      <c r="A110" s="22" t="s">
        <v>372</v>
      </c>
      <c r="B110" s="21" t="s">
        <v>84</v>
      </c>
      <c r="C110" s="21"/>
      <c r="D110" s="10" t="s">
        <v>304</v>
      </c>
      <c r="E110" s="7" t="s">
        <v>305</v>
      </c>
      <c r="F110" s="3" t="s">
        <v>306</v>
      </c>
      <c r="G110" s="3" t="s">
        <v>21</v>
      </c>
      <c r="H110" s="4" t="s">
        <v>319</v>
      </c>
      <c r="I110" s="4" t="s">
        <v>319</v>
      </c>
      <c r="J110" s="3"/>
      <c r="K110" s="3" t="str">
        <f t="shared" si="28"/>
        <v>Prj000350-Support - Infrastructure for Tech</v>
      </c>
      <c r="L110" s="21" t="s">
        <v>308</v>
      </c>
      <c r="M110" s="21" t="s">
        <v>12</v>
      </c>
      <c r="N110" s="21" t="s">
        <v>12</v>
      </c>
      <c r="O110" s="21" t="s">
        <v>630</v>
      </c>
      <c r="P110" s="21" t="s">
        <v>366</v>
      </c>
      <c r="Q110" s="21" t="s">
        <v>367</v>
      </c>
      <c r="R110" s="21" t="s">
        <v>368</v>
      </c>
      <c r="S110" s="21" t="s">
        <v>335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631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631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21" t="s">
        <v>12</v>
      </c>
      <c r="BX110" s="6" t="s">
        <v>313</v>
      </c>
    </row>
    <row r="111" spans="1:76" x14ac:dyDescent="0.3">
      <c r="A111" s="22" t="s">
        <v>372</v>
      </c>
      <c r="B111" s="21" t="s">
        <v>88</v>
      </c>
      <c r="C111" s="21"/>
      <c r="D111" s="10" t="s">
        <v>304</v>
      </c>
      <c r="E111" s="7" t="s">
        <v>305</v>
      </c>
      <c r="F111" s="3" t="s">
        <v>306</v>
      </c>
      <c r="G111" s="3" t="s">
        <v>21</v>
      </c>
      <c r="H111" s="4" t="s">
        <v>353</v>
      </c>
      <c r="I111" s="4" t="s">
        <v>353</v>
      </c>
      <c r="J111" s="3"/>
      <c r="K111" s="3" t="str">
        <f t="shared" si="28"/>
        <v>Prj000350-Support - Infrastructure for Tech</v>
      </c>
      <c r="L111" s="21" t="s">
        <v>308</v>
      </c>
      <c r="M111" s="21" t="s">
        <v>12</v>
      </c>
      <c r="N111" s="21" t="s">
        <v>12</v>
      </c>
      <c r="O111" s="21"/>
      <c r="P111" s="21" t="s">
        <v>366</v>
      </c>
      <c r="Q111" s="21" t="s">
        <v>367</v>
      </c>
      <c r="R111" s="21" t="s">
        <v>368</v>
      </c>
      <c r="S111" s="21" t="s">
        <v>335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362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87" t="s">
        <v>363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21" t="s">
        <v>12</v>
      </c>
      <c r="BX111" s="6" t="s">
        <v>313</v>
      </c>
    </row>
    <row r="112" spans="1:76" x14ac:dyDescent="0.3">
      <c r="A112" s="22" t="s">
        <v>372</v>
      </c>
      <c r="B112" s="21" t="s">
        <v>90</v>
      </c>
      <c r="C112" s="21"/>
      <c r="D112" s="10" t="s">
        <v>304</v>
      </c>
      <c r="E112" s="7" t="s">
        <v>305</v>
      </c>
      <c r="F112" s="3" t="s">
        <v>306</v>
      </c>
      <c r="G112" s="3" t="s">
        <v>21</v>
      </c>
      <c r="H112" s="4" t="s">
        <v>353</v>
      </c>
      <c r="I112" s="4" t="s">
        <v>353</v>
      </c>
      <c r="J112" s="3"/>
      <c r="K112" s="3" t="str">
        <f t="shared" si="28"/>
        <v>Prj000350-Support - Infrastructure for Tech</v>
      </c>
      <c r="L112" s="21" t="s">
        <v>308</v>
      </c>
      <c r="M112" s="21" t="s">
        <v>12</v>
      </c>
      <c r="N112" s="21" t="s">
        <v>12</v>
      </c>
      <c r="O112" s="21"/>
      <c r="P112" s="21" t="s">
        <v>366</v>
      </c>
      <c r="Q112" s="21" t="s">
        <v>367</v>
      </c>
      <c r="R112" s="21" t="s">
        <v>368</v>
      </c>
      <c r="S112" s="21" t="s">
        <v>335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87" t="s">
        <v>363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21" t="s">
        <v>12</v>
      </c>
      <c r="BX112" s="6" t="s">
        <v>313</v>
      </c>
    </row>
    <row r="113" spans="1:76" x14ac:dyDescent="0.3">
      <c r="A113" s="22" t="s">
        <v>372</v>
      </c>
      <c r="B113" s="21" t="s">
        <v>94</v>
      </c>
      <c r="C113" s="21"/>
      <c r="D113" s="10" t="s">
        <v>304</v>
      </c>
      <c r="E113" s="7" t="s">
        <v>305</v>
      </c>
      <c r="F113" s="3" t="s">
        <v>306</v>
      </c>
      <c r="G113" s="3" t="s">
        <v>21</v>
      </c>
      <c r="H113" s="4" t="s">
        <v>353</v>
      </c>
      <c r="I113" s="4" t="s">
        <v>353</v>
      </c>
      <c r="J113" s="3"/>
      <c r="K113" s="3" t="str">
        <f t="shared" si="28"/>
        <v>Prj000350-Support - Infrastructure for Tech</v>
      </c>
      <c r="L113" s="21" t="s">
        <v>308</v>
      </c>
      <c r="M113" s="21" t="s">
        <v>12</v>
      </c>
      <c r="N113" s="21" t="s">
        <v>12</v>
      </c>
      <c r="O113" s="21"/>
      <c r="P113" s="21" t="s">
        <v>366</v>
      </c>
      <c r="Q113" s="21" t="s">
        <v>367</v>
      </c>
      <c r="R113" s="21" t="s">
        <v>368</v>
      </c>
      <c r="S113" s="21" t="s">
        <v>335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88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21" t="s">
        <v>12</v>
      </c>
      <c r="BX113" s="6" t="s">
        <v>313</v>
      </c>
    </row>
    <row r="114" spans="1:76" x14ac:dyDescent="0.3">
      <c r="A114" s="22" t="s">
        <v>302</v>
      </c>
      <c r="B114" s="21" t="s">
        <v>128</v>
      </c>
      <c r="C114" s="21"/>
      <c r="D114" s="10" t="s">
        <v>233</v>
      </c>
      <c r="E114" s="7" t="s">
        <v>426</v>
      </c>
      <c r="F114" s="3" t="s">
        <v>427</v>
      </c>
      <c r="G114" s="3" t="s">
        <v>22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308</v>
      </c>
      <c r="M114" s="21" t="s">
        <v>15</v>
      </c>
      <c r="N114" s="21" t="s">
        <v>15</v>
      </c>
      <c r="O114" s="21" t="s">
        <v>375</v>
      </c>
      <c r="P114" s="21" t="s">
        <v>376</v>
      </c>
      <c r="Q114" s="21" t="s">
        <v>376</v>
      </c>
      <c r="R114" s="21" t="s">
        <v>377</v>
      </c>
      <c r="S114" s="21" t="s">
        <v>340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632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87" t="s">
        <v>363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 t="s">
        <v>326</v>
      </c>
      <c r="BX114" s="6" t="s">
        <v>313</v>
      </c>
    </row>
    <row r="115" spans="1:76" x14ac:dyDescent="0.3">
      <c r="A115" s="22" t="s">
        <v>302</v>
      </c>
      <c r="B115" s="21" t="s">
        <v>142</v>
      </c>
      <c r="C115" s="21"/>
      <c r="D115" s="10" t="s">
        <v>230</v>
      </c>
      <c r="E115" s="7" t="s">
        <v>351</v>
      </c>
      <c r="F115" s="3" t="s">
        <v>352</v>
      </c>
      <c r="G115" s="3" t="s">
        <v>24</v>
      </c>
      <c r="H115" s="4"/>
      <c r="I115" s="4"/>
      <c r="J115" s="3"/>
      <c r="K115" s="3" t="str">
        <f t="shared" si="28"/>
        <v>Prj000290-Support - Asset Management Applications</v>
      </c>
      <c r="L115" s="21" t="s">
        <v>308</v>
      </c>
      <c r="M115" s="21" t="s">
        <v>15</v>
      </c>
      <c r="N115" s="21" t="s">
        <v>15</v>
      </c>
      <c r="O115" s="21"/>
      <c r="P115" s="21" t="s">
        <v>376</v>
      </c>
      <c r="Q115" s="21" t="s">
        <v>376</v>
      </c>
      <c r="R115" s="21" t="s">
        <v>377</v>
      </c>
      <c r="S115" s="21" t="s">
        <v>340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362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87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 t="s">
        <v>326</v>
      </c>
      <c r="BX115" s="6" t="s">
        <v>313</v>
      </c>
    </row>
    <row r="116" spans="1:76" x14ac:dyDescent="0.3">
      <c r="A116" s="22" t="s">
        <v>302</v>
      </c>
      <c r="B116" s="21" t="s">
        <v>136</v>
      </c>
      <c r="C116" s="21" t="s">
        <v>633</v>
      </c>
      <c r="D116" s="10" t="s">
        <v>233</v>
      </c>
      <c r="E116" s="7" t="s">
        <v>426</v>
      </c>
      <c r="F116" s="3" t="s">
        <v>427</v>
      </c>
      <c r="G116" s="3" t="s">
        <v>22</v>
      </c>
      <c r="H116" s="4"/>
      <c r="I116" s="4"/>
      <c r="J116" s="3"/>
      <c r="K116" s="3" t="str">
        <f t="shared" si="28"/>
        <v>Prj000469-Support - Prod Support for Ops Apps</v>
      </c>
      <c r="L116" s="21" t="s">
        <v>308</v>
      </c>
      <c r="M116" s="21" t="s">
        <v>15</v>
      </c>
      <c r="N116" s="21" t="s">
        <v>15</v>
      </c>
      <c r="O116" s="21" t="s">
        <v>634</v>
      </c>
      <c r="P116" s="21" t="s">
        <v>376</v>
      </c>
      <c r="Q116" s="21" t="s">
        <v>376</v>
      </c>
      <c r="R116" s="21" t="s">
        <v>377</v>
      </c>
      <c r="S116" s="21" t="s">
        <v>369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362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87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 t="s">
        <v>326</v>
      </c>
      <c r="BX116" s="6" t="s">
        <v>313</v>
      </c>
    </row>
    <row r="117" spans="1:76" x14ac:dyDescent="0.3">
      <c r="A117" s="22" t="s">
        <v>302</v>
      </c>
      <c r="B117" s="21" t="s">
        <v>138</v>
      </c>
      <c r="C117" s="21"/>
      <c r="D117" s="10" t="s">
        <v>233</v>
      </c>
      <c r="E117" s="7" t="s">
        <v>426</v>
      </c>
      <c r="F117" s="3" t="s">
        <v>427</v>
      </c>
      <c r="G117" s="3" t="s">
        <v>22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308</v>
      </c>
      <c r="M117" s="21" t="s">
        <v>15</v>
      </c>
      <c r="N117" s="21" t="s">
        <v>15</v>
      </c>
      <c r="O117" s="21"/>
      <c r="P117" s="21" t="s">
        <v>376</v>
      </c>
      <c r="Q117" s="21" t="s">
        <v>376</v>
      </c>
      <c r="R117" s="21" t="s">
        <v>377</v>
      </c>
      <c r="S117" s="21" t="s">
        <v>340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362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87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 t="s">
        <v>326</v>
      </c>
      <c r="BX117" s="6" t="s">
        <v>313</v>
      </c>
    </row>
    <row r="118" spans="1:76" x14ac:dyDescent="0.3">
      <c r="A118" s="22" t="s">
        <v>372</v>
      </c>
      <c r="B118" s="21" t="s">
        <v>74</v>
      </c>
      <c r="C118" s="21"/>
      <c r="D118" s="10" t="s">
        <v>304</v>
      </c>
      <c r="E118" s="7" t="s">
        <v>305</v>
      </c>
      <c r="F118" s="3" t="s">
        <v>306</v>
      </c>
      <c r="G118" s="3" t="s">
        <v>21</v>
      </c>
      <c r="H118" s="4" t="s">
        <v>319</v>
      </c>
      <c r="I118" s="4" t="s">
        <v>319</v>
      </c>
      <c r="J118" s="3"/>
      <c r="K118" s="3" t="str">
        <f t="shared" si="28"/>
        <v>Prj000350-Support - Infrastructure for Tech</v>
      </c>
      <c r="L118" s="21" t="s">
        <v>308</v>
      </c>
      <c r="M118" s="21" t="s">
        <v>11</v>
      </c>
      <c r="N118" s="21" t="s">
        <v>11</v>
      </c>
      <c r="O118" s="21"/>
      <c r="P118" s="21" t="s">
        <v>309</v>
      </c>
      <c r="Q118" s="21" t="s">
        <v>635</v>
      </c>
      <c r="R118" s="21" t="s">
        <v>635</v>
      </c>
      <c r="S118" s="21" t="s">
        <v>335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87" t="s">
        <v>636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21" t="s">
        <v>12</v>
      </c>
      <c r="BX118" s="6" t="s">
        <v>313</v>
      </c>
    </row>
    <row r="119" spans="1:76" x14ac:dyDescent="0.3">
      <c r="A119" s="22" t="s">
        <v>302</v>
      </c>
      <c r="B119" s="21" t="s">
        <v>73</v>
      </c>
      <c r="C119" s="21" t="s">
        <v>532</v>
      </c>
      <c r="D119" s="10" t="s">
        <v>304</v>
      </c>
      <c r="E119" s="7" t="s">
        <v>305</v>
      </c>
      <c r="F119" s="3" t="s">
        <v>306</v>
      </c>
      <c r="G119" s="3" t="s">
        <v>21</v>
      </c>
      <c r="H119" s="4">
        <v>46052</v>
      </c>
      <c r="I119" s="4">
        <v>46416</v>
      </c>
      <c r="J119" s="3" t="s">
        <v>637</v>
      </c>
      <c r="K119" s="3" t="str">
        <f t="shared" si="28"/>
        <v>Prj000350-Support - Infrastructure for Tech</v>
      </c>
      <c r="L119" s="21" t="s">
        <v>308</v>
      </c>
      <c r="M119" s="21" t="s">
        <v>11</v>
      </c>
      <c r="N119" s="21" t="s">
        <v>11</v>
      </c>
      <c r="O119" s="21"/>
      <c r="P119" s="21" t="s">
        <v>309</v>
      </c>
      <c r="Q119" s="21" t="s">
        <v>635</v>
      </c>
      <c r="R119" s="21" t="s">
        <v>635</v>
      </c>
      <c r="S119" s="21" t="s">
        <v>340</v>
      </c>
      <c r="T119" s="5">
        <v>0</v>
      </c>
      <c r="U119" s="15">
        <v>0</v>
      </c>
      <c r="V119" s="15">
        <v>81590</v>
      </c>
      <c r="W119" s="15">
        <f t="shared" si="29"/>
        <v>81589.55</v>
      </c>
      <c r="X119" s="15">
        <f t="shared" si="33"/>
        <v>-0.44999999999708962</v>
      </c>
      <c r="Y119" s="15">
        <f t="shared" si="30"/>
        <v>0</v>
      </c>
      <c r="Z119" s="15">
        <f>SUM(Financials20263[[#This Row],[2026 Opportunity]:[2026 Risk]])</f>
        <v>-0.44999999999708962</v>
      </c>
      <c r="AA119" s="3" t="s">
        <v>638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46">
        <v>60891</v>
      </c>
      <c r="AN119" s="52">
        <f>SUM(Financials20263[[#This Row],[Jan FC]:[Dec FC]])</f>
        <v>60891</v>
      </c>
      <c r="AO119" s="15">
        <f t="shared" si="31"/>
        <v>60891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-60891</v>
      </c>
      <c r="BO119" s="71">
        <f>SUM(Financials20263[[#This Row],[Jan Opp/Risk]:[Dec Opp./Risk]])</f>
        <v>-32427.67</v>
      </c>
      <c r="BP119" s="87" t="s">
        <v>639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60891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81589.55</v>
      </c>
      <c r="BV119" s="6"/>
      <c r="BW119" s="21" t="s">
        <v>12</v>
      </c>
      <c r="BX119" s="6" t="s">
        <v>313</v>
      </c>
    </row>
    <row r="120" spans="1:76" x14ac:dyDescent="0.3">
      <c r="A120" s="22" t="s">
        <v>302</v>
      </c>
      <c r="B120" s="21" t="s">
        <v>73</v>
      </c>
      <c r="C120" s="21" t="s">
        <v>532</v>
      </c>
      <c r="D120" s="10" t="s">
        <v>304</v>
      </c>
      <c r="E120" s="7" t="s">
        <v>305</v>
      </c>
      <c r="F120" s="3" t="s">
        <v>306</v>
      </c>
      <c r="G120" s="3" t="s">
        <v>21</v>
      </c>
      <c r="H120" s="1" t="s">
        <v>353</v>
      </c>
      <c r="I120" s="1" t="s">
        <v>353</v>
      </c>
      <c r="J120" s="3" t="s">
        <v>640</v>
      </c>
      <c r="K120" s="3" t="str">
        <f t="shared" si="28"/>
        <v>Prj000350-Support - Infrastructure for Tech</v>
      </c>
      <c r="L120" s="21" t="s">
        <v>308</v>
      </c>
      <c r="M120" s="21" t="s">
        <v>12</v>
      </c>
      <c r="N120" s="21" t="s">
        <v>12</v>
      </c>
      <c r="O120" s="21" t="s">
        <v>452</v>
      </c>
      <c r="P120" s="21" t="s">
        <v>309</v>
      </c>
      <c r="Q120" s="21" t="s">
        <v>453</v>
      </c>
      <c r="R120" s="21" t="s">
        <v>453</v>
      </c>
      <c r="S120" s="21" t="s">
        <v>335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641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87" t="s">
        <v>642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21" t="s">
        <v>12</v>
      </c>
      <c r="BX120" s="6" t="s">
        <v>313</v>
      </c>
    </row>
    <row r="121" spans="1:76" x14ac:dyDescent="0.3">
      <c r="A121" s="22" t="s">
        <v>372</v>
      </c>
      <c r="B121" s="21" t="s">
        <v>73</v>
      </c>
      <c r="C121" s="21" t="s">
        <v>532</v>
      </c>
      <c r="D121" s="10" t="s">
        <v>406</v>
      </c>
      <c r="E121" s="7" t="s">
        <v>407</v>
      </c>
      <c r="F121" s="3" t="s">
        <v>392</v>
      </c>
      <c r="G121" s="3" t="s">
        <v>20</v>
      </c>
      <c r="H121" s="4" t="s">
        <v>319</v>
      </c>
      <c r="I121" s="4" t="s">
        <v>319</v>
      </c>
      <c r="J121" s="3"/>
      <c r="K121" s="3" t="str">
        <f t="shared" si="28"/>
        <v>Prj000467-Support - Enterprise Tech Helpdesk</v>
      </c>
      <c r="L121" s="21" t="s">
        <v>308</v>
      </c>
      <c r="M121" s="21" t="s">
        <v>11</v>
      </c>
      <c r="N121" s="21" t="s">
        <v>11</v>
      </c>
      <c r="O121" s="21"/>
      <c r="P121" s="21" t="s">
        <v>309</v>
      </c>
      <c r="Q121" s="21" t="s">
        <v>635</v>
      </c>
      <c r="R121" s="21" t="s">
        <v>635</v>
      </c>
      <c r="S121" s="21" t="s">
        <v>369</v>
      </c>
      <c r="T121" s="5">
        <v>77705</v>
      </c>
      <c r="U121" s="15">
        <v>81590</v>
      </c>
      <c r="V121" s="15">
        <f>81590*0</f>
        <v>0</v>
      </c>
      <c r="W121" s="15">
        <f t="shared" si="29"/>
        <v>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 t="s">
        <v>643</v>
      </c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>
        <f>SUM(Financials20263[[#This Row],[Jan FC]:[Dec FC]])</f>
        <v>0</v>
      </c>
      <c r="AO121" s="15">
        <f t="shared" si="31"/>
        <v>0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0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0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0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0</v>
      </c>
      <c r="BO121" s="71">
        <f>SUM(Financials20263[[#This Row],[Jan Opp/Risk]:[Dec Opp./Risk]])</f>
        <v>0</v>
      </c>
      <c r="BP121" s="87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0</v>
      </c>
      <c r="BS121" s="6">
        <f>Financials20263[[#This Row],[Jun-Dec FC]]+Financials20263[[#This Row],[Jan-May Forecast ]]</f>
        <v>0</v>
      </c>
      <c r="BT121" s="6">
        <f>SUM(Financials20263[[#This Row],[Jan FC]:[May FC]])</f>
        <v>0</v>
      </c>
      <c r="BU121" s="6">
        <f>Financials20263[[#This Row],[Jan-May Actuals]]+Financials20263[[#This Row],[Forecast Jun-Dec]]</f>
        <v>0</v>
      </c>
      <c r="BV121" s="6"/>
      <c r="BW121" s="21" t="s">
        <v>12</v>
      </c>
      <c r="BX121" s="6" t="s">
        <v>313</v>
      </c>
    </row>
    <row r="122" spans="1:76" x14ac:dyDescent="0.3">
      <c r="A122" s="22" t="s">
        <v>302</v>
      </c>
      <c r="B122" s="21" t="s">
        <v>206</v>
      </c>
      <c r="C122" s="21"/>
      <c r="D122" s="10" t="s">
        <v>644</v>
      </c>
      <c r="E122" s="7" t="s">
        <v>645</v>
      </c>
      <c r="F122" s="3" t="s">
        <v>352</v>
      </c>
      <c r="G122" s="3" t="s">
        <v>24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308</v>
      </c>
      <c r="M122" s="21" t="s">
        <v>16</v>
      </c>
      <c r="N122" s="21" t="s">
        <v>16</v>
      </c>
      <c r="O122" s="21"/>
      <c r="P122" s="21" t="s">
        <v>309</v>
      </c>
      <c r="Q122" s="21" t="s">
        <v>421</v>
      </c>
      <c r="R122" s="21" t="s">
        <v>421</v>
      </c>
      <c r="S122" s="21" t="s">
        <v>311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646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87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 t="s">
        <v>16</v>
      </c>
      <c r="BX122" s="6" t="e">
        <v>#N/A</v>
      </c>
    </row>
    <row r="123" spans="1:76" x14ac:dyDescent="0.3">
      <c r="A123" s="22" t="s">
        <v>302</v>
      </c>
      <c r="B123" s="21" t="s">
        <v>41</v>
      </c>
      <c r="C123" s="21"/>
      <c r="D123" s="10" t="s">
        <v>647</v>
      </c>
      <c r="E123" s="7" t="s">
        <v>648</v>
      </c>
      <c r="F123" s="3" t="s">
        <v>392</v>
      </c>
      <c r="G123" s="3" t="s">
        <v>23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330</v>
      </c>
      <c r="M123" s="21" t="s">
        <v>10</v>
      </c>
      <c r="N123" s="21" t="s">
        <v>595</v>
      </c>
      <c r="O123" s="21"/>
      <c r="P123" s="21" t="s">
        <v>332</v>
      </c>
      <c r="Q123" s="21" t="s">
        <v>333</v>
      </c>
      <c r="R123" s="21" t="s">
        <v>334</v>
      </c>
      <c r="S123" s="3" t="s">
        <v>649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649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3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87" t="s">
        <v>650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 t="s">
        <v>597</v>
      </c>
      <c r="BW123" s="6" t="s">
        <v>338</v>
      </c>
      <c r="BX123" s="6" t="s">
        <v>651</v>
      </c>
    </row>
    <row r="124" spans="1:76" x14ac:dyDescent="0.3">
      <c r="A124" s="22" t="s">
        <v>302</v>
      </c>
      <c r="B124" s="21" t="s">
        <v>41</v>
      </c>
      <c r="C124" s="21"/>
      <c r="D124" s="10" t="s">
        <v>652</v>
      </c>
      <c r="E124" s="7" t="s">
        <v>653</v>
      </c>
      <c r="F124" s="3" t="s">
        <v>392</v>
      </c>
      <c r="G124" s="3" t="s">
        <v>20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330</v>
      </c>
      <c r="M124" s="21" t="s">
        <v>14</v>
      </c>
      <c r="N124" s="21" t="s">
        <v>331</v>
      </c>
      <c r="O124" s="21"/>
      <c r="P124" s="21" t="s">
        <v>332</v>
      </c>
      <c r="Q124" s="21" t="s">
        <v>333</v>
      </c>
      <c r="R124" s="21" t="s">
        <v>334</v>
      </c>
      <c r="S124" s="3" t="s">
        <v>649</v>
      </c>
      <c r="T124" s="5">
        <v>0</v>
      </c>
      <c r="U124" s="5">
        <v>165000</v>
      </c>
      <c r="V124" s="5">
        <f>165000-95195</f>
        <v>69805</v>
      </c>
      <c r="W124" s="15">
        <f t="shared" si="29"/>
        <v>0</v>
      </c>
      <c r="X124" s="15">
        <f t="shared" si="33"/>
        <v>-69805</v>
      </c>
      <c r="Y124" s="15">
        <f t="shared" si="30"/>
        <v>0</v>
      </c>
      <c r="Z124" s="15">
        <f>SUM(Financials20263[[#This Row],[2026 Opportunity]:[2026 Risk]])</f>
        <v>-69805</v>
      </c>
      <c r="AA124" s="3" t="s">
        <v>654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0</v>
      </c>
      <c r="AN124" s="52">
        <f>SUM(Financials20263[[#This Row],[Jan FC]:[Dec FC]])</f>
        <v>0</v>
      </c>
      <c r="AO124" s="15">
        <f t="shared" si="31"/>
        <v>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0</v>
      </c>
      <c r="BO124" s="71">
        <f>SUM(Financials20263[[#This Row],[Jan Opp/Risk]:[Dec Opp./Risk]])</f>
        <v>0</v>
      </c>
      <c r="BP124" s="87" t="s">
        <v>650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0</v>
      </c>
      <c r="BV124" s="6"/>
      <c r="BW124" s="6" t="s">
        <v>338</v>
      </c>
      <c r="BX124" s="6" t="s">
        <v>651</v>
      </c>
    </row>
    <row r="125" spans="1:76" x14ac:dyDescent="0.3">
      <c r="A125" s="22" t="s">
        <v>302</v>
      </c>
      <c r="B125" s="21" t="s">
        <v>57</v>
      </c>
      <c r="C125" s="21" t="s">
        <v>425</v>
      </c>
      <c r="D125" s="10" t="s">
        <v>655</v>
      </c>
      <c r="E125" s="7" t="s">
        <v>656</v>
      </c>
      <c r="F125" s="3" t="s">
        <v>427</v>
      </c>
      <c r="G125" s="3" t="s">
        <v>22</v>
      </c>
      <c r="H125" s="4"/>
      <c r="I125" s="4"/>
      <c r="J125" s="3"/>
      <c r="K125" s="3" t="str">
        <f t="shared" si="28"/>
        <v>Prj000489-Implement - Strategic Modules for LIQ</v>
      </c>
      <c r="L125" s="21" t="s">
        <v>330</v>
      </c>
      <c r="M125" s="21" t="s">
        <v>10</v>
      </c>
      <c r="N125" s="21" t="s">
        <v>595</v>
      </c>
      <c r="O125" s="21"/>
      <c r="P125" s="21" t="s">
        <v>309</v>
      </c>
      <c r="Q125" s="21" t="s">
        <v>341</v>
      </c>
      <c r="R125" s="21" t="s">
        <v>334</v>
      </c>
      <c r="S125" s="3" t="s">
        <v>649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657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87" t="s">
        <v>650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 t="s">
        <v>597</v>
      </c>
      <c r="BW125" s="6" t="s">
        <v>338</v>
      </c>
      <c r="BX125" s="6" t="s">
        <v>349</v>
      </c>
    </row>
    <row r="126" spans="1:76" x14ac:dyDescent="0.3">
      <c r="A126" s="22" t="s">
        <v>302</v>
      </c>
      <c r="B126" s="21" t="s">
        <v>64</v>
      </c>
      <c r="C126" s="21" t="s">
        <v>583</v>
      </c>
      <c r="D126" s="10" t="s">
        <v>658</v>
      </c>
      <c r="E126" s="7" t="s">
        <v>659</v>
      </c>
      <c r="F126" s="3" t="s">
        <v>427</v>
      </c>
      <c r="G126" s="3" t="s">
        <v>22</v>
      </c>
      <c r="H126" s="4"/>
      <c r="I126" s="4"/>
      <c r="J126" s="3"/>
      <c r="K126" s="3" t="str">
        <f t="shared" si="28"/>
        <v>Prj000482-Implement - WSO Own Instance (AM)</v>
      </c>
      <c r="L126" s="21" t="s">
        <v>330</v>
      </c>
      <c r="M126" s="21" t="s">
        <v>10</v>
      </c>
      <c r="N126" s="21" t="s">
        <v>595</v>
      </c>
      <c r="O126" s="21"/>
      <c r="P126" s="21" t="s">
        <v>309</v>
      </c>
      <c r="Q126" s="21" t="s">
        <v>341</v>
      </c>
      <c r="R126" s="21" t="s">
        <v>334</v>
      </c>
      <c r="S126" s="3" t="s">
        <v>649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660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87" t="s">
        <v>661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 t="s">
        <v>597</v>
      </c>
      <c r="BW126" s="6" t="s">
        <v>338</v>
      </c>
      <c r="BX126" s="6" t="s">
        <v>662</v>
      </c>
    </row>
    <row r="127" spans="1:76" x14ac:dyDescent="0.3">
      <c r="A127" s="22" t="s">
        <v>302</v>
      </c>
      <c r="B127" s="21" t="s">
        <v>64</v>
      </c>
      <c r="C127" s="21" t="s">
        <v>583</v>
      </c>
      <c r="D127" s="10" t="s">
        <v>658</v>
      </c>
      <c r="E127" s="7" t="s">
        <v>659</v>
      </c>
      <c r="F127" s="3" t="s">
        <v>427</v>
      </c>
      <c r="G127" s="3" t="s">
        <v>22</v>
      </c>
      <c r="H127" s="4"/>
      <c r="I127" s="4"/>
      <c r="J127" s="3"/>
      <c r="K127" s="3" t="str">
        <f t="shared" si="28"/>
        <v>Prj000482-Implement - WSO Own Instance (AM)</v>
      </c>
      <c r="L127" s="21" t="s">
        <v>330</v>
      </c>
      <c r="M127" s="21" t="s">
        <v>10</v>
      </c>
      <c r="N127" s="21" t="s">
        <v>595</v>
      </c>
      <c r="O127" s="21"/>
      <c r="P127" s="21" t="s">
        <v>309</v>
      </c>
      <c r="Q127" s="21" t="s">
        <v>341</v>
      </c>
      <c r="R127" s="21" t="s">
        <v>334</v>
      </c>
      <c r="S127" s="3" t="s">
        <v>649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663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87" t="s">
        <v>664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 t="s">
        <v>338</v>
      </c>
      <c r="BX127" s="6" t="s">
        <v>662</v>
      </c>
    </row>
    <row r="128" spans="1:76" x14ac:dyDescent="0.3">
      <c r="A128" s="22" t="s">
        <v>302</v>
      </c>
      <c r="B128" s="21" t="s">
        <v>44</v>
      </c>
      <c r="C128" s="21"/>
      <c r="D128" s="10" t="s">
        <v>658</v>
      </c>
      <c r="E128" s="7" t="s">
        <v>659</v>
      </c>
      <c r="F128" s="3" t="s">
        <v>427</v>
      </c>
      <c r="G128" s="3" t="s">
        <v>22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330</v>
      </c>
      <c r="M128" s="21" t="s">
        <v>10</v>
      </c>
      <c r="N128" s="21" t="s">
        <v>595</v>
      </c>
      <c r="O128" s="21"/>
      <c r="P128" s="21" t="s">
        <v>309</v>
      </c>
      <c r="Q128" s="21" t="s">
        <v>341</v>
      </c>
      <c r="R128" s="21" t="s">
        <v>334</v>
      </c>
      <c r="S128" s="21" t="s">
        <v>335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665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87" t="s">
        <v>666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 t="s">
        <v>338</v>
      </c>
      <c r="BX128" s="6" t="s">
        <v>662</v>
      </c>
    </row>
    <row r="129" spans="1:76" x14ac:dyDescent="0.3">
      <c r="A129" s="22" t="s">
        <v>302</v>
      </c>
      <c r="B129" s="21" t="s">
        <v>64</v>
      </c>
      <c r="C129" s="21" t="s">
        <v>583</v>
      </c>
      <c r="D129" s="10" t="s">
        <v>667</v>
      </c>
      <c r="E129" s="7" t="s">
        <v>668</v>
      </c>
      <c r="F129" s="3" t="s">
        <v>427</v>
      </c>
      <c r="G129" s="3" t="s">
        <v>22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330</v>
      </c>
      <c r="M129" s="21" t="s">
        <v>10</v>
      </c>
      <c r="N129" s="21" t="s">
        <v>595</v>
      </c>
      <c r="O129" s="21"/>
      <c r="P129" s="21" t="s">
        <v>309</v>
      </c>
      <c r="Q129" s="21" t="s">
        <v>341</v>
      </c>
      <c r="R129" s="21" t="s">
        <v>334</v>
      </c>
      <c r="S129" s="3" t="s">
        <v>649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669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87" t="s">
        <v>650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 t="s">
        <v>597</v>
      </c>
      <c r="BW129" s="6" t="s">
        <v>338</v>
      </c>
      <c r="BX129" s="6" t="s">
        <v>662</v>
      </c>
    </row>
    <row r="130" spans="1:76" x14ac:dyDescent="0.3">
      <c r="A130" s="22" t="s">
        <v>302</v>
      </c>
      <c r="B130" s="21" t="s">
        <v>44</v>
      </c>
      <c r="C130" s="21" t="s">
        <v>431</v>
      </c>
      <c r="D130" s="10" t="s">
        <v>670</v>
      </c>
      <c r="E130" s="7" t="s">
        <v>671</v>
      </c>
      <c r="F130" s="3" t="s">
        <v>434</v>
      </c>
      <c r="G130" s="3" t="s">
        <v>20</v>
      </c>
      <c r="H130" s="4"/>
      <c r="I130" s="4"/>
      <c r="J130" s="3" t="s">
        <v>672</v>
      </c>
      <c r="K130" s="3" t="str">
        <f t="shared" ref="K130:K142" si="47">D130 &amp; "-" &amp;E130</f>
        <v>Prj000477-Implement - Odyssey Reporting &amp; Exception Mgmt</v>
      </c>
      <c r="L130" s="21" t="s">
        <v>330</v>
      </c>
      <c r="M130" s="21" t="s">
        <v>10</v>
      </c>
      <c r="N130" s="21" t="s">
        <v>595</v>
      </c>
      <c r="O130" s="21"/>
      <c r="P130" s="21" t="s">
        <v>332</v>
      </c>
      <c r="Q130" s="21" t="s">
        <v>333</v>
      </c>
      <c r="R130" s="21" t="s">
        <v>334</v>
      </c>
      <c r="S130" s="3" t="s">
        <v>649</v>
      </c>
      <c r="T130" s="5">
        <v>0</v>
      </c>
      <c r="U130" s="17">
        <v>600000</v>
      </c>
      <c r="V130" s="17">
        <f>600000*0</f>
        <v>0</v>
      </c>
      <c r="W130" s="15">
        <f t="shared" ref="W130:W150" si="48">AO130+IF(ISBLANK(AP130),AB130,AP130)+IF(ISBLANK(AQ130),AC130,AQ130)+IF(ISBLANK(AR130),AD130,AR130)+IF(ISBLANK(AS130),AE130,AS130)+IF(ISBLANK(AT130),AF130,AT130)</f>
        <v>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SUM(Financials20263[[#This Row],[2026 Opportunity]:[2026 Risk]])</f>
        <v>0</v>
      </c>
      <c r="AA130" s="3" t="s">
        <v>673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/>
      <c r="AN130" s="75">
        <f>SUM(Financials20263[[#This Row],[Jan FC]:[Dec FC]])</f>
        <v>0</v>
      </c>
      <c r="AO130" s="15">
        <f t="shared" si="31"/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0</v>
      </c>
      <c r="BO130" s="71">
        <f>SUM(Financials20263[[#This Row],[Jan Opp/Risk]:[Dec Opp./Risk]])</f>
        <v>0</v>
      </c>
      <c r="BP130" s="87" t="s">
        <v>650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0</v>
      </c>
      <c r="BV130" s="6"/>
      <c r="BW130" s="6" t="s">
        <v>338</v>
      </c>
      <c r="BX130" s="6" t="s">
        <v>598</v>
      </c>
    </row>
    <row r="131" spans="1:76" x14ac:dyDescent="0.3">
      <c r="A131" s="22" t="s">
        <v>302</v>
      </c>
      <c r="B131" s="21" t="s">
        <v>44</v>
      </c>
      <c r="C131" s="21" t="s">
        <v>431</v>
      </c>
      <c r="D131" s="10" t="s">
        <v>437</v>
      </c>
      <c r="E131" s="7" t="s">
        <v>438</v>
      </c>
      <c r="F131" s="3" t="s">
        <v>434</v>
      </c>
      <c r="G131" s="3" t="s">
        <v>20</v>
      </c>
      <c r="H131" s="4"/>
      <c r="I131" s="4"/>
      <c r="J131" s="3" t="s">
        <v>672</v>
      </c>
      <c r="K131" s="3" t="str">
        <f t="shared" si="47"/>
        <v>Prj000548-Implement - Reporting for Internal Audit</v>
      </c>
      <c r="L131" s="21" t="s">
        <v>330</v>
      </c>
      <c r="M131" s="21" t="s">
        <v>10</v>
      </c>
      <c r="N131" s="21" t="s">
        <v>595</v>
      </c>
      <c r="O131" s="21"/>
      <c r="P131" s="21" t="s">
        <v>332</v>
      </c>
      <c r="Q131" s="21" t="s">
        <v>333</v>
      </c>
      <c r="R131" s="21" t="s">
        <v>334</v>
      </c>
      <c r="S131" s="3" t="s">
        <v>649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674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50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87" t="s">
        <v>650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 t="s">
        <v>597</v>
      </c>
      <c r="BW131" s="6" t="s">
        <v>338</v>
      </c>
      <c r="BX131" s="6" t="s">
        <v>313</v>
      </c>
    </row>
    <row r="132" spans="1:76" x14ac:dyDescent="0.3">
      <c r="A132" s="22" t="s">
        <v>302</v>
      </c>
      <c r="B132" s="21" t="s">
        <v>119</v>
      </c>
      <c r="C132" s="21" t="s">
        <v>509</v>
      </c>
      <c r="D132" s="10" t="s">
        <v>675</v>
      </c>
      <c r="E132" s="7" t="s">
        <v>676</v>
      </c>
      <c r="F132" s="3" t="s">
        <v>306</v>
      </c>
      <c r="G132" s="3" t="s">
        <v>21</v>
      </c>
      <c r="H132" s="4">
        <v>46023</v>
      </c>
      <c r="I132" s="4">
        <v>46194</v>
      </c>
      <c r="J132" s="3" t="s">
        <v>677</v>
      </c>
      <c r="K132" s="3" t="str">
        <f t="shared" si="47"/>
        <v>Prj000447-Implement - Minor Enhancements SNOW - Phase 2</v>
      </c>
      <c r="L132" s="21" t="s">
        <v>330</v>
      </c>
      <c r="M132" s="21" t="s">
        <v>14</v>
      </c>
      <c r="N132" s="21" t="s">
        <v>331</v>
      </c>
      <c r="O132" s="21" t="s">
        <v>576</v>
      </c>
      <c r="P132" s="21" t="s">
        <v>309</v>
      </c>
      <c r="Q132" s="21" t="s">
        <v>341</v>
      </c>
      <c r="R132" s="21" t="s">
        <v>341</v>
      </c>
      <c r="S132" s="21" t="s">
        <v>335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678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87" t="s">
        <v>363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 t="s">
        <v>338</v>
      </c>
      <c r="BX132" s="6" t="s">
        <v>313</v>
      </c>
    </row>
    <row r="133" spans="1:76" x14ac:dyDescent="0.3">
      <c r="A133" s="22" t="s">
        <v>302</v>
      </c>
      <c r="B133" s="21" t="s">
        <v>165</v>
      </c>
      <c r="C133" s="21" t="s">
        <v>524</v>
      </c>
      <c r="D133" s="10" t="s">
        <v>679</v>
      </c>
      <c r="E133" s="7" t="s">
        <v>680</v>
      </c>
      <c r="F133" s="3" t="s">
        <v>434</v>
      </c>
      <c r="G133" s="3" t="s">
        <v>20</v>
      </c>
      <c r="H133" s="4">
        <v>45943</v>
      </c>
      <c r="I133" s="4">
        <v>46109</v>
      </c>
      <c r="J133" s="3" t="s">
        <v>681</v>
      </c>
      <c r="K133" s="3" t="str">
        <f t="shared" si="47"/>
        <v>Prj000476-Implement - Reporting to Support DGC</v>
      </c>
      <c r="L133" s="21" t="s">
        <v>308</v>
      </c>
      <c r="M133" s="21" t="s">
        <v>16</v>
      </c>
      <c r="N133" s="21" t="s">
        <v>16</v>
      </c>
      <c r="O133" s="21"/>
      <c r="P133" s="21" t="s">
        <v>309</v>
      </c>
      <c r="Q133" s="21" t="s">
        <v>310</v>
      </c>
      <c r="R133" s="21" t="s">
        <v>310</v>
      </c>
      <c r="S133" s="21" t="s">
        <v>340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682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87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 t="s">
        <v>16</v>
      </c>
      <c r="BX133" s="6" t="s">
        <v>598</v>
      </c>
    </row>
    <row r="134" spans="1:76" x14ac:dyDescent="0.3">
      <c r="A134" s="22" t="s">
        <v>302</v>
      </c>
      <c r="B134" s="21" t="s">
        <v>44</v>
      </c>
      <c r="C134" s="21" t="s">
        <v>431</v>
      </c>
      <c r="D134" s="10" t="s">
        <v>683</v>
      </c>
      <c r="E134" s="7" t="s">
        <v>684</v>
      </c>
      <c r="F134" s="3" t="s">
        <v>380</v>
      </c>
      <c r="G134" s="3" t="s">
        <v>23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330</v>
      </c>
      <c r="M134" s="21" t="s">
        <v>14</v>
      </c>
      <c r="N134" s="21" t="s">
        <v>331</v>
      </c>
      <c r="O134" s="21"/>
      <c r="P134" s="21" t="s">
        <v>332</v>
      </c>
      <c r="Q134" s="21" t="s">
        <v>333</v>
      </c>
      <c r="R134" s="21" t="s">
        <v>334</v>
      </c>
      <c r="S134" s="3" t="s">
        <v>649</v>
      </c>
      <c r="T134" s="5">
        <v>0</v>
      </c>
      <c r="U134" s="5">
        <v>100000</v>
      </c>
      <c r="V134" s="5">
        <v>100000</v>
      </c>
      <c r="W134" s="15">
        <f t="shared" si="48"/>
        <v>0</v>
      </c>
      <c r="X134" s="15">
        <f t="shared" si="33"/>
        <v>-100000</v>
      </c>
      <c r="Y134" s="15">
        <f t="shared" si="49"/>
        <v>0</v>
      </c>
      <c r="Z134" s="15">
        <f>SUM(Financials20263[[#This Row],[2026 Opportunity]:[2026 Risk]])</f>
        <v>-100000</v>
      </c>
      <c r="AA134" s="3" t="s">
        <v>654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/>
      <c r="AN134" s="52">
        <f>SUM(Financials20263[[#This Row],[Jan FC]:[Dec FC]])</f>
        <v>0</v>
      </c>
      <c r="AO134" s="15">
        <f t="shared" si="50"/>
        <v>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0</v>
      </c>
      <c r="BO134" s="71">
        <f>SUM(Financials20263[[#This Row],[Jan Opp/Risk]:[Dec Opp./Risk]])</f>
        <v>0</v>
      </c>
      <c r="BP134" s="87" t="s">
        <v>650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0</v>
      </c>
      <c r="BV134" s="6"/>
      <c r="BW134" s="6" t="s">
        <v>338</v>
      </c>
      <c r="BX134" s="6" t="s">
        <v>313</v>
      </c>
    </row>
    <row r="135" spans="1:76" x14ac:dyDescent="0.3">
      <c r="A135" s="22" t="s">
        <v>302</v>
      </c>
      <c r="B135" s="21" t="s">
        <v>53</v>
      </c>
      <c r="C135" s="21"/>
      <c r="D135" s="10" t="s">
        <v>685</v>
      </c>
      <c r="E135" s="7" t="s">
        <v>686</v>
      </c>
      <c r="F135" s="3" t="s">
        <v>329</v>
      </c>
      <c r="G135" s="3" t="s">
        <v>22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330</v>
      </c>
      <c r="M135" s="21" t="s">
        <v>10</v>
      </c>
      <c r="N135" s="21" t="s">
        <v>607</v>
      </c>
      <c r="O135" s="21"/>
      <c r="P135" s="21" t="s">
        <v>601</v>
      </c>
      <c r="Q135" s="21" t="s">
        <v>602</v>
      </c>
      <c r="R135" s="21" t="s">
        <v>354</v>
      </c>
      <c r="S135" s="3" t="s">
        <v>649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657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87" t="s">
        <v>650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 t="s">
        <v>597</v>
      </c>
      <c r="BW135" s="6" t="s">
        <v>338</v>
      </c>
      <c r="BX135" s="6" t="s">
        <v>687</v>
      </c>
    </row>
    <row r="136" spans="1:76" x14ac:dyDescent="0.3">
      <c r="A136" s="22" t="s">
        <v>302</v>
      </c>
      <c r="B136" s="21" t="s">
        <v>217</v>
      </c>
      <c r="C136" s="21"/>
      <c r="D136" s="10" t="s">
        <v>688</v>
      </c>
      <c r="E136" s="7" t="s">
        <v>689</v>
      </c>
      <c r="F136" s="3" t="s">
        <v>318</v>
      </c>
      <c r="G136" s="3" t="s">
        <v>25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308</v>
      </c>
      <c r="M136" s="21" t="s">
        <v>16</v>
      </c>
      <c r="N136" s="21" t="s">
        <v>16</v>
      </c>
      <c r="O136" s="21"/>
      <c r="P136" s="21" t="s">
        <v>309</v>
      </c>
      <c r="Q136" s="21" t="s">
        <v>421</v>
      </c>
      <c r="R136" s="21" t="s">
        <v>421</v>
      </c>
      <c r="S136" s="3" t="s">
        <v>311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690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87" t="s">
        <v>650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 t="s">
        <v>16</v>
      </c>
      <c r="BX136" s="6" t="s">
        <v>313</v>
      </c>
    </row>
    <row r="137" spans="1:76" ht="43.2" x14ac:dyDescent="0.3">
      <c r="A137" s="22" t="s">
        <v>302</v>
      </c>
      <c r="B137" s="21" t="s">
        <v>41</v>
      </c>
      <c r="C137" s="21"/>
      <c r="D137" s="10" t="s">
        <v>652</v>
      </c>
      <c r="E137" s="7" t="s">
        <v>653</v>
      </c>
      <c r="F137" s="3" t="s">
        <v>392</v>
      </c>
      <c r="G137" s="3" t="s">
        <v>20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330</v>
      </c>
      <c r="M137" s="21" t="s">
        <v>10</v>
      </c>
      <c r="N137" s="21" t="s">
        <v>595</v>
      </c>
      <c r="O137" s="21"/>
      <c r="P137" s="21" t="s">
        <v>332</v>
      </c>
      <c r="Q137" s="21" t="s">
        <v>333</v>
      </c>
      <c r="R137" s="21" t="s">
        <v>334</v>
      </c>
      <c r="S137" s="3" t="s">
        <v>649</v>
      </c>
      <c r="T137" s="15">
        <v>0</v>
      </c>
      <c r="U137" s="15">
        <v>250000</v>
      </c>
      <c r="V137" s="5">
        <f>250000-197929</f>
        <v>52071</v>
      </c>
      <c r="W137" s="15">
        <f t="shared" si="48"/>
        <v>0</v>
      </c>
      <c r="X137" s="15">
        <f t="shared" ref="X137:X150" si="51">IF(V137 &gt;= W137, V137 - W137, 0)*-1</f>
        <v>-52071</v>
      </c>
      <c r="Y137" s="15">
        <f t="shared" si="49"/>
        <v>0</v>
      </c>
      <c r="Z137" s="15">
        <f>SUM(Financials20263[[#This Row],[2026 Opportunity]:[2026 Risk]])</f>
        <v>-52071</v>
      </c>
      <c r="AA137" s="3" t="s">
        <v>691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/>
      <c r="AN137" s="75">
        <f>SUM(Financials20263[[#This Row],[Jan FC]:[Dec FC]])</f>
        <v>0</v>
      </c>
      <c r="AO137" s="15">
        <f t="shared" si="50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0</v>
      </c>
      <c r="BO137" s="71">
        <f>SUM(Financials20263[[#This Row],[Jan Opp/Risk]:[Dec Opp./Risk]])</f>
        <v>0</v>
      </c>
      <c r="BP137" s="44" t="s">
        <v>692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0</v>
      </c>
      <c r="BV137" s="6" t="s">
        <v>597</v>
      </c>
      <c r="BW137" s="6" t="s">
        <v>338</v>
      </c>
      <c r="BX137" s="6" t="s">
        <v>651</v>
      </c>
    </row>
    <row r="138" spans="1:76" x14ac:dyDescent="0.3">
      <c r="A138" s="22" t="s">
        <v>302</v>
      </c>
      <c r="B138" s="21" t="s">
        <v>41</v>
      </c>
      <c r="C138" s="21"/>
      <c r="D138" s="10" t="s">
        <v>688</v>
      </c>
      <c r="E138" s="7" t="s">
        <v>689</v>
      </c>
      <c r="F138" s="3" t="s">
        <v>318</v>
      </c>
      <c r="G138" s="3" t="s">
        <v>25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330</v>
      </c>
      <c r="M138" s="21" t="s">
        <v>10</v>
      </c>
      <c r="N138" s="21" t="s">
        <v>595</v>
      </c>
      <c r="O138" s="21"/>
      <c r="P138" s="21" t="s">
        <v>332</v>
      </c>
      <c r="Q138" s="21" t="s">
        <v>333</v>
      </c>
      <c r="R138" s="21" t="s">
        <v>334</v>
      </c>
      <c r="S138" s="3" t="s">
        <v>649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693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87" t="s">
        <v>650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 t="s">
        <v>597</v>
      </c>
      <c r="BW138" s="6" t="s">
        <v>338</v>
      </c>
      <c r="BX138" s="6" t="s">
        <v>313</v>
      </c>
    </row>
    <row r="139" spans="1:76" x14ac:dyDescent="0.3">
      <c r="A139" s="22" t="s">
        <v>302</v>
      </c>
      <c r="B139" s="21" t="s">
        <v>74</v>
      </c>
      <c r="C139" s="21"/>
      <c r="D139" s="10" t="s">
        <v>304</v>
      </c>
      <c r="E139" s="7" t="s">
        <v>305</v>
      </c>
      <c r="F139" s="3" t="s">
        <v>306</v>
      </c>
      <c r="G139" s="3" t="s">
        <v>21</v>
      </c>
      <c r="H139" s="4" t="s">
        <v>319</v>
      </c>
      <c r="I139" s="4" t="s">
        <v>319</v>
      </c>
      <c r="J139" s="3"/>
      <c r="K139" s="3" t="str">
        <f t="shared" si="47"/>
        <v>Prj000350-Support - Infrastructure for Tech</v>
      </c>
      <c r="L139" s="21" t="s">
        <v>308</v>
      </c>
      <c r="M139" s="21" t="s">
        <v>11</v>
      </c>
      <c r="N139" s="21" t="s">
        <v>11</v>
      </c>
      <c r="O139" s="21"/>
      <c r="P139" s="21" t="s">
        <v>309</v>
      </c>
      <c r="Q139" s="21" t="s">
        <v>635</v>
      </c>
      <c r="R139" s="21" t="s">
        <v>635</v>
      </c>
      <c r="S139" s="21" t="s">
        <v>340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694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87" t="s">
        <v>695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21" t="s">
        <v>12</v>
      </c>
      <c r="BX139" s="6" t="s">
        <v>313</v>
      </c>
    </row>
    <row r="140" spans="1:76" x14ac:dyDescent="0.3">
      <c r="A140" s="22" t="s">
        <v>302</v>
      </c>
      <c r="B140" s="21" t="s">
        <v>181</v>
      </c>
      <c r="C140" s="21"/>
      <c r="D140" s="10" t="s">
        <v>231</v>
      </c>
      <c r="E140" s="7" t="s">
        <v>373</v>
      </c>
      <c r="F140" s="3" t="s">
        <v>374</v>
      </c>
      <c r="G140" s="3" t="s">
        <v>22</v>
      </c>
      <c r="H140" s="4">
        <v>46023</v>
      </c>
      <c r="I140" s="4">
        <v>46387</v>
      </c>
      <c r="J140" s="3" t="s">
        <v>696</v>
      </c>
      <c r="K140" s="3" t="str">
        <f t="shared" si="47"/>
        <v>Prj000381-Support - Prod Support for Credit Apps</v>
      </c>
      <c r="L140" s="21" t="s">
        <v>308</v>
      </c>
      <c r="M140" s="21" t="s">
        <v>16</v>
      </c>
      <c r="N140" s="21" t="s">
        <v>16</v>
      </c>
      <c r="O140" s="21" t="s">
        <v>378</v>
      </c>
      <c r="P140" s="21" t="s">
        <v>309</v>
      </c>
      <c r="Q140" s="21" t="s">
        <v>421</v>
      </c>
      <c r="R140" s="21" t="s">
        <v>421</v>
      </c>
      <c r="S140" s="21" t="s">
        <v>311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697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87" t="s">
        <v>363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 t="s">
        <v>16</v>
      </c>
      <c r="BX140" s="6" t="s">
        <v>313</v>
      </c>
    </row>
    <row r="141" spans="1:76" x14ac:dyDescent="0.3">
      <c r="A141" s="22" t="s">
        <v>302</v>
      </c>
      <c r="B141" s="21" t="s">
        <v>194</v>
      </c>
      <c r="C141" s="21" t="s">
        <v>698</v>
      </c>
      <c r="D141" s="10" t="s">
        <v>327</v>
      </c>
      <c r="E141" s="7" t="s">
        <v>328</v>
      </c>
      <c r="F141" s="3" t="s">
        <v>329</v>
      </c>
      <c r="G141" s="3" t="s">
        <v>22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308</v>
      </c>
      <c r="M141" s="21" t="s">
        <v>16</v>
      </c>
      <c r="N141" s="21" t="s">
        <v>16</v>
      </c>
      <c r="O141" s="21"/>
      <c r="P141" s="21" t="s">
        <v>309</v>
      </c>
      <c r="Q141" s="21" t="s">
        <v>310</v>
      </c>
      <c r="R141" s="21" t="s">
        <v>310</v>
      </c>
      <c r="S141" s="21" t="s">
        <v>311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697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87" t="s">
        <v>363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 t="s">
        <v>16</v>
      </c>
      <c r="BX141" s="6" t="s">
        <v>313</v>
      </c>
    </row>
    <row r="142" spans="1:76" x14ac:dyDescent="0.3">
      <c r="A142" s="22" t="s">
        <v>302</v>
      </c>
      <c r="B142" s="21" t="s">
        <v>64</v>
      </c>
      <c r="C142" s="21" t="s">
        <v>699</v>
      </c>
      <c r="D142" s="10" t="s">
        <v>233</v>
      </c>
      <c r="E142" s="7" t="s">
        <v>426</v>
      </c>
      <c r="F142" s="3" t="s">
        <v>427</v>
      </c>
      <c r="G142" s="3" t="s">
        <v>22</v>
      </c>
      <c r="H142" s="4"/>
      <c r="I142" s="4"/>
      <c r="J142" s="3"/>
      <c r="K142" s="3" t="str">
        <f t="shared" si="47"/>
        <v>Prj000469-Support - Prod Support for Ops Apps</v>
      </c>
      <c r="L142" s="21" t="s">
        <v>308</v>
      </c>
      <c r="M142" s="21" t="s">
        <v>16</v>
      </c>
      <c r="N142" s="21" t="s">
        <v>16</v>
      </c>
      <c r="O142" s="21"/>
      <c r="P142" s="21" t="s">
        <v>309</v>
      </c>
      <c r="Q142" s="21" t="s">
        <v>341</v>
      </c>
      <c r="R142" s="21" t="s">
        <v>341</v>
      </c>
      <c r="S142" s="21" t="s">
        <v>340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700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1" t="s">
        <v>701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 t="s">
        <v>16</v>
      </c>
      <c r="BX142" s="6" t="s">
        <v>313</v>
      </c>
    </row>
    <row r="143" spans="1:76" x14ac:dyDescent="0.3">
      <c r="A143" s="22" t="s">
        <v>302</v>
      </c>
      <c r="B143" s="21" t="s">
        <v>104</v>
      </c>
      <c r="C143" s="21" t="s">
        <v>599</v>
      </c>
      <c r="D143" s="10" t="s">
        <v>396</v>
      </c>
      <c r="E143" s="7" t="s">
        <v>396</v>
      </c>
      <c r="F143" s="3" t="s">
        <v>588</v>
      </c>
      <c r="G143" s="3" t="s">
        <v>20</v>
      </c>
      <c r="H143" s="4">
        <v>46204</v>
      </c>
      <c r="I143" s="4">
        <v>46387</v>
      </c>
      <c r="J143" s="3" t="s">
        <v>396</v>
      </c>
      <c r="K143" s="3" t="s">
        <v>702</v>
      </c>
      <c r="L143" s="21" t="s">
        <v>330</v>
      </c>
      <c r="M143" s="21" t="s">
        <v>13</v>
      </c>
      <c r="N143" s="21" t="s">
        <v>600</v>
      </c>
      <c r="O143" s="21" t="s">
        <v>396</v>
      </c>
      <c r="P143" s="21" t="s">
        <v>601</v>
      </c>
      <c r="Q143" s="21" t="s">
        <v>602</v>
      </c>
      <c r="R143" s="21" t="s">
        <v>354</v>
      </c>
      <c r="S143" s="21" t="s">
        <v>335</v>
      </c>
      <c r="T143" s="5">
        <v>0</v>
      </c>
      <c r="U143" s="15">
        <v>0</v>
      </c>
      <c r="V143" s="15">
        <v>600000</v>
      </c>
      <c r="W143" s="15">
        <f t="shared" si="48"/>
        <v>606720</v>
      </c>
      <c r="X143" s="15">
        <f t="shared" si="51"/>
        <v>0</v>
      </c>
      <c r="Y143" s="15">
        <f t="shared" si="49"/>
        <v>6720</v>
      </c>
      <c r="Z143" s="15">
        <f>SUM(Financials20263[[#This Row],[2026 Opportunity]:[2026 Risk]])</f>
        <v>6720</v>
      </c>
      <c r="AA143" s="3" t="s">
        <v>703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87" t="s">
        <v>704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 t="s">
        <v>338</v>
      </c>
      <c r="BX143" s="6" t="e">
        <v>#N/A</v>
      </c>
    </row>
    <row r="144" spans="1:76" x14ac:dyDescent="0.3">
      <c r="A144" s="22" t="s">
        <v>302</v>
      </c>
      <c r="B144" s="21" t="s">
        <v>44</v>
      </c>
      <c r="C144" s="21" t="s">
        <v>431</v>
      </c>
      <c r="D144" s="10" t="s">
        <v>396</v>
      </c>
      <c r="E144" s="7" t="s">
        <v>396</v>
      </c>
      <c r="F144" s="3" t="s">
        <v>588</v>
      </c>
      <c r="G144" s="3" t="s">
        <v>20</v>
      </c>
      <c r="H144" s="4">
        <v>46204</v>
      </c>
      <c r="I144" s="4">
        <v>46387</v>
      </c>
      <c r="J144" s="3" t="s">
        <v>589</v>
      </c>
      <c r="K144" s="3" t="s">
        <v>702</v>
      </c>
      <c r="L144" s="21" t="s">
        <v>330</v>
      </c>
      <c r="M144" s="21" t="s">
        <v>13</v>
      </c>
      <c r="N144" s="21" t="s">
        <v>399</v>
      </c>
      <c r="O144" s="21" t="s">
        <v>396</v>
      </c>
      <c r="P144" s="21" t="s">
        <v>332</v>
      </c>
      <c r="Q144" s="21" t="s">
        <v>333</v>
      </c>
      <c r="R144" s="21" t="s">
        <v>334</v>
      </c>
      <c r="S144" s="21" t="s">
        <v>335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705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87" t="s">
        <v>706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 t="s">
        <v>338</v>
      </c>
      <c r="BX144" s="6" t="e">
        <v>#N/A</v>
      </c>
    </row>
    <row r="145" spans="1:76" x14ac:dyDescent="0.3">
      <c r="A145" s="22" t="s">
        <v>302</v>
      </c>
      <c r="B145" s="21" t="s">
        <v>53</v>
      </c>
      <c r="C145" s="21"/>
      <c r="D145" s="10" t="s">
        <v>688</v>
      </c>
      <c r="E145" s="7" t="s">
        <v>689</v>
      </c>
      <c r="F145" s="3" t="s">
        <v>318</v>
      </c>
      <c r="G145" s="3" t="s">
        <v>25</v>
      </c>
      <c r="H145" s="4" t="s">
        <v>319</v>
      </c>
      <c r="I145" s="4" t="s">
        <v>319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330</v>
      </c>
      <c r="M145" s="21" t="s">
        <v>10</v>
      </c>
      <c r="N145" s="21" t="s">
        <v>595</v>
      </c>
      <c r="O145" s="21"/>
      <c r="P145" s="21" t="s">
        <v>332</v>
      </c>
      <c r="Q145" s="21" t="s">
        <v>333</v>
      </c>
      <c r="R145" s="21" t="s">
        <v>334</v>
      </c>
      <c r="S145" s="21" t="s">
        <v>319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707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3" t="s">
        <v>708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 t="s">
        <v>338</v>
      </c>
      <c r="BX145" s="6" t="s">
        <v>313</v>
      </c>
    </row>
    <row r="146" spans="1:76" x14ac:dyDescent="0.3">
      <c r="A146" s="22" t="s">
        <v>302</v>
      </c>
      <c r="B146" s="21" t="s">
        <v>100</v>
      </c>
      <c r="C146" s="21" t="s">
        <v>401</v>
      </c>
      <c r="D146" s="10" t="s">
        <v>396</v>
      </c>
      <c r="E146" s="7" t="s">
        <v>396</v>
      </c>
      <c r="F146" s="3" t="s">
        <v>397</v>
      </c>
      <c r="G146" s="3" t="s">
        <v>25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330</v>
      </c>
      <c r="M146" s="21" t="s">
        <v>13</v>
      </c>
      <c r="N146" s="21" t="s">
        <v>399</v>
      </c>
      <c r="O146" s="21" t="s">
        <v>396</v>
      </c>
      <c r="P146" s="21" t="s">
        <v>332</v>
      </c>
      <c r="Q146" s="21" t="s">
        <v>333</v>
      </c>
      <c r="R146" s="21" t="s">
        <v>334</v>
      </c>
      <c r="S146" s="21" t="s">
        <v>335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709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88" t="s">
        <v>710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 t="s">
        <v>338</v>
      </c>
      <c r="BX146" s="6" t="e">
        <v>#N/A</v>
      </c>
    </row>
    <row r="147" spans="1:76" x14ac:dyDescent="0.3">
      <c r="A147" s="22" t="s">
        <v>302</v>
      </c>
      <c r="B147" s="21" t="s">
        <v>100</v>
      </c>
      <c r="C147" s="21" t="s">
        <v>401</v>
      </c>
      <c r="D147" s="10" t="s">
        <v>396</v>
      </c>
      <c r="E147" s="7" t="s">
        <v>396</v>
      </c>
      <c r="F147" s="3" t="s">
        <v>397</v>
      </c>
      <c r="G147" s="3" t="s">
        <v>21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330</v>
      </c>
      <c r="M147" s="21" t="s">
        <v>13</v>
      </c>
      <c r="N147" s="21" t="s">
        <v>399</v>
      </c>
      <c r="O147" s="21" t="s">
        <v>396</v>
      </c>
      <c r="P147" s="21" t="s">
        <v>332</v>
      </c>
      <c r="Q147" s="21" t="s">
        <v>333</v>
      </c>
      <c r="R147" s="21" t="s">
        <v>334</v>
      </c>
      <c r="S147" s="21" t="s">
        <v>335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711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88" t="s">
        <v>712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  <c r="BV147" s="6"/>
      <c r="BW147" s="6" t="s">
        <v>338</v>
      </c>
      <c r="BX147" s="6" t="e">
        <v>#N/A</v>
      </c>
    </row>
    <row r="148" spans="1:76" x14ac:dyDescent="0.3">
      <c r="A148" s="32" t="s">
        <v>302</v>
      </c>
      <c r="B148" s="21" t="s">
        <v>134</v>
      </c>
      <c r="C148" s="33" t="s">
        <v>713</v>
      </c>
      <c r="D148" s="10" t="s">
        <v>233</v>
      </c>
      <c r="E148" s="7" t="s">
        <v>426</v>
      </c>
      <c r="F148" s="3" t="s">
        <v>427</v>
      </c>
      <c r="G148" s="3" t="s">
        <v>22</v>
      </c>
      <c r="H148" s="4">
        <v>46082</v>
      </c>
      <c r="I148" s="4">
        <v>46387</v>
      </c>
      <c r="J148" s="35"/>
      <c r="K148" s="35" t="s">
        <v>714</v>
      </c>
      <c r="L148" s="33" t="s">
        <v>308</v>
      </c>
      <c r="M148" s="33" t="s">
        <v>15</v>
      </c>
      <c r="N148" s="33" t="s">
        <v>15</v>
      </c>
      <c r="O148" s="33" t="s">
        <v>634</v>
      </c>
      <c r="P148" s="33" t="s">
        <v>376</v>
      </c>
      <c r="Q148" s="33" t="s">
        <v>376</v>
      </c>
      <c r="R148" s="33" t="s">
        <v>377</v>
      </c>
      <c r="S148" s="33" t="s">
        <v>369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4" t="s">
        <v>715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  <c r="BV148" s="6"/>
      <c r="BW148" s="6" t="s">
        <v>326</v>
      </c>
      <c r="BX148" s="6" t="s">
        <v>313</v>
      </c>
    </row>
    <row r="149" spans="1:76" ht="43.2" x14ac:dyDescent="0.3">
      <c r="A149" s="32" t="s">
        <v>302</v>
      </c>
      <c r="B149" s="21" t="s">
        <v>716</v>
      </c>
      <c r="C149" s="33"/>
      <c r="D149" s="10" t="s">
        <v>396</v>
      </c>
      <c r="E149" s="7" t="s">
        <v>396</v>
      </c>
      <c r="F149" s="3"/>
      <c r="G149" s="3" t="s">
        <v>21</v>
      </c>
      <c r="H149" s="4"/>
      <c r="I149" s="4"/>
      <c r="J149" s="35"/>
      <c r="K149" s="3" t="str">
        <f t="shared" ref="K149" si="55">D149 &amp; "-" &amp;E149</f>
        <v>T&amp;M-T&amp;M</v>
      </c>
      <c r="L149" s="21" t="s">
        <v>330</v>
      </c>
      <c r="M149" s="21" t="s">
        <v>13</v>
      </c>
      <c r="N149" s="21" t="s">
        <v>399</v>
      </c>
      <c r="O149" s="21" t="s">
        <v>396</v>
      </c>
      <c r="P149" s="21" t="s">
        <v>332</v>
      </c>
      <c r="Q149" s="21" t="s">
        <v>333</v>
      </c>
      <c r="R149" s="21" t="s">
        <v>334</v>
      </c>
      <c r="S149" s="33"/>
      <c r="T149" s="36"/>
      <c r="U149" s="36"/>
      <c r="V149" s="36"/>
      <c r="W149" s="15">
        <f>AO149+IF(ISBLANK(AP149),AB149,AP149)+IF(ISBLANK(AQ149),AC149,AQ149)+IF(ISBLANK(AR149),AD149,AR149)+IF(ISBLANK(AS149),AE149,AS149)+IF(ISBLANK(AT149),AF149,AT149)</f>
        <v>80000</v>
      </c>
      <c r="X149" s="15">
        <f>IF(V149 &gt;= W149, V149 - W149, 0)*-1</f>
        <v>0</v>
      </c>
      <c r="Y149" s="37">
        <f>IF(W149 &gt; V149, W149 - V149, 0)</f>
        <v>80000</v>
      </c>
      <c r="Z149" s="37">
        <f>SUM(Financials20263[[#This Row],[2026 Opportunity]:[2026 Risk]])</f>
        <v>80000</v>
      </c>
      <c r="AA149" s="179" t="s">
        <v>717</v>
      </c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178">
        <v>80000</v>
      </c>
      <c r="AM149" s="54"/>
      <c r="AN149" s="54">
        <f>SUM(Financials20263[[#This Row],[Jan FC]:[Dec FC]])</f>
        <v>80000</v>
      </c>
      <c r="AO149" s="15">
        <f>SUM(AG149:AM149)</f>
        <v>80000</v>
      </c>
      <c r="AP149" s="63"/>
      <c r="AQ149" s="63"/>
      <c r="AR149" s="63"/>
      <c r="AS149" s="63"/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-80000</v>
      </c>
      <c r="BN149" s="71">
        <f>Financials20263[[#This Row],[Dec AC]]-Financials20263[[#This Row],[Dec FC]]</f>
        <v>0</v>
      </c>
      <c r="BO149" s="84">
        <f>SUM(Financials20263[[#This Row],[Jan Opp/Risk]:[Dec Opp./Risk]])</f>
        <v>-80000</v>
      </c>
      <c r="BP149" s="94"/>
      <c r="BQ149" s="47">
        <f>SUM(Financials20263[[#This Row],[Jan AC]:[May AC]])</f>
        <v>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80000</v>
      </c>
      <c r="BT149" s="6">
        <f>SUM(Financials20263[[#This Row],[Jan FC]:[May FC]])</f>
        <v>0</v>
      </c>
      <c r="BU149" s="6">
        <f>Financials20263[[#This Row],[Jan-May Actuals]]+Financials20263[[#This Row],[Forecast Jun-Dec]]</f>
        <v>80000</v>
      </c>
      <c r="BV149" s="6"/>
      <c r="BW149" s="6" t="s">
        <v>338</v>
      </c>
      <c r="BX149" s="6" t="e">
        <v>#N/A</v>
      </c>
    </row>
    <row r="150" spans="1:76" ht="57.6" x14ac:dyDescent="0.3">
      <c r="A150" s="32" t="s">
        <v>302</v>
      </c>
      <c r="B150" s="21" t="s">
        <v>183</v>
      </c>
      <c r="C150" s="39"/>
      <c r="D150" s="10" t="s">
        <v>233</v>
      </c>
      <c r="E150" s="7" t="s">
        <v>426</v>
      </c>
      <c r="F150" s="3" t="s">
        <v>427</v>
      </c>
      <c r="G150" s="3" t="s">
        <v>22</v>
      </c>
      <c r="H150" s="4">
        <v>45992</v>
      </c>
      <c r="I150" s="4">
        <v>46387</v>
      </c>
      <c r="J150" s="40" t="s">
        <v>425</v>
      </c>
      <c r="K150" s="40" t="str">
        <f>D150 &amp; "-" &amp;E150</f>
        <v>Prj000469-Support - Prod Support for Ops Apps</v>
      </c>
      <c r="L150" s="39" t="s">
        <v>308</v>
      </c>
      <c r="M150" s="39" t="s">
        <v>16</v>
      </c>
      <c r="N150" s="39" t="s">
        <v>16</v>
      </c>
      <c r="O150" s="39" t="s">
        <v>457</v>
      </c>
      <c r="P150" s="39" t="s">
        <v>309</v>
      </c>
      <c r="Q150" s="33" t="s">
        <v>310</v>
      </c>
      <c r="R150" s="39" t="s">
        <v>310</v>
      </c>
      <c r="S150" s="39" t="s">
        <v>340</v>
      </c>
      <c r="T150" s="36">
        <v>0</v>
      </c>
      <c r="U150" s="37">
        <v>0</v>
      </c>
      <c r="V150" s="37">
        <v>0</v>
      </c>
      <c r="W150" s="15">
        <f t="shared" si="48"/>
        <v>102000</v>
      </c>
      <c r="X150" s="15">
        <f t="shared" si="51"/>
        <v>0</v>
      </c>
      <c r="Y150" s="38">
        <f>IF(W150 &gt; V150, W150 - V150, 0)</f>
        <v>102000</v>
      </c>
      <c r="Z150" s="38">
        <f>SUM(Financials20263[[#This Row],[2026 Opportunity]:[2026 Risk]])</f>
        <v>102000</v>
      </c>
      <c r="AA150" s="14" t="s">
        <v>718</v>
      </c>
      <c r="AB150" s="54"/>
      <c r="AC150" s="54"/>
      <c r="AD150" s="54"/>
      <c r="AE150" s="54">
        <v>92000</v>
      </c>
      <c r="AF150" s="54"/>
      <c r="AG150" s="54"/>
      <c r="AH150" s="54"/>
      <c r="AI150" s="54"/>
      <c r="AJ150" s="54"/>
      <c r="AK150" s="54"/>
      <c r="AL150" s="54"/>
      <c r="AM150" s="54">
        <v>10000</v>
      </c>
      <c r="AN150" s="54">
        <f>SUM(Financials20263[[#This Row],[Jan FC]:[Dec FC]])</f>
        <v>102000</v>
      </c>
      <c r="AO150" s="15">
        <f t="shared" si="50"/>
        <v>10000</v>
      </c>
      <c r="AP150" s="63"/>
      <c r="AQ150" s="63"/>
      <c r="AR150" s="63"/>
      <c r="AS150" s="63">
        <v>92000</v>
      </c>
      <c r="AT150" s="63"/>
      <c r="AU150" s="63"/>
      <c r="AV150" s="63"/>
      <c r="AW150" s="63"/>
      <c r="AX150" s="63"/>
      <c r="AY150" s="63"/>
      <c r="AZ150" s="63"/>
      <c r="BA150" s="63"/>
      <c r="BB150" s="82">
        <f>SUM(Financials20263[[#This Row],[Jan AC]:[Dec AC]])</f>
        <v>92000</v>
      </c>
      <c r="BC150" s="71">
        <f>Financials20263[[#This Row],[Jan AC]]-Financials20263[[#This Row],[Jan FC]]</f>
        <v>0</v>
      </c>
      <c r="BD150" s="71">
        <f>Financials20263[[#This Row],[Feb AC]]-Financials20263[[#This Row],[Feb FC]]</f>
        <v>0</v>
      </c>
      <c r="BE150" s="71">
        <f>Financials20263[[#This Row],[Mar AC]]-Financials20263[[#This Row],[Mar FC]]</f>
        <v>0</v>
      </c>
      <c r="BF150" s="71">
        <f>Financials20263[[#This Row],[Apr AC]]-Financials20263[[#This Row],[Apr FC]]</f>
        <v>0</v>
      </c>
      <c r="BG150" s="71">
        <f>Financials20263[[#This Row],[May AC]]-Financials20263[[#This Row],[May FC]]</f>
        <v>0</v>
      </c>
      <c r="BH150" s="71">
        <f>Financials20263[[#This Row],[Jun AC]]-Financials20263[[#This Row],[Jun FC]]</f>
        <v>0</v>
      </c>
      <c r="BI150" s="71">
        <f>Financials20263[[#This Row],[Jul AC]]-Financials20263[[#This Row],[Jul FC]]</f>
        <v>0</v>
      </c>
      <c r="BJ150" s="71">
        <f>Financials20263[[#This Row],[Aug AC]]-Financials20263[[#This Row],[Aug FC]]</f>
        <v>0</v>
      </c>
      <c r="BK150" s="71">
        <f>Financials20263[[#This Row],[Sep AC]]-Financials20263[[#This Row],[Sep FC]]</f>
        <v>0</v>
      </c>
      <c r="BL150" s="71">
        <f>Financials20263[[#This Row],[Oct AC]]-Financials20263[[#This Row],[Oct FC]]</f>
        <v>0</v>
      </c>
      <c r="BM150" s="71">
        <f>Financials20263[[#This Row],[Nov AC]]-Financials20263[[#This Row],[Nov FC]]</f>
        <v>0</v>
      </c>
      <c r="BN150" s="71">
        <f>Financials20263[[#This Row],[Dec AC]]-Financials20263[[#This Row],[Dec FC]]</f>
        <v>-10000</v>
      </c>
      <c r="BO150" s="84">
        <f>SUM(Financials20263[[#This Row],[Jan Opp/Risk]:[Dec Opp./Risk]])</f>
        <v>-10000</v>
      </c>
      <c r="BP150" s="95" t="s">
        <v>719</v>
      </c>
      <c r="BQ150" s="47">
        <f>SUM(Financials20263[[#This Row],[Jan AC]:[May AC]])</f>
        <v>92000</v>
      </c>
      <c r="BR150" s="6">
        <f>Financials20263[[#This Row],[2026 (Actuals + Forecast)]]-Financials20263[[#This Row],[Jan-May Actuals]]-Financials20263[[#This Row],[Jun-Dec FC]]</f>
        <v>0</v>
      </c>
      <c r="BS150" s="6">
        <f>Financials20263[[#This Row],[Jun-Dec FC]]+Financials20263[[#This Row],[Jan-May Forecast ]]</f>
        <v>10000</v>
      </c>
      <c r="BT150" s="6">
        <f>SUM(Financials20263[[#This Row],[Jan FC]:[May FC]])</f>
        <v>92000</v>
      </c>
      <c r="BU150" s="6">
        <f>Financials20263[[#This Row],[Jan-May Actuals]]+Financials20263[[#This Row],[Forecast Jun-Dec]]</f>
        <v>102000</v>
      </c>
      <c r="BV150" s="6"/>
      <c r="BW150" s="6" t="s">
        <v>16</v>
      </c>
      <c r="BX150" s="6" t="s">
        <v>313</v>
      </c>
    </row>
    <row r="151" spans="1:76" x14ac:dyDescent="0.3">
      <c r="A151" s="140"/>
      <c r="B151" s="140"/>
      <c r="C151" s="141"/>
      <c r="D151"/>
      <c r="G151"/>
      <c r="J151" s="142"/>
      <c r="K151" s="142"/>
      <c r="L151" s="141"/>
      <c r="M151" s="141"/>
      <c r="N151" s="141"/>
      <c r="O151" s="141"/>
      <c r="P151" s="141"/>
      <c r="Q151" s="140"/>
      <c r="R151" s="141"/>
      <c r="S151" s="141"/>
      <c r="T151" s="6"/>
      <c r="U151" s="143"/>
      <c r="V151" s="143"/>
      <c r="W151" s="143"/>
      <c r="X151" s="143"/>
      <c r="Y151" s="144"/>
      <c r="Z151" s="144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6" x14ac:dyDescent="0.3">
      <c r="A152" s="107"/>
      <c r="B152" s="107" t="s">
        <v>720</v>
      </c>
      <c r="C152" s="107"/>
      <c r="D152" s="108"/>
      <c r="E152" s="107"/>
      <c r="F152" s="107"/>
      <c r="G152" s="108"/>
      <c r="H152" s="109"/>
      <c r="I152" s="109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10">
        <f t="shared" ref="T152:AY152" si="56">SUBTOTAL(9,T2:T151)</f>
        <v>46382982.072500005</v>
      </c>
      <c r="U152" s="110">
        <f t="shared" si="56"/>
        <v>40168697.557166502</v>
      </c>
      <c r="V152" s="110">
        <f t="shared" si="56"/>
        <v>40788397.956149995</v>
      </c>
      <c r="W152" s="110">
        <f t="shared" si="56"/>
        <v>41235541.133566655</v>
      </c>
      <c r="X152" s="110">
        <f t="shared" si="56"/>
        <v>-3748783.7001499995</v>
      </c>
      <c r="Y152" s="110">
        <f t="shared" si="56"/>
        <v>4195926.8775666654</v>
      </c>
      <c r="Z152" s="110">
        <f t="shared" si="56"/>
        <v>447143.17741666618</v>
      </c>
      <c r="AA152" s="110">
        <f t="shared" si="56"/>
        <v>0</v>
      </c>
      <c r="AB152" s="110">
        <f t="shared" si="56"/>
        <v>3093290.4024999994</v>
      </c>
      <c r="AC152" s="110">
        <f t="shared" si="56"/>
        <v>3064082.0425</v>
      </c>
      <c r="AD152" s="110">
        <f t="shared" si="56"/>
        <v>3202306.3920833333</v>
      </c>
      <c r="AE152" s="110">
        <f t="shared" si="56"/>
        <v>3749212.6802499997</v>
      </c>
      <c r="AF152" s="110">
        <f t="shared" si="56"/>
        <v>3242027.7902500001</v>
      </c>
      <c r="AG152" s="110">
        <f t="shared" si="56"/>
        <v>3109340.7035833332</v>
      </c>
      <c r="AH152" s="110">
        <f t="shared" si="56"/>
        <v>3405678.1052500005</v>
      </c>
      <c r="AI152" s="110">
        <f t="shared" si="56"/>
        <v>3884155.918583333</v>
      </c>
      <c r="AJ152" s="110">
        <f t="shared" si="56"/>
        <v>2915294.6559166671</v>
      </c>
      <c r="AK152" s="110">
        <f t="shared" si="56"/>
        <v>3451457.0869166669</v>
      </c>
      <c r="AL152" s="110">
        <f t="shared" si="56"/>
        <v>2982881.6594166672</v>
      </c>
      <c r="AM152" s="110">
        <f t="shared" si="56"/>
        <v>5106447.5735833338</v>
      </c>
      <c r="AN152" s="110">
        <f t="shared" si="56"/>
        <v>41206175.010833316</v>
      </c>
      <c r="AO152" s="110">
        <f t="shared" si="56"/>
        <v>24855255.703250002</v>
      </c>
      <c r="AP152" s="110">
        <f t="shared" si="56"/>
        <v>3152345.7691666665</v>
      </c>
      <c r="AQ152" s="110">
        <f t="shared" si="56"/>
        <v>2996640.1791666681</v>
      </c>
      <c r="AR152" s="110">
        <f t="shared" si="56"/>
        <v>3232989.6266666674</v>
      </c>
      <c r="AS152" s="110">
        <f t="shared" si="56"/>
        <v>3445196.122533333</v>
      </c>
      <c r="AT152" s="110">
        <f t="shared" si="56"/>
        <v>2950998.2725333329</v>
      </c>
      <c r="AU152" s="110">
        <f t="shared" si="56"/>
        <v>1112200.7066666668</v>
      </c>
      <c r="AV152" s="110">
        <f t="shared" si="56"/>
        <v>668576.58000000007</v>
      </c>
      <c r="AW152" s="110">
        <f t="shared" si="56"/>
        <v>649080.58000000007</v>
      </c>
      <c r="AX152" s="110">
        <f t="shared" si="56"/>
        <v>637440.2466666667</v>
      </c>
      <c r="AY152" s="110">
        <f t="shared" si="56"/>
        <v>610371.4966666667</v>
      </c>
      <c r="AZ152" s="110">
        <f t="shared" ref="AZ152:BQ152" si="57">SUBTOTAL(9,AZ2:AZ151)</f>
        <v>529008.00666666671</v>
      </c>
      <c r="BA152" s="110">
        <f t="shared" si="57"/>
        <v>487037.0108333333</v>
      </c>
      <c r="BB152" s="110">
        <f t="shared" si="57"/>
        <v>20471884.597566668</v>
      </c>
      <c r="BC152" s="110">
        <f t="shared" si="57"/>
        <v>59055.366666666683</v>
      </c>
      <c r="BD152" s="110">
        <f t="shared" si="57"/>
        <v>-67441.863333333269</v>
      </c>
      <c r="BE152" s="110">
        <f t="shared" si="57"/>
        <v>30683.234583333346</v>
      </c>
      <c r="BF152" s="110">
        <f t="shared" si="57"/>
        <v>-304016.55771666672</v>
      </c>
      <c r="BG152" s="110">
        <f t="shared" si="57"/>
        <v>-291029.51771666668</v>
      </c>
      <c r="BH152" s="110">
        <f t="shared" si="57"/>
        <v>-1997139.9969166664</v>
      </c>
      <c r="BI152" s="110">
        <f t="shared" si="57"/>
        <v>-2737101.5252500004</v>
      </c>
      <c r="BJ152" s="110">
        <f t="shared" si="57"/>
        <v>-3235075.3385833334</v>
      </c>
      <c r="BK152" s="110">
        <f t="shared" si="57"/>
        <v>-2277854.40925</v>
      </c>
      <c r="BL152" s="110">
        <f t="shared" si="57"/>
        <v>-2841085.5902500004</v>
      </c>
      <c r="BM152" s="110">
        <f t="shared" si="57"/>
        <v>-2453873.6527500004</v>
      </c>
      <c r="BN152" s="110">
        <f t="shared" si="57"/>
        <v>-4619410.5627500005</v>
      </c>
      <c r="BO152" s="110">
        <f t="shared" si="57"/>
        <v>-20734290.413266674</v>
      </c>
      <c r="BP152" s="110">
        <f t="shared" si="57"/>
        <v>0</v>
      </c>
      <c r="BQ152" s="110">
        <f t="shared" si="57"/>
        <v>15778169.970066672</v>
      </c>
    </row>
    <row r="154" spans="1:76" x14ac:dyDescent="0.3">
      <c r="T154" s="6"/>
      <c r="U154" s="135"/>
      <c r="V154" s="139"/>
      <c r="AH154" s="6"/>
    </row>
    <row r="155" spans="1:76" x14ac:dyDescent="0.3">
      <c r="U155" s="43"/>
      <c r="AE155"/>
      <c r="AF155"/>
      <c r="AG155" s="6"/>
      <c r="AH155" s="146"/>
    </row>
    <row r="156" spans="1:76" x14ac:dyDescent="0.3">
      <c r="U156" s="6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3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22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6640625" bestFit="1" customWidth="1"/>
    <col min="4" max="4" width="9.33203125" bestFit="1" customWidth="1"/>
    <col min="5" max="5" width="29.33203125" bestFit="1" customWidth="1"/>
    <col min="6" max="6" width="28.664062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6640625" bestFit="1" customWidth="1"/>
    <col min="13" max="14" width="13.33203125" bestFit="1" customWidth="1"/>
    <col min="15" max="15" width="13.6640625" bestFit="1" customWidth="1"/>
    <col min="16" max="16" width="29.6640625" bestFit="1" customWidth="1"/>
    <col min="17" max="17" width="17.5546875" bestFit="1" customWidth="1"/>
    <col min="18" max="18" width="16.88671875" hidden="1" customWidth="1"/>
    <col min="19" max="19" width="19.33203125" hidden="1" customWidth="1"/>
    <col min="20" max="20" width="11.5546875" hidden="1" customWidth="1"/>
    <col min="21" max="21" width="16.44140625" hidden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33203125" bestFit="1" customWidth="1"/>
    <col min="40" max="41" width="10.6640625" bestFit="1" customWidth="1"/>
    <col min="42" max="42" width="6.33203125" bestFit="1" customWidth="1"/>
    <col min="43" max="44" width="6.6640625" bestFit="1" customWidth="1"/>
    <col min="45" max="45" width="6.5546875" bestFit="1" customWidth="1"/>
    <col min="46" max="46" width="7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13" t="s">
        <v>0</v>
      </c>
      <c r="B1" s="113" t="s">
        <v>33</v>
      </c>
      <c r="C1" s="113" t="s">
        <v>234</v>
      </c>
      <c r="D1" s="113" t="s">
        <v>226</v>
      </c>
      <c r="E1" s="113" t="s">
        <v>235</v>
      </c>
      <c r="F1" s="113" t="s">
        <v>236</v>
      </c>
      <c r="G1" s="113" t="s">
        <v>30</v>
      </c>
      <c r="H1" s="114" t="s">
        <v>237</v>
      </c>
      <c r="I1" s="114" t="s">
        <v>238</v>
      </c>
      <c r="J1" s="114" t="s">
        <v>239</v>
      </c>
      <c r="K1" s="113" t="s">
        <v>240</v>
      </c>
      <c r="L1" s="113" t="s">
        <v>4</v>
      </c>
      <c r="M1" s="113" t="s">
        <v>18</v>
      </c>
      <c r="N1" s="113" t="s">
        <v>241</v>
      </c>
      <c r="O1" s="115" t="s">
        <v>242</v>
      </c>
      <c r="P1" s="113" t="s">
        <v>243</v>
      </c>
      <c r="Q1" s="113" t="s">
        <v>244</v>
      </c>
      <c r="R1" s="113" t="s">
        <v>245</v>
      </c>
      <c r="S1" s="113" t="s">
        <v>246</v>
      </c>
      <c r="T1" s="115" t="s">
        <v>247</v>
      </c>
      <c r="U1" s="116" t="s">
        <v>248</v>
      </c>
      <c r="V1" s="116" t="s">
        <v>34</v>
      </c>
      <c r="W1" s="116" t="s">
        <v>249</v>
      </c>
      <c r="X1" s="117" t="s">
        <v>250</v>
      </c>
      <c r="Y1" s="118" t="s">
        <v>251</v>
      </c>
      <c r="Z1" s="118" t="s">
        <v>37</v>
      </c>
      <c r="AA1" s="119" t="s">
        <v>252</v>
      </c>
      <c r="AB1" s="116" t="s">
        <v>253</v>
      </c>
      <c r="AC1" s="116" t="s">
        <v>254</v>
      </c>
      <c r="AD1" s="116" t="s">
        <v>255</v>
      </c>
      <c r="AE1" s="116" t="s">
        <v>256</v>
      </c>
      <c r="AF1" s="115" t="s">
        <v>257</v>
      </c>
      <c r="AG1" s="115" t="s">
        <v>258</v>
      </c>
      <c r="AH1" s="115" t="s">
        <v>259</v>
      </c>
      <c r="AI1" s="115" t="s">
        <v>260</v>
      </c>
      <c r="AJ1" s="115" t="s">
        <v>261</v>
      </c>
      <c r="AK1" s="115" t="s">
        <v>262</v>
      </c>
      <c r="AL1" s="115" t="s">
        <v>263</v>
      </c>
      <c r="AM1" s="115" t="s">
        <v>264</v>
      </c>
      <c r="AN1" s="115" t="s">
        <v>265</v>
      </c>
      <c r="AO1" s="120" t="s">
        <v>721</v>
      </c>
      <c r="AP1" s="121" t="s">
        <v>267</v>
      </c>
      <c r="AQ1" s="121" t="s">
        <v>268</v>
      </c>
      <c r="AR1" s="121" t="s">
        <v>269</v>
      </c>
      <c r="AS1" s="121" t="s">
        <v>270</v>
      </c>
      <c r="AT1" s="122" t="s">
        <v>271</v>
      </c>
      <c r="AU1" s="122" t="s">
        <v>272</v>
      </c>
      <c r="AV1" s="122" t="s">
        <v>273</v>
      </c>
      <c r="AW1" s="122" t="s">
        <v>274</v>
      </c>
      <c r="AX1" s="122" t="s">
        <v>275</v>
      </c>
      <c r="AY1" s="122" t="s">
        <v>276</v>
      </c>
      <c r="AZ1" s="122" t="s">
        <v>277</v>
      </c>
      <c r="BA1" s="122" t="s">
        <v>278</v>
      </c>
      <c r="BB1" s="123" t="s">
        <v>279</v>
      </c>
      <c r="BC1" s="124" t="s">
        <v>293</v>
      </c>
    </row>
    <row r="2" spans="1:55" x14ac:dyDescent="0.3">
      <c r="A2" s="125" t="s">
        <v>722</v>
      </c>
      <c r="B2" s="125" t="s">
        <v>723</v>
      </c>
      <c r="C2" s="125"/>
      <c r="D2" s="10" t="s">
        <v>724</v>
      </c>
      <c r="E2" s="7" t="s">
        <v>725</v>
      </c>
      <c r="F2" s="126" t="s">
        <v>318</v>
      </c>
      <c r="G2" s="126" t="s">
        <v>25</v>
      </c>
      <c r="H2" s="127"/>
      <c r="I2" s="127"/>
      <c r="J2" s="125"/>
      <c r="K2" s="126"/>
      <c r="L2" s="125" t="s">
        <v>308</v>
      </c>
      <c r="M2" s="125" t="s">
        <v>16</v>
      </c>
      <c r="N2" s="125" t="s">
        <v>16</v>
      </c>
      <c r="O2" s="125" t="s">
        <v>26</v>
      </c>
      <c r="P2" s="125" t="s">
        <v>309</v>
      </c>
      <c r="Q2" s="125" t="s">
        <v>310</v>
      </c>
      <c r="R2" s="125" t="s">
        <v>310</v>
      </c>
      <c r="S2" s="125"/>
      <c r="T2" s="128"/>
      <c r="U2" s="129"/>
      <c r="V2" s="129">
        <v>-2002970</v>
      </c>
      <c r="W2" s="129">
        <f t="shared" ref="W2" si="0">AO2+IF(ISBLANK(AP2),AB2,AP2)+IF(ISBLANK(AQ2),AC2,AQ2)+IF(ISBLANK(AR2),AD2,AR2)+IF(ISBLANK(AS2),AE2,AS2)</f>
        <v>-2002970.0000000002</v>
      </c>
      <c r="X2" s="129">
        <f>IF(V2 &gt;= W2, V2 - W2, 0)*-1</f>
        <v>-2.3283064365386963E-10</v>
      </c>
      <c r="Y2" s="129">
        <f t="shared" ref="Y2" si="1">IF(W2 &gt; V2, W2 - V2, 0)</f>
        <v>0</v>
      </c>
      <c r="Z2" s="129">
        <f>SUM(X2:Y2)</f>
        <v>-2.3283064365386963E-10</v>
      </c>
      <c r="AA2" s="12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2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30">
        <f>SUM(AP2:BA2)</f>
        <v>0</v>
      </c>
      <c r="BC2" s="131"/>
    </row>
    <row r="3" spans="1:55" x14ac:dyDescent="0.3">
      <c r="A3" s="125" t="s">
        <v>302</v>
      </c>
      <c r="B3" s="125" t="s">
        <v>726</v>
      </c>
      <c r="C3" s="125"/>
      <c r="D3" s="10" t="s">
        <v>724</v>
      </c>
      <c r="E3" s="7" t="s">
        <v>725</v>
      </c>
      <c r="F3" s="126" t="s">
        <v>318</v>
      </c>
      <c r="G3" s="126" t="s">
        <v>25</v>
      </c>
      <c r="H3" s="127">
        <v>46111</v>
      </c>
      <c r="I3" s="127">
        <v>46252</v>
      </c>
      <c r="J3" s="125"/>
      <c r="K3" s="126"/>
      <c r="L3" s="125" t="s">
        <v>308</v>
      </c>
      <c r="M3" s="125" t="s">
        <v>16</v>
      </c>
      <c r="N3" s="125" t="s">
        <v>396</v>
      </c>
      <c r="O3" s="125" t="s">
        <v>727</v>
      </c>
      <c r="P3" s="125" t="s">
        <v>309</v>
      </c>
      <c r="Q3" s="125" t="s">
        <v>310</v>
      </c>
      <c r="R3" s="125" t="s">
        <v>310</v>
      </c>
      <c r="S3" s="125" t="s">
        <v>727</v>
      </c>
      <c r="T3" s="132">
        <v>0</v>
      </c>
      <c r="U3" s="132">
        <v>0</v>
      </c>
      <c r="V3" s="129">
        <v>1096541</v>
      </c>
      <c r="W3" s="129">
        <f t="shared" ref="W3:W6" si="3">AO3+IF(ISBLANK(AP3),AB3,AP3)+IF(ISBLANK(AQ3),AC3,AQ3)+IF(ISBLANK(AR3),AD3,AR3)+IF(ISBLANK(AS3),AE3,AS3)</f>
        <v>1096541</v>
      </c>
      <c r="X3" s="129">
        <f t="shared" ref="X3:X6" si="4">IF(V3 &gt;= W3, V3 - W3, 0)*-1</f>
        <v>0</v>
      </c>
      <c r="Y3" s="129">
        <f t="shared" ref="Y3:Y6" si="5">IF(W3 &gt; V3, W3 - V3, 0)</f>
        <v>0</v>
      </c>
      <c r="Z3" s="129">
        <f t="shared" ref="Z3:Z6" si="6">SUM(X3:Y3)</f>
        <v>0</v>
      </c>
      <c r="AA3" s="12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2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30">
        <f t="shared" ref="BB3:BB8" si="9">SUM(AP3:BA3)</f>
        <v>0</v>
      </c>
      <c r="BC3" s="131"/>
    </row>
    <row r="4" spans="1:55" x14ac:dyDescent="0.3">
      <c r="A4" s="125" t="s">
        <v>302</v>
      </c>
      <c r="B4" s="125" t="s">
        <v>728</v>
      </c>
      <c r="C4" s="125"/>
      <c r="D4" s="10" t="s">
        <v>724</v>
      </c>
      <c r="E4" s="7" t="s">
        <v>725</v>
      </c>
      <c r="F4" s="126" t="s">
        <v>318</v>
      </c>
      <c r="G4" s="126" t="s">
        <v>25</v>
      </c>
      <c r="H4" s="127">
        <v>46083</v>
      </c>
      <c r="I4" s="127">
        <v>46129</v>
      </c>
      <c r="J4" s="125"/>
      <c r="K4" s="126"/>
      <c r="L4" s="125" t="s">
        <v>308</v>
      </c>
      <c r="M4" s="125" t="s">
        <v>16</v>
      </c>
      <c r="N4" s="125" t="s">
        <v>729</v>
      </c>
      <c r="O4" s="125" t="s">
        <v>730</v>
      </c>
      <c r="P4" s="125" t="s">
        <v>309</v>
      </c>
      <c r="Q4" s="125" t="s">
        <v>310</v>
      </c>
      <c r="R4" s="125" t="s">
        <v>310</v>
      </c>
      <c r="S4" s="125" t="s">
        <v>10</v>
      </c>
      <c r="T4" s="132">
        <v>0</v>
      </c>
      <c r="U4" s="132">
        <v>0</v>
      </c>
      <c r="V4" s="129">
        <v>84400</v>
      </c>
      <c r="W4" s="129">
        <f t="shared" si="3"/>
        <v>0</v>
      </c>
      <c r="X4" s="129">
        <f t="shared" si="4"/>
        <v>-84400</v>
      </c>
      <c r="Y4" s="129">
        <f t="shared" si="5"/>
        <v>0</v>
      </c>
      <c r="Z4" s="129">
        <f t="shared" si="6"/>
        <v>-84400</v>
      </c>
      <c r="AA4" s="126" t="s">
        <v>731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2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30">
        <f t="shared" si="9"/>
        <v>0</v>
      </c>
      <c r="BC4" s="131"/>
    </row>
    <row r="5" spans="1:55" x14ac:dyDescent="0.3">
      <c r="A5" s="125" t="s">
        <v>302</v>
      </c>
      <c r="B5" s="125" t="s">
        <v>732</v>
      </c>
      <c r="C5" s="125" t="s">
        <v>733</v>
      </c>
      <c r="D5" s="10" t="s">
        <v>724</v>
      </c>
      <c r="E5" s="7" t="s">
        <v>725</v>
      </c>
      <c r="F5" s="126" t="s">
        <v>318</v>
      </c>
      <c r="G5" s="126" t="s">
        <v>25</v>
      </c>
      <c r="H5" s="127">
        <v>46155</v>
      </c>
      <c r="I5" s="127">
        <v>47374</v>
      </c>
      <c r="J5" s="125"/>
      <c r="K5" s="126"/>
      <c r="L5" s="125" t="s">
        <v>308</v>
      </c>
      <c r="M5" s="125" t="s">
        <v>16</v>
      </c>
      <c r="N5" s="125" t="s">
        <v>378</v>
      </c>
      <c r="O5" s="125" t="s">
        <v>420</v>
      </c>
      <c r="P5" s="125" t="s">
        <v>309</v>
      </c>
      <c r="Q5" s="125" t="s">
        <v>310</v>
      </c>
      <c r="R5" s="125" t="s">
        <v>310</v>
      </c>
      <c r="S5" s="125" t="s">
        <v>734</v>
      </c>
      <c r="T5" s="132">
        <v>0</v>
      </c>
      <c r="U5" s="132">
        <v>0</v>
      </c>
      <c r="V5" s="129">
        <f>183812</f>
        <v>183812</v>
      </c>
      <c r="W5" s="129">
        <f t="shared" si="3"/>
        <v>183812</v>
      </c>
      <c r="X5" s="129">
        <f t="shared" si="4"/>
        <v>0</v>
      </c>
      <c r="Y5" s="129">
        <f t="shared" si="5"/>
        <v>0</v>
      </c>
      <c r="Z5" s="129">
        <f t="shared" si="6"/>
        <v>0</v>
      </c>
      <c r="AA5" s="126" t="s">
        <v>735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2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30">
        <f t="shared" si="9"/>
        <v>183812</v>
      </c>
      <c r="BC5" s="131" t="s">
        <v>736</v>
      </c>
    </row>
    <row r="6" spans="1:55" x14ac:dyDescent="0.3">
      <c r="A6" s="125" t="s">
        <v>302</v>
      </c>
      <c r="B6" s="125" t="s">
        <v>737</v>
      </c>
      <c r="C6" s="125"/>
      <c r="D6" s="10" t="s">
        <v>724</v>
      </c>
      <c r="E6" s="7" t="s">
        <v>725</v>
      </c>
      <c r="F6" s="126" t="s">
        <v>318</v>
      </c>
      <c r="G6" s="126" t="s">
        <v>25</v>
      </c>
      <c r="H6" s="127">
        <v>46174</v>
      </c>
      <c r="I6" s="127">
        <v>47269</v>
      </c>
      <c r="J6" s="125"/>
      <c r="K6" s="126"/>
      <c r="L6" s="125" t="s">
        <v>308</v>
      </c>
      <c r="M6" s="125" t="s">
        <v>16</v>
      </c>
      <c r="N6" s="125" t="s">
        <v>378</v>
      </c>
      <c r="O6" s="125" t="s">
        <v>738</v>
      </c>
      <c r="P6" s="125" t="s">
        <v>309</v>
      </c>
      <c r="Q6" s="125" t="s">
        <v>310</v>
      </c>
      <c r="R6" s="125" t="s">
        <v>310</v>
      </c>
      <c r="S6" s="125"/>
      <c r="T6" s="132">
        <v>0</v>
      </c>
      <c r="U6" s="132">
        <v>0</v>
      </c>
      <c r="V6" s="129">
        <v>240000</v>
      </c>
      <c r="W6" s="129">
        <f t="shared" si="3"/>
        <v>240000</v>
      </c>
      <c r="X6" s="129">
        <f t="shared" si="4"/>
        <v>0</v>
      </c>
      <c r="Y6" s="129">
        <f t="shared" si="5"/>
        <v>0</v>
      </c>
      <c r="Z6" s="129">
        <f t="shared" si="6"/>
        <v>0</v>
      </c>
      <c r="AA6" s="126" t="s">
        <v>739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2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30">
        <f t="shared" si="9"/>
        <v>0</v>
      </c>
      <c r="BC6" s="131" t="s">
        <v>740</v>
      </c>
    </row>
    <row r="7" spans="1:55" x14ac:dyDescent="0.3">
      <c r="A7" s="125" t="s">
        <v>302</v>
      </c>
      <c r="B7" s="125" t="s">
        <v>741</v>
      </c>
      <c r="C7" s="125"/>
      <c r="D7" s="10" t="s">
        <v>724</v>
      </c>
      <c r="E7" s="7" t="s">
        <v>725</v>
      </c>
      <c r="F7" s="126" t="s">
        <v>318</v>
      </c>
      <c r="G7" s="126" t="s">
        <v>25</v>
      </c>
      <c r="H7" s="127">
        <v>46143</v>
      </c>
      <c r="I7" s="127">
        <v>46234</v>
      </c>
      <c r="J7" s="125"/>
      <c r="K7" s="126"/>
      <c r="L7" s="125" t="s">
        <v>308</v>
      </c>
      <c r="M7" s="125" t="s">
        <v>16</v>
      </c>
      <c r="N7" s="125" t="s">
        <v>378</v>
      </c>
      <c r="O7" s="125" t="s">
        <v>378</v>
      </c>
      <c r="P7" s="125" t="s">
        <v>309</v>
      </c>
      <c r="Q7" s="125" t="s">
        <v>310</v>
      </c>
      <c r="R7" s="125" t="s">
        <v>310</v>
      </c>
      <c r="S7" s="125" t="s">
        <v>742</v>
      </c>
      <c r="T7" s="132">
        <v>0</v>
      </c>
      <c r="U7" s="132">
        <v>0</v>
      </c>
      <c r="V7" s="129">
        <v>2828.06</v>
      </c>
      <c r="W7" s="129">
        <f t="shared" ref="W7" si="10">AO7+IF(ISBLANK(AP7),AB7,AP7)+IF(ISBLANK(AQ7),AC7,AQ7)+IF(ISBLANK(AR7),AD7,AR7)+IF(ISBLANK(AS7),AE7,AS7)</f>
        <v>2828.06</v>
      </c>
      <c r="X7" s="129">
        <f t="shared" ref="X7" si="11">IF(V7 &gt;= W7, V7 - W7, 0)*-1</f>
        <v>0</v>
      </c>
      <c r="Y7" s="129">
        <f t="shared" ref="Y7" si="12">IF(W7 &gt; V7, W7 - V7, 0)</f>
        <v>0</v>
      </c>
      <c r="Z7" s="129">
        <f t="shared" ref="Z7" si="13">SUM(X7:Y7)</f>
        <v>0</v>
      </c>
      <c r="AA7" s="126" t="s">
        <v>743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2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30">
        <f t="shared" si="9"/>
        <v>2913.55</v>
      </c>
      <c r="BC7" s="131"/>
    </row>
    <row r="8" spans="1:55" x14ac:dyDescent="0.3">
      <c r="A8" s="125" t="s">
        <v>302</v>
      </c>
      <c r="B8" s="125" t="s">
        <v>744</v>
      </c>
      <c r="C8" s="125" t="s">
        <v>745</v>
      </c>
      <c r="D8" s="10" t="s">
        <v>724</v>
      </c>
      <c r="E8" s="7" t="s">
        <v>725</v>
      </c>
      <c r="F8" s="126" t="s">
        <v>318</v>
      </c>
      <c r="G8" s="126" t="s">
        <v>25</v>
      </c>
      <c r="H8" s="127"/>
      <c r="I8" s="127"/>
      <c r="J8" s="125"/>
      <c r="K8" s="126"/>
      <c r="L8" s="125" t="s">
        <v>308</v>
      </c>
      <c r="M8" s="125" t="s">
        <v>16</v>
      </c>
      <c r="N8" s="125"/>
      <c r="O8" s="125"/>
      <c r="P8" s="125" t="s">
        <v>309</v>
      </c>
      <c r="Q8" s="125" t="s">
        <v>310</v>
      </c>
      <c r="R8" s="125" t="s">
        <v>310</v>
      </c>
      <c r="S8" s="125"/>
      <c r="T8" s="132">
        <v>0</v>
      </c>
      <c r="U8" s="132">
        <v>0</v>
      </c>
      <c r="V8" s="129"/>
      <c r="W8" s="129"/>
      <c r="X8" s="129"/>
      <c r="Y8" s="129"/>
      <c r="Z8" s="129"/>
      <c r="AA8" s="126" t="s">
        <v>746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2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30">
        <f t="shared" si="9"/>
        <v>9945</v>
      </c>
      <c r="BC8" s="131"/>
    </row>
    <row r="10" spans="1:55" s="133" customFormat="1" x14ac:dyDescent="0.3">
      <c r="U10" s="133" t="s">
        <v>747</v>
      </c>
      <c r="V10" s="134">
        <f>SUM(V2:V8)</f>
        <v>-395388.94</v>
      </c>
      <c r="W10" s="134">
        <f t="shared" ref="W10:BB10" si="16">SUM(W2:W8)</f>
        <v>-479788.94000000024</v>
      </c>
      <c r="X10" s="134">
        <f t="shared" si="16"/>
        <v>-84400.000000000233</v>
      </c>
      <c r="Y10" s="134">
        <f t="shared" si="16"/>
        <v>0</v>
      </c>
      <c r="Z10" s="134">
        <f t="shared" si="16"/>
        <v>-84400.000000000233</v>
      </c>
      <c r="AA10" s="134"/>
      <c r="AB10" s="134">
        <f t="shared" si="16"/>
        <v>-166914.16666666666</v>
      </c>
      <c r="AC10" s="134">
        <f t="shared" si="16"/>
        <v>-166914.16666666666</v>
      </c>
      <c r="AD10" s="134">
        <f t="shared" si="16"/>
        <v>-166914.16666666666</v>
      </c>
      <c r="AE10" s="134">
        <f t="shared" si="16"/>
        <v>31565.833333333343</v>
      </c>
      <c r="AF10" s="134">
        <f t="shared" si="16"/>
        <v>-164086.10666666666</v>
      </c>
      <c r="AG10" s="134">
        <f t="shared" si="16"/>
        <v>-126914.16666666666</v>
      </c>
      <c r="AH10" s="134">
        <f t="shared" si="16"/>
        <v>-166914.16666666666</v>
      </c>
      <c r="AI10" s="134">
        <f t="shared" si="16"/>
        <v>731146.83333333337</v>
      </c>
      <c r="AJ10" s="134">
        <f t="shared" si="16"/>
        <v>16897.833333333343</v>
      </c>
      <c r="AK10" s="134">
        <f t="shared" si="16"/>
        <v>33085.833333333343</v>
      </c>
      <c r="AL10" s="134">
        <f t="shared" si="16"/>
        <v>-166914.16666666666</v>
      </c>
      <c r="AM10" s="134">
        <f t="shared" si="16"/>
        <v>-166914.16666666666</v>
      </c>
      <c r="AN10" s="134">
        <f t="shared" si="16"/>
        <v>-479788.94000000024</v>
      </c>
      <c r="AO10" s="134">
        <f t="shared" si="16"/>
        <v>-10612.273333333256</v>
      </c>
      <c r="AP10" s="134">
        <f t="shared" si="16"/>
        <v>0</v>
      </c>
      <c r="AQ10" s="134">
        <f t="shared" si="16"/>
        <v>0</v>
      </c>
      <c r="AR10" s="134">
        <f t="shared" si="16"/>
        <v>6495</v>
      </c>
      <c r="AS10" s="134">
        <f t="shared" si="16"/>
        <v>0</v>
      </c>
      <c r="AT10" s="134">
        <f t="shared" si="16"/>
        <v>5213.55</v>
      </c>
      <c r="AU10" s="134">
        <f t="shared" si="16"/>
        <v>1150</v>
      </c>
      <c r="AV10" s="134">
        <f t="shared" si="16"/>
        <v>0</v>
      </c>
      <c r="AW10" s="134">
        <f t="shared" si="16"/>
        <v>0</v>
      </c>
      <c r="AX10" s="134">
        <f t="shared" si="16"/>
        <v>183812</v>
      </c>
      <c r="AY10" s="134">
        <f t="shared" si="16"/>
        <v>0</v>
      </c>
      <c r="AZ10" s="134">
        <f t="shared" si="16"/>
        <v>0</v>
      </c>
      <c r="BA10" s="134">
        <f t="shared" si="16"/>
        <v>0</v>
      </c>
      <c r="BB10" s="134">
        <f t="shared" si="16"/>
        <v>196670.55</v>
      </c>
    </row>
  </sheetData>
  <conditionalFormatting sqref="Y1:Z8">
    <cfRule type="cellIs" dxfId="21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3:N48"/>
  <sheetViews>
    <sheetView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K19" sqref="K19"/>
    </sheetView>
  </sheetViews>
  <sheetFormatPr defaultRowHeight="14.4" x14ac:dyDescent="0.3"/>
  <cols>
    <col min="1" max="1" width="24.33203125" bestFit="1" customWidth="1"/>
    <col min="2" max="2" width="15.55468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1.33203125" customWidth="1"/>
    <col min="7" max="7" width="22" bestFit="1" customWidth="1"/>
    <col min="8" max="8" width="21.88671875" bestFit="1" customWidth="1"/>
    <col min="9" max="9" width="20.77734375" bestFit="1" customWidth="1"/>
    <col min="10" max="11" width="21.6640625" bestFit="1" customWidth="1"/>
    <col min="12" max="22" width="21.88671875" bestFit="1" customWidth="1"/>
    <col min="23" max="23" width="26.44140625" bestFit="1" customWidth="1"/>
    <col min="24" max="24" width="25.44140625" bestFit="1" customWidth="1"/>
    <col min="25" max="25" width="26.33203125" bestFit="1" customWidth="1"/>
  </cols>
  <sheetData>
    <row r="3" spans="1:9" x14ac:dyDescent="0.3">
      <c r="C3" s="8" t="s">
        <v>29</v>
      </c>
      <c r="H3" s="8" t="s">
        <v>29</v>
      </c>
    </row>
    <row r="4" spans="1:9" x14ac:dyDescent="0.3">
      <c r="A4" s="8" t="s">
        <v>300</v>
      </c>
      <c r="B4" s="8" t="s">
        <v>18</v>
      </c>
      <c r="C4" t="s">
        <v>5</v>
      </c>
      <c r="D4" t="s">
        <v>748</v>
      </c>
      <c r="E4" t="s">
        <v>9</v>
      </c>
      <c r="G4" s="8" t="s">
        <v>300</v>
      </c>
      <c r="H4" t="s">
        <v>5</v>
      </c>
      <c r="I4" t="s">
        <v>748</v>
      </c>
    </row>
    <row r="5" spans="1:9" x14ac:dyDescent="0.3">
      <c r="A5" t="s">
        <v>12</v>
      </c>
      <c r="C5" s="142">
        <v>8458851.0749999993</v>
      </c>
      <c r="D5" s="142">
        <v>8495083.0259000007</v>
      </c>
      <c r="E5" s="142">
        <v>36231.950900000404</v>
      </c>
      <c r="G5" t="s">
        <v>12</v>
      </c>
      <c r="H5" s="142">
        <v>8458851.0749999993</v>
      </c>
      <c r="I5" s="142">
        <v>8495083.0259000007</v>
      </c>
    </row>
    <row r="6" spans="1:9" x14ac:dyDescent="0.3">
      <c r="A6" t="s">
        <v>338</v>
      </c>
      <c r="C6" s="142">
        <v>13701898.34</v>
      </c>
      <c r="D6" s="142">
        <v>13049955.73</v>
      </c>
      <c r="E6" s="142">
        <v>-651942.60999999987</v>
      </c>
      <c r="G6" t="s">
        <v>338</v>
      </c>
      <c r="H6" s="142">
        <v>13701898.34</v>
      </c>
      <c r="I6" s="142">
        <v>13049955.73</v>
      </c>
    </row>
    <row r="7" spans="1:9" x14ac:dyDescent="0.3">
      <c r="A7" t="s">
        <v>326</v>
      </c>
      <c r="C7" s="142">
        <v>2229219</v>
      </c>
      <c r="D7" s="142">
        <v>2213509.2200000002</v>
      </c>
      <c r="E7" s="142">
        <v>-15709.779999999697</v>
      </c>
      <c r="G7" t="s">
        <v>326</v>
      </c>
      <c r="H7" s="142">
        <v>2229219</v>
      </c>
      <c r="I7" s="142">
        <v>2213509.2200000002</v>
      </c>
    </row>
    <row r="8" spans="1:9" x14ac:dyDescent="0.3">
      <c r="A8" t="s">
        <v>16</v>
      </c>
      <c r="C8" s="142">
        <v>20398429.54115</v>
      </c>
      <c r="D8" s="142">
        <v>21476993.157666672</v>
      </c>
      <c r="E8" s="142">
        <v>1078563.616516666</v>
      </c>
      <c r="G8" t="s">
        <v>16</v>
      </c>
      <c r="H8" s="142">
        <v>20398429.54115</v>
      </c>
      <c r="I8" s="142">
        <v>21476993.157666672</v>
      </c>
    </row>
    <row r="9" spans="1:9" x14ac:dyDescent="0.3">
      <c r="A9" t="s">
        <v>17</v>
      </c>
      <c r="C9" s="142">
        <v>44788397.956149995</v>
      </c>
      <c r="D9" s="142">
        <v>45235541.133566678</v>
      </c>
      <c r="E9" s="142">
        <v>447143.17741666688</v>
      </c>
      <c r="G9" t="s">
        <v>17</v>
      </c>
      <c r="H9" s="142">
        <v>44788397.956149995</v>
      </c>
      <c r="I9" s="142">
        <v>45235541.133566678</v>
      </c>
    </row>
    <row r="13" spans="1:9" ht="14.4" customHeight="1" x14ac:dyDescent="0.3"/>
    <row r="40" spans="14:14" x14ac:dyDescent="0.3">
      <c r="N40" s="97"/>
    </row>
    <row r="41" spans="14:14" x14ac:dyDescent="0.3">
      <c r="N41" s="97"/>
    </row>
    <row r="42" spans="14:14" x14ac:dyDescent="0.3">
      <c r="N42" s="97"/>
    </row>
    <row r="43" spans="14:14" x14ac:dyDescent="0.3">
      <c r="N43" s="97"/>
    </row>
    <row r="44" spans="14:14" x14ac:dyDescent="0.3">
      <c r="N44" s="97"/>
    </row>
    <row r="45" spans="14:14" x14ac:dyDescent="0.3">
      <c r="N45" s="97"/>
    </row>
    <row r="46" spans="14:14" x14ac:dyDescent="0.3">
      <c r="N46" s="97"/>
    </row>
    <row r="47" spans="14:14" x14ac:dyDescent="0.3">
      <c r="N47" s="97"/>
    </row>
    <row r="48" spans="14:14" x14ac:dyDescent="0.3">
      <c r="N48" s="97"/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ADAC-D1EC-4534-BA21-F1077DADB10A}">
  <dimension ref="B1:I4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7" sqref="E17"/>
    </sheetView>
  </sheetViews>
  <sheetFormatPr defaultRowHeight="14.4" x14ac:dyDescent="0.3"/>
  <cols>
    <col min="1" max="1" width="1.33203125" customWidth="1"/>
    <col min="2" max="2" width="35.777343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21.6640625" bestFit="1" customWidth="1"/>
    <col min="7" max="17" width="21.88671875" bestFit="1" customWidth="1"/>
    <col min="18" max="18" width="26.44140625" bestFit="1" customWidth="1"/>
    <col min="19" max="19" width="25.44140625" bestFit="1" customWidth="1"/>
    <col min="20" max="20" width="26.33203125" bestFit="1" customWidth="1"/>
  </cols>
  <sheetData>
    <row r="1" spans="2:8" x14ac:dyDescent="0.3">
      <c r="B1" s="8" t="s">
        <v>0</v>
      </c>
      <c r="C1" t="s">
        <v>1</v>
      </c>
    </row>
    <row r="3" spans="2:8" x14ac:dyDescent="0.3">
      <c r="C3" s="8" t="s">
        <v>29</v>
      </c>
    </row>
    <row r="4" spans="2:8" x14ac:dyDescent="0.3">
      <c r="B4" s="8" t="s">
        <v>301</v>
      </c>
      <c r="C4" t="s">
        <v>5</v>
      </c>
      <c r="D4" t="s">
        <v>748</v>
      </c>
      <c r="E4" t="s">
        <v>9</v>
      </c>
      <c r="G4" s="8" t="s">
        <v>19</v>
      </c>
      <c r="H4" t="s">
        <v>749</v>
      </c>
    </row>
    <row r="5" spans="2:8" x14ac:dyDescent="0.3">
      <c r="B5" t="s">
        <v>349</v>
      </c>
      <c r="C5" s="142">
        <v>50000</v>
      </c>
      <c r="D5" s="142">
        <v>41250</v>
      </c>
      <c r="E5" s="142">
        <v>-8750</v>
      </c>
      <c r="G5" s="9" t="s">
        <v>750</v>
      </c>
      <c r="H5" s="6">
        <v>0</v>
      </c>
    </row>
    <row r="6" spans="2:8" x14ac:dyDescent="0.3">
      <c r="B6" t="s">
        <v>598</v>
      </c>
      <c r="C6" s="142">
        <v>1351470</v>
      </c>
      <c r="D6" s="142">
        <v>967470</v>
      </c>
      <c r="E6" s="142">
        <v>-384000</v>
      </c>
      <c r="G6" s="181" t="s">
        <v>349</v>
      </c>
      <c r="H6" s="6">
        <v>221048</v>
      </c>
    </row>
    <row r="7" spans="2:8" x14ac:dyDescent="0.3">
      <c r="B7" t="s">
        <v>687</v>
      </c>
      <c r="C7" s="142">
        <v>250000</v>
      </c>
      <c r="D7" s="142">
        <v>150000</v>
      </c>
      <c r="E7" s="142">
        <v>-100000</v>
      </c>
      <c r="G7" s="181" t="s">
        <v>598</v>
      </c>
      <c r="H7" s="6">
        <v>1656960</v>
      </c>
    </row>
    <row r="8" spans="2:8" x14ac:dyDescent="0.3">
      <c r="B8" t="s">
        <v>313</v>
      </c>
      <c r="C8" s="142">
        <v>32771664.956149988</v>
      </c>
      <c r="D8" s="142">
        <v>33283678.603566654</v>
      </c>
      <c r="E8" s="142">
        <v>512013.64741666673</v>
      </c>
      <c r="G8" s="9" t="s">
        <v>751</v>
      </c>
      <c r="H8" s="6">
        <v>18944</v>
      </c>
    </row>
    <row r="9" spans="2:8" x14ac:dyDescent="0.3">
      <c r="B9" t="s">
        <v>651</v>
      </c>
      <c r="C9" s="142">
        <v>371876</v>
      </c>
      <c r="D9" s="142">
        <v>150000</v>
      </c>
      <c r="E9" s="142">
        <v>-221876</v>
      </c>
      <c r="G9" s="181" t="s">
        <v>687</v>
      </c>
      <c r="H9" s="6">
        <v>75744</v>
      </c>
    </row>
    <row r="10" spans="2:8" x14ac:dyDescent="0.3">
      <c r="B10" t="s">
        <v>662</v>
      </c>
      <c r="C10" s="142">
        <v>1119600</v>
      </c>
      <c r="D10" s="142">
        <v>413500</v>
      </c>
      <c r="E10" s="142">
        <v>-706100</v>
      </c>
      <c r="G10" s="9" t="s">
        <v>752</v>
      </c>
      <c r="H10" s="6">
        <v>0</v>
      </c>
    </row>
    <row r="11" spans="2:8" x14ac:dyDescent="0.3">
      <c r="B11" t="s">
        <v>753</v>
      </c>
      <c r="C11" s="142">
        <v>8873787</v>
      </c>
      <c r="D11" s="142">
        <v>10229642.530000001</v>
      </c>
      <c r="E11" s="142">
        <v>1355855.5300000003</v>
      </c>
      <c r="G11" s="9" t="s">
        <v>754</v>
      </c>
      <c r="H11" s="6">
        <v>128256</v>
      </c>
    </row>
    <row r="12" spans="2:8" x14ac:dyDescent="0.3">
      <c r="B12" t="s">
        <v>17</v>
      </c>
      <c r="C12" s="142">
        <v>44788397.956149988</v>
      </c>
      <c r="D12" s="142">
        <v>45235541.133566655</v>
      </c>
      <c r="E12" s="142">
        <v>447143.17741666699</v>
      </c>
      <c r="G12" s="181" t="s">
        <v>313</v>
      </c>
      <c r="H12" s="6">
        <v>4163630</v>
      </c>
    </row>
    <row r="13" spans="2:8" ht="14.4" customHeight="1" x14ac:dyDescent="0.3">
      <c r="G13" s="9" t="s">
        <v>755</v>
      </c>
      <c r="H13" s="6">
        <v>1680112</v>
      </c>
    </row>
    <row r="14" spans="2:8" x14ac:dyDescent="0.3">
      <c r="B14" s="182" t="s">
        <v>301</v>
      </c>
      <c r="C14" s="182" t="s">
        <v>756</v>
      </c>
      <c r="G14" s="181" t="s">
        <v>651</v>
      </c>
      <c r="H14" s="6">
        <v>107040</v>
      </c>
    </row>
    <row r="15" spans="2:8" x14ac:dyDescent="0.3">
      <c r="B15" s="16" t="s">
        <v>313</v>
      </c>
      <c r="C15" s="183">
        <f>GETPIVOTDATA("Sum of Actual+Forecast",$B$3,"Program","Production Support &amp; Minor Enhancements")+GETPIVOTDATA("T&amp;M Cost",$G$4,"Tech Project Grouping","Production Support &amp; Minor Enhancements")</f>
        <v>37447308.603566654</v>
      </c>
      <c r="G15" s="9" t="s">
        <v>757</v>
      </c>
      <c r="H15" s="6">
        <v>219486</v>
      </c>
    </row>
    <row r="16" spans="2:8" x14ac:dyDescent="0.3">
      <c r="B16" s="16" t="s">
        <v>598</v>
      </c>
      <c r="C16" s="183">
        <f>GETPIVOTDATA("Sum of Actual+Forecast",$B$3,"Program","Enterprise Data Governance &amp; Quality")+GETPIVOTDATA("T&amp;M Cost",$G$4,"Tech Project Grouping","Enterprise Data Governance &amp; Quality")</f>
        <v>2624430</v>
      </c>
      <c r="G16" s="181" t="s">
        <v>662</v>
      </c>
      <c r="H16" s="6">
        <v>77544</v>
      </c>
    </row>
    <row r="17" spans="2:8" x14ac:dyDescent="0.3">
      <c r="B17" s="16" t="s">
        <v>755</v>
      </c>
      <c r="C17" s="184">
        <v>1680112</v>
      </c>
      <c r="G17" s="9" t="s">
        <v>17</v>
      </c>
      <c r="H17" s="6">
        <v>8348764</v>
      </c>
    </row>
    <row r="18" spans="2:8" x14ac:dyDescent="0.3">
      <c r="B18" s="16" t="s">
        <v>662</v>
      </c>
      <c r="C18" s="183">
        <f>GETPIVOTDATA("Sum of Actual+Forecast",$B$3,"Program","WSO Platform Modernization")+GETPIVOTDATA("T&amp;M Cost",$G$4,"Tech Project Grouping","WSO Platform Modernization")</f>
        <v>491044</v>
      </c>
    </row>
    <row r="19" spans="2:8" x14ac:dyDescent="0.3">
      <c r="B19" s="16" t="s">
        <v>349</v>
      </c>
      <c r="C19" s="183">
        <f>GETPIVOTDATA("Sum of Actual+Forecast",$B$3,"Program","Cash Matching &amp; Reconciliation")+GETPIVOTDATA("T&amp;M Cost",$G$4,"Tech Project Grouping","Cash Matching &amp; Reconciliation")</f>
        <v>262298</v>
      </c>
    </row>
    <row r="20" spans="2:8" x14ac:dyDescent="0.3">
      <c r="B20" s="16" t="s">
        <v>651</v>
      </c>
      <c r="C20" s="183">
        <f>GETPIVOTDATA("Sum of Actual+Forecast",$B$3,"Program","Tech Mandatory")+GETPIVOTDATA("T&amp;M Cost",$G$4,"Tech Project Grouping","Tech Mandatory")</f>
        <v>257040</v>
      </c>
    </row>
    <row r="21" spans="2:8" x14ac:dyDescent="0.3">
      <c r="B21" s="16" t="s">
        <v>687</v>
      </c>
      <c r="C21" s="183">
        <f>GETPIVOTDATA("Sum of Actual+Forecast",$B$3,"Program","Investor Reporting &amp; Insights")+GETPIVOTDATA("T&amp;M Cost",$G$4,"Tech Project Grouping","Investor Reporting &amp; Insights")</f>
        <v>225744</v>
      </c>
    </row>
    <row r="22" spans="2:8" x14ac:dyDescent="0.3">
      <c r="B22" s="16" t="s">
        <v>757</v>
      </c>
      <c r="C22" s="184">
        <v>219486</v>
      </c>
    </row>
    <row r="23" spans="2:8" x14ac:dyDescent="0.3">
      <c r="B23" s="16" t="s">
        <v>754</v>
      </c>
      <c r="C23" s="184">
        <v>128256</v>
      </c>
    </row>
    <row r="24" spans="2:8" x14ac:dyDescent="0.3">
      <c r="B24" s="16" t="s">
        <v>751</v>
      </c>
      <c r="C24" s="184">
        <v>18944</v>
      </c>
    </row>
    <row r="40" spans="9:9" x14ac:dyDescent="0.3">
      <c r="I40" s="97"/>
    </row>
    <row r="41" spans="9:9" x14ac:dyDescent="0.3">
      <c r="I41" s="97"/>
    </row>
    <row r="42" spans="9:9" x14ac:dyDescent="0.3">
      <c r="I42" s="97"/>
    </row>
    <row r="43" spans="9:9" x14ac:dyDescent="0.3">
      <c r="I43" s="97"/>
    </row>
    <row r="44" spans="9:9" x14ac:dyDescent="0.3">
      <c r="I44" s="97"/>
    </row>
    <row r="45" spans="9:9" x14ac:dyDescent="0.3">
      <c r="I45" s="97"/>
    </row>
    <row r="46" spans="9:9" x14ac:dyDescent="0.3">
      <c r="I46" s="97"/>
    </row>
    <row r="47" spans="9:9" x14ac:dyDescent="0.3">
      <c r="I47" s="97"/>
    </row>
    <row r="48" spans="9:9" x14ac:dyDescent="0.3">
      <c r="I48" s="97"/>
    </row>
  </sheetData>
  <sortState xmlns:xlrd2="http://schemas.microsoft.com/office/spreadsheetml/2017/richdata2" ref="B15:C21">
    <sortCondition descending="1" ref="C15:C2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A60A7-7BEE-4B08-B4AA-57DA81D6A59C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5" sqref="B5:B14"/>
    </sheetView>
  </sheetViews>
  <sheetFormatPr defaultRowHeight="14.4" x14ac:dyDescent="0.3"/>
  <cols>
    <col min="1" max="1" width="31.5546875" bestFit="1" customWidth="1"/>
    <col min="2" max="2" width="11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57</v>
      </c>
      <c r="B5" s="97">
        <v>1737038.96</v>
      </c>
    </row>
    <row r="6" spans="1:2" x14ac:dyDescent="0.3">
      <c r="A6" t="s">
        <v>64</v>
      </c>
      <c r="B6" s="97">
        <v>1522576.67</v>
      </c>
    </row>
    <row r="7" spans="1:2" x14ac:dyDescent="0.3">
      <c r="A7" t="s">
        <v>91</v>
      </c>
      <c r="B7" s="97">
        <v>1263122.23</v>
      </c>
    </row>
    <row r="8" spans="1:2" x14ac:dyDescent="0.3">
      <c r="A8" t="s">
        <v>181</v>
      </c>
      <c r="B8" s="97">
        <v>776946.67499999993</v>
      </c>
    </row>
    <row r="9" spans="1:2" x14ac:dyDescent="0.3">
      <c r="A9" t="s">
        <v>44</v>
      </c>
      <c r="B9" s="97">
        <v>654883.44999999995</v>
      </c>
    </row>
    <row r="10" spans="1:2" x14ac:dyDescent="0.3">
      <c r="A10" t="s">
        <v>203</v>
      </c>
      <c r="B10" s="97">
        <v>635699.3433333335</v>
      </c>
    </row>
    <row r="11" spans="1:2" x14ac:dyDescent="0.3">
      <c r="A11" t="s">
        <v>197</v>
      </c>
      <c r="B11" s="97">
        <v>226822.91666666669</v>
      </c>
    </row>
    <row r="12" spans="1:2" x14ac:dyDescent="0.3">
      <c r="A12" t="s">
        <v>119</v>
      </c>
      <c r="B12" s="97">
        <v>209854.97916666663</v>
      </c>
    </row>
    <row r="13" spans="1:2" ht="14.4" customHeight="1" x14ac:dyDescent="0.3">
      <c r="A13" t="s">
        <v>174</v>
      </c>
      <c r="B13" s="97">
        <v>124541.66666666666</v>
      </c>
    </row>
    <row r="14" spans="1:2" x14ac:dyDescent="0.3">
      <c r="A14" t="s">
        <v>194</v>
      </c>
      <c r="B14" s="97">
        <v>118470.15416666667</v>
      </c>
    </row>
    <row r="15" spans="1:2" x14ac:dyDescent="0.3">
      <c r="A15" t="s">
        <v>224</v>
      </c>
      <c r="B15" s="97">
        <v>108702.6</v>
      </c>
    </row>
    <row r="16" spans="1:2" x14ac:dyDescent="0.3">
      <c r="A16" t="s">
        <v>41</v>
      </c>
      <c r="B16" s="97">
        <v>96041.64</v>
      </c>
    </row>
    <row r="17" spans="1:2" x14ac:dyDescent="0.3">
      <c r="A17" t="s">
        <v>183</v>
      </c>
      <c r="B17" s="97">
        <v>92000</v>
      </c>
    </row>
    <row r="18" spans="1:2" x14ac:dyDescent="0.3">
      <c r="A18" t="s">
        <v>202</v>
      </c>
      <c r="B18" s="97">
        <v>72843.75</v>
      </c>
    </row>
    <row r="19" spans="1:2" x14ac:dyDescent="0.3">
      <c r="A19" t="s">
        <v>219</v>
      </c>
      <c r="B19" s="97">
        <v>69417.919999999998</v>
      </c>
    </row>
    <row r="20" spans="1:2" hidden="1" x14ac:dyDescent="0.3">
      <c r="A20" t="s">
        <v>206</v>
      </c>
      <c r="B20" s="142">
        <v>62500</v>
      </c>
    </row>
    <row r="21" spans="1:2" hidden="1" x14ac:dyDescent="0.3">
      <c r="A21" t="s">
        <v>159</v>
      </c>
      <c r="B21" s="142">
        <v>58201.666666666672</v>
      </c>
    </row>
    <row r="22" spans="1:2" hidden="1" x14ac:dyDescent="0.3">
      <c r="A22" t="s">
        <v>208</v>
      </c>
      <c r="B22" s="142">
        <v>57666.666666666672</v>
      </c>
    </row>
    <row r="23" spans="1:2" hidden="1" x14ac:dyDescent="0.3">
      <c r="A23" t="s">
        <v>221</v>
      </c>
      <c r="B23" s="142">
        <v>56980</v>
      </c>
    </row>
    <row r="24" spans="1:2" hidden="1" x14ac:dyDescent="0.3">
      <c r="A24" t="s">
        <v>165</v>
      </c>
      <c r="B24" s="142">
        <v>46713</v>
      </c>
    </row>
    <row r="25" spans="1:2" hidden="1" x14ac:dyDescent="0.3">
      <c r="A25" t="s">
        <v>125</v>
      </c>
      <c r="B25" s="142">
        <v>40500</v>
      </c>
    </row>
    <row r="26" spans="1:2" hidden="1" x14ac:dyDescent="0.3">
      <c r="A26" t="s">
        <v>156</v>
      </c>
      <c r="B26" s="142">
        <v>28503.335000000003</v>
      </c>
    </row>
    <row r="27" spans="1:2" hidden="1" x14ac:dyDescent="0.3">
      <c r="A27" t="s">
        <v>74</v>
      </c>
      <c r="B27" s="142">
        <v>15716.210000000001</v>
      </c>
    </row>
    <row r="28" spans="1:2" hidden="1" x14ac:dyDescent="0.3">
      <c r="A28" t="s">
        <v>162</v>
      </c>
      <c r="B28" s="142">
        <v>14025.49</v>
      </c>
    </row>
    <row r="29" spans="1:2" hidden="1" x14ac:dyDescent="0.3">
      <c r="A29" t="s">
        <v>188</v>
      </c>
      <c r="B29" s="142">
        <v>12000</v>
      </c>
    </row>
    <row r="30" spans="1:2" hidden="1" x14ac:dyDescent="0.3">
      <c r="A30" t="s">
        <v>186</v>
      </c>
      <c r="B30" s="142">
        <v>9900</v>
      </c>
    </row>
    <row r="31" spans="1:2" hidden="1" x14ac:dyDescent="0.3">
      <c r="A31" t="s">
        <v>214</v>
      </c>
      <c r="B31" s="142">
        <v>8895</v>
      </c>
    </row>
    <row r="32" spans="1:2" hidden="1" x14ac:dyDescent="0.3">
      <c r="A32" t="s">
        <v>158</v>
      </c>
      <c r="B32" s="142">
        <v>4800</v>
      </c>
    </row>
    <row r="33" spans="1:7" hidden="1" x14ac:dyDescent="0.3">
      <c r="A33" t="s">
        <v>191</v>
      </c>
      <c r="B33" s="142">
        <v>3192.75</v>
      </c>
    </row>
    <row r="34" spans="1:7" hidden="1" x14ac:dyDescent="0.3">
      <c r="A34" t="s">
        <v>201</v>
      </c>
      <c r="B34" s="142">
        <v>2808</v>
      </c>
    </row>
    <row r="35" spans="1:7" hidden="1" x14ac:dyDescent="0.3">
      <c r="A35" t="s">
        <v>199</v>
      </c>
      <c r="B35" s="142">
        <v>1260</v>
      </c>
    </row>
    <row r="36" spans="1:7" hidden="1" x14ac:dyDescent="0.3">
      <c r="A36" t="s">
        <v>73</v>
      </c>
      <c r="B36" s="142">
        <v>957.23</v>
      </c>
    </row>
    <row r="37" spans="1:7" hidden="1" x14ac:dyDescent="0.3">
      <c r="A37" t="s">
        <v>222</v>
      </c>
      <c r="B37" s="142">
        <v>878.21</v>
      </c>
    </row>
    <row r="38" spans="1:7" hidden="1" x14ac:dyDescent="0.3">
      <c r="A38" t="s">
        <v>171</v>
      </c>
      <c r="B38" s="142">
        <v>0</v>
      </c>
    </row>
    <row r="39" spans="1:7" hidden="1" x14ac:dyDescent="0.3">
      <c r="A39" t="s">
        <v>204</v>
      </c>
      <c r="B39" s="142">
        <v>0</v>
      </c>
    </row>
    <row r="40" spans="1:7" hidden="1" x14ac:dyDescent="0.3">
      <c r="A40" t="s">
        <v>213</v>
      </c>
      <c r="B40" s="142">
        <v>0</v>
      </c>
      <c r="G40" s="97"/>
    </row>
    <row r="41" spans="1:7" hidden="1" x14ac:dyDescent="0.3">
      <c r="A41" t="s">
        <v>212</v>
      </c>
      <c r="B41" s="142">
        <v>0</v>
      </c>
      <c r="G41" s="97"/>
    </row>
    <row r="42" spans="1:7" hidden="1" x14ac:dyDescent="0.3">
      <c r="A42" t="s">
        <v>169</v>
      </c>
      <c r="B42" s="142">
        <v>0</v>
      </c>
      <c r="G42" s="97"/>
    </row>
    <row r="43" spans="1:7" hidden="1" x14ac:dyDescent="0.3">
      <c r="A43" t="s">
        <v>178</v>
      </c>
      <c r="B43" s="142">
        <v>0</v>
      </c>
      <c r="G43" s="97"/>
    </row>
    <row r="44" spans="1:7" hidden="1" x14ac:dyDescent="0.3">
      <c r="A44" t="s">
        <v>215</v>
      </c>
      <c r="B44" s="142">
        <v>0</v>
      </c>
      <c r="G44" s="97"/>
    </row>
    <row r="45" spans="1:7" hidden="1" x14ac:dyDescent="0.3">
      <c r="A45" t="s">
        <v>217</v>
      </c>
      <c r="B45" s="142">
        <v>0</v>
      </c>
      <c r="G45" s="97"/>
    </row>
    <row r="46" spans="1:7" hidden="1" x14ac:dyDescent="0.3">
      <c r="A46" t="s">
        <v>179</v>
      </c>
      <c r="B46" s="142">
        <v>0</v>
      </c>
      <c r="G46" s="97"/>
    </row>
    <row r="47" spans="1:7" hidden="1" x14ac:dyDescent="0.3">
      <c r="A47" t="s">
        <v>196</v>
      </c>
      <c r="B47" s="142">
        <v>0</v>
      </c>
      <c r="G47" s="97"/>
    </row>
    <row r="48" spans="1:7" hidden="1" x14ac:dyDescent="0.3">
      <c r="A48" t="s">
        <v>210</v>
      </c>
      <c r="B48" s="142">
        <v>0</v>
      </c>
      <c r="G48" s="97"/>
    </row>
    <row r="49" spans="1:2" hidden="1" x14ac:dyDescent="0.3">
      <c r="A49" t="s">
        <v>216</v>
      </c>
      <c r="B49" s="142">
        <v>0</v>
      </c>
    </row>
    <row r="50" spans="1:2" hidden="1" x14ac:dyDescent="0.3">
      <c r="A50" t="s">
        <v>17</v>
      </c>
      <c r="B50" s="142">
        <v>8134460.5133333346</v>
      </c>
    </row>
  </sheetData>
  <autoFilter ref="A4:B50" xr:uid="{BE0A60A7-7BEE-4B08-B4AA-57DA81D6A59C}">
    <filterColumn colId="1">
      <filters>
        <filter val="1,263,122"/>
        <filter val="1,522,577"/>
        <filter val="1,737,039"/>
        <filter val="108,703"/>
        <filter val="118,470"/>
        <filter val="124,542"/>
        <filter val="209,855"/>
        <filter val="226,823"/>
        <filter val="635,699"/>
        <filter val="654,883"/>
        <filter val="69,418"/>
        <filter val="72,844"/>
        <filter val="776,947"/>
        <filter val="92,000"/>
        <filter val="96,042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78E4-833B-4319-9181-1DF699373BB3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21875" bestFit="1" customWidth="1"/>
    <col min="2" max="2" width="13.1093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338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100</v>
      </c>
      <c r="B5" s="180">
        <v>1485626</v>
      </c>
    </row>
    <row r="6" spans="1:2" x14ac:dyDescent="0.3">
      <c r="A6" t="s">
        <v>41</v>
      </c>
      <c r="B6" s="180">
        <v>1340829.92</v>
      </c>
    </row>
    <row r="7" spans="1:2" x14ac:dyDescent="0.3">
      <c r="A7" t="s">
        <v>44</v>
      </c>
      <c r="B7" s="180">
        <v>1224214</v>
      </c>
    </row>
    <row r="8" spans="1:2" x14ac:dyDescent="0.3">
      <c r="A8" t="s">
        <v>104</v>
      </c>
      <c r="B8" s="180">
        <v>718868</v>
      </c>
    </row>
    <row r="9" spans="1:2" x14ac:dyDescent="0.3">
      <c r="A9" t="s">
        <v>119</v>
      </c>
      <c r="B9" s="180">
        <v>145141.29999999999</v>
      </c>
    </row>
    <row r="10" spans="1:2" hidden="1" x14ac:dyDescent="0.3">
      <c r="A10" t="s">
        <v>112</v>
      </c>
      <c r="B10" s="142">
        <v>85892</v>
      </c>
    </row>
    <row r="11" spans="1:2" hidden="1" x14ac:dyDescent="0.3">
      <c r="A11" t="s">
        <v>117</v>
      </c>
      <c r="B11" s="142">
        <v>75000</v>
      </c>
    </row>
    <row r="12" spans="1:2" hidden="1" x14ac:dyDescent="0.3">
      <c r="A12" t="s">
        <v>121</v>
      </c>
      <c r="B12" s="142">
        <v>46815</v>
      </c>
    </row>
    <row r="13" spans="1:2" ht="14.4" hidden="1" customHeight="1" x14ac:dyDescent="0.3">
      <c r="A13" t="s">
        <v>125</v>
      </c>
      <c r="B13" s="142">
        <v>32009.25</v>
      </c>
    </row>
    <row r="14" spans="1:2" hidden="1" x14ac:dyDescent="0.3">
      <c r="A14" t="s">
        <v>64</v>
      </c>
      <c r="B14" s="142">
        <v>10000</v>
      </c>
    </row>
    <row r="15" spans="1:2" hidden="1" x14ac:dyDescent="0.3">
      <c r="A15" t="s">
        <v>716</v>
      </c>
      <c r="B15" s="142">
        <v>0</v>
      </c>
    </row>
    <row r="16" spans="1:2" hidden="1" x14ac:dyDescent="0.3">
      <c r="A16" t="s">
        <v>53</v>
      </c>
      <c r="B16" s="142">
        <v>0</v>
      </c>
    </row>
    <row r="17" spans="1:2" hidden="1" x14ac:dyDescent="0.3">
      <c r="A17" t="s">
        <v>57</v>
      </c>
      <c r="B17" s="142">
        <v>0</v>
      </c>
    </row>
    <row r="18" spans="1:2" hidden="1" x14ac:dyDescent="0.3">
      <c r="A18" t="s">
        <v>17</v>
      </c>
      <c r="B18" s="142">
        <v>5164395.47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,224,214"/>
        <filter val="1,340,830"/>
        <filter val="1,485,626"/>
        <filter val="145,141"/>
        <filter val="718,868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D8AD9-9BC7-4C77-B885-A26F5BE59BC1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6640625" bestFit="1" customWidth="1"/>
    <col min="2" max="2" width="1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12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91</v>
      </c>
      <c r="B5" s="6">
        <v>3127568.56</v>
      </c>
    </row>
    <row r="6" spans="1:2" x14ac:dyDescent="0.3">
      <c r="A6" t="s">
        <v>94</v>
      </c>
      <c r="B6" s="6">
        <v>122576.03</v>
      </c>
    </row>
    <row r="7" spans="1:2" x14ac:dyDescent="0.3">
      <c r="A7" t="s">
        <v>74</v>
      </c>
      <c r="B7" s="6">
        <v>57270.219999999994</v>
      </c>
    </row>
    <row r="8" spans="1:2" x14ac:dyDescent="0.3">
      <c r="A8" t="s">
        <v>73</v>
      </c>
      <c r="B8" s="6">
        <v>20838.490000000002</v>
      </c>
    </row>
    <row r="9" spans="1:2" x14ac:dyDescent="0.3">
      <c r="A9" t="s">
        <v>87</v>
      </c>
      <c r="B9" s="6">
        <v>15103.55</v>
      </c>
    </row>
    <row r="10" spans="1:2" hidden="1" x14ac:dyDescent="0.3">
      <c r="A10" t="s">
        <v>90</v>
      </c>
      <c r="B10" s="142">
        <v>13707.25</v>
      </c>
    </row>
    <row r="11" spans="1:2" hidden="1" x14ac:dyDescent="0.3">
      <c r="A11" t="s">
        <v>89</v>
      </c>
      <c r="B11" s="142">
        <v>10096.52</v>
      </c>
    </row>
    <row r="12" spans="1:2" hidden="1" x14ac:dyDescent="0.3">
      <c r="A12" t="s">
        <v>79</v>
      </c>
      <c r="B12" s="142">
        <v>9883.380000000001</v>
      </c>
    </row>
    <row r="13" spans="1:2" ht="14.4" hidden="1" customHeight="1" x14ac:dyDescent="0.3">
      <c r="A13" t="s">
        <v>88</v>
      </c>
      <c r="B13" s="142">
        <v>6681.98</v>
      </c>
    </row>
    <row r="14" spans="1:2" hidden="1" x14ac:dyDescent="0.3">
      <c r="A14" t="s">
        <v>86</v>
      </c>
      <c r="B14" s="142">
        <v>3133.6658999999995</v>
      </c>
    </row>
    <row r="15" spans="1:2" hidden="1" x14ac:dyDescent="0.3">
      <c r="A15" t="s">
        <v>93</v>
      </c>
      <c r="B15" s="142">
        <v>3000</v>
      </c>
    </row>
    <row r="16" spans="1:2" hidden="1" x14ac:dyDescent="0.3">
      <c r="A16" t="s">
        <v>759</v>
      </c>
      <c r="B16" s="142">
        <v>1912.75</v>
      </c>
    </row>
    <row r="17" spans="1:2" hidden="1" x14ac:dyDescent="0.3">
      <c r="A17" t="s">
        <v>81</v>
      </c>
      <c r="B17" s="142">
        <v>1861.8799999999999</v>
      </c>
    </row>
    <row r="18" spans="1:2" hidden="1" x14ac:dyDescent="0.3">
      <c r="A18" t="s">
        <v>760</v>
      </c>
      <c r="B18" s="142">
        <v>0</v>
      </c>
    </row>
    <row r="19" spans="1:2" hidden="1" x14ac:dyDescent="0.3">
      <c r="A19" t="s">
        <v>96</v>
      </c>
      <c r="B19" s="142">
        <v>0</v>
      </c>
    </row>
    <row r="20" spans="1:2" hidden="1" x14ac:dyDescent="0.3">
      <c r="A20" t="s">
        <v>84</v>
      </c>
      <c r="B20" s="142">
        <v>0</v>
      </c>
    </row>
    <row r="21" spans="1:2" hidden="1" x14ac:dyDescent="0.3">
      <c r="A21" t="s">
        <v>97</v>
      </c>
      <c r="B21" s="142">
        <v>0</v>
      </c>
    </row>
    <row r="22" spans="1:2" hidden="1" x14ac:dyDescent="0.3">
      <c r="A22" t="s">
        <v>82</v>
      </c>
      <c r="B22" s="142">
        <v>0</v>
      </c>
    </row>
    <row r="23" spans="1:2" hidden="1" x14ac:dyDescent="0.3">
      <c r="A23" t="s">
        <v>17</v>
      </c>
      <c r="B23" s="142">
        <v>3393634.2759000002</v>
      </c>
    </row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22,576"/>
        <filter val="15,104"/>
        <filter val="20,838"/>
        <filter val="3,127,569"/>
        <filter val="57,270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0B33-12FF-4741-A74D-E053FBD89952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4" sqref="B4"/>
    </sheetView>
  </sheetViews>
  <sheetFormatPr defaultRowHeight="14.4" x14ac:dyDescent="0.3"/>
  <cols>
    <col min="1" max="1" width="42.77734375" bestFit="1" customWidth="1"/>
    <col min="2" max="2" width="2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326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152</v>
      </c>
      <c r="B5" s="142">
        <v>600811.08750000014</v>
      </c>
    </row>
    <row r="6" spans="1:2" x14ac:dyDescent="0.3">
      <c r="A6" t="s">
        <v>759</v>
      </c>
      <c r="B6" s="142">
        <v>83657.850000000006</v>
      </c>
    </row>
    <row r="7" spans="1:2" x14ac:dyDescent="0.3">
      <c r="A7" t="s">
        <v>136</v>
      </c>
      <c r="B7" s="142">
        <v>34242.9</v>
      </c>
    </row>
    <row r="8" spans="1:2" x14ac:dyDescent="0.3">
      <c r="A8" t="s">
        <v>134</v>
      </c>
      <c r="B8" s="142">
        <v>15208</v>
      </c>
    </row>
    <row r="9" spans="1:2" x14ac:dyDescent="0.3">
      <c r="A9" t="s">
        <v>132</v>
      </c>
      <c r="B9" s="142">
        <v>8000</v>
      </c>
    </row>
    <row r="10" spans="1:2" hidden="1" x14ac:dyDescent="0.3">
      <c r="A10" t="s">
        <v>130</v>
      </c>
      <c r="B10" s="142">
        <v>5443.74</v>
      </c>
    </row>
    <row r="11" spans="1:2" hidden="1" x14ac:dyDescent="0.3">
      <c r="A11" t="s">
        <v>128</v>
      </c>
      <c r="B11" s="142">
        <v>4982.8</v>
      </c>
    </row>
    <row r="12" spans="1:2" hidden="1" x14ac:dyDescent="0.3">
      <c r="A12" t="s">
        <v>140</v>
      </c>
      <c r="B12" s="142">
        <v>0</v>
      </c>
    </row>
    <row r="13" spans="1:2" ht="14.4" hidden="1" customHeight="1" x14ac:dyDescent="0.3">
      <c r="A13" t="s">
        <v>142</v>
      </c>
      <c r="B13" s="142">
        <v>0</v>
      </c>
    </row>
    <row r="14" spans="1:2" hidden="1" x14ac:dyDescent="0.3">
      <c r="A14" t="s">
        <v>138</v>
      </c>
      <c r="B14" s="142">
        <v>0</v>
      </c>
    </row>
    <row r="15" spans="1:2" hidden="1" x14ac:dyDescent="0.3">
      <c r="A15" t="s">
        <v>145</v>
      </c>
      <c r="B15" s="142">
        <v>0</v>
      </c>
    </row>
    <row r="16" spans="1:2" hidden="1" x14ac:dyDescent="0.3">
      <c r="A16" t="s">
        <v>148</v>
      </c>
      <c r="B16" s="142">
        <v>0</v>
      </c>
    </row>
    <row r="17" spans="1:2" hidden="1" x14ac:dyDescent="0.3">
      <c r="A17" t="s">
        <v>147</v>
      </c>
      <c r="B17" s="142">
        <v>0</v>
      </c>
    </row>
    <row r="18" spans="1:2" hidden="1" x14ac:dyDescent="0.3">
      <c r="A18" t="s">
        <v>17</v>
      </c>
      <c r="B18" s="142">
        <v>752346.37750000018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5,208"/>
        <filter val="34,243"/>
        <filter val="600,811"/>
        <filter val="8,000"/>
        <filter val="83,658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ANTARESITDMO-1057074058-8609</_dlc_DocId>
    <_dlc_DocIdUrl xmlns="26d0a970-2ab3-49ef-b4d7-820ab6496716">
      <Url>https://antarescap.sharepoint.com/sites/AntaresITDemo/IT Internal/TechPMO/_layouts/15/DocIdRedir.aspx?ID=ANTARESITDMO-1057074058-8609</Url>
      <Description>ANTARESITDMO-1057074058-8609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Props1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2E2E58D-7571-4D1E-B0F3-701D55D92D79}">
  <ds:schemaRefs>
    <ds:schemaRef ds:uri="26d0a970-2ab3-49ef-b4d7-820ab6496716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c391786d-2ce2-4ee1-838b-63fe54a71a4e"/>
  </ds:schemaRefs>
</ds:datastoreItem>
</file>

<file path=customXml/itemProps5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YTD Financials Run Rate</vt:lpstr>
      <vt:lpstr>Notes - R&amp;O</vt:lpstr>
      <vt:lpstr>Monthly Run Rate (Jan-Mar)</vt:lpstr>
      <vt:lpstr>Master Data (DO NOT EDIT)</vt:lpstr>
      <vt:lpstr>AI Budget Tracking</vt:lpstr>
      <vt:lpstr>Budget Slide</vt:lpstr>
      <vt:lpstr>Program Slide</vt:lpstr>
      <vt:lpstr>Vendor - SW</vt:lpstr>
      <vt:lpstr>Vendor - Labor</vt:lpstr>
      <vt:lpstr>Vendor - Infra</vt:lpstr>
      <vt:lpstr>Vendor - OOE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2026-07-09T16:41:52Z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c7761054-7bed-4dc0-b9c9-98b883c93a94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