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7AF35BBD-C343-4FAD-955E-B5EFC4D7E53D}" xr6:coauthVersionLast="47" xr6:coauthVersionMax="47" xr10:uidLastSave="{00000000-0000-0000-0000-000000000000}"/>
  <bookViews>
    <workbookView xWindow="-108" yWindow="-108" windowWidth="23256" windowHeight="13896" tabRatio="843" activeTab="3" xr2:uid="{6E86A890-6511-465B-97CD-9F3B99500F42}"/>
  </bookViews>
  <sheets>
    <sheet name="YTD Financials Run Rate" sheetId="65" r:id="rId1"/>
    <sheet name="Notes - R&amp;O" sheetId="89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7"/>
    <pivotCache cacheId="5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35" i="88" l="1"/>
  <c r="AP43" i="88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V123" i="88"/>
  <c r="V28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124" i="88" l="1"/>
  <c r="V21" i="88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D21" i="89" s="1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V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W141" i="88" s="1"/>
  <c r="AP141" i="88"/>
  <c r="AN141" i="88"/>
  <c r="K141" i="88"/>
  <c r="BN140" i="88"/>
  <c r="BM140" i="88"/>
  <c r="BG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BF140" i="88" s="1"/>
  <c r="AR140" i="88"/>
  <c r="BE140" i="88" s="1"/>
  <c r="AQ140" i="88"/>
  <c r="BD140" i="88" s="1"/>
  <c r="AP140" i="88"/>
  <c r="W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BF122" i="88" s="1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N107" i="88"/>
  <c r="AE107" i="88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BE103" i="88"/>
  <c r="AR103" i="88"/>
  <c r="AQ103" i="88"/>
  <c r="AP103" i="88"/>
  <c r="W103" i="88" s="1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BM100" i="88" s="1"/>
  <c r="AY100" i="88"/>
  <c r="AX100" i="88"/>
  <c r="AW100" i="88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BN94" i="88" s="1"/>
  <c r="AZ94" i="88"/>
  <c r="BM94" i="88" s="1"/>
  <c r="AY94" i="88"/>
  <c r="AX94" i="88"/>
  <c r="AW94" i="88"/>
  <c r="AV94" i="88"/>
  <c r="AU94" i="88"/>
  <c r="AT94" i="88"/>
  <c r="AS94" i="88"/>
  <c r="BF94" i="88" s="1"/>
  <c r="AR94" i="88"/>
  <c r="BE94" i="88" s="1"/>
  <c r="AQ94" i="88"/>
  <c r="BD94" i="88" s="1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W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W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L82" i="88"/>
  <c r="BK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O82" i="88" s="1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BD76" i="88"/>
  <c r="AU76" i="88"/>
  <c r="BH76" i="88" s="1"/>
  <c r="AT76" i="88"/>
  <c r="BG76" i="88" s="1"/>
  <c r="AS76" i="88"/>
  <c r="BF76" i="88" s="1"/>
  <c r="AR76" i="88"/>
  <c r="BE76" i="88" s="1"/>
  <c r="AQ76" i="88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BH68" i="88" s="1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BJ68" i="88" s="1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N67" i="88"/>
  <c r="AL67" i="88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BH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BF61" i="88" s="1"/>
  <c r="AR61" i="88"/>
  <c r="BE61" i="88" s="1"/>
  <c r="AQ61" i="88"/>
  <c r="BD61" i="88" s="1"/>
  <c r="AP61" i="88"/>
  <c r="W61" i="88" s="1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BD59" i="88" s="1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BF42" i="88" s="1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W35" i="88" s="1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J24" i="88"/>
  <c r="BI24" i="88"/>
  <c r="BF24" i="88"/>
  <c r="BD24" i="88"/>
  <c r="BC24" i="88"/>
  <c r="AT24" i="88"/>
  <c r="AS24" i="88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AM11" i="88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L9" i="88"/>
  <c r="BJ9" i="88"/>
  <c r="BB9" i="88"/>
  <c r="AL9" i="88"/>
  <c r="BM9" i="88" s="1"/>
  <c r="AK9" i="88"/>
  <c r="AJ9" i="88"/>
  <c r="BK9" i="88" s="1"/>
  <c r="AI9" i="88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F15" i="89" l="1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BC60" i="88"/>
  <c r="BR60" i="88"/>
  <c r="BS60" i="88" s="1"/>
  <c r="BQ60" i="88"/>
  <c r="BM67" i="88"/>
  <c r="BO67" i="88" s="1"/>
  <c r="AO67" i="88"/>
  <c r="W82" i="88"/>
  <c r="BI94" i="88"/>
  <c r="AO94" i="88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W2" i="88" s="1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BR29" i="88"/>
  <c r="BQ29" i="88"/>
  <c r="BH30" i="88"/>
  <c r="BR30" i="88"/>
  <c r="BC35" i="88"/>
  <c r="BR35" i="88"/>
  <c r="BS35" i="88" s="1"/>
  <c r="BQ35" i="88"/>
  <c r="BC36" i="88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AO8" i="88"/>
  <c r="BS8" i="88" s="1"/>
  <c r="BE9" i="88"/>
  <c r="BR9" i="88"/>
  <c r="BF26" i="88"/>
  <c r="BC34" i="88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BO107" i="88" s="1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W94" i="88"/>
  <c r="BL94" i="88"/>
  <c r="BF100" i="88"/>
  <c r="BN100" i="88"/>
  <c r="BG122" i="88"/>
  <c r="AN39" i="88"/>
  <c r="BL39" i="88"/>
  <c r="BH122" i="88"/>
  <c r="AT152" i="88"/>
  <c r="Y35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W9" i="88"/>
  <c r="BB24" i="88"/>
  <c r="W32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3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W30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W8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W24" i="88"/>
  <c r="AN25" i="88"/>
  <c r="Y27" i="88"/>
  <c r="BB29" i="88"/>
  <c r="X35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BO40" i="88" s="1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W59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O118" i="88" s="1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BO34" i="88" l="1"/>
  <c r="W89" i="88"/>
  <c r="BO103" i="88"/>
  <c r="BO105" i="88"/>
  <c r="BO41" i="88"/>
  <c r="Y47" i="88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47" i="88"/>
  <c r="Z7" i="88"/>
  <c r="Y42" i="88"/>
  <c r="X42" i="88"/>
  <c r="Y3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31" i="88" l="1"/>
  <c r="X67" i="88"/>
  <c r="Y68" i="88"/>
  <c r="G73" i="89"/>
  <c r="G42" i="89"/>
  <c r="X12" i="88"/>
  <c r="AL152" i="88"/>
  <c r="BM99" i="88"/>
  <c r="X29" i="88"/>
  <c r="Z29" i="88" s="1"/>
  <c r="G147" i="89"/>
  <c r="G149" i="89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G59" i="89"/>
  <c r="G15" i="89"/>
  <c r="H147" i="89"/>
  <c r="H73" i="89"/>
  <c r="H15" i="89"/>
  <c r="H59" i="89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BO99" i="88" l="1"/>
  <c r="H149" i="89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AN8" i="87"/>
  <c r="AO8" i="87"/>
  <c r="BB8" i="87"/>
  <c r="AR8" i="87"/>
  <c r="Y99" i="88" l="1"/>
  <c r="BS152" i="88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J3" i="65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<sst xmlns="http://schemas.openxmlformats.org/spreadsheetml/2006/main" count="3807" uniqueCount="746">
  <si>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</si>
  <si>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</si>
  <si>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</si>
  <si>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</si>
  <si>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</si>
  <si>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</si>
  <si>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</si>
  <si>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</si>
  <si>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</si>
  <si>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</si>
  <si>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</si>
  <si>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</si>
  <si>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</si>
  <si>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</si>
  <si>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</si>
  <si>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</si>
  <si>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</si>
  <si>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</si>
  <si>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</si>
  <si>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</si>
  <si>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</si>
  <si>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</si>
  <si>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</si>
  <si>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</si>
  <si>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</si>
  <si>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</si>
  <si>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</si>
  <si>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</si>
  <si>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</si>
  <si>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</si>
  <si>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</si>
  <si>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</si>
  <si>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</si>
  <si>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</si>
  <si>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</si>
  <si>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</si>
  <si>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</si>
  <si>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</si>
  <si>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</si>
  <si>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</si>
  <si>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</si>
  <si>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</si>
  <si>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</si>
  <si>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</si>
  <si>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</si>
  <si>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</si>
  <si>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</si>
  <si>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</si>
  <si>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</si>
  <si>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</si>
  <si>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</si>
  <si>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</si>
  <si>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</si>
  <si>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</si>
  <si>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</si>
  <si>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</si>
  <si>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</si>
  <si>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</si>
  <si>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</si>
  <si>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</si>
  <si>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</si>
  <si>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</si>
  <si>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</si>
  <si>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</si>
  <si>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</si>
  <si>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</si>
  <si>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</si>
  <si>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</si>
  <si>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</si>
  <si>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</si>
  <si>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</si>
  <si>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</si>
  <si>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</si>
  <si>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</si>
  <si>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</si>
  <si>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</si>
  <si>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</si>
  <si>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</si>
  <si>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</si>
  <si>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</si>
  <si>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</si>
  <si>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</si>
  <si>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</si>
  <si>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</si>
  <si>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</si>
  <si>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</si>
  <si>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</si>
  <si>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</si>
  <si>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</si>
  <si>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</si>
  <si>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</si>
  <si>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</si>
  <si>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</si>
  <si>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</si>
  <si>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</si>
  <si>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</si>
  <si>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</si>
  <si>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</si>
  <si>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</si>
  <si>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</si>
  <si>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</si>
  <si>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</si>
  <si>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</si>
  <si>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</si>
  <si>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</si>
  <si>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</si>
  <si>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</si>
  <si>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</si>
  <si>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</si>
  <si>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</si>
  <si>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</si>
  <si>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</si>
  <si>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</si>
  <si>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</si>
  <si>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</si>
  <si>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</si>
  <si>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</si>
  <si>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</si>
  <si>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</si>
  <si>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</si>
  <si>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</si>
  <si>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</si>
  <si>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</si>
  <si>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</si>
  <si>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</si>
  <si>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</si>
  <si>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</si>
  <si>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</si>
  <si>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</si>
  <si>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</si>
  <si>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</si>
  <si>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</si>
  <si>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</si>
  <si>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</si>
  <si>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</si>
  <si>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</si>
  <si>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</si>
  <si>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</si>
  <si>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</si>
  <si>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</si>
  <si>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</si>
  <si>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</si>
  <si>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</si>
  <si>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</si>
  <si>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</si>
  <si>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</si>
  <si>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</si>
  <si>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</si>
  <si>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</si>
  <si>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</si>
  <si>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</si>
  <si>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</si>
  <si>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</si>
  <si>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</si>
  <si>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</si>
  <si>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</si>
  <si>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</si>
  <si>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</si>
  <si>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</si>
  <si>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</si>
  <si>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</si>
  <si>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</si>
  <si>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</si>
  <si>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</si>
  <si>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</si>
  <si>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</si>
  <si>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</si>
  <si>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</si>
  <si>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</si>
  <si>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</si>
  <si>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</si>
  <si>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</si>
  <si>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</si>
  <si>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</si>
  <si>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</si>
  <si>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</si>
  <si>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</si>
  <si>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</si>
  <si>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</si>
  <si>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</si>
  <si>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</si>
  <si>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</si>
  <si>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</si>
  <si>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</si>
  <si>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</si>
  <si>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</si>
  <si>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</si>
  <si>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</si>
  <si>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</si>
  <si>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</si>
  <si>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</si>
  <si>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</si>
  <si>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</si>
  <si>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</si>
  <si>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</si>
  <si>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</si>
  <si>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</si>
  <si>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</si>
  <si>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</si>
  <si>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</si>
  <si>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</si>
  <si>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</si>
  <si>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</si>
  <si>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</si>
  <si>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</si>
  <si>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</si>
  <si>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</si>
  <si>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</si>
  <si>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</si>
  <si>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</si>
  <si>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</si>
  <si>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</si>
  <si>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</si>
  <si>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</si>
  <si>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</si>
  <si>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</si>
  <si>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</si>
  <si>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</si>
  <si>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</si>
  <si>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</si>
  <si>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</si>
  <si>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</si>
  <si>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</si>
  <si>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</si>
  <si>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</si>
  <si>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</si>
  <si>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</si>
  <si>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</si>
  <si>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</si>
  <si>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</si>
  <si>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</si>
  <si>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</si>
  <si>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</si>
  <si>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</si>
  <si>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</si>
  <si>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</si>
  <si>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</si>
  <si>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</si>
  <si>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</si>
  <si>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</si>
  <si>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</si>
  <si>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</si>
  <si>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</si>
  <si>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</si>
  <si>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</si>
  <si>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</si>
  <si>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</si>
  <si>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</si>
  <si>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</si>
  <si>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</si>
  <si>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</si>
  <si>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</si>
  <si>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</si>
  <si>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</si>
  <si>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</si>
  <si>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</si>
  <si>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</si>
  <si>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</si>
  <si>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</si>
  <si>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</si>
  <si>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</si>
  <si>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</si>
  <si>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</si>
  <si>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</si>
  <si>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</si>
  <si>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</si>
  <si>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</si>
  <si>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</si>
  <si>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</si>
  <si>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</si>
  <si>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</si>
  <si>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</si>
  <si>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</si>
  <si>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</si>
  <si>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</si>
  <si>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</si>
  <si>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</si>
  <si>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</si>
  <si>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</si>
  <si>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</si>
  <si>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</si>
  <si>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</si>
  <si>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</si>
  <si>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</si>
  <si>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</si>
  <si>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</si>
  <si>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</si>
  <si>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</si>
  <si>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</si>
  <si>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</si>
  <si>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</si>
  <si>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</si>
  <si>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</si>
  <si>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</si>
  <si>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</si>
  <si>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</si>
  <si>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</si>
  <si>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</si>
  <si>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</si>
  <si>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</si>
  <si>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</si>
  <si>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</si>
  <si>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</si>
  <si>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</si>
  <si>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</si>
  <si>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</si>
  <si>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</si>
  <si>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</si>
  <si>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</si>
  <si>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</si>
  <si>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</si>
  <si>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</si>
  <si>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</si>
  <si>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</si>
  <si>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</si>
  <si>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</si>
  <si>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</si>
  <si>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</si>
  <si>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</si>
  <si>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</si>
  <si>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</si>
  <si>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</si>
  <si>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</si>
  <si>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</si>
  <si>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</si>
  <si>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</si>
  <si>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</si>
  <si>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</si>
  <si>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</si>
  <si>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</si>
  <si>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</si>
  <si>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</si>
  <si>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</si>
  <si>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</si>
  <si>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</si>
  <si>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</si>
  <si>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</si>
  <si>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</si>
  <si>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</si>
  <si>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</si>
  <si>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</si>
  <si>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</si>
  <si>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</si>
  <si>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</si>
  <si>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</si>
  <si>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</si>
  <si>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</si>
  <si>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</si>
  <si>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</si>
  <si>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</si>
  <si>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</si>
  <si>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</si>
  <si>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</si>
  <si>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</si>
  <si>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</si>
  <si>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</si>
  <si>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</si>
  <si>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</si>
  <si>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</si>
  <si>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</si>
  <si>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</si>
  <si>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</si>
  <si>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</si>
  <si>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</si>
  <si>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</si>
  <si>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</si>
  <si>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</si>
  <si>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</si>
  <si>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</si>
  <si>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</si>
  <si>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</si>
  <si>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</si>
  <si>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</si>
  <si>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</si>
  <si>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</si>
  <si>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</si>
  <si>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</si>
  <si>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</si>
  <si>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</si>
  <si>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</si>
  <si>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</si>
  <si>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</si>
  <si>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</si>
  <si>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</si>
  <si>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</si>
  <si>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</si>
  <si>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</si>
  <si>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</si>
  <si>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</si>
  <si>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</si>
  <si>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</si>
  <si>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</si>
  <si>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</si>
  <si>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</si>
  <si>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</si>
  <si>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</si>
  <si>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</si>
  <si>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</si>
  <si>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</si>
  <si>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</si>
  <si>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</si>
  <si>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</si>
  <si>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</si>
  <si>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</si>
  <si>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</si>
  <si>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</si>
  <si>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</si>
  <si>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</si>
  <si>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</si>
  <si>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</si>
  <si>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</si>
  <si>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</si>
  <si>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</si>
  <si>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</si>
  <si>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</si>
  <si>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</si>
  <si>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</si>
  <si>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</si>
  <si>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</si>
  <si>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</si>
  <si>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</si>
  <si>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</si>
  <si>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</si>
  <si>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</si>
  <si>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</si>
  <si>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</si>
  <si>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</si>
  <si>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</si>
  <si>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</si>
  <si>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</si>
  <si>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</si>
  <si>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</si>
  <si>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</si>
  <si>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</si>
  <si>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</si>
  <si>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</si>
  <si>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</si>
  <si>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</si>
  <si>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</si>
  <si>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</si>
  <si>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</si>
  <si>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</si>
  <si>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</si>
  <si>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</si>
  <si>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</si>
  <si>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</si>
  <si>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</si>
  <si>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</si>
  <si>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</si>
  <si>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</si>
  <si>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</si>
  <si>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</si>
  <si>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</si>
  <si>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</si>
  <si>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</si>
  <si>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</si>
  <si>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</si>
  <si>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</si>
  <si>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</si>
  <si>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</si>
  <si>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</si>
  <si>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</si>
  <si>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</si>
  <si>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</si>
  <si>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</si>
  <si>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</si>
  <si>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</si>
  <si>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</si>
  <si>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</si>
  <si>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</si>
  <si>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</si>
  <si>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</si>
  <si>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</si>
  <si>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</si>
  <si>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Prj000469-Support - Prod Support for Ops Apps</t>
  </si>
  <si>
    <t>Extra added in Dec for extra support work requested by Melissa</t>
  </si>
  <si>
    <t>Norske Finansielle Referanser AS</t>
  </si>
  <si>
    <t>Nore is data source provider for Refinitive - not part of initial budget</t>
  </si>
  <si>
    <t>This was to be charged back to Cyber, but now tech has to bear the cost. Danny's email is proof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</si>
  <si>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</si>
  <si>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</si>
  <si>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</si>
  <si>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</si>
  <si>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</si>
  <si>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</si>
  <si>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</si>
  <si>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</si>
  <si>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</si>
  <si>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</si>
  <si>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</si>
  <si>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</si>
  <si>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</si>
  <si>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</si>
  <si>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</si>
  <si>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</si>
  <si>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</si>
  <si>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</si>
  <si>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</si>
  <si>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</si>
  <si>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 xml:space="preserve">$ in Millions </t>
  </si>
  <si>
    <t>15% - Chicago Personal Property Lease Transaction Tax (PPLTT)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</si>
  <si>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</si>
  <si>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</si>
  <si>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</si>
  <si>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</si>
  <si>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</si>
  <si>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</si>
  <si>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</si>
  <si>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</si>
  <si>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</si>
  <si>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</si>
  <si>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</si>
  <si>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</si>
  <si>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</si>
  <si>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</si>
  <si>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</si>
  <si>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</si>
  <si>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New laptops, unbudgeted</t>
  </si>
  <si>
    <t>Sales tax unbudgeted + actual over budget estimated</t>
  </si>
  <si>
    <t>Hard Risk, unbudgeted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</si>
  <si>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</si>
  <si>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</si>
  <si>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</si>
  <si>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</si>
  <si>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</si>
  <si>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</si>
  <si>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</si>
  <si>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</si>
  <si>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</si>
  <si>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Notes - Risk/Opportunity</t>
  </si>
  <si>
    <t>Risk/Opportunity Type</t>
  </si>
  <si>
    <t>Soft Opportunity</t>
  </si>
  <si>
    <t>Neutral</t>
  </si>
  <si>
    <t>FPC Total</t>
  </si>
  <si>
    <t>Hardware Total</t>
  </si>
  <si>
    <t>Soft Risk</t>
  </si>
  <si>
    <t>Infrastructure Total</t>
  </si>
  <si>
    <t>Labor/ T&amp;M Total</t>
  </si>
  <si>
    <t>MS Total</t>
  </si>
  <si>
    <t>On track. Subscription tracking to budget.
Driver: Tracking to plan.</t>
  </si>
  <si>
    <t>On track. Subscription paid, tracking to budget.
Driver: Tracking to plan.</t>
  </si>
  <si>
    <t>On track. No material R/O.
Driver: Tracking to plan.</t>
  </si>
  <si>
    <t>On track. Sales tax placeholder, no material R/O.
Driver: Tracking to plan.</t>
  </si>
  <si>
    <t>On track. Training budget tracking to plan.
Driver: Tracking to plan.</t>
  </si>
  <si>
    <t>N/A Total</t>
  </si>
  <si>
    <t>OOE Total</t>
  </si>
  <si>
    <t>On track. Tracking to budget.
Driver: Tracking to plan.</t>
  </si>
  <si>
    <t>On track. Prepaid tracking to budget.
Driver: Tracking to plan.</t>
  </si>
  <si>
    <t>On track. Certificate costs tracking to budget.
Driver: Tracking to plan.</t>
  </si>
  <si>
    <t>On track. Control M tracking to budget.
Driver: Tracking to plan.</t>
  </si>
  <si>
    <t>On track. Minor variance (&lt;$100).
Driver: Tracking to plan.</t>
  </si>
  <si>
    <t>On track. License paid, tracking to budget.
Driver: Tracking to plan.</t>
  </si>
  <si>
    <t>Software Total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</si>
  <si>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</si>
  <si>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</si>
  <si>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</si>
  <si>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</si>
  <si>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</si>
  <si>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</si>
  <si>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</si>
  <si>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</si>
  <si>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</si>
  <si>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</si>
  <si>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</si>
  <si>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</si>
  <si>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Sum of 2026 (Actuals + Forecast)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</si>
  <si>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</si>
  <si>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</si>
  <si>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</si>
  <si>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</si>
  <si>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</si>
  <si>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</si>
  <si>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</si>
  <si>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</si>
  <si>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</si>
  <si>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</si>
  <si>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</si>
  <si>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</si>
  <si>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</si>
  <si>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</si>
  <si>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</si>
  <si>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</si>
  <si>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</si>
  <si>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</si>
  <si>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</si>
  <si>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</si>
  <si>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</si>
  <si>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</si>
  <si>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</si>
  <si>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</si>
  <si>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</si>
  <si>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</si>
  <si>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</si>
  <si>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</si>
  <si>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</si>
  <si>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</si>
  <si>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</si>
  <si>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</si>
  <si>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</si>
  <si>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</si>
  <si>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</si>
  <si>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</si>
  <si>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</si>
  <si>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</si>
  <si>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</si>
  <si>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</si>
  <si>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</si>
  <si>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</si>
  <si>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</si>
  <si>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Variable Monthly Usage - Not budgeted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</si>
  <si>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</si>
  <si>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</si>
  <si>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</si>
  <si>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</si>
  <si>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</si>
  <si>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</si>
  <si>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</si>
  <si>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</si>
  <si>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</si>
  <si>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</si>
  <si>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</si>
  <si>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</si>
  <si>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</si>
  <si>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</si>
  <si>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</si>
  <si>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</si>
  <si>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</si>
  <si>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</si>
  <si>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</si>
  <si>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</si>
  <si>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</si>
  <si>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Unbudgeted, New risk - CME Group SOFR License, $1K per month charge back expected from</t>
  </si>
  <si>
    <t>Actuals (Jan-May)</t>
  </si>
  <si>
    <t>Forecast (Jun - Dec)</t>
  </si>
  <si>
    <t>2026 Risk/(Opportunity)</t>
  </si>
  <si>
    <t>$98K Opportunity: L1/L2 COE BoW 2026 - unutilized funds for new initiatives planned in 2026.
Driver: Unutilized funds for planned initiatives.</t>
  </si>
  <si>
    <t>$884K Opportunity:
• IVP Implementation $384K saving on contract (Budget $1.34M vs Actual $960K)
• IVP Internal Audit BoW 2026 $500K - unutilized funds
Driver: Contract savings + unutilized funds for planned initiatives.</t>
  </si>
  <si>
    <t>Dark Green Font</t>
  </si>
  <si>
    <t>Dark Green Fill, white font</t>
  </si>
  <si>
    <t>Dark Red Font</t>
  </si>
  <si>
    <t>Dark Red Fill, white font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</si>
  <si>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</si>
  <si>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</si>
  <si>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</si>
  <si>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$50K Opportunity: FPC BoW 2026 - unutilized funds for new LIQ initiatives.
Driver: Unutilized funds for planned initiatives.</t>
  </si>
  <si>
    <t>Light Red Font</t>
  </si>
  <si>
    <t>Light Red Fill, white font</t>
  </si>
  <si>
    <t>$706K Opportunity: Markit BoW 2026 - unutilized funds for new initiatives planned in 2026. ($500K - Balance sheet reporting + $206K WSO)
Driver: Unutilized funds for planned initiatives.</t>
  </si>
  <si>
    <t>$100K Opportunity: FPC Coforge QA COE - unutilized funds for 2026 initiatives.
Driver: Unutilized funds for planned initiatives.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</si>
  <si>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</si>
  <si>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</si>
  <si>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</si>
  <si>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</si>
  <si>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On track. Minor variance (&lt;$1K).
Driver: Tracking to plan.</t>
  </si>
  <si>
    <t>$15K Opportunity: Favorable variance - Budget $180K vs Net Position $165K.
Driver: Favorable budget vs actual variance.</t>
  </si>
  <si>
    <t>$1.7K Opportunity: Webex service cancelled in Dec'25 - Budget $1.7K, no 2026 spend expected.
Driver: Service cancellation generating savings.</t>
  </si>
  <si>
    <t>$14K Opportunity: Wireless costs tracking favorable to budget. Budget $421K v/s Actual + Forecast $407K
Driver: Favorable budget vs actual variance.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</si>
  <si>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</si>
  <si>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</si>
  <si>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</si>
  <si>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</si>
  <si>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</si>
  <si>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</si>
  <si>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</si>
  <si>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</si>
  <si>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</si>
  <si>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</si>
  <si>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$5K Opportunity: Cognizant T&amp;M (4 resources) - YTD actuals tracking ~10% below forecast due to resource time off/holidays.
Driver: Resource time off/holiday driving favorable variance.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</si>
  <si>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</si>
  <si>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</si>
  <si>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$73K Opportunity: Budget $190K vs Contract $180K. Revised contract at $5,950/mo (Previously $15K/mo) tracking favorable.
Driver: Contract favorable vs budget.</t>
  </si>
  <si>
    <t>$4K Opportunity: NewRocket ServiceNow MS - Budget $179K vs FC $174K tracking favorable.
Driver: Favorable budget vs actual variance.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</si>
  <si>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</si>
  <si>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</si>
  <si>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</si>
  <si>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On track. BWise prepaid tracking to budget - minor $391 favorable variance.
Driver: Tracking to plan.</t>
  </si>
  <si>
    <t>$574 Risk: Minor actual over budget variance due to AUD currency fluctuation.
Driver: Currency variance.</t>
  </si>
  <si>
    <t>$2K Opportunity: Subscription costs tracking below budget.
Driver: Favorable budget vs actual variance.</t>
  </si>
  <si>
    <t>$400 Opportunity: Subscription tracking below budget.
Driver: Favorable budget vs actual variance.</t>
  </si>
  <si>
    <t>$15K Risk: New vendor cost not budgeted (Refinitiv data source requirement).
Driver: Unbudgeted new vendor.</t>
  </si>
  <si>
    <t>On track. Subscription tracking to budget - minor $495 variance.
Driver: Tracking to plan.</t>
  </si>
  <si>
    <t>$50K Opportunity: T&amp;E saving expected based on projected travel plan. YTD tracking under plan.
Driver: Budget buffer.</t>
  </si>
  <si>
    <t>$198K Risk: Amortisation expense relating to pre-2025 capitalised costs was missed from budget. We recommend offsetting this gap against a placeholder.
Driver: Amortization timing variance.</t>
  </si>
  <si>
    <t>$63K Opportunity: Alation prepaid - Budget $192K vs Actuals $171K ($22K savings) + $43K timing variance on prepaid recognition (Jan-Mar 2027).
Driver: Prepaid/timing variance.</t>
  </si>
  <si>
    <t>$5K Opportunity: UiPath license favorable - Budget $101K vs $96K actual.
Driver: Favorable license cost vs budget.</t>
  </si>
  <si>
    <t>$216K Opportunity: IVP software (EDM/Polaris/SecMaster) tracking below budget. Prepaid terms favorable. If renewed in November, opportunity will be utilised.
Driver: Favorable budget vs actual variance.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</si>
  <si>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</si>
  <si>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</si>
  <si>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</si>
  <si>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</si>
  <si>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</si>
  <si>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</si>
  <si>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</si>
  <si>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</si>
  <si>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$86K Risk: CPI increase + tax component not budgeted in original estimate.
Driver: CPI increase and tax not budgeted.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</si>
  <si>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</si>
  <si>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</si>
  <si>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$41K Risk: Unbudgeted Solvexia Bank Reconciliation ImplementationFees
Driver: Unplanned cost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</si>
  <si>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</si>
  <si>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</si>
  <si>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On track. Minor variance (&lt;$500).
Driver: Tracking to plan.</t>
  </si>
  <si>
    <t>$118K Risk: WSO AUM 2025 overusage variance expected to be charged back to Operations. 
Driver: Overusage chargeback from prior year.</t>
  </si>
  <si>
    <t>$14K Opportunity: Budget vs actuals favorable (prepaid).
Driver: Favorable budget vs actual variance.</t>
  </si>
  <si>
    <t>$133K Risk: Contract $544K vs $411K POC budget. To be capitalized in Q2.
Driver: Contract exceeds POC budget.</t>
  </si>
  <si>
    <t>$6K Opportunity: Favorable contract saving.
Driver: Favorable budget vs actual variance.</t>
  </si>
  <si>
    <t>On track. Tracking to budget (prepaid).
Driver: Tracking to plan.</t>
  </si>
  <si>
    <t>$6K Opportunity: Minor favorable variance (prepaid).
Driver: Favorable budget vs actual variance.</t>
  </si>
  <si>
    <t>$6K Risk: Thinkcell renewal higher then budgeted 
Driver: Minor budget variance.</t>
  </si>
  <si>
    <t>$13K Risk: Unbudgeted Tax
Driver: Minor budget variance.</t>
  </si>
  <si>
    <t>$3K Opportunity: Actuals below budget.
Driver: Favorable budget vs actual variance.</t>
  </si>
  <si>
    <t xml:space="preserve">$122 Opportunity: YTD actual slightly under budget </t>
  </si>
  <si>
    <t>PH-TBC</t>
  </si>
  <si>
    <t>L2 SOW FPC, CHANGE</t>
  </si>
  <si>
    <t>T&amp;M- Implementing CoE for L1/L2 Platforms, new 2026 bow, offset with amortisation, CHANGE</t>
  </si>
  <si>
    <t>New 2026 BoW (Capitalizable), CHANGE</t>
  </si>
  <si>
    <t>New 2026 BoW, CHANGE</t>
  </si>
  <si>
    <t>Not part of original budget; risk added, category updated from software to hardware since laptop purchase, Unplanned expansion not budgeted by HR and Tech, CHANGE</t>
  </si>
  <si>
    <t>CHANGE</t>
  </si>
  <si>
    <t>80K - Network engineer consultant T&amp;M
, CHANGE</t>
  </si>
  <si>
    <t>T&amp;M- H2-2026 Risk unbudgeted extension, CHANGE</t>
  </si>
  <si>
    <t>Amortisation expense relating to pre-2025 capitalised costs was missed from budget. We recommend offsetting this gap against a placeholder., CHANGE</t>
  </si>
  <si>
    <t>$100K not to be utilised as per Leon's instructions, CHANGE</t>
  </si>
  <si>
    <t>Non-Comitted</t>
  </si>
  <si>
    <t>Y</t>
  </si>
  <si>
    <t>Fees for additional security for the month of Apr'26 in June invoice</t>
  </si>
  <si>
    <t>Budget v/s actuals, Actual invoice less then budgeted</t>
  </si>
  <si>
    <t>Prepaid-Risk Management - Enterprise+Internal Audit - Enterprise+Internal Controls - Enterprise</t>
  </si>
  <si>
    <t>ChatGPT Enterprise - 250 License| 500 credits / seat / month Period: Jun 18, 2026 - Jun 17, 2027</t>
  </si>
  <si>
    <t>May includes travel expense for workshop</t>
  </si>
  <si>
    <t>Utilised as per instruction from Leon</t>
  </si>
  <si>
    <t>QA SOW FPC - [KA - Feb23] - Updated forecast from Mar to Dec based on the new contract that superseeded the original one, CHANGE</t>
  </si>
  <si>
    <t>Jan-Jun Actuals</t>
  </si>
  <si>
    <t>Pending Jan-Jun</t>
  </si>
  <si>
    <t>Jul-Dec FC</t>
  </si>
  <si>
    <t>Forecast Jul-Dec</t>
  </si>
  <si>
    <t>Sum of Jan-Jun Actuals</t>
  </si>
  <si>
    <t>Sum of Forecast Jul-Dec</t>
  </si>
  <si>
    <t>Sum of 2026 Risk/(Opportunity)</t>
  </si>
  <si>
    <t>(All)</t>
  </si>
  <si>
    <t>(blank)</t>
  </si>
  <si>
    <t>Concur</t>
  </si>
  <si>
    <t>Concur project reimbursement cost can't be predicted, hence buffer kept in Dec. Estimated H2 is $147500</t>
  </si>
  <si>
    <t>PH - Other</t>
  </si>
  <si>
    <t>Microsoft 365 E5 &amp; Teams Room Pro, Jan has invoices received late in July for 2025</t>
  </si>
  <si>
    <t>FX - EURO</t>
  </si>
  <si>
    <t>Unbudgeted risk for 2025 AUM Overusage to be charged back to Operations $232,488/-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</si>
</sst>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2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167" fontId="0" fillId="0" borderId="0" xfId="2" applyNumberFormat="1" applyFont="1" applyAlignment="1">
      <alignment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1759">
    <dxf>
      <numFmt numFmtId="164" formatCode="_(* #,##0_);_(* \(#,##0\);_(* &quot;-&quot;??_);_(@_)"/>
    </dxf>
    <dxf>
      <numFmt numFmtId="166" formatCode="&quot;$&quot;#,##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6" formatCode="&quot;$&quot;#,##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6" formatCode="&quot;$&quot;#,##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6" formatCode="&quot;$&quot;#,##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6" formatCode="&quot;$&quot;#,##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8.945635300923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Risk/(Opportunity)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54750" maxValue="50309.000000000015"/>
    </cacheField>
    <cacheField name="Jun Opp./Risk" numFmtId="166">
      <sharedItems containsSemiMixedTypes="0" containsString="0" containsNumber="1" minValue="-183156.23333333331" maxValue="30020.520000000019"/>
    </cacheField>
    <cacheField name="Jul Opp./Risk" numFmtId="166">
      <sharedItems containsSemiMixedTypes="0" containsString="0" containsNumber="1" minValue="-624426.15" maxValue="19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232868.65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80000"/>
    <n v="160380.84000000003"/>
    <n v="-19619.159999999974"/>
    <n v="0"/>
    <n v="-19619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120190"/>
    <n v="87716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18240"/>
    <n v="12768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488000"/>
    <n v="735000"/>
    <n v="0"/>
    <n v="247000"/>
    <n v="247000"/>
    <s v="QA SOW FPC - [KA - Feb23] - Updated forecast from Mar to Dec based on the new contract that superseeded the original one, CHANGE"/>
    <n v="40666.666666666664"/>
    <n v="40666.666666666664"/>
    <n v="41750"/>
    <n v="54750"/>
    <n v="54750"/>
    <n v="54750"/>
    <n v="67750"/>
    <n v="80750"/>
    <n v="80750"/>
    <n v="80750"/>
    <n v="80750"/>
    <n v="80750"/>
    <n v="758833.33333333326"/>
    <n v="471500"/>
    <n v="28750"/>
    <n v="28750"/>
    <n v="41750"/>
    <n v="54750"/>
    <m/>
    <m/>
    <m/>
    <m/>
    <m/>
    <m/>
    <m/>
    <m/>
    <n v="154000"/>
    <n v="-11916.666666666664"/>
    <n v="-11916.666666666664"/>
    <n v="0"/>
    <n v="0"/>
    <n v="-54750"/>
    <n v="-54750"/>
    <n v="-67750"/>
    <n v="-80750"/>
    <n v="-80750"/>
    <n v="-80750"/>
    <n v="-80750"/>
    <n v="-80750"/>
    <n v="-604833.33333333326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109500"/>
    <n v="5810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33600"/>
    <n v="2352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44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24000"/>
    <n v="168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264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5440"/>
    <n v="3808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46080"/>
    <n v="23040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2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200"/>
    <n v="69432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45500"/>
    <n v="0"/>
    <n v="12254.099999999977"/>
    <n v="12254.0999999999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1000"/>
    <n v="12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m/>
    <m/>
    <m/>
    <m/>
    <m/>
    <m/>
    <n v="42085"/>
    <n v="0"/>
    <n v="0"/>
    <n v="0"/>
    <n v="0"/>
    <n v="0"/>
    <n v="1585"/>
    <n v="-6750"/>
    <n v="-6750"/>
    <n v="-6750"/>
    <n v="-6750"/>
    <n v="-6750"/>
    <n v="-9620"/>
    <n v="-4178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3600"/>
    <n v="0"/>
    <n v="267600"/>
    <n v="26760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156800"/>
    <n v="15680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m/>
    <m/>
    <m/>
    <m/>
    <m/>
    <m/>
    <n v="3725.33"/>
    <n v="33.090000000000032"/>
    <n v="41.659999999999968"/>
    <n v="41.889999999999986"/>
    <n v="27.590000000000032"/>
    <n v="17.100000000000023"/>
    <n v="42"/>
    <n v="-587"/>
    <n v="-587"/>
    <n v="-587"/>
    <n v="-587"/>
    <n v="-587"/>
    <n v="-586"/>
    <n v="-3317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2878.0833333333335"/>
    <n v="20146.583333333332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392871.25999999995"/>
    <n v="-28841.815000000119"/>
    <n v="0"/>
    <n v="-28841.815000000119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n v="27143.73"/>
    <n v="28122"/>
    <m/>
    <m/>
    <m/>
    <m/>
    <m/>
    <m/>
    <n v="177841.76"/>
    <n v="0"/>
    <n v="0"/>
    <n v="-7111.1433333333371"/>
    <n v="-6708.9133333333375"/>
    <n v="-7999.8533333333362"/>
    <n v="-7021.5833333333358"/>
    <n v="-35143.583333333336"/>
    <n v="-35143.583333333336"/>
    <n v="-35143.583333333336"/>
    <n v="-35143.583333333336"/>
    <n v="-35143.583333333336"/>
    <n v="-39311.583333333299"/>
    <n v="-243870.99333333335"/>
    <m/>
    <n v="177841.76"/>
    <n v="0"/>
    <n v="215029.5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9354.33"/>
    <n v="0"/>
    <n v="7764.3300000000017"/>
    <n v="7764.3300000000017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8463.33"/>
    <n v="0"/>
    <n v="60891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107000"/>
    <n v="0"/>
    <n v="-107000"/>
    <n v="0"/>
    <n v="-107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n v="3500"/>
    <m/>
    <m/>
    <m/>
    <n v="1465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-3500"/>
    <n v="0"/>
    <n v="0"/>
    <n v="0"/>
    <n v="-1465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1743">
      <pivotArea field="6" type="button" dataOnly="0" labelOnly="1" outline="0" axis="axisRow" fieldPosition="0"/>
    </format>
    <format dxfId="1742">
      <pivotArea field="12" type="button" dataOnly="0" labelOnly="1" outline="0" axis="axisRow" fieldPosition="1"/>
    </format>
    <format dxfId="17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40">
      <pivotArea field="6" type="button" dataOnly="0" labelOnly="1" outline="0" axis="axisRow" fieldPosition="0"/>
    </format>
    <format dxfId="1739">
      <pivotArea field="12" type="button" dataOnly="0" labelOnly="1" outline="0" axis="axisRow" fieldPosition="1"/>
    </format>
    <format dxfId="17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37">
      <pivotArea outline="0" collapsedLevelsAreSubtotals="1" fieldPosition="0"/>
    </format>
    <format dxfId="1736">
      <pivotArea type="all" dataOnly="0" outline="0" fieldPosition="0"/>
    </format>
    <format dxfId="1735">
      <pivotArea outline="0" collapsedLevelsAreSubtotals="1" fieldPosition="0"/>
    </format>
    <format dxfId="1734">
      <pivotArea type="origin" dataOnly="0" labelOnly="1" outline="0" fieldPosition="0"/>
    </format>
    <format dxfId="1733">
      <pivotArea field="-2" type="button" dataOnly="0" labelOnly="1" outline="0" axis="axisCol" fieldPosition="0"/>
    </format>
    <format dxfId="1732">
      <pivotArea type="topRight" dataOnly="0" labelOnly="1" outline="0" fieldPosition="0"/>
    </format>
    <format dxfId="1731">
      <pivotArea field="6" type="button" dataOnly="0" labelOnly="1" outline="0" axis="axisRow" fieldPosition="0"/>
    </format>
    <format dxfId="1730">
      <pivotArea field="12" type="button" dataOnly="0" labelOnly="1" outline="0" axis="axisRow" fieldPosition="1"/>
    </format>
    <format dxfId="1729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728">
      <pivotArea dataOnly="0" labelOnly="1" grandRow="1" outline="0" fieldPosition="0"/>
    </format>
    <format dxfId="17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8">
    <format dxfId="1751">
      <pivotArea outline="0" collapsedLevelsAreSubtotals="1" fieldPosition="0"/>
    </format>
    <format dxfId="1750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1749">
      <pivotArea type="all" dataOnly="0" outline="0" fieldPosition="0"/>
    </format>
    <format dxfId="1748">
      <pivotArea outline="0" collapsedLevelsAreSubtotals="1" fieldPosition="0"/>
    </format>
    <format dxfId="1747">
      <pivotArea field="12" type="button" dataOnly="0" labelOnly="1" outline="0" axis="axisRow" fieldPosition="0"/>
    </format>
    <format dxfId="1746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1745">
      <pivotArea dataOnly="0" labelOnly="1" grandRow="1" outline="0" fieldPosition="0"/>
    </format>
    <format dxfId="174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1758">
      <pivotArea outline="0" collapsedLevelsAreSubtotals="1" fieldPosition="0"/>
    </format>
    <format dxfId="1757">
      <pivotArea type="all" dataOnly="0" outline="0" fieldPosition="0"/>
    </format>
    <format dxfId="1756">
      <pivotArea outline="0" collapsedLevelsAreSubtotals="1" fieldPosition="0"/>
    </format>
    <format dxfId="1755">
      <pivotArea field="6" type="button" dataOnly="0" labelOnly="1" outline="0" axis="axisRow" fieldPosition="0"/>
    </format>
    <format dxfId="1754">
      <pivotArea dataOnly="0" labelOnly="1" fieldPosition="0">
        <references count="1">
          <reference field="6" count="0"/>
        </references>
      </pivotArea>
    </format>
    <format dxfId="1753">
      <pivotArea dataOnly="0" labelOnly="1" grandRow="1" outline="0" fieldPosition="0"/>
    </format>
    <format dxfId="17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1726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725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1724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17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172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721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17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17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18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17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171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15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17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171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712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17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171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1709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17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170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706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17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170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703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17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170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700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16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169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697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16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16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694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16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16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691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16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16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688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168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168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85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16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16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82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16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16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1679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16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16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1676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16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167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673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16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167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670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16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166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67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16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166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64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16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166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61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16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16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58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16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16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55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16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16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6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165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50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16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164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647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16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164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644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16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164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641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16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163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1638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16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163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35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16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163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32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16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163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29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16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162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6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162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24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16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162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21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16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16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618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16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161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15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16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161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12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16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161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609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16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160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06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16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160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6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160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01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16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159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98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15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159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595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15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159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592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15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159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589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15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15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86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15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15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583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15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15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80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15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15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77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15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15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5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157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72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15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157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1569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15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156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66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15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156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563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15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156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5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15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58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15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15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555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15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15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552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15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15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49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15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15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46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15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15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43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15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15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40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15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15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537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15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15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534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15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15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531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15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15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28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15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15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525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15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15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22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15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15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19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15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15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1516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15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15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13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15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15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10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15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150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07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15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150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1504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15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150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01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15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149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98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14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149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95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14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149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492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14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149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489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14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14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486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14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14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483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14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14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80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14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14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77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14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14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140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1474" tableBorderDxfId="1473">
  <autoFilter ref="A1:BT150" xr:uid="{A492086E-22C3-4E96-A6F5-F99E42618563}"/>
  <tableColumns count="72">
    <tableColumn id="1" xr3:uid="{242EDFF6-742E-412A-994F-DE5685E22BB0}" name="Transaction Type" dataDxfId="1472"/>
    <tableColumn id="2" xr3:uid="{08616251-7DE6-4D23-92E4-2E85B1D94360}" name="D365 Legal Vendor name" dataDxfId="1471"/>
    <tableColumn id="3" xr3:uid="{BD70789C-92D9-4A27-B8C3-E2607261E720}" name="DBA / AKA / Passthrough" dataDxfId="1470"/>
    <tableColumn id="4" xr3:uid="{3918E27D-D871-43A2-9D6A-94FB14F654EC}" name="Project ID" dataDxfId="1469"/>
    <tableColumn id="5" xr3:uid="{A028ADB0-AF1A-40E1-8A52-FF282B40DE64}" name="Project Name" dataDxfId="1468"/>
    <tableColumn id="6" xr3:uid="{B4F67E57-8B0C-436C-BF42-2CAC2B8245C1}" name="Domain" dataDxfId="1467"/>
    <tableColumn id="7" xr3:uid="{91E0CA19-9704-4FB2-9B82-EB394E89DF85}" name="Domain Owner" dataDxfId="1466"/>
    <tableColumn id="9" xr3:uid="{090B133E-C581-4D72-9CCF-C2D174AB0F43}" name="Contract Start" dataDxfId="1465"/>
    <tableColumn id="10" xr3:uid="{610CA386-C3EA-4064-9F45-507F0B25669D}" name="Contract End" dataDxfId="1464"/>
    <tableColumn id="11" xr3:uid="{7A9CDD19-1472-4FAD-ACF7-98BC097996DE}" name="Application" dataDxfId="1463"/>
    <tableColumn id="12" xr3:uid="{F6177E08-E03D-4CE8-A8C5-24F7F0CE38DF}" name="Project Details" dataDxfId="1462">
      <calculatedColumnFormula>D2 &amp; "-" &amp;E2</calculatedColumnFormula>
    </tableColumn>
    <tableColumn id="13" xr3:uid="{F8731934-20F7-4424-BF3E-888C8F3E250E}" name="Category" dataDxfId="1461"/>
    <tableColumn id="14" xr3:uid="{97F74ECF-D3E1-4544-B389-0D70673967E8}" name="Sub-Category1" dataDxfId="1460"/>
    <tableColumn id="17" xr3:uid="{4C848037-D78D-42C1-A2C6-E6309704016E}" name="Sub-Category2" dataDxfId="1459"/>
    <tableColumn id="21" xr3:uid="{0122725A-C30C-4CEE-B8D6-2422E3E10326}" name="Contract Type" dataDxfId="1458"/>
    <tableColumn id="15" xr3:uid="{DCD4FDCF-43FF-4308-9293-62EA996620ED}" name="MGMT View Category (OneStream)" dataDxfId="1457"/>
    <tableColumn id="18" xr3:uid="{658A4718-1DA7-4FBE-8992-7FAE7F4C7F49}" name="Onestream Account" dataDxfId="1456"/>
    <tableColumn id="19" xr3:uid="{5267CF94-3623-462E-97AF-E18156B00053}" name="A/P Account Name" dataDxfId="1455"/>
    <tableColumn id="20" xr3:uid="{5E0DC275-3907-45A6-9C4F-937BDB02153F}" name="Accounting Treatment" dataDxfId="1454"/>
    <tableColumn id="22" xr3:uid="{16BEBE99-AC2A-471E-8FD9-AAE62FE8D83D}" name="2025 Actuals" dataDxfId="1453"/>
    <tableColumn id="23" xr3:uid="{AB3393C9-D921-4085-AF5F-B7B623848FCC}" name="2026 Initial Budget" dataDxfId="1452" dataCellStyle="Comma"/>
    <tableColumn id="25" xr3:uid="{BD95F986-B575-45C9-B565-3F5A5D25B661}" name="2026 Final Budget" dataDxfId="1451" dataCellStyle="Comma"/>
    <tableColumn id="26" xr3:uid="{FE8AB3AA-8105-4CAA-9C84-BF99E639D702}" name="2026 (Actuals + Forecast)" dataDxfId="1450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1449" dataCellStyle="Comma">
      <calculatedColumnFormula>IF(V2 &gt;= W2, V2 - W2, 0)*-1</calculatedColumnFormula>
    </tableColumn>
    <tableColumn id="28" xr3:uid="{3E8C9BC3-A36F-4429-ADF1-E2E31EDFB123}" name="2026 Risk" dataDxfId="1448" dataCellStyle="Comma">
      <calculatedColumnFormula>IF(W2 &gt; V2, W2 - V2, 0)</calculatedColumnFormula>
    </tableColumn>
    <tableColumn id="16" xr3:uid="{A2223374-A086-4670-9148-44C5B80D2F38}" name="2026 Risk/(Opportunity)" dataDxfId="1447" dataCellStyle="Comma">
      <calculatedColumnFormula>SUM(Financials20263[[#This Row],[2026 Opportunity]:[2026 Risk]])</calculatedColumnFormula>
    </tableColumn>
    <tableColumn id="29" xr3:uid="{9340939D-B61A-4867-A6FB-35598984DFC3}" name="Notes" dataDxfId="1446"/>
    <tableColumn id="31" xr3:uid="{CAB5AFB6-CA5B-483A-9BAF-5761679A373B}" name="Jan FC" dataDxfId="1445" dataCellStyle="Comma"/>
    <tableColumn id="32" xr3:uid="{5E6FFDA7-DF5F-495F-BC8D-D67F03329023}" name="Feb FC" dataDxfId="1444" dataCellStyle="Comma"/>
    <tableColumn id="33" xr3:uid="{5058D119-6F17-43D3-AEF2-4F273CEBA31A}" name="Mar FC" dataDxfId="1443" dataCellStyle="Comma"/>
    <tableColumn id="34" xr3:uid="{A3AC516B-B770-430E-B148-E1D3D9567FAD}" name="Apr FC" dataDxfId="1442" dataCellStyle="Comma"/>
    <tableColumn id="35" xr3:uid="{ECEA33AD-45C5-4E82-A009-017E85D7DB44}" name="May FC" dataDxfId="1441" dataCellStyle="Comma"/>
    <tableColumn id="36" xr3:uid="{E9DB8B47-323F-434B-807B-8748ED61ED34}" name="Jun FC" dataDxfId="1440" dataCellStyle="Comma"/>
    <tableColumn id="37" xr3:uid="{6374D5F8-607B-41C2-B794-601F25EB418D}" name="Jul FC" dataDxfId="1439" dataCellStyle="Comma"/>
    <tableColumn id="38" xr3:uid="{B4C16149-C9F0-45EC-B182-FD3B8B7429E0}" name="Aug FC" dataDxfId="1438" dataCellStyle="Comma"/>
    <tableColumn id="39" xr3:uid="{26B14811-E5F5-4106-A54B-40DE00366D76}" name="Sep FC" dataDxfId="1437" dataCellStyle="Comma"/>
    <tableColumn id="40" xr3:uid="{9E952692-1BDD-4D56-A183-37BF4A11F526}" name="Oct FC" dataDxfId="1436" dataCellStyle="Comma"/>
    <tableColumn id="41" xr3:uid="{A049F4C1-34D3-4A29-86A7-C671D5C6D98B}" name="Nov FC" dataDxfId="1435" dataCellStyle="Comma"/>
    <tableColumn id="42" xr3:uid="{5705BE95-DF6B-473B-8FA4-9E4226201603}" name="Dec FC" dataDxfId="1434" dataCellStyle="Comma"/>
    <tableColumn id="74" xr3:uid="{9D40B7D4-7BAE-4A98-8145-9A222ED326B8}" name="Total - FC" dataDxfId="1433" dataCellStyle="Comma">
      <calculatedColumnFormula>SUM(Financials20263[[#This Row],[Jan FC]:[Dec FC]])</calculatedColumnFormula>
    </tableColumn>
    <tableColumn id="43" xr3:uid="{91FD6C06-93AB-414D-9B76-887643EEED96}" name="Jul-Dec FC" dataDxfId="1432" dataCellStyle="Comma">
      <calculatedColumnFormula>SUM(Financials20263[[#This Row],[Jul FC]:[Dec FC]])</calculatedColumnFormula>
    </tableColumn>
    <tableColumn id="56" xr3:uid="{F69A83C4-B9A3-4262-A8CB-8CE81864D5FA}" name="Jan AC" dataDxfId="1431" dataCellStyle="Comma"/>
    <tableColumn id="55" xr3:uid="{1E9D6300-4AD1-4261-A1FF-6366DF423E92}" name="Feb AC" dataDxfId="1430" dataCellStyle="Comma"/>
    <tableColumn id="54" xr3:uid="{13FFF1FD-26A1-4FD6-97E8-9386AB4AC43C}" name="Mar AC" dataDxfId="1429" dataCellStyle="Comma"/>
    <tableColumn id="53" xr3:uid="{4528A9EB-DCC4-4768-9C74-B00744D89F2E}" name="Apr AC" dataDxfId="1428" dataCellStyle="Comma"/>
    <tableColumn id="52" xr3:uid="{09BBCE26-5305-4845-8E95-2938F78951A1}" name="May AC" dataDxfId="1427" dataCellStyle="Comma"/>
    <tableColumn id="51" xr3:uid="{B53E3A5E-4C7A-47F6-98EF-98D0339ED7EF}" name="Jun AC" dataDxfId="1426" dataCellStyle="Comma"/>
    <tableColumn id="50" xr3:uid="{1B3A42E1-1A4A-4F02-AB85-F321F9298327}" name="Jul AC" dataDxfId="1425" dataCellStyle="Comma"/>
    <tableColumn id="49" xr3:uid="{DB3FF538-4DFF-4E76-A4ED-65067E509D32}" name="Aug AC" dataDxfId="1424" dataCellStyle="Comma"/>
    <tableColumn id="48" xr3:uid="{7811DD89-220A-4A96-BB76-DDA3AB708625}" name="Sep AC" dataDxfId="1423" dataCellStyle="Comma"/>
    <tableColumn id="47" xr3:uid="{A17FFA7D-49AE-4866-91BB-54ABF4DBC444}" name="Oct AC" dataDxfId="1422" dataCellStyle="Comma"/>
    <tableColumn id="46" xr3:uid="{41435EA0-FEC7-48B7-855E-47C16BC64CF6}" name="Nov AC" dataDxfId="1421" dataCellStyle="Comma"/>
    <tableColumn id="30" xr3:uid="{A2239101-D3EE-49BD-BE0C-6704F209BED4}" name="Dec AC" dataDxfId="1420" dataCellStyle="Comma"/>
    <tableColumn id="75" xr3:uid="{C6B2B2DB-BFC6-4CA1-A44B-AB1642CA5DF4}" name="Total Actuals" dataDxfId="1419" dataCellStyle="Comma">
      <calculatedColumnFormula>SUM(Financials20263[[#This Row],[Jan AC]:[Dec AC]])</calculatedColumnFormula>
    </tableColumn>
    <tableColumn id="58" xr3:uid="{C27E561F-EC4E-4A83-860E-89EDAFD8273C}" name="Jan Opp/Risk" dataDxfId="141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141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141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141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141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141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141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141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141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140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140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140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1406" dataCellStyle="Comma">
      <calculatedColumnFormula>SUM(Financials20263[[#This Row],[Jan Opp/Risk]:[Dec Opp./Risk]])</calculatedColumnFormula>
    </tableColumn>
    <tableColumn id="45" xr3:uid="{40E9183E-CE83-4399-9E89-734953B2AD7E}" name="Notes - Swati" dataDxfId="1405" dataCellStyle="Comma"/>
    <tableColumn id="57" xr3:uid="{71A027C0-CE0B-44F4-9BEA-44F1E025C29C}" name="Jan-Jun Actuals" dataDxfId="1404" dataCellStyle="Comma">
      <calculatedColumnFormula>SUM(Financials20263[[#This Row],[Jan AC]:[Jun AC]])</calculatedColumnFormula>
    </tableColumn>
    <tableColumn id="8" xr3:uid="{A4CDF58C-06B8-490E-851A-3E8597DB1ABC}" name="Pending Jan-Jun" dataDxfId="1403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1402">
      <calculatedColumnFormula>Financials20263[[#This Row],[Jul-Dec FC]]+Financials20263[[#This Row],[Pending Jan-Jun]]</calculatedColumnFormula>
    </tableColumn>
    <tableColumn id="71" xr3:uid="{E2A7DC33-E1C7-4989-AFA3-667DE437DAE3}" name="Non-Comitted" dataDxfId="140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workbookViewId="0">
      <selection activeCell="E32" sqref="E32"/>
    </sheetView>
  </sheetViews>
  <sheetFormatPr defaultRowHeight="14.4" x14ac:dyDescent="0.3"/>
  <cols>
    <col min="1" max="1" width="14.5546875" style="170" bestFit="1" customWidth="1"/>
    <col min="2" max="2" width="15.5546875" style="170" bestFit="1" customWidth="1"/>
    <col min="3" max="3" width="11.109375" style="170" bestFit="1" customWidth="1"/>
    <col min="4" max="5" width="11" style="170" bestFit="1" customWidth="1"/>
    <col min="6" max="6" width="27.33203125" style="170" bestFit="1" customWidth="1"/>
    <col min="7" max="7" width="4.21875" style="170" customWidth="1"/>
    <col min="8" max="8" width="4.44140625" style="170" customWidth="1"/>
    <col min="9" max="9" width="3.77734375" style="170" customWidth="1"/>
    <col min="10" max="10" width="24.5546875" style="170" bestFit="1" customWidth="1"/>
    <col min="11" max="16384" width="8.88671875" style="170"/>
  </cols>
  <sheetData>
    <row r="1" spans="1:10" x14ac:dyDescent="0.3">
      <c r="A1" s="172" t="s">
        <v>42</v>
      </c>
      <c r="B1" s="170" t="s">
        <v>43</v>
      </c>
      <c r="C1" s="190" t="s">
        <v>522</v>
      </c>
      <c r="D1" s="190"/>
      <c r="E1" s="190"/>
      <c r="F1" s="190"/>
      <c r="J1" s="173" t="s">
        <v>39</v>
      </c>
    </row>
    <row r="2" spans="1:10" x14ac:dyDescent="0.3">
      <c r="C2" s="190"/>
      <c r="D2" s="190"/>
      <c r="E2" s="190"/>
      <c r="F2" s="190"/>
      <c r="J2" s="174">
        <v>44788398</v>
      </c>
    </row>
    <row r="3" spans="1:10" ht="43.2" x14ac:dyDescent="0.3">
      <c r="A3" s="172" t="s">
        <v>88</v>
      </c>
      <c r="B3" s="171" t="s">
        <v>0</v>
      </c>
      <c r="C3" s="170" t="s">
        <v>565</v>
      </c>
      <c r="D3" s="171" t="s">
        <v>44</v>
      </c>
      <c r="E3" s="171" t="s">
        <v>45</v>
      </c>
      <c r="F3" s="170" t="s">
        <v>737</v>
      </c>
      <c r="J3" s="175">
        <f>GETPIVOTDATA("Sum of 2026 Final Budget",$A$3)-J2</f>
        <v>-4.385000467300415E-2</v>
      </c>
    </row>
    <row r="4" spans="1:10" x14ac:dyDescent="0.3">
      <c r="A4" s="176" t="s">
        <v>2</v>
      </c>
      <c r="B4" s="177">
        <v>3535567</v>
      </c>
      <c r="C4" s="177">
        <v>1536396</v>
      </c>
      <c r="D4" s="177">
        <v>129900</v>
      </c>
      <c r="E4" s="177">
        <v>-2129071</v>
      </c>
      <c r="F4" s="177">
        <v>-1999171</v>
      </c>
      <c r="J4" s="178"/>
    </row>
    <row r="5" spans="1:10" x14ac:dyDescent="0.3">
      <c r="A5" s="176" t="s">
        <v>3</v>
      </c>
      <c r="B5" s="177">
        <v>116236</v>
      </c>
      <c r="C5" s="177">
        <v>189696.18333333335</v>
      </c>
      <c r="D5" s="177">
        <v>82764.33</v>
      </c>
      <c r="E5" s="177">
        <v>-9304.1466666666638</v>
      </c>
      <c r="F5" s="177">
        <v>73460.183333333334</v>
      </c>
    </row>
    <row r="6" spans="1:10" x14ac:dyDescent="0.3">
      <c r="A6" s="176" t="s">
        <v>4</v>
      </c>
      <c r="B6" s="177">
        <v>8342615.0750000002</v>
      </c>
      <c r="C6" s="177">
        <v>8293333.9033333333</v>
      </c>
      <c r="D6" s="177">
        <v>2290.5000000000746</v>
      </c>
      <c r="E6" s="177">
        <v>-51571.671666666756</v>
      </c>
      <c r="F6" s="177">
        <v>-49281.171666666676</v>
      </c>
    </row>
    <row r="7" spans="1:10" x14ac:dyDescent="0.3">
      <c r="A7" s="176" t="s">
        <v>46</v>
      </c>
      <c r="B7" s="177">
        <v>7271840</v>
      </c>
      <c r="C7" s="177">
        <v>8622895.9199999999</v>
      </c>
      <c r="D7" s="177">
        <v>2217591.92</v>
      </c>
      <c r="E7" s="177">
        <v>-866536</v>
      </c>
      <c r="F7" s="177">
        <v>1351055.92</v>
      </c>
    </row>
    <row r="8" spans="1:10" x14ac:dyDescent="0.3">
      <c r="A8" s="176" t="s">
        <v>5</v>
      </c>
      <c r="B8" s="177">
        <v>2894491.34</v>
      </c>
      <c r="C8" s="177">
        <v>2878863.81</v>
      </c>
      <c r="D8" s="177">
        <v>247000</v>
      </c>
      <c r="E8" s="177">
        <v>-262627.53000000003</v>
      </c>
      <c r="F8" s="177">
        <v>-15627.529999999999</v>
      </c>
    </row>
    <row r="9" spans="1:10" x14ac:dyDescent="0.3">
      <c r="A9" s="176" t="s">
        <v>6</v>
      </c>
      <c r="B9" s="177">
        <v>2229219</v>
      </c>
      <c r="C9" s="177">
        <v>2245702.04</v>
      </c>
      <c r="D9" s="177">
        <v>18704.729999999992</v>
      </c>
      <c r="E9" s="177">
        <v>-2221.6899999996895</v>
      </c>
      <c r="F9" s="177">
        <v>16483.040000000303</v>
      </c>
    </row>
    <row r="10" spans="1:10" x14ac:dyDescent="0.3">
      <c r="A10" s="176" t="s">
        <v>7</v>
      </c>
      <c r="B10" s="177">
        <v>20398429.54115</v>
      </c>
      <c r="C10" s="177">
        <v>21473924.764083337</v>
      </c>
      <c r="D10" s="177">
        <v>1286259.936433332</v>
      </c>
      <c r="E10" s="177">
        <v>-210764.71350000048</v>
      </c>
      <c r="F10" s="177">
        <v>1075495.222933332</v>
      </c>
    </row>
    <row r="11" spans="1:10" x14ac:dyDescent="0.3">
      <c r="A11" s="176" t="s">
        <v>8</v>
      </c>
      <c r="B11" s="177">
        <v>44788397.956149995</v>
      </c>
      <c r="C11" s="177">
        <v>45240812.620750003</v>
      </c>
      <c r="D11" s="177">
        <v>3984511.416433332</v>
      </c>
      <c r="E11" s="177">
        <v>-3532096.7518333336</v>
      </c>
      <c r="F11" s="177">
        <v>452414.66459999885</v>
      </c>
    </row>
    <row r="13" spans="1:10" hidden="1" x14ac:dyDescent="0.3">
      <c r="A13" s="172" t="s">
        <v>42</v>
      </c>
      <c r="B13" s="170" t="s">
        <v>43</v>
      </c>
      <c r="E13" s="177"/>
      <c r="F13" s="177"/>
    </row>
    <row r="14" spans="1:10" hidden="1" x14ac:dyDescent="0.3">
      <c r="A14" s="172" t="s">
        <v>47</v>
      </c>
      <c r="B14" s="170" t="s">
        <v>43</v>
      </c>
    </row>
    <row r="15" spans="1:10" hidden="1" x14ac:dyDescent="0.3"/>
    <row r="16" spans="1:10" ht="28.8" hidden="1" x14ac:dyDescent="0.3">
      <c r="A16" s="172" t="s">
        <v>1</v>
      </c>
      <c r="B16" s="170" t="s">
        <v>44</v>
      </c>
      <c r="C16" s="170" t="s">
        <v>45</v>
      </c>
      <c r="D16" s="170" t="s">
        <v>0</v>
      </c>
    </row>
    <row r="17" spans="1:6" hidden="1" x14ac:dyDescent="0.3">
      <c r="A17" s="176" t="s">
        <v>48</v>
      </c>
      <c r="B17" s="177">
        <v>2681147.5669999998</v>
      </c>
      <c r="C17" s="177">
        <v>-1445850.4541500001</v>
      </c>
      <c r="D17" s="177">
        <v>10007813.59715</v>
      </c>
    </row>
    <row r="18" spans="1:6" ht="28.8" hidden="1" x14ac:dyDescent="0.3">
      <c r="A18" s="176" t="s">
        <v>49</v>
      </c>
      <c r="B18" s="177">
        <v>555481.20723333373</v>
      </c>
      <c r="C18" s="177">
        <v>-803621.83283333294</v>
      </c>
      <c r="D18" s="177">
        <v>14217853.790000001</v>
      </c>
    </row>
    <row r="19" spans="1:6" hidden="1" x14ac:dyDescent="0.3">
      <c r="A19" s="176" t="s">
        <v>50</v>
      </c>
      <c r="B19" s="177">
        <v>1087555.4199999985</v>
      </c>
      <c r="C19" s="177">
        <v>-1280770.97</v>
      </c>
      <c r="D19" s="177">
        <v>13152468.5</v>
      </c>
    </row>
    <row r="20" spans="1:6" hidden="1" x14ac:dyDescent="0.3">
      <c r="A20" s="176" t="s">
        <v>51</v>
      </c>
      <c r="B20" s="177">
        <v>247000.3</v>
      </c>
      <c r="C20" s="177">
        <v>-405360</v>
      </c>
      <c r="D20" s="177">
        <v>1752990.7</v>
      </c>
    </row>
    <row r="21" spans="1:6" hidden="1" x14ac:dyDescent="0.3">
      <c r="A21" s="176" t="s">
        <v>52</v>
      </c>
      <c r="B21" s="177">
        <v>50312.124166666646</v>
      </c>
      <c r="C21" s="177">
        <v>-22969.722500000018</v>
      </c>
      <c r="D21" s="177">
        <v>1785617.7549999999</v>
      </c>
    </row>
    <row r="22" spans="1:6" ht="28.8" hidden="1" x14ac:dyDescent="0.3">
      <c r="A22" s="176" t="s">
        <v>53</v>
      </c>
      <c r="B22" s="177">
        <v>94895.17</v>
      </c>
      <c r="C22" s="177">
        <v>-287727.46933333331</v>
      </c>
      <c r="D22" s="177">
        <v>2627635.6140000001</v>
      </c>
    </row>
    <row r="23" spans="1:6" hidden="1" x14ac:dyDescent="0.3">
      <c r="A23" s="176" t="s">
        <v>419</v>
      </c>
      <c r="B23" s="177">
        <v>32669.254166666651</v>
      </c>
      <c r="C23" s="177">
        <v>0</v>
      </c>
      <c r="D23" s="177">
        <v>1244018</v>
      </c>
    </row>
    <row r="24" spans="1:6" hidden="1" x14ac:dyDescent="0.3">
      <c r="A24" s="176" t="s">
        <v>8</v>
      </c>
      <c r="B24" s="177">
        <v>4749061.0425666645</v>
      </c>
      <c r="C24" s="177">
        <v>-4246300.4488166664</v>
      </c>
      <c r="D24" s="177">
        <v>44788397.95615001</v>
      </c>
    </row>
    <row r="25" spans="1:6" x14ac:dyDescent="0.3">
      <c r="A25" s="179" t="s">
        <v>499</v>
      </c>
      <c r="B25" s="180">
        <f>B11/1000000</f>
        <v>44.788397956149993</v>
      </c>
      <c r="C25" s="181">
        <f t="shared" ref="C25:F25" si="0">C11/1000000</f>
        <v>45.240812620750006</v>
      </c>
      <c r="D25" s="181">
        <f t="shared" si="0"/>
        <v>3.9845114164333322</v>
      </c>
      <c r="E25" s="181">
        <f t="shared" si="0"/>
        <v>-3.5320967518333335</v>
      </c>
      <c r="F25" s="181">
        <f t="shared" si="0"/>
        <v>0.45241466459999885</v>
      </c>
    </row>
    <row r="26" spans="1:6" x14ac:dyDescent="0.3">
      <c r="B26" s="182"/>
      <c r="C26" s="182"/>
      <c r="D26" s="182"/>
      <c r="E26" s="182"/>
      <c r="F26" s="182"/>
    </row>
    <row r="27" spans="1:6" x14ac:dyDescent="0.3">
      <c r="A27" s="172" t="s">
        <v>42</v>
      </c>
      <c r="B27" s="170" t="s">
        <v>43</v>
      </c>
      <c r="C27" s="191" t="s">
        <v>523</v>
      </c>
      <c r="D27" s="191"/>
      <c r="E27" s="191"/>
    </row>
    <row r="28" spans="1:6" x14ac:dyDescent="0.3">
      <c r="C28" s="191"/>
      <c r="D28" s="191"/>
      <c r="E28" s="191"/>
    </row>
    <row r="29" spans="1:6" x14ac:dyDescent="0.3">
      <c r="C29" s="172" t="s">
        <v>485</v>
      </c>
    </row>
    <row r="30" spans="1:6" ht="43.2" x14ac:dyDescent="0.3">
      <c r="A30" s="183" t="s">
        <v>54</v>
      </c>
      <c r="B30" s="183" t="s">
        <v>47</v>
      </c>
      <c r="C30" s="93" t="s">
        <v>0</v>
      </c>
      <c r="D30" s="93" t="s">
        <v>521</v>
      </c>
      <c r="E30" s="170" t="s">
        <v>737</v>
      </c>
    </row>
    <row r="31" spans="1:6" x14ac:dyDescent="0.3">
      <c r="A31" s="170" t="s">
        <v>48</v>
      </c>
      <c r="C31" s="184">
        <v>9728294.5971499998</v>
      </c>
      <c r="D31" s="184">
        <v>5223674.854166666</v>
      </c>
      <c r="E31" s="184">
        <v>801996.90284999972</v>
      </c>
    </row>
    <row r="32" spans="1:6" ht="28.8" x14ac:dyDescent="0.3">
      <c r="A32" s="170" t="s">
        <v>49</v>
      </c>
      <c r="C32" s="184">
        <v>14299443.790000001</v>
      </c>
      <c r="D32" s="184">
        <v>6963317.0575000001</v>
      </c>
      <c r="E32" s="184">
        <v>469224.07275000011</v>
      </c>
    </row>
    <row r="33" spans="1:6" x14ac:dyDescent="0.3">
      <c r="A33" s="170" t="s">
        <v>50</v>
      </c>
      <c r="C33" s="184">
        <v>13152468.5</v>
      </c>
      <c r="D33" s="184">
        <v>9329347.6499999985</v>
      </c>
      <c r="E33" s="184">
        <v>-488879.88666666846</v>
      </c>
    </row>
    <row r="34" spans="1:6" x14ac:dyDescent="0.3">
      <c r="A34" s="170" t="s">
        <v>51</v>
      </c>
      <c r="C34" s="184">
        <v>1752990.7</v>
      </c>
      <c r="D34" s="184">
        <v>442226.75</v>
      </c>
      <c r="E34" s="184">
        <v>-238959.7</v>
      </c>
    </row>
    <row r="35" spans="1:6" x14ac:dyDescent="0.3">
      <c r="A35" s="170" t="s">
        <v>52</v>
      </c>
      <c r="C35" s="184">
        <v>1785617.7549999999</v>
      </c>
      <c r="D35" s="184">
        <v>995838.64000000013</v>
      </c>
      <c r="E35" s="184">
        <v>6224.5949999999721</v>
      </c>
    </row>
    <row r="36" spans="1:6" ht="28.8" x14ac:dyDescent="0.3">
      <c r="A36" s="170" t="s">
        <v>53</v>
      </c>
      <c r="C36" s="184">
        <v>2627635.6140000001</v>
      </c>
      <c r="D36" s="184">
        <v>1148496.3200000003</v>
      </c>
      <c r="E36" s="184">
        <v>-97190.929333333275</v>
      </c>
    </row>
    <row r="37" spans="1:6" x14ac:dyDescent="0.3">
      <c r="A37" s="170" t="s">
        <v>8</v>
      </c>
      <c r="C37" s="184">
        <v>43346450.95615001</v>
      </c>
      <c r="D37" s="184">
        <v>24102901.271666665</v>
      </c>
      <c r="E37" s="184">
        <v>452415.05459999794</v>
      </c>
      <c r="F37" s="185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workbookViewId="0"/>
  </sheetViews>
  <sheetFormatPr defaultRowHeight="14.4" outlineLevelRow="2" x14ac:dyDescent="0.3"/>
  <cols>
    <col min="1" max="1" width="18.5546875" customWidth="1"/>
    <col min="2" max="2" width="22.21875" customWidth="1"/>
    <col min="3" max="3" width="37" customWidth="1"/>
    <col min="4" max="7" width="20.33203125" customWidth="1"/>
    <col min="8" max="8" width="22.33203125" customWidth="1"/>
    <col min="9" max="9" width="74.109375" style="93" customWidth="1"/>
    <col min="10" max="10" width="27.77734375" style="92" customWidth="1"/>
  </cols>
  <sheetData>
    <row r="1" spans="1:15" ht="28.8" x14ac:dyDescent="0.3">
      <c r="A1" s="136" t="s">
        <v>528</v>
      </c>
      <c r="B1" s="137" t="s">
        <v>54</v>
      </c>
      <c r="C1" s="137" t="s">
        <v>55</v>
      </c>
      <c r="D1" s="137" t="s">
        <v>97</v>
      </c>
      <c r="E1" s="137" t="s">
        <v>632</v>
      </c>
      <c r="F1" s="137" t="s">
        <v>633</v>
      </c>
      <c r="G1" s="138" t="s">
        <v>98</v>
      </c>
      <c r="H1" s="137" t="s">
        <v>634</v>
      </c>
      <c r="I1" s="138" t="s">
        <v>529</v>
      </c>
      <c r="J1" s="139" t="s">
        <v>530</v>
      </c>
    </row>
    <row r="2" spans="1:15" ht="43.2" hidden="1" outlineLevel="2" x14ac:dyDescent="0.3">
      <c r="A2" s="140" t="s">
        <v>2</v>
      </c>
      <c r="B2" s="141" t="s">
        <v>48</v>
      </c>
      <c r="C2" s="141" t="s">
        <v>181</v>
      </c>
      <c r="D2" s="142">
        <v>250000</v>
      </c>
      <c r="E2" s="142">
        <v>0</v>
      </c>
      <c r="F2" s="142">
        <v>152500</v>
      </c>
      <c r="G2" s="142">
        <f>E2+F2</f>
        <v>152500</v>
      </c>
      <c r="H2" s="142">
        <f>G2-D2</f>
        <v>-97500</v>
      </c>
      <c r="I2" s="143" t="s">
        <v>635</v>
      </c>
      <c r="J2" s="144" t="s">
        <v>531</v>
      </c>
      <c r="M2" s="139" t="s">
        <v>530</v>
      </c>
      <c r="N2" s="138" t="s">
        <v>529</v>
      </c>
      <c r="O2" s="139" t="s">
        <v>530</v>
      </c>
    </row>
    <row r="3" spans="1:15" ht="57.6" hidden="1" outlineLevel="2" x14ac:dyDescent="0.3">
      <c r="A3" s="140" t="s">
        <v>2</v>
      </c>
      <c r="B3" s="141" t="s">
        <v>48</v>
      </c>
      <c r="C3" s="141" t="s">
        <v>207</v>
      </c>
      <c r="D3" s="142">
        <v>2444000</v>
      </c>
      <c r="E3" s="142">
        <v>800000</v>
      </c>
      <c r="F3" s="142">
        <v>760000</v>
      </c>
      <c r="G3" s="142">
        <f>E3+F3</f>
        <v>1560000</v>
      </c>
      <c r="H3" s="142">
        <f>G3-D3</f>
        <v>-884000</v>
      </c>
      <c r="I3" s="145" t="s">
        <v>636</v>
      </c>
      <c r="J3" s="144" t="s">
        <v>531</v>
      </c>
      <c r="M3" t="s">
        <v>158</v>
      </c>
      <c r="N3" t="s">
        <v>637</v>
      </c>
      <c r="O3" t="s">
        <v>638</v>
      </c>
    </row>
    <row r="4" spans="1:15" hidden="1" outlineLevel="1" x14ac:dyDescent="0.3">
      <c r="A4" s="146" t="s">
        <v>2</v>
      </c>
      <c r="B4" s="147" t="s">
        <v>479</v>
      </c>
      <c r="C4" s="147"/>
      <c r="D4" s="148">
        <f>SUM(D2:D3)</f>
        <v>2694000</v>
      </c>
      <c r="E4" s="148">
        <f>SUM(E2:E3)</f>
        <v>800000</v>
      </c>
      <c r="F4" s="148">
        <f>SUM(F2:F3)</f>
        <v>912500</v>
      </c>
      <c r="G4" s="148">
        <f>SUM(G2:G3)</f>
        <v>1712500</v>
      </c>
      <c r="H4" s="148">
        <f>SUM(H2:H3)</f>
        <v>-981500</v>
      </c>
      <c r="I4" s="149"/>
      <c r="J4" s="150"/>
      <c r="M4" t="s">
        <v>41</v>
      </c>
      <c r="N4" t="s">
        <v>639</v>
      </c>
      <c r="O4" t="s">
        <v>640</v>
      </c>
    </row>
    <row r="5" spans="1:15" ht="43.2" hidden="1" outlineLevel="2" x14ac:dyDescent="0.3">
      <c r="A5" s="140" t="s">
        <v>2</v>
      </c>
      <c r="B5" s="141" t="s">
        <v>50</v>
      </c>
      <c r="C5" s="141" t="s">
        <v>399</v>
      </c>
      <c r="D5" s="142">
        <v>250000</v>
      </c>
      <c r="E5" s="142">
        <v>0</v>
      </c>
      <c r="F5" s="142">
        <v>150000</v>
      </c>
      <c r="G5" s="142">
        <f>E5+F5</f>
        <v>150000</v>
      </c>
      <c r="H5" s="142">
        <f>G5-D5</f>
        <v>-100000</v>
      </c>
      <c r="I5" s="145" t="s">
        <v>641</v>
      </c>
      <c r="J5" s="144" t="s">
        <v>531</v>
      </c>
      <c r="M5" t="s">
        <v>531</v>
      </c>
      <c r="N5" t="s">
        <v>642</v>
      </c>
      <c r="O5" t="s">
        <v>643</v>
      </c>
    </row>
    <row r="6" spans="1:15" ht="28.8" hidden="1" outlineLevel="2" x14ac:dyDescent="0.3">
      <c r="A6" s="140" t="s">
        <v>2</v>
      </c>
      <c r="B6" s="141" t="s">
        <v>50</v>
      </c>
      <c r="C6" s="141" t="s">
        <v>56</v>
      </c>
      <c r="D6" s="142">
        <v>50000</v>
      </c>
      <c r="E6" s="142">
        <v>0</v>
      </c>
      <c r="F6" s="142">
        <v>0</v>
      </c>
      <c r="G6" s="142">
        <f>E6+F6</f>
        <v>0</v>
      </c>
      <c r="H6" s="142">
        <f>G6-D6</f>
        <v>-50000</v>
      </c>
      <c r="I6" s="145" t="s">
        <v>644</v>
      </c>
      <c r="J6" s="144" t="s">
        <v>531</v>
      </c>
      <c r="M6" t="s">
        <v>535</v>
      </c>
      <c r="N6" t="s">
        <v>645</v>
      </c>
      <c r="O6" t="s">
        <v>646</v>
      </c>
    </row>
    <row r="7" spans="1:15" ht="28.8" hidden="1" outlineLevel="2" x14ac:dyDescent="0.3">
      <c r="A7" s="140" t="s">
        <v>2</v>
      </c>
      <c r="B7" s="141" t="s">
        <v>50</v>
      </c>
      <c r="C7" s="141" t="s">
        <v>207</v>
      </c>
      <c r="D7" s="142">
        <v>120000</v>
      </c>
      <c r="E7" s="142">
        <v>0</v>
      </c>
      <c r="F7" s="142">
        <v>120000</v>
      </c>
      <c r="G7" s="142">
        <f>E7+F7</f>
        <v>120000</v>
      </c>
      <c r="H7" s="142">
        <f>G7-D7</f>
        <v>0</v>
      </c>
      <c r="I7" s="151" t="s">
        <v>546</v>
      </c>
      <c r="J7" s="152" t="s">
        <v>532</v>
      </c>
    </row>
    <row r="8" spans="1:15" ht="43.2" hidden="1" outlineLevel="2" x14ac:dyDescent="0.3">
      <c r="A8" s="140" t="s">
        <v>2</v>
      </c>
      <c r="B8" s="141" t="s">
        <v>50</v>
      </c>
      <c r="C8" s="141" t="s">
        <v>333</v>
      </c>
      <c r="D8" s="142">
        <v>999600</v>
      </c>
      <c r="E8" s="142">
        <v>10000</v>
      </c>
      <c r="F8" s="142">
        <v>283500</v>
      </c>
      <c r="G8" s="142">
        <f>E8+F8</f>
        <v>293500</v>
      </c>
      <c r="H8" s="142">
        <f>G8-D8</f>
        <v>-706100</v>
      </c>
      <c r="I8" s="145" t="s">
        <v>647</v>
      </c>
      <c r="J8" s="144" t="s">
        <v>531</v>
      </c>
    </row>
    <row r="9" spans="1:15" hidden="1" outlineLevel="1" x14ac:dyDescent="0.3">
      <c r="A9" s="146" t="s">
        <v>2</v>
      </c>
      <c r="B9" s="147" t="s">
        <v>481</v>
      </c>
      <c r="C9" s="147"/>
      <c r="D9" s="148">
        <f>SUM(D5:D8)</f>
        <v>1419600</v>
      </c>
      <c r="E9" s="148">
        <f>SUM(E5:E8)</f>
        <v>10000</v>
      </c>
      <c r="F9" s="148">
        <f>SUM(F5:F8)</f>
        <v>553500</v>
      </c>
      <c r="G9" s="148">
        <f>SUM(G5:G8)</f>
        <v>563500</v>
      </c>
      <c r="H9" s="148">
        <f>SUM(H5:H8)</f>
        <v>-856100</v>
      </c>
      <c r="I9" s="149"/>
      <c r="J9" s="150"/>
    </row>
    <row r="10" spans="1:15" ht="28.8" hidden="1" outlineLevel="2" x14ac:dyDescent="0.3">
      <c r="A10" s="140" t="s">
        <v>2</v>
      </c>
      <c r="B10" s="141" t="s">
        <v>51</v>
      </c>
      <c r="C10" s="141" t="s">
        <v>181</v>
      </c>
      <c r="D10" s="142">
        <v>250000</v>
      </c>
      <c r="E10" s="142">
        <v>0</v>
      </c>
      <c r="F10" s="142">
        <v>150000</v>
      </c>
      <c r="G10" s="142">
        <f>E10+F10</f>
        <v>150000</v>
      </c>
      <c r="H10" s="142">
        <f>G10-D10</f>
        <v>-100000</v>
      </c>
      <c r="I10" s="145" t="s">
        <v>648</v>
      </c>
      <c r="J10" s="144" t="s">
        <v>531</v>
      </c>
    </row>
    <row r="11" spans="1:15" hidden="1" outlineLevel="1" x14ac:dyDescent="0.3">
      <c r="A11" s="146" t="s">
        <v>2</v>
      </c>
      <c r="B11" s="147" t="s">
        <v>482</v>
      </c>
      <c r="C11" s="147"/>
      <c r="D11" s="148">
        <f>SUM(D10:D10)</f>
        <v>250000</v>
      </c>
      <c r="E11" s="148">
        <f>SUM(E10:E10)</f>
        <v>0</v>
      </c>
      <c r="F11" s="148">
        <f>SUM(F10:F10)</f>
        <v>150000</v>
      </c>
      <c r="G11" s="148">
        <f>SUM(G10:G10)</f>
        <v>150000</v>
      </c>
      <c r="H11" s="148">
        <f>SUM(H10:H10)</f>
        <v>-100000</v>
      </c>
      <c r="I11" s="149"/>
      <c r="J11" s="150"/>
    </row>
    <row r="12" spans="1:15" ht="28.8" hidden="1" outlineLevel="2" x14ac:dyDescent="0.3">
      <c r="A12" s="140" t="s">
        <v>2</v>
      </c>
      <c r="B12" s="141" t="s">
        <v>53</v>
      </c>
      <c r="C12" s="141" t="s">
        <v>399</v>
      </c>
      <c r="D12" s="142">
        <v>12896</v>
      </c>
      <c r="E12" s="142">
        <v>0</v>
      </c>
      <c r="F12" s="142">
        <v>12896</v>
      </c>
      <c r="G12" s="142">
        <f>E12+F12</f>
        <v>12896</v>
      </c>
      <c r="H12" s="142">
        <f>G12-D12</f>
        <v>0</v>
      </c>
      <c r="I12" s="151" t="s">
        <v>649</v>
      </c>
      <c r="J12" s="152" t="s">
        <v>532</v>
      </c>
    </row>
    <row r="13" spans="1:15" ht="43.2" hidden="1" outlineLevel="2" x14ac:dyDescent="0.3">
      <c r="A13" s="140" t="s">
        <v>2</v>
      </c>
      <c r="B13" s="141" t="s">
        <v>53</v>
      </c>
      <c r="C13" s="141" t="s">
        <v>181</v>
      </c>
      <c r="D13" s="142">
        <v>100000</v>
      </c>
      <c r="E13" s="142">
        <v>0</v>
      </c>
      <c r="F13" s="142">
        <v>0</v>
      </c>
      <c r="G13" s="142">
        <f>E13+F13</f>
        <v>0</v>
      </c>
      <c r="H13" s="142">
        <f>G13-D13</f>
        <v>-100000</v>
      </c>
      <c r="I13" s="145" t="s">
        <v>650</v>
      </c>
      <c r="J13" s="144" t="s">
        <v>531</v>
      </c>
    </row>
    <row r="14" spans="1:15" hidden="1" outlineLevel="1" x14ac:dyDescent="0.3">
      <c r="A14" s="146" t="s">
        <v>2</v>
      </c>
      <c r="B14" s="147" t="s">
        <v>484</v>
      </c>
      <c r="C14" s="147"/>
      <c r="D14" s="148">
        <f>SUM(D12:D13)</f>
        <v>112896</v>
      </c>
      <c r="E14" s="148">
        <f>SUM(E12:E13)</f>
        <v>0</v>
      </c>
      <c r="F14" s="148">
        <f>SUM(F12:F13)</f>
        <v>12896</v>
      </c>
      <c r="G14" s="148">
        <f>SUM(G12:G13)</f>
        <v>12896</v>
      </c>
      <c r="H14" s="148">
        <f>SUM(H12:H13)</f>
        <v>-100000</v>
      </c>
      <c r="I14" s="149"/>
      <c r="J14" s="150"/>
    </row>
    <row r="15" spans="1:15" collapsed="1" x14ac:dyDescent="0.3">
      <c r="A15" s="153" t="s">
        <v>533</v>
      </c>
      <c r="B15" s="154"/>
      <c r="C15" s="154"/>
      <c r="D15" s="155">
        <f>SUM(D4,D9,D11,D14)</f>
        <v>4476496</v>
      </c>
      <c r="E15" s="155">
        <f>SUM(E4,E9,E11,E14)</f>
        <v>810000</v>
      </c>
      <c r="F15" s="155">
        <f>SUM(F4,F9,F11,F14)</f>
        <v>1628896</v>
      </c>
      <c r="G15" s="155">
        <f>SUM(G4,G9,G11,G14)</f>
        <v>2438896</v>
      </c>
      <c r="H15" s="155">
        <f>SUM(H4,H9,H11,H14)</f>
        <v>-2037600</v>
      </c>
      <c r="I15" s="149"/>
      <c r="J15" s="150"/>
    </row>
    <row r="16" spans="1:15" ht="28.8" hidden="1" outlineLevel="2" x14ac:dyDescent="0.3">
      <c r="A16" s="140" t="s">
        <v>3</v>
      </c>
      <c r="B16" s="141" t="s">
        <v>48</v>
      </c>
      <c r="C16" s="141" t="s">
        <v>70</v>
      </c>
      <c r="D16" s="142">
        <v>81590</v>
      </c>
      <c r="E16" s="142">
        <v>0</v>
      </c>
      <c r="F16" s="142">
        <v>81590</v>
      </c>
      <c r="G16" s="142">
        <f>E16+F16</f>
        <v>81590</v>
      </c>
      <c r="H16" s="142">
        <f>G16-D16</f>
        <v>0</v>
      </c>
      <c r="I16" s="151" t="s">
        <v>649</v>
      </c>
      <c r="J16" s="152" t="s">
        <v>532</v>
      </c>
    </row>
    <row r="17" spans="1:10" hidden="1" outlineLevel="1" x14ac:dyDescent="0.3">
      <c r="A17" s="146" t="s">
        <v>3</v>
      </c>
      <c r="B17" s="147" t="s">
        <v>479</v>
      </c>
      <c r="C17" s="147"/>
      <c r="D17" s="148">
        <f>SUM(D16:D16)</f>
        <v>81590</v>
      </c>
      <c r="E17" s="148">
        <f>SUM(E16:E16)</f>
        <v>0</v>
      </c>
      <c r="F17" s="148">
        <f>SUM(F16:F16)</f>
        <v>81590</v>
      </c>
      <c r="G17" s="148">
        <f>SUM(G16:G16)</f>
        <v>81590</v>
      </c>
      <c r="H17" s="148">
        <f>SUM(H16:H16)</f>
        <v>0</v>
      </c>
      <c r="I17" s="149"/>
      <c r="J17" s="150"/>
    </row>
    <row r="18" spans="1:10" ht="43.2" hidden="1" outlineLevel="2" x14ac:dyDescent="0.3">
      <c r="A18" s="140" t="s">
        <v>3</v>
      </c>
      <c r="B18" s="141" t="s">
        <v>49</v>
      </c>
      <c r="C18" s="141" t="s">
        <v>57</v>
      </c>
      <c r="D18" s="142">
        <v>34646</v>
      </c>
      <c r="E18" s="142">
        <v>2244.52</v>
      </c>
      <c r="F18" s="142">
        <v>98097.333333333343</v>
      </c>
      <c r="G18" s="142">
        <f>E18+F18</f>
        <v>100341.85333333335</v>
      </c>
      <c r="H18" s="142">
        <f>G18-D18</f>
        <v>65695.853333333347</v>
      </c>
      <c r="I18" s="156" t="s">
        <v>651</v>
      </c>
      <c r="J18" s="157" t="s">
        <v>41</v>
      </c>
    </row>
    <row r="19" spans="1:10" ht="43.2" hidden="1" outlineLevel="2" x14ac:dyDescent="0.3">
      <c r="A19" s="140" t="s">
        <v>3</v>
      </c>
      <c r="B19" s="141" t="s">
        <v>49</v>
      </c>
      <c r="C19" s="141" t="s">
        <v>70</v>
      </c>
      <c r="D19" s="142">
        <v>0</v>
      </c>
      <c r="E19" s="142">
        <v>20698.550000000003</v>
      </c>
      <c r="F19" s="142">
        <v>0</v>
      </c>
      <c r="G19" s="142">
        <f>E19+F19</f>
        <v>20698.550000000003</v>
      </c>
      <c r="H19" s="142">
        <f>G19-D19</f>
        <v>20698.550000000003</v>
      </c>
      <c r="I19" s="156" t="s">
        <v>652</v>
      </c>
      <c r="J19" s="157" t="s">
        <v>41</v>
      </c>
    </row>
    <row r="20" spans="1:10" hidden="1" outlineLevel="1" x14ac:dyDescent="0.3">
      <c r="A20" s="146" t="s">
        <v>3</v>
      </c>
      <c r="B20" s="147" t="s">
        <v>480</v>
      </c>
      <c r="C20" s="147"/>
      <c r="D20" s="148">
        <f>SUM(D18:D19)</f>
        <v>34646</v>
      </c>
      <c r="E20" s="148">
        <f>SUM(E18:E19)</f>
        <v>22943.070000000003</v>
      </c>
      <c r="F20" s="148">
        <f>SUM(F18:F19)</f>
        <v>98097.333333333343</v>
      </c>
      <c r="G20" s="148">
        <f>SUM(G18:G19)</f>
        <v>121040.40333333335</v>
      </c>
      <c r="H20" s="148">
        <f>SUM(H18:H19)</f>
        <v>86394.40333333335</v>
      </c>
      <c r="I20" s="149"/>
      <c r="J20" s="150"/>
    </row>
    <row r="21" spans="1:10" collapsed="1" x14ac:dyDescent="0.3">
      <c r="A21" s="153" t="s">
        <v>534</v>
      </c>
      <c r="B21" s="154"/>
      <c r="C21" s="154"/>
      <c r="D21" s="155">
        <f>SUM(D17,D20)</f>
        <v>116236</v>
      </c>
      <c r="E21" s="155">
        <f>SUM(E17,E20)</f>
        <v>22943.070000000003</v>
      </c>
      <c r="F21" s="155">
        <f>SUM(F17,F20)</f>
        <v>179687.33333333334</v>
      </c>
      <c r="G21" s="155">
        <f>SUM(G17,G20)</f>
        <v>202630.40333333335</v>
      </c>
      <c r="H21" s="155">
        <f>SUM(H17,H20)</f>
        <v>86394.40333333335</v>
      </c>
      <c r="I21" s="149"/>
      <c r="J21" s="150"/>
    </row>
    <row r="22" spans="1:10" ht="28.8" hidden="1" outlineLevel="2" x14ac:dyDescent="0.3">
      <c r="A22" s="140" t="s">
        <v>4</v>
      </c>
      <c r="B22" s="141" t="s">
        <v>49</v>
      </c>
      <c r="C22" s="141" t="s">
        <v>58</v>
      </c>
      <c r="D22" s="142">
        <v>36345</v>
      </c>
      <c r="E22" s="142">
        <v>9883.380000000001</v>
      </c>
      <c r="F22" s="142">
        <v>27258.750000000004</v>
      </c>
      <c r="G22" s="142">
        <f t="shared" ref="G22:G37" si="0">E22+F22</f>
        <v>37142.130000000005</v>
      </c>
      <c r="H22" s="142">
        <f t="shared" ref="H22:H37" si="1">G22-D22</f>
        <v>797.13000000000466</v>
      </c>
      <c r="I22" s="151" t="s">
        <v>653</v>
      </c>
      <c r="J22" s="152" t="s">
        <v>532</v>
      </c>
    </row>
    <row r="23" spans="1:10" ht="28.8" hidden="1" outlineLevel="2" x14ac:dyDescent="0.3">
      <c r="A23" s="140" t="s">
        <v>4</v>
      </c>
      <c r="B23" s="141" t="s">
        <v>49</v>
      </c>
      <c r="C23" s="141" t="s">
        <v>59</v>
      </c>
      <c r="D23" s="142">
        <v>4230</v>
      </c>
      <c r="E23" s="142">
        <v>1861.8799999999999</v>
      </c>
      <c r="F23" s="142">
        <v>2465</v>
      </c>
      <c r="G23" s="142">
        <f t="shared" si="0"/>
        <v>4326.88</v>
      </c>
      <c r="H23" s="142">
        <f t="shared" si="1"/>
        <v>96.880000000000109</v>
      </c>
      <c r="I23" s="151" t="s">
        <v>653</v>
      </c>
      <c r="J23" s="152" t="s">
        <v>532</v>
      </c>
    </row>
    <row r="24" spans="1:10" ht="28.8" hidden="1" outlineLevel="2" x14ac:dyDescent="0.3">
      <c r="A24" s="140" t="s">
        <v>4</v>
      </c>
      <c r="B24" s="141" t="s">
        <v>49</v>
      </c>
      <c r="C24" s="141" t="s">
        <v>60</v>
      </c>
      <c r="D24" s="142">
        <v>2863</v>
      </c>
      <c r="E24" s="142">
        <v>0</v>
      </c>
      <c r="F24" s="142">
        <v>2863</v>
      </c>
      <c r="G24" s="142">
        <f t="shared" si="0"/>
        <v>2863</v>
      </c>
      <c r="H24" s="142">
        <f t="shared" si="1"/>
        <v>0</v>
      </c>
      <c r="I24" s="151" t="s">
        <v>653</v>
      </c>
      <c r="J24" s="152" t="s">
        <v>532</v>
      </c>
    </row>
    <row r="25" spans="1:10" ht="28.8" hidden="1" outlineLevel="2" x14ac:dyDescent="0.3">
      <c r="A25" s="140" t="s">
        <v>4</v>
      </c>
      <c r="B25" s="141" t="s">
        <v>49</v>
      </c>
      <c r="C25" s="141" t="s">
        <v>57</v>
      </c>
      <c r="D25" s="142">
        <v>180000</v>
      </c>
      <c r="E25" s="142">
        <v>55025.7</v>
      </c>
      <c r="F25" s="142">
        <v>110075</v>
      </c>
      <c r="G25" s="142">
        <f t="shared" si="0"/>
        <v>165100.70000000001</v>
      </c>
      <c r="H25" s="142">
        <f t="shared" si="1"/>
        <v>-14899.299999999988</v>
      </c>
      <c r="I25" s="145" t="s">
        <v>654</v>
      </c>
      <c r="J25" s="144" t="s">
        <v>531</v>
      </c>
    </row>
    <row r="26" spans="1:10" ht="43.2" hidden="1" outlineLevel="2" x14ac:dyDescent="0.3">
      <c r="A26" s="140" t="s">
        <v>4</v>
      </c>
      <c r="B26" s="141" t="s">
        <v>49</v>
      </c>
      <c r="C26" s="141" t="s">
        <v>61</v>
      </c>
      <c r="D26" s="142">
        <v>1674</v>
      </c>
      <c r="E26" s="142">
        <v>0</v>
      </c>
      <c r="F26" s="142">
        <v>0</v>
      </c>
      <c r="G26" s="142">
        <f t="shared" si="0"/>
        <v>0</v>
      </c>
      <c r="H26" s="142">
        <f t="shared" si="1"/>
        <v>-1674</v>
      </c>
      <c r="I26" s="145" t="s">
        <v>655</v>
      </c>
      <c r="J26" s="144" t="s">
        <v>158</v>
      </c>
    </row>
    <row r="27" spans="1:10" ht="28.8" hidden="1" outlineLevel="2" x14ac:dyDescent="0.3">
      <c r="A27" s="140" t="s">
        <v>4</v>
      </c>
      <c r="B27" s="141" t="s">
        <v>49</v>
      </c>
      <c r="C27" s="141" t="s">
        <v>62</v>
      </c>
      <c r="D27" s="142">
        <v>7043</v>
      </c>
      <c r="E27" s="142">
        <v>3133.6658999999995</v>
      </c>
      <c r="F27" s="142">
        <v>4108</v>
      </c>
      <c r="G27" s="142">
        <f t="shared" si="0"/>
        <v>7241.6659</v>
      </c>
      <c r="H27" s="142">
        <f t="shared" si="1"/>
        <v>198.66589999999997</v>
      </c>
      <c r="I27" s="151" t="s">
        <v>653</v>
      </c>
      <c r="J27" s="152" t="s">
        <v>532</v>
      </c>
    </row>
    <row r="28" spans="1:10" ht="28.8" hidden="1" outlineLevel="2" x14ac:dyDescent="0.3">
      <c r="A28" s="140" t="s">
        <v>4</v>
      </c>
      <c r="B28" s="141" t="s">
        <v>49</v>
      </c>
      <c r="C28" s="141" t="s">
        <v>63</v>
      </c>
      <c r="D28" s="142">
        <v>35314</v>
      </c>
      <c r="E28" s="142">
        <v>15103.55</v>
      </c>
      <c r="F28" s="142">
        <v>20599</v>
      </c>
      <c r="G28" s="142">
        <f t="shared" si="0"/>
        <v>35702.550000000003</v>
      </c>
      <c r="H28" s="142">
        <f t="shared" si="1"/>
        <v>388.55000000000291</v>
      </c>
      <c r="I28" s="151" t="s">
        <v>653</v>
      </c>
      <c r="J28" s="152" t="s">
        <v>532</v>
      </c>
    </row>
    <row r="29" spans="1:10" ht="28.8" hidden="1" outlineLevel="2" x14ac:dyDescent="0.3">
      <c r="A29" s="140" t="s">
        <v>4</v>
      </c>
      <c r="B29" s="141" t="s">
        <v>49</v>
      </c>
      <c r="C29" s="141" t="s">
        <v>64</v>
      </c>
      <c r="D29" s="142">
        <v>18865</v>
      </c>
      <c r="E29" s="142">
        <v>6681.98</v>
      </c>
      <c r="F29" s="142">
        <v>12829</v>
      </c>
      <c r="G29" s="142">
        <f t="shared" si="0"/>
        <v>19510.98</v>
      </c>
      <c r="H29" s="142">
        <f t="shared" si="1"/>
        <v>645.97999999999956</v>
      </c>
      <c r="I29" s="151" t="s">
        <v>653</v>
      </c>
      <c r="J29" s="152" t="s">
        <v>532</v>
      </c>
    </row>
    <row r="30" spans="1:10" ht="28.8" hidden="1" outlineLevel="2" x14ac:dyDescent="0.3">
      <c r="A30" s="140" t="s">
        <v>4</v>
      </c>
      <c r="B30" s="141" t="s">
        <v>49</v>
      </c>
      <c r="C30" s="141" t="s">
        <v>65</v>
      </c>
      <c r="D30" s="142">
        <v>25439</v>
      </c>
      <c r="E30" s="142">
        <v>10096.52</v>
      </c>
      <c r="F30" s="142">
        <v>14839.416666666664</v>
      </c>
      <c r="G30" s="142">
        <f t="shared" si="0"/>
        <v>24935.936666666665</v>
      </c>
      <c r="H30" s="142">
        <f t="shared" si="1"/>
        <v>-503.06333333333532</v>
      </c>
      <c r="I30" s="151" t="s">
        <v>653</v>
      </c>
      <c r="J30" s="152" t="s">
        <v>532</v>
      </c>
    </row>
    <row r="31" spans="1:10" ht="28.8" hidden="1" outlineLevel="2" x14ac:dyDescent="0.3">
      <c r="A31" s="140" t="s">
        <v>4</v>
      </c>
      <c r="B31" s="141" t="s">
        <v>49</v>
      </c>
      <c r="C31" s="141" t="s">
        <v>66</v>
      </c>
      <c r="D31" s="142">
        <v>34537</v>
      </c>
      <c r="E31" s="142">
        <v>13707.25</v>
      </c>
      <c r="F31" s="142">
        <v>20146.583333333332</v>
      </c>
      <c r="G31" s="142">
        <f t="shared" si="0"/>
        <v>33853.833333333328</v>
      </c>
      <c r="H31" s="142">
        <f t="shared" si="1"/>
        <v>-683.16666666667152</v>
      </c>
      <c r="I31" s="151" t="s">
        <v>653</v>
      </c>
      <c r="J31" s="152" t="s">
        <v>532</v>
      </c>
    </row>
    <row r="32" spans="1:10" ht="28.8" hidden="1" outlineLevel="2" x14ac:dyDescent="0.3">
      <c r="A32" s="140" t="s">
        <v>4</v>
      </c>
      <c r="B32" s="141" t="s">
        <v>49</v>
      </c>
      <c r="C32" s="141" t="s">
        <v>67</v>
      </c>
      <c r="D32" s="142">
        <v>7500000</v>
      </c>
      <c r="E32" s="142">
        <v>3127568.56</v>
      </c>
      <c r="F32" s="142">
        <v>4372431</v>
      </c>
      <c r="G32" s="142">
        <f t="shared" si="0"/>
        <v>7499999.5600000005</v>
      </c>
      <c r="H32" s="142">
        <f t="shared" si="1"/>
        <v>-0.43999999947845936</v>
      </c>
      <c r="I32" s="151" t="s">
        <v>653</v>
      </c>
      <c r="J32" s="152" t="s">
        <v>532</v>
      </c>
    </row>
    <row r="33" spans="1:10" ht="28.8" hidden="1" outlineLevel="2" x14ac:dyDescent="0.3">
      <c r="A33" s="140" t="s">
        <v>4</v>
      </c>
      <c r="B33" s="141" t="s">
        <v>49</v>
      </c>
      <c r="C33" s="141" t="s">
        <v>68</v>
      </c>
      <c r="D33" s="142">
        <v>52500</v>
      </c>
      <c r="E33" s="142">
        <v>0</v>
      </c>
      <c r="F33" s="142">
        <v>52500</v>
      </c>
      <c r="G33" s="142">
        <f t="shared" si="0"/>
        <v>52500</v>
      </c>
      <c r="H33" s="142">
        <f t="shared" si="1"/>
        <v>0</v>
      </c>
      <c r="I33" s="151" t="s">
        <v>653</v>
      </c>
      <c r="J33" s="152" t="s">
        <v>532</v>
      </c>
    </row>
    <row r="34" spans="1:10" ht="28.8" hidden="1" outlineLevel="2" x14ac:dyDescent="0.3">
      <c r="A34" s="140" t="s">
        <v>4</v>
      </c>
      <c r="B34" s="141" t="s">
        <v>49</v>
      </c>
      <c r="C34" s="141" t="s">
        <v>69</v>
      </c>
      <c r="D34" s="142">
        <v>3150</v>
      </c>
      <c r="E34" s="142">
        <v>3000</v>
      </c>
      <c r="F34" s="142">
        <v>0</v>
      </c>
      <c r="G34" s="142">
        <f t="shared" si="0"/>
        <v>3000</v>
      </c>
      <c r="H34" s="142">
        <f t="shared" si="1"/>
        <v>-150</v>
      </c>
      <c r="I34" s="151" t="s">
        <v>653</v>
      </c>
      <c r="J34" s="152" t="s">
        <v>532</v>
      </c>
    </row>
    <row r="35" spans="1:10" ht="28.8" hidden="1" outlineLevel="2" x14ac:dyDescent="0.3">
      <c r="A35" s="140" t="s">
        <v>4</v>
      </c>
      <c r="B35" s="141" t="s">
        <v>49</v>
      </c>
      <c r="C35" s="141" t="s">
        <v>70</v>
      </c>
      <c r="D35" s="142">
        <v>0</v>
      </c>
      <c r="E35" s="142">
        <v>139.94</v>
      </c>
      <c r="F35" s="142">
        <v>0</v>
      </c>
      <c r="G35" s="142">
        <f t="shared" si="0"/>
        <v>139.94</v>
      </c>
      <c r="H35" s="142">
        <f t="shared" si="1"/>
        <v>139.94</v>
      </c>
      <c r="I35" s="151" t="s">
        <v>653</v>
      </c>
      <c r="J35" s="152" t="s">
        <v>532</v>
      </c>
    </row>
    <row r="36" spans="1:10" ht="43.2" hidden="1" outlineLevel="2" x14ac:dyDescent="0.3">
      <c r="A36" s="140" t="s">
        <v>4</v>
      </c>
      <c r="B36" s="141" t="s">
        <v>49</v>
      </c>
      <c r="C36" s="141" t="s">
        <v>71</v>
      </c>
      <c r="D36" s="142">
        <v>421713.07500000007</v>
      </c>
      <c r="E36" s="142">
        <v>122576.03</v>
      </c>
      <c r="F36" s="142">
        <v>285316.66666666663</v>
      </c>
      <c r="G36" s="142">
        <f t="shared" si="0"/>
        <v>407892.69666666666</v>
      </c>
      <c r="H36" s="142">
        <f t="shared" si="1"/>
        <v>-13820.378333333414</v>
      </c>
      <c r="I36" s="145" t="s">
        <v>656</v>
      </c>
      <c r="J36" s="144" t="s">
        <v>531</v>
      </c>
    </row>
    <row r="37" spans="1:10" ht="28.8" hidden="1" outlineLevel="2" x14ac:dyDescent="0.3">
      <c r="A37" s="140" t="s">
        <v>4</v>
      </c>
      <c r="B37" s="141" t="s">
        <v>49</v>
      </c>
      <c r="C37" s="141" t="s">
        <v>72</v>
      </c>
      <c r="D37" s="142">
        <v>15750</v>
      </c>
      <c r="E37" s="142">
        <v>0</v>
      </c>
      <c r="F37" s="142">
        <v>15750</v>
      </c>
      <c r="G37" s="142">
        <f t="shared" si="0"/>
        <v>15750</v>
      </c>
      <c r="H37" s="142">
        <f t="shared" si="1"/>
        <v>0</v>
      </c>
      <c r="I37" s="151" t="s">
        <v>653</v>
      </c>
      <c r="J37" s="152" t="s">
        <v>532</v>
      </c>
    </row>
    <row r="38" spans="1:10" hidden="1" outlineLevel="1" x14ac:dyDescent="0.3">
      <c r="A38" s="146" t="s">
        <v>4</v>
      </c>
      <c r="B38" s="147" t="s">
        <v>480</v>
      </c>
      <c r="C38" s="147"/>
      <c r="D38" s="148">
        <f>SUM(D22:D37)</f>
        <v>8339423.0750000002</v>
      </c>
      <c r="E38" s="148">
        <f>SUM(E22:E37)</f>
        <v>3368778.4558999999</v>
      </c>
      <c r="F38" s="148">
        <f>SUM(F22:F37)</f>
        <v>4941181.416666667</v>
      </c>
      <c r="G38" s="148">
        <f>SUM(G22:G37)</f>
        <v>8309959.8725666674</v>
      </c>
      <c r="H38" s="148">
        <f>SUM(H22:H37)</f>
        <v>-29463.202433332881</v>
      </c>
      <c r="I38" s="149"/>
      <c r="J38" s="150"/>
    </row>
    <row r="39" spans="1:10" ht="28.8" hidden="1" outlineLevel="2" x14ac:dyDescent="0.3">
      <c r="A39" s="140" t="s">
        <v>4</v>
      </c>
      <c r="B39" s="141" t="s">
        <v>53</v>
      </c>
      <c r="C39" s="141" t="s">
        <v>357</v>
      </c>
      <c r="D39" s="142">
        <v>292</v>
      </c>
      <c r="E39" s="142">
        <v>0</v>
      </c>
      <c r="F39" s="142">
        <v>292</v>
      </c>
      <c r="G39" s="142">
        <f>E39+F39</f>
        <v>292</v>
      </c>
      <c r="H39" s="142">
        <f>G39-D39</f>
        <v>0</v>
      </c>
      <c r="I39" s="151" t="s">
        <v>653</v>
      </c>
      <c r="J39" s="152" t="s">
        <v>532</v>
      </c>
    </row>
    <row r="40" spans="1:10" ht="28.8" hidden="1" outlineLevel="2" x14ac:dyDescent="0.3">
      <c r="A40" s="140" t="s">
        <v>4</v>
      </c>
      <c r="B40" s="141" t="s">
        <v>53</v>
      </c>
      <c r="C40" s="141" t="s">
        <v>359</v>
      </c>
      <c r="D40" s="142">
        <v>2900</v>
      </c>
      <c r="E40" s="142">
        <v>1912.75</v>
      </c>
      <c r="F40" s="142">
        <v>987</v>
      </c>
      <c r="G40" s="142">
        <f>E40+F40</f>
        <v>2899.75</v>
      </c>
      <c r="H40" s="142">
        <f>G40-D40</f>
        <v>-0.25</v>
      </c>
      <c r="I40" s="151" t="s">
        <v>653</v>
      </c>
      <c r="J40" s="152" t="s">
        <v>532</v>
      </c>
    </row>
    <row r="41" spans="1:10" hidden="1" outlineLevel="1" x14ac:dyDescent="0.3">
      <c r="A41" s="146" t="s">
        <v>4</v>
      </c>
      <c r="B41" s="147" t="s">
        <v>484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>SUM(G39:G40)</f>
        <v>3191.75</v>
      </c>
      <c r="H41" s="148">
        <f>SUM(H39:H40)</f>
        <v>-0.25</v>
      </c>
      <c r="I41" s="149"/>
      <c r="J41" s="150"/>
    </row>
    <row r="42" spans="1:10" collapsed="1" x14ac:dyDescent="0.3">
      <c r="A42" s="153" t="s">
        <v>536</v>
      </c>
      <c r="B42" s="154"/>
      <c r="C42" s="154"/>
      <c r="D42" s="155">
        <f>SUM(D38,D41)</f>
        <v>8342615.0750000002</v>
      </c>
      <c r="E42" s="155">
        <f>SUM(E38,E41)</f>
        <v>3370691.2058999999</v>
      </c>
      <c r="F42" s="155">
        <f>SUM(F38,F41)</f>
        <v>4942460.416666667</v>
      </c>
      <c r="G42" s="155">
        <f>SUM(G38,G41)</f>
        <v>8313151.6225666674</v>
      </c>
      <c r="H42" s="155">
        <f>SUM(H38,H41)</f>
        <v>-29463.452433332881</v>
      </c>
      <c r="I42" s="149"/>
      <c r="J42" s="150"/>
    </row>
    <row r="43" spans="1:10" ht="57.6" hidden="1" outlineLevel="2" x14ac:dyDescent="0.3">
      <c r="A43" s="140" t="s">
        <v>46</v>
      </c>
      <c r="B43" s="141" t="s">
        <v>48</v>
      </c>
      <c r="C43" s="141" t="s">
        <v>73</v>
      </c>
      <c r="D43" s="142">
        <v>1438080</v>
      </c>
      <c r="E43" s="142">
        <v>638729</v>
      </c>
      <c r="F43" s="142">
        <v>838880</v>
      </c>
      <c r="G43" s="142">
        <f>E43+F43</f>
        <v>1477609</v>
      </c>
      <c r="H43" s="142">
        <f>G43-D43</f>
        <v>39529</v>
      </c>
      <c r="I43" s="145" t="s">
        <v>657</v>
      </c>
      <c r="J43" s="144" t="s">
        <v>535</v>
      </c>
    </row>
    <row r="44" spans="1:10" ht="72" hidden="1" outlineLevel="2" x14ac:dyDescent="0.3">
      <c r="A44" s="140" t="s">
        <v>46</v>
      </c>
      <c r="B44" s="141" t="s">
        <v>48</v>
      </c>
      <c r="C44" s="141" t="s">
        <v>181</v>
      </c>
      <c r="D44" s="142">
        <v>403200</v>
      </c>
      <c r="E44" s="142">
        <v>323563.92</v>
      </c>
      <c r="F44" s="142">
        <v>235200</v>
      </c>
      <c r="G44" s="142">
        <f>E44+F44</f>
        <v>558763.91999999993</v>
      </c>
      <c r="H44" s="142">
        <f>G44-D44</f>
        <v>155563.91999999993</v>
      </c>
      <c r="I44" s="95" t="s">
        <v>658</v>
      </c>
      <c r="J44" s="158" t="s">
        <v>535</v>
      </c>
    </row>
    <row r="45" spans="1:10" ht="72" hidden="1" outlineLevel="2" x14ac:dyDescent="0.3">
      <c r="A45" s="140" t="s">
        <v>46</v>
      </c>
      <c r="B45" s="141" t="s">
        <v>48</v>
      </c>
      <c r="C45" s="141" t="s">
        <v>207</v>
      </c>
      <c r="D45" s="142">
        <v>216000</v>
      </c>
      <c r="E45" s="142">
        <v>312400</v>
      </c>
      <c r="F45" s="142">
        <v>1733600</v>
      </c>
      <c r="G45" s="142">
        <f>E45+F45</f>
        <v>2046000</v>
      </c>
      <c r="H45" s="142">
        <f>G45-D45</f>
        <v>1830000</v>
      </c>
      <c r="I45" s="156" t="s">
        <v>659</v>
      </c>
      <c r="J45" s="157" t="s">
        <v>41</v>
      </c>
    </row>
    <row r="46" spans="1:10" ht="72" hidden="1" outlineLevel="2" x14ac:dyDescent="0.3">
      <c r="A46" s="140" t="s">
        <v>46</v>
      </c>
      <c r="B46" s="141" t="s">
        <v>48</v>
      </c>
      <c r="C46" s="141" t="s">
        <v>341</v>
      </c>
      <c r="D46" s="142">
        <v>940800</v>
      </c>
      <c r="E46" s="142">
        <v>718868</v>
      </c>
      <c r="F46" s="142">
        <v>763520</v>
      </c>
      <c r="G46" s="142">
        <f>E46+F46</f>
        <v>1482388</v>
      </c>
      <c r="H46" s="142">
        <f>G46-D46</f>
        <v>541588</v>
      </c>
      <c r="I46" s="156" t="s">
        <v>660</v>
      </c>
      <c r="J46" s="157" t="s">
        <v>41</v>
      </c>
    </row>
    <row r="47" spans="1:10" hidden="1" outlineLevel="1" x14ac:dyDescent="0.3">
      <c r="A47" s="146" t="s">
        <v>46</v>
      </c>
      <c r="B47" s="147" t="s">
        <v>479</v>
      </c>
      <c r="C47" s="147"/>
      <c r="D47" s="148">
        <f>SUM(D43:D46)</f>
        <v>2998080</v>
      </c>
      <c r="E47" s="148">
        <f>SUM(E43:E46)</f>
        <v>1993560.92</v>
      </c>
      <c r="F47" s="148">
        <f>SUM(F43:F46)</f>
        <v>3571200</v>
      </c>
      <c r="G47" s="148">
        <f>SUM(G43:G46)</f>
        <v>5564760.9199999999</v>
      </c>
      <c r="H47" s="148">
        <f>SUM(H43:H46)</f>
        <v>2566680.92</v>
      </c>
      <c r="I47" s="149"/>
      <c r="J47" s="150"/>
    </row>
    <row r="48" spans="1:10" ht="28.8" hidden="1" outlineLevel="2" x14ac:dyDescent="0.3">
      <c r="A48" s="140" t="s">
        <v>46</v>
      </c>
      <c r="B48" s="141" t="s">
        <v>49</v>
      </c>
      <c r="C48" s="141" t="s">
        <v>73</v>
      </c>
      <c r="D48" s="142">
        <v>414080</v>
      </c>
      <c r="E48" s="142">
        <v>182644</v>
      </c>
      <c r="F48" s="142">
        <v>174080</v>
      </c>
      <c r="G48" s="142">
        <f>E48+F48</f>
        <v>356724</v>
      </c>
      <c r="H48" s="142">
        <f>G48-D48</f>
        <v>-57356</v>
      </c>
      <c r="I48" s="145" t="s">
        <v>661</v>
      </c>
      <c r="J48" s="144" t="s">
        <v>531</v>
      </c>
    </row>
    <row r="49" spans="1:10" hidden="1" outlineLevel="1" x14ac:dyDescent="0.3">
      <c r="A49" s="146" t="s">
        <v>46</v>
      </c>
      <c r="B49" s="147" t="s">
        <v>480</v>
      </c>
      <c r="C49" s="147"/>
      <c r="D49" s="148">
        <f>SUM(D48:D48)</f>
        <v>414080</v>
      </c>
      <c r="E49" s="148">
        <f>SUM(E48:E48)</f>
        <v>182644</v>
      </c>
      <c r="F49" s="148">
        <f>SUM(F48:F48)</f>
        <v>174080</v>
      </c>
      <c r="G49" s="148">
        <f>SUM(G48:G48)</f>
        <v>356724</v>
      </c>
      <c r="H49" s="148">
        <f>SUM(H48:H48)</f>
        <v>-57356</v>
      </c>
      <c r="I49" s="149"/>
      <c r="J49" s="150"/>
    </row>
    <row r="50" spans="1:10" ht="72" hidden="1" outlineLevel="2" x14ac:dyDescent="0.3">
      <c r="A50" s="140" t="s">
        <v>46</v>
      </c>
      <c r="B50" s="141" t="s">
        <v>50</v>
      </c>
      <c r="C50" s="141" t="s">
        <v>73</v>
      </c>
      <c r="D50" s="142">
        <v>1505280</v>
      </c>
      <c r="E50" s="142">
        <v>527296</v>
      </c>
      <c r="F50" s="142">
        <v>641480</v>
      </c>
      <c r="G50" s="142">
        <f>E50+F50</f>
        <v>1168776</v>
      </c>
      <c r="H50" s="142">
        <f>G50-D50</f>
        <v>-336504</v>
      </c>
      <c r="I50" s="145" t="s">
        <v>662</v>
      </c>
      <c r="J50" s="144" t="s">
        <v>531</v>
      </c>
    </row>
    <row r="51" spans="1:10" ht="43.2" hidden="1" outlineLevel="2" x14ac:dyDescent="0.3">
      <c r="A51" s="140" t="s">
        <v>46</v>
      </c>
      <c r="B51" s="141" t="s">
        <v>50</v>
      </c>
      <c r="C51" s="141" t="s">
        <v>181</v>
      </c>
      <c r="D51" s="142">
        <v>252000</v>
      </c>
      <c r="E51" s="142">
        <v>97650</v>
      </c>
      <c r="F51" s="142">
        <v>147000</v>
      </c>
      <c r="G51" s="142">
        <f>E51+F51</f>
        <v>244650</v>
      </c>
      <c r="H51" s="142">
        <f>G51-D51</f>
        <v>-7350</v>
      </c>
      <c r="I51" s="145" t="s">
        <v>663</v>
      </c>
      <c r="J51" s="144" t="s">
        <v>531</v>
      </c>
    </row>
    <row r="52" spans="1:10" hidden="1" outlineLevel="1" x14ac:dyDescent="0.3">
      <c r="A52" s="146" t="s">
        <v>46</v>
      </c>
      <c r="B52" s="147" t="s">
        <v>481</v>
      </c>
      <c r="C52" s="147"/>
      <c r="D52" s="148">
        <f>SUM(D50:D51)</f>
        <v>1757280</v>
      </c>
      <c r="E52" s="148">
        <f>SUM(E50:E51)</f>
        <v>624946</v>
      </c>
      <c r="F52" s="148">
        <f>SUM(F50:F51)</f>
        <v>788480</v>
      </c>
      <c r="G52" s="148">
        <f>SUM(G50:G51)</f>
        <v>1413426</v>
      </c>
      <c r="H52" s="148">
        <f>SUM(H50:H51)</f>
        <v>-343854</v>
      </c>
      <c r="I52" s="149"/>
      <c r="J52" s="150"/>
    </row>
    <row r="53" spans="1:10" ht="57.6" hidden="1" outlineLevel="2" x14ac:dyDescent="0.3">
      <c r="A53" s="140" t="s">
        <v>46</v>
      </c>
      <c r="B53" s="141" t="s">
        <v>51</v>
      </c>
      <c r="C53" s="141" t="s">
        <v>181</v>
      </c>
      <c r="D53" s="142">
        <v>830400</v>
      </c>
      <c r="E53" s="142">
        <v>153040</v>
      </c>
      <c r="F53" s="142">
        <v>398400</v>
      </c>
      <c r="G53" s="142">
        <f>E53+F53</f>
        <v>551440</v>
      </c>
      <c r="H53" s="142">
        <f>G53-D53</f>
        <v>-278960</v>
      </c>
      <c r="I53" s="145" t="s">
        <v>664</v>
      </c>
      <c r="J53" s="144" t="s">
        <v>531</v>
      </c>
    </row>
    <row r="54" spans="1:10" hidden="1" outlineLevel="1" x14ac:dyDescent="0.3">
      <c r="A54" s="146" t="s">
        <v>46</v>
      </c>
      <c r="B54" s="147" t="s">
        <v>482</v>
      </c>
      <c r="C54" s="147"/>
      <c r="D54" s="148">
        <f>SUM(D53:D53)</f>
        <v>830400</v>
      </c>
      <c r="E54" s="148">
        <f>SUM(E53:E53)</f>
        <v>153040</v>
      </c>
      <c r="F54" s="148">
        <f>SUM(F53:F53)</f>
        <v>398400</v>
      </c>
      <c r="G54" s="148">
        <f>SUM(G53:G53)</f>
        <v>551440</v>
      </c>
      <c r="H54" s="148">
        <f>SUM(H53:H53)</f>
        <v>-278960</v>
      </c>
      <c r="I54" s="149"/>
      <c r="J54" s="150"/>
    </row>
    <row r="55" spans="1:10" ht="57.6" hidden="1" outlineLevel="2" x14ac:dyDescent="0.3">
      <c r="A55" s="140" t="s">
        <v>46</v>
      </c>
      <c r="B55" s="141" t="s">
        <v>53</v>
      </c>
      <c r="C55" s="141" t="s">
        <v>73</v>
      </c>
      <c r="D55" s="142">
        <v>291840</v>
      </c>
      <c r="E55" s="142">
        <v>136957</v>
      </c>
      <c r="F55" s="142">
        <v>226640</v>
      </c>
      <c r="G55" s="142">
        <f>E55+F55</f>
        <v>363597</v>
      </c>
      <c r="H55" s="142">
        <f>G55-D55</f>
        <v>71757</v>
      </c>
      <c r="I55" s="156" t="s">
        <v>665</v>
      </c>
      <c r="J55" s="157" t="s">
        <v>41</v>
      </c>
    </row>
    <row r="56" spans="1:10" ht="57.6" hidden="1" outlineLevel="2" x14ac:dyDescent="0.3">
      <c r="A56" s="140" t="s">
        <v>46</v>
      </c>
      <c r="B56" s="141" t="s">
        <v>53</v>
      </c>
      <c r="C56" s="141" t="s">
        <v>181</v>
      </c>
      <c r="D56" s="142">
        <v>161280</v>
      </c>
      <c r="E56" s="142">
        <v>46096</v>
      </c>
      <c r="F56" s="142">
        <v>38080</v>
      </c>
      <c r="G56" s="142">
        <f>E56+F56</f>
        <v>84176</v>
      </c>
      <c r="H56" s="142">
        <f>G56-D56</f>
        <v>-77104</v>
      </c>
      <c r="I56" s="145" t="s">
        <v>666</v>
      </c>
      <c r="J56" s="144" t="s">
        <v>158</v>
      </c>
    </row>
    <row r="57" spans="1:10" ht="43.2" hidden="1" outlineLevel="2" x14ac:dyDescent="0.3">
      <c r="A57" s="140" t="s">
        <v>46</v>
      </c>
      <c r="B57" s="141" t="s">
        <v>53</v>
      </c>
      <c r="C57" s="141" t="s">
        <v>185</v>
      </c>
      <c r="D57" s="142">
        <v>218880</v>
      </c>
      <c r="E57" s="142">
        <v>85892</v>
      </c>
      <c r="F57" s="142">
        <v>127680</v>
      </c>
      <c r="G57" s="142">
        <f>E57+F57</f>
        <v>213572</v>
      </c>
      <c r="H57" s="142">
        <f>G57-D57</f>
        <v>-5308</v>
      </c>
      <c r="I57" s="145" t="s">
        <v>667</v>
      </c>
      <c r="J57" s="144" t="s">
        <v>531</v>
      </c>
    </row>
    <row r="58" spans="1:10" hidden="1" outlineLevel="1" x14ac:dyDescent="0.3">
      <c r="A58" s="146" t="s">
        <v>46</v>
      </c>
      <c r="B58" s="147" t="s">
        <v>484</v>
      </c>
      <c r="C58" s="147"/>
      <c r="D58" s="148">
        <f>SUM(D55:D57)</f>
        <v>672000</v>
      </c>
      <c r="E58" s="148">
        <f>SUM(E55:E57)</f>
        <v>268945</v>
      </c>
      <c r="F58" s="148">
        <f>SUM(F55:F57)</f>
        <v>392400</v>
      </c>
      <c r="G58" s="148">
        <f>SUM(G55:G57)</f>
        <v>661345</v>
      </c>
      <c r="H58" s="148">
        <f>SUM(H55:H57)</f>
        <v>-10655</v>
      </c>
      <c r="I58" s="149"/>
      <c r="J58" s="150"/>
    </row>
    <row r="59" spans="1:10" collapsed="1" x14ac:dyDescent="0.3">
      <c r="A59" s="153" t="s">
        <v>537</v>
      </c>
      <c r="B59" s="154"/>
      <c r="C59" s="154"/>
      <c r="D59" s="155">
        <f>SUM(D47,D49,D52,D54,D58)</f>
        <v>6671840</v>
      </c>
      <c r="E59" s="155">
        <f>SUM(E47,E49,E52,E54,E58)</f>
        <v>3223135.92</v>
      </c>
      <c r="F59" s="155">
        <f>SUM(F47,F49,F52,F54,F58)</f>
        <v>5324560</v>
      </c>
      <c r="G59" s="155">
        <f>SUM(G47,G49,G52,G54,G58)</f>
        <v>8547695.9199999999</v>
      </c>
      <c r="H59" s="155">
        <f>SUM(H47,H49,H52,H54,H58)</f>
        <v>1875855.92</v>
      </c>
      <c r="I59" s="149"/>
      <c r="J59" s="150"/>
    </row>
    <row r="60" spans="1:10" ht="43.2" hidden="1" outlineLevel="2" x14ac:dyDescent="0.3">
      <c r="A60" s="140" t="s">
        <v>5</v>
      </c>
      <c r="B60" s="141" t="s">
        <v>48</v>
      </c>
      <c r="C60" s="141" t="s">
        <v>181</v>
      </c>
      <c r="D60" s="142">
        <v>1524552</v>
      </c>
      <c r="E60" s="142">
        <v>566480</v>
      </c>
      <c r="F60" s="142">
        <v>1044659</v>
      </c>
      <c r="G60" s="142">
        <f>E60+F60</f>
        <v>1611139</v>
      </c>
      <c r="H60" s="142">
        <f>G60-D60</f>
        <v>86587</v>
      </c>
      <c r="I60" s="159" t="s">
        <v>668</v>
      </c>
      <c r="J60" s="158" t="s">
        <v>41</v>
      </c>
    </row>
    <row r="61" spans="1:10" ht="28.8" hidden="1" outlineLevel="2" x14ac:dyDescent="0.3">
      <c r="A61" s="140" t="s">
        <v>5</v>
      </c>
      <c r="B61" s="141" t="s">
        <v>48</v>
      </c>
      <c r="C61" s="141" t="s">
        <v>207</v>
      </c>
      <c r="D61" s="142">
        <v>281039.33999999997</v>
      </c>
      <c r="E61" s="142">
        <v>111814</v>
      </c>
      <c r="F61" s="142">
        <v>165581</v>
      </c>
      <c r="G61" s="142">
        <f>E61+F61</f>
        <v>277395</v>
      </c>
      <c r="H61" s="142">
        <f>G61-D61</f>
        <v>-3644.3399999999674</v>
      </c>
      <c r="I61" s="145" t="s">
        <v>669</v>
      </c>
      <c r="J61" s="144" t="s">
        <v>531</v>
      </c>
    </row>
    <row r="62" spans="1:10" ht="43.2" hidden="1" outlineLevel="2" x14ac:dyDescent="0.3">
      <c r="A62" s="140" t="s">
        <v>5</v>
      </c>
      <c r="B62" s="141" t="s">
        <v>48</v>
      </c>
      <c r="C62" s="141" t="s">
        <v>191</v>
      </c>
      <c r="D62" s="142">
        <v>190000</v>
      </c>
      <c r="E62" s="142">
        <v>75000</v>
      </c>
      <c r="F62" s="142">
        <v>41650</v>
      </c>
      <c r="G62" s="142">
        <f>E62+F62</f>
        <v>116650</v>
      </c>
      <c r="H62" s="142">
        <f>G62-D62</f>
        <v>-73350</v>
      </c>
      <c r="I62" s="145" t="s">
        <v>670</v>
      </c>
      <c r="J62" s="144" t="s">
        <v>158</v>
      </c>
    </row>
    <row r="63" spans="1:10" hidden="1" outlineLevel="1" x14ac:dyDescent="0.3">
      <c r="A63" s="146" t="s">
        <v>5</v>
      </c>
      <c r="B63" s="147" t="s">
        <v>479</v>
      </c>
      <c r="C63" s="147"/>
      <c r="D63" s="148">
        <f>SUM(D60:D62)</f>
        <v>1995591.3399999999</v>
      </c>
      <c r="E63" s="148">
        <f>SUM(E60:E62)</f>
        <v>753294</v>
      </c>
      <c r="F63" s="148">
        <f>SUM(F60:F62)</f>
        <v>1251890</v>
      </c>
      <c r="G63" s="148">
        <f>SUM(G60:G62)</f>
        <v>2005184</v>
      </c>
      <c r="H63" s="148">
        <f>SUM(H60:H62)</f>
        <v>9592.6600000000326</v>
      </c>
      <c r="I63" s="149"/>
      <c r="J63" s="150"/>
    </row>
    <row r="64" spans="1:10" ht="43.2" hidden="1" outlineLevel="2" x14ac:dyDescent="0.3">
      <c r="A64" s="140" t="s">
        <v>5</v>
      </c>
      <c r="B64" s="141" t="s">
        <v>49</v>
      </c>
      <c r="C64" s="141" t="s">
        <v>74</v>
      </c>
      <c r="D64" s="142">
        <v>178500</v>
      </c>
      <c r="E64" s="142">
        <v>145141.29999999999</v>
      </c>
      <c r="F64" s="142">
        <v>29028.26</v>
      </c>
      <c r="G64" s="142">
        <f>E64+F64</f>
        <v>174169.56</v>
      </c>
      <c r="H64" s="142">
        <f>G64-D64</f>
        <v>-4330.4400000000023</v>
      </c>
      <c r="I64" s="145" t="s">
        <v>671</v>
      </c>
      <c r="J64" s="144" t="s">
        <v>531</v>
      </c>
    </row>
    <row r="65" spans="1:10" hidden="1" outlineLevel="1" x14ac:dyDescent="0.3">
      <c r="A65" s="146" t="s">
        <v>5</v>
      </c>
      <c r="B65" s="147" t="s">
        <v>480</v>
      </c>
      <c r="C65" s="147"/>
      <c r="D65" s="148">
        <f>SUM(D64:D64)</f>
        <v>178500</v>
      </c>
      <c r="E65" s="148">
        <f>SUM(E64:E64)</f>
        <v>145141.29999999999</v>
      </c>
      <c r="F65" s="148">
        <f>SUM(F64:F64)</f>
        <v>29028.26</v>
      </c>
      <c r="G65" s="148">
        <f>SUM(G64:G64)</f>
        <v>174169.56</v>
      </c>
      <c r="H65" s="148">
        <f>SUM(H64:H64)</f>
        <v>-4330.4400000000023</v>
      </c>
      <c r="I65" s="149"/>
      <c r="J65" s="150"/>
    </row>
    <row r="66" spans="1:10" ht="43.2" hidden="1" outlineLevel="2" x14ac:dyDescent="0.3">
      <c r="A66" s="140" t="s">
        <v>5</v>
      </c>
      <c r="B66" s="141" t="s">
        <v>50</v>
      </c>
      <c r="C66" s="141" t="s">
        <v>121</v>
      </c>
      <c r="D66" s="142">
        <v>100000</v>
      </c>
      <c r="E66" s="142">
        <v>46815</v>
      </c>
      <c r="F66" s="142">
        <v>53185</v>
      </c>
      <c r="G66" s="142">
        <f>E66+F66</f>
        <v>100000</v>
      </c>
      <c r="H66" s="142">
        <f>G66-D66</f>
        <v>0</v>
      </c>
      <c r="I66" s="151" t="s">
        <v>672</v>
      </c>
      <c r="J66" s="152" t="s">
        <v>532</v>
      </c>
    </row>
    <row r="67" spans="1:10" hidden="1" outlineLevel="1" x14ac:dyDescent="0.3">
      <c r="A67" s="146" t="s">
        <v>5</v>
      </c>
      <c r="B67" s="147" t="s">
        <v>481</v>
      </c>
      <c r="C67" s="147"/>
      <c r="D67" s="148">
        <f>SUM(D66:D66)</f>
        <v>100000</v>
      </c>
      <c r="E67" s="148">
        <f>SUM(E66:E66)</f>
        <v>46815</v>
      </c>
      <c r="F67" s="148">
        <f>SUM(F66:F66)</f>
        <v>53185</v>
      </c>
      <c r="G67" s="148">
        <f>SUM(G66:G66)</f>
        <v>100000</v>
      </c>
      <c r="H67" s="148">
        <f>SUM(H66:H66)</f>
        <v>0</v>
      </c>
      <c r="I67" s="149"/>
      <c r="J67" s="150"/>
    </row>
    <row r="68" spans="1:10" ht="57.6" hidden="1" outlineLevel="2" x14ac:dyDescent="0.3">
      <c r="A68" s="140" t="s">
        <v>5</v>
      </c>
      <c r="B68" s="141" t="s">
        <v>51</v>
      </c>
      <c r="C68" s="141" t="s">
        <v>181</v>
      </c>
      <c r="D68" s="142">
        <v>345000</v>
      </c>
      <c r="E68" s="142">
        <v>154000</v>
      </c>
      <c r="F68" s="142">
        <v>438000</v>
      </c>
      <c r="G68" s="142">
        <f>E68+F68</f>
        <v>592000</v>
      </c>
      <c r="H68" s="142">
        <f>G68-D68</f>
        <v>247000</v>
      </c>
      <c r="I68" s="96" t="s">
        <v>673</v>
      </c>
      <c r="J68" s="158" t="s">
        <v>535</v>
      </c>
    </row>
    <row r="69" spans="1:10" ht="28.8" hidden="1" outlineLevel="2" x14ac:dyDescent="0.3">
      <c r="A69" s="140" t="s">
        <v>5</v>
      </c>
      <c r="B69" s="141" t="s">
        <v>51</v>
      </c>
      <c r="C69" s="141" t="s">
        <v>207</v>
      </c>
      <c r="D69" s="142">
        <v>100000</v>
      </c>
      <c r="E69" s="142">
        <v>0</v>
      </c>
      <c r="F69" s="142">
        <v>100000</v>
      </c>
      <c r="G69" s="142">
        <f>E69+F69</f>
        <v>100000</v>
      </c>
      <c r="H69" s="142">
        <f>G69-D69</f>
        <v>0</v>
      </c>
      <c r="I69" s="151" t="s">
        <v>674</v>
      </c>
      <c r="J69" s="152" t="s">
        <v>532</v>
      </c>
    </row>
    <row r="70" spans="1:10" hidden="1" outlineLevel="1" x14ac:dyDescent="0.3">
      <c r="A70" s="146" t="s">
        <v>5</v>
      </c>
      <c r="B70" s="147" t="s">
        <v>482</v>
      </c>
      <c r="C70" s="147"/>
      <c r="D70" s="148">
        <f>SUM(D68:D69)</f>
        <v>445000</v>
      </c>
      <c r="E70" s="148">
        <f>SUM(E68:E69)</f>
        <v>154000</v>
      </c>
      <c r="F70" s="148">
        <f>SUM(F68:F69)</f>
        <v>538000</v>
      </c>
      <c r="G70" s="148">
        <f>SUM(G68:G69)</f>
        <v>692000</v>
      </c>
      <c r="H70" s="148">
        <f>SUM(H68:H69)</f>
        <v>247000</v>
      </c>
      <c r="I70" s="149"/>
      <c r="J70" s="150"/>
    </row>
    <row r="71" spans="1:10" ht="28.8" hidden="1" outlineLevel="2" x14ac:dyDescent="0.3">
      <c r="A71" s="140" t="s">
        <v>5</v>
      </c>
      <c r="B71" s="141" t="s">
        <v>53</v>
      </c>
      <c r="C71" s="141" t="s">
        <v>221</v>
      </c>
      <c r="D71" s="142">
        <v>32400</v>
      </c>
      <c r="E71" s="142">
        <v>32009.25</v>
      </c>
      <c r="F71" s="142">
        <v>0</v>
      </c>
      <c r="G71" s="142">
        <f>E71+F71</f>
        <v>32009.25</v>
      </c>
      <c r="H71" s="142">
        <f>G71-D71</f>
        <v>-390.75</v>
      </c>
      <c r="I71" s="151" t="s">
        <v>675</v>
      </c>
      <c r="J71" s="152" t="s">
        <v>158</v>
      </c>
    </row>
    <row r="72" spans="1:10" hidden="1" outlineLevel="1" x14ac:dyDescent="0.3">
      <c r="A72" s="146" t="s">
        <v>5</v>
      </c>
      <c r="B72" s="147" t="s">
        <v>484</v>
      </c>
      <c r="C72" s="147"/>
      <c r="D72" s="148">
        <f>SUM(D71:D71)</f>
        <v>32400</v>
      </c>
      <c r="E72" s="148">
        <f>SUM(E71:E71)</f>
        <v>32009.25</v>
      </c>
      <c r="F72" s="148">
        <f>SUM(F71:F71)</f>
        <v>0</v>
      </c>
      <c r="G72" s="148">
        <f>SUM(G71:G71)</f>
        <v>32009.25</v>
      </c>
      <c r="H72" s="148">
        <f>SUM(H71:H71)</f>
        <v>-390.75</v>
      </c>
      <c r="I72" s="149"/>
      <c r="J72" s="150"/>
    </row>
    <row r="73" spans="1:10" collapsed="1" x14ac:dyDescent="0.3">
      <c r="A73" s="153" t="s">
        <v>538</v>
      </c>
      <c r="B73" s="154"/>
      <c r="C73" s="154"/>
      <c r="D73" s="155">
        <f>SUM(D63,D65,D67,D70,D72)</f>
        <v>2751491.34</v>
      </c>
      <c r="E73" s="155">
        <f>SUM(E63,E65,E67,E70,E72)</f>
        <v>1131259.55</v>
      </c>
      <c r="F73" s="155">
        <f>SUM(F63,F65,F67,F70,F72)</f>
        <v>1872103.26</v>
      </c>
      <c r="G73" s="155">
        <f>SUM(G63,G65,G67,G70,G72)</f>
        <v>3003362.81</v>
      </c>
      <c r="H73" s="155">
        <f>SUM(H63,H65,H67,H70,H72)</f>
        <v>251871.47000000003</v>
      </c>
      <c r="I73" s="149"/>
      <c r="J73" s="150"/>
    </row>
    <row r="74" spans="1:10" ht="28.8" hidden="1" outlineLevel="2" x14ac:dyDescent="0.3">
      <c r="A74" s="140" t="s">
        <v>6</v>
      </c>
      <c r="B74" s="141" t="s">
        <v>50</v>
      </c>
      <c r="C74" s="141" t="s">
        <v>367</v>
      </c>
      <c r="D74" s="142">
        <v>4409</v>
      </c>
      <c r="E74" s="142">
        <v>4982.8</v>
      </c>
      <c r="F74" s="142">
        <v>0</v>
      </c>
      <c r="G74" s="142">
        <f t="shared" ref="G74:G79" si="2">E74+F74</f>
        <v>4982.8</v>
      </c>
      <c r="H74" s="142">
        <f t="shared" ref="H74:H79" si="3">G74-D74</f>
        <v>573.80000000000018</v>
      </c>
      <c r="I74" s="151" t="s">
        <v>676</v>
      </c>
      <c r="J74" s="152" t="s">
        <v>535</v>
      </c>
    </row>
    <row r="75" spans="1:10" ht="28.8" hidden="1" outlineLevel="2" x14ac:dyDescent="0.3">
      <c r="A75" s="140" t="s">
        <v>6</v>
      </c>
      <c r="B75" s="141" t="s">
        <v>50</v>
      </c>
      <c r="C75" s="141" t="s">
        <v>159</v>
      </c>
      <c r="D75" s="142">
        <v>14886</v>
      </c>
      <c r="E75" s="142">
        <v>5443.74</v>
      </c>
      <c r="F75" s="142">
        <v>7621.3200000000006</v>
      </c>
      <c r="G75" s="142">
        <f t="shared" si="2"/>
        <v>13065.060000000001</v>
      </c>
      <c r="H75" s="142">
        <f t="shared" si="3"/>
        <v>-1820.9399999999987</v>
      </c>
      <c r="I75" s="145" t="s">
        <v>677</v>
      </c>
      <c r="J75" s="144" t="s">
        <v>531</v>
      </c>
    </row>
    <row r="76" spans="1:10" ht="28.8" hidden="1" outlineLevel="2" x14ac:dyDescent="0.3">
      <c r="A76" s="140" t="s">
        <v>6</v>
      </c>
      <c r="B76" s="141" t="s">
        <v>50</v>
      </c>
      <c r="C76" s="141" t="s">
        <v>361</v>
      </c>
      <c r="D76" s="142">
        <v>8400</v>
      </c>
      <c r="E76" s="142">
        <v>8000</v>
      </c>
      <c r="F76" s="142">
        <v>0</v>
      </c>
      <c r="G76" s="142">
        <f t="shared" si="2"/>
        <v>8000</v>
      </c>
      <c r="H76" s="142">
        <f t="shared" si="3"/>
        <v>-400</v>
      </c>
      <c r="I76" s="151" t="s">
        <v>678</v>
      </c>
      <c r="J76" s="144" t="s">
        <v>531</v>
      </c>
    </row>
    <row r="77" spans="1:10" ht="28.8" hidden="1" outlineLevel="2" x14ac:dyDescent="0.3">
      <c r="A77" s="140" t="s">
        <v>6</v>
      </c>
      <c r="B77" s="141" t="s">
        <v>50</v>
      </c>
      <c r="C77" s="141" t="s">
        <v>476</v>
      </c>
      <c r="D77" s="142">
        <v>0</v>
      </c>
      <c r="E77" s="142">
        <v>15208</v>
      </c>
      <c r="F77" s="142">
        <v>0</v>
      </c>
      <c r="G77" s="142">
        <f t="shared" si="2"/>
        <v>15208</v>
      </c>
      <c r="H77" s="142">
        <f t="shared" si="3"/>
        <v>15208</v>
      </c>
      <c r="I77" s="156" t="s">
        <v>679</v>
      </c>
      <c r="J77" s="157" t="s">
        <v>41</v>
      </c>
    </row>
    <row r="78" spans="1:10" ht="28.8" hidden="1" outlineLevel="2" x14ac:dyDescent="0.3">
      <c r="A78" s="140" t="s">
        <v>6</v>
      </c>
      <c r="B78" s="141" t="s">
        <v>50</v>
      </c>
      <c r="C78" s="141" t="s">
        <v>370</v>
      </c>
      <c r="D78" s="142">
        <v>67470</v>
      </c>
      <c r="E78" s="142">
        <v>34242.9</v>
      </c>
      <c r="F78" s="142">
        <v>33735</v>
      </c>
      <c r="G78" s="142">
        <f t="shared" si="2"/>
        <v>67977.899999999994</v>
      </c>
      <c r="H78" s="142">
        <f t="shared" si="3"/>
        <v>507.89999999999418</v>
      </c>
      <c r="I78" s="151" t="s">
        <v>680</v>
      </c>
      <c r="J78" s="152" t="s">
        <v>535</v>
      </c>
    </row>
    <row r="79" spans="1:10" ht="28.8" hidden="1" outlineLevel="2" x14ac:dyDescent="0.3">
      <c r="A79" s="140" t="s">
        <v>6</v>
      </c>
      <c r="B79" s="141" t="s">
        <v>50</v>
      </c>
      <c r="C79" s="141" t="s">
        <v>373</v>
      </c>
      <c r="D79" s="142">
        <v>25000</v>
      </c>
      <c r="E79" s="142">
        <v>0</v>
      </c>
      <c r="F79" s="142">
        <v>25000</v>
      </c>
      <c r="G79" s="142">
        <f t="shared" si="2"/>
        <v>25000</v>
      </c>
      <c r="H79" s="142">
        <f t="shared" si="3"/>
        <v>0</v>
      </c>
      <c r="I79" s="151" t="s">
        <v>539</v>
      </c>
      <c r="J79" s="152" t="s">
        <v>532</v>
      </c>
    </row>
    <row r="80" spans="1:10" hidden="1" outlineLevel="1" x14ac:dyDescent="0.3">
      <c r="A80" s="146" t="s">
        <v>6</v>
      </c>
      <c r="B80" s="147" t="s">
        <v>481</v>
      </c>
      <c r="C80" s="147"/>
      <c r="D80" s="148">
        <f>SUM(D74:D79)</f>
        <v>120165</v>
      </c>
      <c r="E80" s="148">
        <f>SUM(E74:E79)</f>
        <v>67877.440000000002</v>
      </c>
      <c r="F80" s="148">
        <f>SUM(F74:F79)</f>
        <v>66356.320000000007</v>
      </c>
      <c r="G80" s="148">
        <f>SUM(G74:G79)</f>
        <v>134233.76</v>
      </c>
      <c r="H80" s="148">
        <f>SUM(H74:H79)</f>
        <v>14068.759999999995</v>
      </c>
      <c r="I80" s="149"/>
      <c r="J80" s="150"/>
    </row>
    <row r="81" spans="1:10" ht="28.8" hidden="1" outlineLevel="2" x14ac:dyDescent="0.3">
      <c r="A81" s="140" t="s">
        <v>6</v>
      </c>
      <c r="B81" s="141" t="s">
        <v>51</v>
      </c>
      <c r="C81" s="141" t="s">
        <v>166</v>
      </c>
      <c r="D81" s="142">
        <v>12200</v>
      </c>
      <c r="E81" s="142">
        <v>0</v>
      </c>
      <c r="F81" s="142">
        <v>12200</v>
      </c>
      <c r="G81" s="142">
        <f>E81+F81</f>
        <v>12200</v>
      </c>
      <c r="H81" s="142">
        <f>G81-D81</f>
        <v>0</v>
      </c>
      <c r="I81" s="151" t="s">
        <v>540</v>
      </c>
      <c r="J81" s="152" t="s">
        <v>532</v>
      </c>
    </row>
    <row r="82" spans="1:10" hidden="1" outlineLevel="1" x14ac:dyDescent="0.3">
      <c r="A82" s="146" t="s">
        <v>6</v>
      </c>
      <c r="B82" s="147" t="s">
        <v>482</v>
      </c>
      <c r="C82" s="147"/>
      <c r="D82" s="148">
        <f>SUM(D81:D81)</f>
        <v>12200</v>
      </c>
      <c r="E82" s="148">
        <f>SUM(E81:E81)</f>
        <v>0</v>
      </c>
      <c r="F82" s="148">
        <f>SUM(F81:F81)</f>
        <v>12200</v>
      </c>
      <c r="G82" s="148">
        <f>SUM(G81:G81)</f>
        <v>12200</v>
      </c>
      <c r="H82" s="148">
        <f>SUM(H81:H81)</f>
        <v>0</v>
      </c>
      <c r="I82" s="149"/>
      <c r="J82" s="150"/>
    </row>
    <row r="83" spans="1:10" ht="28.8" hidden="1" outlineLevel="2" x14ac:dyDescent="0.3">
      <c r="A83" s="140" t="s">
        <v>6</v>
      </c>
      <c r="B83" s="141" t="s">
        <v>52</v>
      </c>
      <c r="C83" s="141" t="s">
        <v>369</v>
      </c>
      <c r="D83" s="142">
        <v>359</v>
      </c>
      <c r="E83" s="142">
        <v>0</v>
      </c>
      <c r="F83" s="142">
        <v>359</v>
      </c>
      <c r="G83" s="142">
        <f>E83+F83</f>
        <v>359</v>
      </c>
      <c r="H83" s="142">
        <f>G83-D83</f>
        <v>0</v>
      </c>
      <c r="I83" s="151" t="s">
        <v>541</v>
      </c>
      <c r="J83" s="152" t="s">
        <v>532</v>
      </c>
    </row>
    <row r="84" spans="1:10" hidden="1" outlineLevel="1" x14ac:dyDescent="0.3">
      <c r="A84" s="146" t="s">
        <v>6</v>
      </c>
      <c r="B84" s="147" t="s">
        <v>483</v>
      </c>
      <c r="C84" s="147"/>
      <c r="D84" s="148">
        <f>SUM(D83:D83)</f>
        <v>359</v>
      </c>
      <c r="E84" s="148">
        <f>SUM(E83:E83)</f>
        <v>0</v>
      </c>
      <c r="F84" s="148">
        <f>SUM(F83:F83)</f>
        <v>359</v>
      </c>
      <c r="G84" s="148">
        <f>SUM(G83:G83)</f>
        <v>359</v>
      </c>
      <c r="H84" s="148">
        <f>SUM(H83:H83)</f>
        <v>0</v>
      </c>
      <c r="I84" s="149"/>
      <c r="J84" s="150"/>
    </row>
    <row r="85" spans="1:10" ht="28.8" hidden="1" outlineLevel="2" x14ac:dyDescent="0.3">
      <c r="A85" s="140" t="s">
        <v>6</v>
      </c>
      <c r="B85" s="141" t="s">
        <v>53</v>
      </c>
      <c r="C85" s="141" t="s">
        <v>170</v>
      </c>
      <c r="D85" s="142">
        <v>236250</v>
      </c>
      <c r="E85" s="142">
        <v>0</v>
      </c>
      <c r="F85" s="142">
        <v>236250</v>
      </c>
      <c r="G85" s="142">
        <f>E85+F85</f>
        <v>236250</v>
      </c>
      <c r="H85" s="142">
        <f>G85-D85</f>
        <v>0</v>
      </c>
      <c r="I85" s="151" t="s">
        <v>542</v>
      </c>
      <c r="J85" s="152" t="s">
        <v>532</v>
      </c>
    </row>
    <row r="86" spans="1:10" ht="28.8" hidden="1" outlineLevel="2" x14ac:dyDescent="0.3">
      <c r="A86" s="140" t="s">
        <v>6</v>
      </c>
      <c r="B86" s="141" t="s">
        <v>53</v>
      </c>
      <c r="C86" s="141" t="s">
        <v>176</v>
      </c>
      <c r="D86" s="142">
        <v>141750</v>
      </c>
      <c r="E86" s="142">
        <v>0</v>
      </c>
      <c r="F86" s="142">
        <v>141750</v>
      </c>
      <c r="G86" s="142">
        <f>E86+F86</f>
        <v>141750</v>
      </c>
      <c r="H86" s="142">
        <f>G86-D86</f>
        <v>0</v>
      </c>
      <c r="I86" s="151" t="s">
        <v>542</v>
      </c>
      <c r="J86" s="152" t="s">
        <v>532</v>
      </c>
    </row>
    <row r="87" spans="1:10" ht="28.8" hidden="1" outlineLevel="2" x14ac:dyDescent="0.3">
      <c r="A87" s="140" t="s">
        <v>6</v>
      </c>
      <c r="B87" s="141" t="s">
        <v>53</v>
      </c>
      <c r="C87" s="141" t="s">
        <v>177</v>
      </c>
      <c r="D87" s="142">
        <v>17099</v>
      </c>
      <c r="E87" s="142">
        <v>0</v>
      </c>
      <c r="F87" s="142">
        <v>17099</v>
      </c>
      <c r="G87" s="142">
        <f>E87+F87</f>
        <v>17099</v>
      </c>
      <c r="H87" s="142">
        <f>G87-D87</f>
        <v>0</v>
      </c>
      <c r="I87" s="151" t="s">
        <v>543</v>
      </c>
      <c r="J87" s="152" t="s">
        <v>532</v>
      </c>
    </row>
    <row r="88" spans="1:10" ht="43.2" hidden="1" outlineLevel="2" x14ac:dyDescent="0.3">
      <c r="A88" s="140" t="s">
        <v>6</v>
      </c>
      <c r="B88" s="141" t="s">
        <v>53</v>
      </c>
      <c r="C88" s="141" t="s">
        <v>112</v>
      </c>
      <c r="D88" s="142">
        <v>259449</v>
      </c>
      <c r="E88" s="142">
        <v>83657.850000000006</v>
      </c>
      <c r="F88" s="142">
        <v>125791</v>
      </c>
      <c r="G88" s="142">
        <f>E88+F88</f>
        <v>209448.85</v>
      </c>
      <c r="H88" s="142">
        <f>G88-D88</f>
        <v>-50000.149999999994</v>
      </c>
      <c r="I88" s="145" t="s">
        <v>681</v>
      </c>
      <c r="J88" s="144" t="s">
        <v>531</v>
      </c>
    </row>
    <row r="89" spans="1:10" hidden="1" outlineLevel="1" x14ac:dyDescent="0.3">
      <c r="A89" s="146" t="s">
        <v>6</v>
      </c>
      <c r="B89" s="147" t="s">
        <v>484</v>
      </c>
      <c r="C89" s="147"/>
      <c r="D89" s="148">
        <f>SUM(D85:D88)</f>
        <v>654548</v>
      </c>
      <c r="E89" s="148">
        <f>SUM(E85:E88)</f>
        <v>83657.850000000006</v>
      </c>
      <c r="F89" s="148">
        <f>SUM(F85:F88)</f>
        <v>520890</v>
      </c>
      <c r="G89" s="148">
        <f>SUM(G85:G88)</f>
        <v>604547.85</v>
      </c>
      <c r="H89" s="148">
        <f>SUM(H85:H88)</f>
        <v>-50000.149999999994</v>
      </c>
      <c r="I89" s="149"/>
      <c r="J89" s="150"/>
    </row>
    <row r="90" spans="1:10" ht="43.2" hidden="1" outlineLevel="2" x14ac:dyDescent="0.3">
      <c r="A90" s="140" t="s">
        <v>6</v>
      </c>
      <c r="B90" s="141" t="s">
        <v>419</v>
      </c>
      <c r="C90" s="141" t="s">
        <v>418</v>
      </c>
      <c r="D90" s="142">
        <v>1244018</v>
      </c>
      <c r="E90" s="142">
        <v>600811.08750000014</v>
      </c>
      <c r="F90" s="142">
        <v>841135.5225000002</v>
      </c>
      <c r="G90" s="142">
        <f>E90+F90</f>
        <v>1441946.6100000003</v>
      </c>
      <c r="H90" s="142">
        <f>G90-D90</f>
        <v>197928.61000000034</v>
      </c>
      <c r="I90" s="159" t="s">
        <v>682</v>
      </c>
      <c r="J90" s="158" t="s">
        <v>41</v>
      </c>
    </row>
    <row r="91" spans="1:10" hidden="1" outlineLevel="1" x14ac:dyDescent="0.3">
      <c r="A91" s="146" t="s">
        <v>6</v>
      </c>
      <c r="B91" s="147" t="s">
        <v>544</v>
      </c>
      <c r="C91" s="147"/>
      <c r="D91" s="148">
        <f>SUM(D90:D90)</f>
        <v>1244018</v>
      </c>
      <c r="E91" s="148">
        <f>SUM(E90:E90)</f>
        <v>600811.08750000014</v>
      </c>
      <c r="F91" s="148">
        <f>SUM(F90:F90)</f>
        <v>841135.5225000002</v>
      </c>
      <c r="G91" s="148">
        <f>SUM(G90:G90)</f>
        <v>1441946.6100000003</v>
      </c>
      <c r="H91" s="148">
        <f>SUM(H90:H90)</f>
        <v>197928.61000000034</v>
      </c>
      <c r="I91" s="149"/>
      <c r="J91" s="150"/>
    </row>
    <row r="92" spans="1:10" collapsed="1" x14ac:dyDescent="0.3">
      <c r="A92" s="153" t="s">
        <v>545</v>
      </c>
      <c r="B92" s="154"/>
      <c r="C92" s="154"/>
      <c r="D92" s="155">
        <f>SUM(D80,D82,D84,D89,D91)</f>
        <v>2031290</v>
      </c>
      <c r="E92" s="155">
        <f>SUM(E80,E82,E84,E89,E91)</f>
        <v>752346.37750000018</v>
      </c>
      <c r="F92" s="155">
        <f>SUM(F80,F82,F84,F89,F91)</f>
        <v>1440940.8425000003</v>
      </c>
      <c r="G92" s="155">
        <f>SUM(G80,G82,G84,G89,G91)</f>
        <v>2193287.2200000002</v>
      </c>
      <c r="H92" s="155">
        <f>SUM(H80,H82,H84,H89,H91)</f>
        <v>161997.22000000032</v>
      </c>
      <c r="I92" s="149"/>
      <c r="J92" s="150"/>
    </row>
    <row r="93" spans="1:10" ht="43.2" hidden="1" outlineLevel="2" x14ac:dyDescent="0.3">
      <c r="A93" s="140" t="s">
        <v>7</v>
      </c>
      <c r="B93" s="141" t="s">
        <v>48</v>
      </c>
      <c r="C93" s="141" t="s">
        <v>321</v>
      </c>
      <c r="D93" s="142">
        <v>191646</v>
      </c>
      <c r="E93" s="142">
        <v>28503.335000000003</v>
      </c>
      <c r="F93" s="142">
        <v>99761.672500000001</v>
      </c>
      <c r="G93" s="142">
        <f t="shared" ref="G93:G100" si="4">E93+F93</f>
        <v>128265.00750000001</v>
      </c>
      <c r="H93" s="142">
        <f t="shared" ref="H93:H100" si="5">G93-D93</f>
        <v>-63380.992499999993</v>
      </c>
      <c r="I93" s="145" t="s">
        <v>683</v>
      </c>
      <c r="J93" s="144" t="s">
        <v>531</v>
      </c>
    </row>
    <row r="94" spans="1:10" ht="28.8" hidden="1" outlineLevel="2" x14ac:dyDescent="0.3">
      <c r="A94" s="140" t="s">
        <v>7</v>
      </c>
      <c r="B94" s="141" t="s">
        <v>48</v>
      </c>
      <c r="C94" s="141" t="s">
        <v>233</v>
      </c>
      <c r="D94" s="142">
        <v>10080</v>
      </c>
      <c r="E94" s="142">
        <v>4800</v>
      </c>
      <c r="F94" s="142">
        <v>5280</v>
      </c>
      <c r="G94" s="142">
        <f t="shared" si="4"/>
        <v>10080</v>
      </c>
      <c r="H94" s="142">
        <f t="shared" si="5"/>
        <v>0</v>
      </c>
      <c r="I94" s="151" t="s">
        <v>546</v>
      </c>
      <c r="J94" s="152" t="s">
        <v>532</v>
      </c>
    </row>
    <row r="95" spans="1:10" ht="28.8" hidden="1" outlineLevel="2" x14ac:dyDescent="0.3">
      <c r="A95" s="140" t="s">
        <v>7</v>
      </c>
      <c r="B95" s="141" t="s">
        <v>48</v>
      </c>
      <c r="C95" s="141" t="s">
        <v>312</v>
      </c>
      <c r="D95" s="142">
        <v>139684</v>
      </c>
      <c r="E95" s="142">
        <v>58201.666666666672</v>
      </c>
      <c r="F95" s="142">
        <v>81482.333333333328</v>
      </c>
      <c r="G95" s="142">
        <f t="shared" si="4"/>
        <v>139684</v>
      </c>
      <c r="H95" s="142">
        <f t="shared" si="5"/>
        <v>0</v>
      </c>
      <c r="I95" s="151" t="s">
        <v>547</v>
      </c>
      <c r="J95" s="152" t="s">
        <v>532</v>
      </c>
    </row>
    <row r="96" spans="1:10" ht="28.8" hidden="1" outlineLevel="2" x14ac:dyDescent="0.3">
      <c r="A96" s="140" t="s">
        <v>7</v>
      </c>
      <c r="B96" s="141" t="s">
        <v>48</v>
      </c>
      <c r="C96" s="141" t="s">
        <v>181</v>
      </c>
      <c r="D96" s="142">
        <v>100844.1</v>
      </c>
      <c r="E96" s="142">
        <v>96041.64</v>
      </c>
      <c r="F96" s="142">
        <v>0</v>
      </c>
      <c r="G96" s="142">
        <f t="shared" si="4"/>
        <v>96041.64</v>
      </c>
      <c r="H96" s="142">
        <f t="shared" si="5"/>
        <v>-4802.4600000000064</v>
      </c>
      <c r="I96" s="145" t="s">
        <v>684</v>
      </c>
      <c r="J96" s="144" t="s">
        <v>158</v>
      </c>
    </row>
    <row r="97" spans="1:10" ht="28.8" hidden="1" outlineLevel="2" x14ac:dyDescent="0.3">
      <c r="A97" s="140" t="s">
        <v>7</v>
      </c>
      <c r="B97" s="141" t="s">
        <v>48</v>
      </c>
      <c r="C97" s="141" t="s">
        <v>303</v>
      </c>
      <c r="D97" s="142">
        <v>117539.0055</v>
      </c>
      <c r="E97" s="142">
        <v>14025.49</v>
      </c>
      <c r="F97" s="142">
        <v>103536.75</v>
      </c>
      <c r="G97" s="142">
        <f t="shared" si="4"/>
        <v>117562.24000000001</v>
      </c>
      <c r="H97" s="142">
        <f t="shared" si="5"/>
        <v>23.234500000005937</v>
      </c>
      <c r="I97" s="151" t="s">
        <v>550</v>
      </c>
      <c r="J97" s="152" t="s">
        <v>532</v>
      </c>
    </row>
    <row r="98" spans="1:10" ht="43.2" hidden="1" outlineLevel="2" x14ac:dyDescent="0.3">
      <c r="A98" s="140" t="s">
        <v>7</v>
      </c>
      <c r="B98" s="141" t="s">
        <v>48</v>
      </c>
      <c r="C98" s="141" t="s">
        <v>207</v>
      </c>
      <c r="D98" s="142">
        <v>1410968.58415</v>
      </c>
      <c r="E98" s="142">
        <v>553592.44999999995</v>
      </c>
      <c r="F98" s="142">
        <v>641600.51250000007</v>
      </c>
      <c r="G98" s="142">
        <f t="shared" si="4"/>
        <v>1195192.9624999999</v>
      </c>
      <c r="H98" s="142">
        <f t="shared" si="5"/>
        <v>-215775.6216500001</v>
      </c>
      <c r="I98" s="145" t="s">
        <v>685</v>
      </c>
      <c r="J98" s="144" t="s">
        <v>531</v>
      </c>
    </row>
    <row r="99" spans="1:10" ht="28.8" hidden="1" outlineLevel="2" x14ac:dyDescent="0.3">
      <c r="A99" s="140" t="s">
        <v>7</v>
      </c>
      <c r="B99" s="141" t="s">
        <v>48</v>
      </c>
      <c r="C99" s="141" t="s">
        <v>277</v>
      </c>
      <c r="D99" s="142">
        <v>51930.15</v>
      </c>
      <c r="E99" s="142">
        <v>46713</v>
      </c>
      <c r="F99" s="142">
        <v>7470</v>
      </c>
      <c r="G99" s="142">
        <f t="shared" si="4"/>
        <v>54183</v>
      </c>
      <c r="H99" s="142">
        <f t="shared" si="5"/>
        <v>2252.8499999999985</v>
      </c>
      <c r="I99" s="159" t="s">
        <v>686</v>
      </c>
      <c r="J99" s="158" t="s">
        <v>41</v>
      </c>
    </row>
    <row r="100" spans="1:10" ht="28.8" hidden="1" outlineLevel="2" x14ac:dyDescent="0.3">
      <c r="A100" s="140" t="s">
        <v>7</v>
      </c>
      <c r="B100" s="141" t="s">
        <v>48</v>
      </c>
      <c r="C100" s="141" t="s">
        <v>70</v>
      </c>
      <c r="D100" s="142">
        <v>215860.41749999998</v>
      </c>
      <c r="E100" s="142">
        <v>957.23</v>
      </c>
      <c r="F100" s="142">
        <v>214903.5</v>
      </c>
      <c r="G100" s="142">
        <f t="shared" si="4"/>
        <v>215860.73</v>
      </c>
      <c r="H100" s="142">
        <f t="shared" si="5"/>
        <v>0.31250000002910383</v>
      </c>
      <c r="I100" s="151" t="s">
        <v>687</v>
      </c>
      <c r="J100" s="152" t="s">
        <v>532</v>
      </c>
    </row>
    <row r="101" spans="1:10" hidden="1" outlineLevel="1" x14ac:dyDescent="0.3">
      <c r="A101" s="146" t="s">
        <v>7</v>
      </c>
      <c r="B101" s="147" t="s">
        <v>479</v>
      </c>
      <c r="C101" s="147"/>
      <c r="D101" s="148">
        <f>SUM(D93:D100)</f>
        <v>2238552.25715</v>
      </c>
      <c r="E101" s="148">
        <f>SUM(E93:E100)</f>
        <v>802834.81166666653</v>
      </c>
      <c r="F101" s="148">
        <f>SUM(F93:F100)</f>
        <v>1154034.7683333335</v>
      </c>
      <c r="G101" s="148">
        <f>SUM(G93:G100)</f>
        <v>1956869.5799999998</v>
      </c>
      <c r="H101" s="148">
        <f>SUM(H93:H100)</f>
        <v>-281682.67715000012</v>
      </c>
      <c r="I101" s="149"/>
      <c r="J101" s="150"/>
    </row>
    <row r="102" spans="1:10" ht="28.8" hidden="1" outlineLevel="2" x14ac:dyDescent="0.3">
      <c r="A102" s="140" t="s">
        <v>7</v>
      </c>
      <c r="B102" s="141" t="s">
        <v>49</v>
      </c>
      <c r="C102" s="141" t="s">
        <v>57</v>
      </c>
      <c r="D102" s="142">
        <v>1338002.9220000003</v>
      </c>
      <c r="E102" s="142">
        <v>7579.2400000000007</v>
      </c>
      <c r="F102" s="142">
        <v>1330423.9310000001</v>
      </c>
      <c r="G102" s="142">
        <f t="shared" ref="G102:G110" si="6">E102+F102</f>
        <v>1338003.1710000001</v>
      </c>
      <c r="H102" s="142">
        <f t="shared" ref="H102:H110" si="7">G102-D102</f>
        <v>0.24899999983608723</v>
      </c>
      <c r="I102" s="151" t="s">
        <v>688</v>
      </c>
      <c r="J102" s="152" t="s">
        <v>532</v>
      </c>
    </row>
    <row r="103" spans="1:10" ht="28.8" hidden="1" outlineLevel="2" x14ac:dyDescent="0.3">
      <c r="A103" s="140" t="s">
        <v>7</v>
      </c>
      <c r="B103" s="141" t="s">
        <v>49</v>
      </c>
      <c r="C103" s="141" t="s">
        <v>75</v>
      </c>
      <c r="D103" s="142">
        <v>5250</v>
      </c>
      <c r="E103" s="142">
        <v>0</v>
      </c>
      <c r="F103" s="142">
        <v>5250</v>
      </c>
      <c r="G103" s="142">
        <f t="shared" si="6"/>
        <v>5250</v>
      </c>
      <c r="H103" s="142">
        <f t="shared" si="7"/>
        <v>0</v>
      </c>
      <c r="I103" s="151" t="s">
        <v>548</v>
      </c>
      <c r="J103" s="152" t="s">
        <v>532</v>
      </c>
    </row>
    <row r="104" spans="1:10" ht="28.8" hidden="1" outlineLevel="2" x14ac:dyDescent="0.3">
      <c r="A104" s="140" t="s">
        <v>7</v>
      </c>
      <c r="B104" s="141" t="s">
        <v>49</v>
      </c>
      <c r="C104" s="141" t="s">
        <v>76</v>
      </c>
      <c r="D104" s="142">
        <v>27790.5285</v>
      </c>
      <c r="E104" s="142">
        <v>0</v>
      </c>
      <c r="F104" s="142">
        <v>27791</v>
      </c>
      <c r="G104" s="142">
        <f t="shared" si="6"/>
        <v>27791</v>
      </c>
      <c r="H104" s="142">
        <f t="shared" si="7"/>
        <v>0.47149999999965075</v>
      </c>
      <c r="I104" s="151" t="s">
        <v>689</v>
      </c>
      <c r="J104" s="152" t="s">
        <v>532</v>
      </c>
    </row>
    <row r="105" spans="1:10" ht="43.2" hidden="1" outlineLevel="2" x14ac:dyDescent="0.3">
      <c r="A105" s="140" t="s">
        <v>7</v>
      </c>
      <c r="B105" s="141" t="s">
        <v>49</v>
      </c>
      <c r="C105" s="141" t="s">
        <v>67</v>
      </c>
      <c r="D105" s="142">
        <v>3052298</v>
      </c>
      <c r="E105" s="142">
        <v>1263122.23</v>
      </c>
      <c r="F105" s="142">
        <v>2113806.3666666667</v>
      </c>
      <c r="G105" s="142">
        <f t="shared" si="6"/>
        <v>3376928.5966666667</v>
      </c>
      <c r="H105" s="142">
        <f t="shared" si="7"/>
        <v>324630.59666666668</v>
      </c>
      <c r="I105" s="159" t="s">
        <v>690</v>
      </c>
      <c r="J105" s="157" t="s">
        <v>41</v>
      </c>
    </row>
    <row r="106" spans="1:10" ht="28.8" hidden="1" outlineLevel="2" x14ac:dyDescent="0.3">
      <c r="A106" s="140" t="s">
        <v>7</v>
      </c>
      <c r="B106" s="141" t="s">
        <v>49</v>
      </c>
      <c r="C106" s="141" t="s">
        <v>77</v>
      </c>
      <c r="D106" s="142">
        <v>307613.80000000005</v>
      </c>
      <c r="E106" s="142">
        <v>124541.66666666666</v>
      </c>
      <c r="F106" s="142">
        <v>181125</v>
      </c>
      <c r="G106" s="142">
        <f t="shared" si="6"/>
        <v>305666.66666666663</v>
      </c>
      <c r="H106" s="142">
        <f t="shared" si="7"/>
        <v>-1947.1333333334187</v>
      </c>
      <c r="I106" s="145" t="s">
        <v>691</v>
      </c>
      <c r="J106" s="144" t="s">
        <v>158</v>
      </c>
    </row>
    <row r="107" spans="1:10" ht="43.2" hidden="1" outlineLevel="2" x14ac:dyDescent="0.3">
      <c r="A107" s="140" t="s">
        <v>7</v>
      </c>
      <c r="B107" s="141" t="s">
        <v>49</v>
      </c>
      <c r="C107" s="141" t="s">
        <v>74</v>
      </c>
      <c r="D107" s="142">
        <v>453011.9645</v>
      </c>
      <c r="E107" s="142">
        <v>209854.97916666663</v>
      </c>
      <c r="F107" s="142">
        <v>343788.93949999998</v>
      </c>
      <c r="G107" s="142">
        <f t="shared" si="6"/>
        <v>553643.91866666661</v>
      </c>
      <c r="H107" s="142">
        <f t="shared" si="7"/>
        <v>100631.9541666666</v>
      </c>
      <c r="I107" s="156" t="s">
        <v>692</v>
      </c>
      <c r="J107" s="157" t="s">
        <v>41</v>
      </c>
    </row>
    <row r="108" spans="1:10" ht="28.8" hidden="1" outlineLevel="2" x14ac:dyDescent="0.3">
      <c r="A108" s="140" t="s">
        <v>7</v>
      </c>
      <c r="B108" s="141" t="s">
        <v>49</v>
      </c>
      <c r="C108" s="141" t="s">
        <v>70</v>
      </c>
      <c r="D108" s="142">
        <v>0</v>
      </c>
      <c r="E108" s="142">
        <v>0</v>
      </c>
      <c r="F108" s="142">
        <v>0</v>
      </c>
      <c r="G108" s="142">
        <f t="shared" si="6"/>
        <v>0</v>
      </c>
      <c r="H108" s="142">
        <f t="shared" si="7"/>
        <v>0</v>
      </c>
      <c r="I108" s="151" t="s">
        <v>693</v>
      </c>
      <c r="J108" s="152" t="s">
        <v>532</v>
      </c>
    </row>
    <row r="109" spans="1:10" ht="28.8" hidden="1" outlineLevel="2" x14ac:dyDescent="0.3">
      <c r="A109" s="140" t="s">
        <v>7</v>
      </c>
      <c r="B109" s="141" t="s">
        <v>49</v>
      </c>
      <c r="C109" s="141" t="s">
        <v>78</v>
      </c>
      <c r="D109" s="142">
        <v>5407.5</v>
      </c>
      <c r="E109" s="142">
        <v>0</v>
      </c>
      <c r="F109" s="142">
        <v>5407.5</v>
      </c>
      <c r="G109" s="142">
        <f t="shared" si="6"/>
        <v>5407.5</v>
      </c>
      <c r="H109" s="142">
        <f t="shared" si="7"/>
        <v>0</v>
      </c>
      <c r="I109" s="151" t="s">
        <v>546</v>
      </c>
      <c r="J109" s="152" t="s">
        <v>532</v>
      </c>
    </row>
    <row r="110" spans="1:10" ht="28.8" hidden="1" outlineLevel="2" x14ac:dyDescent="0.3">
      <c r="A110" s="140" t="s">
        <v>7</v>
      </c>
      <c r="B110" s="141" t="s">
        <v>49</v>
      </c>
      <c r="C110" s="141" t="s">
        <v>79</v>
      </c>
      <c r="D110" s="142">
        <v>61830</v>
      </c>
      <c r="E110" s="142">
        <v>0</v>
      </c>
      <c r="F110" s="142">
        <v>61830</v>
      </c>
      <c r="G110" s="142">
        <f t="shared" si="6"/>
        <v>61830</v>
      </c>
      <c r="H110" s="142">
        <f t="shared" si="7"/>
        <v>0</v>
      </c>
      <c r="I110" s="151" t="s">
        <v>549</v>
      </c>
      <c r="J110" s="152" t="s">
        <v>532</v>
      </c>
    </row>
    <row r="111" spans="1:10" hidden="1" outlineLevel="1" x14ac:dyDescent="0.3">
      <c r="A111" s="146" t="s">
        <v>7</v>
      </c>
      <c r="B111" s="147" t="s">
        <v>480</v>
      </c>
      <c r="C111" s="147"/>
      <c r="D111" s="148">
        <f>SUM(D102:D110)</f>
        <v>5251204.7149999999</v>
      </c>
      <c r="E111" s="148">
        <f>SUM(E102:E110)</f>
        <v>1605098.1158333332</v>
      </c>
      <c r="F111" s="148">
        <f>SUM(F102:F110)</f>
        <v>4069422.7371666669</v>
      </c>
      <c r="G111" s="148">
        <f>SUM(G102:G110)</f>
        <v>5674520.8530000001</v>
      </c>
      <c r="H111" s="148">
        <f>SUM(H102:H110)</f>
        <v>423316.13799999969</v>
      </c>
      <c r="I111" s="149"/>
      <c r="J111" s="150"/>
    </row>
    <row r="112" spans="1:10" ht="28.8" hidden="1" outlineLevel="2" x14ac:dyDescent="0.3">
      <c r="A112" s="140" t="s">
        <v>7</v>
      </c>
      <c r="B112" s="141" t="s">
        <v>50</v>
      </c>
      <c r="C112" s="141" t="s">
        <v>405</v>
      </c>
      <c r="D112" s="142">
        <v>1778445.9000000001</v>
      </c>
      <c r="E112" s="142">
        <v>776946.67499999993</v>
      </c>
      <c r="F112" s="142">
        <v>1087725.345</v>
      </c>
      <c r="G112" s="142">
        <f t="shared" ref="G112:G122" si="8">E112+F112</f>
        <v>1864672.02</v>
      </c>
      <c r="H112" s="142">
        <f t="shared" ref="H112:H122" si="9">G112-D112</f>
        <v>86226.119999999879</v>
      </c>
      <c r="I112" s="156" t="s">
        <v>694</v>
      </c>
      <c r="J112" s="157" t="s">
        <v>41</v>
      </c>
    </row>
    <row r="113" spans="1:10" ht="28.8" hidden="1" outlineLevel="2" x14ac:dyDescent="0.3">
      <c r="A113" s="140" t="s">
        <v>7</v>
      </c>
      <c r="B113" s="141" t="s">
        <v>50</v>
      </c>
      <c r="C113" s="141" t="s">
        <v>415</v>
      </c>
      <c r="D113" s="142">
        <v>0</v>
      </c>
      <c r="E113" s="142">
        <v>92000</v>
      </c>
      <c r="F113" s="142">
        <v>10000</v>
      </c>
      <c r="G113" s="142">
        <f t="shared" si="8"/>
        <v>102000</v>
      </c>
      <c r="H113" s="142">
        <f t="shared" si="9"/>
        <v>102000</v>
      </c>
      <c r="I113" s="156" t="s">
        <v>695</v>
      </c>
      <c r="J113" s="157" t="s">
        <v>41</v>
      </c>
    </row>
    <row r="114" spans="1:10" ht="43.2" hidden="1" outlineLevel="2" x14ac:dyDescent="0.3">
      <c r="A114" s="140" t="s">
        <v>7</v>
      </c>
      <c r="B114" s="141" t="s">
        <v>50</v>
      </c>
      <c r="C114" s="141" t="s">
        <v>56</v>
      </c>
      <c r="D114" s="142">
        <v>3617396</v>
      </c>
      <c r="E114" s="142">
        <v>1737038.96</v>
      </c>
      <c r="F114" s="142">
        <v>2336436.4099999997</v>
      </c>
      <c r="G114" s="142">
        <f t="shared" si="8"/>
        <v>4073475.3699999996</v>
      </c>
      <c r="H114" s="142">
        <f t="shared" si="9"/>
        <v>456079.36999999965</v>
      </c>
      <c r="I114" s="156" t="s">
        <v>696</v>
      </c>
      <c r="J114" s="157" t="s">
        <v>41</v>
      </c>
    </row>
    <row r="115" spans="1:10" ht="28.8" hidden="1" outlineLevel="2" x14ac:dyDescent="0.3">
      <c r="A115" s="140" t="s">
        <v>7</v>
      </c>
      <c r="B115" s="141" t="s">
        <v>50</v>
      </c>
      <c r="C115" s="141" t="s">
        <v>133</v>
      </c>
      <c r="D115" s="142">
        <v>14700</v>
      </c>
      <c r="E115" s="142">
        <v>9900</v>
      </c>
      <c r="F115" s="142">
        <v>46050</v>
      </c>
      <c r="G115" s="142">
        <f t="shared" si="8"/>
        <v>55950</v>
      </c>
      <c r="H115" s="142">
        <f t="shared" si="9"/>
        <v>41250</v>
      </c>
      <c r="I115" s="159" t="s">
        <v>697</v>
      </c>
      <c r="J115" s="158" t="s">
        <v>41</v>
      </c>
    </row>
    <row r="116" spans="1:10" ht="28.8" hidden="1" outlineLevel="2" x14ac:dyDescent="0.3">
      <c r="A116" s="140" t="s">
        <v>7</v>
      </c>
      <c r="B116" s="141" t="s">
        <v>50</v>
      </c>
      <c r="C116" s="141" t="s">
        <v>239</v>
      </c>
      <c r="D116" s="142">
        <v>12600</v>
      </c>
      <c r="E116" s="142">
        <v>12000</v>
      </c>
      <c r="F116" s="142">
        <v>0</v>
      </c>
      <c r="G116" s="142">
        <f t="shared" si="8"/>
        <v>12000</v>
      </c>
      <c r="H116" s="142">
        <f t="shared" si="9"/>
        <v>-600</v>
      </c>
      <c r="I116" s="151" t="s">
        <v>698</v>
      </c>
      <c r="J116" s="152" t="s">
        <v>158</v>
      </c>
    </row>
    <row r="117" spans="1:10" ht="43.2" hidden="1" outlineLevel="2" x14ac:dyDescent="0.3">
      <c r="A117" s="140" t="s">
        <v>7</v>
      </c>
      <c r="B117" s="141" t="s">
        <v>50</v>
      </c>
      <c r="C117" s="141" t="s">
        <v>207</v>
      </c>
      <c r="D117" s="142">
        <v>111003</v>
      </c>
      <c r="E117" s="142">
        <v>101291</v>
      </c>
      <c r="F117" s="142">
        <v>14460</v>
      </c>
      <c r="G117" s="142">
        <f t="shared" si="8"/>
        <v>115751</v>
      </c>
      <c r="H117" s="142">
        <f t="shared" si="9"/>
        <v>4748</v>
      </c>
      <c r="I117" s="159" t="s">
        <v>699</v>
      </c>
      <c r="J117" s="158" t="s">
        <v>41</v>
      </c>
    </row>
    <row r="118" spans="1:10" ht="28.8" hidden="1" outlineLevel="2" x14ac:dyDescent="0.3">
      <c r="A118" s="140" t="s">
        <v>7</v>
      </c>
      <c r="B118" s="141" t="s">
        <v>50</v>
      </c>
      <c r="C118" s="141" t="s">
        <v>255</v>
      </c>
      <c r="D118" s="142">
        <v>2751</v>
      </c>
      <c r="E118" s="142">
        <v>3192.75</v>
      </c>
      <c r="F118" s="142">
        <v>0</v>
      </c>
      <c r="G118" s="142">
        <f t="shared" si="8"/>
        <v>3192.75</v>
      </c>
      <c r="H118" s="142">
        <f t="shared" si="9"/>
        <v>441.75</v>
      </c>
      <c r="I118" s="151" t="s">
        <v>700</v>
      </c>
      <c r="J118" s="152" t="s">
        <v>532</v>
      </c>
    </row>
    <row r="119" spans="1:10" ht="43.2" hidden="1" outlineLevel="2" x14ac:dyDescent="0.3">
      <c r="A119" s="140" t="s">
        <v>7</v>
      </c>
      <c r="B119" s="141" t="s">
        <v>50</v>
      </c>
      <c r="C119" s="141" t="s">
        <v>333</v>
      </c>
      <c r="D119" s="142">
        <v>3500000</v>
      </c>
      <c r="E119" s="142">
        <v>1522576.67</v>
      </c>
      <c r="F119" s="142">
        <v>2095744.4133333336</v>
      </c>
      <c r="G119" s="142">
        <f t="shared" si="8"/>
        <v>3618321.0833333335</v>
      </c>
      <c r="H119" s="142">
        <f t="shared" si="9"/>
        <v>118321.08333333349</v>
      </c>
      <c r="I119" s="159" t="s">
        <v>701</v>
      </c>
      <c r="J119" s="158" t="s">
        <v>535</v>
      </c>
    </row>
    <row r="120" spans="1:10" ht="28.8" hidden="1" outlineLevel="2" x14ac:dyDescent="0.3">
      <c r="A120" s="140" t="s">
        <v>7</v>
      </c>
      <c r="B120" s="141" t="s">
        <v>50</v>
      </c>
      <c r="C120" s="141" t="s">
        <v>408</v>
      </c>
      <c r="D120" s="142">
        <v>298544.40000000002</v>
      </c>
      <c r="E120" s="142">
        <v>118470.15416666667</v>
      </c>
      <c r="F120" s="142">
        <v>165858.21583333332</v>
      </c>
      <c r="G120" s="142">
        <f t="shared" si="8"/>
        <v>284328.37</v>
      </c>
      <c r="H120" s="142">
        <f t="shared" si="9"/>
        <v>-14216.030000000028</v>
      </c>
      <c r="I120" s="145" t="s">
        <v>702</v>
      </c>
      <c r="J120" s="144" t="s">
        <v>158</v>
      </c>
    </row>
    <row r="121" spans="1:10" ht="28.8" hidden="1" outlineLevel="2" x14ac:dyDescent="0.3">
      <c r="A121" s="140" t="s">
        <v>7</v>
      </c>
      <c r="B121" s="141" t="s">
        <v>50</v>
      </c>
      <c r="C121" s="141" t="s">
        <v>271</v>
      </c>
      <c r="D121" s="142">
        <v>8435.7000000000007</v>
      </c>
      <c r="E121" s="142">
        <v>0</v>
      </c>
      <c r="F121" s="142">
        <v>8436</v>
      </c>
      <c r="G121" s="142">
        <f t="shared" si="8"/>
        <v>8436</v>
      </c>
      <c r="H121" s="142">
        <f t="shared" si="9"/>
        <v>0.2999999999992724</v>
      </c>
      <c r="I121" s="151" t="s">
        <v>689</v>
      </c>
      <c r="J121" s="152" t="s">
        <v>532</v>
      </c>
    </row>
    <row r="122" spans="1:10" ht="28.8" hidden="1" outlineLevel="2" x14ac:dyDescent="0.3">
      <c r="A122" s="140" t="s">
        <v>7</v>
      </c>
      <c r="B122" s="141" t="s">
        <v>50</v>
      </c>
      <c r="C122" s="141" t="s">
        <v>352</v>
      </c>
      <c r="D122" s="142">
        <v>411547.5</v>
      </c>
      <c r="E122" s="142">
        <v>226822.91666666669</v>
      </c>
      <c r="F122" s="142">
        <v>317552.08333333331</v>
      </c>
      <c r="G122" s="142">
        <f t="shared" si="8"/>
        <v>544375</v>
      </c>
      <c r="H122" s="142">
        <f t="shared" si="9"/>
        <v>132827.5</v>
      </c>
      <c r="I122" s="156" t="s">
        <v>703</v>
      </c>
      <c r="J122" s="157" t="s">
        <v>41</v>
      </c>
    </row>
    <row r="123" spans="1:10" hidden="1" outlineLevel="1" x14ac:dyDescent="0.3">
      <c r="A123" s="146" t="s">
        <v>7</v>
      </c>
      <c r="B123" s="147" t="s">
        <v>481</v>
      </c>
      <c r="C123" s="147"/>
      <c r="D123" s="148">
        <f>SUM(D112:D122)</f>
        <v>9755423.5</v>
      </c>
      <c r="E123" s="148">
        <f>SUM(E112:E122)</f>
        <v>4600239.1258333335</v>
      </c>
      <c r="F123" s="148">
        <f>SUM(F112:F122)</f>
        <v>6082262.4674999993</v>
      </c>
      <c r="G123" s="148">
        <f>SUM(G112:G122)</f>
        <v>10682501.593333332</v>
      </c>
      <c r="H123" s="148">
        <f>SUM(H112:H122)</f>
        <v>927078.09333333303</v>
      </c>
      <c r="I123" s="149"/>
      <c r="J123" s="150"/>
    </row>
    <row r="124" spans="1:10" ht="28.8" hidden="1" outlineLevel="2" x14ac:dyDescent="0.3">
      <c r="A124" s="140" t="s">
        <v>7</v>
      </c>
      <c r="B124" s="141" t="s">
        <v>51</v>
      </c>
      <c r="C124" s="141" t="s">
        <v>247</v>
      </c>
      <c r="D124" s="142">
        <v>1260</v>
      </c>
      <c r="E124" s="142">
        <v>1260</v>
      </c>
      <c r="F124" s="142">
        <v>0</v>
      </c>
      <c r="G124" s="142">
        <f>E124+F124</f>
        <v>1260</v>
      </c>
      <c r="H124" s="142">
        <f>G124-D124</f>
        <v>0</v>
      </c>
      <c r="I124" s="151" t="s">
        <v>551</v>
      </c>
      <c r="J124" s="152" t="s">
        <v>532</v>
      </c>
    </row>
    <row r="125" spans="1:10" ht="28.8" hidden="1" outlineLevel="2" x14ac:dyDescent="0.3">
      <c r="A125" s="140" t="s">
        <v>7</v>
      </c>
      <c r="B125" s="141" t="s">
        <v>51</v>
      </c>
      <c r="C125" s="141" t="s">
        <v>281</v>
      </c>
      <c r="D125" s="142">
        <v>39305.700000000004</v>
      </c>
      <c r="E125" s="142">
        <v>2808</v>
      </c>
      <c r="F125" s="142">
        <v>36498</v>
      </c>
      <c r="G125" s="142">
        <f>E125+F125</f>
        <v>39306</v>
      </c>
      <c r="H125" s="142">
        <f>G125-D125</f>
        <v>0.29999999999563443</v>
      </c>
      <c r="I125" s="151" t="s">
        <v>689</v>
      </c>
      <c r="J125" s="152" t="s">
        <v>532</v>
      </c>
    </row>
    <row r="126" spans="1:10" ht="28.8" hidden="1" outlineLevel="2" x14ac:dyDescent="0.3">
      <c r="A126" s="140" t="s">
        <v>7</v>
      </c>
      <c r="B126" s="141" t="s">
        <v>51</v>
      </c>
      <c r="C126" s="141" t="s">
        <v>283</v>
      </c>
      <c r="D126" s="142">
        <v>174825</v>
      </c>
      <c r="E126" s="142">
        <v>72843.75</v>
      </c>
      <c r="F126" s="142">
        <v>101981.25</v>
      </c>
      <c r="G126" s="142">
        <f>E126+F126</f>
        <v>174825</v>
      </c>
      <c r="H126" s="142">
        <f>G126-D126</f>
        <v>0</v>
      </c>
      <c r="I126" s="151" t="s">
        <v>546</v>
      </c>
      <c r="J126" s="152" t="s">
        <v>532</v>
      </c>
    </row>
    <row r="127" spans="1:10" hidden="1" outlineLevel="1" x14ac:dyDescent="0.3">
      <c r="A127" s="146" t="s">
        <v>7</v>
      </c>
      <c r="B127" s="147" t="s">
        <v>482</v>
      </c>
      <c r="C127" s="147"/>
      <c r="D127" s="148">
        <f>SUM(D124:D126)</f>
        <v>215390.7</v>
      </c>
      <c r="E127" s="148">
        <f>SUM(E124:E126)</f>
        <v>76911.75</v>
      </c>
      <c r="F127" s="148">
        <f>SUM(F124:F126)</f>
        <v>138479.25</v>
      </c>
      <c r="G127" s="148">
        <f>SUM(G124:G126)</f>
        <v>215391</v>
      </c>
      <c r="H127" s="148">
        <f>SUM(H124:H126)</f>
        <v>0.29999999999563443</v>
      </c>
      <c r="I127" s="149"/>
      <c r="J127" s="150"/>
    </row>
    <row r="128" spans="1:10" ht="28.8" hidden="1" outlineLevel="2" x14ac:dyDescent="0.3">
      <c r="A128" s="140" t="s">
        <v>7</v>
      </c>
      <c r="B128" s="141" t="s">
        <v>52</v>
      </c>
      <c r="C128" s="141" t="s">
        <v>197</v>
      </c>
      <c r="D128" s="142">
        <v>1211114.9924999999</v>
      </c>
      <c r="E128" s="142">
        <v>635699.3433333335</v>
      </c>
      <c r="F128" s="142">
        <v>575415.35666666669</v>
      </c>
      <c r="G128" s="142">
        <f>E128+F128</f>
        <v>1211114.7000000002</v>
      </c>
      <c r="H128" s="142">
        <f>G128-D128</f>
        <v>-0.2924999997485429</v>
      </c>
      <c r="I128" s="151" t="s">
        <v>546</v>
      </c>
      <c r="J128" s="152" t="s">
        <v>532</v>
      </c>
    </row>
    <row r="129" spans="1:10" ht="28.8" hidden="1" outlineLevel="2" x14ac:dyDescent="0.3">
      <c r="A129" s="140" t="s">
        <v>7</v>
      </c>
      <c r="B129" s="141" t="s">
        <v>52</v>
      </c>
      <c r="C129" s="141" t="s">
        <v>235</v>
      </c>
      <c r="D129" s="142">
        <v>238897.86250000002</v>
      </c>
      <c r="E129" s="142">
        <v>0</v>
      </c>
      <c r="F129" s="142">
        <v>232868.65</v>
      </c>
      <c r="G129" s="142">
        <f>E129+F129</f>
        <v>232868.65</v>
      </c>
      <c r="H129" s="142">
        <f>G129-D129</f>
        <v>-6029.2125000000233</v>
      </c>
      <c r="I129" s="145" t="s">
        <v>704</v>
      </c>
      <c r="J129" s="144" t="s">
        <v>531</v>
      </c>
    </row>
    <row r="130" spans="1:10" ht="28.8" hidden="1" outlineLevel="2" x14ac:dyDescent="0.3">
      <c r="A130" s="140" t="s">
        <v>7</v>
      </c>
      <c r="B130" s="141" t="s">
        <v>52</v>
      </c>
      <c r="C130" s="141" t="s">
        <v>380</v>
      </c>
      <c r="D130" s="142">
        <v>160000</v>
      </c>
      <c r="E130" s="142">
        <v>62500</v>
      </c>
      <c r="F130" s="142">
        <v>97500</v>
      </c>
      <c r="G130" s="142">
        <f>E130+F130</f>
        <v>160000</v>
      </c>
      <c r="H130" s="142">
        <f>G130-D130</f>
        <v>0</v>
      </c>
      <c r="I130" s="151" t="s">
        <v>705</v>
      </c>
      <c r="J130" s="152" t="s">
        <v>532</v>
      </c>
    </row>
    <row r="131" spans="1:10" ht="28.8" hidden="1" outlineLevel="2" x14ac:dyDescent="0.3">
      <c r="A131" s="140" t="s">
        <v>7</v>
      </c>
      <c r="B131" s="141" t="s">
        <v>52</v>
      </c>
      <c r="C131" s="141" t="s">
        <v>138</v>
      </c>
      <c r="D131" s="142">
        <v>175245.90000000002</v>
      </c>
      <c r="E131" s="142">
        <v>57666.666666666672</v>
      </c>
      <c r="F131" s="142">
        <v>117579.65</v>
      </c>
      <c r="G131" s="142">
        <f>E131+F131</f>
        <v>175246.31666666665</v>
      </c>
      <c r="H131" s="142">
        <f>G131-D131</f>
        <v>0.41666666662786156</v>
      </c>
      <c r="I131" s="145" t="s">
        <v>706</v>
      </c>
      <c r="J131" s="144" t="s">
        <v>531</v>
      </c>
    </row>
    <row r="132" spans="1:10" hidden="1" outlineLevel="1" x14ac:dyDescent="0.3">
      <c r="A132" s="146" t="s">
        <v>7</v>
      </c>
      <c r="B132" s="147" t="s">
        <v>483</v>
      </c>
      <c r="C132" s="147"/>
      <c r="D132" s="148">
        <f>SUM(D128:D131)</f>
        <v>1785258.7549999999</v>
      </c>
      <c r="E132" s="148">
        <f>SUM(E128:E131)</f>
        <v>755866.01000000013</v>
      </c>
      <c r="F132" s="148">
        <f>SUM(F128:F131)</f>
        <v>1023363.6566666667</v>
      </c>
      <c r="G132" s="148">
        <f>SUM(G128:G131)</f>
        <v>1779229.6666666667</v>
      </c>
      <c r="H132" s="148">
        <f>SUM(H128:H131)</f>
        <v>-6029.088333333144</v>
      </c>
      <c r="I132" s="149"/>
      <c r="J132" s="150"/>
    </row>
    <row r="133" spans="1:10" ht="28.8" hidden="1" outlineLevel="2" x14ac:dyDescent="0.3">
      <c r="A133" s="140" t="s">
        <v>7</v>
      </c>
      <c r="B133" s="141" t="s">
        <v>53</v>
      </c>
      <c r="C133" s="141" t="s">
        <v>323</v>
      </c>
      <c r="D133" s="142">
        <v>50400</v>
      </c>
      <c r="E133" s="142">
        <v>0</v>
      </c>
      <c r="F133" s="142">
        <v>50400</v>
      </c>
      <c r="G133" s="142">
        <f t="shared" ref="G133:G145" si="10">E133+F133</f>
        <v>50400</v>
      </c>
      <c r="H133" s="142">
        <f t="shared" ref="H133:H145" si="11">G133-D133</f>
        <v>0</v>
      </c>
      <c r="I133" s="151" t="s">
        <v>546</v>
      </c>
      <c r="J133" s="152" t="s">
        <v>532</v>
      </c>
    </row>
    <row r="134" spans="1:10" ht="28.8" hidden="1" outlineLevel="2" x14ac:dyDescent="0.3">
      <c r="A134" s="140" t="s">
        <v>7</v>
      </c>
      <c r="B134" s="141" t="s">
        <v>53</v>
      </c>
      <c r="C134" s="141" t="s">
        <v>221</v>
      </c>
      <c r="D134" s="142">
        <v>99225</v>
      </c>
      <c r="E134" s="142">
        <v>40500</v>
      </c>
      <c r="F134" s="142">
        <v>58725</v>
      </c>
      <c r="G134" s="142">
        <f t="shared" si="10"/>
        <v>99225</v>
      </c>
      <c r="H134" s="142">
        <f t="shared" si="11"/>
        <v>0</v>
      </c>
      <c r="I134" s="151" t="s">
        <v>546</v>
      </c>
      <c r="J134" s="152" t="s">
        <v>532</v>
      </c>
    </row>
    <row r="135" spans="1:10" ht="28.8" hidden="1" outlineLevel="2" x14ac:dyDescent="0.3">
      <c r="A135" s="140" t="s">
        <v>7</v>
      </c>
      <c r="B135" s="141" t="s">
        <v>53</v>
      </c>
      <c r="C135" s="141" t="s">
        <v>57</v>
      </c>
      <c r="D135" s="142">
        <v>2512</v>
      </c>
      <c r="E135" s="142">
        <v>8136.97</v>
      </c>
      <c r="F135" s="142">
        <v>0</v>
      </c>
      <c r="G135" s="142">
        <f t="shared" si="10"/>
        <v>8136.97</v>
      </c>
      <c r="H135" s="142">
        <f t="shared" si="11"/>
        <v>5624.97</v>
      </c>
      <c r="I135" s="159" t="s">
        <v>707</v>
      </c>
      <c r="J135" s="158" t="s">
        <v>41</v>
      </c>
    </row>
    <row r="136" spans="1:10" ht="28.8" hidden="1" outlineLevel="2" x14ac:dyDescent="0.3">
      <c r="A136" s="140" t="s">
        <v>7</v>
      </c>
      <c r="B136" s="141" t="s">
        <v>53</v>
      </c>
      <c r="C136" s="141" t="s">
        <v>307</v>
      </c>
      <c r="D136" s="142">
        <v>32760</v>
      </c>
      <c r="E136" s="142">
        <v>0</v>
      </c>
      <c r="F136" s="142">
        <v>32760</v>
      </c>
      <c r="G136" s="142">
        <f t="shared" si="10"/>
        <v>32760</v>
      </c>
      <c r="H136" s="142">
        <f t="shared" si="11"/>
        <v>0</v>
      </c>
      <c r="I136" s="151" t="s">
        <v>546</v>
      </c>
      <c r="J136" s="152" t="s">
        <v>532</v>
      </c>
    </row>
    <row r="137" spans="1:10" ht="28.8" hidden="1" outlineLevel="2" x14ac:dyDescent="0.3">
      <c r="A137" s="140" t="s">
        <v>7</v>
      </c>
      <c r="B137" s="141" t="s">
        <v>53</v>
      </c>
      <c r="C137" s="141" t="s">
        <v>317</v>
      </c>
      <c r="D137" s="142">
        <v>3150</v>
      </c>
      <c r="E137" s="142">
        <v>0</v>
      </c>
      <c r="F137" s="142">
        <v>3150</v>
      </c>
      <c r="G137" s="142">
        <f t="shared" si="10"/>
        <v>3150</v>
      </c>
      <c r="H137" s="142">
        <f t="shared" si="11"/>
        <v>0</v>
      </c>
      <c r="I137" s="151" t="s">
        <v>546</v>
      </c>
      <c r="J137" s="152" t="s">
        <v>532</v>
      </c>
    </row>
    <row r="138" spans="1:10" ht="28.8" hidden="1" outlineLevel="2" x14ac:dyDescent="0.3">
      <c r="A138" s="140" t="s">
        <v>7</v>
      </c>
      <c r="B138" s="141" t="s">
        <v>53</v>
      </c>
      <c r="C138" s="141" t="s">
        <v>332</v>
      </c>
      <c r="D138" s="142">
        <v>48934</v>
      </c>
      <c r="E138" s="142">
        <v>8895</v>
      </c>
      <c r="F138" s="142">
        <v>40037</v>
      </c>
      <c r="G138" s="142">
        <f t="shared" si="10"/>
        <v>48932</v>
      </c>
      <c r="H138" s="142">
        <f t="shared" si="11"/>
        <v>-2</v>
      </c>
      <c r="I138" s="151" t="s">
        <v>546</v>
      </c>
      <c r="J138" s="152" t="s">
        <v>532</v>
      </c>
    </row>
    <row r="139" spans="1:10" ht="28.8" hidden="1" outlineLevel="2" x14ac:dyDescent="0.3">
      <c r="A139" s="140" t="s">
        <v>7</v>
      </c>
      <c r="B139" s="141" t="s">
        <v>53</v>
      </c>
      <c r="C139" s="141" t="s">
        <v>241</v>
      </c>
      <c r="D139" s="142">
        <v>90000</v>
      </c>
      <c r="E139" s="142">
        <v>0</v>
      </c>
      <c r="F139" s="142">
        <v>90000</v>
      </c>
      <c r="G139" s="142">
        <f t="shared" si="10"/>
        <v>90000</v>
      </c>
      <c r="H139" s="142">
        <f t="shared" si="11"/>
        <v>0</v>
      </c>
      <c r="I139" s="151" t="s">
        <v>546</v>
      </c>
      <c r="J139" s="152" t="s">
        <v>532</v>
      </c>
    </row>
    <row r="140" spans="1:10" ht="28.8" hidden="1" outlineLevel="2" x14ac:dyDescent="0.3">
      <c r="A140" s="140" t="s">
        <v>7</v>
      </c>
      <c r="B140" s="141" t="s">
        <v>53</v>
      </c>
      <c r="C140" s="141" t="s">
        <v>319</v>
      </c>
      <c r="D140" s="142">
        <v>2594.5500000000002</v>
      </c>
      <c r="E140" s="142">
        <v>0</v>
      </c>
      <c r="F140" s="142">
        <v>2595</v>
      </c>
      <c r="G140" s="142">
        <f t="shared" si="10"/>
        <v>2595</v>
      </c>
      <c r="H140" s="142">
        <f t="shared" si="11"/>
        <v>0.4499999999998181</v>
      </c>
      <c r="I140" s="151" t="s">
        <v>689</v>
      </c>
      <c r="J140" s="152" t="s">
        <v>532</v>
      </c>
    </row>
    <row r="141" spans="1:10" ht="28.8" hidden="1" outlineLevel="2" x14ac:dyDescent="0.3">
      <c r="A141" s="140" t="s">
        <v>7</v>
      </c>
      <c r="B141" s="141" t="s">
        <v>53</v>
      </c>
      <c r="C141" s="141" t="s">
        <v>401</v>
      </c>
      <c r="D141" s="142">
        <v>100000</v>
      </c>
      <c r="E141" s="142">
        <v>0</v>
      </c>
      <c r="F141" s="142">
        <v>113850</v>
      </c>
      <c r="G141" s="142">
        <f t="shared" si="10"/>
        <v>113850</v>
      </c>
      <c r="H141" s="142">
        <f t="shared" si="11"/>
        <v>13850</v>
      </c>
      <c r="I141" s="159" t="s">
        <v>708</v>
      </c>
      <c r="J141" s="158" t="s">
        <v>41</v>
      </c>
    </row>
    <row r="142" spans="1:10" ht="28.8" hidden="1" outlineLevel="2" x14ac:dyDescent="0.3">
      <c r="A142" s="140" t="s">
        <v>7</v>
      </c>
      <c r="B142" s="141" t="s">
        <v>53</v>
      </c>
      <c r="C142" s="141" t="s">
        <v>275</v>
      </c>
      <c r="D142" s="142">
        <v>72888.816000000006</v>
      </c>
      <c r="E142" s="142">
        <v>69417.919999999998</v>
      </c>
      <c r="F142" s="142">
        <v>0</v>
      </c>
      <c r="G142" s="142">
        <f t="shared" si="10"/>
        <v>69417.919999999998</v>
      </c>
      <c r="H142" s="142">
        <f t="shared" si="11"/>
        <v>-3470.8960000000079</v>
      </c>
      <c r="I142" s="145" t="s">
        <v>709</v>
      </c>
      <c r="J142" s="144" t="s">
        <v>158</v>
      </c>
    </row>
    <row r="143" spans="1:10" ht="28.8" hidden="1" outlineLevel="2" x14ac:dyDescent="0.3">
      <c r="A143" s="140" t="s">
        <v>7</v>
      </c>
      <c r="B143" s="141" t="s">
        <v>53</v>
      </c>
      <c r="C143" s="141" t="s">
        <v>346</v>
      </c>
      <c r="D143" s="142">
        <v>139031.20000000001</v>
      </c>
      <c r="E143" s="142">
        <v>56980</v>
      </c>
      <c r="F143" s="142">
        <v>82051.666666666672</v>
      </c>
      <c r="G143" s="142">
        <f t="shared" si="10"/>
        <v>139031.66666666669</v>
      </c>
      <c r="H143" s="142">
        <f t="shared" si="11"/>
        <v>0.46666666667442769</v>
      </c>
      <c r="I143" s="151" t="s">
        <v>689</v>
      </c>
      <c r="J143" s="152" t="s">
        <v>532</v>
      </c>
    </row>
    <row r="144" spans="1:10" hidden="1" outlineLevel="2" x14ac:dyDescent="0.3">
      <c r="A144" s="140" t="s">
        <v>7</v>
      </c>
      <c r="B144" s="141" t="s">
        <v>53</v>
      </c>
      <c r="C144" s="141" t="s">
        <v>297</v>
      </c>
      <c r="D144" s="142">
        <v>70432.698000000004</v>
      </c>
      <c r="E144" s="142">
        <v>878.21</v>
      </c>
      <c r="F144" s="142">
        <v>69432.698000000004</v>
      </c>
      <c r="G144" s="142">
        <f t="shared" si="10"/>
        <v>70310.90800000001</v>
      </c>
      <c r="H144" s="142">
        <f t="shared" si="11"/>
        <v>-121.7899999999936</v>
      </c>
      <c r="I144" s="151" t="s">
        <v>710</v>
      </c>
      <c r="J144" s="152" t="s">
        <v>531</v>
      </c>
    </row>
    <row r="145" spans="1:10" ht="28.8" hidden="1" outlineLevel="2" x14ac:dyDescent="0.3">
      <c r="A145" s="140" t="s">
        <v>7</v>
      </c>
      <c r="B145" s="141" t="s">
        <v>53</v>
      </c>
      <c r="C145" s="141" t="s">
        <v>214</v>
      </c>
      <c r="D145" s="142">
        <v>440671.35000000003</v>
      </c>
      <c r="E145" s="142">
        <v>108702.6</v>
      </c>
      <c r="F145" s="142">
        <v>331968.40000000002</v>
      </c>
      <c r="G145" s="142">
        <f t="shared" si="10"/>
        <v>440671</v>
      </c>
      <c r="H145" s="142">
        <f t="shared" si="11"/>
        <v>-0.3500000000349246</v>
      </c>
      <c r="I145" s="151" t="s">
        <v>689</v>
      </c>
      <c r="J145" s="152" t="s">
        <v>532</v>
      </c>
    </row>
    <row r="146" spans="1:10" hidden="1" outlineLevel="1" x14ac:dyDescent="0.3">
      <c r="A146" s="146" t="s">
        <v>7</v>
      </c>
      <c r="B146" s="147" t="s">
        <v>484</v>
      </c>
      <c r="C146" s="147"/>
      <c r="D146" s="148">
        <f>SUM(D133:D145)</f>
        <v>1152599.6140000001</v>
      </c>
      <c r="E146" s="148">
        <f>SUM(E133:E145)</f>
        <v>293510.7</v>
      </c>
      <c r="F146" s="148">
        <f>SUM(F133:F145)</f>
        <v>874969.76466666674</v>
      </c>
      <c r="G146" s="148">
        <f>SUM(G133:G145)</f>
        <v>1168480.4646666667</v>
      </c>
      <c r="H146" s="148">
        <f>SUM(H133:H145)</f>
        <v>15880.850666666636</v>
      </c>
      <c r="I146" s="149"/>
      <c r="J146" s="150"/>
    </row>
    <row r="147" spans="1:10" collapsed="1" x14ac:dyDescent="0.3">
      <c r="A147" s="160" t="s">
        <v>552</v>
      </c>
      <c r="B147" s="161"/>
      <c r="C147" s="161"/>
      <c r="D147" s="162">
        <f>SUM(D101,D111,D123,D127,D132,D146)</f>
        <v>20398429.541149996</v>
      </c>
      <c r="E147" s="162">
        <f>SUM(E101,E111,E123,E127,E132,E146)</f>
        <v>8134460.5133333327</v>
      </c>
      <c r="F147" s="162">
        <f>SUM(F101,F111,F123,F127,F132,F146)</f>
        <v>13342532.644333333</v>
      </c>
      <c r="G147" s="162">
        <f>SUM(G101,G111,G123,G127,G132,G146)</f>
        <v>21476993.157666668</v>
      </c>
      <c r="H147" s="162">
        <f>SUM(H101,H111,H123,H127,H132,H146)</f>
        <v>1078563.6165166663</v>
      </c>
      <c r="I147" s="163"/>
      <c r="J147" s="164"/>
    </row>
    <row r="149" spans="1:10" x14ac:dyDescent="0.3">
      <c r="D149" s="165">
        <f>SUM(D147,D92,D73,D59,D42,D21,D15)</f>
        <v>44788397.956149995</v>
      </c>
      <c r="E149" s="165">
        <f t="shared" ref="E149:H149" si="12">SUM(E147,E92,E73,E59,E42,E21,E15)</f>
        <v>17444836.636733335</v>
      </c>
      <c r="F149" s="165">
        <f t="shared" si="12"/>
        <v>28731180.496833332</v>
      </c>
      <c r="G149" s="165">
        <f t="shared" si="12"/>
        <v>46176017.13356667</v>
      </c>
      <c r="H149" s="165">
        <f t="shared" si="12"/>
        <v>1387619.1774166673</v>
      </c>
    </row>
    <row r="151" spans="1:10" x14ac:dyDescent="0.3">
      <c r="B151" s="166"/>
    </row>
    <row r="152" spans="1:10" x14ac:dyDescent="0.3">
      <c r="B152" s="166"/>
    </row>
  </sheetData>
  <autoFilter ref="A1:O152" xr:uid="{D1E03DB6-5375-4A68-B640-A8140BFCB75E}"/>
  <conditionalFormatting sqref="I2:I43 I45:I67 I69:I149">
    <cfRule type="expression" dxfId="1399" priority="1">
      <formula>$J2="Hard Opportunity"</formula>
    </cfRule>
    <cfRule type="expression" dxfId="1398" priority="2">
      <formula>$J2="Hard Risk"</formula>
    </cfRule>
    <cfRule type="expression" dxfId="1397" priority="3">
      <formula>$J2="Soft Opportunity"</formula>
    </cfRule>
    <cfRule type="expression" dxfId="1396" priority="4">
      <formula>$J2="Soft Risk"</formula>
    </cfRule>
  </conditionalFormatting>
  <conditionalFormatting sqref="J2:J149">
    <cfRule type="expression" dxfId="1395" priority="5">
      <formula>$J2="Hard Opportunity"</formula>
    </cfRule>
    <cfRule type="expression" dxfId="1394" priority="6">
      <formula>$J2="Hard Risk"</formula>
    </cfRule>
    <cfRule type="expression" dxfId="1393" priority="7">
      <formula>$J2="Soft Opportunity"</formula>
    </cfRule>
    <cfRule type="expression" dxfId="1392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4" sqref="C14"/>
    </sheetView>
  </sheetViews>
  <sheetFormatPr defaultRowHeight="14.4" x14ac:dyDescent="0.3"/>
  <cols>
    <col min="1" max="1" width="45.88671875" bestFit="1" customWidth="1"/>
    <col min="2" max="2" width="21.88671875" bestFit="1" customWidth="1"/>
    <col min="3" max="3" width="19.77734375" bestFit="1" customWidth="1"/>
    <col min="4" max="4" width="20.88671875" bestFit="1" customWidth="1"/>
    <col min="5" max="5" width="28.21875" bestFit="1" customWidth="1"/>
    <col min="6" max="6" width="15" bestFit="1" customWidth="1"/>
    <col min="7" max="7" width="21.6640625" bestFit="1" customWidth="1"/>
    <col min="8" max="8" width="27.33203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42</v>
      </c>
      <c r="B2" t="s">
        <v>43</v>
      </c>
    </row>
    <row r="4" spans="1:8" x14ac:dyDescent="0.3">
      <c r="A4" s="8" t="s">
        <v>1</v>
      </c>
      <c r="B4" t="s">
        <v>0</v>
      </c>
      <c r="C4" t="s">
        <v>735</v>
      </c>
      <c r="D4" t="s">
        <v>736</v>
      </c>
      <c r="E4" t="s">
        <v>565</v>
      </c>
      <c r="F4" t="s">
        <v>44</v>
      </c>
      <c r="G4" t="s">
        <v>45</v>
      </c>
      <c r="H4" t="s">
        <v>737</v>
      </c>
    </row>
    <row r="5" spans="1:8" x14ac:dyDescent="0.3">
      <c r="A5" s="9" t="s">
        <v>399</v>
      </c>
      <c r="B5" s="187">
        <v>262896</v>
      </c>
      <c r="C5" s="6">
        <v>0</v>
      </c>
      <c r="D5" s="6">
        <v>162896</v>
      </c>
      <c r="E5" s="6">
        <v>162896</v>
      </c>
      <c r="F5" s="6">
        <v>0</v>
      </c>
      <c r="G5" s="6">
        <v>-100000</v>
      </c>
      <c r="H5" s="6">
        <v>-100000</v>
      </c>
    </row>
    <row r="6" spans="1:8" x14ac:dyDescent="0.3">
      <c r="A6" s="189" t="s">
        <v>124</v>
      </c>
      <c r="B6" s="187">
        <v>262896</v>
      </c>
      <c r="C6" s="6">
        <v>0</v>
      </c>
      <c r="D6" s="6">
        <v>162896</v>
      </c>
      <c r="E6" s="6">
        <v>162896</v>
      </c>
      <c r="F6" s="6">
        <v>0</v>
      </c>
      <c r="G6" s="6">
        <v>-100000</v>
      </c>
      <c r="H6" s="6">
        <v>-100000</v>
      </c>
    </row>
    <row r="7" spans="1:8" x14ac:dyDescent="0.3">
      <c r="A7" s="188" t="s">
        <v>2</v>
      </c>
      <c r="B7" s="187">
        <v>262896</v>
      </c>
      <c r="C7" s="6">
        <v>0</v>
      </c>
      <c r="D7" s="6">
        <v>162896</v>
      </c>
      <c r="E7" s="6">
        <v>162896</v>
      </c>
      <c r="F7" s="6">
        <v>0</v>
      </c>
      <c r="G7" s="6">
        <v>-100000</v>
      </c>
      <c r="H7" s="6">
        <v>-100000</v>
      </c>
    </row>
    <row r="8" spans="1:8" x14ac:dyDescent="0.3">
      <c r="A8" s="9" t="s">
        <v>321</v>
      </c>
      <c r="B8" s="187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 x14ac:dyDescent="0.3">
      <c r="A9" s="189" t="s">
        <v>106</v>
      </c>
      <c r="B9" s="187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 x14ac:dyDescent="0.3">
      <c r="A10" s="188" t="s">
        <v>7</v>
      </c>
      <c r="B10" s="187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 x14ac:dyDescent="0.3">
      <c r="A11" s="9" t="s">
        <v>405</v>
      </c>
      <c r="B11" s="187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 x14ac:dyDescent="0.3">
      <c r="A12" s="189" t="s">
        <v>106</v>
      </c>
      <c r="B12" s="187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 x14ac:dyDescent="0.3">
      <c r="A13" s="188" t="s">
        <v>7</v>
      </c>
      <c r="B13" s="187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 x14ac:dyDescent="0.3">
      <c r="A14" s="9" t="s">
        <v>357</v>
      </c>
      <c r="B14" s="187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 x14ac:dyDescent="0.3">
      <c r="A15" s="189" t="s">
        <v>106</v>
      </c>
      <c r="B15" s="187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 x14ac:dyDescent="0.3">
      <c r="A16" s="188" t="s">
        <v>4</v>
      </c>
      <c r="B16" s="187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 x14ac:dyDescent="0.3">
      <c r="A17" s="9" t="s">
        <v>73</v>
      </c>
      <c r="B17" s="187">
        <v>3649280</v>
      </c>
      <c r="C17" s="6">
        <v>1485626</v>
      </c>
      <c r="D17" s="6">
        <v>1881080</v>
      </c>
      <c r="E17" s="6">
        <v>3366706</v>
      </c>
      <c r="F17" s="6">
        <v>150108</v>
      </c>
      <c r="G17" s="6">
        <v>-432682</v>
      </c>
      <c r="H17" s="6">
        <v>-282574</v>
      </c>
    </row>
    <row r="18" spans="1:8" x14ac:dyDescent="0.3">
      <c r="A18" s="189" t="s">
        <v>124</v>
      </c>
      <c r="B18" s="187">
        <v>3649280</v>
      </c>
      <c r="C18" s="6">
        <v>1485626</v>
      </c>
      <c r="D18" s="6">
        <v>1881080</v>
      </c>
      <c r="E18" s="6">
        <v>3366706</v>
      </c>
      <c r="F18" s="6">
        <v>150108</v>
      </c>
      <c r="G18" s="6">
        <v>-432682</v>
      </c>
      <c r="H18" s="6">
        <v>-282574</v>
      </c>
    </row>
    <row r="19" spans="1:8" x14ac:dyDescent="0.3">
      <c r="A19" s="188" t="s">
        <v>46</v>
      </c>
      <c r="B19" s="187">
        <v>3649280</v>
      </c>
      <c r="C19" s="6">
        <v>1485626</v>
      </c>
      <c r="D19" s="6">
        <v>1881080</v>
      </c>
      <c r="E19" s="6">
        <v>3366706</v>
      </c>
      <c r="F19" s="6">
        <v>150108</v>
      </c>
      <c r="G19" s="6">
        <v>-432682</v>
      </c>
      <c r="H19" s="6">
        <v>-282574</v>
      </c>
    </row>
    <row r="20" spans="1:8" x14ac:dyDescent="0.3">
      <c r="A20" s="9" t="s">
        <v>121</v>
      </c>
      <c r="B20" s="187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 x14ac:dyDescent="0.3">
      <c r="A21" s="189" t="s">
        <v>124</v>
      </c>
      <c r="B21" s="187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 x14ac:dyDescent="0.3">
      <c r="A22" s="188" t="s">
        <v>5</v>
      </c>
      <c r="B22" s="187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 x14ac:dyDescent="0.3">
      <c r="A23" s="9" t="s">
        <v>367</v>
      </c>
      <c r="B23" s="187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 x14ac:dyDescent="0.3">
      <c r="A24" s="189" t="s">
        <v>106</v>
      </c>
      <c r="B24" s="187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 x14ac:dyDescent="0.3">
      <c r="A25" s="188" t="s">
        <v>6</v>
      </c>
      <c r="B25" s="187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 x14ac:dyDescent="0.3">
      <c r="A26" s="9" t="s">
        <v>58</v>
      </c>
      <c r="B26" s="187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 x14ac:dyDescent="0.3">
      <c r="A27" s="189" t="s">
        <v>106</v>
      </c>
      <c r="B27" s="187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 x14ac:dyDescent="0.3">
      <c r="A28" s="188" t="s">
        <v>4</v>
      </c>
      <c r="B28" s="187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 x14ac:dyDescent="0.3">
      <c r="A29" s="9" t="s">
        <v>59</v>
      </c>
      <c r="B29" s="187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 x14ac:dyDescent="0.3">
      <c r="A30" s="189" t="s">
        <v>106</v>
      </c>
      <c r="B30" s="187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 x14ac:dyDescent="0.3">
      <c r="A31" s="188" t="s">
        <v>4</v>
      </c>
      <c r="B31" s="187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 x14ac:dyDescent="0.3">
      <c r="A32" s="9" t="s">
        <v>60</v>
      </c>
      <c r="B32" s="187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 x14ac:dyDescent="0.3">
      <c r="A33" s="189" t="s">
        <v>106</v>
      </c>
      <c r="B33" s="187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 x14ac:dyDescent="0.3">
      <c r="A34" s="188" t="s">
        <v>4</v>
      </c>
      <c r="B34" s="187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 x14ac:dyDescent="0.3">
      <c r="A35" s="9" t="s">
        <v>159</v>
      </c>
      <c r="B35" s="187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 x14ac:dyDescent="0.3">
      <c r="A36" s="189" t="s">
        <v>106</v>
      </c>
      <c r="B36" s="187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 x14ac:dyDescent="0.3">
      <c r="A37" s="188" t="s">
        <v>6</v>
      </c>
      <c r="B37" s="187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 x14ac:dyDescent="0.3">
      <c r="A38" s="9" t="s">
        <v>197</v>
      </c>
      <c r="B38" s="187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 x14ac:dyDescent="0.3">
      <c r="A39" s="189" t="s">
        <v>106</v>
      </c>
      <c r="B39" s="187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 x14ac:dyDescent="0.3">
      <c r="A40" s="188" t="s">
        <v>7</v>
      </c>
      <c r="B40" s="187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 x14ac:dyDescent="0.3">
      <c r="A41" s="9" t="s">
        <v>323</v>
      </c>
      <c r="B41" s="187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 x14ac:dyDescent="0.3">
      <c r="A42" s="189" t="s">
        <v>106</v>
      </c>
      <c r="B42" s="187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 x14ac:dyDescent="0.3">
      <c r="A43" s="188" t="s">
        <v>7</v>
      </c>
      <c r="B43" s="187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 x14ac:dyDescent="0.3">
      <c r="A44" s="9" t="s">
        <v>221</v>
      </c>
      <c r="B44" s="187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 x14ac:dyDescent="0.3">
      <c r="A45" s="189" t="s">
        <v>106</v>
      </c>
      <c r="B45" s="187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 x14ac:dyDescent="0.3">
      <c r="A46" s="188" t="s">
        <v>5</v>
      </c>
      <c r="B46" s="187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 x14ac:dyDescent="0.3">
      <c r="A47" s="188" t="s">
        <v>7</v>
      </c>
      <c r="B47" s="187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 x14ac:dyDescent="0.3">
      <c r="A48" s="9" t="s">
        <v>57</v>
      </c>
      <c r="B48" s="187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82018.178749999977</v>
      </c>
      <c r="G48" s="6">
        <v>-28923.586666666666</v>
      </c>
      <c r="H48" s="6">
        <v>53094.592083333315</v>
      </c>
    </row>
    <row r="49" spans="1:8" x14ac:dyDescent="0.3">
      <c r="A49" s="189" t="s">
        <v>106</v>
      </c>
      <c r="B49" s="187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82018.178749999977</v>
      </c>
      <c r="G49" s="6">
        <v>-28923.586666666666</v>
      </c>
      <c r="H49" s="6">
        <v>53094.592083333315</v>
      </c>
    </row>
    <row r="50" spans="1:8" x14ac:dyDescent="0.3">
      <c r="A50" s="188" t="s">
        <v>3</v>
      </c>
      <c r="B50" s="187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 x14ac:dyDescent="0.3">
      <c r="A51" s="188" t="s">
        <v>4</v>
      </c>
      <c r="B51" s="187">
        <v>180000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-19619.159999999974</v>
      </c>
      <c r="H51" s="6">
        <v>-19619.159999999974</v>
      </c>
    </row>
    <row r="52" spans="1:8" x14ac:dyDescent="0.3">
      <c r="A52" s="188" t="s">
        <v>7</v>
      </c>
      <c r="B52" s="187">
        <v>1340514.9220000003</v>
      </c>
      <c r="C52" s="6">
        <v>21456.699999999997</v>
      </c>
      <c r="D52" s="6">
        <v>1326076.12075</v>
      </c>
      <c r="E52" s="6">
        <v>1347532.8207500002</v>
      </c>
      <c r="F52" s="6">
        <v>7018.1787499999837</v>
      </c>
      <c r="G52" s="6">
        <v>-0.28000000002793968</v>
      </c>
      <c r="H52" s="6">
        <v>7017.8987499999557</v>
      </c>
    </row>
    <row r="53" spans="1:8" x14ac:dyDescent="0.3">
      <c r="A53" s="9" t="s">
        <v>61</v>
      </c>
      <c r="B53" s="187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 x14ac:dyDescent="0.3">
      <c r="A54" s="189" t="s">
        <v>106</v>
      </c>
      <c r="B54" s="187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 x14ac:dyDescent="0.3">
      <c r="A55" s="188" t="s">
        <v>4</v>
      </c>
      <c r="B55" s="187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 x14ac:dyDescent="0.3">
      <c r="A56" s="9" t="s">
        <v>170</v>
      </c>
      <c r="B56" s="187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 x14ac:dyDescent="0.3">
      <c r="A57" s="189" t="s">
        <v>106</v>
      </c>
      <c r="B57" s="187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 x14ac:dyDescent="0.3">
      <c r="A58" s="188" t="s">
        <v>6</v>
      </c>
      <c r="B58" s="187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 x14ac:dyDescent="0.3">
      <c r="A59" s="9" t="s">
        <v>307</v>
      </c>
      <c r="B59" s="187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 x14ac:dyDescent="0.3">
      <c r="A60" s="189" t="s">
        <v>106</v>
      </c>
      <c r="B60" s="187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 x14ac:dyDescent="0.3">
      <c r="A61" s="188" t="s">
        <v>7</v>
      </c>
      <c r="B61" s="187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 x14ac:dyDescent="0.3">
      <c r="A62" s="9" t="s">
        <v>233</v>
      </c>
      <c r="B62" s="187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 x14ac:dyDescent="0.3">
      <c r="A63" s="189" t="s">
        <v>106</v>
      </c>
      <c r="B63" s="187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 x14ac:dyDescent="0.3">
      <c r="A64" s="188" t="s">
        <v>7</v>
      </c>
      <c r="B64" s="187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 x14ac:dyDescent="0.3">
      <c r="A65" s="9" t="s">
        <v>312</v>
      </c>
      <c r="B65" s="187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 x14ac:dyDescent="0.3">
      <c r="A66" s="189" t="s">
        <v>106</v>
      </c>
      <c r="B66" s="187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 x14ac:dyDescent="0.3">
      <c r="A67" s="188" t="s">
        <v>7</v>
      </c>
      <c r="B67" s="187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 x14ac:dyDescent="0.3">
      <c r="A68" s="9" t="s">
        <v>317</v>
      </c>
      <c r="B68" s="187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 x14ac:dyDescent="0.3">
      <c r="A69" s="189" t="s">
        <v>106</v>
      </c>
      <c r="B69" s="187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 x14ac:dyDescent="0.3">
      <c r="A70" s="188" t="s">
        <v>7</v>
      </c>
      <c r="B70" s="187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 x14ac:dyDescent="0.3">
      <c r="A71" s="9" t="s">
        <v>415</v>
      </c>
      <c r="B71" s="187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 x14ac:dyDescent="0.3">
      <c r="A72" s="189" t="s">
        <v>106</v>
      </c>
      <c r="B72" s="187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 x14ac:dyDescent="0.3">
      <c r="A73" s="188" t="s">
        <v>7</v>
      </c>
      <c r="B73" s="187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 x14ac:dyDescent="0.3">
      <c r="A74" s="9" t="s">
        <v>181</v>
      </c>
      <c r="B74" s="187">
        <v>4019347.1</v>
      </c>
      <c r="C74" s="6">
        <v>1436871.5599999998</v>
      </c>
      <c r="D74" s="6">
        <v>2276840</v>
      </c>
      <c r="E74" s="6">
        <v>3713711.56</v>
      </c>
      <c r="F74" s="6">
        <v>402563.91999999993</v>
      </c>
      <c r="G74" s="6">
        <v>-708199.46</v>
      </c>
      <c r="H74" s="6">
        <v>-305635.5400000001</v>
      </c>
    </row>
    <row r="75" spans="1:8" x14ac:dyDescent="0.3">
      <c r="A75" s="189" t="s">
        <v>124</v>
      </c>
      <c r="B75" s="187">
        <v>3918503</v>
      </c>
      <c r="C75" s="6">
        <v>1340829.92</v>
      </c>
      <c r="D75" s="6">
        <v>2276840</v>
      </c>
      <c r="E75" s="6">
        <v>3617669.92</v>
      </c>
      <c r="F75" s="6">
        <v>402563.91999999993</v>
      </c>
      <c r="G75" s="6">
        <v>-703397</v>
      </c>
      <c r="H75" s="6">
        <v>-300833.08000000007</v>
      </c>
    </row>
    <row r="76" spans="1:8" x14ac:dyDescent="0.3">
      <c r="A76" s="188" t="s">
        <v>2</v>
      </c>
      <c r="B76" s="187">
        <v>259071</v>
      </c>
      <c r="C76" s="6">
        <v>0</v>
      </c>
      <c r="D76" s="6">
        <v>0</v>
      </c>
      <c r="E76" s="6">
        <v>0</v>
      </c>
      <c r="F76" s="6">
        <v>0</v>
      </c>
      <c r="G76" s="6">
        <v>-259071</v>
      </c>
      <c r="H76" s="6">
        <v>-259071</v>
      </c>
    </row>
    <row r="77" spans="1:8" x14ac:dyDescent="0.3">
      <c r="A77" s="188" t="s">
        <v>46</v>
      </c>
      <c r="B77" s="187">
        <v>1646880</v>
      </c>
      <c r="C77" s="6">
        <v>620349.91999999993</v>
      </c>
      <c r="D77" s="6">
        <v>818680</v>
      </c>
      <c r="E77" s="6">
        <v>1439029.92</v>
      </c>
      <c r="F77" s="6">
        <v>155563.91999999993</v>
      </c>
      <c r="G77" s="6">
        <v>-363414</v>
      </c>
      <c r="H77" s="6">
        <v>-207850.08000000007</v>
      </c>
    </row>
    <row r="78" spans="1:8" x14ac:dyDescent="0.3">
      <c r="A78" s="188" t="s">
        <v>5</v>
      </c>
      <c r="B78" s="187">
        <v>2012552</v>
      </c>
      <c r="C78" s="6">
        <v>720480</v>
      </c>
      <c r="D78" s="6">
        <v>1458160</v>
      </c>
      <c r="E78" s="6">
        <v>2178640</v>
      </c>
      <c r="F78" s="6">
        <v>247000</v>
      </c>
      <c r="G78" s="6">
        <v>-80912</v>
      </c>
      <c r="H78" s="6">
        <v>166088</v>
      </c>
    </row>
    <row r="79" spans="1:8" x14ac:dyDescent="0.3">
      <c r="A79" s="189" t="s">
        <v>106</v>
      </c>
      <c r="B79" s="187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 x14ac:dyDescent="0.3">
      <c r="A80" s="188" t="s">
        <v>7</v>
      </c>
      <c r="B80" s="187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 x14ac:dyDescent="0.3">
      <c r="A81" s="9" t="s">
        <v>62</v>
      </c>
      <c r="B81" s="187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 x14ac:dyDescent="0.3">
      <c r="A82" s="189" t="s">
        <v>106</v>
      </c>
      <c r="B82" s="187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 x14ac:dyDescent="0.3">
      <c r="A83" s="188" t="s">
        <v>4</v>
      </c>
      <c r="B83" s="187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 x14ac:dyDescent="0.3">
      <c r="A84" s="9" t="s">
        <v>63</v>
      </c>
      <c r="B84" s="187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 x14ac:dyDescent="0.3">
      <c r="A85" s="189" t="s">
        <v>106</v>
      </c>
      <c r="B85" s="187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 x14ac:dyDescent="0.3">
      <c r="A86" s="188" t="s">
        <v>4</v>
      </c>
      <c r="B86" s="187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 x14ac:dyDescent="0.3">
      <c r="A87" s="9" t="s">
        <v>185</v>
      </c>
      <c r="B87" s="187">
        <v>218880</v>
      </c>
      <c r="C87" s="6">
        <v>85892</v>
      </c>
      <c r="D87" s="6">
        <v>127680</v>
      </c>
      <c r="E87" s="6">
        <v>213572</v>
      </c>
      <c r="F87" s="6">
        <v>0</v>
      </c>
      <c r="G87" s="6">
        <v>-5308</v>
      </c>
      <c r="H87" s="6">
        <v>-5308</v>
      </c>
    </row>
    <row r="88" spans="1:8" x14ac:dyDescent="0.3">
      <c r="A88" s="189" t="s">
        <v>124</v>
      </c>
      <c r="B88" s="187">
        <v>218880</v>
      </c>
      <c r="C88" s="6">
        <v>85892</v>
      </c>
      <c r="D88" s="6">
        <v>127680</v>
      </c>
      <c r="E88" s="6">
        <v>213572</v>
      </c>
      <c r="F88" s="6">
        <v>0</v>
      </c>
      <c r="G88" s="6">
        <v>-5308</v>
      </c>
      <c r="H88" s="6">
        <v>-5308</v>
      </c>
    </row>
    <row r="89" spans="1:8" x14ac:dyDescent="0.3">
      <c r="A89" s="188" t="s">
        <v>46</v>
      </c>
      <c r="B89" s="187">
        <v>218880</v>
      </c>
      <c r="C89" s="6">
        <v>85892</v>
      </c>
      <c r="D89" s="6">
        <v>127680</v>
      </c>
      <c r="E89" s="6">
        <v>213572</v>
      </c>
      <c r="F89" s="6">
        <v>0</v>
      </c>
      <c r="G89" s="6">
        <v>-5308</v>
      </c>
      <c r="H89" s="6">
        <v>-5308</v>
      </c>
    </row>
    <row r="90" spans="1:8" x14ac:dyDescent="0.3">
      <c r="A90" s="9" t="s">
        <v>740</v>
      </c>
      <c r="B90" s="187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 x14ac:dyDescent="0.3">
      <c r="A91" s="189" t="s">
        <v>106</v>
      </c>
      <c r="B91" s="187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 x14ac:dyDescent="0.3">
      <c r="A92" s="188" t="s">
        <v>4</v>
      </c>
      <c r="B92" s="187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 x14ac:dyDescent="0.3">
      <c r="A93" s="188" t="s">
        <v>6</v>
      </c>
      <c r="B93" s="187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 x14ac:dyDescent="0.3">
      <c r="A94" s="9" t="s">
        <v>303</v>
      </c>
      <c r="B94" s="187">
        <v>117539.0055</v>
      </c>
      <c r="C94" s="6">
        <v>14025.49</v>
      </c>
      <c r="D94" s="6">
        <v>103536.75</v>
      </c>
      <c r="E94" s="6">
        <v>117562.24000000001</v>
      </c>
      <c r="F94" s="6">
        <v>23.484500000002299</v>
      </c>
      <c r="G94" s="6">
        <v>-0.25</v>
      </c>
      <c r="H94" s="6">
        <v>23.234500000002299</v>
      </c>
    </row>
    <row r="95" spans="1:8" x14ac:dyDescent="0.3">
      <c r="A95" s="189" t="s">
        <v>106</v>
      </c>
      <c r="B95" s="187">
        <v>117539.0055</v>
      </c>
      <c r="C95" s="6">
        <v>14025.49</v>
      </c>
      <c r="D95" s="6">
        <v>103536.75</v>
      </c>
      <c r="E95" s="6">
        <v>117562.24000000001</v>
      </c>
      <c r="F95" s="6">
        <v>23.484500000002299</v>
      </c>
      <c r="G95" s="6">
        <v>-0.25</v>
      </c>
      <c r="H95" s="6">
        <v>23.234500000002299</v>
      </c>
    </row>
    <row r="96" spans="1:8" x14ac:dyDescent="0.3">
      <c r="A96" s="188" t="s">
        <v>7</v>
      </c>
      <c r="B96" s="187">
        <v>117539.0055</v>
      </c>
      <c r="C96" s="6">
        <v>14025.49</v>
      </c>
      <c r="D96" s="6">
        <v>103536.75</v>
      </c>
      <c r="E96" s="6">
        <v>117562.24000000001</v>
      </c>
      <c r="F96" s="6">
        <v>23.484500000002299</v>
      </c>
      <c r="G96" s="6">
        <v>-0.25</v>
      </c>
      <c r="H96" s="6">
        <v>23.234500000002299</v>
      </c>
    </row>
    <row r="97" spans="1:8" x14ac:dyDescent="0.3">
      <c r="A97" s="9" t="s">
        <v>75</v>
      </c>
      <c r="B97" s="187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 x14ac:dyDescent="0.3">
      <c r="A98" s="189" t="s">
        <v>106</v>
      </c>
      <c r="B98" s="187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 x14ac:dyDescent="0.3">
      <c r="A99" s="188" t="s">
        <v>7</v>
      </c>
      <c r="B99" s="187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 x14ac:dyDescent="0.3">
      <c r="A100" s="9" t="s">
        <v>332</v>
      </c>
      <c r="B100" s="187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 x14ac:dyDescent="0.3">
      <c r="A101" s="189" t="s">
        <v>106</v>
      </c>
      <c r="B101" s="187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 x14ac:dyDescent="0.3">
      <c r="A102" s="188" t="s">
        <v>7</v>
      </c>
      <c r="B102" s="187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 x14ac:dyDescent="0.3">
      <c r="A103" s="9" t="s">
        <v>56</v>
      </c>
      <c r="B103" s="187">
        <v>3667396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-50000</v>
      </c>
      <c r="H103" s="6">
        <v>406079.36999999918</v>
      </c>
    </row>
    <row r="104" spans="1:8" x14ac:dyDescent="0.3">
      <c r="A104" s="189" t="s">
        <v>124</v>
      </c>
      <c r="B104" s="187">
        <v>50000</v>
      </c>
      <c r="C104" s="6">
        <v>0</v>
      </c>
      <c r="D104" s="6">
        <v>0</v>
      </c>
      <c r="E104" s="6">
        <v>0</v>
      </c>
      <c r="F104" s="6">
        <v>0</v>
      </c>
      <c r="G104" s="6">
        <v>-50000</v>
      </c>
      <c r="H104" s="6">
        <v>-50000</v>
      </c>
    </row>
    <row r="105" spans="1:8" x14ac:dyDescent="0.3">
      <c r="A105" s="188" t="s">
        <v>2</v>
      </c>
      <c r="B105" s="187">
        <v>50000</v>
      </c>
      <c r="C105" s="6">
        <v>0</v>
      </c>
      <c r="D105" s="6">
        <v>0</v>
      </c>
      <c r="E105" s="6">
        <v>0</v>
      </c>
      <c r="F105" s="6">
        <v>0</v>
      </c>
      <c r="G105" s="6">
        <v>-50000</v>
      </c>
      <c r="H105" s="6">
        <v>-50000</v>
      </c>
    </row>
    <row r="106" spans="1:8" x14ac:dyDescent="0.3">
      <c r="A106" s="189" t="s">
        <v>106</v>
      </c>
      <c r="B106" s="187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 x14ac:dyDescent="0.3">
      <c r="A107" s="188" t="s">
        <v>7</v>
      </c>
      <c r="B107" s="187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 x14ac:dyDescent="0.3">
      <c r="A108" s="9" t="s">
        <v>235</v>
      </c>
      <c r="B108" s="187">
        <v>238897.86250000002</v>
      </c>
      <c r="C108" s="6">
        <v>0</v>
      </c>
      <c r="D108" s="6">
        <v>232868.65</v>
      </c>
      <c r="E108" s="6">
        <v>232868.65</v>
      </c>
      <c r="F108" s="6">
        <v>0</v>
      </c>
      <c r="G108" s="6">
        <v>-6029.2125000000233</v>
      </c>
      <c r="H108" s="6">
        <v>-6029.2125000000233</v>
      </c>
    </row>
    <row r="109" spans="1:8" x14ac:dyDescent="0.3">
      <c r="A109" s="189" t="s">
        <v>106</v>
      </c>
      <c r="B109" s="187">
        <v>238897.86250000002</v>
      </c>
      <c r="C109" s="6">
        <v>0</v>
      </c>
      <c r="D109" s="6">
        <v>232868.65</v>
      </c>
      <c r="E109" s="6">
        <v>232868.65</v>
      </c>
      <c r="F109" s="6">
        <v>0</v>
      </c>
      <c r="G109" s="6">
        <v>-6029.2125000000233</v>
      </c>
      <c r="H109" s="6">
        <v>-6029.2125000000233</v>
      </c>
    </row>
    <row r="110" spans="1:8" x14ac:dyDescent="0.3">
      <c r="A110" s="188" t="s">
        <v>7</v>
      </c>
      <c r="B110" s="187">
        <v>238897.86250000002</v>
      </c>
      <c r="C110" s="6">
        <v>0</v>
      </c>
      <c r="D110" s="6">
        <v>232868.65</v>
      </c>
      <c r="E110" s="6">
        <v>232868.65</v>
      </c>
      <c r="F110" s="6">
        <v>0</v>
      </c>
      <c r="G110" s="6">
        <v>-6029.2125000000233</v>
      </c>
      <c r="H110" s="6">
        <v>-6029.2125000000233</v>
      </c>
    </row>
    <row r="111" spans="1:8" x14ac:dyDescent="0.3">
      <c r="A111" s="9" t="s">
        <v>369</v>
      </c>
      <c r="B111" s="187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 x14ac:dyDescent="0.3">
      <c r="A112" s="189" t="s">
        <v>106</v>
      </c>
      <c r="B112" s="187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 x14ac:dyDescent="0.3">
      <c r="A113" s="188" t="s">
        <v>6</v>
      </c>
      <c r="B113" s="187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 x14ac:dyDescent="0.3">
      <c r="A114" s="9" t="s">
        <v>133</v>
      </c>
      <c r="B114" s="187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 x14ac:dyDescent="0.3">
      <c r="A115" s="189" t="s">
        <v>106</v>
      </c>
      <c r="B115" s="187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 x14ac:dyDescent="0.3">
      <c r="A116" s="188" t="s">
        <v>7</v>
      </c>
      <c r="B116" s="187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 x14ac:dyDescent="0.3">
      <c r="A117" s="9" t="s">
        <v>239</v>
      </c>
      <c r="B117" s="187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 x14ac:dyDescent="0.3">
      <c r="A118" s="189" t="s">
        <v>106</v>
      </c>
      <c r="B118" s="187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 x14ac:dyDescent="0.3">
      <c r="A119" s="188" t="s">
        <v>7</v>
      </c>
      <c r="B119" s="187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 x14ac:dyDescent="0.3">
      <c r="A120" s="9" t="s">
        <v>361</v>
      </c>
      <c r="B120" s="187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 x14ac:dyDescent="0.3">
      <c r="A121" s="189" t="s">
        <v>106</v>
      </c>
      <c r="B121" s="187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 x14ac:dyDescent="0.3">
      <c r="A122" s="188" t="s">
        <v>6</v>
      </c>
      <c r="B122" s="187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 x14ac:dyDescent="0.3">
      <c r="A123" s="9" t="s">
        <v>241</v>
      </c>
      <c r="B123" s="187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 x14ac:dyDescent="0.3">
      <c r="A124" s="189" t="s">
        <v>106</v>
      </c>
      <c r="B124" s="187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 x14ac:dyDescent="0.3">
      <c r="A125" s="188" t="s">
        <v>7</v>
      </c>
      <c r="B125" s="187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 x14ac:dyDescent="0.3">
      <c r="A126" s="9" t="s">
        <v>207</v>
      </c>
      <c r="B126" s="187">
        <v>4083010.9241499999</v>
      </c>
      <c r="C126" s="6">
        <v>2276995.94</v>
      </c>
      <c r="D126" s="6">
        <v>2648319.0225</v>
      </c>
      <c r="E126" s="6">
        <v>4925314.9625000004</v>
      </c>
      <c r="F126" s="6">
        <v>1829948.3783499999</v>
      </c>
      <c r="G126" s="6">
        <v>-987644.34</v>
      </c>
      <c r="H126" s="6">
        <v>842304.03834999993</v>
      </c>
    </row>
    <row r="127" spans="1:8" x14ac:dyDescent="0.3">
      <c r="A127" s="189" t="s">
        <v>124</v>
      </c>
      <c r="B127" s="187">
        <v>2561039.34</v>
      </c>
      <c r="C127" s="6">
        <v>1515749</v>
      </c>
      <c r="D127" s="6">
        <v>1882846</v>
      </c>
      <c r="E127" s="6">
        <v>3398595</v>
      </c>
      <c r="F127" s="6">
        <v>1825200</v>
      </c>
      <c r="G127" s="6">
        <v>-987644.34</v>
      </c>
      <c r="H127" s="6">
        <v>837555.66</v>
      </c>
    </row>
    <row r="128" spans="1:8" x14ac:dyDescent="0.3">
      <c r="A128" s="188" t="s">
        <v>2</v>
      </c>
      <c r="B128" s="187">
        <v>1964000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-884000</v>
      </c>
      <c r="H128" s="6">
        <v>-884000</v>
      </c>
    </row>
    <row r="129" spans="1:8" x14ac:dyDescent="0.3">
      <c r="A129" s="188" t="s">
        <v>46</v>
      </c>
      <c r="B129" s="187">
        <v>216000</v>
      </c>
      <c r="C129" s="6">
        <v>395600</v>
      </c>
      <c r="D129" s="6">
        <v>1645600</v>
      </c>
      <c r="E129" s="6">
        <v>2041200</v>
      </c>
      <c r="F129" s="6">
        <v>1825200</v>
      </c>
      <c r="G129" s="6">
        <v>0</v>
      </c>
      <c r="H129" s="6">
        <v>1825200</v>
      </c>
    </row>
    <row r="130" spans="1:8" x14ac:dyDescent="0.3">
      <c r="A130" s="188" t="s">
        <v>5</v>
      </c>
      <c r="B130" s="187">
        <v>381039.33999999997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-103644.34</v>
      </c>
      <c r="H130" s="6">
        <v>-103644.34</v>
      </c>
    </row>
    <row r="131" spans="1:8" x14ac:dyDescent="0.3">
      <c r="A131" s="189" t="s">
        <v>106</v>
      </c>
      <c r="B131" s="187">
        <v>1521971.58415</v>
      </c>
      <c r="C131" s="6">
        <v>761246.94000000006</v>
      </c>
      <c r="D131" s="6">
        <v>765473.02249999996</v>
      </c>
      <c r="E131" s="6">
        <v>1526719.9624999999</v>
      </c>
      <c r="F131" s="6">
        <v>4748.3783499998972</v>
      </c>
      <c r="G131" s="6">
        <v>-4.3655745685100555E-11</v>
      </c>
      <c r="H131" s="6">
        <v>4748.3783499998535</v>
      </c>
    </row>
    <row r="132" spans="1:8" x14ac:dyDescent="0.3">
      <c r="A132" s="188" t="s">
        <v>7</v>
      </c>
      <c r="B132" s="187">
        <v>1521971.58415</v>
      </c>
      <c r="C132" s="6">
        <v>761246.94000000006</v>
      </c>
      <c r="D132" s="6">
        <v>765473.02249999996</v>
      </c>
      <c r="E132" s="6">
        <v>1526719.9624999999</v>
      </c>
      <c r="F132" s="6">
        <v>4748.3783499998972</v>
      </c>
      <c r="G132" s="6">
        <v>-4.3655745685100555E-11</v>
      </c>
      <c r="H132" s="6">
        <v>4748.3783499998535</v>
      </c>
    </row>
    <row r="133" spans="1:8" x14ac:dyDescent="0.3">
      <c r="A133" s="9" t="s">
        <v>247</v>
      </c>
      <c r="B133" s="187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 x14ac:dyDescent="0.3">
      <c r="A134" s="189" t="s">
        <v>106</v>
      </c>
      <c r="B134" s="187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 x14ac:dyDescent="0.3">
      <c r="A135" s="188" t="s">
        <v>7</v>
      </c>
      <c r="B135" s="187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 x14ac:dyDescent="0.3">
      <c r="A136" s="9" t="s">
        <v>341</v>
      </c>
      <c r="B136" s="187">
        <v>1540800</v>
      </c>
      <c r="C136" s="6">
        <v>718868</v>
      </c>
      <c r="D136" s="6">
        <v>763520</v>
      </c>
      <c r="E136" s="6">
        <v>1482388</v>
      </c>
      <c r="F136" s="6">
        <v>6720</v>
      </c>
      <c r="G136" s="6">
        <v>-65132</v>
      </c>
      <c r="H136" s="6">
        <v>-58412</v>
      </c>
    </row>
    <row r="137" spans="1:8" x14ac:dyDescent="0.3">
      <c r="A137" s="189" t="s">
        <v>124</v>
      </c>
      <c r="B137" s="187">
        <v>1540800</v>
      </c>
      <c r="C137" s="6">
        <v>718868</v>
      </c>
      <c r="D137" s="6">
        <v>763520</v>
      </c>
      <c r="E137" s="6">
        <v>1482388</v>
      </c>
      <c r="F137" s="6">
        <v>6720</v>
      </c>
      <c r="G137" s="6">
        <v>-65132</v>
      </c>
      <c r="H137" s="6">
        <v>-58412</v>
      </c>
    </row>
    <row r="138" spans="1:8" x14ac:dyDescent="0.3">
      <c r="A138" s="188" t="s">
        <v>46</v>
      </c>
      <c r="B138" s="187">
        <v>1540800</v>
      </c>
      <c r="C138" s="6">
        <v>718868</v>
      </c>
      <c r="D138" s="6">
        <v>763520</v>
      </c>
      <c r="E138" s="6">
        <v>1482388</v>
      </c>
      <c r="F138" s="6">
        <v>6720</v>
      </c>
      <c r="G138" s="6">
        <v>-65132</v>
      </c>
      <c r="H138" s="6">
        <v>-58412</v>
      </c>
    </row>
    <row r="139" spans="1:8" x14ac:dyDescent="0.3">
      <c r="A139" s="9" t="s">
        <v>64</v>
      </c>
      <c r="B139" s="187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 x14ac:dyDescent="0.3">
      <c r="A140" s="189" t="s">
        <v>106</v>
      </c>
      <c r="B140" s="187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 x14ac:dyDescent="0.3">
      <c r="A141" s="188" t="s">
        <v>4</v>
      </c>
      <c r="B141" s="187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 x14ac:dyDescent="0.3">
      <c r="A142" s="9" t="s">
        <v>65</v>
      </c>
      <c r="B142" s="187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 x14ac:dyDescent="0.3">
      <c r="A143" s="189" t="s">
        <v>106</v>
      </c>
      <c r="B143" s="187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 x14ac:dyDescent="0.3">
      <c r="A144" s="188" t="s">
        <v>4</v>
      </c>
      <c r="B144" s="187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 x14ac:dyDescent="0.3">
      <c r="A145" s="9" t="s">
        <v>319</v>
      </c>
      <c r="B145" s="187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 x14ac:dyDescent="0.3">
      <c r="A146" s="189" t="s">
        <v>106</v>
      </c>
      <c r="B146" s="187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 x14ac:dyDescent="0.3">
      <c r="A147" s="188" t="s">
        <v>7</v>
      </c>
      <c r="B147" s="187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 x14ac:dyDescent="0.3">
      <c r="A148" s="9" t="s">
        <v>66</v>
      </c>
      <c r="B148" s="187">
        <v>34537</v>
      </c>
      <c r="C148" s="6">
        <v>13707.25</v>
      </c>
      <c r="D148" s="6">
        <v>20146.583333333332</v>
      </c>
      <c r="E148" s="6">
        <v>33853.833333333336</v>
      </c>
      <c r="F148" s="6">
        <v>0</v>
      </c>
      <c r="G148" s="6">
        <v>-683.16666666666424</v>
      </c>
      <c r="H148" s="6">
        <v>-683.16666666666424</v>
      </c>
    </row>
    <row r="149" spans="1:8" x14ac:dyDescent="0.3">
      <c r="A149" s="189" t="s">
        <v>106</v>
      </c>
      <c r="B149" s="187">
        <v>34537</v>
      </c>
      <c r="C149" s="6">
        <v>13707.25</v>
      </c>
      <c r="D149" s="6">
        <v>20146.583333333332</v>
      </c>
      <c r="E149" s="6">
        <v>33853.833333333336</v>
      </c>
      <c r="F149" s="6">
        <v>0</v>
      </c>
      <c r="G149" s="6">
        <v>-683.16666666666424</v>
      </c>
      <c r="H149" s="6">
        <v>-683.16666666666424</v>
      </c>
    </row>
    <row r="150" spans="1:8" x14ac:dyDescent="0.3">
      <c r="A150" s="188" t="s">
        <v>4</v>
      </c>
      <c r="B150" s="187">
        <v>34537</v>
      </c>
      <c r="C150" s="6">
        <v>13707.25</v>
      </c>
      <c r="D150" s="6">
        <v>20146.583333333332</v>
      </c>
      <c r="E150" s="6">
        <v>33853.833333333336</v>
      </c>
      <c r="F150" s="6">
        <v>0</v>
      </c>
      <c r="G150" s="6">
        <v>-683.16666666666424</v>
      </c>
      <c r="H150" s="6">
        <v>-683.16666666666424</v>
      </c>
    </row>
    <row r="151" spans="1:8" x14ac:dyDescent="0.3">
      <c r="A151" s="9" t="s">
        <v>76</v>
      </c>
      <c r="B151" s="187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 x14ac:dyDescent="0.3">
      <c r="A152" s="189" t="s">
        <v>106</v>
      </c>
      <c r="B152" s="187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 x14ac:dyDescent="0.3">
      <c r="A153" s="188" t="s">
        <v>7</v>
      </c>
      <c r="B153" s="187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 x14ac:dyDescent="0.3">
      <c r="A154" s="9" t="s">
        <v>255</v>
      </c>
      <c r="B154" s="187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 x14ac:dyDescent="0.3">
      <c r="A155" s="189" t="s">
        <v>106</v>
      </c>
      <c r="B155" s="187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 x14ac:dyDescent="0.3">
      <c r="A156" s="188" t="s">
        <v>7</v>
      </c>
      <c r="B156" s="187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 x14ac:dyDescent="0.3">
      <c r="A157" s="9" t="s">
        <v>333</v>
      </c>
      <c r="B157" s="187">
        <v>4499600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-950166.66666666698</v>
      </c>
      <c r="H157" s="6">
        <v>-820266.66666666698</v>
      </c>
    </row>
    <row r="158" spans="1:8" x14ac:dyDescent="0.3">
      <c r="A158" s="189" t="s">
        <v>124</v>
      </c>
      <c r="B158" s="187">
        <v>999600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-836000</v>
      </c>
      <c r="H158" s="6">
        <v>-706100</v>
      </c>
    </row>
    <row r="159" spans="1:8" x14ac:dyDescent="0.3">
      <c r="A159" s="188" t="s">
        <v>2</v>
      </c>
      <c r="B159" s="187">
        <v>999600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-836000</v>
      </c>
      <c r="H159" s="6">
        <v>-706100</v>
      </c>
    </row>
    <row r="160" spans="1:8" x14ac:dyDescent="0.3">
      <c r="A160" s="189" t="s">
        <v>106</v>
      </c>
      <c r="B160" s="187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 x14ac:dyDescent="0.3">
      <c r="A161" s="188" t="s">
        <v>7</v>
      </c>
      <c r="B161" s="187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 x14ac:dyDescent="0.3">
      <c r="A162" s="9" t="s">
        <v>67</v>
      </c>
      <c r="B162" s="187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 x14ac:dyDescent="0.3">
      <c r="A163" s="189" t="s">
        <v>106</v>
      </c>
      <c r="B163" s="187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 x14ac:dyDescent="0.3">
      <c r="A164" s="188" t="s">
        <v>4</v>
      </c>
      <c r="B164" s="187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 x14ac:dyDescent="0.3">
      <c r="A165" s="188" t="s">
        <v>7</v>
      </c>
      <c r="B165" s="187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 x14ac:dyDescent="0.3">
      <c r="A166" s="9" t="s">
        <v>77</v>
      </c>
      <c r="B166" s="187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 x14ac:dyDescent="0.3">
      <c r="A167" s="189" t="s">
        <v>106</v>
      </c>
      <c r="B167" s="187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 x14ac:dyDescent="0.3">
      <c r="A168" s="188" t="s">
        <v>7</v>
      </c>
      <c r="B168" s="187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 x14ac:dyDescent="0.3">
      <c r="A169" s="9" t="s">
        <v>176</v>
      </c>
      <c r="B169" s="187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 x14ac:dyDescent="0.3">
      <c r="A170" s="189" t="s">
        <v>106</v>
      </c>
      <c r="B170" s="187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 x14ac:dyDescent="0.3">
      <c r="A171" s="188" t="s">
        <v>6</v>
      </c>
      <c r="B171" s="187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 x14ac:dyDescent="0.3">
      <c r="A172" s="9" t="s">
        <v>74</v>
      </c>
      <c r="B172" s="187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 x14ac:dyDescent="0.3">
      <c r="A173" s="189" t="s">
        <v>124</v>
      </c>
      <c r="B173" s="187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 x14ac:dyDescent="0.3">
      <c r="A174" s="188" t="s">
        <v>5</v>
      </c>
      <c r="B174" s="187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 x14ac:dyDescent="0.3">
      <c r="A175" s="189" t="s">
        <v>106</v>
      </c>
      <c r="B175" s="187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 x14ac:dyDescent="0.3">
      <c r="A176" s="188" t="s">
        <v>7</v>
      </c>
      <c r="B176" s="187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 x14ac:dyDescent="0.3">
      <c r="A177" s="9" t="s">
        <v>476</v>
      </c>
      <c r="B177" s="187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 x14ac:dyDescent="0.3">
      <c r="A178" s="189" t="s">
        <v>106</v>
      </c>
      <c r="B178" s="187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 x14ac:dyDescent="0.3">
      <c r="A179" s="188" t="s">
        <v>6</v>
      </c>
      <c r="B179" s="187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 x14ac:dyDescent="0.3">
      <c r="A180" s="9" t="s">
        <v>177</v>
      </c>
      <c r="B180" s="187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 x14ac:dyDescent="0.3">
      <c r="A181" s="189" t="s">
        <v>106</v>
      </c>
      <c r="B181" s="187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 x14ac:dyDescent="0.3">
      <c r="A182" s="188" t="s">
        <v>6</v>
      </c>
      <c r="B182" s="187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 x14ac:dyDescent="0.3">
      <c r="A183" s="9" t="s">
        <v>408</v>
      </c>
      <c r="B183" s="187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 x14ac:dyDescent="0.3">
      <c r="A184" s="189" t="s">
        <v>106</v>
      </c>
      <c r="B184" s="187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 x14ac:dyDescent="0.3">
      <c r="A185" s="188" t="s">
        <v>7</v>
      </c>
      <c r="B185" s="187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 x14ac:dyDescent="0.3">
      <c r="A186" s="9" t="s">
        <v>401</v>
      </c>
      <c r="B186" s="187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 x14ac:dyDescent="0.3">
      <c r="A187" s="189" t="s">
        <v>106</v>
      </c>
      <c r="B187" s="187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 x14ac:dyDescent="0.3">
      <c r="A188" s="188" t="s">
        <v>7</v>
      </c>
      <c r="B188" s="187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 x14ac:dyDescent="0.3">
      <c r="A189" s="9" t="s">
        <v>271</v>
      </c>
      <c r="B189" s="187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 x14ac:dyDescent="0.3">
      <c r="A190" s="189" t="s">
        <v>106</v>
      </c>
      <c r="B190" s="187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 x14ac:dyDescent="0.3">
      <c r="A191" s="188" t="s">
        <v>7</v>
      </c>
      <c r="B191" s="187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 x14ac:dyDescent="0.3">
      <c r="A192" s="9" t="s">
        <v>352</v>
      </c>
      <c r="B192" s="187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 x14ac:dyDescent="0.3">
      <c r="A193" s="189" t="s">
        <v>106</v>
      </c>
      <c r="B193" s="187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 x14ac:dyDescent="0.3">
      <c r="A194" s="188" t="s">
        <v>7</v>
      </c>
      <c r="B194" s="187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 x14ac:dyDescent="0.3">
      <c r="A195" s="9" t="s">
        <v>742</v>
      </c>
      <c r="B195" s="187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 x14ac:dyDescent="0.3">
      <c r="A196" s="189" t="s">
        <v>106</v>
      </c>
      <c r="B196" s="187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 x14ac:dyDescent="0.3">
      <c r="A197" s="188" t="s">
        <v>4</v>
      </c>
      <c r="B197" s="187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 x14ac:dyDescent="0.3">
      <c r="A198" s="9" t="s">
        <v>711</v>
      </c>
      <c r="B198" s="187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 x14ac:dyDescent="0.3">
      <c r="A199" s="189" t="s">
        <v>124</v>
      </c>
      <c r="B199" s="187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 x14ac:dyDescent="0.3">
      <c r="A200" s="188" t="s">
        <v>46</v>
      </c>
      <c r="B200" s="187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 x14ac:dyDescent="0.3">
      <c r="A201" s="9" t="s">
        <v>166</v>
      </c>
      <c r="B201" s="187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 x14ac:dyDescent="0.3">
      <c r="A202" s="189" t="s">
        <v>106</v>
      </c>
      <c r="B202" s="187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 x14ac:dyDescent="0.3">
      <c r="A203" s="188" t="s">
        <v>6</v>
      </c>
      <c r="B203" s="187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 x14ac:dyDescent="0.3">
      <c r="A204" s="9" t="s">
        <v>275</v>
      </c>
      <c r="B204" s="187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 x14ac:dyDescent="0.3">
      <c r="A205" s="189" t="s">
        <v>106</v>
      </c>
      <c r="B205" s="187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 x14ac:dyDescent="0.3">
      <c r="A206" s="188" t="s">
        <v>7</v>
      </c>
      <c r="B206" s="187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 x14ac:dyDescent="0.3">
      <c r="A207" s="9" t="s">
        <v>69</v>
      </c>
      <c r="B207" s="187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 x14ac:dyDescent="0.3">
      <c r="A208" s="189" t="s">
        <v>106</v>
      </c>
      <c r="B208" s="187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 x14ac:dyDescent="0.3">
      <c r="A209" s="188" t="s">
        <v>4</v>
      </c>
      <c r="B209" s="187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 x14ac:dyDescent="0.3">
      <c r="A210" s="9" t="s">
        <v>277</v>
      </c>
      <c r="B210" s="187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 x14ac:dyDescent="0.3">
      <c r="A211" s="189" t="s">
        <v>106</v>
      </c>
      <c r="B211" s="187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 x14ac:dyDescent="0.3">
      <c r="A212" s="188" t="s">
        <v>7</v>
      </c>
      <c r="B212" s="187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 x14ac:dyDescent="0.3">
      <c r="A213" s="9" t="s">
        <v>346</v>
      </c>
      <c r="B213" s="187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 x14ac:dyDescent="0.3">
      <c r="A214" s="189" t="s">
        <v>106</v>
      </c>
      <c r="B214" s="187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 x14ac:dyDescent="0.3">
      <c r="A215" s="188" t="s">
        <v>7</v>
      </c>
      <c r="B215" s="187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 x14ac:dyDescent="0.3">
      <c r="A216" s="9" t="s">
        <v>70</v>
      </c>
      <c r="B216" s="187">
        <v>297450.41749999998</v>
      </c>
      <c r="C216" s="6">
        <v>29560.5</v>
      </c>
      <c r="D216" s="6">
        <v>275794.5</v>
      </c>
      <c r="E216" s="6">
        <v>305355</v>
      </c>
      <c r="F216" s="6">
        <v>7904.5825000000013</v>
      </c>
      <c r="G216" s="6">
        <v>0</v>
      </c>
      <c r="H216" s="6">
        <v>7904.5825000000013</v>
      </c>
    </row>
    <row r="217" spans="1:8" x14ac:dyDescent="0.3">
      <c r="A217" s="189" t="s">
        <v>106</v>
      </c>
      <c r="B217" s="187">
        <v>297450.41749999998</v>
      </c>
      <c r="C217" s="6">
        <v>29560.5</v>
      </c>
      <c r="D217" s="6">
        <v>275794.5</v>
      </c>
      <c r="E217" s="6">
        <v>305355</v>
      </c>
      <c r="F217" s="6">
        <v>7904.5825000000013</v>
      </c>
      <c r="G217" s="6">
        <v>0</v>
      </c>
      <c r="H217" s="6">
        <v>7904.5825000000013</v>
      </c>
    </row>
    <row r="218" spans="1:8" x14ac:dyDescent="0.3">
      <c r="A218" s="188" t="s">
        <v>3</v>
      </c>
      <c r="B218" s="187">
        <v>81590</v>
      </c>
      <c r="C218" s="6">
        <v>28463.33</v>
      </c>
      <c r="D218" s="6">
        <v>60891</v>
      </c>
      <c r="E218" s="6">
        <v>89354.33</v>
      </c>
      <c r="F218" s="6">
        <v>7764.3300000000017</v>
      </c>
      <c r="G218" s="6">
        <v>0</v>
      </c>
      <c r="H218" s="6">
        <v>7764.3300000000017</v>
      </c>
    </row>
    <row r="219" spans="1:8" x14ac:dyDescent="0.3">
      <c r="A219" s="188" t="s">
        <v>4</v>
      </c>
      <c r="B219" s="187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 x14ac:dyDescent="0.3">
      <c r="A220" s="188" t="s">
        <v>7</v>
      </c>
      <c r="B220" s="187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 x14ac:dyDescent="0.3">
      <c r="A221" s="9" t="s">
        <v>281</v>
      </c>
      <c r="B221" s="187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 x14ac:dyDescent="0.3">
      <c r="A222" s="189" t="s">
        <v>106</v>
      </c>
      <c r="B222" s="187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 x14ac:dyDescent="0.3">
      <c r="A223" s="188" t="s">
        <v>7</v>
      </c>
      <c r="B223" s="187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 x14ac:dyDescent="0.3">
      <c r="A224" s="9" t="s">
        <v>380</v>
      </c>
      <c r="B224" s="187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 x14ac:dyDescent="0.3">
      <c r="A225" s="189" t="s">
        <v>106</v>
      </c>
      <c r="B225" s="187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 x14ac:dyDescent="0.3">
      <c r="A226" s="188" t="s">
        <v>7</v>
      </c>
      <c r="B226" s="187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 x14ac:dyDescent="0.3">
      <c r="A227" s="9" t="s">
        <v>297</v>
      </c>
      <c r="B227" s="187">
        <v>70432.698000000004</v>
      </c>
      <c r="C227" s="6">
        <v>878.21</v>
      </c>
      <c r="D227" s="6">
        <v>69432.698000000004</v>
      </c>
      <c r="E227" s="6">
        <v>70310.907999999996</v>
      </c>
      <c r="F227" s="6">
        <v>0</v>
      </c>
      <c r="G227" s="6">
        <v>-121.79000000000815</v>
      </c>
      <c r="H227" s="6">
        <v>-121.79000000000815</v>
      </c>
    </row>
    <row r="228" spans="1:8" x14ac:dyDescent="0.3">
      <c r="A228" s="189" t="s">
        <v>106</v>
      </c>
      <c r="B228" s="187">
        <v>70432.698000000004</v>
      </c>
      <c r="C228" s="6">
        <v>878.21</v>
      </c>
      <c r="D228" s="6">
        <v>69432.698000000004</v>
      </c>
      <c r="E228" s="6">
        <v>70310.907999999996</v>
      </c>
      <c r="F228" s="6">
        <v>0</v>
      </c>
      <c r="G228" s="6">
        <v>-121.79000000000815</v>
      </c>
      <c r="H228" s="6">
        <v>-121.79000000000815</v>
      </c>
    </row>
    <row r="229" spans="1:8" x14ac:dyDescent="0.3">
      <c r="A229" s="188" t="s">
        <v>7</v>
      </c>
      <c r="B229" s="187">
        <v>70432.698000000004</v>
      </c>
      <c r="C229" s="6">
        <v>878.21</v>
      </c>
      <c r="D229" s="6">
        <v>69432.698000000004</v>
      </c>
      <c r="E229" s="6">
        <v>70310.907999999996</v>
      </c>
      <c r="F229" s="6">
        <v>0</v>
      </c>
      <c r="G229" s="6">
        <v>-121.79000000000815</v>
      </c>
      <c r="H229" s="6">
        <v>-121.79000000000815</v>
      </c>
    </row>
    <row r="230" spans="1:8" x14ac:dyDescent="0.3">
      <c r="A230" s="9" t="s">
        <v>78</v>
      </c>
      <c r="B230" s="187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 x14ac:dyDescent="0.3">
      <c r="A231" s="189" t="s">
        <v>106</v>
      </c>
      <c r="B231" s="187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 x14ac:dyDescent="0.3">
      <c r="A232" s="188" t="s">
        <v>7</v>
      </c>
      <c r="B232" s="187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 x14ac:dyDescent="0.3">
      <c r="A233" s="9" t="s">
        <v>283</v>
      </c>
      <c r="B233" s="187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 x14ac:dyDescent="0.3">
      <c r="A234" s="189" t="s">
        <v>106</v>
      </c>
      <c r="B234" s="187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 x14ac:dyDescent="0.3">
      <c r="A235" s="188" t="s">
        <v>7</v>
      </c>
      <c r="B235" s="187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 x14ac:dyDescent="0.3">
      <c r="A236" s="9" t="s">
        <v>138</v>
      </c>
      <c r="B236" s="187">
        <v>175245.90000000002</v>
      </c>
      <c r="C236" s="6">
        <v>68500</v>
      </c>
      <c r="D236" s="6">
        <v>119000</v>
      </c>
      <c r="E236" s="6">
        <v>187500</v>
      </c>
      <c r="F236" s="6">
        <v>12254.099999999977</v>
      </c>
      <c r="G236" s="6">
        <v>0</v>
      </c>
      <c r="H236" s="6">
        <v>12254.099999999977</v>
      </c>
    </row>
    <row r="237" spans="1:8" x14ac:dyDescent="0.3">
      <c r="A237" s="189" t="s">
        <v>106</v>
      </c>
      <c r="B237" s="187">
        <v>175245.90000000002</v>
      </c>
      <c r="C237" s="6">
        <v>68500</v>
      </c>
      <c r="D237" s="6">
        <v>119000</v>
      </c>
      <c r="E237" s="6">
        <v>187500</v>
      </c>
      <c r="F237" s="6">
        <v>12254.099999999977</v>
      </c>
      <c r="G237" s="6">
        <v>0</v>
      </c>
      <c r="H237" s="6">
        <v>12254.099999999977</v>
      </c>
    </row>
    <row r="238" spans="1:8" x14ac:dyDescent="0.3">
      <c r="A238" s="188" t="s">
        <v>7</v>
      </c>
      <c r="B238" s="187">
        <v>175245.90000000002</v>
      </c>
      <c r="C238" s="6">
        <v>68500</v>
      </c>
      <c r="D238" s="6">
        <v>119000</v>
      </c>
      <c r="E238" s="6">
        <v>187500</v>
      </c>
      <c r="F238" s="6">
        <v>12254.099999999977</v>
      </c>
      <c r="G238" s="6">
        <v>0</v>
      </c>
      <c r="H238" s="6">
        <v>12254.099999999977</v>
      </c>
    </row>
    <row r="239" spans="1:8" x14ac:dyDescent="0.3">
      <c r="A239" s="9" t="s">
        <v>370</v>
      </c>
      <c r="B239" s="187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 x14ac:dyDescent="0.3">
      <c r="A240" s="189" t="s">
        <v>106</v>
      </c>
      <c r="B240" s="187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 x14ac:dyDescent="0.3">
      <c r="A241" s="188" t="s">
        <v>6</v>
      </c>
      <c r="B241" s="187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 x14ac:dyDescent="0.3">
      <c r="A242" s="9" t="s">
        <v>373</v>
      </c>
      <c r="B242" s="187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 x14ac:dyDescent="0.3">
      <c r="A243" s="189" t="s">
        <v>106</v>
      </c>
      <c r="B243" s="187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 x14ac:dyDescent="0.3">
      <c r="A244" s="188" t="s">
        <v>6</v>
      </c>
      <c r="B244" s="187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 x14ac:dyDescent="0.3">
      <c r="A245" s="9" t="s">
        <v>71</v>
      </c>
      <c r="B245" s="187">
        <v>421713.07500000007</v>
      </c>
      <c r="C245" s="6">
        <v>177841.76</v>
      </c>
      <c r="D245" s="6">
        <v>215029.5</v>
      </c>
      <c r="E245" s="6">
        <v>392871.25999999995</v>
      </c>
      <c r="F245" s="6">
        <v>0</v>
      </c>
      <c r="G245" s="6">
        <v>-28841.815000000119</v>
      </c>
      <c r="H245" s="6">
        <v>-28841.815000000119</v>
      </c>
    </row>
    <row r="246" spans="1:8" x14ac:dyDescent="0.3">
      <c r="A246" s="189" t="s">
        <v>106</v>
      </c>
      <c r="B246" s="187">
        <v>421713.07500000007</v>
      </c>
      <c r="C246" s="6">
        <v>177841.76</v>
      </c>
      <c r="D246" s="6">
        <v>215029.5</v>
      </c>
      <c r="E246" s="6">
        <v>392871.25999999995</v>
      </c>
      <c r="F246" s="6">
        <v>0</v>
      </c>
      <c r="G246" s="6">
        <v>-28841.815000000119</v>
      </c>
      <c r="H246" s="6">
        <v>-28841.815000000119</v>
      </c>
    </row>
    <row r="247" spans="1:8" x14ac:dyDescent="0.3">
      <c r="A247" s="188" t="s">
        <v>4</v>
      </c>
      <c r="B247" s="187">
        <v>421713.07500000007</v>
      </c>
      <c r="C247" s="6">
        <v>177841.76</v>
      </c>
      <c r="D247" s="6">
        <v>215029.5</v>
      </c>
      <c r="E247" s="6">
        <v>392871.25999999995</v>
      </c>
      <c r="F247" s="6">
        <v>0</v>
      </c>
      <c r="G247" s="6">
        <v>-28841.815000000119</v>
      </c>
      <c r="H247" s="6">
        <v>-28841.815000000119</v>
      </c>
    </row>
    <row r="248" spans="1:8" x14ac:dyDescent="0.3">
      <c r="A248" s="9" t="s">
        <v>191</v>
      </c>
      <c r="B248" s="187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 x14ac:dyDescent="0.3">
      <c r="A249" s="189" t="s">
        <v>124</v>
      </c>
      <c r="B249" s="187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 x14ac:dyDescent="0.3">
      <c r="A250" s="188" t="s">
        <v>5</v>
      </c>
      <c r="B250" s="187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 x14ac:dyDescent="0.3">
      <c r="A251" s="9" t="s">
        <v>79</v>
      </c>
      <c r="B251" s="187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 x14ac:dyDescent="0.3">
      <c r="A252" s="189" t="s">
        <v>106</v>
      </c>
      <c r="B252" s="187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 x14ac:dyDescent="0.3">
      <c r="A253" s="188" t="s">
        <v>7</v>
      </c>
      <c r="B253" s="187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 x14ac:dyDescent="0.3">
      <c r="A254" s="9" t="s">
        <v>214</v>
      </c>
      <c r="B254" s="187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 x14ac:dyDescent="0.3">
      <c r="A255" s="189" t="s">
        <v>106</v>
      </c>
      <c r="B255" s="187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 x14ac:dyDescent="0.3">
      <c r="A256" s="188" t="s">
        <v>7</v>
      </c>
      <c r="B256" s="187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 x14ac:dyDescent="0.3">
      <c r="A257" s="9" t="s">
        <v>72</v>
      </c>
      <c r="B257" s="187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 x14ac:dyDescent="0.3">
      <c r="A258" s="189" t="s">
        <v>106</v>
      </c>
      <c r="B258" s="187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 x14ac:dyDescent="0.3">
      <c r="A259" s="188" t="s">
        <v>4</v>
      </c>
      <c r="B259" s="187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 x14ac:dyDescent="0.3">
      <c r="A260" s="9" t="s">
        <v>8</v>
      </c>
      <c r="B260" s="6">
        <v>43346450.95615001</v>
      </c>
      <c r="C260" s="6">
        <v>19115430.175833341</v>
      </c>
      <c r="D260" s="6">
        <v>24683435.834916666</v>
      </c>
      <c r="E260" s="6">
        <v>43798866.010749988</v>
      </c>
      <c r="F260" s="6">
        <v>3984511.416433332</v>
      </c>
      <c r="G260" s="6">
        <v>-3532096.3618333335</v>
      </c>
      <c r="H260" s="6">
        <v>452415.05459999823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tabSelected="1" zoomScaleNormal="100"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Z1" sqref="Z1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1" width="19.21875" bestFit="1" customWidth="1"/>
    <col min="72" max="74" width="10.109375" bestFit="1" customWidth="1"/>
    <col min="75" max="75" width="11.109375" bestFit="1" customWidth="1"/>
  </cols>
  <sheetData>
    <row r="1" spans="1:74" s="16" customFormat="1" x14ac:dyDescent="0.3">
      <c r="A1" s="21" t="s">
        <v>42</v>
      </c>
      <c r="B1" s="21" t="s">
        <v>55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54</v>
      </c>
      <c r="H1" s="22" t="s">
        <v>84</v>
      </c>
      <c r="I1" s="22" t="s">
        <v>85</v>
      </c>
      <c r="J1" s="22" t="s">
        <v>86</v>
      </c>
      <c r="K1" s="21" t="s">
        <v>87</v>
      </c>
      <c r="L1" s="21" t="s">
        <v>88</v>
      </c>
      <c r="M1" s="21" t="s">
        <v>47</v>
      </c>
      <c r="N1" s="21" t="s">
        <v>89</v>
      </c>
      <c r="O1" s="23" t="s">
        <v>90</v>
      </c>
      <c r="P1" s="21" t="s">
        <v>91</v>
      </c>
      <c r="Q1" s="21" t="s">
        <v>92</v>
      </c>
      <c r="R1" s="21" t="s">
        <v>93</v>
      </c>
      <c r="S1" s="21" t="s">
        <v>94</v>
      </c>
      <c r="T1" s="23" t="s">
        <v>95</v>
      </c>
      <c r="U1" s="24" t="s">
        <v>96</v>
      </c>
      <c r="V1" s="24" t="s">
        <v>97</v>
      </c>
      <c r="W1" s="24" t="s">
        <v>98</v>
      </c>
      <c r="X1" s="26" t="s">
        <v>99</v>
      </c>
      <c r="Y1" s="25" t="s">
        <v>100</v>
      </c>
      <c r="Z1" s="25" t="s">
        <v>634</v>
      </c>
      <c r="AA1" s="27" t="s">
        <v>445</v>
      </c>
      <c r="AB1" s="24" t="s">
        <v>446</v>
      </c>
      <c r="AC1" s="24" t="s">
        <v>447</v>
      </c>
      <c r="AD1" s="24" t="s">
        <v>448</v>
      </c>
      <c r="AE1" s="24" t="s">
        <v>461</v>
      </c>
      <c r="AF1" s="23" t="s">
        <v>462</v>
      </c>
      <c r="AG1" s="23" t="s">
        <v>463</v>
      </c>
      <c r="AH1" s="23" t="s">
        <v>464</v>
      </c>
      <c r="AI1" s="23" t="s">
        <v>465</v>
      </c>
      <c r="AJ1" s="23" t="s">
        <v>466</v>
      </c>
      <c r="AK1" s="23" t="s">
        <v>467</v>
      </c>
      <c r="AL1" s="23" t="s">
        <v>468</v>
      </c>
      <c r="AM1" s="23" t="s">
        <v>469</v>
      </c>
      <c r="AN1" s="23" t="s">
        <v>471</v>
      </c>
      <c r="AO1" s="28" t="s">
        <v>733</v>
      </c>
      <c r="AP1" s="64" t="s">
        <v>449</v>
      </c>
      <c r="AQ1" s="64" t="s">
        <v>450</v>
      </c>
      <c r="AR1" s="64" t="s">
        <v>451</v>
      </c>
      <c r="AS1" s="64" t="s">
        <v>452</v>
      </c>
      <c r="AT1" s="65" t="s">
        <v>453</v>
      </c>
      <c r="AU1" s="65" t="s">
        <v>454</v>
      </c>
      <c r="AV1" s="65" t="s">
        <v>455</v>
      </c>
      <c r="AW1" s="65" t="s">
        <v>456</v>
      </c>
      <c r="AX1" s="65" t="s">
        <v>457</v>
      </c>
      <c r="AY1" s="65" t="s">
        <v>458</v>
      </c>
      <c r="AZ1" s="65" t="s">
        <v>459</v>
      </c>
      <c r="BA1" s="65" t="s">
        <v>460</v>
      </c>
      <c r="BB1" s="73" t="s">
        <v>472</v>
      </c>
      <c r="BC1" s="67" t="s">
        <v>486</v>
      </c>
      <c r="BD1" s="67" t="s">
        <v>487</v>
      </c>
      <c r="BE1" s="67" t="s">
        <v>488</v>
      </c>
      <c r="BF1" s="67" t="s">
        <v>489</v>
      </c>
      <c r="BG1" s="68" t="s">
        <v>490</v>
      </c>
      <c r="BH1" s="68" t="s">
        <v>491</v>
      </c>
      <c r="BI1" s="68" t="s">
        <v>492</v>
      </c>
      <c r="BJ1" s="68" t="s">
        <v>493</v>
      </c>
      <c r="BK1" s="68" t="s">
        <v>494</v>
      </c>
      <c r="BL1" s="68" t="s">
        <v>495</v>
      </c>
      <c r="BM1" s="68" t="s">
        <v>496</v>
      </c>
      <c r="BN1" s="69" t="s">
        <v>497</v>
      </c>
      <c r="BO1" s="69" t="s">
        <v>498</v>
      </c>
      <c r="BP1" s="29" t="s">
        <v>470</v>
      </c>
      <c r="BQ1" s="45" t="s">
        <v>731</v>
      </c>
      <c r="BR1" s="45" t="s">
        <v>732</v>
      </c>
      <c r="BS1" s="45" t="s">
        <v>734</v>
      </c>
      <c r="BT1" s="45" t="s">
        <v>722</v>
      </c>
    </row>
    <row r="2" spans="1:74" x14ac:dyDescent="0.3">
      <c r="A2" s="20" t="s">
        <v>101</v>
      </c>
      <c r="B2" s="19" t="s">
        <v>67</v>
      </c>
      <c r="C2" s="19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19" t="s">
        <v>105</v>
      </c>
      <c r="K2" s="3" t="str">
        <f t="shared" ref="K2:K65" si="0">D2 &amp; "-" &amp;E2</f>
        <v>Prj000350-Support - Infrastructure for Tech</v>
      </c>
      <c r="L2" s="19" t="s">
        <v>106</v>
      </c>
      <c r="M2" s="19" t="s">
        <v>7</v>
      </c>
      <c r="N2" s="19" t="s">
        <v>7</v>
      </c>
      <c r="O2" s="19" t="s">
        <v>105</v>
      </c>
      <c r="P2" s="19" t="s">
        <v>107</v>
      </c>
      <c r="Q2" s="19" t="s">
        <v>108</v>
      </c>
      <c r="R2" s="19" t="s">
        <v>108</v>
      </c>
      <c r="S2" s="19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424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x14ac:dyDescent="0.3">
      <c r="A3" s="20" t="s">
        <v>101</v>
      </c>
      <c r="B3" s="19" t="s">
        <v>67</v>
      </c>
      <c r="C3" s="19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19" t="s">
        <v>110</v>
      </c>
      <c r="K3" s="3" t="str">
        <f t="shared" si="0"/>
        <v>Prj000350-Support - Infrastructure for Tech</v>
      </c>
      <c r="L3" s="19" t="s">
        <v>106</v>
      </c>
      <c r="M3" s="19" t="s">
        <v>7</v>
      </c>
      <c r="N3" s="19" t="s">
        <v>7</v>
      </c>
      <c r="O3" s="19" t="s">
        <v>110</v>
      </c>
      <c r="P3" s="19" t="s">
        <v>107</v>
      </c>
      <c r="Q3" s="19" t="s">
        <v>108</v>
      </c>
      <c r="R3" s="19" t="s">
        <v>108</v>
      </c>
      <c r="S3" s="19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425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x14ac:dyDescent="0.3">
      <c r="A4" s="20" t="s">
        <v>111</v>
      </c>
      <c r="B4" s="19" t="s">
        <v>740</v>
      </c>
      <c r="C4" s="19" t="s">
        <v>112</v>
      </c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19" t="s">
        <v>106</v>
      </c>
      <c r="M4" s="19" t="s">
        <v>6</v>
      </c>
      <c r="N4" s="19" t="s">
        <v>6</v>
      </c>
      <c r="O4" s="19"/>
      <c r="P4" s="19" t="s">
        <v>116</v>
      </c>
      <c r="Q4" s="19" t="s">
        <v>117</v>
      </c>
      <c r="R4" s="19" t="s">
        <v>118</v>
      </c>
      <c r="S4" s="19" t="s">
        <v>119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721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741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x14ac:dyDescent="0.3">
      <c r="A5" s="20" t="s">
        <v>101</v>
      </c>
      <c r="B5" s="19" t="s">
        <v>121</v>
      </c>
      <c r="C5" s="19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124</v>
      </c>
      <c r="M5" s="19" t="s">
        <v>5</v>
      </c>
      <c r="N5" s="19" t="s">
        <v>125</v>
      </c>
      <c r="O5" s="19" t="s">
        <v>2</v>
      </c>
      <c r="P5" s="19" t="s">
        <v>126</v>
      </c>
      <c r="Q5" s="19" t="s">
        <v>127</v>
      </c>
      <c r="R5" s="19" t="s">
        <v>128</v>
      </c>
      <c r="S5" s="19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/>
      <c r="AW5" s="56"/>
      <c r="AX5" s="56"/>
      <c r="AY5" s="56"/>
      <c r="AZ5" s="56"/>
      <c r="BA5" s="56"/>
      <c r="BB5" s="75">
        <f>SUM(Financials20263[[#This Row],[Jan AC]:[Dec AC]])</f>
        <v>54415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-7600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-36770</v>
      </c>
      <c r="BP5" s="83" t="s">
        <v>574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x14ac:dyDescent="0.3">
      <c r="A6" s="20" t="s">
        <v>101</v>
      </c>
      <c r="B6" s="19" t="s">
        <v>79</v>
      </c>
      <c r="C6" s="19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19" t="s">
        <v>106</v>
      </c>
      <c r="M6" s="19" t="s">
        <v>7</v>
      </c>
      <c r="N6" s="19" t="s">
        <v>7</v>
      </c>
      <c r="O6" s="19"/>
      <c r="P6" s="19" t="s">
        <v>107</v>
      </c>
      <c r="Q6" s="19" t="s">
        <v>108</v>
      </c>
      <c r="R6" s="19" t="s">
        <v>108</v>
      </c>
      <c r="S6" s="19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x14ac:dyDescent="0.3">
      <c r="A7" s="20" t="s">
        <v>101</v>
      </c>
      <c r="B7" s="19" t="s">
        <v>133</v>
      </c>
      <c r="C7" s="19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19" t="s">
        <v>106</v>
      </c>
      <c r="M7" s="19" t="s">
        <v>7</v>
      </c>
      <c r="N7" s="19" t="s">
        <v>7</v>
      </c>
      <c r="O7" s="19"/>
      <c r="P7" s="19" t="s">
        <v>107</v>
      </c>
      <c r="Q7" s="19" t="s">
        <v>134</v>
      </c>
      <c r="R7" s="19" t="s">
        <v>135</v>
      </c>
      <c r="S7" s="19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x14ac:dyDescent="0.3">
      <c r="A8" s="20" t="s">
        <v>101</v>
      </c>
      <c r="B8" s="19" t="s">
        <v>133</v>
      </c>
      <c r="C8" s="19"/>
      <c r="D8" s="10" t="s">
        <v>504</v>
      </c>
      <c r="E8" s="7" t="s">
        <v>505</v>
      </c>
      <c r="F8" s="3" t="s">
        <v>123</v>
      </c>
      <c r="G8" s="3" t="s">
        <v>50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106</v>
      </c>
      <c r="M8" s="19" t="s">
        <v>7</v>
      </c>
      <c r="N8" s="19" t="s">
        <v>7</v>
      </c>
      <c r="O8" s="19"/>
      <c r="P8" s="19" t="s">
        <v>107</v>
      </c>
      <c r="Q8" s="19" t="s">
        <v>134</v>
      </c>
      <c r="R8" s="19" t="s">
        <v>135</v>
      </c>
      <c r="S8" s="19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556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507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x14ac:dyDescent="0.3">
      <c r="A9" s="20" t="s">
        <v>101</v>
      </c>
      <c r="B9" s="19" t="s">
        <v>138</v>
      </c>
      <c r="C9" s="19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19" t="s">
        <v>106</v>
      </c>
      <c r="M9" s="19" t="s">
        <v>7</v>
      </c>
      <c r="N9" s="19" t="s">
        <v>7</v>
      </c>
      <c r="O9" s="19" t="s">
        <v>2</v>
      </c>
      <c r="P9" s="19" t="s">
        <v>107</v>
      </c>
      <c r="Q9" s="19" t="s">
        <v>108</v>
      </c>
      <c r="R9" s="19" t="s">
        <v>143</v>
      </c>
      <c r="S9" s="19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622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x14ac:dyDescent="0.3">
      <c r="A10" s="20" t="s">
        <v>101</v>
      </c>
      <c r="B10" s="19" t="s">
        <v>57</v>
      </c>
      <c r="C10" s="19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19" t="s">
        <v>106</v>
      </c>
      <c r="M10" s="19" t="s">
        <v>4</v>
      </c>
      <c r="N10" s="19" t="s">
        <v>4</v>
      </c>
      <c r="O10" s="19"/>
      <c r="P10" s="19" t="s">
        <v>107</v>
      </c>
      <c r="Q10" s="19" t="s">
        <v>146</v>
      </c>
      <c r="R10" s="19" t="s">
        <v>146</v>
      </c>
      <c r="S10" s="19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160380.84000000003</v>
      </c>
      <c r="X10" s="15">
        <f t="shared" si="7"/>
        <v>-19619.159999999974</v>
      </c>
      <c r="Y10" s="15">
        <f t="shared" si="2"/>
        <v>0</v>
      </c>
      <c r="Z10" s="15">
        <f>SUM(Financials20263[[#This Row],[2026 Opportunity]:[2026 Risk]])</f>
        <v>-19619.159999999974</v>
      </c>
      <c r="AA10" s="3" t="s">
        <v>147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579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x14ac:dyDescent="0.3">
      <c r="A11" s="20" t="s">
        <v>101</v>
      </c>
      <c r="B11" s="19" t="s">
        <v>63</v>
      </c>
      <c r="C11" s="19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19" t="s">
        <v>106</v>
      </c>
      <c r="M11" s="19" t="s">
        <v>4</v>
      </c>
      <c r="N11" s="19" t="s">
        <v>4</v>
      </c>
      <c r="O11" s="19" t="s">
        <v>148</v>
      </c>
      <c r="P11" s="19" t="s">
        <v>107</v>
      </c>
      <c r="Q11" s="19" t="s">
        <v>146</v>
      </c>
      <c r="R11" s="19" t="s">
        <v>146</v>
      </c>
      <c r="S11" s="19" t="s">
        <v>129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120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/>
      <c r="AW11" s="56"/>
      <c r="AX11" s="56"/>
      <c r="AY11" s="56"/>
      <c r="AZ11" s="56"/>
      <c r="BA11" s="56"/>
      <c r="BB11" s="75">
        <f>SUM(Financials20263[[#This Row],[Jan AC]:[Dec AC]])</f>
        <v>18056.259999999998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-2943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-17257.739999999998</v>
      </c>
      <c r="BP11" s="82" t="s">
        <v>506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x14ac:dyDescent="0.3">
      <c r="A12" s="20" t="s">
        <v>101</v>
      </c>
      <c r="B12" s="19" t="s">
        <v>65</v>
      </c>
      <c r="C12" s="19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19" t="s">
        <v>106</v>
      </c>
      <c r="M12" s="19" t="s">
        <v>4</v>
      </c>
      <c r="N12" s="19" t="s">
        <v>4</v>
      </c>
      <c r="O12" s="19" t="s">
        <v>148</v>
      </c>
      <c r="P12" s="19" t="s">
        <v>107</v>
      </c>
      <c r="Q12" s="19" t="s">
        <v>146</v>
      </c>
      <c r="R12" s="19" t="s">
        <v>146</v>
      </c>
      <c r="S12" s="19" t="s">
        <v>129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120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506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x14ac:dyDescent="0.3">
      <c r="A13" s="20" t="s">
        <v>101</v>
      </c>
      <c r="B13" s="19" t="s">
        <v>60</v>
      </c>
      <c r="C13" s="19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106</v>
      </c>
      <c r="M13" s="19" t="s">
        <v>4</v>
      </c>
      <c r="N13" s="19" t="s">
        <v>4</v>
      </c>
      <c r="O13" s="19" t="s">
        <v>150</v>
      </c>
      <c r="P13" s="19" t="s">
        <v>151</v>
      </c>
      <c r="Q13" s="19" t="s">
        <v>152</v>
      </c>
      <c r="R13" s="19" t="s">
        <v>153</v>
      </c>
      <c r="S13" s="19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x14ac:dyDescent="0.3">
      <c r="A14" s="20" t="s">
        <v>101</v>
      </c>
      <c r="B14" s="19" t="s">
        <v>72</v>
      </c>
      <c r="C14" s="19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19" t="s">
        <v>106</v>
      </c>
      <c r="M14" s="19" t="s">
        <v>4</v>
      </c>
      <c r="N14" s="19" t="s">
        <v>4</v>
      </c>
      <c r="O14" s="19"/>
      <c r="P14" s="19" t="s">
        <v>151</v>
      </c>
      <c r="Q14" s="19" t="s">
        <v>152</v>
      </c>
      <c r="R14" s="19" t="s">
        <v>153</v>
      </c>
      <c r="S14" s="19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x14ac:dyDescent="0.3">
      <c r="A15" s="20" t="s">
        <v>157</v>
      </c>
      <c r="B15" s="19" t="s">
        <v>742</v>
      </c>
      <c r="C15" s="19" t="s">
        <v>68</v>
      </c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19" t="s">
        <v>106</v>
      </c>
      <c r="M15" s="19" t="s">
        <v>4</v>
      </c>
      <c r="N15" s="19" t="s">
        <v>4</v>
      </c>
      <c r="O15" s="19"/>
      <c r="P15" s="19" t="s">
        <v>151</v>
      </c>
      <c r="Q15" s="19" t="s">
        <v>152</v>
      </c>
      <c r="R15" s="19" t="s">
        <v>153</v>
      </c>
      <c r="S15" s="19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x14ac:dyDescent="0.3">
      <c r="A16" s="20" t="s">
        <v>101</v>
      </c>
      <c r="B16" s="19" t="s">
        <v>159</v>
      </c>
      <c r="C16" s="19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19" t="s">
        <v>106</v>
      </c>
      <c r="M16" s="19" t="s">
        <v>6</v>
      </c>
      <c r="N16" s="19" t="s">
        <v>6</v>
      </c>
      <c r="O16" s="19" t="s">
        <v>162</v>
      </c>
      <c r="P16" s="19" t="s">
        <v>163</v>
      </c>
      <c r="Q16" s="19" t="s">
        <v>163</v>
      </c>
      <c r="R16" s="19" t="s">
        <v>164</v>
      </c>
      <c r="S16" s="19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165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506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x14ac:dyDescent="0.3">
      <c r="A17" s="20" t="s">
        <v>101</v>
      </c>
      <c r="B17" s="19" t="s">
        <v>166</v>
      </c>
      <c r="C17" s="19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106</v>
      </c>
      <c r="M17" s="19" t="s">
        <v>6</v>
      </c>
      <c r="N17" s="19" t="s">
        <v>6</v>
      </c>
      <c r="O17" s="19"/>
      <c r="P17" s="19" t="s">
        <v>163</v>
      </c>
      <c r="Q17" s="19" t="s">
        <v>163</v>
      </c>
      <c r="R17" s="19" t="s">
        <v>164</v>
      </c>
      <c r="S17" s="19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x14ac:dyDescent="0.3">
      <c r="A18" s="20" t="s">
        <v>111</v>
      </c>
      <c r="B18" s="19" t="s">
        <v>170</v>
      </c>
      <c r="C18" s="19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19" t="s">
        <v>106</v>
      </c>
      <c r="M18" s="19" t="s">
        <v>6</v>
      </c>
      <c r="N18" s="19" t="s">
        <v>6</v>
      </c>
      <c r="O18" s="19"/>
      <c r="P18" s="19" t="s">
        <v>172</v>
      </c>
      <c r="Q18" s="19" t="s">
        <v>173</v>
      </c>
      <c r="R18" s="19" t="s">
        <v>174</v>
      </c>
      <c r="S18" s="19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x14ac:dyDescent="0.3">
      <c r="A19" s="20" t="s">
        <v>111</v>
      </c>
      <c r="B19" t="s">
        <v>176</v>
      </c>
      <c r="C19" s="19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19" t="s">
        <v>106</v>
      </c>
      <c r="M19" s="19" t="s">
        <v>6</v>
      </c>
      <c r="N19" s="19" t="s">
        <v>6</v>
      </c>
      <c r="O19" s="19"/>
      <c r="P19" s="19" t="s">
        <v>172</v>
      </c>
      <c r="Q19" s="19" t="s">
        <v>173</v>
      </c>
      <c r="R19" s="19" t="s">
        <v>174</v>
      </c>
      <c r="S19" s="19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x14ac:dyDescent="0.3">
      <c r="A20" s="20" t="s">
        <v>111</v>
      </c>
      <c r="B20" s="19" t="s">
        <v>177</v>
      </c>
      <c r="C20" s="19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19" t="s">
        <v>106</v>
      </c>
      <c r="M20" s="19" t="s">
        <v>6</v>
      </c>
      <c r="N20" s="19" t="s">
        <v>6</v>
      </c>
      <c r="O20" s="19"/>
      <c r="P20" s="19" t="s">
        <v>116</v>
      </c>
      <c r="Q20" s="19" t="s">
        <v>179</v>
      </c>
      <c r="R20" s="19" t="s">
        <v>180</v>
      </c>
      <c r="S20" s="19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x14ac:dyDescent="0.3">
      <c r="A21" s="20" t="s">
        <v>101</v>
      </c>
      <c r="B21" s="19" t="s">
        <v>181</v>
      </c>
      <c r="C21" s="19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124</v>
      </c>
      <c r="M21" s="19" t="s">
        <v>5</v>
      </c>
      <c r="N21" s="19" t="s">
        <v>125</v>
      </c>
      <c r="O21" s="19" t="s">
        <v>184</v>
      </c>
      <c r="P21" s="19" t="s">
        <v>107</v>
      </c>
      <c r="Q21" s="19" t="s">
        <v>134</v>
      </c>
      <c r="R21" s="19" t="s">
        <v>134</v>
      </c>
      <c r="S21" s="19" t="s">
        <v>129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SUM(Financials20263[[#This Row],[2026 Opportunity]:[2026 Risk]])</f>
        <v>-11107</v>
      </c>
      <c r="AA21" s="3" t="s">
        <v>712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v>113296</v>
      </c>
      <c r="AT21" s="56">
        <v>113296</v>
      </c>
      <c r="AU21" s="56"/>
      <c r="AV21" s="56"/>
      <c r="AW21" s="56"/>
      <c r="AX21" s="56"/>
      <c r="AY21" s="56"/>
      <c r="AZ21" s="56"/>
      <c r="BA21" s="56"/>
      <c r="BB21" s="75">
        <f>SUM(Financials20263[[#This Row],[Jan AC]:[Dec AC]])</f>
        <v>566480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-3447</v>
      </c>
      <c r="BG21" s="66">
        <f>Financials20263[[#This Row],[May AC]]-Financials20263[[#This Row],[May FC]]</f>
        <v>-7660</v>
      </c>
      <c r="BH21" s="66">
        <f>Financials20263[[#This Row],[Jun AC]]-Financials20263[[#This Row],[Jun FC]]</f>
        <v>-120190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-888267</v>
      </c>
      <c r="BP21" s="84" t="s">
        <v>623</v>
      </c>
      <c r="BQ21" s="44">
        <f>SUM(Financials20263[[#This Row],[Jan AC]:[Jun AC]])</f>
        <v>566480</v>
      </c>
      <c r="BR21" s="6">
        <f t="shared" si="6"/>
        <v>120190</v>
      </c>
      <c r="BS21" s="6">
        <f>Financials20263[[#This Row],[Jul-Dec FC]]+Financials20263[[#This Row],[Pending Jan-Jun]]</f>
        <v>877160</v>
      </c>
      <c r="BT21" s="6"/>
      <c r="BU21" s="6"/>
      <c r="BV21" s="6"/>
    </row>
    <row r="22" spans="1:74" x14ac:dyDescent="0.3">
      <c r="A22" s="20" t="s">
        <v>101</v>
      </c>
      <c r="B22" s="19" t="s">
        <v>185</v>
      </c>
      <c r="C22" s="19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19" t="s">
        <v>124</v>
      </c>
      <c r="M22" s="19" t="s">
        <v>46</v>
      </c>
      <c r="N22" s="19" t="s">
        <v>189</v>
      </c>
      <c r="O22" s="19" t="s">
        <v>186</v>
      </c>
      <c r="P22" s="19" t="s">
        <v>126</v>
      </c>
      <c r="Q22" s="19" t="s">
        <v>127</v>
      </c>
      <c r="R22" s="19" t="s">
        <v>128</v>
      </c>
      <c r="S22" s="19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186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/>
      <c r="AV22" s="56"/>
      <c r="AW22" s="56"/>
      <c r="AX22" s="56"/>
      <c r="AY22" s="56"/>
      <c r="AZ22" s="56"/>
      <c r="BA22" s="56"/>
      <c r="BB22" s="75">
        <f>SUM(Financials20263[[#This Row],[Jan AC]:[Dec AC]])</f>
        <v>85892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-18240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-132988</v>
      </c>
      <c r="BP22" s="84" t="s">
        <v>513</v>
      </c>
      <c r="BQ22" s="44">
        <f>SUM(Financials20263[[#This Row],[Jan AC]:[Jun AC]])</f>
        <v>85892</v>
      </c>
      <c r="BR22" s="6">
        <f t="shared" si="6"/>
        <v>18240</v>
      </c>
      <c r="BS22" s="6">
        <f>Financials20263[[#This Row],[Jul-Dec FC]]+Financials20263[[#This Row],[Pending Jan-Jun]]</f>
        <v>127680</v>
      </c>
      <c r="BT22" s="6"/>
      <c r="BU22" s="6"/>
      <c r="BV22" s="6"/>
    </row>
    <row r="23" spans="1:74" x14ac:dyDescent="0.3">
      <c r="A23" s="20" t="s">
        <v>101</v>
      </c>
      <c r="B23" s="19" t="s">
        <v>73</v>
      </c>
      <c r="C23" s="19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124</v>
      </c>
      <c r="M23" s="19" t="s">
        <v>46</v>
      </c>
      <c r="N23" s="19" t="s">
        <v>189</v>
      </c>
      <c r="O23" s="19" t="s">
        <v>186</v>
      </c>
      <c r="P23" s="19" t="s">
        <v>126</v>
      </c>
      <c r="Q23" s="19" t="s">
        <v>127</v>
      </c>
      <c r="R23" s="19" t="s">
        <v>128</v>
      </c>
      <c r="S23" s="19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512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513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x14ac:dyDescent="0.3">
      <c r="A24" s="20" t="s">
        <v>101</v>
      </c>
      <c r="B24" s="19" t="s">
        <v>73</v>
      </c>
      <c r="C24" s="19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124</v>
      </c>
      <c r="M24" s="19" t="s">
        <v>46</v>
      </c>
      <c r="N24" s="19" t="s">
        <v>189</v>
      </c>
      <c r="O24" s="19" t="s">
        <v>186</v>
      </c>
      <c r="P24" s="19" t="s">
        <v>126</v>
      </c>
      <c r="Q24" s="19" t="s">
        <v>127</v>
      </c>
      <c r="R24" s="19" t="s">
        <v>128</v>
      </c>
      <c r="S24" s="19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512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611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x14ac:dyDescent="0.3">
      <c r="A25" s="20" t="s">
        <v>101</v>
      </c>
      <c r="B25" s="19" t="s">
        <v>73</v>
      </c>
      <c r="C25" s="19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124</v>
      </c>
      <c r="M25" s="19" t="s">
        <v>46</v>
      </c>
      <c r="N25" s="19" t="s">
        <v>189</v>
      </c>
      <c r="O25" s="19" t="s">
        <v>186</v>
      </c>
      <c r="P25" s="19" t="s">
        <v>126</v>
      </c>
      <c r="Q25" s="19" t="s">
        <v>127</v>
      </c>
      <c r="R25" s="19" t="s">
        <v>128</v>
      </c>
      <c r="S25" s="19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512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612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x14ac:dyDescent="0.3">
      <c r="A26" s="20" t="s">
        <v>101</v>
      </c>
      <c r="B26" s="19" t="s">
        <v>73</v>
      </c>
      <c r="C26" s="19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124</v>
      </c>
      <c r="M26" s="19" t="s">
        <v>46</v>
      </c>
      <c r="N26" s="19" t="s">
        <v>189</v>
      </c>
      <c r="O26" s="19" t="s">
        <v>186</v>
      </c>
      <c r="P26" s="19" t="s">
        <v>126</v>
      </c>
      <c r="Q26" s="19" t="s">
        <v>127</v>
      </c>
      <c r="R26" s="19" t="s">
        <v>128</v>
      </c>
      <c r="S26" s="19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512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513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x14ac:dyDescent="0.3">
      <c r="A27" s="20" t="s">
        <v>101</v>
      </c>
      <c r="B27" s="19" t="s">
        <v>191</v>
      </c>
      <c r="C27" s="19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19" t="s">
        <v>124</v>
      </c>
      <c r="M27" s="19" t="s">
        <v>5</v>
      </c>
      <c r="N27" s="19" t="s">
        <v>125</v>
      </c>
      <c r="O27" s="19" t="s">
        <v>2</v>
      </c>
      <c r="P27" s="19" t="s">
        <v>126</v>
      </c>
      <c r="Q27" s="19" t="s">
        <v>127</v>
      </c>
      <c r="R27" s="19" t="s">
        <v>128</v>
      </c>
      <c r="S27" s="19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621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506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x14ac:dyDescent="0.3">
      <c r="A28" s="20" t="s">
        <v>101</v>
      </c>
      <c r="B28" s="19" t="s">
        <v>181</v>
      </c>
      <c r="C28" s="19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124</v>
      </c>
      <c r="M28" s="19" t="s">
        <v>5</v>
      </c>
      <c r="N28" s="19" t="s">
        <v>125</v>
      </c>
      <c r="O28" s="19" t="s">
        <v>195</v>
      </c>
      <c r="P28" s="19" t="s">
        <v>126</v>
      </c>
      <c r="Q28" s="19" t="s">
        <v>127</v>
      </c>
      <c r="R28" s="19" t="s">
        <v>128</v>
      </c>
      <c r="S28" s="19" t="s">
        <v>129</v>
      </c>
      <c r="T28" s="5">
        <v>780191</v>
      </c>
      <c r="U28" s="15">
        <v>345000</v>
      </c>
      <c r="V28" s="15">
        <f>345000+143000</f>
        <v>488000</v>
      </c>
      <c r="W28" s="15">
        <f t="shared" si="1"/>
        <v>735000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730</v>
      </c>
      <c r="AB28" s="47">
        <f>Financials20263[[#This Row],[2026 Final Budget]]/12</f>
        <v>40666.666666666664</v>
      </c>
      <c r="AC28" s="47">
        <f>Financials20263[[#This Row],[2026 Final Budget]]/12</f>
        <v>40666.666666666664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758833.33333333326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/>
      <c r="AU28" s="56"/>
      <c r="AV28" s="56"/>
      <c r="AW28" s="56"/>
      <c r="AX28" s="56"/>
      <c r="AY28" s="56"/>
      <c r="AZ28" s="56"/>
      <c r="BA28" s="56"/>
      <c r="BB28" s="75">
        <f>SUM(Financials20263[[#This Row],[Jan AC]:[Dec AC]])</f>
        <v>154000</v>
      </c>
      <c r="BC28" s="66">
        <f>Financials20263[[#This Row],[Jan AC]]-Financials20263[[#This Row],[Jan FC]]</f>
        <v>-11916.666666666664</v>
      </c>
      <c r="BD28" s="66">
        <f>Financials20263[[#This Row],[Feb AC]]-Financials20263[[#This Row],[Feb FC]]</f>
        <v>-11916.666666666664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-54750</v>
      </c>
      <c r="BH28" s="66">
        <f>Financials20263[[#This Row],[Jun AC]]-Financials20263[[#This Row],[Jun FC]]</f>
        <v>-54750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-604833.33333333326</v>
      </c>
      <c r="BP28" s="82" t="s">
        <v>516</v>
      </c>
      <c r="BQ28" s="44">
        <f>SUM(Financials20263[[#This Row],[Jan AC]:[Jun AC]])</f>
        <v>154000</v>
      </c>
      <c r="BR28" s="6">
        <f t="shared" si="6"/>
        <v>109500</v>
      </c>
      <c r="BS28" s="6">
        <f>Financials20263[[#This Row],[Jul-Dec FC]]+Financials20263[[#This Row],[Pending Jan-Jun]]</f>
        <v>581000</v>
      </c>
      <c r="BT28" s="6"/>
      <c r="BU28" s="6"/>
      <c r="BV28" s="6"/>
    </row>
    <row r="29" spans="1:74" x14ac:dyDescent="0.3">
      <c r="A29" s="20" t="s">
        <v>101</v>
      </c>
      <c r="B29" s="19" t="s">
        <v>181</v>
      </c>
      <c r="C29" s="19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124</v>
      </c>
      <c r="M29" s="19" t="s">
        <v>46</v>
      </c>
      <c r="N29" s="19" t="s">
        <v>189</v>
      </c>
      <c r="O29" s="19" t="s">
        <v>186</v>
      </c>
      <c r="P29" s="19" t="s">
        <v>126</v>
      </c>
      <c r="Q29" s="19" t="s">
        <v>127</v>
      </c>
      <c r="R29" s="19" t="s">
        <v>128</v>
      </c>
      <c r="S29" s="19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196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/>
      <c r="AV29" s="56"/>
      <c r="AW29" s="56"/>
      <c r="AX29" s="56"/>
      <c r="AY29" s="56"/>
      <c r="AZ29" s="56"/>
      <c r="BA29" s="56"/>
      <c r="BB29" s="75">
        <f>SUM(Financials20263[[#This Row],[Jan AC]:[Dec AC]])</f>
        <v>323563.92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-33600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-79636.080000000016</v>
      </c>
      <c r="BP29" s="84" t="s">
        <v>513</v>
      </c>
      <c r="BQ29" s="44">
        <f>SUM(Financials20263[[#This Row],[Jan AC]:[Jun AC]])</f>
        <v>323563.92</v>
      </c>
      <c r="BR29" s="6">
        <f t="shared" si="6"/>
        <v>33600</v>
      </c>
      <c r="BS29" s="6">
        <f>Financials20263[[#This Row],[Jul-Dec FC]]+Financials20263[[#This Row],[Pending Jan-Jun]]</f>
        <v>235200</v>
      </c>
      <c r="BT29" s="6"/>
      <c r="BU29" s="6"/>
      <c r="BV29" s="6"/>
    </row>
    <row r="30" spans="1:74" x14ac:dyDescent="0.3">
      <c r="A30" s="20" t="s">
        <v>101</v>
      </c>
      <c r="B30" s="19" t="s">
        <v>181</v>
      </c>
      <c r="C30" s="19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124</v>
      </c>
      <c r="M30" s="19" t="s">
        <v>46</v>
      </c>
      <c r="N30" s="19" t="s">
        <v>189</v>
      </c>
      <c r="O30" s="19" t="s">
        <v>186</v>
      </c>
      <c r="P30" s="19" t="s">
        <v>126</v>
      </c>
      <c r="Q30" s="19" t="s">
        <v>127</v>
      </c>
      <c r="R30" s="19" t="s">
        <v>128</v>
      </c>
      <c r="S30" s="19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196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513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x14ac:dyDescent="0.3">
      <c r="A31" s="20" t="s">
        <v>101</v>
      </c>
      <c r="B31" s="19" t="s">
        <v>181</v>
      </c>
      <c r="C31" s="19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124</v>
      </c>
      <c r="M31" s="19" t="s">
        <v>46</v>
      </c>
      <c r="N31" s="19" t="s">
        <v>189</v>
      </c>
      <c r="O31" s="19" t="s">
        <v>186</v>
      </c>
      <c r="P31" s="19" t="s">
        <v>126</v>
      </c>
      <c r="Q31" s="19" t="s">
        <v>127</v>
      </c>
      <c r="R31" s="19" t="s">
        <v>128</v>
      </c>
      <c r="S31" s="19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196</v>
      </c>
      <c r="AB31" s="47">
        <f>Financials20263[[#This Row],[2026 Final Budget]]/12</f>
        <v>50000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314000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v>32640</v>
      </c>
      <c r="AU31" s="56"/>
      <c r="AV31" s="56"/>
      <c r="AW31" s="56"/>
      <c r="AX31" s="56"/>
      <c r="AY31" s="56"/>
      <c r="AZ31" s="56"/>
      <c r="BA31" s="56"/>
      <c r="BB31" s="75">
        <f>SUM(Financials20263[[#This Row],[Jan AC]:[Dec AC]])</f>
        <v>153040</v>
      </c>
      <c r="BC31" s="66">
        <f>Financials20263[[#This Row],[Jan AC]]-Financials20263[[#This Row],[Jan FC]]</f>
        <v>-5200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8640</v>
      </c>
      <c r="BH31" s="66">
        <f>Financials20263[[#This Row],[Jun AC]]-Financials20263[[#This Row],[Jun FC]]</f>
        <v>-24000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-160960</v>
      </c>
      <c r="BP31" s="84" t="s">
        <v>610</v>
      </c>
      <c r="BQ31" s="44">
        <f>SUM(Financials20263[[#This Row],[Jan AC]:[Jun AC]])</f>
        <v>153040</v>
      </c>
      <c r="BR31" s="6">
        <f t="shared" si="6"/>
        <v>24000</v>
      </c>
      <c r="BS31" s="6">
        <f>Financials20263[[#This Row],[Jul-Dec FC]]+Financials20263[[#This Row],[Pending Jan-Jun]]</f>
        <v>168000</v>
      </c>
      <c r="BT31" s="6"/>
      <c r="BU31" s="6"/>
      <c r="BV31" s="6"/>
    </row>
    <row r="32" spans="1:74" x14ac:dyDescent="0.3">
      <c r="A32" s="20" t="s">
        <v>101</v>
      </c>
      <c r="B32" s="19" t="s">
        <v>181</v>
      </c>
      <c r="C32" s="19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124</v>
      </c>
      <c r="M32" s="19" t="s">
        <v>46</v>
      </c>
      <c r="N32" s="19" t="s">
        <v>189</v>
      </c>
      <c r="O32" s="19" t="s">
        <v>186</v>
      </c>
      <c r="P32" s="19" t="s">
        <v>126</v>
      </c>
      <c r="Q32" s="19" t="s">
        <v>127</v>
      </c>
      <c r="R32" s="19" t="s">
        <v>128</v>
      </c>
      <c r="S32" s="19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196</v>
      </c>
      <c r="AB32" s="47">
        <f>Financials20263[[#This Row],[2026 Final Budget]]/12</f>
        <v>13440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89280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/>
      <c r="AV32" s="56"/>
      <c r="AW32" s="56"/>
      <c r="AX32" s="56"/>
      <c r="AY32" s="56"/>
      <c r="AZ32" s="56"/>
      <c r="BA32" s="56"/>
      <c r="BB32" s="75">
        <f>SUM(Financials20263[[#This Row],[Jan AC]:[Dec AC]])</f>
        <v>46096</v>
      </c>
      <c r="BC32" s="66">
        <f>Financials20263[[#This Row],[Jan AC]]-Financials20263[[#This Row],[Jan FC]]</f>
        <v>-2288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-5440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-43184</v>
      </c>
      <c r="BP32" s="84" t="s">
        <v>511</v>
      </c>
      <c r="BQ32" s="44">
        <f>SUM(Financials20263[[#This Row],[Jan AC]:[Jun AC]])</f>
        <v>46096</v>
      </c>
      <c r="BR32" s="6">
        <f t="shared" si="6"/>
        <v>5440</v>
      </c>
      <c r="BS32" s="6">
        <f>Financials20263[[#This Row],[Jul-Dec FC]]+Financials20263[[#This Row],[Pending Jan-Jun]]</f>
        <v>38080</v>
      </c>
      <c r="BT32" s="6"/>
      <c r="BU32" s="6"/>
      <c r="BV32" s="6"/>
    </row>
    <row r="33" spans="1:74" x14ac:dyDescent="0.3">
      <c r="A33" s="20" t="s">
        <v>101</v>
      </c>
      <c r="B33" s="19" t="s">
        <v>181</v>
      </c>
      <c r="C33" s="19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124</v>
      </c>
      <c r="M33" s="19" t="s">
        <v>46</v>
      </c>
      <c r="N33" s="19" t="s">
        <v>189</v>
      </c>
      <c r="O33" s="19" t="s">
        <v>186</v>
      </c>
      <c r="P33" s="19" t="s">
        <v>126</v>
      </c>
      <c r="Q33" s="19" t="s">
        <v>127</v>
      </c>
      <c r="R33" s="19" t="s">
        <v>128</v>
      </c>
      <c r="S33" s="19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624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75">
        <f>SUM(Financials20263[[#This Row],[Jan AC]:[Dec AC]])</f>
        <v>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-15360</v>
      </c>
      <c r="BH33" s="66">
        <f>Financials20263[[#This Row],[Jun AC]]-Financials20263[[#This Row],[Jun FC]]</f>
        <v>-30720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-230400</v>
      </c>
      <c r="BP33" s="84" t="s">
        <v>602</v>
      </c>
      <c r="BQ33" s="44">
        <f>SUM(Financials20263[[#This Row],[Jan AC]:[Jun AC]])</f>
        <v>0</v>
      </c>
      <c r="BR33" s="6">
        <f t="shared" si="6"/>
        <v>46080</v>
      </c>
      <c r="BS33" s="6">
        <f>Financials20263[[#This Row],[Jul-Dec FC]]+Financials20263[[#This Row],[Pending Jan-Jun]]</f>
        <v>230400</v>
      </c>
      <c r="BT33" s="6"/>
      <c r="BU33" s="6"/>
      <c r="BV33" s="6"/>
    </row>
    <row r="34" spans="1:74" x14ac:dyDescent="0.3">
      <c r="A34" s="20" t="s">
        <v>101</v>
      </c>
      <c r="B34" s="19" t="s">
        <v>197</v>
      </c>
      <c r="C34" s="19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198</v>
      </c>
      <c r="K34" s="3" t="str">
        <f t="shared" si="0"/>
        <v>Prj000290-Support - Asset Management Applications</v>
      </c>
      <c r="L34" s="19" t="s">
        <v>106</v>
      </c>
      <c r="M34" s="19" t="s">
        <v>7</v>
      </c>
      <c r="N34" s="19" t="s">
        <v>7</v>
      </c>
      <c r="O34" s="19" t="s">
        <v>199</v>
      </c>
      <c r="P34" s="19" t="s">
        <v>107</v>
      </c>
      <c r="Q34" s="19" t="s">
        <v>200</v>
      </c>
      <c r="R34" s="19" t="s">
        <v>200</v>
      </c>
      <c r="S34" s="19" t="s">
        <v>201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562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566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x14ac:dyDescent="0.3">
      <c r="A35" s="20" t="s">
        <v>101</v>
      </c>
      <c r="B35" s="19" t="s">
        <v>56</v>
      </c>
      <c r="C35" s="19" t="s">
        <v>202</v>
      </c>
      <c r="D35" s="10" t="s">
        <v>31</v>
      </c>
      <c r="E35" s="7" t="s">
        <v>203</v>
      </c>
      <c r="F35" s="3" t="s">
        <v>204</v>
      </c>
      <c r="G35" s="3" t="s">
        <v>50</v>
      </c>
      <c r="H35" s="4">
        <v>46037</v>
      </c>
      <c r="I35" s="4">
        <v>46401</v>
      </c>
      <c r="J35" s="3" t="s">
        <v>205</v>
      </c>
      <c r="K35" s="3" t="str">
        <f t="shared" si="0"/>
        <v>Prj000469-Support - Prod Support for Ops Apps</v>
      </c>
      <c r="L35" s="19" t="s">
        <v>106</v>
      </c>
      <c r="M35" s="19" t="s">
        <v>7</v>
      </c>
      <c r="N35" s="19" t="s">
        <v>7</v>
      </c>
      <c r="O35" s="19" t="s">
        <v>7</v>
      </c>
      <c r="P35" s="19" t="s">
        <v>107</v>
      </c>
      <c r="Q35" s="19" t="s">
        <v>200</v>
      </c>
      <c r="R35" s="19" t="s">
        <v>200</v>
      </c>
      <c r="S35" s="19" t="s">
        <v>109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518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x14ac:dyDescent="0.3">
      <c r="A36" s="20" t="s">
        <v>101</v>
      </c>
      <c r="B36" s="19" t="s">
        <v>207</v>
      </c>
      <c r="C36" s="19" t="s">
        <v>208</v>
      </c>
      <c r="D36" s="10" t="s">
        <v>29</v>
      </c>
      <c r="E36" s="7" t="s">
        <v>209</v>
      </c>
      <c r="F36" s="3" t="s">
        <v>210</v>
      </c>
      <c r="G36" s="3" t="s">
        <v>48</v>
      </c>
      <c r="H36" s="4">
        <v>45968</v>
      </c>
      <c r="I36" s="4">
        <v>46332</v>
      </c>
      <c r="J36" s="3" t="s">
        <v>211</v>
      </c>
      <c r="K36" s="3" t="str">
        <f t="shared" si="0"/>
        <v>Prj000458-Support - Data Analytics Office</v>
      </c>
      <c r="L36" s="19" t="s">
        <v>106</v>
      </c>
      <c r="M36" s="19" t="s">
        <v>7</v>
      </c>
      <c r="N36" s="19" t="s">
        <v>7</v>
      </c>
      <c r="O36" s="19" t="s">
        <v>7</v>
      </c>
      <c r="P36" s="19" t="s">
        <v>107</v>
      </c>
      <c r="Q36" s="19" t="s">
        <v>200</v>
      </c>
      <c r="R36" s="19" t="s">
        <v>200</v>
      </c>
      <c r="S36" s="19" t="s">
        <v>109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426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506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x14ac:dyDescent="0.3">
      <c r="A37" s="20" t="s">
        <v>101</v>
      </c>
      <c r="B37" s="19" t="s">
        <v>207</v>
      </c>
      <c r="C37" s="19" t="s">
        <v>208</v>
      </c>
      <c r="D37" s="10" t="s">
        <v>37</v>
      </c>
      <c r="E37" s="7" t="s">
        <v>212</v>
      </c>
      <c r="F37" s="3" t="s">
        <v>210</v>
      </c>
      <c r="G37" s="3" t="s">
        <v>48</v>
      </c>
      <c r="H37" s="4">
        <v>45839</v>
      </c>
      <c r="I37" s="4">
        <v>46203</v>
      </c>
      <c r="J37" s="3" t="s">
        <v>213</v>
      </c>
      <c r="K37" s="3" t="str">
        <f t="shared" si="0"/>
        <v>Prj000548-Implement - Reporting for Internal Audit</v>
      </c>
      <c r="L37" s="19" t="s">
        <v>106</v>
      </c>
      <c r="M37" s="19" t="s">
        <v>7</v>
      </c>
      <c r="N37" s="19" t="s">
        <v>7</v>
      </c>
      <c r="O37" s="19"/>
      <c r="P37" s="19" t="s">
        <v>107</v>
      </c>
      <c r="Q37" s="19" t="s">
        <v>200</v>
      </c>
      <c r="R37" s="19" t="s">
        <v>200</v>
      </c>
      <c r="S37" s="19" t="s">
        <v>109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x14ac:dyDescent="0.3">
      <c r="A38" s="20" t="s">
        <v>101</v>
      </c>
      <c r="B38" s="19" t="s">
        <v>207</v>
      </c>
      <c r="C38" s="19" t="s">
        <v>208</v>
      </c>
      <c r="D38" s="10" t="s">
        <v>29</v>
      </c>
      <c r="E38" s="7" t="s">
        <v>209</v>
      </c>
      <c r="F38" s="3" t="s">
        <v>210</v>
      </c>
      <c r="G38" s="3" t="s">
        <v>48</v>
      </c>
      <c r="H38" s="4">
        <v>46143</v>
      </c>
      <c r="I38" s="4">
        <v>46507</v>
      </c>
      <c r="J38" s="3" t="s">
        <v>213</v>
      </c>
      <c r="K38" s="3" t="str">
        <f t="shared" si="0"/>
        <v>Prj000458-Support - Data Analytics Office</v>
      </c>
      <c r="L38" s="19" t="s">
        <v>106</v>
      </c>
      <c r="M38" s="19" t="s">
        <v>7</v>
      </c>
      <c r="N38" s="19" t="s">
        <v>7</v>
      </c>
      <c r="O38" s="19" t="s">
        <v>7</v>
      </c>
      <c r="P38" s="19" t="s">
        <v>107</v>
      </c>
      <c r="Q38" s="19" t="s">
        <v>200</v>
      </c>
      <c r="R38" s="19" t="s">
        <v>200</v>
      </c>
      <c r="S38" s="19" t="s">
        <v>109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428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x14ac:dyDescent="0.3">
      <c r="A39" s="20" t="s">
        <v>101</v>
      </c>
      <c r="B39" s="19" t="s">
        <v>214</v>
      </c>
      <c r="C39" s="19"/>
      <c r="D39" s="10" t="s">
        <v>27</v>
      </c>
      <c r="E39" s="7" t="s">
        <v>215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216</v>
      </c>
      <c r="K39" s="3" t="str">
        <f t="shared" si="0"/>
        <v>Prj000446-Implement - Minor Enhancements for Enterprise Apps</v>
      </c>
      <c r="L39" s="19" t="s">
        <v>106</v>
      </c>
      <c r="M39" s="19" t="s">
        <v>7</v>
      </c>
      <c r="N39" s="19" t="s">
        <v>7</v>
      </c>
      <c r="O39" s="19" t="s">
        <v>7</v>
      </c>
      <c r="P39" s="19" t="s">
        <v>107</v>
      </c>
      <c r="Q39" s="19" t="s">
        <v>200</v>
      </c>
      <c r="R39" s="19" t="s">
        <v>200</v>
      </c>
      <c r="S39" s="19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429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475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x14ac:dyDescent="0.3">
      <c r="A40" s="20" t="s">
        <v>101</v>
      </c>
      <c r="B40" s="19" t="s">
        <v>67</v>
      </c>
      <c r="C40" s="19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19" t="s">
        <v>106</v>
      </c>
      <c r="M40" s="19" t="s">
        <v>7</v>
      </c>
      <c r="N40" s="19" t="s">
        <v>7</v>
      </c>
      <c r="O40" s="19" t="s">
        <v>217</v>
      </c>
      <c r="P40" s="19" t="s">
        <v>107</v>
      </c>
      <c r="Q40" s="19" t="s">
        <v>108</v>
      </c>
      <c r="R40" s="19" t="s">
        <v>108</v>
      </c>
      <c r="S40" s="19" t="s">
        <v>129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430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502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x14ac:dyDescent="0.3">
      <c r="A41" s="20" t="s">
        <v>101</v>
      </c>
      <c r="B41" s="19" t="s">
        <v>67</v>
      </c>
      <c r="C41" s="19"/>
      <c r="D41" s="10" t="s">
        <v>15</v>
      </c>
      <c r="E41" s="7" t="s">
        <v>218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106</v>
      </c>
      <c r="M41" s="19" t="s">
        <v>4</v>
      </c>
      <c r="N41" s="19" t="s">
        <v>4</v>
      </c>
      <c r="O41" s="19" t="s">
        <v>219</v>
      </c>
      <c r="P41" s="19" t="s">
        <v>107</v>
      </c>
      <c r="Q41" s="19" t="s">
        <v>220</v>
      </c>
      <c r="R41" s="19" t="s">
        <v>220</v>
      </c>
      <c r="S41" s="19" t="s">
        <v>129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431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503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x14ac:dyDescent="0.3">
      <c r="A42" s="20" t="s">
        <v>101</v>
      </c>
      <c r="B42" s="19" t="s">
        <v>221</v>
      </c>
      <c r="C42" s="19" t="s">
        <v>222</v>
      </c>
      <c r="D42" s="10" t="s">
        <v>27</v>
      </c>
      <c r="E42" s="7" t="s">
        <v>215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106</v>
      </c>
      <c r="M42" s="19" t="s">
        <v>7</v>
      </c>
      <c r="N42" s="19" t="s">
        <v>7</v>
      </c>
      <c r="O42" s="19" t="s">
        <v>223</v>
      </c>
      <c r="P42" s="19" t="s">
        <v>107</v>
      </c>
      <c r="Q42" s="19" t="s">
        <v>108</v>
      </c>
      <c r="R42" s="19" t="s">
        <v>108</v>
      </c>
      <c r="S42" s="19" t="s">
        <v>109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726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725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x14ac:dyDescent="0.3">
      <c r="A43" s="20" t="s">
        <v>101</v>
      </c>
      <c r="B43" s="19" t="s">
        <v>57</v>
      </c>
      <c r="C43" s="19" t="s">
        <v>224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225</v>
      </c>
      <c r="K43" s="3" t="str">
        <f t="shared" si="0"/>
        <v>Prj000350-Support - Infrastructure for Tech</v>
      </c>
      <c r="L43" s="19" t="s">
        <v>106</v>
      </c>
      <c r="M43" s="19" t="s">
        <v>7</v>
      </c>
      <c r="N43" s="19" t="s">
        <v>7</v>
      </c>
      <c r="O43" s="19"/>
      <c r="P43" s="19" t="s">
        <v>107</v>
      </c>
      <c r="Q43" s="19" t="s">
        <v>108</v>
      </c>
      <c r="R43" s="19" t="s">
        <v>108</v>
      </c>
      <c r="S43" s="19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226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743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x14ac:dyDescent="0.3">
      <c r="A44" s="20" t="s">
        <v>101</v>
      </c>
      <c r="B44" s="19" t="s">
        <v>57</v>
      </c>
      <c r="C44" s="19" t="s">
        <v>224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227</v>
      </c>
      <c r="K44" s="3" t="str">
        <f t="shared" si="0"/>
        <v>Prj000350-Support - Infrastructure for Tech</v>
      </c>
      <c r="L44" s="19" t="s">
        <v>106</v>
      </c>
      <c r="M44" s="19" t="s">
        <v>7</v>
      </c>
      <c r="N44" s="19" t="s">
        <v>7</v>
      </c>
      <c r="O44" s="19"/>
      <c r="P44" s="19" t="s">
        <v>107</v>
      </c>
      <c r="Q44" s="19" t="s">
        <v>108</v>
      </c>
      <c r="R44" s="19" t="s">
        <v>108</v>
      </c>
      <c r="S44" s="19" t="s">
        <v>132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228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576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x14ac:dyDescent="0.3">
      <c r="A45" s="20" t="s">
        <v>101</v>
      </c>
      <c r="B45" s="19" t="s">
        <v>57</v>
      </c>
      <c r="C45" s="19" t="s">
        <v>229</v>
      </c>
      <c r="D45" s="10" t="s">
        <v>15</v>
      </c>
      <c r="E45" s="7" t="s">
        <v>218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230</v>
      </c>
      <c r="K45" s="3" t="str">
        <f t="shared" si="0"/>
        <v>Prj000342-Support - Site Reliability Engineering for Tech</v>
      </c>
      <c r="L45" s="19" t="s">
        <v>106</v>
      </c>
      <c r="M45" s="19" t="s">
        <v>7</v>
      </c>
      <c r="N45" s="19" t="s">
        <v>7</v>
      </c>
      <c r="O45" s="19"/>
      <c r="P45" s="19" t="s">
        <v>107</v>
      </c>
      <c r="Q45" s="19" t="s">
        <v>108</v>
      </c>
      <c r="R45" s="19" t="s">
        <v>108</v>
      </c>
      <c r="S45" s="19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231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x14ac:dyDescent="0.3">
      <c r="A46" s="20" t="s">
        <v>101</v>
      </c>
      <c r="B46" s="19" t="s">
        <v>57</v>
      </c>
      <c r="C46" s="19" t="s">
        <v>229</v>
      </c>
      <c r="D46" s="10" t="s">
        <v>19</v>
      </c>
      <c r="E46" s="7" t="s">
        <v>232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19" t="s">
        <v>106</v>
      </c>
      <c r="M46" s="19" t="s">
        <v>7</v>
      </c>
      <c r="N46" s="19" t="s">
        <v>7</v>
      </c>
      <c r="O46" s="19"/>
      <c r="P46" s="19" t="s">
        <v>107</v>
      </c>
      <c r="Q46" s="19" t="s">
        <v>108</v>
      </c>
      <c r="R46" s="19" t="s">
        <v>108</v>
      </c>
      <c r="S46" s="19" t="s">
        <v>132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432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x14ac:dyDescent="0.3">
      <c r="A47" s="20" t="s">
        <v>101</v>
      </c>
      <c r="B47" s="19" t="s">
        <v>233</v>
      </c>
      <c r="C47" s="19" t="s">
        <v>234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106</v>
      </c>
      <c r="M47" s="19" t="s">
        <v>7</v>
      </c>
      <c r="N47" s="19" t="s">
        <v>7</v>
      </c>
      <c r="O47" s="19" t="s">
        <v>7</v>
      </c>
      <c r="P47" s="19" t="s">
        <v>107</v>
      </c>
      <c r="Q47" s="19" t="s">
        <v>108</v>
      </c>
      <c r="R47" s="19" t="s">
        <v>108</v>
      </c>
      <c r="S47" s="19" t="s">
        <v>132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577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578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 x14ac:dyDescent="0.3">
      <c r="A48" s="20" t="s">
        <v>101</v>
      </c>
      <c r="B48" s="19" t="s">
        <v>235</v>
      </c>
      <c r="C48" s="19" t="s">
        <v>236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237</v>
      </c>
      <c r="K48" s="3" t="str">
        <f t="shared" si="0"/>
        <v>Prj000290-Support - Asset Management Applications</v>
      </c>
      <c r="L48" s="19" t="s">
        <v>106</v>
      </c>
      <c r="M48" s="19" t="s">
        <v>7</v>
      </c>
      <c r="N48" s="19" t="s">
        <v>7</v>
      </c>
      <c r="O48" s="19" t="s">
        <v>238</v>
      </c>
      <c r="P48" s="19" t="s">
        <v>107</v>
      </c>
      <c r="Q48" s="19" t="s">
        <v>108</v>
      </c>
      <c r="R48" s="19" t="s">
        <v>108</v>
      </c>
      <c r="S48" s="19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501</v>
      </c>
      <c r="AB48" s="47"/>
      <c r="AC48" s="47"/>
      <c r="AD48" s="47"/>
      <c r="AE48" s="47">
        <v>232868.65</v>
      </c>
      <c r="AF48" s="47"/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/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0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-232868.65</v>
      </c>
      <c r="BG48" s="66">
        <f>Financials20263[[#This Row],[May AC]]-Financials20263[[#This Row],[May FC]]</f>
        <v>0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-232868.65</v>
      </c>
      <c r="BP48" s="83" t="s">
        <v>515</v>
      </c>
      <c r="BQ48" s="44">
        <f>SUM(Financials20263[[#This Row],[Jan AC]:[Jun AC]])</f>
        <v>0</v>
      </c>
      <c r="BR48" s="6">
        <f t="shared" si="17"/>
        <v>232868.65</v>
      </c>
      <c r="BS48" s="6">
        <f>Financials20263[[#This Row],[Jul-Dec FC]]+Financials20263[[#This Row],[Pending Jan-Jun]]</f>
        <v>232868.65</v>
      </c>
      <c r="BT48" s="6"/>
      <c r="BU48" s="6"/>
      <c r="BV48" s="6"/>
    </row>
    <row r="49" spans="1:74" x14ac:dyDescent="0.3">
      <c r="A49" s="20" t="s">
        <v>101</v>
      </c>
      <c r="B49" s="19" t="s">
        <v>239</v>
      </c>
      <c r="C49" s="19" t="s">
        <v>240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106</v>
      </c>
      <c r="M49" s="19" t="s">
        <v>7</v>
      </c>
      <c r="N49" s="19" t="s">
        <v>7</v>
      </c>
      <c r="O49" s="19"/>
      <c r="P49" s="19" t="s">
        <v>107</v>
      </c>
      <c r="Q49" s="19" t="s">
        <v>108</v>
      </c>
      <c r="R49" s="19" t="s">
        <v>108</v>
      </c>
      <c r="S49" s="19" t="s">
        <v>132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506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x14ac:dyDescent="0.3">
      <c r="A50" s="20" t="s">
        <v>101</v>
      </c>
      <c r="B50" s="19" t="s">
        <v>241</v>
      </c>
      <c r="C50" s="19" t="s">
        <v>242</v>
      </c>
      <c r="D50" s="10" t="s">
        <v>27</v>
      </c>
      <c r="E50" s="7" t="s">
        <v>215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243</v>
      </c>
      <c r="K50" s="3" t="str">
        <f t="shared" si="0"/>
        <v>Prj000446-Implement - Minor Enhancements for Enterprise Apps</v>
      </c>
      <c r="L50" s="19" t="s">
        <v>106</v>
      </c>
      <c r="M50" s="19" t="s">
        <v>7</v>
      </c>
      <c r="N50" s="19" t="s">
        <v>7</v>
      </c>
      <c r="O50" s="19"/>
      <c r="P50" s="19" t="s">
        <v>107</v>
      </c>
      <c r="Q50" s="19" t="s">
        <v>108</v>
      </c>
      <c r="R50" s="19" t="s">
        <v>108</v>
      </c>
      <c r="S50" s="19" t="s">
        <v>132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433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x14ac:dyDescent="0.3">
      <c r="A51" s="20" t="s">
        <v>101</v>
      </c>
      <c r="B51" s="19" t="s">
        <v>207</v>
      </c>
      <c r="C51" s="19" t="s">
        <v>208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106</v>
      </c>
      <c r="M51" s="19" t="s">
        <v>7</v>
      </c>
      <c r="N51" s="19" t="s">
        <v>7</v>
      </c>
      <c r="O51" s="19" t="s">
        <v>7</v>
      </c>
      <c r="P51" s="19" t="s">
        <v>107</v>
      </c>
      <c r="Q51" s="19" t="s">
        <v>108</v>
      </c>
      <c r="R51" s="19" t="s">
        <v>108</v>
      </c>
      <c r="S51" s="19" t="s">
        <v>132</v>
      </c>
      <c r="T51" s="5">
        <v>80119</v>
      </c>
      <c r="U51" s="15">
        <v>96543</v>
      </c>
      <c r="V51" s="15">
        <v>96543</v>
      </c>
      <c r="W51" s="15">
        <f t="shared" si="16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567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561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x14ac:dyDescent="0.3">
      <c r="A52" s="20" t="s">
        <v>101</v>
      </c>
      <c r="B52" s="19" t="s">
        <v>207</v>
      </c>
      <c r="C52" s="19" t="s">
        <v>208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244</v>
      </c>
      <c r="K52" s="3" t="str">
        <f t="shared" si="0"/>
        <v>Prj000344-Support - Prod support for Finance Applications</v>
      </c>
      <c r="L52" s="19" t="s">
        <v>106</v>
      </c>
      <c r="M52" s="19" t="s">
        <v>7</v>
      </c>
      <c r="N52" s="19" t="s">
        <v>7</v>
      </c>
      <c r="O52" s="19" t="s">
        <v>7</v>
      </c>
      <c r="P52" s="19" t="s">
        <v>107</v>
      </c>
      <c r="Q52" s="19" t="s">
        <v>108</v>
      </c>
      <c r="R52" s="19" t="s">
        <v>108</v>
      </c>
      <c r="S52" s="19" t="s">
        <v>132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x14ac:dyDescent="0.3">
      <c r="A53" s="20" t="s">
        <v>101</v>
      </c>
      <c r="B53" s="19" t="s">
        <v>207</v>
      </c>
      <c r="C53" s="19" t="s">
        <v>208</v>
      </c>
      <c r="D53" s="10" t="s">
        <v>29</v>
      </c>
      <c r="E53" s="7" t="s">
        <v>209</v>
      </c>
      <c r="F53" s="3" t="s">
        <v>210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106</v>
      </c>
      <c r="M53" s="19" t="s">
        <v>7</v>
      </c>
      <c r="N53" s="19" t="s">
        <v>7</v>
      </c>
      <c r="O53" s="19" t="s">
        <v>7</v>
      </c>
      <c r="P53" s="19" t="s">
        <v>107</v>
      </c>
      <c r="Q53" s="19" t="s">
        <v>108</v>
      </c>
      <c r="R53" s="19" t="s">
        <v>108</v>
      </c>
      <c r="S53" s="19" t="s">
        <v>132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x14ac:dyDescent="0.3">
      <c r="A54" s="20" t="s">
        <v>101</v>
      </c>
      <c r="B54" s="19" t="s">
        <v>247</v>
      </c>
      <c r="C54" s="19" t="s">
        <v>248</v>
      </c>
      <c r="D54" s="10" t="s">
        <v>26</v>
      </c>
      <c r="E54" s="7" t="s">
        <v>249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106</v>
      </c>
      <c r="M54" s="19" t="s">
        <v>7</v>
      </c>
      <c r="N54" s="19" t="s">
        <v>7</v>
      </c>
      <c r="O54" s="19"/>
      <c r="P54" s="19" t="s">
        <v>107</v>
      </c>
      <c r="Q54" s="19" t="s">
        <v>108</v>
      </c>
      <c r="R54" s="19" t="s">
        <v>108</v>
      </c>
      <c r="S54" s="19" t="s">
        <v>132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x14ac:dyDescent="0.3">
      <c r="A55" s="20" t="s">
        <v>101</v>
      </c>
      <c r="B55" s="19" t="s">
        <v>76</v>
      </c>
      <c r="C55" s="19" t="s">
        <v>250</v>
      </c>
      <c r="D55" s="10" t="s">
        <v>24</v>
      </c>
      <c r="E55" s="7" t="s">
        <v>251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252</v>
      </c>
      <c r="K55" s="3" t="str">
        <f t="shared" si="0"/>
        <v>Prj000410-Support - Tech Enablement 2026</v>
      </c>
      <c r="L55" s="19" t="s">
        <v>106</v>
      </c>
      <c r="M55" s="19" t="s">
        <v>7</v>
      </c>
      <c r="N55" s="19" t="s">
        <v>7</v>
      </c>
      <c r="O55" s="19"/>
      <c r="P55" s="19" t="s">
        <v>107</v>
      </c>
      <c r="Q55" s="19" t="s">
        <v>108</v>
      </c>
      <c r="R55" s="19" t="s">
        <v>108</v>
      </c>
      <c r="S55" s="19" t="s">
        <v>132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253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x14ac:dyDescent="0.3">
      <c r="A56" s="20" t="s">
        <v>101</v>
      </c>
      <c r="B56" s="19" t="s">
        <v>76</v>
      </c>
      <c r="C56" s="19" t="s">
        <v>250</v>
      </c>
      <c r="D56" s="10" t="s">
        <v>24</v>
      </c>
      <c r="E56" s="7" t="s">
        <v>251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252</v>
      </c>
      <c r="K56" s="3" t="str">
        <f t="shared" si="0"/>
        <v>Prj000410-Support - Tech Enablement 2026</v>
      </c>
      <c r="L56" s="19" t="s">
        <v>106</v>
      </c>
      <c r="M56" s="19" t="s">
        <v>7</v>
      </c>
      <c r="N56" s="19" t="s">
        <v>7</v>
      </c>
      <c r="O56" s="19"/>
      <c r="P56" s="19" t="s">
        <v>107</v>
      </c>
      <c r="Q56" s="19" t="s">
        <v>108</v>
      </c>
      <c r="R56" s="19" t="s">
        <v>108</v>
      </c>
      <c r="S56" s="19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254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625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x14ac:dyDescent="0.3">
      <c r="A57" s="20" t="s">
        <v>101</v>
      </c>
      <c r="B57" s="19" t="s">
        <v>255</v>
      </c>
      <c r="C57" s="19" t="s">
        <v>256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257</v>
      </c>
      <c r="K57" s="3" t="str">
        <f t="shared" si="0"/>
        <v>Prj000344-Support - Prod support for Finance Applications</v>
      </c>
      <c r="L57" s="19" t="s">
        <v>106</v>
      </c>
      <c r="M57" s="19" t="s">
        <v>7</v>
      </c>
      <c r="N57" s="19" t="s">
        <v>7</v>
      </c>
      <c r="O57" s="19"/>
      <c r="P57" s="19" t="s">
        <v>107</v>
      </c>
      <c r="Q57" s="19" t="s">
        <v>108</v>
      </c>
      <c r="R57" s="19" t="s">
        <v>108</v>
      </c>
      <c r="S57" s="19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506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x14ac:dyDescent="0.3">
      <c r="A58" s="20" t="s">
        <v>101</v>
      </c>
      <c r="B58" s="19" t="s">
        <v>255</v>
      </c>
      <c r="C58" s="19" t="s">
        <v>256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258</v>
      </c>
      <c r="K58" s="3" t="str">
        <f t="shared" si="0"/>
        <v>Prj000344-Support - Prod support for Finance Applications</v>
      </c>
      <c r="L58" s="19" t="s">
        <v>106</v>
      </c>
      <c r="M58" s="19" t="s">
        <v>7</v>
      </c>
      <c r="N58" s="19" t="s">
        <v>7</v>
      </c>
      <c r="O58" s="19"/>
      <c r="P58" s="19" t="s">
        <v>107</v>
      </c>
      <c r="Q58" s="19" t="s">
        <v>108</v>
      </c>
      <c r="R58" s="19" t="s">
        <v>108</v>
      </c>
      <c r="S58" s="19" t="s">
        <v>132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506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x14ac:dyDescent="0.3">
      <c r="A59" s="20" t="s">
        <v>101</v>
      </c>
      <c r="B59" s="19" t="s">
        <v>67</v>
      </c>
      <c r="C59" s="19" t="s">
        <v>259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260</v>
      </c>
      <c r="K59" s="3" t="str">
        <f t="shared" si="0"/>
        <v>Prj000350-Support - Infrastructure for Tech</v>
      </c>
      <c r="L59" s="19" t="s">
        <v>106</v>
      </c>
      <c r="M59" s="19" t="s">
        <v>7</v>
      </c>
      <c r="N59" s="19" t="s">
        <v>7</v>
      </c>
      <c r="O59" s="19" t="s">
        <v>261</v>
      </c>
      <c r="P59" s="19" t="s">
        <v>107</v>
      </c>
      <c r="Q59" s="19" t="s">
        <v>108</v>
      </c>
      <c r="R59" s="19" t="s">
        <v>108</v>
      </c>
      <c r="S59" s="19" t="s">
        <v>109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434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x14ac:dyDescent="0.3">
      <c r="A60" s="20" t="s">
        <v>101</v>
      </c>
      <c r="B60" s="19" t="s">
        <v>77</v>
      </c>
      <c r="C60" s="19" t="s">
        <v>262</v>
      </c>
      <c r="D60" s="10" t="s">
        <v>24</v>
      </c>
      <c r="E60" s="7" t="s">
        <v>251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263</v>
      </c>
      <c r="K60" s="3" t="str">
        <f t="shared" si="0"/>
        <v>Prj000410-Support - Tech Enablement 2026</v>
      </c>
      <c r="L60" s="19" t="s">
        <v>106</v>
      </c>
      <c r="M60" s="19" t="s">
        <v>7</v>
      </c>
      <c r="N60" s="19" t="s">
        <v>7</v>
      </c>
      <c r="O60" s="19"/>
      <c r="P60" s="19" t="s">
        <v>107</v>
      </c>
      <c r="Q60" s="19" t="s">
        <v>108</v>
      </c>
      <c r="R60" s="19" t="s">
        <v>108</v>
      </c>
      <c r="S60" s="19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435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625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x14ac:dyDescent="0.3">
      <c r="A61" s="20" t="s">
        <v>101</v>
      </c>
      <c r="B61" s="19" t="s">
        <v>74</v>
      </c>
      <c r="C61" s="19" t="s">
        <v>264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265</v>
      </c>
      <c r="K61" s="3" t="str">
        <f t="shared" si="0"/>
        <v>Prj000350-Support - Infrastructure for Tech</v>
      </c>
      <c r="L61" s="19" t="s">
        <v>106</v>
      </c>
      <c r="M61" s="19" t="s">
        <v>7</v>
      </c>
      <c r="N61" s="19" t="s">
        <v>7</v>
      </c>
      <c r="O61" s="19" t="s">
        <v>266</v>
      </c>
      <c r="P61" s="19" t="s">
        <v>107</v>
      </c>
      <c r="Q61" s="19" t="s">
        <v>108</v>
      </c>
      <c r="R61" s="19" t="s">
        <v>108</v>
      </c>
      <c r="S61" s="19" t="s">
        <v>109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436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478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x14ac:dyDescent="0.3">
      <c r="A62" s="20" t="s">
        <v>101</v>
      </c>
      <c r="B62" s="19" t="s">
        <v>74</v>
      </c>
      <c r="C62" s="19" t="s">
        <v>264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267</v>
      </c>
      <c r="K62" s="3" t="str">
        <f t="shared" si="0"/>
        <v>Prj000350-Support - Infrastructure for Tech</v>
      </c>
      <c r="L62" s="19" t="s">
        <v>106</v>
      </c>
      <c r="M62" s="19" t="s">
        <v>7</v>
      </c>
      <c r="N62" s="19" t="s">
        <v>7</v>
      </c>
      <c r="O62" s="19" t="s">
        <v>268</v>
      </c>
      <c r="P62" s="19" t="s">
        <v>107</v>
      </c>
      <c r="Q62" s="19" t="s">
        <v>108</v>
      </c>
      <c r="R62" s="19" t="s">
        <v>108</v>
      </c>
      <c r="S62" s="19" t="s">
        <v>132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437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x14ac:dyDescent="0.3">
      <c r="A63" s="20" t="s">
        <v>101</v>
      </c>
      <c r="B63" s="19" t="s">
        <v>74</v>
      </c>
      <c r="C63" s="19" t="s">
        <v>264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269</v>
      </c>
      <c r="K63" s="3" t="str">
        <f t="shared" si="0"/>
        <v>Prj000350-Support - Infrastructure for Tech</v>
      </c>
      <c r="L63" s="19" t="s">
        <v>106</v>
      </c>
      <c r="M63" s="19" t="s">
        <v>7</v>
      </c>
      <c r="N63" s="19" t="s">
        <v>7</v>
      </c>
      <c r="O63" s="19" t="s">
        <v>270</v>
      </c>
      <c r="P63" s="19" t="s">
        <v>107</v>
      </c>
      <c r="Q63" s="19" t="s">
        <v>108</v>
      </c>
      <c r="R63" s="19" t="s">
        <v>108</v>
      </c>
      <c r="S63" s="19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438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506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x14ac:dyDescent="0.3">
      <c r="A64" s="20" t="s">
        <v>101</v>
      </c>
      <c r="B64" s="19" t="s">
        <v>271</v>
      </c>
      <c r="C64" s="19" t="s">
        <v>272</v>
      </c>
      <c r="D64" s="10" t="s">
        <v>31</v>
      </c>
      <c r="E64" s="7" t="s">
        <v>203</v>
      </c>
      <c r="F64" s="3" t="s">
        <v>204</v>
      </c>
      <c r="G64" s="3" t="s">
        <v>50</v>
      </c>
      <c r="H64" s="4">
        <v>45362</v>
      </c>
      <c r="I64" s="4">
        <v>45726</v>
      </c>
      <c r="J64" s="3" t="s">
        <v>273</v>
      </c>
      <c r="K64" s="3" t="str">
        <f t="shared" si="0"/>
        <v>Prj000469-Support - Prod Support for Ops Apps</v>
      </c>
      <c r="L64" s="19" t="s">
        <v>106</v>
      </c>
      <c r="M64" s="19" t="s">
        <v>7</v>
      </c>
      <c r="N64" s="19" t="s">
        <v>7</v>
      </c>
      <c r="O64" s="19"/>
      <c r="P64" s="19" t="s">
        <v>107</v>
      </c>
      <c r="Q64" s="19" t="s">
        <v>108</v>
      </c>
      <c r="R64" s="19" t="s">
        <v>108</v>
      </c>
      <c r="S64" s="19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274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x14ac:dyDescent="0.3">
      <c r="A65" s="20" t="s">
        <v>101</v>
      </c>
      <c r="B65" s="19" t="s">
        <v>275</v>
      </c>
      <c r="C65" s="19" t="s">
        <v>276</v>
      </c>
      <c r="D65" s="10" t="s">
        <v>27</v>
      </c>
      <c r="E65" s="7" t="s">
        <v>215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106</v>
      </c>
      <c r="M65" s="19" t="s">
        <v>7</v>
      </c>
      <c r="N65" s="19" t="s">
        <v>7</v>
      </c>
      <c r="O65" s="19"/>
      <c r="P65" s="19" t="s">
        <v>107</v>
      </c>
      <c r="Q65" s="19" t="s">
        <v>108</v>
      </c>
      <c r="R65" s="19" t="s">
        <v>108</v>
      </c>
      <c r="S65" s="19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506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x14ac:dyDescent="0.3">
      <c r="A66" s="20" t="s">
        <v>101</v>
      </c>
      <c r="B66" s="19" t="s">
        <v>277</v>
      </c>
      <c r="C66" s="19" t="s">
        <v>278</v>
      </c>
      <c r="D66" s="10" t="s">
        <v>29</v>
      </c>
      <c r="E66" s="7" t="s">
        <v>209</v>
      </c>
      <c r="F66" s="3" t="s">
        <v>210</v>
      </c>
      <c r="G66" s="3" t="s">
        <v>48</v>
      </c>
      <c r="H66" s="4">
        <v>45745</v>
      </c>
      <c r="I66" s="4">
        <v>46109</v>
      </c>
      <c r="J66" s="3" t="s">
        <v>279</v>
      </c>
      <c r="K66" s="3" t="str">
        <f t="shared" ref="K66:K129" si="30">D66 &amp; "-" &amp;E66</f>
        <v>Prj000458-Support - Data Analytics Office</v>
      </c>
      <c r="L66" s="19" t="s">
        <v>106</v>
      </c>
      <c r="M66" s="19" t="s">
        <v>7</v>
      </c>
      <c r="N66" s="19" t="s">
        <v>7</v>
      </c>
      <c r="O66" s="19" t="s">
        <v>280</v>
      </c>
      <c r="P66" s="19" t="s">
        <v>107</v>
      </c>
      <c r="Q66" s="19" t="s">
        <v>108</v>
      </c>
      <c r="R66" s="19" t="s">
        <v>108</v>
      </c>
      <c r="S66" s="19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41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x14ac:dyDescent="0.3">
      <c r="A67" s="20" t="s">
        <v>101</v>
      </c>
      <c r="B67" s="19" t="s">
        <v>281</v>
      </c>
      <c r="C67" s="19" t="s">
        <v>282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106</v>
      </c>
      <c r="M67" s="19" t="s">
        <v>7</v>
      </c>
      <c r="N67" s="19" t="s">
        <v>7</v>
      </c>
      <c r="O67" s="19"/>
      <c r="P67" s="19" t="s">
        <v>107</v>
      </c>
      <c r="Q67" s="19" t="s">
        <v>108</v>
      </c>
      <c r="R67" s="19" t="s">
        <v>108</v>
      </c>
      <c r="S67" s="19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x14ac:dyDescent="0.3">
      <c r="A68" s="20" t="s">
        <v>101</v>
      </c>
      <c r="B68" s="19" t="s">
        <v>283</v>
      </c>
      <c r="C68" s="19" t="s">
        <v>284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285</v>
      </c>
      <c r="K68" s="3" t="str">
        <f t="shared" si="30"/>
        <v>Prj000426-Implement - Minor Enhancements for Sales</v>
      </c>
      <c r="L68" s="19" t="s">
        <v>106</v>
      </c>
      <c r="M68" s="19" t="s">
        <v>7</v>
      </c>
      <c r="N68" s="19" t="s">
        <v>7</v>
      </c>
      <c r="O68" s="19"/>
      <c r="P68" s="19" t="s">
        <v>107</v>
      </c>
      <c r="Q68" s="19" t="s">
        <v>108</v>
      </c>
      <c r="R68" s="19" t="s">
        <v>108</v>
      </c>
      <c r="S68" s="19" t="s">
        <v>109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439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x14ac:dyDescent="0.3">
      <c r="A69" s="20" t="s">
        <v>101</v>
      </c>
      <c r="B69" s="19" t="s">
        <v>78</v>
      </c>
      <c r="C69" s="19" t="s">
        <v>286</v>
      </c>
      <c r="D69" s="10" t="s">
        <v>15</v>
      </c>
      <c r="E69" s="7" t="s">
        <v>218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106</v>
      </c>
      <c r="M69" s="19" t="s">
        <v>7</v>
      </c>
      <c r="N69" s="19" t="s">
        <v>7</v>
      </c>
      <c r="O69" s="19"/>
      <c r="P69" s="19" t="s">
        <v>107</v>
      </c>
      <c r="Q69" s="19" t="s">
        <v>108</v>
      </c>
      <c r="R69" s="19" t="s">
        <v>108</v>
      </c>
      <c r="S69" s="19" t="s">
        <v>132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120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x14ac:dyDescent="0.3">
      <c r="A70" s="20" t="s">
        <v>101</v>
      </c>
      <c r="B70" s="19" t="s">
        <v>70</v>
      </c>
      <c r="C70" s="19" t="s">
        <v>287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288</v>
      </c>
      <c r="K70" s="3" t="str">
        <f t="shared" si="30"/>
        <v>Prj000350-Support - Infrastructure for Tech</v>
      </c>
      <c r="L70" s="19" t="s">
        <v>106</v>
      </c>
      <c r="M70" s="19" t="s">
        <v>7</v>
      </c>
      <c r="N70" s="19" t="s">
        <v>7</v>
      </c>
      <c r="O70" s="19" t="s">
        <v>7</v>
      </c>
      <c r="P70" s="19" t="s">
        <v>107</v>
      </c>
      <c r="Q70" s="19" t="s">
        <v>108</v>
      </c>
      <c r="R70" s="19" t="s">
        <v>108</v>
      </c>
      <c r="S70" s="19" t="s">
        <v>115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440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x14ac:dyDescent="0.3">
      <c r="A71" s="20" t="s">
        <v>101</v>
      </c>
      <c r="B71" s="19" t="s">
        <v>70</v>
      </c>
      <c r="C71" s="19" t="s">
        <v>287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289</v>
      </c>
      <c r="K71" s="3" t="str">
        <f t="shared" si="30"/>
        <v>Prj000467-Support - Enterprise Tech Helpdesk</v>
      </c>
      <c r="L71" s="19" t="s">
        <v>106</v>
      </c>
      <c r="M71" s="19" t="s">
        <v>7</v>
      </c>
      <c r="N71" s="19" t="s">
        <v>7</v>
      </c>
      <c r="O71" s="19" t="s">
        <v>7</v>
      </c>
      <c r="P71" s="19" t="s">
        <v>107</v>
      </c>
      <c r="Q71" s="19" t="s">
        <v>108</v>
      </c>
      <c r="R71" s="19" t="s">
        <v>108</v>
      </c>
      <c r="S71" s="19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289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x14ac:dyDescent="0.3">
      <c r="A72" s="20" t="s">
        <v>101</v>
      </c>
      <c r="B72" s="19" t="s">
        <v>70</v>
      </c>
      <c r="C72" s="19" t="s">
        <v>287</v>
      </c>
      <c r="D72" s="10" t="s">
        <v>37</v>
      </c>
      <c r="E72" s="7" t="s">
        <v>212</v>
      </c>
      <c r="F72" s="3" t="s">
        <v>210</v>
      </c>
      <c r="G72" s="3" t="s">
        <v>48</v>
      </c>
      <c r="H72" s="4">
        <v>45870</v>
      </c>
      <c r="I72" s="4">
        <v>46234</v>
      </c>
      <c r="J72" s="3" t="s">
        <v>290</v>
      </c>
      <c r="K72" s="3" t="str">
        <f t="shared" si="30"/>
        <v>Prj000548-Implement - Reporting for Internal Audit</v>
      </c>
      <c r="L72" s="19" t="s">
        <v>106</v>
      </c>
      <c r="M72" s="19" t="s">
        <v>7</v>
      </c>
      <c r="N72" s="19" t="s">
        <v>7</v>
      </c>
      <c r="O72" s="19" t="s">
        <v>7</v>
      </c>
      <c r="P72" s="19" t="s">
        <v>107</v>
      </c>
      <c r="Q72" s="19" t="s">
        <v>108</v>
      </c>
      <c r="R72" s="19" t="s">
        <v>108</v>
      </c>
      <c r="S72" s="19" t="s">
        <v>132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291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x14ac:dyDescent="0.3">
      <c r="A73" s="20" t="s">
        <v>101</v>
      </c>
      <c r="B73" s="19" t="s">
        <v>70</v>
      </c>
      <c r="C73" s="19" t="s">
        <v>287</v>
      </c>
      <c r="D73" s="10" t="s">
        <v>29</v>
      </c>
      <c r="E73" s="7" t="s">
        <v>209</v>
      </c>
      <c r="F73" s="3" t="s">
        <v>210</v>
      </c>
      <c r="G73" s="3" t="s">
        <v>48</v>
      </c>
      <c r="H73" s="4">
        <v>45896</v>
      </c>
      <c r="I73" s="4">
        <v>46260</v>
      </c>
      <c r="J73" s="3" t="s">
        <v>292</v>
      </c>
      <c r="K73" s="3" t="str">
        <f t="shared" si="30"/>
        <v>Prj000458-Support - Data Analytics Office</v>
      </c>
      <c r="L73" s="19" t="s">
        <v>106</v>
      </c>
      <c r="M73" s="19" t="s">
        <v>7</v>
      </c>
      <c r="N73" s="19" t="s">
        <v>7</v>
      </c>
      <c r="O73" s="19" t="s">
        <v>293</v>
      </c>
      <c r="P73" s="19" t="s">
        <v>107</v>
      </c>
      <c r="Q73" s="19" t="s">
        <v>108</v>
      </c>
      <c r="R73" s="19" t="s">
        <v>108</v>
      </c>
      <c r="S73" s="19" t="s">
        <v>132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294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x14ac:dyDescent="0.3">
      <c r="A74" s="20" t="s">
        <v>101</v>
      </c>
      <c r="B74" s="19" t="s">
        <v>181</v>
      </c>
      <c r="C74" s="19" t="s">
        <v>295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296</v>
      </c>
      <c r="K74" s="3" t="str">
        <f t="shared" si="30"/>
        <v>Prj000403-Support - L2 CoE Management for Tech Horizontals</v>
      </c>
      <c r="L74" s="19" t="s">
        <v>106</v>
      </c>
      <c r="M74" s="19" t="s">
        <v>7</v>
      </c>
      <c r="N74" s="19" t="s">
        <v>7</v>
      </c>
      <c r="O74" s="19" t="s">
        <v>199</v>
      </c>
      <c r="P74" s="19" t="s">
        <v>107</v>
      </c>
      <c r="Q74" s="19" t="s">
        <v>108</v>
      </c>
      <c r="R74" s="19" t="s">
        <v>108</v>
      </c>
      <c r="S74" s="19" t="s">
        <v>132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441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506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x14ac:dyDescent="0.3">
      <c r="A75" s="20" t="s">
        <v>101</v>
      </c>
      <c r="B75" s="19" t="s">
        <v>297</v>
      </c>
      <c r="C75" s="19" t="s">
        <v>298</v>
      </c>
      <c r="D75" s="10" t="s">
        <v>27</v>
      </c>
      <c r="E75" s="7" t="s">
        <v>215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30"/>
        <v>Prj000446-Implement - Minor Enhancements for Enterprise Apps</v>
      </c>
      <c r="L75" s="19" t="s">
        <v>106</v>
      </c>
      <c r="M75" s="19" t="s">
        <v>7</v>
      </c>
      <c r="N75" s="19" t="s">
        <v>7</v>
      </c>
      <c r="O75" s="19"/>
      <c r="P75" s="19" t="s">
        <v>107</v>
      </c>
      <c r="Q75" s="19" t="s">
        <v>108</v>
      </c>
      <c r="R75" s="19" t="s">
        <v>108</v>
      </c>
      <c r="S75" s="19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70310.907999999996</v>
      </c>
      <c r="X75" s="15">
        <f t="shared" si="35"/>
        <v>-121.79000000000815</v>
      </c>
      <c r="Y75" s="15">
        <f t="shared" si="32"/>
        <v>0</v>
      </c>
      <c r="Z75" s="15">
        <f>SUM(Financials20263[[#This Row],[2026 Opportunity]:[2026 Risk]])</f>
        <v>-121.79000000000815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v>68232.698000000004</v>
      </c>
      <c r="AN75" s="47">
        <f>SUM(Financials20263[[#This Row],[Jan FC]:[Dec FC]])</f>
        <v>70432.698000000004</v>
      </c>
      <c r="AO75" s="15">
        <f>SUM(Financials20263[[#This Row],[Jul FC]:[Dec FC]])</f>
        <v>69232.698000000004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/>
      <c r="AV75" s="56"/>
      <c r="AW75" s="56"/>
      <c r="AX75" s="56"/>
      <c r="AY75" s="56"/>
      <c r="AZ75" s="56"/>
      <c r="BA75" s="56"/>
      <c r="BB75" s="75">
        <f>SUM(Financials20263[[#This Row],[Jan AC]:[Dec AC]])</f>
        <v>878.21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-200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-68232.698000000004</v>
      </c>
      <c r="BO75" s="66">
        <f>SUM(Financials20263[[#This Row],[Jan Opp/Risk]:[Dec Opp./Risk]])</f>
        <v>-69554.487999999998</v>
      </c>
      <c r="BP75" s="82"/>
      <c r="BQ75" s="44">
        <f>SUM(Financials20263[[#This Row],[Jan AC]:[Jun AC]])</f>
        <v>878.21</v>
      </c>
      <c r="BR75" s="6">
        <f t="shared" si="33"/>
        <v>200</v>
      </c>
      <c r="BS75" s="6">
        <f>Financials20263[[#This Row],[Jul-Dec FC]]+Financials20263[[#This Row],[Pending Jan-Jun]]</f>
        <v>69432.698000000004</v>
      </c>
      <c r="BT75" s="6"/>
      <c r="BU75" s="6"/>
      <c r="BV75" s="6"/>
    </row>
    <row r="76" spans="1:74" x14ac:dyDescent="0.3">
      <c r="A76" s="20" t="s">
        <v>101</v>
      </c>
      <c r="B76" s="19" t="s">
        <v>138</v>
      </c>
      <c r="C76" s="19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299</v>
      </c>
      <c r="K76" s="3" t="str">
        <f t="shared" si="30"/>
        <v>Prj000290-Support - Asset Management Applications</v>
      </c>
      <c r="L76" s="19" t="s">
        <v>106</v>
      </c>
      <c r="M76" s="19" t="s">
        <v>7</v>
      </c>
      <c r="N76" s="19" t="s">
        <v>7</v>
      </c>
      <c r="O76" s="19" t="s">
        <v>300</v>
      </c>
      <c r="P76" s="19" t="s">
        <v>107</v>
      </c>
      <c r="Q76" s="19" t="s">
        <v>108</v>
      </c>
      <c r="R76" s="19" t="s">
        <v>108</v>
      </c>
      <c r="S76" s="19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31"/>
        <v>145500</v>
      </c>
      <c r="X76" s="15">
        <f t="shared" si="35"/>
        <v>0</v>
      </c>
      <c r="Y76" s="15">
        <f t="shared" si="32"/>
        <v>12254.099999999977</v>
      </c>
      <c r="Z76" s="15">
        <f>SUM(Financials20263[[#This Row],[2026 Opportunity]:[2026 Risk]])</f>
        <v>12254.099999999977</v>
      </c>
      <c r="AA76" s="3" t="s">
        <v>301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x14ac:dyDescent="0.3">
      <c r="A77" s="20" t="s">
        <v>101</v>
      </c>
      <c r="B77" s="19" t="s">
        <v>75</v>
      </c>
      <c r="C77" s="19" t="s">
        <v>302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106</v>
      </c>
      <c r="M77" s="19" t="s">
        <v>7</v>
      </c>
      <c r="N77" s="19" t="s">
        <v>7</v>
      </c>
      <c r="O77" s="19"/>
      <c r="P77" s="19" t="s">
        <v>107</v>
      </c>
      <c r="Q77" s="19" t="s">
        <v>108</v>
      </c>
      <c r="R77" s="19" t="s">
        <v>108</v>
      </c>
      <c r="S77" s="19" t="s">
        <v>132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x14ac:dyDescent="0.3">
      <c r="A78" s="20" t="s">
        <v>101</v>
      </c>
      <c r="B78" s="19" t="s">
        <v>303</v>
      </c>
      <c r="C78" s="19" t="s">
        <v>304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30"/>
        <v>Prj000403-Support - L2 CoE Management for Tech Horizontals</v>
      </c>
      <c r="L78" s="19" t="s">
        <v>106</v>
      </c>
      <c r="M78" s="19" t="s">
        <v>7</v>
      </c>
      <c r="N78" s="19" t="s">
        <v>7</v>
      </c>
      <c r="O78" s="19" t="s">
        <v>7</v>
      </c>
      <c r="P78" s="19" t="s">
        <v>107</v>
      </c>
      <c r="Q78" s="19" t="s">
        <v>108</v>
      </c>
      <c r="R78" s="19" t="s">
        <v>108</v>
      </c>
      <c r="S78" s="19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26312.240000000002</v>
      </c>
      <c r="X78" s="15">
        <f t="shared" si="35"/>
        <v>0</v>
      </c>
      <c r="Y78" s="15">
        <f t="shared" si="32"/>
        <v>23.484500000002299</v>
      </c>
      <c r="Z78" s="15">
        <f>SUM(Financials20263[[#This Row],[2026 Opportunity]:[2026 Risk]])</f>
        <v>23.484500000002299</v>
      </c>
      <c r="AA78" s="3" t="s">
        <v>305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/>
      <c r="AV78" s="56"/>
      <c r="AW78" s="56"/>
      <c r="AX78" s="56"/>
      <c r="AY78" s="56"/>
      <c r="AZ78" s="56"/>
      <c r="BA78" s="56"/>
      <c r="BB78" s="75">
        <f>SUM(Financials20263[[#This Row],[Jan AC]:[Dec AC]])</f>
        <v>14025.49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-1000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-12517.65</v>
      </c>
      <c r="BP78" s="86" t="s">
        <v>559</v>
      </c>
      <c r="BQ78" s="44">
        <f>SUM(Financials20263[[#This Row],[Jan AC]:[Jun AC]])</f>
        <v>14025.49</v>
      </c>
      <c r="BR78" s="6">
        <f t="shared" si="33"/>
        <v>1000</v>
      </c>
      <c r="BS78" s="6">
        <f>Financials20263[[#This Row],[Jul-Dec FC]]+Financials20263[[#This Row],[Pending Jan-Jun]]</f>
        <v>12286.75</v>
      </c>
      <c r="BT78" s="6"/>
      <c r="BU78" s="6"/>
      <c r="BV78" s="6"/>
    </row>
    <row r="79" spans="1:74" x14ac:dyDescent="0.3">
      <c r="A79" s="20" t="s">
        <v>101</v>
      </c>
      <c r="B79" s="19" t="s">
        <v>303</v>
      </c>
      <c r="C79" s="19" t="s">
        <v>304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106</v>
      </c>
      <c r="M79" s="19" t="s">
        <v>7</v>
      </c>
      <c r="N79" s="19" t="s">
        <v>7</v>
      </c>
      <c r="O79" s="19" t="s">
        <v>7</v>
      </c>
      <c r="P79" s="19" t="s">
        <v>107</v>
      </c>
      <c r="Q79" s="19" t="s">
        <v>108</v>
      </c>
      <c r="R79" s="19" t="s">
        <v>108</v>
      </c>
      <c r="S79" s="19" t="s">
        <v>132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306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x14ac:dyDescent="0.3">
      <c r="A80" s="20" t="s">
        <v>101</v>
      </c>
      <c r="B80" s="19" t="s">
        <v>307</v>
      </c>
      <c r="C80" s="19" t="s">
        <v>308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308</v>
      </c>
      <c r="K80" s="3" t="str">
        <f t="shared" si="30"/>
        <v>Prj000266-Support - Internal Tech Workforce Activities</v>
      </c>
      <c r="L80" s="19" t="s">
        <v>106</v>
      </c>
      <c r="M80" s="19" t="s">
        <v>7</v>
      </c>
      <c r="N80" s="19" t="s">
        <v>7</v>
      </c>
      <c r="O80" s="19" t="s">
        <v>7</v>
      </c>
      <c r="P80" s="19" t="s">
        <v>107</v>
      </c>
      <c r="Q80" s="19" t="s">
        <v>108</v>
      </c>
      <c r="R80" s="19" t="s">
        <v>108</v>
      </c>
      <c r="S80" s="19" t="s">
        <v>132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442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500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x14ac:dyDescent="0.3">
      <c r="A81" s="20" t="s">
        <v>101</v>
      </c>
      <c r="B81" s="19" t="s">
        <v>57</v>
      </c>
      <c r="C81" s="19" t="s">
        <v>309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310</v>
      </c>
      <c r="K81" s="3" t="str">
        <f t="shared" si="30"/>
        <v>Prj000266-Support - Internal Tech Workforce Activities</v>
      </c>
      <c r="L81" s="19" t="s">
        <v>106</v>
      </c>
      <c r="M81" s="19" t="s">
        <v>7</v>
      </c>
      <c r="N81" s="19" t="s">
        <v>7</v>
      </c>
      <c r="O81" s="19"/>
      <c r="P81" s="19" t="s">
        <v>107</v>
      </c>
      <c r="Q81" s="19" t="s">
        <v>108</v>
      </c>
      <c r="R81" s="19" t="s">
        <v>108</v>
      </c>
      <c r="S81" s="19" t="s">
        <v>132</v>
      </c>
      <c r="T81" s="5">
        <v>2393</v>
      </c>
      <c r="U81" s="15">
        <v>2512</v>
      </c>
      <c r="V81" s="15">
        <v>2512</v>
      </c>
      <c r="W81" s="15">
        <f t="shared" si="31"/>
        <v>8136.97</v>
      </c>
      <c r="X81" s="15">
        <f t="shared" si="35"/>
        <v>0</v>
      </c>
      <c r="Y81" s="15">
        <f t="shared" si="32"/>
        <v>5624.97</v>
      </c>
      <c r="Z81" s="15">
        <f>SUM(Financials20263[[#This Row],[2026 Opportunity]:[2026 Risk]])</f>
        <v>5624.97</v>
      </c>
      <c r="AA81" s="3" t="s">
        <v>311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557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x14ac:dyDescent="0.3">
      <c r="A82" s="20" t="s">
        <v>101</v>
      </c>
      <c r="B82" s="19" t="s">
        <v>312</v>
      </c>
      <c r="C82" s="19" t="s">
        <v>313</v>
      </c>
      <c r="D82" s="10" t="s">
        <v>29</v>
      </c>
      <c r="E82" s="7" t="s">
        <v>209</v>
      </c>
      <c r="F82" s="3" t="s">
        <v>210</v>
      </c>
      <c r="G82" s="3" t="s">
        <v>48</v>
      </c>
      <c r="H82" s="4">
        <v>45900</v>
      </c>
      <c r="I82" s="4">
        <v>46264</v>
      </c>
      <c r="J82" s="3" t="s">
        <v>314</v>
      </c>
      <c r="K82" s="3" t="str">
        <f t="shared" si="30"/>
        <v>Prj000458-Support - Data Analytics Office</v>
      </c>
      <c r="L82" s="19" t="s">
        <v>106</v>
      </c>
      <c r="M82" s="19" t="s">
        <v>7</v>
      </c>
      <c r="N82" s="19" t="s">
        <v>7</v>
      </c>
      <c r="O82" s="19" t="s">
        <v>315</v>
      </c>
      <c r="P82" s="19" t="s">
        <v>107</v>
      </c>
      <c r="Q82" s="19" t="s">
        <v>108</v>
      </c>
      <c r="R82" s="19" t="s">
        <v>108</v>
      </c>
      <c r="S82" s="19" t="s">
        <v>109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316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x14ac:dyDescent="0.3">
      <c r="A83" s="20" t="s">
        <v>101</v>
      </c>
      <c r="B83" s="19" t="s">
        <v>317</v>
      </c>
      <c r="C83" s="19" t="s">
        <v>317</v>
      </c>
      <c r="D83" s="10" t="s">
        <v>27</v>
      </c>
      <c r="E83" s="7" t="s">
        <v>215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30"/>
        <v>Prj000446-Implement - Minor Enhancements for Enterprise Apps</v>
      </c>
      <c r="L83" s="19" t="s">
        <v>106</v>
      </c>
      <c r="M83" s="19" t="s">
        <v>7</v>
      </c>
      <c r="N83" s="19" t="s">
        <v>7</v>
      </c>
      <c r="O83" s="19" t="s">
        <v>7</v>
      </c>
      <c r="P83" s="19" t="s">
        <v>107</v>
      </c>
      <c r="Q83" s="19" t="s">
        <v>108</v>
      </c>
      <c r="R83" s="19" t="s">
        <v>108</v>
      </c>
      <c r="S83" s="19" t="s">
        <v>132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318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x14ac:dyDescent="0.3">
      <c r="A84" s="20" t="s">
        <v>101</v>
      </c>
      <c r="B84" s="19" t="s">
        <v>319</v>
      </c>
      <c r="C84" s="19" t="s">
        <v>319</v>
      </c>
      <c r="D84" s="10" t="s">
        <v>27</v>
      </c>
      <c r="E84" s="7" t="s">
        <v>215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320</v>
      </c>
      <c r="K84" s="3" t="str">
        <f t="shared" si="30"/>
        <v>Prj000446-Implement - Minor Enhancements for Enterprise Apps</v>
      </c>
      <c r="L84" s="19" t="s">
        <v>106</v>
      </c>
      <c r="M84" s="19" t="s">
        <v>7</v>
      </c>
      <c r="N84" s="19" t="s">
        <v>7</v>
      </c>
      <c r="O84" s="19" t="s">
        <v>293</v>
      </c>
      <c r="P84" s="19" t="s">
        <v>107</v>
      </c>
      <c r="Q84" s="19" t="s">
        <v>108</v>
      </c>
      <c r="R84" s="19" t="s">
        <v>108</v>
      </c>
      <c r="S84" s="19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x14ac:dyDescent="0.3">
      <c r="A85" s="20" t="s">
        <v>101</v>
      </c>
      <c r="B85" s="19" t="s">
        <v>321</v>
      </c>
      <c r="C85" s="19" t="s">
        <v>322</v>
      </c>
      <c r="D85" s="10" t="s">
        <v>29</v>
      </c>
      <c r="E85" s="7" t="s">
        <v>209</v>
      </c>
      <c r="F85" s="3" t="s">
        <v>210</v>
      </c>
      <c r="G85" s="3" t="s">
        <v>48</v>
      </c>
      <c r="H85" s="4">
        <v>45765</v>
      </c>
      <c r="I85" s="4">
        <v>46129</v>
      </c>
      <c r="J85" s="3" t="s">
        <v>322</v>
      </c>
      <c r="K85" s="3" t="str">
        <f t="shared" si="30"/>
        <v>Prj000458-Support - Data Analytics Office</v>
      </c>
      <c r="L85" s="19" t="s">
        <v>106</v>
      </c>
      <c r="M85" s="19" t="s">
        <v>7</v>
      </c>
      <c r="N85" s="19" t="s">
        <v>7</v>
      </c>
      <c r="O85" s="19" t="s">
        <v>165</v>
      </c>
      <c r="P85" s="19" t="s">
        <v>107</v>
      </c>
      <c r="Q85" s="19" t="s">
        <v>108</v>
      </c>
      <c r="R85" s="19" t="s">
        <v>108</v>
      </c>
      <c r="S85" s="19" t="s">
        <v>109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527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607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x14ac:dyDescent="0.3">
      <c r="A86" s="20" t="s">
        <v>101</v>
      </c>
      <c r="B86" s="19" t="s">
        <v>323</v>
      </c>
      <c r="C86" s="19" t="s">
        <v>324</v>
      </c>
      <c r="D86" s="10" t="s">
        <v>27</v>
      </c>
      <c r="E86" s="7" t="s">
        <v>215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30"/>
        <v>Prj000446-Implement - Minor Enhancements for Enterprise Apps</v>
      </c>
      <c r="L86" s="19" t="s">
        <v>106</v>
      </c>
      <c r="M86" s="19" t="s">
        <v>7</v>
      </c>
      <c r="N86" s="19" t="s">
        <v>7</v>
      </c>
      <c r="O86" s="19"/>
      <c r="P86" s="19" t="s">
        <v>107</v>
      </c>
      <c r="Q86" s="19" t="s">
        <v>108</v>
      </c>
      <c r="R86" s="19" t="s">
        <v>108</v>
      </c>
      <c r="S86" s="19" t="s">
        <v>132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325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x14ac:dyDescent="0.3">
      <c r="A87" s="20" t="s">
        <v>101</v>
      </c>
      <c r="B87" s="19" t="s">
        <v>197</v>
      </c>
      <c r="C87" s="19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30"/>
        <v>Prj000290-Support - Asset Management Applications</v>
      </c>
      <c r="L87" s="19" t="s">
        <v>106</v>
      </c>
      <c r="M87" s="19" t="s">
        <v>7</v>
      </c>
      <c r="N87" s="19" t="s">
        <v>7</v>
      </c>
      <c r="O87" s="19"/>
      <c r="P87" s="19" t="s">
        <v>107</v>
      </c>
      <c r="Q87" s="19" t="s">
        <v>134</v>
      </c>
      <c r="R87" s="19" t="s">
        <v>135</v>
      </c>
      <c r="S87" s="19" t="s">
        <v>129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563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564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x14ac:dyDescent="0.3">
      <c r="A88" s="20" t="s">
        <v>101</v>
      </c>
      <c r="B88" s="19" t="s">
        <v>221</v>
      </c>
      <c r="C88" s="19" t="s">
        <v>222</v>
      </c>
      <c r="D88" s="10" t="s">
        <v>27</v>
      </c>
      <c r="E88" s="7" t="s">
        <v>215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106</v>
      </c>
      <c r="M88" s="19" t="s">
        <v>5</v>
      </c>
      <c r="N88" s="19" t="s">
        <v>7</v>
      </c>
      <c r="O88" s="19" t="s">
        <v>135</v>
      </c>
      <c r="P88" s="19" t="s">
        <v>126</v>
      </c>
      <c r="Q88" s="19" t="s">
        <v>127</v>
      </c>
      <c r="R88" s="19" t="s">
        <v>128</v>
      </c>
      <c r="S88" s="19" t="s">
        <v>132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506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8" x14ac:dyDescent="0.3">
      <c r="A89" s="20" t="s">
        <v>101</v>
      </c>
      <c r="B89" s="19" t="s">
        <v>57</v>
      </c>
      <c r="C89" s="19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326</v>
      </c>
      <c r="I89" s="4" t="s">
        <v>326</v>
      </c>
      <c r="J89" s="3"/>
      <c r="K89" s="3" t="str">
        <f t="shared" si="30"/>
        <v>Prj000350-Support - Infrastructure for Tech</v>
      </c>
      <c r="L89" s="19" t="s">
        <v>106</v>
      </c>
      <c r="M89" s="19" t="s">
        <v>7</v>
      </c>
      <c r="N89" s="19" t="s">
        <v>7</v>
      </c>
      <c r="O89" s="19"/>
      <c r="P89" s="19" t="s">
        <v>107</v>
      </c>
      <c r="Q89" s="19" t="s">
        <v>134</v>
      </c>
      <c r="R89" s="19" t="s">
        <v>135</v>
      </c>
      <c r="S89" s="19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422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x14ac:dyDescent="0.3">
      <c r="A90" s="20" t="s">
        <v>101</v>
      </c>
      <c r="B90" s="19" t="s">
        <v>207</v>
      </c>
      <c r="C90" s="19" t="s">
        <v>208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327</v>
      </c>
      <c r="K90" s="3" t="str">
        <f t="shared" si="30"/>
        <v>Prj000403-Support - L2 CoE Management for Tech Horizontals</v>
      </c>
      <c r="L90" s="19" t="s">
        <v>124</v>
      </c>
      <c r="M90" s="19" t="s">
        <v>5</v>
      </c>
      <c r="N90" s="19" t="s">
        <v>125</v>
      </c>
      <c r="O90" s="19" t="s">
        <v>328</v>
      </c>
      <c r="P90" s="19" t="s">
        <v>107</v>
      </c>
      <c r="Q90" s="19" t="s">
        <v>134</v>
      </c>
      <c r="R90" s="19" t="s">
        <v>134</v>
      </c>
      <c r="S90" s="19" t="s">
        <v>129</v>
      </c>
      <c r="T90" s="5">
        <v>222842</v>
      </c>
      <c r="U90" s="15">
        <v>195584.34</v>
      </c>
      <c r="V90" s="15">
        <v>195584.34</v>
      </c>
      <c r="W90" s="15">
        <f t="shared" si="31"/>
        <v>191940</v>
      </c>
      <c r="X90" s="15">
        <f t="shared" si="35"/>
        <v>-3644.3399999999965</v>
      </c>
      <c r="Y90" s="15">
        <f t="shared" si="32"/>
        <v>0</v>
      </c>
      <c r="Z90" s="15">
        <f>SUM(Financials20263[[#This Row],[2026 Opportunity]:[2026 Risk]])</f>
        <v>-3644.3399999999965</v>
      </c>
      <c r="AA90" s="3" t="s">
        <v>329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/>
      <c r="AW90" s="56"/>
      <c r="AX90" s="56"/>
      <c r="AY90" s="56"/>
      <c r="AZ90" s="56"/>
      <c r="BA90" s="56"/>
      <c r="BB90" s="75">
        <f>SUM(Financials20263[[#This Row],[Jan AC]:[Dec AC]])</f>
        <v>78064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-16268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-113876</v>
      </c>
      <c r="BP90" s="82" t="s">
        <v>575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x14ac:dyDescent="0.3">
      <c r="A91" s="20" t="s">
        <v>101</v>
      </c>
      <c r="B91" s="19" t="s">
        <v>207</v>
      </c>
      <c r="C91" s="19" t="s">
        <v>208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330</v>
      </c>
      <c r="K91" s="3" t="str">
        <f t="shared" si="30"/>
        <v>Prj000403-Support - L2 CoE Management for Tech Horizontals</v>
      </c>
      <c r="L91" s="19" t="s">
        <v>124</v>
      </c>
      <c r="M91" s="19" t="s">
        <v>5</v>
      </c>
      <c r="N91" s="19" t="s">
        <v>125</v>
      </c>
      <c r="O91" s="19" t="s">
        <v>328</v>
      </c>
      <c r="P91" s="19" t="s">
        <v>107</v>
      </c>
      <c r="Q91" s="19" t="s">
        <v>134</v>
      </c>
      <c r="R91" s="19" t="s">
        <v>134</v>
      </c>
      <c r="S91" s="19" t="s">
        <v>129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331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/>
      <c r="AW91" s="56"/>
      <c r="AX91" s="56"/>
      <c r="AY91" s="56"/>
      <c r="AZ91" s="56"/>
      <c r="BA91" s="56"/>
      <c r="BB91" s="75">
        <f>SUM(Financials20263[[#This Row],[Jan AC]:[Dec AC]])</f>
        <v>42085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-6750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-41785</v>
      </c>
      <c r="BP91" s="82" t="s">
        <v>724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x14ac:dyDescent="0.3">
      <c r="A92" s="20" t="s">
        <v>101</v>
      </c>
      <c r="B92" s="19" t="s">
        <v>332</v>
      </c>
      <c r="C92" s="19"/>
      <c r="D92" s="10" t="s">
        <v>27</v>
      </c>
      <c r="E92" s="7" t="s">
        <v>215</v>
      </c>
      <c r="F92" s="3" t="s">
        <v>114</v>
      </c>
      <c r="G92" s="3" t="s">
        <v>53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106</v>
      </c>
      <c r="M92" s="19" t="s">
        <v>7</v>
      </c>
      <c r="N92" s="19" t="s">
        <v>7</v>
      </c>
      <c r="O92" s="19"/>
      <c r="P92" s="19" t="s">
        <v>107</v>
      </c>
      <c r="Q92" s="19" t="s">
        <v>134</v>
      </c>
      <c r="R92" s="19" t="s">
        <v>134</v>
      </c>
      <c r="S92" s="19" t="s">
        <v>129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443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558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x14ac:dyDescent="0.3">
      <c r="A93" s="20" t="s">
        <v>101</v>
      </c>
      <c r="B93" s="19" t="s">
        <v>333</v>
      </c>
      <c r="C93" s="19" t="s">
        <v>334</v>
      </c>
      <c r="D93" s="10" t="s">
        <v>31</v>
      </c>
      <c r="E93" s="7" t="s">
        <v>203</v>
      </c>
      <c r="F93" s="3" t="s">
        <v>204</v>
      </c>
      <c r="G93" s="3" t="s">
        <v>50</v>
      </c>
      <c r="H93" s="4"/>
      <c r="I93" s="4"/>
      <c r="J93" s="3"/>
      <c r="K93" s="3" t="str">
        <f t="shared" si="30"/>
        <v>Prj000469-Support - Prod Support for Ops Apps</v>
      </c>
      <c r="L93" s="19" t="s">
        <v>106</v>
      </c>
      <c r="M93" s="19" t="s">
        <v>7</v>
      </c>
      <c r="N93" s="19" t="s">
        <v>7</v>
      </c>
      <c r="O93" s="19"/>
      <c r="P93" s="19" t="s">
        <v>107</v>
      </c>
      <c r="Q93" s="19" t="s">
        <v>134</v>
      </c>
      <c r="R93" s="19" t="s">
        <v>134</v>
      </c>
      <c r="S93" s="19" t="s">
        <v>201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618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617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x14ac:dyDescent="0.3">
      <c r="A94" s="20" t="s">
        <v>101</v>
      </c>
      <c r="B94" s="19" t="s">
        <v>67</v>
      </c>
      <c r="C94" s="19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106</v>
      </c>
      <c r="M94" s="19" t="s">
        <v>7</v>
      </c>
      <c r="N94" s="19" t="s">
        <v>7</v>
      </c>
      <c r="O94" s="19" t="s">
        <v>328</v>
      </c>
      <c r="P94" s="19" t="s">
        <v>107</v>
      </c>
      <c r="Q94" s="19" t="s">
        <v>134</v>
      </c>
      <c r="R94" s="19" t="s">
        <v>135</v>
      </c>
      <c r="S94" s="19" t="s">
        <v>109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600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601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x14ac:dyDescent="0.3">
      <c r="A95" s="20" t="s">
        <v>101</v>
      </c>
      <c r="B95" s="19" t="s">
        <v>207</v>
      </c>
      <c r="C95" s="19" t="s">
        <v>208</v>
      </c>
      <c r="D95" s="10" t="s">
        <v>186</v>
      </c>
      <c r="E95" s="7" t="s">
        <v>186</v>
      </c>
      <c r="F95" s="3" t="s">
        <v>335</v>
      </c>
      <c r="G95" s="3" t="s">
        <v>48</v>
      </c>
      <c r="H95" s="4">
        <v>46023</v>
      </c>
      <c r="I95" s="4">
        <v>46203</v>
      </c>
      <c r="J95" s="3" t="s">
        <v>336</v>
      </c>
      <c r="K95" s="3" t="str">
        <f t="shared" si="30"/>
        <v>T&amp;M-T&amp;M</v>
      </c>
      <c r="L95" s="19" t="s">
        <v>124</v>
      </c>
      <c r="M95" s="19" t="s">
        <v>46</v>
      </c>
      <c r="N95" s="19" t="s">
        <v>189</v>
      </c>
      <c r="O95" s="19" t="s">
        <v>186</v>
      </c>
      <c r="P95" s="19" t="s">
        <v>126</v>
      </c>
      <c r="Q95" s="19" t="s">
        <v>127</v>
      </c>
      <c r="R95" s="19" t="s">
        <v>128</v>
      </c>
      <c r="S95" s="19" t="s">
        <v>129</v>
      </c>
      <c r="T95" s="5">
        <v>433000</v>
      </c>
      <c r="U95" s="15">
        <v>216000</v>
      </c>
      <c r="V95" s="15">
        <v>216000</v>
      </c>
      <c r="W95" s="15">
        <f t="shared" si="31"/>
        <v>483600</v>
      </c>
      <c r="X95" s="15">
        <f t="shared" si="35"/>
        <v>0</v>
      </c>
      <c r="Y95" s="15">
        <f t="shared" si="32"/>
        <v>267600</v>
      </c>
      <c r="Z95" s="15">
        <f>SUM(Financials20263[[#This Row],[2026 Opportunity]:[2026 Risk]])</f>
        <v>267600</v>
      </c>
      <c r="AA95" s="3" t="s">
        <v>337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510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x14ac:dyDescent="0.3">
      <c r="A96" s="20" t="s">
        <v>101</v>
      </c>
      <c r="B96" s="19" t="s">
        <v>207</v>
      </c>
      <c r="C96" s="19" t="s">
        <v>208</v>
      </c>
      <c r="D96" s="10" t="s">
        <v>32</v>
      </c>
      <c r="E96" s="7" t="s">
        <v>338</v>
      </c>
      <c r="F96" s="3" t="s">
        <v>210</v>
      </c>
      <c r="G96" s="3" t="s">
        <v>48</v>
      </c>
      <c r="H96" s="4">
        <v>46023</v>
      </c>
      <c r="I96" s="4">
        <v>46203</v>
      </c>
      <c r="J96" s="3" t="s">
        <v>339</v>
      </c>
      <c r="K96" s="3" t="str">
        <f t="shared" si="30"/>
        <v>Prj000472-Implement - Build Pipes from CORE Systems to IVP</v>
      </c>
      <c r="L96" s="19" t="s">
        <v>124</v>
      </c>
      <c r="M96" s="19" t="s">
        <v>2</v>
      </c>
      <c r="N96" s="19" t="s">
        <v>340</v>
      </c>
      <c r="O96" s="19"/>
      <c r="P96" s="19" t="s">
        <v>107</v>
      </c>
      <c r="Q96" s="19" t="s">
        <v>134</v>
      </c>
      <c r="R96" s="19" t="s">
        <v>128</v>
      </c>
      <c r="S96" s="19" t="s">
        <v>129</v>
      </c>
      <c r="T96" s="5">
        <v>1612673</v>
      </c>
      <c r="U96" s="17">
        <v>1344000</v>
      </c>
      <c r="V96" s="17">
        <v>1344000</v>
      </c>
      <c r="W96" s="15">
        <f t="shared" si="31"/>
        <v>960000</v>
      </c>
      <c r="X96" s="15">
        <f t="shared" si="35"/>
        <v>-384000</v>
      </c>
      <c r="Y96" s="15">
        <f t="shared" si="32"/>
        <v>0</v>
      </c>
      <c r="Z96" s="15">
        <f>SUM(Financials20263[[#This Row],[2026 Opportunity]:[2026 Risk]])</f>
        <v>-384000</v>
      </c>
      <c r="AA96" s="3" t="s">
        <v>444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506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723</v>
      </c>
      <c r="BU96" s="6"/>
      <c r="BV96" s="6"/>
    </row>
    <row r="97" spans="1:74" x14ac:dyDescent="0.3">
      <c r="A97" s="20" t="s">
        <v>101</v>
      </c>
      <c r="B97" s="19" t="s">
        <v>79</v>
      </c>
      <c r="C97" s="19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30"/>
        <v>Prj000350-Support - Infrastructure for Tech</v>
      </c>
      <c r="L97" s="19" t="s">
        <v>106</v>
      </c>
      <c r="M97" s="19" t="s">
        <v>7</v>
      </c>
      <c r="N97" s="19" t="s">
        <v>7</v>
      </c>
      <c r="O97" s="19" t="s">
        <v>2</v>
      </c>
      <c r="P97" s="19" t="s">
        <v>107</v>
      </c>
      <c r="Q97" s="19" t="s">
        <v>200</v>
      </c>
      <c r="R97" s="19" t="s">
        <v>200</v>
      </c>
      <c r="S97" s="19" t="s">
        <v>132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x14ac:dyDescent="0.3">
      <c r="A98" s="20" t="s">
        <v>101</v>
      </c>
      <c r="B98" s="19" t="s">
        <v>341</v>
      </c>
      <c r="C98" s="19" t="s">
        <v>342</v>
      </c>
      <c r="D98" s="10" t="s">
        <v>186</v>
      </c>
      <c r="E98" s="7" t="s">
        <v>186</v>
      </c>
      <c r="F98" s="3" t="s">
        <v>335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30"/>
        <v>T&amp;M-T&amp;M</v>
      </c>
      <c r="L98" s="19" t="s">
        <v>124</v>
      </c>
      <c r="M98" s="19" t="s">
        <v>46</v>
      </c>
      <c r="N98" s="19" t="s">
        <v>343</v>
      </c>
      <c r="O98" s="19" t="s">
        <v>186</v>
      </c>
      <c r="P98" s="19" t="s">
        <v>344</v>
      </c>
      <c r="Q98" s="19" t="s">
        <v>345</v>
      </c>
      <c r="R98" s="19" t="s">
        <v>143</v>
      </c>
      <c r="S98" s="19" t="s">
        <v>129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875668</v>
      </c>
      <c r="X98" s="15">
        <f t="shared" si="35"/>
        <v>-65132</v>
      </c>
      <c r="Y98" s="15">
        <f t="shared" si="32"/>
        <v>0</v>
      </c>
      <c r="Z98" s="15">
        <f>SUM(Financials20263[[#This Row],[2026 Opportunity]:[2026 Risk]])</f>
        <v>-65132</v>
      </c>
      <c r="AA98" s="3" t="s">
        <v>421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v>163758</v>
      </c>
      <c r="AT98" s="56">
        <v>108758</v>
      </c>
      <c r="AU98" s="56"/>
      <c r="AV98" s="56"/>
      <c r="AW98" s="56"/>
      <c r="AX98" s="56"/>
      <c r="AY98" s="56"/>
      <c r="AZ98" s="56"/>
      <c r="BA98" s="56"/>
      <c r="BB98" s="75">
        <f>SUM(Financials20263[[#This Row],[Jan AC]:[Dec AC]])</f>
        <v>718868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6958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-156800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-221932</v>
      </c>
      <c r="BP98" s="84" t="s">
        <v>513</v>
      </c>
      <c r="BQ98" s="44">
        <f>SUM(Financials20263[[#This Row],[Jan AC]:[Jun AC]])</f>
        <v>718868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156800</v>
      </c>
      <c r="BS98" s="6">
        <f>Financials20263[[#This Row],[Jul-Dec FC]]+Financials20263[[#This Row],[Pending Jan-Jun]]</f>
        <v>156800</v>
      </c>
      <c r="BT98" s="6"/>
      <c r="BU98" s="6"/>
      <c r="BV98" s="6"/>
    </row>
    <row r="99" spans="1:74" x14ac:dyDescent="0.3">
      <c r="A99" s="20" t="s">
        <v>101</v>
      </c>
      <c r="B99" s="19" t="s">
        <v>346</v>
      </c>
      <c r="C99" s="19"/>
      <c r="D99" s="10" t="s">
        <v>27</v>
      </c>
      <c r="E99" s="7" t="s">
        <v>215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106</v>
      </c>
      <c r="M99" s="19" t="s">
        <v>7</v>
      </c>
      <c r="N99" s="19" t="s">
        <v>7</v>
      </c>
      <c r="O99" s="19" t="s">
        <v>2</v>
      </c>
      <c r="P99" s="19" t="s">
        <v>107</v>
      </c>
      <c r="Q99" s="19" t="s">
        <v>108</v>
      </c>
      <c r="R99" s="19" t="s">
        <v>143</v>
      </c>
      <c r="S99" s="19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420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506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x14ac:dyDescent="0.3">
      <c r="A100" s="20" t="s">
        <v>347</v>
      </c>
      <c r="B100" s="19" t="s">
        <v>348</v>
      </c>
      <c r="C100" s="19"/>
      <c r="D100" s="3" t="s">
        <v>419</v>
      </c>
      <c r="E100" s="3" t="s">
        <v>419</v>
      </c>
      <c r="F100" s="3" t="s">
        <v>419</v>
      </c>
      <c r="G100" s="3" t="s">
        <v>419</v>
      </c>
      <c r="H100" s="4"/>
      <c r="I100" s="4"/>
      <c r="J100" s="3"/>
      <c r="K100" s="3" t="str">
        <f t="shared" si="30"/>
        <v>N/A-N/A</v>
      </c>
      <c r="L100" s="19" t="s">
        <v>347</v>
      </c>
      <c r="M100" s="19" t="s">
        <v>347</v>
      </c>
      <c r="N100" s="19" t="s">
        <v>349</v>
      </c>
      <c r="O100" s="19" t="s">
        <v>350</v>
      </c>
      <c r="P100" s="19" t="s">
        <v>344</v>
      </c>
      <c r="Q100" s="19" t="s">
        <v>345</v>
      </c>
      <c r="R100" s="19" t="s">
        <v>143</v>
      </c>
      <c r="S100" s="19" t="s">
        <v>347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351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608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x14ac:dyDescent="0.3">
      <c r="A101" s="30" t="s">
        <v>374</v>
      </c>
      <c r="B101" s="30" t="s">
        <v>418</v>
      </c>
      <c r="C101" s="37"/>
      <c r="D101" s="30" t="s">
        <v>374</v>
      </c>
      <c r="E101" s="32" t="s">
        <v>419</v>
      </c>
      <c r="F101" s="32" t="s">
        <v>419</v>
      </c>
      <c r="G101" s="32" t="s">
        <v>419</v>
      </c>
      <c r="H101" s="32" t="s">
        <v>419</v>
      </c>
      <c r="I101" s="32" t="s">
        <v>419</v>
      </c>
      <c r="J101" s="32" t="s">
        <v>419</v>
      </c>
      <c r="K101" s="33" t="str">
        <f t="shared" si="30"/>
        <v>Amortization-N/A</v>
      </c>
      <c r="L101" s="31" t="s">
        <v>374</v>
      </c>
      <c r="M101" s="31" t="s">
        <v>6</v>
      </c>
      <c r="N101" s="31" t="s">
        <v>6</v>
      </c>
      <c r="O101" s="31" t="s">
        <v>374</v>
      </c>
      <c r="P101" s="31" t="s">
        <v>107</v>
      </c>
      <c r="Q101" s="31" t="s">
        <v>375</v>
      </c>
      <c r="R101" s="31" t="s">
        <v>376</v>
      </c>
      <c r="S101" s="20" t="s">
        <v>374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720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606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x14ac:dyDescent="0.3">
      <c r="A102" s="20" t="s">
        <v>101</v>
      </c>
      <c r="B102" s="19" t="s">
        <v>352</v>
      </c>
      <c r="C102" s="19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353</v>
      </c>
      <c r="K102" s="3" t="str">
        <f t="shared" si="30"/>
        <v>Prj000381-Support - Prod Support for Credit Apps</v>
      </c>
      <c r="L102" s="19" t="s">
        <v>106</v>
      </c>
      <c r="M102" s="19" t="s">
        <v>7</v>
      </c>
      <c r="N102" s="19" t="s">
        <v>7</v>
      </c>
      <c r="O102" s="19"/>
      <c r="P102" s="19" t="s">
        <v>107</v>
      </c>
      <c r="Q102" s="19" t="s">
        <v>108</v>
      </c>
      <c r="R102" s="19" t="s">
        <v>143</v>
      </c>
      <c r="S102" s="19" t="s">
        <v>109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354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506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x14ac:dyDescent="0.3">
      <c r="A103" s="20" t="s">
        <v>101</v>
      </c>
      <c r="B103" s="19" t="s">
        <v>58</v>
      </c>
      <c r="C103" s="19" t="s">
        <v>355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30"/>
        <v>Prj000350-Support - Infrastructure for Tech</v>
      </c>
      <c r="L103" s="19" t="s">
        <v>106</v>
      </c>
      <c r="M103" s="19" t="s">
        <v>4</v>
      </c>
      <c r="N103" s="19" t="s">
        <v>4</v>
      </c>
      <c r="O103" s="19" t="s">
        <v>356</v>
      </c>
      <c r="P103" s="19" t="s">
        <v>107</v>
      </c>
      <c r="Q103" s="19" t="s">
        <v>146</v>
      </c>
      <c r="R103" s="19" t="s">
        <v>146</v>
      </c>
      <c r="S103" s="19" t="s">
        <v>129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524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559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x14ac:dyDescent="0.3">
      <c r="A104" s="20" t="s">
        <v>101</v>
      </c>
      <c r="B104" s="19" t="s">
        <v>59</v>
      </c>
      <c r="C104" s="19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30"/>
        <v>Prj000350-Support - Infrastructure for Tech</v>
      </c>
      <c r="L104" s="19" t="s">
        <v>106</v>
      </c>
      <c r="M104" s="19" t="s">
        <v>4</v>
      </c>
      <c r="N104" s="19" t="s">
        <v>4</v>
      </c>
      <c r="O104" s="19"/>
      <c r="P104" s="19" t="s">
        <v>107</v>
      </c>
      <c r="Q104" s="19" t="s">
        <v>146</v>
      </c>
      <c r="R104" s="19" t="s">
        <v>146</v>
      </c>
      <c r="S104" s="19" t="s">
        <v>129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x14ac:dyDescent="0.3">
      <c r="A105" s="20" t="s">
        <v>101</v>
      </c>
      <c r="B105" s="19" t="s">
        <v>62</v>
      </c>
      <c r="C105" s="19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30"/>
        <v>Prj000350-Support - Infrastructure for Tech</v>
      </c>
      <c r="L105" s="19" t="s">
        <v>106</v>
      </c>
      <c r="M105" s="19" t="s">
        <v>4</v>
      </c>
      <c r="N105" s="19" t="s">
        <v>4</v>
      </c>
      <c r="O105" s="19" t="s">
        <v>148</v>
      </c>
      <c r="P105" s="19" t="s">
        <v>107</v>
      </c>
      <c r="Q105" s="19" t="s">
        <v>146</v>
      </c>
      <c r="R105" s="19" t="s">
        <v>146</v>
      </c>
      <c r="S105" s="19" t="s">
        <v>129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520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56"/>
      <c r="AW105" s="56"/>
      <c r="AX105" s="56"/>
      <c r="AY105" s="56"/>
      <c r="AZ105" s="56"/>
      <c r="BA105" s="56"/>
      <c r="BB105" s="75">
        <f>SUM(Financials20263[[#This Row],[Jan AC]:[Dec AC]])</f>
        <v>3725.33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-587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-3317.67</v>
      </c>
      <c r="BP105" s="82" t="s">
        <v>506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x14ac:dyDescent="0.3">
      <c r="A106" s="20" t="s">
        <v>157</v>
      </c>
      <c r="B106" s="19" t="s">
        <v>357</v>
      </c>
      <c r="C106" s="19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30"/>
        <v>Prj000266-Support - Internal Tech Workforce Activities</v>
      </c>
      <c r="L106" s="19" t="s">
        <v>106</v>
      </c>
      <c r="M106" s="19" t="s">
        <v>4</v>
      </c>
      <c r="N106" s="19" t="s">
        <v>4</v>
      </c>
      <c r="O106" s="19"/>
      <c r="P106" s="19" t="s">
        <v>151</v>
      </c>
      <c r="Q106" s="19" t="s">
        <v>152</v>
      </c>
      <c r="R106" s="19" t="s">
        <v>358</v>
      </c>
      <c r="S106" s="19" t="s">
        <v>132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120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x14ac:dyDescent="0.3">
      <c r="A107" s="20" t="s">
        <v>111</v>
      </c>
      <c r="B107" s="19" t="s">
        <v>740</v>
      </c>
      <c r="C107" s="19" t="s">
        <v>359</v>
      </c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30"/>
        <v>Prj000266-Support - Internal Tech Workforce Activities</v>
      </c>
      <c r="L107" s="19" t="s">
        <v>106</v>
      </c>
      <c r="M107" s="19" t="s">
        <v>4</v>
      </c>
      <c r="N107" s="19" t="s">
        <v>4</v>
      </c>
      <c r="O107" s="19"/>
      <c r="P107" s="19" t="s">
        <v>151</v>
      </c>
      <c r="Q107" s="19" t="s">
        <v>152</v>
      </c>
      <c r="R107" s="19" t="s">
        <v>360</v>
      </c>
      <c r="S107" s="19" t="s">
        <v>119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615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554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x14ac:dyDescent="0.3">
      <c r="A108" s="20" t="s">
        <v>101</v>
      </c>
      <c r="B108" s="19" t="s">
        <v>361</v>
      </c>
      <c r="C108" s="19"/>
      <c r="D108" s="10" t="s">
        <v>31</v>
      </c>
      <c r="E108" s="7" t="s">
        <v>203</v>
      </c>
      <c r="F108" s="3" t="s">
        <v>204</v>
      </c>
      <c r="G108" s="3" t="s">
        <v>50</v>
      </c>
      <c r="H108" s="4">
        <v>46023</v>
      </c>
      <c r="I108" s="4">
        <v>46387</v>
      </c>
      <c r="J108" s="3" t="s">
        <v>362</v>
      </c>
      <c r="K108" s="3" t="str">
        <f t="shared" si="30"/>
        <v>Prj000469-Support - Prod Support for Ops Apps</v>
      </c>
      <c r="L108" s="19" t="s">
        <v>106</v>
      </c>
      <c r="M108" s="19" t="s">
        <v>6</v>
      </c>
      <c r="N108" s="19" t="s">
        <v>6</v>
      </c>
      <c r="O108" s="19" t="s">
        <v>363</v>
      </c>
      <c r="P108" s="19" t="s">
        <v>151</v>
      </c>
      <c r="Q108" s="19" t="s">
        <v>152</v>
      </c>
      <c r="R108" s="19" t="s">
        <v>364</v>
      </c>
      <c r="S108" s="19" t="s">
        <v>132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365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506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x14ac:dyDescent="0.3">
      <c r="A109" s="20" t="s">
        <v>101</v>
      </c>
      <c r="B109" s="19" t="s">
        <v>69</v>
      </c>
      <c r="C109" s="19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106</v>
      </c>
      <c r="M109" s="19" t="s">
        <v>4</v>
      </c>
      <c r="N109" s="19" t="s">
        <v>4</v>
      </c>
      <c r="O109" s="19"/>
      <c r="P109" s="19" t="s">
        <v>151</v>
      </c>
      <c r="Q109" s="19" t="s">
        <v>152</v>
      </c>
      <c r="R109" s="19" t="s">
        <v>364</v>
      </c>
      <c r="S109" s="19" t="s">
        <v>132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120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506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x14ac:dyDescent="0.3">
      <c r="A110" s="20" t="s">
        <v>157</v>
      </c>
      <c r="B110" s="19" t="s">
        <v>61</v>
      </c>
      <c r="C110" s="19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30"/>
        <v>Prj000350-Support - Infrastructure for Tech</v>
      </c>
      <c r="L110" s="19" t="s">
        <v>106</v>
      </c>
      <c r="M110" s="19" t="s">
        <v>4</v>
      </c>
      <c r="N110" s="19" t="s">
        <v>4</v>
      </c>
      <c r="O110" s="19" t="s">
        <v>366</v>
      </c>
      <c r="P110" s="19" t="s">
        <v>151</v>
      </c>
      <c r="Q110" s="19" t="s">
        <v>152</v>
      </c>
      <c r="R110" s="19" t="s">
        <v>153</v>
      </c>
      <c r="S110" s="19" t="s">
        <v>129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525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525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x14ac:dyDescent="0.3">
      <c r="A111" s="20" t="s">
        <v>157</v>
      </c>
      <c r="B111" s="19" t="s">
        <v>64</v>
      </c>
      <c r="C111" s="19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30"/>
        <v>Prj000350-Support - Infrastructure for Tech</v>
      </c>
      <c r="L111" s="19" t="s">
        <v>106</v>
      </c>
      <c r="M111" s="19" t="s">
        <v>4</v>
      </c>
      <c r="N111" s="19" t="s">
        <v>4</v>
      </c>
      <c r="O111" s="19"/>
      <c r="P111" s="19" t="s">
        <v>151</v>
      </c>
      <c r="Q111" s="19" t="s">
        <v>152</v>
      </c>
      <c r="R111" s="19" t="s">
        <v>153</v>
      </c>
      <c r="S111" s="19" t="s">
        <v>129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506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x14ac:dyDescent="0.3">
      <c r="A112" s="20" t="s">
        <v>157</v>
      </c>
      <c r="B112" s="19" t="s">
        <v>66</v>
      </c>
      <c r="C112" s="19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30"/>
        <v>Prj000350-Support - Infrastructure for Tech</v>
      </c>
      <c r="L112" s="19" t="s">
        <v>106</v>
      </c>
      <c r="M112" s="19" t="s">
        <v>4</v>
      </c>
      <c r="N112" s="19" t="s">
        <v>4</v>
      </c>
      <c r="O112" s="19"/>
      <c r="P112" s="19" t="s">
        <v>151</v>
      </c>
      <c r="Q112" s="19" t="s">
        <v>152</v>
      </c>
      <c r="R112" s="19" t="s">
        <v>153</v>
      </c>
      <c r="S112" s="19" t="s">
        <v>129</v>
      </c>
      <c r="T112" s="5">
        <v>32897.4</v>
      </c>
      <c r="U112" s="15">
        <v>34537</v>
      </c>
      <c r="V112" s="15">
        <v>34537</v>
      </c>
      <c r="W112" s="15">
        <f t="shared" si="44"/>
        <v>33853.833333333336</v>
      </c>
      <c r="X112" s="15">
        <f t="shared" si="35"/>
        <v>-683.16666666666424</v>
      </c>
      <c r="Y112" s="15">
        <f t="shared" si="32"/>
        <v>0</v>
      </c>
      <c r="Z112" s="15">
        <f>SUM(Financials20263[[#This Row],[2026 Opportunity]:[2026 Risk]])</f>
        <v>-683.16666666666424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/>
      <c r="AV112" s="56"/>
      <c r="AW112" s="56"/>
      <c r="AX112" s="56"/>
      <c r="AY112" s="56"/>
      <c r="AZ112" s="56"/>
      <c r="BA112" s="56"/>
      <c r="BB112" s="75">
        <f>SUM(Financials20263[[#This Row],[Jan AC]:[Dec AC]])</f>
        <v>13707.25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-2878.0833333333335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-20829.750000000004</v>
      </c>
      <c r="BP112" s="82" t="s">
        <v>506</v>
      </c>
      <c r="BQ112" s="44">
        <f>SUM(Financials20263[[#This Row],[Jan AC]:[Jun AC]])</f>
        <v>13707.25</v>
      </c>
      <c r="BR112" s="6">
        <f t="shared" si="46"/>
        <v>2878.0833333333335</v>
      </c>
      <c r="BS112" s="6">
        <f>Financials20263[[#This Row],[Jul-Dec FC]]+Financials20263[[#This Row],[Pending Jan-Jun]]</f>
        <v>20146.583333333332</v>
      </c>
      <c r="BT112" s="6"/>
      <c r="BU112" s="6"/>
      <c r="BV112" s="6"/>
    </row>
    <row r="113" spans="1:74" x14ac:dyDescent="0.3">
      <c r="A113" s="20" t="s">
        <v>157</v>
      </c>
      <c r="B113" s="19" t="s">
        <v>71</v>
      </c>
      <c r="C113" s="19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30"/>
        <v>Prj000350-Support - Infrastructure for Tech</v>
      </c>
      <c r="L113" s="19" t="s">
        <v>106</v>
      </c>
      <c r="M113" s="19" t="s">
        <v>4</v>
      </c>
      <c r="N113" s="19" t="s">
        <v>4</v>
      </c>
      <c r="O113" s="19"/>
      <c r="P113" s="19" t="s">
        <v>151</v>
      </c>
      <c r="Q113" s="19" t="s">
        <v>152</v>
      </c>
      <c r="R113" s="19" t="s">
        <v>153</v>
      </c>
      <c r="S113" s="19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392871.25999999995</v>
      </c>
      <c r="X113" s="15">
        <f t="shared" si="35"/>
        <v>-28841.815000000119</v>
      </c>
      <c r="Y113" s="15">
        <f t="shared" si="32"/>
        <v>0</v>
      </c>
      <c r="Z113" s="15">
        <f>SUM(Financials20263[[#This Row],[2026 Opportunity]:[2026 Risk]])</f>
        <v>-28841.815000000119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>
        <v>27143.73</v>
      </c>
      <c r="AU113" s="56">
        <v>28122</v>
      </c>
      <c r="AV113" s="56"/>
      <c r="AW113" s="56"/>
      <c r="AX113" s="56"/>
      <c r="AY113" s="56"/>
      <c r="AZ113" s="56"/>
      <c r="BA113" s="56"/>
      <c r="BB113" s="75">
        <f>SUM(Financials20263[[#This Row],[Jan AC]:[Dec AC]])</f>
        <v>177841.76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-7999.8533333333362</v>
      </c>
      <c r="BH113" s="66">
        <f>Financials20263[[#This Row],[Jun AC]]-Financials20263[[#This Row],[Jun FC]]</f>
        <v>-7021.5833333333358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-243870.99333333335</v>
      </c>
      <c r="BP113" s="83"/>
      <c r="BQ113" s="44">
        <f>SUM(Financials20263[[#This Row],[Jan AC]:[Jun AC]])</f>
        <v>177841.76</v>
      </c>
      <c r="BR113" s="6">
        <f t="shared" si="46"/>
        <v>0</v>
      </c>
      <c r="BS113" s="6">
        <f>Financials20263[[#This Row],[Jul-Dec FC]]+Financials20263[[#This Row],[Pending Jan-Jun]]</f>
        <v>215029.5</v>
      </c>
      <c r="BT113" s="6"/>
      <c r="BU113" s="6"/>
      <c r="BV113" s="6"/>
    </row>
    <row r="114" spans="1:74" x14ac:dyDescent="0.3">
      <c r="A114" s="20" t="s">
        <v>101</v>
      </c>
      <c r="B114" s="19" t="s">
        <v>367</v>
      </c>
      <c r="C114" s="19"/>
      <c r="D114" s="10" t="s">
        <v>31</v>
      </c>
      <c r="E114" s="7" t="s">
        <v>203</v>
      </c>
      <c r="F114" s="3" t="s">
        <v>204</v>
      </c>
      <c r="G114" s="3" t="s">
        <v>50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106</v>
      </c>
      <c r="M114" s="19" t="s">
        <v>6</v>
      </c>
      <c r="N114" s="19" t="s">
        <v>6</v>
      </c>
      <c r="O114" s="19" t="s">
        <v>162</v>
      </c>
      <c r="P114" s="19" t="s">
        <v>163</v>
      </c>
      <c r="Q114" s="19" t="s">
        <v>163</v>
      </c>
      <c r="R114" s="19" t="s">
        <v>164</v>
      </c>
      <c r="S114" s="19" t="s">
        <v>132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368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506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x14ac:dyDescent="0.3">
      <c r="A115" s="20" t="s">
        <v>101</v>
      </c>
      <c r="B115" s="19" t="s">
        <v>369</v>
      </c>
      <c r="C115" s="19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30"/>
        <v>Prj000290-Support - Asset Management Applications</v>
      </c>
      <c r="L115" s="19" t="s">
        <v>106</v>
      </c>
      <c r="M115" s="19" t="s">
        <v>6</v>
      </c>
      <c r="N115" s="19" t="s">
        <v>6</v>
      </c>
      <c r="O115" s="19"/>
      <c r="P115" s="19" t="s">
        <v>163</v>
      </c>
      <c r="Q115" s="19" t="s">
        <v>163</v>
      </c>
      <c r="R115" s="19" t="s">
        <v>164</v>
      </c>
      <c r="S115" s="19" t="s">
        <v>132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120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x14ac:dyDescent="0.3">
      <c r="A116" s="20" t="s">
        <v>101</v>
      </c>
      <c r="B116" s="19" t="s">
        <v>370</v>
      </c>
      <c r="C116" s="19" t="s">
        <v>371</v>
      </c>
      <c r="D116" s="10" t="s">
        <v>31</v>
      </c>
      <c r="E116" s="7" t="s">
        <v>203</v>
      </c>
      <c r="F116" s="3" t="s">
        <v>204</v>
      </c>
      <c r="G116" s="3" t="s">
        <v>50</v>
      </c>
      <c r="H116" s="4"/>
      <c r="I116" s="4"/>
      <c r="J116" s="3"/>
      <c r="K116" s="3" t="str">
        <f t="shared" si="30"/>
        <v>Prj000469-Support - Prod Support for Ops Apps</v>
      </c>
      <c r="L116" s="19" t="s">
        <v>106</v>
      </c>
      <c r="M116" s="19" t="s">
        <v>6</v>
      </c>
      <c r="N116" s="19" t="s">
        <v>6</v>
      </c>
      <c r="O116" s="19" t="s">
        <v>372</v>
      </c>
      <c r="P116" s="19" t="s">
        <v>163</v>
      </c>
      <c r="Q116" s="19" t="s">
        <v>163</v>
      </c>
      <c r="R116" s="19" t="s">
        <v>164</v>
      </c>
      <c r="S116" s="19" t="s">
        <v>154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x14ac:dyDescent="0.3">
      <c r="A117" s="20" t="s">
        <v>101</v>
      </c>
      <c r="B117" s="19" t="s">
        <v>373</v>
      </c>
      <c r="C117" s="19"/>
      <c r="D117" s="10" t="s">
        <v>31</v>
      </c>
      <c r="E117" s="7" t="s">
        <v>203</v>
      </c>
      <c r="F117" s="3" t="s">
        <v>204</v>
      </c>
      <c r="G117" s="3" t="s">
        <v>50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106</v>
      </c>
      <c r="M117" s="19" t="s">
        <v>6</v>
      </c>
      <c r="N117" s="19" t="s">
        <v>6</v>
      </c>
      <c r="O117" s="19"/>
      <c r="P117" s="19" t="s">
        <v>163</v>
      </c>
      <c r="Q117" s="19" t="s">
        <v>163</v>
      </c>
      <c r="R117" s="19" t="s">
        <v>164</v>
      </c>
      <c r="S117" s="19" t="s">
        <v>132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120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x14ac:dyDescent="0.3">
      <c r="A118" s="20" t="s">
        <v>157</v>
      </c>
      <c r="B118" s="19" t="s">
        <v>57</v>
      </c>
      <c r="C118" s="19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30"/>
        <v>Prj000350-Support - Infrastructure for Tech</v>
      </c>
      <c r="L118" s="19" t="s">
        <v>106</v>
      </c>
      <c r="M118" s="19" t="s">
        <v>3</v>
      </c>
      <c r="N118" s="19" t="s">
        <v>3</v>
      </c>
      <c r="O118" s="19"/>
      <c r="P118" s="19" t="s">
        <v>107</v>
      </c>
      <c r="Q118" s="19" t="s">
        <v>377</v>
      </c>
      <c r="R118" s="19" t="s">
        <v>377</v>
      </c>
      <c r="S118" s="19" t="s">
        <v>129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560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x14ac:dyDescent="0.3">
      <c r="A119" s="20" t="s">
        <v>101</v>
      </c>
      <c r="B119" s="19" t="s">
        <v>70</v>
      </c>
      <c r="C119" s="19" t="s">
        <v>287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378</v>
      </c>
      <c r="K119" s="3" t="str">
        <f t="shared" si="30"/>
        <v>Prj000350-Support - Infrastructure for Tech</v>
      </c>
      <c r="L119" s="19" t="s">
        <v>106</v>
      </c>
      <c r="M119" s="19" t="s">
        <v>3</v>
      </c>
      <c r="N119" s="19" t="s">
        <v>3</v>
      </c>
      <c r="O119" s="19"/>
      <c r="P119" s="19" t="s">
        <v>107</v>
      </c>
      <c r="Q119" s="19" t="s">
        <v>377</v>
      </c>
      <c r="R119" s="19" t="s">
        <v>377</v>
      </c>
      <c r="S119" s="19" t="s">
        <v>132</v>
      </c>
      <c r="T119" s="5">
        <v>0</v>
      </c>
      <c r="U119" s="15">
        <v>0</v>
      </c>
      <c r="V119" s="15">
        <v>81590</v>
      </c>
      <c r="W119" s="15">
        <f t="shared" si="44"/>
        <v>89354.33</v>
      </c>
      <c r="X119" s="15">
        <f t="shared" si="35"/>
        <v>0</v>
      </c>
      <c r="Y119" s="15">
        <f t="shared" si="32"/>
        <v>7764.3300000000017</v>
      </c>
      <c r="Z119" s="15">
        <f>SUM(Financials20263[[#This Row],[2026 Opportunity]:[2026 Risk]])</f>
        <v>7764.3300000000017</v>
      </c>
      <c r="AA119" s="3" t="s">
        <v>716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60891</v>
      </c>
      <c r="AN119" s="47">
        <f>SUM(Financials20263[[#This Row],[Jan FC]:[Dec FC]])</f>
        <v>60891</v>
      </c>
      <c r="AO119" s="15">
        <f>SUM(Financials20263[[#This Row],[Jul FC]:[Dec FC]])</f>
        <v>60891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-60891</v>
      </c>
      <c r="BO119" s="66">
        <f>SUM(Financials20263[[#This Row],[Jan Opp/Risk]:[Dec Opp./Risk]])</f>
        <v>-32427.67</v>
      </c>
      <c r="BP119" s="82" t="s">
        <v>626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60891</v>
      </c>
      <c r="BT119" s="6"/>
      <c r="BU119" s="6"/>
      <c r="BV119" s="6"/>
    </row>
    <row r="120" spans="1:74" x14ac:dyDescent="0.3">
      <c r="A120" s="20" t="s">
        <v>101</v>
      </c>
      <c r="B120" s="19" t="s">
        <v>70</v>
      </c>
      <c r="C120" s="19" t="s">
        <v>287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379</v>
      </c>
      <c r="K120" s="3" t="str">
        <f t="shared" si="30"/>
        <v>Prj000350-Support - Infrastructure for Tech</v>
      </c>
      <c r="L120" s="19" t="s">
        <v>106</v>
      </c>
      <c r="M120" s="19" t="s">
        <v>4</v>
      </c>
      <c r="N120" s="19" t="s">
        <v>4</v>
      </c>
      <c r="O120" s="19" t="s">
        <v>219</v>
      </c>
      <c r="P120" s="19" t="s">
        <v>107</v>
      </c>
      <c r="Q120" s="19" t="s">
        <v>220</v>
      </c>
      <c r="R120" s="19" t="s">
        <v>220</v>
      </c>
      <c r="S120" s="19" t="s">
        <v>129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609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519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x14ac:dyDescent="0.3">
      <c r="A121" s="20" t="s">
        <v>157</v>
      </c>
      <c r="B121" s="19" t="s">
        <v>70</v>
      </c>
      <c r="C121" s="19" t="s">
        <v>287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30"/>
        <v>Prj000467-Support - Enterprise Tech Helpdesk</v>
      </c>
      <c r="L121" s="19" t="s">
        <v>106</v>
      </c>
      <c r="M121" s="19" t="s">
        <v>3</v>
      </c>
      <c r="N121" s="19" t="s">
        <v>3</v>
      </c>
      <c r="O121" s="19"/>
      <c r="P121" s="19" t="s">
        <v>107</v>
      </c>
      <c r="Q121" s="19" t="s">
        <v>377</v>
      </c>
      <c r="R121" s="19" t="s">
        <v>377</v>
      </c>
      <c r="S121" s="19" t="s">
        <v>154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717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x14ac:dyDescent="0.3">
      <c r="A122" s="20" t="s">
        <v>101</v>
      </c>
      <c r="B122" s="19" t="s">
        <v>380</v>
      </c>
      <c r="C122" s="19"/>
      <c r="D122" s="10" t="s">
        <v>10</v>
      </c>
      <c r="E122" s="7" t="s">
        <v>381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106</v>
      </c>
      <c r="M122" s="19" t="s">
        <v>7</v>
      </c>
      <c r="N122" s="19" t="s">
        <v>7</v>
      </c>
      <c r="O122" s="19"/>
      <c r="P122" s="19" t="s">
        <v>107</v>
      </c>
      <c r="Q122" s="19" t="s">
        <v>200</v>
      </c>
      <c r="R122" s="19" t="s">
        <v>200</v>
      </c>
      <c r="S122" s="19" t="s">
        <v>109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382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x14ac:dyDescent="0.3">
      <c r="A123" s="20" t="s">
        <v>101</v>
      </c>
      <c r="B123" s="19" t="s">
        <v>181</v>
      </c>
      <c r="C123" s="19"/>
      <c r="D123" s="10" t="s">
        <v>38</v>
      </c>
      <c r="E123" s="7" t="s">
        <v>383</v>
      </c>
      <c r="F123" s="3" t="s">
        <v>183</v>
      </c>
      <c r="G123" s="3" t="s">
        <v>51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124</v>
      </c>
      <c r="M123" s="19" t="s">
        <v>2</v>
      </c>
      <c r="N123" s="19" t="s">
        <v>340</v>
      </c>
      <c r="O123" s="19"/>
      <c r="P123" s="19" t="s">
        <v>126</v>
      </c>
      <c r="Q123" s="19" t="s">
        <v>127</v>
      </c>
      <c r="R123" s="19" t="s">
        <v>128</v>
      </c>
      <c r="S123" s="3" t="s">
        <v>384</v>
      </c>
      <c r="T123" s="15">
        <v>0</v>
      </c>
      <c r="U123" s="15">
        <v>250000</v>
      </c>
      <c r="V123" s="15">
        <f>250000-143000</f>
        <v>107000</v>
      </c>
      <c r="W123" s="15">
        <f t="shared" si="44"/>
        <v>0</v>
      </c>
      <c r="X123" s="15">
        <f t="shared" si="35"/>
        <v>-107000</v>
      </c>
      <c r="Y123" s="15">
        <f t="shared" si="32"/>
        <v>0</v>
      </c>
      <c r="Z123" s="15">
        <f>SUM(Financials20263[[#This Row],[2026 Opportunity]:[2026 Risk]])</f>
        <v>-107000</v>
      </c>
      <c r="AA123" s="3" t="s">
        <v>715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729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723</v>
      </c>
      <c r="BU123" s="6"/>
      <c r="BV123" s="6"/>
    </row>
    <row r="124" spans="1:74" x14ac:dyDescent="0.3">
      <c r="A124" s="20" t="s">
        <v>101</v>
      </c>
      <c r="B124" s="19" t="s">
        <v>181</v>
      </c>
      <c r="C124" s="19"/>
      <c r="D124" s="10" t="s">
        <v>18</v>
      </c>
      <c r="E124" s="7" t="s">
        <v>385</v>
      </c>
      <c r="F124" s="3" t="s">
        <v>183</v>
      </c>
      <c r="G124" s="3" t="s">
        <v>48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124</v>
      </c>
      <c r="M124" s="19" t="s">
        <v>5</v>
      </c>
      <c r="N124" s="19" t="s">
        <v>125</v>
      </c>
      <c r="O124" s="19"/>
      <c r="P124" s="19" t="s">
        <v>126</v>
      </c>
      <c r="Q124" s="19" t="s">
        <v>127</v>
      </c>
      <c r="R124" s="19" t="s">
        <v>128</v>
      </c>
      <c r="S124" s="3" t="s">
        <v>384</v>
      </c>
      <c r="T124" s="5">
        <v>0</v>
      </c>
      <c r="U124" s="5">
        <v>165000</v>
      </c>
      <c r="V124" s="5">
        <f>165000-95195</f>
        <v>69805</v>
      </c>
      <c r="W124" s="15">
        <f t="shared" si="44"/>
        <v>0</v>
      </c>
      <c r="X124" s="15">
        <f t="shared" si="35"/>
        <v>-69805</v>
      </c>
      <c r="Y124" s="15">
        <f t="shared" si="32"/>
        <v>0</v>
      </c>
      <c r="Z124" s="15">
        <f>SUM(Financials20263[[#This Row],[2026 Opportunity]:[2026 Risk]])</f>
        <v>-69805</v>
      </c>
      <c r="AA124" s="3" t="s">
        <v>715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605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x14ac:dyDescent="0.3">
      <c r="A125" s="20" t="s">
        <v>101</v>
      </c>
      <c r="B125" s="19" t="s">
        <v>56</v>
      </c>
      <c r="C125" s="19" t="s">
        <v>202</v>
      </c>
      <c r="D125" s="10" t="s">
        <v>36</v>
      </c>
      <c r="E125" s="7" t="s">
        <v>386</v>
      </c>
      <c r="F125" s="3" t="s">
        <v>204</v>
      </c>
      <c r="G125" s="3" t="s">
        <v>50</v>
      </c>
      <c r="H125" s="4"/>
      <c r="I125" s="4"/>
      <c r="J125" s="3"/>
      <c r="K125" s="3" t="str">
        <f t="shared" si="30"/>
        <v>Prj000489-Implement - Strategic Modules for LIQ</v>
      </c>
      <c r="L125" s="19" t="s">
        <v>124</v>
      </c>
      <c r="M125" s="19" t="s">
        <v>2</v>
      </c>
      <c r="N125" s="19" t="s">
        <v>340</v>
      </c>
      <c r="O125" s="19"/>
      <c r="P125" s="19" t="s">
        <v>107</v>
      </c>
      <c r="Q125" s="19" t="s">
        <v>134</v>
      </c>
      <c r="R125" s="19" t="s">
        <v>128</v>
      </c>
      <c r="S125" s="3" t="s">
        <v>384</v>
      </c>
      <c r="T125" s="5">
        <v>0</v>
      </c>
      <c r="U125" s="5">
        <v>50000</v>
      </c>
      <c r="V125" s="5">
        <v>50000</v>
      </c>
      <c r="W125" s="15">
        <f t="shared" si="44"/>
        <v>0</v>
      </c>
      <c r="X125" s="15">
        <f t="shared" si="35"/>
        <v>-50000</v>
      </c>
      <c r="Y125" s="15">
        <f t="shared" si="32"/>
        <v>0</v>
      </c>
      <c r="Z125" s="15">
        <f>SUM(Financials20263[[#This Row],[2026 Opportunity]:[2026 Risk]])</f>
        <v>-50000</v>
      </c>
      <c r="AA125" s="3" t="s">
        <v>387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605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723</v>
      </c>
      <c r="BU125" s="6"/>
      <c r="BV125" s="6"/>
    </row>
    <row r="126" spans="1:74" x14ac:dyDescent="0.3">
      <c r="A126" s="20" t="s">
        <v>101</v>
      </c>
      <c r="B126" s="19" t="s">
        <v>333</v>
      </c>
      <c r="C126" s="19" t="s">
        <v>334</v>
      </c>
      <c r="D126" s="10" t="s">
        <v>35</v>
      </c>
      <c r="E126" s="7" t="s">
        <v>388</v>
      </c>
      <c r="F126" s="3" t="s">
        <v>204</v>
      </c>
      <c r="G126" s="3" t="s">
        <v>50</v>
      </c>
      <c r="H126" s="4"/>
      <c r="I126" s="4"/>
      <c r="J126" s="3"/>
      <c r="K126" s="3" t="str">
        <f t="shared" si="30"/>
        <v>Prj000482-Implement - WSO Own Instance (AM)</v>
      </c>
      <c r="L126" s="19" t="s">
        <v>124</v>
      </c>
      <c r="M126" s="19" t="s">
        <v>2</v>
      </c>
      <c r="N126" s="19" t="s">
        <v>340</v>
      </c>
      <c r="O126" s="19"/>
      <c r="P126" s="19" t="s">
        <v>107</v>
      </c>
      <c r="Q126" s="19" t="s">
        <v>134</v>
      </c>
      <c r="R126" s="19" t="s">
        <v>128</v>
      </c>
      <c r="S126" s="3" t="s">
        <v>384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627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628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723</v>
      </c>
      <c r="BU126" s="6"/>
      <c r="BV126" s="6"/>
    </row>
    <row r="127" spans="1:74" x14ac:dyDescent="0.3">
      <c r="A127" s="20" t="s">
        <v>101</v>
      </c>
      <c r="B127" s="19" t="s">
        <v>333</v>
      </c>
      <c r="C127" s="19" t="s">
        <v>334</v>
      </c>
      <c r="D127" s="10" t="s">
        <v>35</v>
      </c>
      <c r="E127" s="7" t="s">
        <v>388</v>
      </c>
      <c r="F127" s="3" t="s">
        <v>204</v>
      </c>
      <c r="G127" s="3" t="s">
        <v>50</v>
      </c>
      <c r="H127" s="4"/>
      <c r="I127" s="4"/>
      <c r="J127" s="3"/>
      <c r="K127" s="3" t="str">
        <f t="shared" si="30"/>
        <v>Prj000482-Implement - WSO Own Instance (AM)</v>
      </c>
      <c r="L127" s="19" t="s">
        <v>124</v>
      </c>
      <c r="M127" s="19" t="s">
        <v>2</v>
      </c>
      <c r="N127" s="19" t="s">
        <v>340</v>
      </c>
      <c r="O127" s="19"/>
      <c r="P127" s="19" t="s">
        <v>107</v>
      </c>
      <c r="Q127" s="19" t="s">
        <v>134</v>
      </c>
      <c r="R127" s="19" t="s">
        <v>128</v>
      </c>
      <c r="S127" s="3" t="s">
        <v>384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629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630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x14ac:dyDescent="0.3">
      <c r="A128" s="20" t="s">
        <v>101</v>
      </c>
      <c r="B128" s="19" t="s">
        <v>207</v>
      </c>
      <c r="C128" s="19"/>
      <c r="D128" s="10" t="s">
        <v>35</v>
      </c>
      <c r="E128" s="7" t="s">
        <v>388</v>
      </c>
      <c r="F128" s="3" t="s">
        <v>204</v>
      </c>
      <c r="G128" s="3" t="s">
        <v>50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124</v>
      </c>
      <c r="M128" s="19" t="s">
        <v>2</v>
      </c>
      <c r="N128" s="19" t="s">
        <v>340</v>
      </c>
      <c r="O128" s="19"/>
      <c r="P128" s="19" t="s">
        <v>107</v>
      </c>
      <c r="Q128" s="19" t="s">
        <v>134</v>
      </c>
      <c r="R128" s="19" t="s">
        <v>128</v>
      </c>
      <c r="S128" s="19" t="s">
        <v>129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619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599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x14ac:dyDescent="0.3">
      <c r="A129" s="20" t="s">
        <v>101</v>
      </c>
      <c r="B129" s="19" t="s">
        <v>333</v>
      </c>
      <c r="C129" s="19" t="s">
        <v>334</v>
      </c>
      <c r="D129" s="10" t="s">
        <v>9</v>
      </c>
      <c r="E129" s="7" t="s">
        <v>389</v>
      </c>
      <c r="F129" s="3" t="s">
        <v>204</v>
      </c>
      <c r="G129" s="3" t="s">
        <v>50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124</v>
      </c>
      <c r="M129" s="19" t="s">
        <v>2</v>
      </c>
      <c r="N129" s="19" t="s">
        <v>340</v>
      </c>
      <c r="O129" s="19"/>
      <c r="P129" s="19" t="s">
        <v>107</v>
      </c>
      <c r="Q129" s="19" t="s">
        <v>134</v>
      </c>
      <c r="R129" s="19" t="s">
        <v>128</v>
      </c>
      <c r="S129" s="3" t="s">
        <v>384</v>
      </c>
      <c r="T129" s="5"/>
      <c r="U129" s="17">
        <v>500000</v>
      </c>
      <c r="V129" s="17">
        <v>500000</v>
      </c>
      <c r="W129" s="15">
        <f t="shared" si="44"/>
        <v>0</v>
      </c>
      <c r="X129" s="15">
        <f t="shared" si="35"/>
        <v>-500000</v>
      </c>
      <c r="Y129" s="15">
        <f t="shared" si="32"/>
        <v>0</v>
      </c>
      <c r="Z129" s="15">
        <f>SUM(Financials20263[[#This Row],[2026 Opportunity]:[2026 Risk]])</f>
        <v>-500000</v>
      </c>
      <c r="AA129" s="3" t="s">
        <v>603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605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723</v>
      </c>
      <c r="BU129" s="6"/>
      <c r="BV129" s="6"/>
    </row>
    <row r="130" spans="1:74" x14ac:dyDescent="0.3">
      <c r="A130" s="20" t="s">
        <v>101</v>
      </c>
      <c r="B130" s="19" t="s">
        <v>207</v>
      </c>
      <c r="C130" s="19" t="s">
        <v>208</v>
      </c>
      <c r="D130" s="10" t="s">
        <v>34</v>
      </c>
      <c r="E130" s="7" t="s">
        <v>390</v>
      </c>
      <c r="F130" s="3" t="s">
        <v>210</v>
      </c>
      <c r="G130" s="3" t="s">
        <v>48</v>
      </c>
      <c r="H130" s="4"/>
      <c r="I130" s="4"/>
      <c r="J130" s="3" t="s">
        <v>391</v>
      </c>
      <c r="K130" s="3" t="str">
        <f t="shared" ref="K130:K142" si="52">D130 &amp; "-" &amp;E130</f>
        <v>Prj000477-Implement - Odyssey Reporting &amp; Exception Mgmt</v>
      </c>
      <c r="L130" s="19" t="s">
        <v>124</v>
      </c>
      <c r="M130" s="19" t="s">
        <v>2</v>
      </c>
      <c r="N130" s="19" t="s">
        <v>340</v>
      </c>
      <c r="O130" s="19"/>
      <c r="P130" s="19" t="s">
        <v>126</v>
      </c>
      <c r="Q130" s="19" t="s">
        <v>127</v>
      </c>
      <c r="R130" s="19" t="s">
        <v>128</v>
      </c>
      <c r="S130" s="3" t="s">
        <v>384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714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605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x14ac:dyDescent="0.3">
      <c r="A131" s="20" t="s">
        <v>101</v>
      </c>
      <c r="B131" s="19" t="s">
        <v>207</v>
      </c>
      <c r="C131" s="19" t="s">
        <v>208</v>
      </c>
      <c r="D131" s="10" t="s">
        <v>37</v>
      </c>
      <c r="E131" s="7" t="s">
        <v>212</v>
      </c>
      <c r="F131" s="3" t="s">
        <v>210</v>
      </c>
      <c r="G131" s="3" t="s">
        <v>48</v>
      </c>
      <c r="H131" s="4"/>
      <c r="I131" s="4"/>
      <c r="J131" s="3" t="s">
        <v>391</v>
      </c>
      <c r="K131" s="3" t="str">
        <f t="shared" si="52"/>
        <v>Prj000548-Implement - Reporting for Internal Audit</v>
      </c>
      <c r="L131" s="19" t="s">
        <v>124</v>
      </c>
      <c r="M131" s="19" t="s">
        <v>2</v>
      </c>
      <c r="N131" s="19" t="s">
        <v>340</v>
      </c>
      <c r="O131" s="19"/>
      <c r="P131" s="19" t="s">
        <v>126</v>
      </c>
      <c r="Q131" s="19" t="s">
        <v>127</v>
      </c>
      <c r="R131" s="19" t="s">
        <v>128</v>
      </c>
      <c r="S131" s="3" t="s">
        <v>384</v>
      </c>
      <c r="T131" s="5">
        <v>0</v>
      </c>
      <c r="U131" s="17">
        <v>500000</v>
      </c>
      <c r="V131" s="17">
        <v>500000</v>
      </c>
      <c r="W131" s="15">
        <f t="shared" si="53"/>
        <v>0</v>
      </c>
      <c r="X131" s="15">
        <f t="shared" si="35"/>
        <v>-500000</v>
      </c>
      <c r="Y131" s="15">
        <f t="shared" si="54"/>
        <v>0</v>
      </c>
      <c r="Z131" s="15">
        <f>SUM(Financials20263[[#This Row],[2026 Opportunity]:[2026 Risk]])</f>
        <v>-500000</v>
      </c>
      <c r="AA131" s="3" t="s">
        <v>604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605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723</v>
      </c>
      <c r="BU131" s="6"/>
      <c r="BV131" s="6"/>
    </row>
    <row r="132" spans="1:74" x14ac:dyDescent="0.3">
      <c r="A132" s="20" t="s">
        <v>101</v>
      </c>
      <c r="B132" s="19" t="s">
        <v>74</v>
      </c>
      <c r="C132" s="19" t="s">
        <v>264</v>
      </c>
      <c r="D132" s="10" t="s">
        <v>28</v>
      </c>
      <c r="E132" s="7" t="s">
        <v>392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393</v>
      </c>
      <c r="K132" s="3" t="str">
        <f t="shared" si="52"/>
        <v>Prj000447-Implement - Minor Enhancements SNOW - Phase 2</v>
      </c>
      <c r="L132" s="19" t="s">
        <v>124</v>
      </c>
      <c r="M132" s="19" t="s">
        <v>5</v>
      </c>
      <c r="N132" s="19" t="s">
        <v>125</v>
      </c>
      <c r="O132" s="19" t="s">
        <v>328</v>
      </c>
      <c r="P132" s="19" t="s">
        <v>107</v>
      </c>
      <c r="Q132" s="19" t="s">
        <v>134</v>
      </c>
      <c r="R132" s="19" t="s">
        <v>134</v>
      </c>
      <c r="S132" s="19" t="s">
        <v>129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394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506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x14ac:dyDescent="0.3">
      <c r="A133" s="20" t="s">
        <v>101</v>
      </c>
      <c r="B133" s="19" t="s">
        <v>277</v>
      </c>
      <c r="C133" s="19" t="s">
        <v>278</v>
      </c>
      <c r="D133" s="10" t="s">
        <v>33</v>
      </c>
      <c r="E133" s="7" t="s">
        <v>395</v>
      </c>
      <c r="F133" s="3" t="s">
        <v>210</v>
      </c>
      <c r="G133" s="3" t="s">
        <v>48</v>
      </c>
      <c r="H133" s="4">
        <v>45943</v>
      </c>
      <c r="I133" s="4">
        <v>46109</v>
      </c>
      <c r="J133" s="3" t="s">
        <v>396</v>
      </c>
      <c r="K133" s="3" t="str">
        <f t="shared" si="52"/>
        <v>Prj000476-Implement - Reporting to Support DGC</v>
      </c>
      <c r="L133" s="19" t="s">
        <v>106</v>
      </c>
      <c r="M133" s="19" t="s">
        <v>7</v>
      </c>
      <c r="N133" s="19" t="s">
        <v>7</v>
      </c>
      <c r="O133" s="19"/>
      <c r="P133" s="19" t="s">
        <v>107</v>
      </c>
      <c r="Q133" s="19" t="s">
        <v>108</v>
      </c>
      <c r="R133" s="19" t="s">
        <v>108</v>
      </c>
      <c r="S133" s="19" t="s">
        <v>132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397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x14ac:dyDescent="0.3">
      <c r="A134" s="20" t="s">
        <v>101</v>
      </c>
      <c r="B134" s="19" t="s">
        <v>207</v>
      </c>
      <c r="C134" s="19" t="s">
        <v>208</v>
      </c>
      <c r="D134" s="10" t="s">
        <v>21</v>
      </c>
      <c r="E134" s="7" t="s">
        <v>398</v>
      </c>
      <c r="F134" s="3" t="s">
        <v>168</v>
      </c>
      <c r="G134" s="3" t="s">
        <v>51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124</v>
      </c>
      <c r="M134" s="19" t="s">
        <v>5</v>
      </c>
      <c r="N134" s="19" t="s">
        <v>125</v>
      </c>
      <c r="O134" s="19"/>
      <c r="P134" s="19" t="s">
        <v>126</v>
      </c>
      <c r="Q134" s="19" t="s">
        <v>127</v>
      </c>
      <c r="R134" s="19" t="s">
        <v>128</v>
      </c>
      <c r="S134" s="3" t="s">
        <v>384</v>
      </c>
      <c r="T134" s="5">
        <v>0</v>
      </c>
      <c r="U134" s="5">
        <v>100000</v>
      </c>
      <c r="V134" s="5">
        <v>100000</v>
      </c>
      <c r="W134" s="15">
        <f t="shared" si="53"/>
        <v>0</v>
      </c>
      <c r="X134" s="15">
        <f t="shared" si="35"/>
        <v>-100000</v>
      </c>
      <c r="Y134" s="15">
        <f t="shared" si="54"/>
        <v>0</v>
      </c>
      <c r="Z134" s="15">
        <f>SUM(Financials20263[[#This Row],[2026 Opportunity]:[2026 Risk]])</f>
        <v>-100000</v>
      </c>
      <c r="AA134" s="3" t="s">
        <v>715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605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x14ac:dyDescent="0.3">
      <c r="A135" s="20" t="s">
        <v>101</v>
      </c>
      <c r="B135" s="19" t="s">
        <v>399</v>
      </c>
      <c r="C135" s="19"/>
      <c r="D135" s="10" t="s">
        <v>12</v>
      </c>
      <c r="E135" s="7" t="s">
        <v>400</v>
      </c>
      <c r="F135" s="3" t="s">
        <v>123</v>
      </c>
      <c r="G135" s="3" t="s">
        <v>50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124</v>
      </c>
      <c r="M135" s="19" t="s">
        <v>2</v>
      </c>
      <c r="N135" s="19" t="s">
        <v>349</v>
      </c>
      <c r="O135" s="19"/>
      <c r="P135" s="19" t="s">
        <v>344</v>
      </c>
      <c r="Q135" s="19" t="s">
        <v>345</v>
      </c>
      <c r="R135" s="19" t="s">
        <v>143</v>
      </c>
      <c r="S135" s="3" t="s">
        <v>384</v>
      </c>
      <c r="T135" s="5">
        <v>0</v>
      </c>
      <c r="U135" s="5">
        <v>250000</v>
      </c>
      <c r="V135" s="5">
        <v>250000</v>
      </c>
      <c r="W135" s="15">
        <f t="shared" si="53"/>
        <v>150000</v>
      </c>
      <c r="X135" s="15">
        <f t="shared" si="35"/>
        <v>-100000</v>
      </c>
      <c r="Y135" s="15">
        <f t="shared" si="54"/>
        <v>0</v>
      </c>
      <c r="Z135" s="15">
        <f>SUM(Financials20263[[#This Row],[2026 Opportunity]:[2026 Risk]])</f>
        <v>-100000</v>
      </c>
      <c r="AA135" s="3" t="s">
        <v>387</v>
      </c>
      <c r="AB135" s="47"/>
      <c r="AC135" s="47"/>
      <c r="AD135" s="47"/>
      <c r="AE135" s="47"/>
      <c r="AF135" s="47"/>
      <c r="AG135" s="47"/>
      <c r="AH135" s="47"/>
      <c r="AI135" s="47">
        <v>3500</v>
      </c>
      <c r="AJ135" s="47"/>
      <c r="AK135" s="47"/>
      <c r="AL135" s="47"/>
      <c r="AM135" s="43">
        <f>150000-3500</f>
        <v>146500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-3500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-146500</v>
      </c>
      <c r="BO135" s="66">
        <f>SUM(Financials20263[[#This Row],[Jan Opp/Risk]:[Dec Opp./Risk]])</f>
        <v>-150000</v>
      </c>
      <c r="BP135" s="82" t="s">
        <v>605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723</v>
      </c>
      <c r="BU135" s="6"/>
      <c r="BV135" s="6"/>
    </row>
    <row r="136" spans="1:74" x14ac:dyDescent="0.3">
      <c r="A136" s="20" t="s">
        <v>101</v>
      </c>
      <c r="B136" s="19" t="s">
        <v>401</v>
      </c>
      <c r="C136" s="19"/>
      <c r="D136" s="10" t="s">
        <v>14</v>
      </c>
      <c r="E136" s="7" t="s">
        <v>402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106</v>
      </c>
      <c r="M136" s="19" t="s">
        <v>7</v>
      </c>
      <c r="N136" s="19" t="s">
        <v>7</v>
      </c>
      <c r="O136" s="19"/>
      <c r="P136" s="19" t="s">
        <v>107</v>
      </c>
      <c r="Q136" s="19" t="s">
        <v>200</v>
      </c>
      <c r="R136" s="19" t="s">
        <v>200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620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727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2" x14ac:dyDescent="0.3">
      <c r="A137" s="20" t="s">
        <v>101</v>
      </c>
      <c r="B137" s="19" t="s">
        <v>181</v>
      </c>
      <c r="C137" s="19"/>
      <c r="D137" s="10" t="s">
        <v>18</v>
      </c>
      <c r="E137" s="7" t="s">
        <v>385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124</v>
      </c>
      <c r="M137" s="19" t="s">
        <v>2</v>
      </c>
      <c r="N137" s="19" t="s">
        <v>340</v>
      </c>
      <c r="O137" s="19"/>
      <c r="P137" s="19" t="s">
        <v>126</v>
      </c>
      <c r="Q137" s="19" t="s">
        <v>127</v>
      </c>
      <c r="R137" s="19" t="s">
        <v>128</v>
      </c>
      <c r="S137" s="3" t="s">
        <v>384</v>
      </c>
      <c r="T137" s="15">
        <v>0</v>
      </c>
      <c r="U137" s="15">
        <v>250000</v>
      </c>
      <c r="V137" s="5">
        <f>250000-197929</f>
        <v>52071</v>
      </c>
      <c r="W137" s="15">
        <f t="shared" si="53"/>
        <v>0</v>
      </c>
      <c r="X137" s="15">
        <f t="shared" ref="X137:X150" si="56">IF(V137 &gt;= W137, V137 - W137, 0)*-1</f>
        <v>-52071</v>
      </c>
      <c r="Y137" s="15">
        <f t="shared" si="54"/>
        <v>0</v>
      </c>
      <c r="Z137" s="15">
        <f>SUM(Financials20263[[#This Row],[2026 Opportunity]:[2026 Risk]])</f>
        <v>-52071</v>
      </c>
      <c r="AA137" s="3" t="s">
        <v>713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417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723</v>
      </c>
      <c r="BU137" s="6"/>
      <c r="BV137" s="6"/>
    </row>
    <row r="138" spans="1:74" x14ac:dyDescent="0.3">
      <c r="A138" s="20" t="s">
        <v>101</v>
      </c>
      <c r="B138" s="19" t="s">
        <v>181</v>
      </c>
      <c r="C138" s="19"/>
      <c r="D138" s="10" t="s">
        <v>14</v>
      </c>
      <c r="E138" s="7" t="s">
        <v>402</v>
      </c>
      <c r="F138" s="3" t="s">
        <v>114</v>
      </c>
      <c r="G138" s="3" t="s">
        <v>53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124</v>
      </c>
      <c r="M138" s="19" t="s">
        <v>2</v>
      </c>
      <c r="N138" s="19" t="s">
        <v>340</v>
      </c>
      <c r="O138" s="19"/>
      <c r="P138" s="19" t="s">
        <v>126</v>
      </c>
      <c r="Q138" s="19" t="s">
        <v>127</v>
      </c>
      <c r="R138" s="19" t="s">
        <v>128</v>
      </c>
      <c r="S138" s="3" t="s">
        <v>384</v>
      </c>
      <c r="T138" s="15">
        <v>0</v>
      </c>
      <c r="U138" s="5">
        <v>100000</v>
      </c>
      <c r="V138" s="5">
        <v>100000</v>
      </c>
      <c r="W138" s="15">
        <f t="shared" si="53"/>
        <v>0</v>
      </c>
      <c r="X138" s="15">
        <f t="shared" si="56"/>
        <v>-100000</v>
      </c>
      <c r="Y138" s="15">
        <f t="shared" si="54"/>
        <v>0</v>
      </c>
      <c r="Z138" s="15">
        <f>SUM(Financials20263[[#This Row],[2026 Opportunity]:[2026 Risk]])</f>
        <v>-100000</v>
      </c>
      <c r="AA138" s="3" t="s">
        <v>403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605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723</v>
      </c>
      <c r="BU138" s="6"/>
      <c r="BV138" s="6"/>
    </row>
    <row r="139" spans="1:74" x14ac:dyDescent="0.3">
      <c r="A139" s="20" t="s">
        <v>101</v>
      </c>
      <c r="B139" s="19" t="s">
        <v>57</v>
      </c>
      <c r="C139" s="19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52"/>
        <v>Prj000350-Support - Infrastructure for Tech</v>
      </c>
      <c r="L139" s="19" t="s">
        <v>106</v>
      </c>
      <c r="M139" s="19" t="s">
        <v>3</v>
      </c>
      <c r="N139" s="19" t="s">
        <v>3</v>
      </c>
      <c r="O139" s="19"/>
      <c r="P139" s="19" t="s">
        <v>107</v>
      </c>
      <c r="Q139" s="19" t="s">
        <v>377</v>
      </c>
      <c r="R139" s="19" t="s">
        <v>377</v>
      </c>
      <c r="S139" s="19" t="s">
        <v>132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404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517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x14ac:dyDescent="0.3">
      <c r="A140" s="20" t="s">
        <v>101</v>
      </c>
      <c r="B140" s="19" t="s">
        <v>405</v>
      </c>
      <c r="C140" s="19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406</v>
      </c>
      <c r="K140" s="3" t="str">
        <f t="shared" si="52"/>
        <v>Prj000381-Support - Prod Support for Credit Apps</v>
      </c>
      <c r="L140" s="19" t="s">
        <v>106</v>
      </c>
      <c r="M140" s="19" t="s">
        <v>7</v>
      </c>
      <c r="N140" s="19" t="s">
        <v>7</v>
      </c>
      <c r="O140" s="19" t="s">
        <v>165</v>
      </c>
      <c r="P140" s="19" t="s">
        <v>107</v>
      </c>
      <c r="Q140" s="19" t="s">
        <v>200</v>
      </c>
      <c r="R140" s="19" t="s">
        <v>200</v>
      </c>
      <c r="S140" s="19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407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506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x14ac:dyDescent="0.3">
      <c r="A141" s="20" t="s">
        <v>101</v>
      </c>
      <c r="B141" s="19" t="s">
        <v>408</v>
      </c>
      <c r="C141" s="19" t="s">
        <v>409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106</v>
      </c>
      <c r="M141" s="19" t="s">
        <v>7</v>
      </c>
      <c r="N141" s="19" t="s">
        <v>7</v>
      </c>
      <c r="O141" s="19"/>
      <c r="P141" s="19" t="s">
        <v>107</v>
      </c>
      <c r="Q141" s="19" t="s">
        <v>108</v>
      </c>
      <c r="R141" s="19" t="s">
        <v>108</v>
      </c>
      <c r="S141" s="19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407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506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x14ac:dyDescent="0.3">
      <c r="A142" s="20" t="s">
        <v>101</v>
      </c>
      <c r="B142" s="19" t="s">
        <v>333</v>
      </c>
      <c r="C142" s="19" t="s">
        <v>410</v>
      </c>
      <c r="D142" s="10" t="s">
        <v>31</v>
      </c>
      <c r="E142" s="7" t="s">
        <v>203</v>
      </c>
      <c r="F142" s="3" t="s">
        <v>204</v>
      </c>
      <c r="G142" s="3" t="s">
        <v>50</v>
      </c>
      <c r="H142" s="4"/>
      <c r="I142" s="4"/>
      <c r="J142" s="3"/>
      <c r="K142" s="3" t="str">
        <f t="shared" si="52"/>
        <v>Prj000469-Support - Prod Support for Ops Apps</v>
      </c>
      <c r="L142" s="19" t="s">
        <v>106</v>
      </c>
      <c r="M142" s="19" t="s">
        <v>7</v>
      </c>
      <c r="N142" s="19" t="s">
        <v>7</v>
      </c>
      <c r="O142" s="19"/>
      <c r="P142" s="19" t="s">
        <v>107</v>
      </c>
      <c r="Q142" s="19" t="s">
        <v>134</v>
      </c>
      <c r="R142" s="19" t="s">
        <v>134</v>
      </c>
      <c r="S142" s="19" t="s">
        <v>132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40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745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x14ac:dyDescent="0.3">
      <c r="A143" s="20" t="s">
        <v>101</v>
      </c>
      <c r="B143" s="19" t="s">
        <v>341</v>
      </c>
      <c r="C143" s="19" t="s">
        <v>342</v>
      </c>
      <c r="D143" s="10" t="s">
        <v>186</v>
      </c>
      <c r="E143" s="7" t="s">
        <v>186</v>
      </c>
      <c r="F143" s="3" t="s">
        <v>335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411</v>
      </c>
      <c r="L143" s="19" t="s">
        <v>124</v>
      </c>
      <c r="M143" s="19" t="s">
        <v>46</v>
      </c>
      <c r="N143" s="19" t="s">
        <v>343</v>
      </c>
      <c r="O143" s="19" t="s">
        <v>186</v>
      </c>
      <c r="P143" s="19" t="s">
        <v>344</v>
      </c>
      <c r="Q143" s="19" t="s">
        <v>345</v>
      </c>
      <c r="R143" s="19" t="s">
        <v>143</v>
      </c>
      <c r="S143" s="19" t="s">
        <v>129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719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509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x14ac:dyDescent="0.3">
      <c r="A144" s="20" t="s">
        <v>101</v>
      </c>
      <c r="B144" s="19" t="s">
        <v>207</v>
      </c>
      <c r="C144" s="19" t="s">
        <v>208</v>
      </c>
      <c r="D144" s="10" t="s">
        <v>186</v>
      </c>
      <c r="E144" s="7" t="s">
        <v>186</v>
      </c>
      <c r="F144" s="3" t="s">
        <v>335</v>
      </c>
      <c r="G144" s="3" t="s">
        <v>48</v>
      </c>
      <c r="H144" s="4">
        <v>46204</v>
      </c>
      <c r="I144" s="4">
        <v>46387</v>
      </c>
      <c r="J144" s="3" t="s">
        <v>336</v>
      </c>
      <c r="K144" s="3" t="s">
        <v>411</v>
      </c>
      <c r="L144" s="19" t="s">
        <v>124</v>
      </c>
      <c r="M144" s="19" t="s">
        <v>46</v>
      </c>
      <c r="N144" s="19" t="s">
        <v>189</v>
      </c>
      <c r="O144" s="19" t="s">
        <v>186</v>
      </c>
      <c r="P144" s="19" t="s">
        <v>126</v>
      </c>
      <c r="Q144" s="19" t="s">
        <v>127</v>
      </c>
      <c r="R144" s="19" t="s">
        <v>128</v>
      </c>
      <c r="S144" s="19" t="s">
        <v>129</v>
      </c>
      <c r="T144" s="5">
        <v>0</v>
      </c>
      <c r="U144" s="15">
        <v>0</v>
      </c>
      <c r="V144" s="15">
        <v>0</v>
      </c>
      <c r="W144" s="15">
        <f t="shared" si="53"/>
        <v>1557600</v>
      </c>
      <c r="X144" s="15">
        <f t="shared" si="56"/>
        <v>0</v>
      </c>
      <c r="Y144" s="15">
        <f t="shared" si="54"/>
        <v>1557600</v>
      </c>
      <c r="Z144" s="15">
        <f>SUM(Financials20263[[#This Row],[2026 Opportunity]:[2026 Risk]])</f>
        <v>1557600</v>
      </c>
      <c r="AA144" s="3" t="s">
        <v>614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613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x14ac:dyDescent="0.3">
      <c r="A145" s="20" t="s">
        <v>101</v>
      </c>
      <c r="B145" s="19" t="s">
        <v>399</v>
      </c>
      <c r="C145" s="19"/>
      <c r="D145" s="10" t="s">
        <v>14</v>
      </c>
      <c r="E145" s="7" t="s">
        <v>402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124</v>
      </c>
      <c r="M145" s="19" t="s">
        <v>2</v>
      </c>
      <c r="N145" s="19" t="s">
        <v>340</v>
      </c>
      <c r="O145" s="19"/>
      <c r="P145" s="19" t="s">
        <v>126</v>
      </c>
      <c r="Q145" s="19" t="s">
        <v>127</v>
      </c>
      <c r="R145" s="19" t="s">
        <v>128</v>
      </c>
      <c r="S145" s="19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53"/>
        <v>12896</v>
      </c>
      <c r="X145" s="15">
        <f t="shared" si="56"/>
        <v>0</v>
      </c>
      <c r="Y145" s="15">
        <f t="shared" si="54"/>
        <v>0</v>
      </c>
      <c r="Z145" s="15">
        <f>SUM(Financials20263[[#This Row],[2026 Opportunity]:[2026 Risk]])</f>
        <v>0</v>
      </c>
      <c r="AA145" s="3" t="s">
        <v>412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12896</v>
      </c>
      <c r="AN145" s="48">
        <f>SUM(Financials20263[[#This Row],[Jan FC]:[Dec FC]])</f>
        <v>12896</v>
      </c>
      <c r="AO145" s="15">
        <f>SUM(Financials20263[[#This Row],[Jul FC]:[Dec FC]])</f>
        <v>12896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-12896</v>
      </c>
      <c r="BO145" s="66">
        <f>SUM(Financials20263[[#This Row],[Jan Opp/Risk]:[Dec Opp./Risk]])</f>
        <v>-12896</v>
      </c>
      <c r="BP145" s="88" t="s">
        <v>514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12896</v>
      </c>
      <c r="BT145" s="6"/>
      <c r="BU145" s="6"/>
      <c r="BV145" s="6"/>
    </row>
    <row r="146" spans="1:74" x14ac:dyDescent="0.3">
      <c r="A146" s="20" t="s">
        <v>101</v>
      </c>
      <c r="B146" s="19" t="s">
        <v>73</v>
      </c>
      <c r="C146" s="19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124</v>
      </c>
      <c r="M146" s="19" t="s">
        <v>46</v>
      </c>
      <c r="N146" s="19" t="s">
        <v>189</v>
      </c>
      <c r="O146" s="19" t="s">
        <v>186</v>
      </c>
      <c r="P146" s="19" t="s">
        <v>126</v>
      </c>
      <c r="Q146" s="19" t="s">
        <v>127</v>
      </c>
      <c r="R146" s="19" t="s">
        <v>128</v>
      </c>
      <c r="S146" s="19" t="s">
        <v>129</v>
      </c>
      <c r="T146" s="5"/>
      <c r="U146" s="15"/>
      <c r="V146" s="15">
        <v>0</v>
      </c>
      <c r="W146" s="15">
        <f t="shared" si="53"/>
        <v>69325</v>
      </c>
      <c r="X146" s="15">
        <f t="shared" si="56"/>
        <v>0</v>
      </c>
      <c r="Y146" s="15">
        <f t="shared" si="54"/>
        <v>69325</v>
      </c>
      <c r="Z146" s="15">
        <f>SUM(Financials20263[[#This Row],[2026 Opportunity]:[2026 Risk]])</f>
        <v>69325</v>
      </c>
      <c r="AA146" s="3" t="s">
        <v>413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508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x14ac:dyDescent="0.3">
      <c r="A147" s="20" t="s">
        <v>101</v>
      </c>
      <c r="B147" s="19" t="s">
        <v>73</v>
      </c>
      <c r="C147" s="19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124</v>
      </c>
      <c r="M147" s="19" t="s">
        <v>46</v>
      </c>
      <c r="N147" s="19" t="s">
        <v>189</v>
      </c>
      <c r="O147" s="19" t="s">
        <v>186</v>
      </c>
      <c r="P147" s="19" t="s">
        <v>126</v>
      </c>
      <c r="Q147" s="19" t="s">
        <v>127</v>
      </c>
      <c r="R147" s="19" t="s">
        <v>128</v>
      </c>
      <c r="S147" s="19" t="s">
        <v>129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414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526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x14ac:dyDescent="0.3">
      <c r="A148" s="30" t="s">
        <v>101</v>
      </c>
      <c r="B148" s="19" t="s">
        <v>476</v>
      </c>
      <c r="C148" s="31" t="s">
        <v>423</v>
      </c>
      <c r="D148" s="10" t="s">
        <v>31</v>
      </c>
      <c r="E148" s="7" t="s">
        <v>203</v>
      </c>
      <c r="F148" s="3" t="s">
        <v>204</v>
      </c>
      <c r="G148" s="3" t="s">
        <v>50</v>
      </c>
      <c r="H148" s="4">
        <v>46082</v>
      </c>
      <c r="I148" s="4">
        <v>46387</v>
      </c>
      <c r="J148" s="33"/>
      <c r="K148" s="33" t="s">
        <v>474</v>
      </c>
      <c r="L148" s="31" t="s">
        <v>106</v>
      </c>
      <c r="M148" s="31" t="s">
        <v>6</v>
      </c>
      <c r="N148" s="31" t="s">
        <v>6</v>
      </c>
      <c r="O148" s="31" t="s">
        <v>372</v>
      </c>
      <c r="P148" s="31" t="s">
        <v>163</v>
      </c>
      <c r="Q148" s="31" t="s">
        <v>163</v>
      </c>
      <c r="R148" s="31" t="s">
        <v>164</v>
      </c>
      <c r="S148" s="31" t="s">
        <v>154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744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477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2" x14ac:dyDescent="0.3">
      <c r="A149" s="30" t="s">
        <v>101</v>
      </c>
      <c r="B149" s="19" t="s">
        <v>711</v>
      </c>
      <c r="C149" s="31"/>
      <c r="D149" s="10" t="s">
        <v>186</v>
      </c>
      <c r="E149" s="7" t="s">
        <v>186</v>
      </c>
      <c r="F149" s="3"/>
      <c r="G149" s="3" t="s">
        <v>49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124</v>
      </c>
      <c r="M149" s="19" t="s">
        <v>46</v>
      </c>
      <c r="N149" s="19" t="s">
        <v>189</v>
      </c>
      <c r="O149" s="19" t="s">
        <v>186</v>
      </c>
      <c r="P149" s="19" t="s">
        <v>126</v>
      </c>
      <c r="Q149" s="19" t="s">
        <v>127</v>
      </c>
      <c r="R149" s="19" t="s">
        <v>128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718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x14ac:dyDescent="0.3">
      <c r="A150" s="30" t="s">
        <v>101</v>
      </c>
      <c r="B150" s="19" t="s">
        <v>415</v>
      </c>
      <c r="C150" s="37"/>
      <c r="D150" s="10" t="s">
        <v>31</v>
      </c>
      <c r="E150" s="7" t="s">
        <v>203</v>
      </c>
      <c r="F150" s="3" t="s">
        <v>204</v>
      </c>
      <c r="G150" s="3" t="s">
        <v>50</v>
      </c>
      <c r="H150" s="4">
        <v>45992</v>
      </c>
      <c r="I150" s="4">
        <v>46387</v>
      </c>
      <c r="J150" s="38" t="s">
        <v>202</v>
      </c>
      <c r="K150" s="38" t="str">
        <f>D150 &amp; "-" &amp;E150</f>
        <v>Prj000469-Support - Prod Support for Ops Apps</v>
      </c>
      <c r="L150" s="37" t="s">
        <v>106</v>
      </c>
      <c r="M150" s="37" t="s">
        <v>7</v>
      </c>
      <c r="N150" s="37" t="s">
        <v>7</v>
      </c>
      <c r="O150" s="37" t="s">
        <v>223</v>
      </c>
      <c r="P150" s="37" t="s">
        <v>107</v>
      </c>
      <c r="Q150" s="31" t="s">
        <v>108</v>
      </c>
      <c r="R150" s="37" t="s">
        <v>108</v>
      </c>
      <c r="S150" s="37" t="s">
        <v>132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416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631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 x14ac:dyDescent="0.3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 x14ac:dyDescent="0.3">
      <c r="A152" s="97"/>
      <c r="B152" s="97" t="s">
        <v>555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46382982.072500005</v>
      </c>
      <c r="U152" s="100">
        <f t="shared" si="61"/>
        <v>40168697.557166502</v>
      </c>
      <c r="V152" s="100">
        <f t="shared" si="61"/>
        <v>40788397.956149995</v>
      </c>
      <c r="W152" s="100">
        <f t="shared" si="61"/>
        <v>41240812.620749988</v>
      </c>
      <c r="X152" s="100">
        <f t="shared" si="61"/>
        <v>-3532096.7518333341</v>
      </c>
      <c r="Y152" s="100">
        <f t="shared" si="61"/>
        <v>3984511.416433332</v>
      </c>
      <c r="Z152" s="100">
        <f t="shared" si="61"/>
        <v>452414.66459999839</v>
      </c>
      <c r="AA152" s="100">
        <f t="shared" si="61"/>
        <v>0</v>
      </c>
      <c r="AB152" s="100">
        <f t="shared" si="61"/>
        <v>3103957.0691666664</v>
      </c>
      <c r="AC152" s="100">
        <f t="shared" si="61"/>
        <v>3074748.709166667</v>
      </c>
      <c r="AD152" s="100">
        <f t="shared" si="61"/>
        <v>3201752.7120833336</v>
      </c>
      <c r="AE152" s="100">
        <f t="shared" si="61"/>
        <v>3516724.0102499998</v>
      </c>
      <c r="AF152" s="100">
        <f t="shared" si="61"/>
        <v>3215961.8702500002</v>
      </c>
      <c r="AG152" s="100">
        <f t="shared" si="61"/>
        <v>3269453.1535833338</v>
      </c>
      <c r="AH152" s="100">
        <f t="shared" si="61"/>
        <v>3421435.8519166666</v>
      </c>
      <c r="AI152" s="100">
        <f t="shared" si="61"/>
        <v>3800192.58525</v>
      </c>
      <c r="AJ152" s="100">
        <f t="shared" si="61"/>
        <v>2941681.3225833331</v>
      </c>
      <c r="AK152" s="100">
        <f t="shared" si="61"/>
        <v>3477843.753583333</v>
      </c>
      <c r="AL152" s="100">
        <f t="shared" si="61"/>
        <v>3009268.3260833337</v>
      </c>
      <c r="AM152" s="100">
        <f t="shared" si="61"/>
        <v>5181521.2402499998</v>
      </c>
      <c r="AN152" s="100">
        <f t="shared" si="61"/>
        <v>41214540.604166649</v>
      </c>
      <c r="AO152" s="100">
        <f t="shared" si="61"/>
        <v>21831943.07966667</v>
      </c>
      <c r="AP152" s="100">
        <f t="shared" si="61"/>
        <v>3153738.5691666664</v>
      </c>
      <c r="AQ152" s="100">
        <f t="shared" si="61"/>
        <v>2996640.1791666681</v>
      </c>
      <c r="AR152" s="100">
        <f t="shared" si="61"/>
        <v>3232990.8991666674</v>
      </c>
      <c r="AS152" s="100">
        <f t="shared" si="61"/>
        <v>3215109.3433333328</v>
      </c>
      <c r="AT152" s="100">
        <f t="shared" si="61"/>
        <v>3101317.7833333332</v>
      </c>
      <c r="AU152" s="100">
        <f t="shared" si="61"/>
        <v>2136606.7066666665</v>
      </c>
      <c r="AV152" s="100">
        <f t="shared" si="61"/>
        <v>687923.72666666668</v>
      </c>
      <c r="AW152" s="100">
        <f t="shared" si="61"/>
        <v>670597.2466666667</v>
      </c>
      <c r="AX152" s="100">
        <f t="shared" si="61"/>
        <v>658956.91333333333</v>
      </c>
      <c r="AY152" s="100">
        <f t="shared" si="61"/>
        <v>631888.16333333333</v>
      </c>
      <c r="AZ152" s="100">
        <f t="shared" ref="AZ152:BS152" si="62">SUBTOTAL(9,AZ2:AZ151)</f>
        <v>550524.67333333334</v>
      </c>
      <c r="BA152" s="100">
        <f t="shared" si="62"/>
        <v>508553.67750000005</v>
      </c>
      <c r="BB152" s="100">
        <f t="shared" si="62"/>
        <v>21544847.881666668</v>
      </c>
      <c r="BC152" s="100">
        <f t="shared" si="62"/>
        <v>49781.500000000029</v>
      </c>
      <c r="BD152" s="100">
        <f t="shared" si="62"/>
        <v>-78108.529999999912</v>
      </c>
      <c r="BE152" s="100">
        <f t="shared" si="62"/>
        <v>31238.187083333345</v>
      </c>
      <c r="BF152" s="100">
        <f t="shared" si="62"/>
        <v>-301614.66691666667</v>
      </c>
      <c r="BG152" s="100">
        <f t="shared" si="62"/>
        <v>-114644.08691666667</v>
      </c>
      <c r="BH152" s="100">
        <f t="shared" si="62"/>
        <v>-1132846.4469166666</v>
      </c>
      <c r="BI152" s="100">
        <f t="shared" si="62"/>
        <v>-2733512.1252500005</v>
      </c>
      <c r="BJ152" s="100">
        <f t="shared" si="62"/>
        <v>-3129595.3385833334</v>
      </c>
      <c r="BK152" s="100">
        <f t="shared" si="62"/>
        <v>-2282724.40925</v>
      </c>
      <c r="BL152" s="100">
        <f t="shared" si="62"/>
        <v>-2845955.5902500004</v>
      </c>
      <c r="BM152" s="100">
        <f t="shared" si="62"/>
        <v>-2458743.6527500004</v>
      </c>
      <c r="BN152" s="100">
        <f t="shared" si="62"/>
        <v>-4672967.5627500005</v>
      </c>
      <c r="BO152" s="100">
        <f t="shared" si="62"/>
        <v>-19669692.722499996</v>
      </c>
      <c r="BP152" s="100">
        <f t="shared" si="62"/>
        <v>0</v>
      </c>
      <c r="BQ152" s="100">
        <f t="shared" si="62"/>
        <v>17836403.480833337</v>
      </c>
      <c r="BR152" s="100">
        <f t="shared" si="62"/>
        <v>1572466.0602499999</v>
      </c>
      <c r="BS152" s="100">
        <f t="shared" si="62"/>
        <v>23404409.139916666</v>
      </c>
    </row>
    <row r="154" spans="1:74" x14ac:dyDescent="0.3">
      <c r="T154" s="6"/>
      <c r="U154" s="125"/>
      <c r="V154" s="128"/>
      <c r="AH154" s="6"/>
    </row>
    <row r="155" spans="1:74" x14ac:dyDescent="0.3">
      <c r="U155" s="41"/>
      <c r="AE155"/>
      <c r="AF155"/>
      <c r="AG155" s="6"/>
      <c r="AH155" s="135"/>
      <c r="AP155" s="187"/>
      <c r="AU155" s="187"/>
    </row>
    <row r="156" spans="1:74" x14ac:dyDescent="0.3">
      <c r="U156" s="6"/>
      <c r="AP156" s="187"/>
    </row>
    <row r="157" spans="1:74" x14ac:dyDescent="0.3">
      <c r="AP157" s="187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2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139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bestFit="1" customWidth="1"/>
    <col min="19" max="19" width="19.33203125" bestFit="1" customWidth="1"/>
    <col min="20" max="20" width="11.5546875" bestFit="1" customWidth="1"/>
    <col min="21" max="21" width="16.44140625" bestFit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3" width="6.77734375" bestFit="1" customWidth="1"/>
    <col min="44" max="44" width="7.5546875" bestFit="1" customWidth="1"/>
    <col min="45" max="46" width="8.5546875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03" t="s">
        <v>42</v>
      </c>
      <c r="B1" s="103" t="s">
        <v>55</v>
      </c>
      <c r="C1" s="103" t="s">
        <v>80</v>
      </c>
      <c r="D1" s="103" t="s">
        <v>81</v>
      </c>
      <c r="E1" s="103" t="s">
        <v>82</v>
      </c>
      <c r="F1" s="103" t="s">
        <v>83</v>
      </c>
      <c r="G1" s="103" t="s">
        <v>54</v>
      </c>
      <c r="H1" s="104" t="s">
        <v>84</v>
      </c>
      <c r="I1" s="104" t="s">
        <v>85</v>
      </c>
      <c r="J1" s="104" t="s">
        <v>86</v>
      </c>
      <c r="K1" s="103" t="s">
        <v>87</v>
      </c>
      <c r="L1" s="103" t="s">
        <v>88</v>
      </c>
      <c r="M1" s="103" t="s">
        <v>47</v>
      </c>
      <c r="N1" s="103" t="s">
        <v>89</v>
      </c>
      <c r="O1" s="105" t="s">
        <v>90</v>
      </c>
      <c r="P1" s="103" t="s">
        <v>91</v>
      </c>
      <c r="Q1" s="103" t="s">
        <v>92</v>
      </c>
      <c r="R1" s="103" t="s">
        <v>93</v>
      </c>
      <c r="S1" s="103" t="s">
        <v>94</v>
      </c>
      <c r="T1" s="105" t="s">
        <v>95</v>
      </c>
      <c r="U1" s="106" t="s">
        <v>96</v>
      </c>
      <c r="V1" s="106" t="s">
        <v>97</v>
      </c>
      <c r="W1" s="106" t="s">
        <v>98</v>
      </c>
      <c r="X1" s="107" t="s">
        <v>99</v>
      </c>
      <c r="Y1" s="108" t="s">
        <v>100</v>
      </c>
      <c r="Z1" s="108" t="s">
        <v>473</v>
      </c>
      <c r="AA1" s="109" t="s">
        <v>445</v>
      </c>
      <c r="AB1" s="106" t="s">
        <v>446</v>
      </c>
      <c r="AC1" s="106" t="s">
        <v>447</v>
      </c>
      <c r="AD1" s="106" t="s">
        <v>448</v>
      </c>
      <c r="AE1" s="106" t="s">
        <v>461</v>
      </c>
      <c r="AF1" s="105" t="s">
        <v>462</v>
      </c>
      <c r="AG1" s="105" t="s">
        <v>463</v>
      </c>
      <c r="AH1" s="105" t="s">
        <v>464</v>
      </c>
      <c r="AI1" s="105" t="s">
        <v>465</v>
      </c>
      <c r="AJ1" s="105" t="s">
        <v>466</v>
      </c>
      <c r="AK1" s="105" t="s">
        <v>467</v>
      </c>
      <c r="AL1" s="105" t="s">
        <v>468</v>
      </c>
      <c r="AM1" s="105" t="s">
        <v>469</v>
      </c>
      <c r="AN1" s="105" t="s">
        <v>471</v>
      </c>
      <c r="AO1" s="110" t="s">
        <v>553</v>
      </c>
      <c r="AP1" s="111" t="s">
        <v>449</v>
      </c>
      <c r="AQ1" s="111" t="s">
        <v>450</v>
      </c>
      <c r="AR1" s="111" t="s">
        <v>451</v>
      </c>
      <c r="AS1" s="111" t="s">
        <v>452</v>
      </c>
      <c r="AT1" s="112" t="s">
        <v>453</v>
      </c>
      <c r="AU1" s="112" t="s">
        <v>454</v>
      </c>
      <c r="AV1" s="112" t="s">
        <v>455</v>
      </c>
      <c r="AW1" s="112" t="s">
        <v>456</v>
      </c>
      <c r="AX1" s="112" t="s">
        <v>457</v>
      </c>
      <c r="AY1" s="112" t="s">
        <v>458</v>
      </c>
      <c r="AZ1" s="112" t="s">
        <v>459</v>
      </c>
      <c r="BA1" s="112" t="s">
        <v>460</v>
      </c>
      <c r="BB1" s="113" t="s">
        <v>472</v>
      </c>
      <c r="BC1" s="114" t="s">
        <v>470</v>
      </c>
    </row>
    <row r="2" spans="1:55" x14ac:dyDescent="0.3">
      <c r="A2" s="115" t="s">
        <v>568</v>
      </c>
      <c r="B2" s="115" t="s">
        <v>569</v>
      </c>
      <c r="C2" s="115"/>
      <c r="D2" s="10" t="s">
        <v>581</v>
      </c>
      <c r="E2" s="7" t="s">
        <v>582</v>
      </c>
      <c r="F2" s="116" t="s">
        <v>114</v>
      </c>
      <c r="G2" s="116" t="s">
        <v>53</v>
      </c>
      <c r="H2" s="117"/>
      <c r="I2" s="117"/>
      <c r="J2" s="115"/>
      <c r="K2" s="116"/>
      <c r="L2" s="115" t="s">
        <v>106</v>
      </c>
      <c r="M2" s="115" t="s">
        <v>7</v>
      </c>
      <c r="N2" s="115" t="s">
        <v>7</v>
      </c>
      <c r="O2" s="115" t="s">
        <v>419</v>
      </c>
      <c r="P2" s="115" t="s">
        <v>107</v>
      </c>
      <c r="Q2" s="115" t="s">
        <v>108</v>
      </c>
      <c r="R2" s="115" t="s">
        <v>108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 x14ac:dyDescent="0.3">
      <c r="A3" s="115" t="s">
        <v>101</v>
      </c>
      <c r="B3" s="115" t="s">
        <v>580</v>
      </c>
      <c r="C3" s="115"/>
      <c r="D3" s="10" t="s">
        <v>581</v>
      </c>
      <c r="E3" s="7" t="s">
        <v>582</v>
      </c>
      <c r="F3" s="116" t="s">
        <v>114</v>
      </c>
      <c r="G3" s="116" t="s">
        <v>53</v>
      </c>
      <c r="H3" s="117">
        <v>46111</v>
      </c>
      <c r="I3" s="117">
        <v>46252</v>
      </c>
      <c r="J3" s="115"/>
      <c r="K3" s="116"/>
      <c r="L3" s="115" t="s">
        <v>106</v>
      </c>
      <c r="M3" s="115" t="s">
        <v>7</v>
      </c>
      <c r="N3" s="115" t="s">
        <v>186</v>
      </c>
      <c r="O3" s="115" t="s">
        <v>587</v>
      </c>
      <c r="P3" s="115" t="s">
        <v>107</v>
      </c>
      <c r="Q3" s="115" t="s">
        <v>108</v>
      </c>
      <c r="R3" s="115" t="s">
        <v>108</v>
      </c>
      <c r="S3" s="115" t="s">
        <v>587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728</v>
      </c>
    </row>
    <row r="4" spans="1:55" x14ac:dyDescent="0.3">
      <c r="A4" s="115" t="s">
        <v>101</v>
      </c>
      <c r="B4" s="115" t="s">
        <v>571</v>
      </c>
      <c r="C4" s="115"/>
      <c r="D4" s="10" t="s">
        <v>581</v>
      </c>
      <c r="E4" s="7" t="s">
        <v>582</v>
      </c>
      <c r="F4" s="116" t="s">
        <v>114</v>
      </c>
      <c r="G4" s="116" t="s">
        <v>53</v>
      </c>
      <c r="H4" s="117">
        <v>46083</v>
      </c>
      <c r="I4" s="117">
        <v>46129</v>
      </c>
      <c r="J4" s="115"/>
      <c r="K4" s="116"/>
      <c r="L4" s="115" t="s">
        <v>106</v>
      </c>
      <c r="M4" s="115" t="s">
        <v>7</v>
      </c>
      <c r="N4" s="115" t="s">
        <v>590</v>
      </c>
      <c r="O4" s="115" t="s">
        <v>591</v>
      </c>
      <c r="P4" s="115" t="s">
        <v>107</v>
      </c>
      <c r="Q4" s="115" t="s">
        <v>108</v>
      </c>
      <c r="R4" s="115" t="s">
        <v>108</v>
      </c>
      <c r="S4" s="115" t="s">
        <v>2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592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 x14ac:dyDescent="0.3">
      <c r="A5" s="115" t="s">
        <v>101</v>
      </c>
      <c r="B5" s="115" t="s">
        <v>572</v>
      </c>
      <c r="C5" s="115" t="s">
        <v>583</v>
      </c>
      <c r="D5" s="10" t="s">
        <v>581</v>
      </c>
      <c r="E5" s="7" t="s">
        <v>582</v>
      </c>
      <c r="F5" s="116" t="s">
        <v>114</v>
      </c>
      <c r="G5" s="116" t="s">
        <v>53</v>
      </c>
      <c r="H5" s="117">
        <v>46155</v>
      </c>
      <c r="I5" s="117">
        <v>47374</v>
      </c>
      <c r="J5" s="115"/>
      <c r="K5" s="116"/>
      <c r="L5" s="115" t="s">
        <v>106</v>
      </c>
      <c r="M5" s="115" t="s">
        <v>7</v>
      </c>
      <c r="N5" s="115" t="s">
        <v>165</v>
      </c>
      <c r="O5" s="115" t="s">
        <v>199</v>
      </c>
      <c r="P5" s="115" t="s">
        <v>107</v>
      </c>
      <c r="Q5" s="115" t="s">
        <v>108</v>
      </c>
      <c r="R5" s="115" t="s">
        <v>108</v>
      </c>
      <c r="S5" s="115" t="s">
        <v>589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588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598</v>
      </c>
    </row>
    <row r="6" spans="1:55" x14ac:dyDescent="0.3">
      <c r="A6" s="115" t="s">
        <v>101</v>
      </c>
      <c r="B6" s="115" t="s">
        <v>573</v>
      </c>
      <c r="C6" s="115"/>
      <c r="D6" s="10" t="s">
        <v>581</v>
      </c>
      <c r="E6" s="7" t="s">
        <v>582</v>
      </c>
      <c r="F6" s="116" t="s">
        <v>114</v>
      </c>
      <c r="G6" s="116" t="s">
        <v>53</v>
      </c>
      <c r="H6" s="117">
        <v>46174</v>
      </c>
      <c r="I6" s="117">
        <v>47269</v>
      </c>
      <c r="J6" s="115"/>
      <c r="K6" s="116"/>
      <c r="L6" s="115" t="s">
        <v>106</v>
      </c>
      <c r="M6" s="115" t="s">
        <v>7</v>
      </c>
      <c r="N6" s="115" t="s">
        <v>165</v>
      </c>
      <c r="O6" s="115" t="s">
        <v>595</v>
      </c>
      <c r="P6" s="115" t="s">
        <v>107</v>
      </c>
      <c r="Q6" s="115" t="s">
        <v>108</v>
      </c>
      <c r="R6" s="115" t="s">
        <v>108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596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597</v>
      </c>
    </row>
    <row r="7" spans="1:55" x14ac:dyDescent="0.3">
      <c r="A7" s="115" t="s">
        <v>101</v>
      </c>
      <c r="B7" s="115" t="s">
        <v>570</v>
      </c>
      <c r="C7" s="115"/>
      <c r="D7" s="10" t="s">
        <v>581</v>
      </c>
      <c r="E7" s="7" t="s">
        <v>582</v>
      </c>
      <c r="F7" s="116" t="s">
        <v>114</v>
      </c>
      <c r="G7" s="116" t="s">
        <v>53</v>
      </c>
      <c r="H7" s="117">
        <v>46143</v>
      </c>
      <c r="I7" s="117">
        <v>46234</v>
      </c>
      <c r="J7" s="115"/>
      <c r="K7" s="116"/>
      <c r="L7" s="115" t="s">
        <v>106</v>
      </c>
      <c r="M7" s="115" t="s">
        <v>7</v>
      </c>
      <c r="N7" s="115" t="s">
        <v>165</v>
      </c>
      <c r="O7" s="115" t="s">
        <v>165</v>
      </c>
      <c r="P7" s="115" t="s">
        <v>107</v>
      </c>
      <c r="Q7" s="115" t="s">
        <v>108</v>
      </c>
      <c r="R7" s="115" t="s">
        <v>108</v>
      </c>
      <c r="S7" s="115" t="s">
        <v>585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584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 x14ac:dyDescent="0.3">
      <c r="A8" s="115" t="s">
        <v>101</v>
      </c>
      <c r="B8" s="115" t="s">
        <v>593</v>
      </c>
      <c r="C8" s="115" t="s">
        <v>594</v>
      </c>
      <c r="D8" s="10" t="s">
        <v>581</v>
      </c>
      <c r="E8" s="7" t="s">
        <v>582</v>
      </c>
      <c r="F8" s="116" t="s">
        <v>114</v>
      </c>
      <c r="G8" s="116" t="s">
        <v>53</v>
      </c>
      <c r="H8" s="117"/>
      <c r="I8" s="117"/>
      <c r="J8" s="115"/>
      <c r="K8" s="116"/>
      <c r="L8" s="115" t="s">
        <v>106</v>
      </c>
      <c r="M8" s="115" t="s">
        <v>7</v>
      </c>
      <c r="N8" s="115"/>
      <c r="O8" s="115"/>
      <c r="P8" s="115" t="s">
        <v>107</v>
      </c>
      <c r="Q8" s="115" t="s">
        <v>108</v>
      </c>
      <c r="R8" s="115" t="s">
        <v>108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616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v>1150</v>
      </c>
      <c r="AV8" s="55"/>
      <c r="AW8" s="55"/>
      <c r="AX8" s="55"/>
      <c r="AY8" s="55"/>
      <c r="AZ8" s="55"/>
      <c r="BA8" s="55"/>
      <c r="BB8" s="120">
        <f t="shared" si="9"/>
        <v>9945</v>
      </c>
      <c r="BC8" s="121"/>
    </row>
    <row r="10" spans="1:55" s="123" customFormat="1" x14ac:dyDescent="0.3">
      <c r="U10" s="123" t="s">
        <v>586</v>
      </c>
      <c r="V10" s="124">
        <f>SUM(V2:V8)</f>
        <v>-395388.94</v>
      </c>
      <c r="W10" s="124">
        <f t="shared" ref="W10:BB10" si="16">SUM(W2:W8)</f>
        <v>-467526.94000000024</v>
      </c>
      <c r="X10" s="124">
        <f t="shared" si="16"/>
        <v>-84400.000000000233</v>
      </c>
      <c r="Y10" s="124">
        <f t="shared" si="16"/>
        <v>12262</v>
      </c>
      <c r="Z10" s="124">
        <f t="shared" si="16"/>
        <v>-72138.000000000233</v>
      </c>
      <c r="AA10" s="124"/>
      <c r="AB10" s="124">
        <f t="shared" si="16"/>
        <v>-166914.16666666666</v>
      </c>
      <c r="AC10" s="124">
        <f t="shared" si="16"/>
        <v>-166914.16666666666</v>
      </c>
      <c r="AD10" s="124">
        <f t="shared" si="16"/>
        <v>-166914.16666666666</v>
      </c>
      <c r="AE10" s="124">
        <f t="shared" si="16"/>
        <v>31565.833333333343</v>
      </c>
      <c r="AF10" s="124">
        <f t="shared" si="16"/>
        <v>-164086.10666666666</v>
      </c>
      <c r="AG10" s="124">
        <f t="shared" si="16"/>
        <v>-126914.16666666666</v>
      </c>
      <c r="AH10" s="124">
        <f t="shared" si="16"/>
        <v>-166914.16666666666</v>
      </c>
      <c r="AI10" s="124">
        <f t="shared" si="16"/>
        <v>731146.83333333337</v>
      </c>
      <c r="AJ10" s="124">
        <f t="shared" si="16"/>
        <v>16897.833333333343</v>
      </c>
      <c r="AK10" s="124">
        <f t="shared" si="16"/>
        <v>33085.833333333343</v>
      </c>
      <c r="AL10" s="124">
        <f t="shared" si="16"/>
        <v>-166914.16666666666</v>
      </c>
      <c r="AM10" s="124">
        <f t="shared" si="16"/>
        <v>-166914.16666666666</v>
      </c>
      <c r="AN10" s="124">
        <f t="shared" si="16"/>
        <v>-479788.94000000024</v>
      </c>
      <c r="AO10" s="124">
        <f t="shared" si="16"/>
        <v>-10612.273333333256</v>
      </c>
      <c r="AP10" s="124">
        <f t="shared" si="16"/>
        <v>0</v>
      </c>
      <c r="AQ10" s="124">
        <f t="shared" si="16"/>
        <v>0</v>
      </c>
      <c r="AR10" s="124">
        <f t="shared" si="16"/>
        <v>22245</v>
      </c>
      <c r="AS10" s="124">
        <f t="shared" si="16"/>
        <v>194992</v>
      </c>
      <c r="AT10" s="124">
        <f t="shared" si="16"/>
        <v>208552.91</v>
      </c>
      <c r="AU10" s="124">
        <f t="shared" si="16"/>
        <v>1150</v>
      </c>
      <c r="AV10" s="124">
        <f t="shared" si="16"/>
        <v>0</v>
      </c>
      <c r="AW10" s="124">
        <f t="shared" si="16"/>
        <v>0</v>
      </c>
      <c r="AX10" s="124">
        <f t="shared" si="16"/>
        <v>183812</v>
      </c>
      <c r="AY10" s="124">
        <f t="shared" si="16"/>
        <v>0</v>
      </c>
      <c r="AZ10" s="124">
        <f t="shared" si="16"/>
        <v>0</v>
      </c>
      <c r="BA10" s="124">
        <f t="shared" si="16"/>
        <v>0</v>
      </c>
      <c r="BB10" s="124">
        <f t="shared" si="16"/>
        <v>610751.91</v>
      </c>
    </row>
  </sheetData>
  <conditionalFormatting sqref="Y1:Z8">
    <cfRule type="cellIs" dxfId="1390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N9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" bestFit="1" customWidth="1"/>
    <col min="2" max="2" width="34.109375" bestFit="1" customWidth="1"/>
    <col min="3" max="3" width="21.88671875" bestFit="1" customWidth="1"/>
    <col min="4" max="4" width="19.77734375" bestFit="1" customWidth="1"/>
    <col min="5" max="5" width="20.88671875" bestFit="1" customWidth="1"/>
    <col min="6" max="6" width="28.21875" bestFit="1" customWidth="1"/>
    <col min="7" max="7" width="27.33203125" bestFit="1" customWidth="1"/>
    <col min="8" max="8" width="13.44140625" hidden="1" customWidth="1"/>
    <col min="9" max="9" width="15.5546875" hidden="1" customWidth="1"/>
    <col min="10" max="10" width="11.44140625" hidden="1" customWidth="1"/>
    <col min="11" max="11" width="26.33203125" bestFit="1" customWidth="1"/>
    <col min="12" max="13" width="21.77734375" bestFit="1" customWidth="1"/>
    <col min="14" max="14" width="25" bestFit="1" customWidth="1"/>
    <col min="15" max="15" width="26" bestFit="1" customWidth="1"/>
    <col min="16" max="16" width="26.33203125" bestFit="1" customWidth="1"/>
    <col min="17" max="17" width="21.88671875" bestFit="1" customWidth="1"/>
    <col min="18" max="18" width="26.44140625" bestFit="1" customWidth="1"/>
    <col min="19" max="19" width="25" bestFit="1" customWidth="1"/>
    <col min="20" max="20" width="26" bestFit="1" customWidth="1"/>
    <col min="21" max="21" width="26.33203125" bestFit="1" customWidth="1"/>
  </cols>
  <sheetData>
    <row r="1" spans="1:9" x14ac:dyDescent="0.3">
      <c r="A1" s="8" t="s">
        <v>47</v>
      </c>
      <c r="B1" t="s">
        <v>43</v>
      </c>
    </row>
    <row r="2" spans="1:9" x14ac:dyDescent="0.3">
      <c r="A2" s="8" t="s">
        <v>55</v>
      </c>
      <c r="B2" t="s">
        <v>738</v>
      </c>
    </row>
    <row r="4" spans="1:9" x14ac:dyDescent="0.3">
      <c r="C4" s="8" t="s">
        <v>485</v>
      </c>
    </row>
    <row r="5" spans="1:9" x14ac:dyDescent="0.3">
      <c r="A5" s="8" t="s">
        <v>81</v>
      </c>
      <c r="B5" s="8" t="s">
        <v>80</v>
      </c>
      <c r="C5" t="s">
        <v>0</v>
      </c>
      <c r="D5" t="s">
        <v>735</v>
      </c>
      <c r="E5" t="s">
        <v>736</v>
      </c>
      <c r="F5" t="s">
        <v>565</v>
      </c>
      <c r="G5" t="s">
        <v>737</v>
      </c>
      <c r="H5" s="169"/>
      <c r="I5" s="186"/>
    </row>
    <row r="6" spans="1:9" x14ac:dyDescent="0.3">
      <c r="A6" t="s">
        <v>374</v>
      </c>
      <c r="B6" t="s">
        <v>739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6"/>
    </row>
    <row r="7" spans="1:9" x14ac:dyDescent="0.3">
      <c r="A7" t="s">
        <v>9</v>
      </c>
      <c r="B7" t="s">
        <v>334</v>
      </c>
      <c r="C7" s="131">
        <v>500000</v>
      </c>
      <c r="D7" s="131">
        <v>0</v>
      </c>
      <c r="E7" s="131">
        <v>0</v>
      </c>
      <c r="F7" s="131">
        <v>0</v>
      </c>
      <c r="G7" s="131">
        <v>-500000</v>
      </c>
      <c r="H7" s="169"/>
      <c r="I7" s="186"/>
    </row>
    <row r="8" spans="1:9" x14ac:dyDescent="0.3">
      <c r="A8" t="s">
        <v>10</v>
      </c>
      <c r="B8" t="s">
        <v>739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</row>
    <row r="9" spans="1:9" x14ac:dyDescent="0.3">
      <c r="A9" t="s">
        <v>11</v>
      </c>
      <c r="B9" t="s">
        <v>308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6"/>
    </row>
    <row r="10" spans="1:9" x14ac:dyDescent="0.3">
      <c r="B10" t="s">
        <v>178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9" x14ac:dyDescent="0.3">
      <c r="B11" t="s">
        <v>171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6"/>
    </row>
    <row r="12" spans="1:9" x14ac:dyDescent="0.3">
      <c r="B12" t="s">
        <v>309</v>
      </c>
      <c r="C12" s="131">
        <v>2512</v>
      </c>
      <c r="D12" s="131">
        <v>8136.97</v>
      </c>
      <c r="E12" s="131">
        <v>0</v>
      </c>
      <c r="F12" s="131">
        <v>8136.97</v>
      </c>
      <c r="G12" s="131">
        <v>5624.97</v>
      </c>
    </row>
    <row r="13" spans="1:9" ht="14.4" customHeight="1" thickBot="1" x14ac:dyDescent="0.35">
      <c r="B13" t="s">
        <v>739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</row>
    <row r="14" spans="1:9" ht="15" thickTop="1" x14ac:dyDescent="0.3">
      <c r="B14" t="s">
        <v>112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9" x14ac:dyDescent="0.3">
      <c r="B15" t="s">
        <v>359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9" x14ac:dyDescent="0.3">
      <c r="A16" t="s">
        <v>12</v>
      </c>
      <c r="B16" t="s">
        <v>739</v>
      </c>
      <c r="C16" s="131">
        <v>250000</v>
      </c>
      <c r="D16" s="131">
        <v>0</v>
      </c>
      <c r="E16" s="131">
        <v>150000</v>
      </c>
      <c r="F16" s="131">
        <v>150000</v>
      </c>
      <c r="G16" s="131">
        <v>-100000</v>
      </c>
    </row>
    <row r="17" spans="1:7" x14ac:dyDescent="0.3">
      <c r="A17" t="s">
        <v>13</v>
      </c>
      <c r="B17" t="s">
        <v>236</v>
      </c>
      <c r="C17" s="131">
        <v>238897.86250000002</v>
      </c>
      <c r="D17" s="131">
        <v>0</v>
      </c>
      <c r="E17" s="131">
        <v>232868.65</v>
      </c>
      <c r="F17" s="131">
        <v>232868.65</v>
      </c>
      <c r="G17" s="131">
        <v>-6029.2125000000233</v>
      </c>
    </row>
    <row r="18" spans="1:7" x14ac:dyDescent="0.3">
      <c r="B18" t="s">
        <v>139</v>
      </c>
      <c r="C18" s="131">
        <v>175245.90000000002</v>
      </c>
      <c r="D18" s="131">
        <v>68500</v>
      </c>
      <c r="E18" s="131">
        <v>119000</v>
      </c>
      <c r="F18" s="131">
        <v>187500</v>
      </c>
      <c r="G18" s="131">
        <v>12254.099999999977</v>
      </c>
    </row>
    <row r="19" spans="1:7" x14ac:dyDescent="0.3">
      <c r="B19" t="s">
        <v>739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 x14ac:dyDescent="0.3">
      <c r="A20" t="s">
        <v>14</v>
      </c>
      <c r="B20" t="s">
        <v>739</v>
      </c>
      <c r="C20" s="131">
        <v>212896</v>
      </c>
      <c r="D20" s="131">
        <v>113850</v>
      </c>
      <c r="E20" s="131">
        <v>12896</v>
      </c>
      <c r="F20" s="131">
        <v>126746</v>
      </c>
      <c r="G20" s="131">
        <v>-86150</v>
      </c>
    </row>
    <row r="21" spans="1:7" x14ac:dyDescent="0.3">
      <c r="A21" t="s">
        <v>15</v>
      </c>
      <c r="B21" t="s">
        <v>229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 x14ac:dyDescent="0.3">
      <c r="B22" t="s">
        <v>286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 x14ac:dyDescent="0.3">
      <c r="B23" t="s">
        <v>739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 x14ac:dyDescent="0.3">
      <c r="A24" t="s">
        <v>16</v>
      </c>
      <c r="B24" t="s">
        <v>240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 x14ac:dyDescent="0.3">
      <c r="B25" t="s">
        <v>208</v>
      </c>
      <c r="C25" s="131">
        <v>111003</v>
      </c>
      <c r="D25" s="131">
        <v>101291</v>
      </c>
      <c r="E25" s="131">
        <v>14460</v>
      </c>
      <c r="F25" s="131">
        <v>115751</v>
      </c>
      <c r="G25" s="131">
        <v>4748</v>
      </c>
    </row>
    <row r="26" spans="1:7" x14ac:dyDescent="0.3">
      <c r="B26" t="s">
        <v>256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 x14ac:dyDescent="0.3">
      <c r="B27" t="s">
        <v>409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 x14ac:dyDescent="0.3">
      <c r="B28" t="s">
        <v>739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 x14ac:dyDescent="0.3">
      <c r="A29" t="s">
        <v>17</v>
      </c>
      <c r="B29" t="s">
        <v>355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 x14ac:dyDescent="0.3">
      <c r="B30" t="s">
        <v>224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 x14ac:dyDescent="0.3">
      <c r="B31" t="s">
        <v>131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 x14ac:dyDescent="0.3">
      <c r="B32" t="s">
        <v>302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 x14ac:dyDescent="0.3">
      <c r="B33" t="s">
        <v>149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 x14ac:dyDescent="0.3">
      <c r="B34" t="s">
        <v>102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 x14ac:dyDescent="0.3">
      <c r="B35" t="s">
        <v>264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 x14ac:dyDescent="0.3">
      <c r="B36" t="s">
        <v>287</v>
      </c>
      <c r="C36" s="131">
        <v>81590</v>
      </c>
      <c r="D36" s="131">
        <v>28603.27</v>
      </c>
      <c r="E36" s="131">
        <v>60891</v>
      </c>
      <c r="F36" s="131">
        <v>89494.27</v>
      </c>
      <c r="G36" s="131">
        <v>7904.2700000000013</v>
      </c>
    </row>
    <row r="37" spans="1:14" x14ac:dyDescent="0.3">
      <c r="B37" t="s">
        <v>259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 x14ac:dyDescent="0.3">
      <c r="B38" t="s">
        <v>739</v>
      </c>
      <c r="C38" s="131">
        <v>2463328.9550000001</v>
      </c>
      <c r="D38" s="131">
        <v>599061.9833333334</v>
      </c>
      <c r="E38" s="131">
        <v>1926126.0966666667</v>
      </c>
      <c r="F38" s="131">
        <v>2525188.08</v>
      </c>
      <c r="G38" s="131">
        <v>61859.124999999854</v>
      </c>
    </row>
    <row r="39" spans="1:14" x14ac:dyDescent="0.3">
      <c r="B39" t="s">
        <v>68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 x14ac:dyDescent="0.3">
      <c r="A40" t="s">
        <v>18</v>
      </c>
      <c r="B40" t="s">
        <v>739</v>
      </c>
      <c r="C40" s="131">
        <v>121876</v>
      </c>
      <c r="D40" s="131">
        <v>0</v>
      </c>
      <c r="E40" s="131">
        <v>0</v>
      </c>
      <c r="F40" s="131">
        <v>0</v>
      </c>
      <c r="G40" s="131">
        <v>-121876</v>
      </c>
      <c r="N40" s="91"/>
    </row>
    <row r="41" spans="1:14" x14ac:dyDescent="0.3">
      <c r="A41" t="s">
        <v>19</v>
      </c>
      <c r="B41" t="s">
        <v>229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 x14ac:dyDescent="0.3">
      <c r="A42" t="s">
        <v>20</v>
      </c>
      <c r="B42" t="s">
        <v>739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 x14ac:dyDescent="0.3">
      <c r="A43" t="s">
        <v>21</v>
      </c>
      <c r="B43" t="s">
        <v>208</v>
      </c>
      <c r="C43" s="131">
        <v>100000</v>
      </c>
      <c r="D43" s="131">
        <v>0</v>
      </c>
      <c r="E43" s="131">
        <v>0</v>
      </c>
      <c r="F43" s="131">
        <v>0</v>
      </c>
      <c r="G43" s="131">
        <v>-100000</v>
      </c>
      <c r="N43" s="91"/>
    </row>
    <row r="44" spans="1:14" x14ac:dyDescent="0.3">
      <c r="A44" t="s">
        <v>22</v>
      </c>
      <c r="B44" t="s">
        <v>234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 x14ac:dyDescent="0.3">
      <c r="B45" t="s">
        <v>295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 x14ac:dyDescent="0.3">
      <c r="B46" t="s">
        <v>304</v>
      </c>
      <c r="C46" s="131">
        <v>117539.0055</v>
      </c>
      <c r="D46" s="131">
        <v>14025.49</v>
      </c>
      <c r="E46" s="131">
        <v>103536.75</v>
      </c>
      <c r="F46" s="131">
        <v>117562.24000000001</v>
      </c>
      <c r="G46" s="131">
        <v>23.234500000002299</v>
      </c>
      <c r="N46" s="91"/>
    </row>
    <row r="47" spans="1:14" x14ac:dyDescent="0.3">
      <c r="B47" t="s">
        <v>208</v>
      </c>
      <c r="C47" s="131">
        <v>281039.33999999997</v>
      </c>
      <c r="D47" s="131">
        <v>120149</v>
      </c>
      <c r="E47" s="131">
        <v>157246</v>
      </c>
      <c r="F47" s="131">
        <v>277395</v>
      </c>
      <c r="G47" s="131">
        <v>-3644.3399999999965</v>
      </c>
      <c r="N47" s="91"/>
    </row>
    <row r="48" spans="1:14" x14ac:dyDescent="0.3">
      <c r="B48" t="s">
        <v>739</v>
      </c>
      <c r="C48" s="131">
        <v>1454747</v>
      </c>
      <c r="D48" s="131">
        <v>566480</v>
      </c>
      <c r="E48" s="131">
        <v>877160</v>
      </c>
      <c r="F48" s="131">
        <v>1443640</v>
      </c>
      <c r="G48" s="131">
        <v>-11107</v>
      </c>
      <c r="N48" s="91"/>
    </row>
    <row r="49" spans="1:7" x14ac:dyDescent="0.3">
      <c r="A49" t="s">
        <v>23</v>
      </c>
      <c r="B49" t="s">
        <v>739</v>
      </c>
      <c r="C49" s="131">
        <v>488000</v>
      </c>
      <c r="D49" s="131">
        <v>154000</v>
      </c>
      <c r="E49" s="131">
        <v>581000</v>
      </c>
      <c r="F49" s="131">
        <v>735000</v>
      </c>
      <c r="G49" s="131">
        <v>247000</v>
      </c>
    </row>
    <row r="50" spans="1:7" x14ac:dyDescent="0.3">
      <c r="A50" t="s">
        <v>24</v>
      </c>
      <c r="B50" t="s">
        <v>250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 x14ac:dyDescent="0.3">
      <c r="B51" t="s">
        <v>262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 x14ac:dyDescent="0.3">
      <c r="A52" t="s">
        <v>25</v>
      </c>
      <c r="B52" t="s">
        <v>282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 x14ac:dyDescent="0.3">
      <c r="B53" t="s">
        <v>284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 x14ac:dyDescent="0.3">
      <c r="B54" t="s">
        <v>739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 x14ac:dyDescent="0.3">
      <c r="A55" t="s">
        <v>26</v>
      </c>
      <c r="B55" t="s">
        <v>248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 x14ac:dyDescent="0.3">
      <c r="A56" t="s">
        <v>27</v>
      </c>
      <c r="B56" t="s">
        <v>324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 x14ac:dyDescent="0.3">
      <c r="B57" t="s">
        <v>317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 x14ac:dyDescent="0.3">
      <c r="B58" t="s">
        <v>319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 x14ac:dyDescent="0.3">
      <c r="B59" t="s">
        <v>242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 x14ac:dyDescent="0.3">
      <c r="B60" t="s">
        <v>276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 x14ac:dyDescent="0.3">
      <c r="B61" t="s">
        <v>222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 x14ac:dyDescent="0.3">
      <c r="B62" t="s">
        <v>298</v>
      </c>
      <c r="C62" s="131">
        <v>70432.698000000004</v>
      </c>
      <c r="D62" s="131">
        <v>878.21</v>
      </c>
      <c r="E62" s="131">
        <v>69432.698000000004</v>
      </c>
      <c r="F62" s="131">
        <v>70310.907999999996</v>
      </c>
      <c r="G62" s="131">
        <v>-121.79000000000815</v>
      </c>
    </row>
    <row r="63" spans="1:7" x14ac:dyDescent="0.3">
      <c r="B63" t="s">
        <v>739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 x14ac:dyDescent="0.3">
      <c r="A64" t="s">
        <v>28</v>
      </c>
      <c r="B64" t="s">
        <v>264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 x14ac:dyDescent="0.3">
      <c r="A65" t="s">
        <v>29</v>
      </c>
      <c r="B65" t="s">
        <v>322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 x14ac:dyDescent="0.3">
      <c r="B66" t="s">
        <v>208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 x14ac:dyDescent="0.3">
      <c r="B67" t="s">
        <v>278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 x14ac:dyDescent="0.3">
      <c r="B68" t="s">
        <v>287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 x14ac:dyDescent="0.3">
      <c r="B69" t="s">
        <v>313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 x14ac:dyDescent="0.3">
      <c r="A70" t="s">
        <v>30</v>
      </c>
      <c r="B70" t="s">
        <v>192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 x14ac:dyDescent="0.3">
      <c r="B71" t="s">
        <v>287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 x14ac:dyDescent="0.3">
      <c r="A72" t="s">
        <v>31</v>
      </c>
      <c r="B72" t="s">
        <v>202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 x14ac:dyDescent="0.3">
      <c r="B73" t="s">
        <v>371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 x14ac:dyDescent="0.3">
      <c r="B74" t="s">
        <v>423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 x14ac:dyDescent="0.3">
      <c r="B75" t="s">
        <v>272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 x14ac:dyDescent="0.3">
      <c r="B76" t="s">
        <v>334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 x14ac:dyDescent="0.3">
      <c r="B77" t="s">
        <v>410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 x14ac:dyDescent="0.3">
      <c r="B78" t="s">
        <v>739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 x14ac:dyDescent="0.3">
      <c r="A79" t="s">
        <v>32</v>
      </c>
      <c r="B79" t="s">
        <v>208</v>
      </c>
      <c r="C79" s="131">
        <v>1344000</v>
      </c>
      <c r="D79" s="131">
        <v>960000</v>
      </c>
      <c r="E79" s="131">
        <v>0</v>
      </c>
      <c r="F79" s="131">
        <v>960000</v>
      </c>
      <c r="G79" s="131">
        <v>-384000</v>
      </c>
    </row>
    <row r="80" spans="1:7" x14ac:dyDescent="0.3">
      <c r="A80" t="s">
        <v>33</v>
      </c>
      <c r="B80" t="s">
        <v>278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 x14ac:dyDescent="0.3">
      <c r="A81" t="s">
        <v>34</v>
      </c>
      <c r="B81" t="s">
        <v>208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 x14ac:dyDescent="0.3">
      <c r="A82" t="s">
        <v>35</v>
      </c>
      <c r="B82" t="s">
        <v>334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 x14ac:dyDescent="0.3">
      <c r="B83" t="s">
        <v>739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 x14ac:dyDescent="0.3">
      <c r="A84" t="s">
        <v>36</v>
      </c>
      <c r="B84" t="s">
        <v>202</v>
      </c>
      <c r="C84" s="131">
        <v>50000</v>
      </c>
      <c r="D84" s="131">
        <v>0</v>
      </c>
      <c r="E84" s="131">
        <v>0</v>
      </c>
      <c r="F84" s="131">
        <v>0</v>
      </c>
      <c r="G84" s="131">
        <v>-50000</v>
      </c>
    </row>
    <row r="85" spans="1:7" x14ac:dyDescent="0.3">
      <c r="A85" t="s">
        <v>37</v>
      </c>
      <c r="B85" t="s">
        <v>208</v>
      </c>
      <c r="C85" s="131">
        <v>700000</v>
      </c>
      <c r="D85" s="131">
        <v>100000.00000000001</v>
      </c>
      <c r="E85" s="131">
        <v>100000.00000000001</v>
      </c>
      <c r="F85" s="131">
        <v>199999.99999999997</v>
      </c>
      <c r="G85" s="131">
        <v>-500000</v>
      </c>
    </row>
    <row r="86" spans="1:7" x14ac:dyDescent="0.3">
      <c r="B86" t="s">
        <v>287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 x14ac:dyDescent="0.3">
      <c r="A87" t="s">
        <v>38</v>
      </c>
      <c r="B87" t="s">
        <v>739</v>
      </c>
      <c r="C87" s="131">
        <v>107000</v>
      </c>
      <c r="D87" s="131">
        <v>0</v>
      </c>
      <c r="E87" s="131">
        <v>0</v>
      </c>
      <c r="F87" s="131">
        <v>0</v>
      </c>
      <c r="G87" s="131">
        <v>-107000</v>
      </c>
    </row>
    <row r="88" spans="1:7" x14ac:dyDescent="0.3">
      <c r="A88" t="s">
        <v>504</v>
      </c>
      <c r="B88" t="s">
        <v>739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 x14ac:dyDescent="0.3">
      <c r="A89" t="s">
        <v>186</v>
      </c>
      <c r="B89" t="s">
        <v>190</v>
      </c>
      <c r="C89" s="131">
        <v>3649280</v>
      </c>
      <c r="D89" s="131">
        <v>1485626</v>
      </c>
      <c r="E89" s="131">
        <v>1881080</v>
      </c>
      <c r="F89" s="131">
        <v>3366706</v>
      </c>
      <c r="G89" s="131">
        <v>-282574</v>
      </c>
    </row>
    <row r="90" spans="1:7" x14ac:dyDescent="0.3">
      <c r="B90" t="s">
        <v>342</v>
      </c>
      <c r="C90" s="131">
        <v>1540800</v>
      </c>
      <c r="D90" s="131">
        <v>718868</v>
      </c>
      <c r="E90" s="131">
        <v>763520</v>
      </c>
      <c r="F90" s="131">
        <v>1482388</v>
      </c>
      <c r="G90" s="131">
        <v>-58412</v>
      </c>
    </row>
    <row r="91" spans="1:7" x14ac:dyDescent="0.3">
      <c r="B91" t="s">
        <v>208</v>
      </c>
      <c r="C91" s="131">
        <v>216000</v>
      </c>
      <c r="D91" s="131">
        <v>395600</v>
      </c>
      <c r="E91" s="131">
        <v>1645600</v>
      </c>
      <c r="F91" s="131">
        <v>2041200</v>
      </c>
      <c r="G91" s="131">
        <v>1825200</v>
      </c>
    </row>
    <row r="92" spans="1:7" x14ac:dyDescent="0.3">
      <c r="B92" t="s">
        <v>739</v>
      </c>
      <c r="C92" s="131">
        <v>1865760</v>
      </c>
      <c r="D92" s="131">
        <v>706241.91999999993</v>
      </c>
      <c r="E92" s="131">
        <v>1026360</v>
      </c>
      <c r="F92" s="131">
        <v>1732601.92</v>
      </c>
      <c r="G92" s="131">
        <v>-133158.08000000007</v>
      </c>
    </row>
    <row r="93" spans="1:7" x14ac:dyDescent="0.3">
      <c r="A93" t="s">
        <v>8</v>
      </c>
      <c r="C93" s="131">
        <v>44788397.956150003</v>
      </c>
      <c r="D93" s="131">
        <v>19836403.480833337</v>
      </c>
      <c r="E93" s="131">
        <v>25404409.13991667</v>
      </c>
      <c r="F93" s="131">
        <v>45240812.620750003</v>
      </c>
      <c r="G93" s="131">
        <v>452414.66459999862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ANTARESITDMO-1057074058-8662</_dlc_DocId>
    <_dlc_DocIdUrl xmlns="26d0a970-2ab3-49ef-b4d7-820ab6496716">
      <Url>https://antarescap.sharepoint.com/sites/AntaresITDemo/IT Internal/TechPMO/_layouts/15/DocIdRedir.aspx?ID=ANTARESITDMO-1057074058-8662</Url>
      <Description>ANTARESITDMO-1057074058-8662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32E2E58D-7571-4D1E-B0F3-701D55D92D79}">
  <ds:schemaRefs>
    <ds:schemaRef ds:uri="26d0a970-2ab3-49ef-b4d7-820ab6496716"/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c391786d-2ce2-4ee1-838b-63fe54a71a4e"/>
    <ds:schemaRef ds:uri="http://schemas.microsoft.com/office/infopath/2007/PartnerControl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YTD Financials Run Rate</vt:lpstr>
      <vt:lpstr>Notes - R&amp;O</vt:lpstr>
      <vt:lpstr>Vendor View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2026-07-15T17:11:46Z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93977df8-5584-4ed6-9642-ca3988a45fa6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