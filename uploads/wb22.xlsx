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1.xml" ContentType="application/vnd.openxmlformats-officedocument.spreadsheetml.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9"/>
  <fileSharing readOnlyRecommended="1" userName="Swati Yadav (Contractor)" algorithmName="SHA-512" hashValue="OfojhVICnMdX+OfUqEwjZJPJQO+UTbNRUKudNp0mzZ7CdvNH+PnMIV+IGWrPj1RHynDHoYAK8NBo2Gy+7k9KxQ==" saltValue="WO8D+Z6dxsWvBQE3cZYbtg==" spinCount="100000"/>
  <workbookPr backupFile="1" codeName="ThisWorkbook" hidePivotFieldList="1"/>
  <mc:AlternateContent xmlns:mc="http://schemas.openxmlformats.org/markup-compatibility/2006">
    <mc:Choice Requires="x15">
      <x15ac:absPath xmlns:x15ac="http://schemas.microsoft.com/office/spreadsheetml/2010/11/ac" url="https://antarescap.sharepoint.com/sites/AntaresITDemo/IT Internal/TechPMO/Shared Documents/02 – Financials, Vendors &amp; Administration/07 - Tech Financials/"/>
    </mc:Choice>
  </mc:AlternateContent>
  <xr:revisionPtr revIDLastSave="0" documentId="8_{D91D5627-E733-48B0-98E0-3D1AF8974475}" xr6:coauthVersionLast="47" xr6:coauthVersionMax="47" xr10:uidLastSave="{00000000-0000-0000-0000-000000000000}"/>
  <bookViews>
    <workbookView xWindow="-108" yWindow="-108" windowWidth="23256" windowHeight="13896" tabRatio="843" firstSheet="3" activeTab="3" xr2:uid="{6E86A890-6511-465B-97CD-9F3B99500F42}"/>
  </bookViews>
  <sheets>
    <sheet name="YTD Financials Run Rate" sheetId="65" r:id="rId1"/>
    <sheet name="Notes - R&amp;O" sheetId="86" r:id="rId2"/>
    <sheet name="Monthly Run Rate (Jan-Mar)" sheetId="83" r:id="rId3"/>
    <sheet name="Master Data (DO NOT EDIT)" sheetId="88" r:id="rId4"/>
    <sheet name="AI Budget Tracking" sheetId="87" r:id="rId5"/>
    <sheet name="Rough" sheetId="84" r:id="rId6"/>
  </sheets>
  <definedNames>
    <definedName name="\bvwreb" hidden="1">#REF!</definedName>
    <definedName name="_______SC984" localSheetId="1">#REF!</definedName>
    <definedName name="_______SC984">#REF!</definedName>
    <definedName name="______SC984" localSheetId="1">#REF!</definedName>
    <definedName name="______SC984">#REF!</definedName>
    <definedName name="_____SC984" localSheetId="1">#REF!</definedName>
    <definedName name="_____SC984">#REF!</definedName>
    <definedName name="____SC984" localSheetId="1">#REF!</definedName>
    <definedName name="____SC984">#REF!</definedName>
    <definedName name="____ww1" localSheetId="3" hidden="1">{"Assumptions",#N/A,FALSE,"Model"}</definedName>
    <definedName name="____ww1" localSheetId="1" hidden="1">{"Assumptions",#N/A,FALSE,"Model"}</definedName>
    <definedName name="____ww1" hidden="1">{"Assumptions",#N/A,FALSE,"Model"}</definedName>
    <definedName name="____ww1_1" localSheetId="3" hidden="1">{"Assumptions",#N/A,FALSE,"Model"}</definedName>
    <definedName name="____ww1_1" localSheetId="1" hidden="1">{"Assumptions",#N/A,FALSE,"Model"}</definedName>
    <definedName name="____ww1_1" hidden="1">{"Assumptions",#N/A,FALSE,"Model"}</definedName>
    <definedName name="____ww1_1_1" localSheetId="3" hidden="1">{"Assumptions",#N/A,FALSE,"Model"}</definedName>
    <definedName name="____ww1_1_1" localSheetId="1" hidden="1">{"Assumptions",#N/A,FALSE,"Model"}</definedName>
    <definedName name="____ww1_1_1" hidden="1">{"Assumptions",#N/A,FALSE,"Model"}</definedName>
    <definedName name="____ww1_1_1_1" localSheetId="3" hidden="1">{"Assumptions",#N/A,FALSE,"Model"}</definedName>
    <definedName name="____ww1_1_1_1" localSheetId="1" hidden="1">{"Assumptions",#N/A,FALSE,"Model"}</definedName>
    <definedName name="____ww1_1_1_1" hidden="1">{"Assumptions",#N/A,FALSE,"Model"}</definedName>
    <definedName name="____ww1_1_1_1_1" localSheetId="3" hidden="1">{"Assumptions",#N/A,FALSE,"Model"}</definedName>
    <definedName name="____ww1_1_1_1_1" localSheetId="1" hidden="1">{"Assumptions",#N/A,FALSE,"Model"}</definedName>
    <definedName name="____ww1_1_1_1_1" hidden="1">{"Assumptions",#N/A,FALSE,"Model"}</definedName>
    <definedName name="____ww1_1_2" localSheetId="3" hidden="1">{"Assumptions",#N/A,FALSE,"Model"}</definedName>
    <definedName name="____ww1_1_2" localSheetId="1" hidden="1">{"Assumptions",#N/A,FALSE,"Model"}</definedName>
    <definedName name="____ww1_1_2" hidden="1">{"Assumptions",#N/A,FALSE,"Model"}</definedName>
    <definedName name="____ww1_1_2_1" localSheetId="3" hidden="1">{"Assumptions",#N/A,FALSE,"Model"}</definedName>
    <definedName name="____ww1_1_2_1" localSheetId="1" hidden="1">{"Assumptions",#N/A,FALSE,"Model"}</definedName>
    <definedName name="____ww1_1_2_1" hidden="1">{"Assumptions",#N/A,FALSE,"Model"}</definedName>
    <definedName name="____ww1_1_3" localSheetId="3" hidden="1">{"Assumptions",#N/A,FALSE,"Model"}</definedName>
    <definedName name="____ww1_1_3" localSheetId="1" hidden="1">{"Assumptions",#N/A,FALSE,"Model"}</definedName>
    <definedName name="____ww1_1_3" hidden="1">{"Assumptions",#N/A,FALSE,"Model"}</definedName>
    <definedName name="____ww1_1_3_1" localSheetId="3" hidden="1">{"Assumptions",#N/A,FALSE,"Model"}</definedName>
    <definedName name="____ww1_1_3_1" localSheetId="1" hidden="1">{"Assumptions",#N/A,FALSE,"Model"}</definedName>
    <definedName name="____ww1_1_3_1" hidden="1">{"Assumptions",#N/A,FALSE,"Model"}</definedName>
    <definedName name="____ww1_1_4" localSheetId="3" hidden="1">{"Assumptions",#N/A,FALSE,"Model"}</definedName>
    <definedName name="____ww1_1_4" localSheetId="1" hidden="1">{"Assumptions",#N/A,FALSE,"Model"}</definedName>
    <definedName name="____ww1_1_4" hidden="1">{"Assumptions",#N/A,FALSE,"Model"}</definedName>
    <definedName name="____ww1_2" localSheetId="3" hidden="1">{"Assumptions",#N/A,FALSE,"Model"}</definedName>
    <definedName name="____ww1_2" localSheetId="1" hidden="1">{"Assumptions",#N/A,FALSE,"Model"}</definedName>
    <definedName name="____ww1_2" hidden="1">{"Assumptions",#N/A,FALSE,"Model"}</definedName>
    <definedName name="____ww1_2_1" localSheetId="3" hidden="1">{"Assumptions",#N/A,FALSE,"Model"}</definedName>
    <definedName name="____ww1_2_1" localSheetId="1" hidden="1">{"Assumptions",#N/A,FALSE,"Model"}</definedName>
    <definedName name="____ww1_2_1" hidden="1">{"Assumptions",#N/A,FALSE,"Model"}</definedName>
    <definedName name="____ww1_2_1_1" localSheetId="3" hidden="1">{"Assumptions",#N/A,FALSE,"Model"}</definedName>
    <definedName name="____ww1_2_1_1" localSheetId="1" hidden="1">{"Assumptions",#N/A,FALSE,"Model"}</definedName>
    <definedName name="____ww1_2_1_1" hidden="1">{"Assumptions",#N/A,FALSE,"Model"}</definedName>
    <definedName name="____ww1_2_1_1_1" localSheetId="3" hidden="1">{"Assumptions",#N/A,FALSE,"Model"}</definedName>
    <definedName name="____ww1_2_1_1_1" localSheetId="1" hidden="1">{"Assumptions",#N/A,FALSE,"Model"}</definedName>
    <definedName name="____ww1_2_1_1_1" hidden="1">{"Assumptions",#N/A,FALSE,"Model"}</definedName>
    <definedName name="____ww1_2_2" localSheetId="3" hidden="1">{"Assumptions",#N/A,FALSE,"Model"}</definedName>
    <definedName name="____ww1_2_2" localSheetId="1" hidden="1">{"Assumptions",#N/A,FALSE,"Model"}</definedName>
    <definedName name="____ww1_2_2" hidden="1">{"Assumptions",#N/A,FALSE,"Model"}</definedName>
    <definedName name="____ww1_2_2_1" localSheetId="3" hidden="1">{"Assumptions",#N/A,FALSE,"Model"}</definedName>
    <definedName name="____ww1_2_2_1" localSheetId="1" hidden="1">{"Assumptions",#N/A,FALSE,"Model"}</definedName>
    <definedName name="____ww1_2_2_1" hidden="1">{"Assumptions",#N/A,FALSE,"Model"}</definedName>
    <definedName name="____ww1_2_3" localSheetId="3" hidden="1">{"Assumptions",#N/A,FALSE,"Model"}</definedName>
    <definedName name="____ww1_2_3" localSheetId="1" hidden="1">{"Assumptions",#N/A,FALSE,"Model"}</definedName>
    <definedName name="____ww1_2_3" hidden="1">{"Assumptions",#N/A,FALSE,"Model"}</definedName>
    <definedName name="____ww1_3" localSheetId="3" hidden="1">{"Assumptions",#N/A,FALSE,"Model"}</definedName>
    <definedName name="____ww1_3" localSheetId="1" hidden="1">{"Assumptions",#N/A,FALSE,"Model"}</definedName>
    <definedName name="____ww1_3" hidden="1">{"Assumptions",#N/A,FALSE,"Model"}</definedName>
    <definedName name="____ww1_3_1" localSheetId="3" hidden="1">{"Assumptions",#N/A,FALSE,"Model"}</definedName>
    <definedName name="____ww1_3_1" localSheetId="1" hidden="1">{"Assumptions",#N/A,FALSE,"Model"}</definedName>
    <definedName name="____ww1_3_1" hidden="1">{"Assumptions",#N/A,FALSE,"Model"}</definedName>
    <definedName name="____ww1_3_1_1" localSheetId="3" hidden="1">{"Assumptions",#N/A,FALSE,"Model"}</definedName>
    <definedName name="____ww1_3_1_1" localSheetId="1" hidden="1">{"Assumptions",#N/A,FALSE,"Model"}</definedName>
    <definedName name="____ww1_3_1_1" hidden="1">{"Assumptions",#N/A,FALSE,"Model"}</definedName>
    <definedName name="____ww1_3_1_1_1" localSheetId="3" hidden="1">{"Assumptions",#N/A,FALSE,"Model"}</definedName>
    <definedName name="____ww1_3_1_1_1" localSheetId="1" hidden="1">{"Assumptions",#N/A,FALSE,"Model"}</definedName>
    <definedName name="____ww1_3_1_1_1" hidden="1">{"Assumptions",#N/A,FALSE,"Model"}</definedName>
    <definedName name="____ww1_3_2" localSheetId="3" hidden="1">{"Assumptions",#N/A,FALSE,"Model"}</definedName>
    <definedName name="____ww1_3_2" localSheetId="1" hidden="1">{"Assumptions",#N/A,FALSE,"Model"}</definedName>
    <definedName name="____ww1_3_2" hidden="1">{"Assumptions",#N/A,FALSE,"Model"}</definedName>
    <definedName name="____ww1_3_2_1" localSheetId="3" hidden="1">{"Assumptions",#N/A,FALSE,"Model"}</definedName>
    <definedName name="____ww1_3_2_1" localSheetId="1" hidden="1">{"Assumptions",#N/A,FALSE,"Model"}</definedName>
    <definedName name="____ww1_3_2_1" hidden="1">{"Assumptions",#N/A,FALSE,"Model"}</definedName>
    <definedName name="____ww1_3_3" localSheetId="3" hidden="1">{"Assumptions",#N/A,FALSE,"Model"}</definedName>
    <definedName name="____ww1_3_3" localSheetId="1" hidden="1">{"Assumptions",#N/A,FALSE,"Model"}</definedName>
    <definedName name="____ww1_3_3" hidden="1">{"Assumptions",#N/A,FALSE,"Model"}</definedName>
    <definedName name="____ww1_4" localSheetId="3" hidden="1">{"Assumptions",#N/A,FALSE,"Model"}</definedName>
    <definedName name="____ww1_4" localSheetId="1" hidden="1">{"Assumptions",#N/A,FALSE,"Model"}</definedName>
    <definedName name="____ww1_4" hidden="1">{"Assumptions",#N/A,FALSE,"Model"}</definedName>
    <definedName name="____ww1_4_1" localSheetId="3" hidden="1">{"Assumptions",#N/A,FALSE,"Model"}</definedName>
    <definedName name="____ww1_4_1" localSheetId="1" hidden="1">{"Assumptions",#N/A,FALSE,"Model"}</definedName>
    <definedName name="____ww1_4_1" hidden="1">{"Assumptions",#N/A,FALSE,"Model"}</definedName>
    <definedName name="____ww1_4_1_1" localSheetId="3" hidden="1">{"Assumptions",#N/A,FALSE,"Model"}</definedName>
    <definedName name="____ww1_4_1_1" localSheetId="1" hidden="1">{"Assumptions",#N/A,FALSE,"Model"}</definedName>
    <definedName name="____ww1_4_1_1" hidden="1">{"Assumptions",#N/A,FALSE,"Model"}</definedName>
    <definedName name="____ww1_4_1_1_1" localSheetId="3" hidden="1">{"Assumptions",#N/A,FALSE,"Model"}</definedName>
    <definedName name="____ww1_4_1_1_1" localSheetId="1" hidden="1">{"Assumptions",#N/A,FALSE,"Model"}</definedName>
    <definedName name="____ww1_4_1_1_1" hidden="1">{"Assumptions",#N/A,FALSE,"Model"}</definedName>
    <definedName name="____ww1_4_2" localSheetId="3" hidden="1">{"Assumptions",#N/A,FALSE,"Model"}</definedName>
    <definedName name="____ww1_4_2" localSheetId="1" hidden="1">{"Assumptions",#N/A,FALSE,"Model"}</definedName>
    <definedName name="____ww1_4_2" hidden="1">{"Assumptions",#N/A,FALSE,"Model"}</definedName>
    <definedName name="____ww1_4_2_1" localSheetId="3" hidden="1">{"Assumptions",#N/A,FALSE,"Model"}</definedName>
    <definedName name="____ww1_4_2_1" localSheetId="1" hidden="1">{"Assumptions",#N/A,FALSE,"Model"}</definedName>
    <definedName name="____ww1_4_2_1" hidden="1">{"Assumptions",#N/A,FALSE,"Model"}</definedName>
    <definedName name="____ww1_4_3" localSheetId="3" hidden="1">{"Assumptions",#N/A,FALSE,"Model"}</definedName>
    <definedName name="____ww1_4_3" localSheetId="1" hidden="1">{"Assumptions",#N/A,FALSE,"Model"}</definedName>
    <definedName name="____ww1_4_3" hidden="1">{"Assumptions",#N/A,FALSE,"Model"}</definedName>
    <definedName name="____ww1_5" localSheetId="3" hidden="1">{"Assumptions",#N/A,FALSE,"Model"}</definedName>
    <definedName name="____ww1_5" localSheetId="1" hidden="1">{"Assumptions",#N/A,FALSE,"Model"}</definedName>
    <definedName name="____ww1_5" hidden="1">{"Assumptions",#N/A,FALSE,"Model"}</definedName>
    <definedName name="____ww1_5_1" localSheetId="3" hidden="1">{"Assumptions",#N/A,FALSE,"Model"}</definedName>
    <definedName name="____ww1_5_1" localSheetId="1" hidden="1">{"Assumptions",#N/A,FALSE,"Model"}</definedName>
    <definedName name="____ww1_5_1" hidden="1">{"Assumptions",#N/A,FALSE,"Model"}</definedName>
    <definedName name="____ww1_5_1_1" localSheetId="3" hidden="1">{"Assumptions",#N/A,FALSE,"Model"}</definedName>
    <definedName name="____ww1_5_1_1" localSheetId="1" hidden="1">{"Assumptions",#N/A,FALSE,"Model"}</definedName>
    <definedName name="____ww1_5_1_1" hidden="1">{"Assumptions",#N/A,FALSE,"Model"}</definedName>
    <definedName name="____ww1_5_1_1_1" localSheetId="3" hidden="1">{"Assumptions",#N/A,FALSE,"Model"}</definedName>
    <definedName name="____ww1_5_1_1_1" localSheetId="1" hidden="1">{"Assumptions",#N/A,FALSE,"Model"}</definedName>
    <definedName name="____ww1_5_1_1_1" hidden="1">{"Assumptions",#N/A,FALSE,"Model"}</definedName>
    <definedName name="____ww1_5_2" localSheetId="3" hidden="1">{"Assumptions",#N/A,FALSE,"Model"}</definedName>
    <definedName name="____ww1_5_2" localSheetId="1" hidden="1">{"Assumptions",#N/A,FALSE,"Model"}</definedName>
    <definedName name="____ww1_5_2" hidden="1">{"Assumptions",#N/A,FALSE,"Model"}</definedName>
    <definedName name="____ww1_5_2_1" localSheetId="3" hidden="1">{"Assumptions",#N/A,FALSE,"Model"}</definedName>
    <definedName name="____ww1_5_2_1" localSheetId="1" hidden="1">{"Assumptions",#N/A,FALSE,"Model"}</definedName>
    <definedName name="____ww1_5_2_1" hidden="1">{"Assumptions",#N/A,FALSE,"Model"}</definedName>
    <definedName name="____ww1_5_3" localSheetId="3" hidden="1">{"Assumptions",#N/A,FALSE,"Model"}</definedName>
    <definedName name="____ww1_5_3" localSheetId="1" hidden="1">{"Assumptions",#N/A,FALSE,"Model"}</definedName>
    <definedName name="____ww1_5_3" hidden="1">{"Assumptions",#N/A,FALSE,"Model"}</definedName>
    <definedName name="___nmr1" localSheetId="1" hidden="1">#REF!</definedName>
    <definedName name="___nmr1" hidden="1">#REF!</definedName>
    <definedName name="___SC984" localSheetId="1">#REF!</definedName>
    <definedName name="___SC984">#REF!</definedName>
    <definedName name="___thinkcellJ0YAAAAAAAAAAAAAPI1gUJa870C4B5OR949u9A" localSheetId="1" hidden="1">#REF!</definedName>
    <definedName name="___thinkcellJ0YAAAAAAAAAAAAAPI1gUJa870C4B5OR949u9A" hidden="1">#REF!</definedName>
    <definedName name="___ww1" localSheetId="3" hidden="1">{"Assumptions",#N/A,FALSE,"Model"}</definedName>
    <definedName name="___ww1" localSheetId="1" hidden="1">{"Assumptions",#N/A,FALSE,"Model"}</definedName>
    <definedName name="___ww1" hidden="1">{"Assumptions",#N/A,FALSE,"Model"}</definedName>
    <definedName name="___ww1_1" localSheetId="3" hidden="1">{"Assumptions",#N/A,FALSE,"Model"}</definedName>
    <definedName name="___ww1_1" localSheetId="1" hidden="1">{"Assumptions",#N/A,FALSE,"Model"}</definedName>
    <definedName name="___ww1_1" hidden="1">{"Assumptions",#N/A,FALSE,"Model"}</definedName>
    <definedName name="___ww1_1_1" localSheetId="3" hidden="1">{"Assumptions",#N/A,FALSE,"Model"}</definedName>
    <definedName name="___ww1_1_1" localSheetId="1" hidden="1">{"Assumptions",#N/A,FALSE,"Model"}</definedName>
    <definedName name="___ww1_1_1" hidden="1">{"Assumptions",#N/A,FALSE,"Model"}</definedName>
    <definedName name="___ww1_1_1_1" localSheetId="3" hidden="1">{"Assumptions",#N/A,FALSE,"Model"}</definedName>
    <definedName name="___ww1_1_1_1" localSheetId="1" hidden="1">{"Assumptions",#N/A,FALSE,"Model"}</definedName>
    <definedName name="___ww1_1_1_1" hidden="1">{"Assumptions",#N/A,FALSE,"Model"}</definedName>
    <definedName name="___ww1_1_1_1_1" localSheetId="3" hidden="1">{"Assumptions",#N/A,FALSE,"Model"}</definedName>
    <definedName name="___ww1_1_1_1_1" localSheetId="1" hidden="1">{"Assumptions",#N/A,FALSE,"Model"}</definedName>
    <definedName name="___ww1_1_1_1_1" hidden="1">{"Assumptions",#N/A,FALSE,"Model"}</definedName>
    <definedName name="___ww1_1_2" localSheetId="3" hidden="1">{"Assumptions",#N/A,FALSE,"Model"}</definedName>
    <definedName name="___ww1_1_2" localSheetId="1" hidden="1">{"Assumptions",#N/A,FALSE,"Model"}</definedName>
    <definedName name="___ww1_1_2" hidden="1">{"Assumptions",#N/A,FALSE,"Model"}</definedName>
    <definedName name="___ww1_1_2_1" localSheetId="3" hidden="1">{"Assumptions",#N/A,FALSE,"Model"}</definedName>
    <definedName name="___ww1_1_2_1" localSheetId="1" hidden="1">{"Assumptions",#N/A,FALSE,"Model"}</definedName>
    <definedName name="___ww1_1_2_1" hidden="1">{"Assumptions",#N/A,FALSE,"Model"}</definedName>
    <definedName name="___ww1_1_3" localSheetId="3" hidden="1">{"Assumptions",#N/A,FALSE,"Model"}</definedName>
    <definedName name="___ww1_1_3" localSheetId="1" hidden="1">{"Assumptions",#N/A,FALSE,"Model"}</definedName>
    <definedName name="___ww1_1_3" hidden="1">{"Assumptions",#N/A,FALSE,"Model"}</definedName>
    <definedName name="___ww1_1_3_1" localSheetId="3" hidden="1">{"Assumptions",#N/A,FALSE,"Model"}</definedName>
    <definedName name="___ww1_1_3_1" localSheetId="1" hidden="1">{"Assumptions",#N/A,FALSE,"Model"}</definedName>
    <definedName name="___ww1_1_3_1" hidden="1">{"Assumptions",#N/A,FALSE,"Model"}</definedName>
    <definedName name="___ww1_1_4" localSheetId="3" hidden="1">{"Assumptions",#N/A,FALSE,"Model"}</definedName>
    <definedName name="___ww1_1_4" localSheetId="1" hidden="1">{"Assumptions",#N/A,FALSE,"Model"}</definedName>
    <definedName name="___ww1_1_4" hidden="1">{"Assumptions",#N/A,FALSE,"Model"}</definedName>
    <definedName name="___ww1_2" localSheetId="3" hidden="1">{"Assumptions",#N/A,FALSE,"Model"}</definedName>
    <definedName name="___ww1_2" localSheetId="1" hidden="1">{"Assumptions",#N/A,FALSE,"Model"}</definedName>
    <definedName name="___ww1_2" hidden="1">{"Assumptions",#N/A,FALSE,"Model"}</definedName>
    <definedName name="___ww1_2_1" localSheetId="3" hidden="1">{"Assumptions",#N/A,FALSE,"Model"}</definedName>
    <definedName name="___ww1_2_1" localSheetId="1" hidden="1">{"Assumptions",#N/A,FALSE,"Model"}</definedName>
    <definedName name="___ww1_2_1" hidden="1">{"Assumptions",#N/A,FALSE,"Model"}</definedName>
    <definedName name="___ww1_2_1_1" localSheetId="3" hidden="1">{"Assumptions",#N/A,FALSE,"Model"}</definedName>
    <definedName name="___ww1_2_1_1" localSheetId="1" hidden="1">{"Assumptions",#N/A,FALSE,"Model"}</definedName>
    <definedName name="___ww1_2_1_1" hidden="1">{"Assumptions",#N/A,FALSE,"Model"}</definedName>
    <definedName name="___ww1_2_1_1_1" localSheetId="3" hidden="1">{"Assumptions",#N/A,FALSE,"Model"}</definedName>
    <definedName name="___ww1_2_1_1_1" localSheetId="1" hidden="1">{"Assumptions",#N/A,FALSE,"Model"}</definedName>
    <definedName name="___ww1_2_1_1_1" hidden="1">{"Assumptions",#N/A,FALSE,"Model"}</definedName>
    <definedName name="___ww1_2_2" localSheetId="3" hidden="1">{"Assumptions",#N/A,FALSE,"Model"}</definedName>
    <definedName name="___ww1_2_2" localSheetId="1" hidden="1">{"Assumptions",#N/A,FALSE,"Model"}</definedName>
    <definedName name="___ww1_2_2" hidden="1">{"Assumptions",#N/A,FALSE,"Model"}</definedName>
    <definedName name="___ww1_2_2_1" localSheetId="3" hidden="1">{"Assumptions",#N/A,FALSE,"Model"}</definedName>
    <definedName name="___ww1_2_2_1" localSheetId="1" hidden="1">{"Assumptions",#N/A,FALSE,"Model"}</definedName>
    <definedName name="___ww1_2_2_1" hidden="1">{"Assumptions",#N/A,FALSE,"Model"}</definedName>
    <definedName name="___ww1_2_3" localSheetId="3" hidden="1">{"Assumptions",#N/A,FALSE,"Model"}</definedName>
    <definedName name="___ww1_2_3" localSheetId="1" hidden="1">{"Assumptions",#N/A,FALSE,"Model"}</definedName>
    <definedName name="___ww1_2_3" hidden="1">{"Assumptions",#N/A,FALSE,"Model"}</definedName>
    <definedName name="___ww1_3" localSheetId="3" hidden="1">{"Assumptions",#N/A,FALSE,"Model"}</definedName>
    <definedName name="___ww1_3" localSheetId="1" hidden="1">{"Assumptions",#N/A,FALSE,"Model"}</definedName>
    <definedName name="___ww1_3" hidden="1">{"Assumptions",#N/A,FALSE,"Model"}</definedName>
    <definedName name="___ww1_3_1" localSheetId="3" hidden="1">{"Assumptions",#N/A,FALSE,"Model"}</definedName>
    <definedName name="___ww1_3_1" localSheetId="1" hidden="1">{"Assumptions",#N/A,FALSE,"Model"}</definedName>
    <definedName name="___ww1_3_1" hidden="1">{"Assumptions",#N/A,FALSE,"Model"}</definedName>
    <definedName name="___ww1_3_1_1" localSheetId="3" hidden="1">{"Assumptions",#N/A,FALSE,"Model"}</definedName>
    <definedName name="___ww1_3_1_1" localSheetId="1" hidden="1">{"Assumptions",#N/A,FALSE,"Model"}</definedName>
    <definedName name="___ww1_3_1_1" hidden="1">{"Assumptions",#N/A,FALSE,"Model"}</definedName>
    <definedName name="___ww1_3_1_1_1" localSheetId="3" hidden="1">{"Assumptions",#N/A,FALSE,"Model"}</definedName>
    <definedName name="___ww1_3_1_1_1" localSheetId="1" hidden="1">{"Assumptions",#N/A,FALSE,"Model"}</definedName>
    <definedName name="___ww1_3_1_1_1" hidden="1">{"Assumptions",#N/A,FALSE,"Model"}</definedName>
    <definedName name="___ww1_3_2" localSheetId="3" hidden="1">{"Assumptions",#N/A,FALSE,"Model"}</definedName>
    <definedName name="___ww1_3_2" localSheetId="1" hidden="1">{"Assumptions",#N/A,FALSE,"Model"}</definedName>
    <definedName name="___ww1_3_2" hidden="1">{"Assumptions",#N/A,FALSE,"Model"}</definedName>
    <definedName name="___ww1_3_2_1" localSheetId="3" hidden="1">{"Assumptions",#N/A,FALSE,"Model"}</definedName>
    <definedName name="___ww1_3_2_1" localSheetId="1" hidden="1">{"Assumptions",#N/A,FALSE,"Model"}</definedName>
    <definedName name="___ww1_3_2_1" hidden="1">{"Assumptions",#N/A,FALSE,"Model"}</definedName>
    <definedName name="___ww1_3_3" localSheetId="3" hidden="1">{"Assumptions",#N/A,FALSE,"Model"}</definedName>
    <definedName name="___ww1_3_3" localSheetId="1" hidden="1">{"Assumptions",#N/A,FALSE,"Model"}</definedName>
    <definedName name="___ww1_3_3" hidden="1">{"Assumptions",#N/A,FALSE,"Model"}</definedName>
    <definedName name="___ww1_4" localSheetId="3" hidden="1">{"Assumptions",#N/A,FALSE,"Model"}</definedName>
    <definedName name="___ww1_4" localSheetId="1" hidden="1">{"Assumptions",#N/A,FALSE,"Model"}</definedName>
    <definedName name="___ww1_4" hidden="1">{"Assumptions",#N/A,FALSE,"Model"}</definedName>
    <definedName name="___ww1_4_1" localSheetId="3" hidden="1">{"Assumptions",#N/A,FALSE,"Model"}</definedName>
    <definedName name="___ww1_4_1" localSheetId="1" hidden="1">{"Assumptions",#N/A,FALSE,"Model"}</definedName>
    <definedName name="___ww1_4_1" hidden="1">{"Assumptions",#N/A,FALSE,"Model"}</definedName>
    <definedName name="___ww1_4_1_1" localSheetId="3" hidden="1">{"Assumptions",#N/A,FALSE,"Model"}</definedName>
    <definedName name="___ww1_4_1_1" localSheetId="1" hidden="1">{"Assumptions",#N/A,FALSE,"Model"}</definedName>
    <definedName name="___ww1_4_1_1" hidden="1">{"Assumptions",#N/A,FALSE,"Model"}</definedName>
    <definedName name="___ww1_4_1_1_1" localSheetId="3" hidden="1">{"Assumptions",#N/A,FALSE,"Model"}</definedName>
    <definedName name="___ww1_4_1_1_1" localSheetId="1" hidden="1">{"Assumptions",#N/A,FALSE,"Model"}</definedName>
    <definedName name="___ww1_4_1_1_1" hidden="1">{"Assumptions",#N/A,FALSE,"Model"}</definedName>
    <definedName name="___ww1_4_2" localSheetId="3" hidden="1">{"Assumptions",#N/A,FALSE,"Model"}</definedName>
    <definedName name="___ww1_4_2" localSheetId="1" hidden="1">{"Assumptions",#N/A,FALSE,"Model"}</definedName>
    <definedName name="___ww1_4_2" hidden="1">{"Assumptions",#N/A,FALSE,"Model"}</definedName>
    <definedName name="___ww1_4_2_1" localSheetId="3" hidden="1">{"Assumptions",#N/A,FALSE,"Model"}</definedName>
    <definedName name="___ww1_4_2_1" localSheetId="1" hidden="1">{"Assumptions",#N/A,FALSE,"Model"}</definedName>
    <definedName name="___ww1_4_2_1" hidden="1">{"Assumptions",#N/A,FALSE,"Model"}</definedName>
    <definedName name="___ww1_4_3" localSheetId="3" hidden="1">{"Assumptions",#N/A,FALSE,"Model"}</definedName>
    <definedName name="___ww1_4_3" localSheetId="1" hidden="1">{"Assumptions",#N/A,FALSE,"Model"}</definedName>
    <definedName name="___ww1_4_3" hidden="1">{"Assumptions",#N/A,FALSE,"Model"}</definedName>
    <definedName name="___ww1_5" localSheetId="3" hidden="1">{"Assumptions",#N/A,FALSE,"Model"}</definedName>
    <definedName name="___ww1_5" localSheetId="1" hidden="1">{"Assumptions",#N/A,FALSE,"Model"}</definedName>
    <definedName name="___ww1_5" hidden="1">{"Assumptions",#N/A,FALSE,"Model"}</definedName>
    <definedName name="___ww1_5_1" localSheetId="3" hidden="1">{"Assumptions",#N/A,FALSE,"Model"}</definedName>
    <definedName name="___ww1_5_1" localSheetId="1" hidden="1">{"Assumptions",#N/A,FALSE,"Model"}</definedName>
    <definedName name="___ww1_5_1" hidden="1">{"Assumptions",#N/A,FALSE,"Model"}</definedName>
    <definedName name="___ww1_5_1_1" localSheetId="3" hidden="1">{"Assumptions",#N/A,FALSE,"Model"}</definedName>
    <definedName name="___ww1_5_1_1" localSheetId="1" hidden="1">{"Assumptions",#N/A,FALSE,"Model"}</definedName>
    <definedName name="___ww1_5_1_1" hidden="1">{"Assumptions",#N/A,FALSE,"Model"}</definedName>
    <definedName name="___ww1_5_1_1_1" localSheetId="3" hidden="1">{"Assumptions",#N/A,FALSE,"Model"}</definedName>
    <definedName name="___ww1_5_1_1_1" localSheetId="1" hidden="1">{"Assumptions",#N/A,FALSE,"Model"}</definedName>
    <definedName name="___ww1_5_1_1_1" hidden="1">{"Assumptions",#N/A,FALSE,"Model"}</definedName>
    <definedName name="___ww1_5_2" localSheetId="3" hidden="1">{"Assumptions",#N/A,FALSE,"Model"}</definedName>
    <definedName name="___ww1_5_2" localSheetId="1" hidden="1">{"Assumptions",#N/A,FALSE,"Model"}</definedName>
    <definedName name="___ww1_5_2" hidden="1">{"Assumptions",#N/A,FALSE,"Model"}</definedName>
    <definedName name="___ww1_5_2_1" localSheetId="3" hidden="1">{"Assumptions",#N/A,FALSE,"Model"}</definedName>
    <definedName name="___ww1_5_2_1" localSheetId="1" hidden="1">{"Assumptions",#N/A,FALSE,"Model"}</definedName>
    <definedName name="___ww1_5_2_1" hidden="1">{"Assumptions",#N/A,FALSE,"Model"}</definedName>
    <definedName name="___ww1_5_3" localSheetId="3" hidden="1">{"Assumptions",#N/A,FALSE,"Model"}</definedName>
    <definedName name="___ww1_5_3" localSheetId="1" hidden="1">{"Assumptions",#N/A,FALSE,"Model"}</definedName>
    <definedName name="___ww1_5_3" hidden="1">{"Assumptions",#N/A,FALSE,"Model"}</definedName>
    <definedName name="__123Graph_A" localSheetId="1" hidden="1">#REF!</definedName>
    <definedName name="__123Graph_A" hidden="1">#REF!</definedName>
    <definedName name="__123Graph_AANIDRO" localSheetId="1" hidden="1">#REF!</definedName>
    <definedName name="__123Graph_AANIDRO" hidden="1">#REF!</definedName>
    <definedName name="__123Graph_AChart1" localSheetId="1" hidden="1">#REF!</definedName>
    <definedName name="__123Graph_AChart1" hidden="1">#REF!</definedName>
    <definedName name="__123Graph_AChart2" localSheetId="1" hidden="1">#REF!</definedName>
    <definedName name="__123Graph_AChart2" hidden="1">#REF!</definedName>
    <definedName name="__123Graph_AChart3" localSheetId="1" hidden="1">#REF!</definedName>
    <definedName name="__123Graph_AChart3" hidden="1">#REF!</definedName>
    <definedName name="__123Graph_AChart4" localSheetId="1" hidden="1">#REF!</definedName>
    <definedName name="__123Graph_AChart4" hidden="1">#REF!</definedName>
    <definedName name="__123Graph_AChart5" localSheetId="1" hidden="1">#REF!</definedName>
    <definedName name="__123Graph_AChart5" hidden="1">#REF!</definedName>
    <definedName name="__123Graph_AChart6" localSheetId="1" hidden="1">#REF!</definedName>
    <definedName name="__123Graph_AChart6" hidden="1">#REF!</definedName>
    <definedName name="__123Graph_AChart7" localSheetId="1" hidden="1">#REF!</definedName>
    <definedName name="__123Graph_AChart7" hidden="1">#REF!</definedName>
    <definedName name="__123Graph_ACURRENT" localSheetId="1" hidden="1">#REF!</definedName>
    <definedName name="__123Graph_ACURRENT" hidden="1">#REF!</definedName>
    <definedName name="__123Graph_AGraph3" localSheetId="1" hidden="1">#REF!</definedName>
    <definedName name="__123Graph_AGraph3" hidden="1">#REF!</definedName>
    <definedName name="__123Graph_AHIALCOOL" localSheetId="1" hidden="1">#REF!</definedName>
    <definedName name="__123Graph_AHIALCOOL" hidden="1">#REF!</definedName>
    <definedName name="__123Graph_AHIDRATADO" localSheetId="1" hidden="1">#REF!</definedName>
    <definedName name="__123Graph_AHIDRATADO" hidden="1">#REF!</definedName>
    <definedName name="__123Graph_ASACAS" localSheetId="1" hidden="1">#REF!</definedName>
    <definedName name="__123Graph_ASACAS" hidden="1">#REF!</definedName>
    <definedName name="__123Graph_A損益分岐点" localSheetId="1" hidden="1">#REF!</definedName>
    <definedName name="__123Graph_A損益分岐点" hidden="1">#REF!</definedName>
    <definedName name="__123Graph_B" localSheetId="1" hidden="1">#REF!</definedName>
    <definedName name="__123Graph_B" hidden="1">#REF!</definedName>
    <definedName name="__123Graph_BChart1" localSheetId="1" hidden="1">#REF!</definedName>
    <definedName name="__123Graph_BChart1" hidden="1">#REF!</definedName>
    <definedName name="__123Graph_BChart2" localSheetId="1" hidden="1">#REF!</definedName>
    <definedName name="__123Graph_BChart2" hidden="1">#REF!</definedName>
    <definedName name="__123Graph_BChart3" localSheetId="1" hidden="1">#REF!</definedName>
    <definedName name="__123Graph_BChart3" hidden="1">#REF!</definedName>
    <definedName name="__123Graph_BChart4" localSheetId="1" hidden="1">#REF!</definedName>
    <definedName name="__123Graph_BChart4" hidden="1">#REF!</definedName>
    <definedName name="__123Graph_BChart5" localSheetId="1" hidden="1">#REF!</definedName>
    <definedName name="__123Graph_BChart5" hidden="1">#REF!</definedName>
    <definedName name="__123Graph_BChart6" localSheetId="1" hidden="1">#REF!</definedName>
    <definedName name="__123Graph_BChart6" hidden="1">#REF!</definedName>
    <definedName name="__123Graph_BChart7" localSheetId="1" hidden="1">#REF!</definedName>
    <definedName name="__123Graph_BChart7" hidden="1">#REF!</definedName>
    <definedName name="__123Graph_BCurrent" localSheetId="1" hidden="1">#REF!</definedName>
    <definedName name="__123Graph_BCurrent" hidden="1">#REF!</definedName>
    <definedName name="__123Graph_BGraph3" localSheetId="1" hidden="1">#REF!</definedName>
    <definedName name="__123Graph_BGraph3" hidden="1">#REF!</definedName>
    <definedName name="__123Graph_B損益分岐点" localSheetId="1" hidden="1">#REF!</definedName>
    <definedName name="__123Graph_B損益分岐点" hidden="1">#REF!</definedName>
    <definedName name="__123Graph_C" localSheetId="1" hidden="1">#REF!</definedName>
    <definedName name="__123Graph_C" hidden="1">#REF!</definedName>
    <definedName name="__123Graph_CChart1" localSheetId="1" hidden="1">#REF!</definedName>
    <definedName name="__123Graph_CChart1" hidden="1">#REF!</definedName>
    <definedName name="__123Graph_CChart2" localSheetId="1" hidden="1">#REF!</definedName>
    <definedName name="__123Graph_CChart2" hidden="1">#REF!</definedName>
    <definedName name="__123Graph_CChart3" localSheetId="1" hidden="1">#REF!</definedName>
    <definedName name="__123Graph_CChart3" hidden="1">#REF!</definedName>
    <definedName name="__123Graph_CChart4" localSheetId="1" hidden="1">#REF!</definedName>
    <definedName name="__123Graph_CChart4" hidden="1">#REF!</definedName>
    <definedName name="__123Graph_CChart5" localSheetId="1" hidden="1">#REF!</definedName>
    <definedName name="__123Graph_CChart5" hidden="1">#REF!</definedName>
    <definedName name="__123Graph_CChart6" localSheetId="1" hidden="1">#REF!</definedName>
    <definedName name="__123Graph_CChart6" hidden="1">#REF!</definedName>
    <definedName name="__123Graph_CChart7" localSheetId="1" hidden="1">#REF!</definedName>
    <definedName name="__123Graph_CChart7" hidden="1">#REF!</definedName>
    <definedName name="__123Graph_CCURRENT" localSheetId="1" hidden="1">#REF!</definedName>
    <definedName name="__123Graph_CCURRENT" hidden="1">#REF!</definedName>
    <definedName name="__123Graph_CGraph3" localSheetId="1" hidden="1">#REF!</definedName>
    <definedName name="__123Graph_CGraph3" hidden="1">#REF!</definedName>
    <definedName name="__123Graph_C損益分岐点" localSheetId="1" hidden="1">#REF!</definedName>
    <definedName name="__123Graph_C損益分岐点" hidden="1">#REF!</definedName>
    <definedName name="__123Graph_D" localSheetId="1" hidden="1">#REF!</definedName>
    <definedName name="__123Graph_D" hidden="1">#REF!</definedName>
    <definedName name="__123Graph_DChart1" localSheetId="1" hidden="1">#REF!</definedName>
    <definedName name="__123Graph_DChart1" hidden="1">#REF!</definedName>
    <definedName name="__123Graph_DChart2" localSheetId="1" hidden="1">#REF!</definedName>
    <definedName name="__123Graph_DChart2" hidden="1">#REF!</definedName>
    <definedName name="__123Graph_DChart3" localSheetId="1" hidden="1">#REF!</definedName>
    <definedName name="__123Graph_DChart3" hidden="1">#REF!</definedName>
    <definedName name="__123Graph_DChart4" localSheetId="1" hidden="1">#REF!</definedName>
    <definedName name="__123Graph_DChart4" hidden="1">#REF!</definedName>
    <definedName name="__123Graph_DChart5" localSheetId="1" hidden="1">#REF!</definedName>
    <definedName name="__123Graph_DChart5" hidden="1">#REF!</definedName>
    <definedName name="__123Graph_DChart6" localSheetId="1" hidden="1">#REF!</definedName>
    <definedName name="__123Graph_DChart6" hidden="1">#REF!</definedName>
    <definedName name="__123Graph_DChart7" localSheetId="1" hidden="1">#REF!</definedName>
    <definedName name="__123Graph_DChart7" hidden="1">#REF!</definedName>
    <definedName name="__123Graph_DCURRENT" localSheetId="1" hidden="1">#REF!</definedName>
    <definedName name="__123Graph_DCURRENT" hidden="1">#REF!</definedName>
    <definedName name="__123Graph_D損益分岐点" localSheetId="1" hidden="1">#REF!</definedName>
    <definedName name="__123Graph_D損益分岐点" hidden="1">#REF!</definedName>
    <definedName name="__123Graph_E" localSheetId="1" hidden="1">#REF!</definedName>
    <definedName name="__123Graph_E" hidden="1">#REF!</definedName>
    <definedName name="__123Graph_EChart1" localSheetId="1" hidden="1">#REF!</definedName>
    <definedName name="__123Graph_EChart1" hidden="1">#REF!</definedName>
    <definedName name="__123Graph_EChart2" localSheetId="1" hidden="1">#REF!</definedName>
    <definedName name="__123Graph_EChart2" hidden="1">#REF!</definedName>
    <definedName name="__123Graph_EChart3" localSheetId="1" hidden="1">#REF!</definedName>
    <definedName name="__123Graph_EChart3" hidden="1">#REF!</definedName>
    <definedName name="__123Graph_EChart4" localSheetId="1" hidden="1">#REF!</definedName>
    <definedName name="__123Graph_EChart4" hidden="1">#REF!</definedName>
    <definedName name="__123Graph_EChart5" localSheetId="1" hidden="1">#REF!</definedName>
    <definedName name="__123Graph_EChart5" hidden="1">#REF!</definedName>
    <definedName name="__123Graph_EChart6" localSheetId="1" hidden="1">#REF!</definedName>
    <definedName name="__123Graph_EChart6" hidden="1">#REF!</definedName>
    <definedName name="__123Graph_EChart7" localSheetId="1" hidden="1">#REF!</definedName>
    <definedName name="__123Graph_EChart7" hidden="1">#REF!</definedName>
    <definedName name="__123Graph_ECurrent" localSheetId="1" hidden="1">#REF!</definedName>
    <definedName name="__123Graph_ECurrent" hidden="1">#REF!</definedName>
    <definedName name="__123Graph_F" localSheetId="1" hidden="1">#REF!</definedName>
    <definedName name="__123Graph_F" hidden="1">#REF!</definedName>
    <definedName name="__123Graph_X" localSheetId="1" hidden="1">#REF!</definedName>
    <definedName name="__123Graph_X" hidden="1">#REF!</definedName>
    <definedName name="__123Graph_XANIDRO" localSheetId="1" hidden="1">#REF!</definedName>
    <definedName name="__123Graph_XANIDRO" hidden="1">#REF!</definedName>
    <definedName name="__123Graph_XChart1" localSheetId="1" hidden="1">#REF!</definedName>
    <definedName name="__123Graph_XChart1" hidden="1">#REF!</definedName>
    <definedName name="__123Graph_XChart2" localSheetId="1" hidden="1">#REF!</definedName>
    <definedName name="__123Graph_XChart2" hidden="1">#REF!</definedName>
    <definedName name="__123Graph_XChart3" localSheetId="1" hidden="1">#REF!</definedName>
    <definedName name="__123Graph_XChart3" hidden="1">#REF!</definedName>
    <definedName name="__123Graph_XChart4" localSheetId="1" hidden="1">#REF!</definedName>
    <definedName name="__123Graph_XChart4" hidden="1">#REF!</definedName>
    <definedName name="__123Graph_XChart5" localSheetId="1" hidden="1">#REF!</definedName>
    <definedName name="__123Graph_XChart5" hidden="1">#REF!</definedName>
    <definedName name="__123Graph_XChart6" localSheetId="1" hidden="1">#REF!</definedName>
    <definedName name="__123Graph_XChart6" hidden="1">#REF!</definedName>
    <definedName name="__123Graph_XChart7" localSheetId="1" hidden="1">#REF!</definedName>
    <definedName name="__123Graph_XChart7" hidden="1">#REF!</definedName>
    <definedName name="__123Graph_XCURRENT" localSheetId="1" hidden="1">#REF!</definedName>
    <definedName name="__123Graph_XCURRENT" hidden="1">#REF!</definedName>
    <definedName name="__123Graph_XGraph3" localSheetId="1" hidden="1">#REF!</definedName>
    <definedName name="__123Graph_XGraph3" hidden="1">#REF!</definedName>
    <definedName name="__123Graph_XHIALCOOL" localSheetId="1" hidden="1">#REF!</definedName>
    <definedName name="__123Graph_XHIALCOOL" hidden="1">#REF!</definedName>
    <definedName name="__123Graph_XHIDRATADO" localSheetId="1" hidden="1">#REF!</definedName>
    <definedName name="__123Graph_XHIDRATADO" hidden="1">#REF!</definedName>
    <definedName name="__123Graph_XSACAS" localSheetId="1" hidden="1">#REF!</definedName>
    <definedName name="__123Graph_XSACAS" hidden="1">#REF!</definedName>
    <definedName name="__123Graph_XTBSSSREV" localSheetId="1" hidden="1">#REF!</definedName>
    <definedName name="__123Graph_XTBSSSREV" hidden="1">#REF!</definedName>
    <definedName name="__123Graph_X損益分岐点" localSheetId="1" hidden="1">#REF!</definedName>
    <definedName name="__123Graph_X損益分岐点" hidden="1">#REF!</definedName>
    <definedName name="__DRE0700" localSheetId="3" hidden="1">{"'PXR_6500'!$A$1:$I$124"}</definedName>
    <definedName name="__DRE0700" localSheetId="1" hidden="1">{"'PXR_6500'!$A$1:$I$124"}</definedName>
    <definedName name="__DRE0700" hidden="1">{"'PXR_6500'!$A$1:$I$124"}</definedName>
    <definedName name="__FDS_HYPERLINK_TOGGLE_STATE__" hidden="1">"ON"</definedName>
    <definedName name="__FDS_UNIQUE_RANGE_ID_GENERATOR_COUNTER" hidden="1">1</definedName>
    <definedName name="__new1" localSheetId="3" hidden="1">{"review",#N/A,FALSE,"FACTSHT"}</definedName>
    <definedName name="__new1" localSheetId="1" hidden="1">{"review",#N/A,FALSE,"FACTSHT"}</definedName>
    <definedName name="__new1" hidden="1">{"review",#N/A,FALSE,"FACTSHT"}</definedName>
    <definedName name="__nmr1" localSheetId="1" hidden="1">#REF!</definedName>
    <definedName name="__nmr1" hidden="1">#REF!</definedName>
    <definedName name="__SC984" localSheetId="1">#REF!</definedName>
    <definedName name="__SC984">#REF!</definedName>
    <definedName name="__ww1" localSheetId="3" hidden="1">{"Assumptions",#N/A,FALSE,"Model"}</definedName>
    <definedName name="__ww1" localSheetId="1" hidden="1">{"Assumptions",#N/A,FALSE,"Model"}</definedName>
    <definedName name="__ww1" hidden="1">{"Assumptions",#N/A,FALSE,"Model"}</definedName>
    <definedName name="__ww1_1" localSheetId="3" hidden="1">{"Assumptions",#N/A,FALSE,"Model"}</definedName>
    <definedName name="__ww1_1" localSheetId="1" hidden="1">{"Assumptions",#N/A,FALSE,"Model"}</definedName>
    <definedName name="__ww1_1" hidden="1">{"Assumptions",#N/A,FALSE,"Model"}</definedName>
    <definedName name="__ww1_1_1" localSheetId="3" hidden="1">{"Assumptions",#N/A,FALSE,"Model"}</definedName>
    <definedName name="__ww1_1_1" localSheetId="1" hidden="1">{"Assumptions",#N/A,FALSE,"Model"}</definedName>
    <definedName name="__ww1_1_1" hidden="1">{"Assumptions",#N/A,FALSE,"Model"}</definedName>
    <definedName name="__ww1_1_1_1" localSheetId="3" hidden="1">{"Assumptions",#N/A,FALSE,"Model"}</definedName>
    <definedName name="__ww1_1_1_1" localSheetId="1" hidden="1">{"Assumptions",#N/A,FALSE,"Model"}</definedName>
    <definedName name="__ww1_1_1_1" hidden="1">{"Assumptions",#N/A,FALSE,"Model"}</definedName>
    <definedName name="__ww1_1_1_1_1" localSheetId="3" hidden="1">{"Assumptions",#N/A,FALSE,"Model"}</definedName>
    <definedName name="__ww1_1_1_1_1" localSheetId="1" hidden="1">{"Assumptions",#N/A,FALSE,"Model"}</definedName>
    <definedName name="__ww1_1_1_1_1" hidden="1">{"Assumptions",#N/A,FALSE,"Model"}</definedName>
    <definedName name="__ww1_1_2" localSheetId="3" hidden="1">{"Assumptions",#N/A,FALSE,"Model"}</definedName>
    <definedName name="__ww1_1_2" localSheetId="1" hidden="1">{"Assumptions",#N/A,FALSE,"Model"}</definedName>
    <definedName name="__ww1_1_2" hidden="1">{"Assumptions",#N/A,FALSE,"Model"}</definedName>
    <definedName name="__ww1_1_2_1" localSheetId="3" hidden="1">{"Assumptions",#N/A,FALSE,"Model"}</definedName>
    <definedName name="__ww1_1_2_1" localSheetId="1" hidden="1">{"Assumptions",#N/A,FALSE,"Model"}</definedName>
    <definedName name="__ww1_1_2_1" hidden="1">{"Assumptions",#N/A,FALSE,"Model"}</definedName>
    <definedName name="__ww1_1_3" localSheetId="3" hidden="1">{"Assumptions",#N/A,FALSE,"Model"}</definedName>
    <definedName name="__ww1_1_3" localSheetId="1" hidden="1">{"Assumptions",#N/A,FALSE,"Model"}</definedName>
    <definedName name="__ww1_1_3" hidden="1">{"Assumptions",#N/A,FALSE,"Model"}</definedName>
    <definedName name="__ww1_1_3_1" localSheetId="3" hidden="1">{"Assumptions",#N/A,FALSE,"Model"}</definedName>
    <definedName name="__ww1_1_3_1" localSheetId="1" hidden="1">{"Assumptions",#N/A,FALSE,"Model"}</definedName>
    <definedName name="__ww1_1_3_1" hidden="1">{"Assumptions",#N/A,FALSE,"Model"}</definedName>
    <definedName name="__ww1_1_4" localSheetId="3" hidden="1">{"Assumptions",#N/A,FALSE,"Model"}</definedName>
    <definedName name="__ww1_1_4" localSheetId="1" hidden="1">{"Assumptions",#N/A,FALSE,"Model"}</definedName>
    <definedName name="__ww1_1_4" hidden="1">{"Assumptions",#N/A,FALSE,"Model"}</definedName>
    <definedName name="__ww1_2" localSheetId="3" hidden="1">{"Assumptions",#N/A,FALSE,"Model"}</definedName>
    <definedName name="__ww1_2" localSheetId="1" hidden="1">{"Assumptions",#N/A,FALSE,"Model"}</definedName>
    <definedName name="__ww1_2" hidden="1">{"Assumptions",#N/A,FALSE,"Model"}</definedName>
    <definedName name="__ww1_2_1" localSheetId="3" hidden="1">{"Assumptions",#N/A,FALSE,"Model"}</definedName>
    <definedName name="__ww1_2_1" localSheetId="1" hidden="1">{"Assumptions",#N/A,FALSE,"Model"}</definedName>
    <definedName name="__ww1_2_1" hidden="1">{"Assumptions",#N/A,FALSE,"Model"}</definedName>
    <definedName name="__ww1_2_1_1" localSheetId="3" hidden="1">{"Assumptions",#N/A,FALSE,"Model"}</definedName>
    <definedName name="__ww1_2_1_1" localSheetId="1" hidden="1">{"Assumptions",#N/A,FALSE,"Model"}</definedName>
    <definedName name="__ww1_2_1_1" hidden="1">{"Assumptions",#N/A,FALSE,"Model"}</definedName>
    <definedName name="__ww1_2_1_1_1" localSheetId="3" hidden="1">{"Assumptions",#N/A,FALSE,"Model"}</definedName>
    <definedName name="__ww1_2_1_1_1" localSheetId="1" hidden="1">{"Assumptions",#N/A,FALSE,"Model"}</definedName>
    <definedName name="__ww1_2_1_1_1" hidden="1">{"Assumptions",#N/A,FALSE,"Model"}</definedName>
    <definedName name="__ww1_2_2" localSheetId="3" hidden="1">{"Assumptions",#N/A,FALSE,"Model"}</definedName>
    <definedName name="__ww1_2_2" localSheetId="1" hidden="1">{"Assumptions",#N/A,FALSE,"Model"}</definedName>
    <definedName name="__ww1_2_2" hidden="1">{"Assumptions",#N/A,FALSE,"Model"}</definedName>
    <definedName name="__ww1_2_2_1" localSheetId="3" hidden="1">{"Assumptions",#N/A,FALSE,"Model"}</definedName>
    <definedName name="__ww1_2_2_1" localSheetId="1" hidden="1">{"Assumptions",#N/A,FALSE,"Model"}</definedName>
    <definedName name="__ww1_2_2_1" hidden="1">{"Assumptions",#N/A,FALSE,"Model"}</definedName>
    <definedName name="__ww1_2_3" localSheetId="3" hidden="1">{"Assumptions",#N/A,FALSE,"Model"}</definedName>
    <definedName name="__ww1_2_3" localSheetId="1" hidden="1">{"Assumptions",#N/A,FALSE,"Model"}</definedName>
    <definedName name="__ww1_2_3" hidden="1">{"Assumptions",#N/A,FALSE,"Model"}</definedName>
    <definedName name="__ww1_3" localSheetId="3" hidden="1">{"Assumptions",#N/A,FALSE,"Model"}</definedName>
    <definedName name="__ww1_3" localSheetId="1" hidden="1">{"Assumptions",#N/A,FALSE,"Model"}</definedName>
    <definedName name="__ww1_3" hidden="1">{"Assumptions",#N/A,FALSE,"Model"}</definedName>
    <definedName name="__ww1_3_1" localSheetId="3" hidden="1">{"Assumptions",#N/A,FALSE,"Model"}</definedName>
    <definedName name="__ww1_3_1" localSheetId="1" hidden="1">{"Assumptions",#N/A,FALSE,"Model"}</definedName>
    <definedName name="__ww1_3_1" hidden="1">{"Assumptions",#N/A,FALSE,"Model"}</definedName>
    <definedName name="__ww1_3_1_1" localSheetId="3" hidden="1">{"Assumptions",#N/A,FALSE,"Model"}</definedName>
    <definedName name="__ww1_3_1_1" localSheetId="1" hidden="1">{"Assumptions",#N/A,FALSE,"Model"}</definedName>
    <definedName name="__ww1_3_1_1" hidden="1">{"Assumptions",#N/A,FALSE,"Model"}</definedName>
    <definedName name="__ww1_3_1_1_1" localSheetId="3" hidden="1">{"Assumptions",#N/A,FALSE,"Model"}</definedName>
    <definedName name="__ww1_3_1_1_1" localSheetId="1" hidden="1">{"Assumptions",#N/A,FALSE,"Model"}</definedName>
    <definedName name="__ww1_3_1_1_1" hidden="1">{"Assumptions",#N/A,FALSE,"Model"}</definedName>
    <definedName name="__ww1_3_2" localSheetId="3" hidden="1">{"Assumptions",#N/A,FALSE,"Model"}</definedName>
    <definedName name="__ww1_3_2" localSheetId="1" hidden="1">{"Assumptions",#N/A,FALSE,"Model"}</definedName>
    <definedName name="__ww1_3_2" hidden="1">{"Assumptions",#N/A,FALSE,"Model"}</definedName>
    <definedName name="__ww1_3_2_1" localSheetId="3" hidden="1">{"Assumptions",#N/A,FALSE,"Model"}</definedName>
    <definedName name="__ww1_3_2_1" localSheetId="1" hidden="1">{"Assumptions",#N/A,FALSE,"Model"}</definedName>
    <definedName name="__ww1_3_2_1" hidden="1">{"Assumptions",#N/A,FALSE,"Model"}</definedName>
    <definedName name="__ww1_3_3" localSheetId="3" hidden="1">{"Assumptions",#N/A,FALSE,"Model"}</definedName>
    <definedName name="__ww1_3_3" localSheetId="1" hidden="1">{"Assumptions",#N/A,FALSE,"Model"}</definedName>
    <definedName name="__ww1_3_3" hidden="1">{"Assumptions",#N/A,FALSE,"Model"}</definedName>
    <definedName name="__ww1_4" localSheetId="3" hidden="1">{"Assumptions",#N/A,FALSE,"Model"}</definedName>
    <definedName name="__ww1_4" localSheetId="1" hidden="1">{"Assumptions",#N/A,FALSE,"Model"}</definedName>
    <definedName name="__ww1_4" hidden="1">{"Assumptions",#N/A,FALSE,"Model"}</definedName>
    <definedName name="__ww1_4_1" localSheetId="3" hidden="1">{"Assumptions",#N/A,FALSE,"Model"}</definedName>
    <definedName name="__ww1_4_1" localSheetId="1" hidden="1">{"Assumptions",#N/A,FALSE,"Model"}</definedName>
    <definedName name="__ww1_4_1" hidden="1">{"Assumptions",#N/A,FALSE,"Model"}</definedName>
    <definedName name="__ww1_4_1_1" localSheetId="3" hidden="1">{"Assumptions",#N/A,FALSE,"Model"}</definedName>
    <definedName name="__ww1_4_1_1" localSheetId="1" hidden="1">{"Assumptions",#N/A,FALSE,"Model"}</definedName>
    <definedName name="__ww1_4_1_1" hidden="1">{"Assumptions",#N/A,FALSE,"Model"}</definedName>
    <definedName name="__ww1_4_1_1_1" localSheetId="3" hidden="1">{"Assumptions",#N/A,FALSE,"Model"}</definedName>
    <definedName name="__ww1_4_1_1_1" localSheetId="1" hidden="1">{"Assumptions",#N/A,FALSE,"Model"}</definedName>
    <definedName name="__ww1_4_1_1_1" hidden="1">{"Assumptions",#N/A,FALSE,"Model"}</definedName>
    <definedName name="__ww1_4_2" localSheetId="3" hidden="1">{"Assumptions",#N/A,FALSE,"Model"}</definedName>
    <definedName name="__ww1_4_2" localSheetId="1" hidden="1">{"Assumptions",#N/A,FALSE,"Model"}</definedName>
    <definedName name="__ww1_4_2" hidden="1">{"Assumptions",#N/A,FALSE,"Model"}</definedName>
    <definedName name="__ww1_4_2_1" localSheetId="3" hidden="1">{"Assumptions",#N/A,FALSE,"Model"}</definedName>
    <definedName name="__ww1_4_2_1" localSheetId="1" hidden="1">{"Assumptions",#N/A,FALSE,"Model"}</definedName>
    <definedName name="__ww1_4_2_1" hidden="1">{"Assumptions",#N/A,FALSE,"Model"}</definedName>
    <definedName name="__ww1_4_3" localSheetId="3" hidden="1">{"Assumptions",#N/A,FALSE,"Model"}</definedName>
    <definedName name="__ww1_4_3" localSheetId="1" hidden="1">{"Assumptions",#N/A,FALSE,"Model"}</definedName>
    <definedName name="__ww1_4_3" hidden="1">{"Assumptions",#N/A,FALSE,"Model"}</definedName>
    <definedName name="__ww1_5" localSheetId="3" hidden="1">{"Assumptions",#N/A,FALSE,"Model"}</definedName>
    <definedName name="__ww1_5" localSheetId="1" hidden="1">{"Assumptions",#N/A,FALSE,"Model"}</definedName>
    <definedName name="__ww1_5" hidden="1">{"Assumptions",#N/A,FALSE,"Model"}</definedName>
    <definedName name="__ww1_5_1" localSheetId="3" hidden="1">{"Assumptions",#N/A,FALSE,"Model"}</definedName>
    <definedName name="__ww1_5_1" localSheetId="1" hidden="1">{"Assumptions",#N/A,FALSE,"Model"}</definedName>
    <definedName name="__ww1_5_1" hidden="1">{"Assumptions",#N/A,FALSE,"Model"}</definedName>
    <definedName name="__ww1_5_1_1" localSheetId="3" hidden="1">{"Assumptions",#N/A,FALSE,"Model"}</definedName>
    <definedName name="__ww1_5_1_1" localSheetId="1" hidden="1">{"Assumptions",#N/A,FALSE,"Model"}</definedName>
    <definedName name="__ww1_5_1_1" hidden="1">{"Assumptions",#N/A,FALSE,"Model"}</definedName>
    <definedName name="__ww1_5_1_1_1" localSheetId="3" hidden="1">{"Assumptions",#N/A,FALSE,"Model"}</definedName>
    <definedName name="__ww1_5_1_1_1" localSheetId="1" hidden="1">{"Assumptions",#N/A,FALSE,"Model"}</definedName>
    <definedName name="__ww1_5_1_1_1" hidden="1">{"Assumptions",#N/A,FALSE,"Model"}</definedName>
    <definedName name="__ww1_5_2" localSheetId="3" hidden="1">{"Assumptions",#N/A,FALSE,"Model"}</definedName>
    <definedName name="__ww1_5_2" localSheetId="1" hidden="1">{"Assumptions",#N/A,FALSE,"Model"}</definedName>
    <definedName name="__ww1_5_2" hidden="1">{"Assumptions",#N/A,FALSE,"Model"}</definedName>
    <definedName name="__ww1_5_2_1" localSheetId="3" hidden="1">{"Assumptions",#N/A,FALSE,"Model"}</definedName>
    <definedName name="__ww1_5_2_1" localSheetId="1" hidden="1">{"Assumptions",#N/A,FALSE,"Model"}</definedName>
    <definedName name="__ww1_5_2_1" hidden="1">{"Assumptions",#N/A,FALSE,"Model"}</definedName>
    <definedName name="__ww1_5_3" localSheetId="3" hidden="1">{"Assumptions",#N/A,FALSE,"Model"}</definedName>
    <definedName name="__ww1_5_3" localSheetId="1" hidden="1">{"Assumptions",#N/A,FALSE,"Model"}</definedName>
    <definedName name="__ww1_5_3" hidden="1">{"Assumptions",#N/A,FALSE,"Model"}</definedName>
    <definedName name="_1__123Graph_ACHART_1A" localSheetId="1" hidden="1">#REF!</definedName>
    <definedName name="_1__123Graph_ACHART_1A" hidden="1">#REF!</definedName>
    <definedName name="_12__123Graph_ACHART_1" hidden="1">#REF!</definedName>
    <definedName name="_14__123Graph_ACHART_2" hidden="1">#REF!</definedName>
    <definedName name="_16__123Graph_BCHART_1" hidden="1">#REF!</definedName>
    <definedName name="_18__123Graph_BCHART_2" hidden="1">#REF!</definedName>
    <definedName name="_1st" localSheetId="1">#REF!</definedName>
    <definedName name="_1st">#REF!</definedName>
    <definedName name="_2__123Graph_BCHART_1A" localSheetId="1" hidden="1">#REF!</definedName>
    <definedName name="_2__123Graph_BCHART_1A" hidden="1">#REF!</definedName>
    <definedName name="_20__123Graph_CCHART_1" hidden="1">#REF!</definedName>
    <definedName name="_22__123Graph_CCHART_2" hidden="1">#REF!</definedName>
    <definedName name="_24__123Graph_DCHART_1" hidden="1">#REF!</definedName>
    <definedName name="_26__123Graph_DCHART_2" hidden="1">#REF!</definedName>
    <definedName name="_28__123Graph_XCHART_1" hidden="1">#REF!</definedName>
    <definedName name="_2nd" localSheetId="1">#REF!</definedName>
    <definedName name="_2nd">#REF!</definedName>
    <definedName name="_3__123Graph_CCHART_1A" localSheetId="1" hidden="1">#REF!</definedName>
    <definedName name="_3__123Graph_CCHART_1A" hidden="1">#REF!</definedName>
    <definedName name="_3__123Graph_ECHART_6" hidden="1">#REF!</definedName>
    <definedName name="_30__123Graph_XCHART_2" hidden="1">#REF!</definedName>
    <definedName name="_3rd" localSheetId="1">#REF!</definedName>
    <definedName name="_3rd">#REF!</definedName>
    <definedName name="_4__123Graph_DCHART_1A" localSheetId="1" hidden="1">#REF!</definedName>
    <definedName name="_4__123Graph_DCHART_1A" hidden="1">#REF!</definedName>
    <definedName name="_4BANK_COVENANTS" localSheetId="1">#REF!</definedName>
    <definedName name="_4BANK_COVENANTS">#REF!</definedName>
    <definedName name="_4th" localSheetId="1">#REF!</definedName>
    <definedName name="_4th">#REF!</definedName>
    <definedName name="_5__123Graph_ECHART_1A" localSheetId="1" hidden="1">#REF!</definedName>
    <definedName name="_5__123Graph_ECHART_1A" hidden="1">#REF!</definedName>
    <definedName name="_6__123Graph_FCHART_1A" localSheetId="1" hidden="1">#REF!</definedName>
    <definedName name="_6__123Graph_FCHART_1A" hidden="1">#REF!</definedName>
    <definedName name="_AccountLanguage">"EN"</definedName>
    <definedName name="_AMO_ContentDefinition_533030473" hidden="1">"'Partitions:9'"</definedName>
    <definedName name="_AMO_ContentDefinition_533030473.0" hidden="1">"'&lt;ContentDefinition name=""SASApp:BW.LEVLOAN_20150330"" rsid=""533030473"" type=""DataSet"" format=""ReportXml"" imgfmt=""ActiveX"" created=""03/30/2015 14:07:52"" modifed=""03/30/2015 14:07:52"" user=""Brian L Williams"" apply=""False"" css=""C:\Progr'"</definedName>
    <definedName name="_AMO_ContentDefinition_533030473.1" hidden="1">"'am Files\SASHome\SASAddinforMicrosoftOffice\5.1\Styles\AMODefault.css"" range=""SASApp_BW_LEVLOAN_20150330_2"" auto=""False"" xTime=""00:00:00.0800080"" rTime=""00:00:02.6602660"" bgnew=""False"" nFmt=""False"" grphSet=""True"" imgY=""0"" imgX=""0""'"</definedName>
    <definedName name="_AMO_ContentDefinition_533030473.2" hidden="1">"' redirect=""False""&gt;_x000D_
  &lt;files /&gt;_x000D_
  &lt;parents /&gt;_x000D_
  &lt;children /&gt;_x000D_
  &lt;param n=""AMO_Version"" v=""7.1"" /&gt;_x000D_
  &lt;param n=""DisplayName"" v=""SASApp:BW.LEVLOAN_20150330"" /&gt;_x000D_
  &lt;param n=""DisplayType"" v=""Data Set"" /&gt;_x000D_
  &lt;param n=""DataSourceType"" v='"</definedName>
    <definedName name="_AMO_ContentDefinition_533030473.3" hidden="1">"'""SAS DATASET"" /&gt;_x000D_
  &lt;param n=""SASFilter"" v="""" /&gt;_x000D_
  &lt;param n=""MoreSheetsForRows"" v=""True"" /&gt;_x000D_
  &lt;param n=""PageSize"" v=""500"" /&gt;_x000D_
  &lt;param n=""ShowRowNumbers"" v=""True"" /&gt;_x000D_
  &lt;param n=""ShowInfoInSheet"" v=""False"" /&gt;_x000D_
  &lt;param n=""Cr'"</definedName>
    <definedName name="_AMO_ContentDefinition_533030473.4" hidden="1">"'edKey"" v=""LEVLOAN_20150330&amp;#x1;SASApp&amp;#x1;BW"" /&gt;_x000D_
  &lt;param n=""ClassName"" v=""SAS.OfficeAddin.DataViewItem"" /&gt;_x000D_
  &lt;param n=""ServerName"" v=""SASApp"" /&gt;_x000D_
  &lt;param n=""DataSource"" v=""&amp;lt;SasDataSource Version=&amp;quot;4.2&amp;quot; Type=&amp;quot;SAS.Serv'"</definedName>
    <definedName name="_AMO_ContentDefinition_533030473.5" hidden="1">"'ers.Dataset&amp;quot; Svr=&amp;quot;SASApp&amp;quot; Lib=&amp;quot;BW&amp;quot; Libname=&amp;quot;BW&amp;quot; FilterDS=&amp;quot;&amp;amp;lt;?xml version=&amp;amp;quot;1.0&amp;amp;quot; encoding=&amp;amp;quot;utf-16&amp;amp;quot;?&amp;amp;gt;&amp;amp;lt;FilterTree&amp;amp;gt;&amp;amp;lt;TreeRoot /&amp;amp;gt;&amp;amp;lt;/Fil'"</definedName>
    <definedName name="_AMO_ContentDefinition_533030473.6" hidden="1">"'terTree&amp;amp;gt;&amp;quot; ColSelFlg=&amp;quot;0&amp;quot; Name=&amp;quot;LEVLOAN_20150330&amp;quot; /&amp;gt;"" /&gt;_x000D_
  &lt;param n=""ExcelTableColumnCount"" v=""28"" /&gt;_x000D_
  &lt;param n=""ExcelTableRowCount"" v=""454"" /&gt;_x000D_
  &lt;param n=""DataRowCount"" v=""454"" /&gt;_x000D_
  &lt;param n=""Dat'"</definedName>
    <definedName name="_AMO_ContentDefinition_533030473.7" hidden="1">"'aColCount"" v=""27"" /&gt;_x000D_
  &lt;param n=""ObsColumn"" v=""true"" /&gt;_x000D_
  &lt;param n=""ExcelFormattingHash"" v=""-1887557661"" /&gt;_x000D_
  &lt;param n=""ExcelFormatting"" v=""Automatic"" /&gt;_x000D_
  &lt;ExcelXMLOptions AdjColWidths=""True"" RowOpt=""InsertCells"" ColOpt=""Inse'"</definedName>
    <definedName name="_AMO_ContentDefinition_533030473.8" hidden="1">"'rtCells"" /&gt;_x000D_
&lt;/ContentDefinition&gt;'"</definedName>
    <definedName name="_AMO_ContentLocation_533030473__A1" hidden="1">"'Partitions:2'"</definedName>
    <definedName name="_AMO_ContentLocation_533030473__A1.0" hidden="1">"'&lt;ContentLocation path=""A1"" rsid=""533030473"" tag="""" fid=""0""&gt;_x000D_
  &lt;param n=""_NumRows"" v=""455"" /&gt;_x000D_
  &lt;param n=""_NumCols"" v=""28"" /&gt;_x000D_
  &lt;param n=""SASDataState"" v=""none"" /&gt;_x000D_
  &lt;param n=""SASDataStart"" v=""1"" /&gt;_x000D_
  &lt;param n=""SASDataE'"</definedName>
    <definedName name="_AMO_ContentLocation_533030473__A1.1" hidden="1">"'nd"" v=""454"" /&gt;_x000D_
&lt;/ContentLocation&gt;'"</definedName>
    <definedName name="_AMO_SingleObject_533030473__A1" hidden="1">#REF!</definedName>
    <definedName name="_AMO_UniqueIdentifier" hidden="1">"'a0804b25-3976-4365-b5fc-c3afc19f463f'"</definedName>
    <definedName name="_AMO_XmlVersion" hidden="1">"'1'"</definedName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1</definedName>
    <definedName name="_AtRisk_SimSetting_SimNameCount" hidden="1">0</definedName>
    <definedName name="_AtRisk_SimSetting_SmartSensitivityAnalysisEnabled" hidden="1">TRUE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bdm.1825FD40022A418D9101120F7C9E90B4.edm" hidden="1">#REF!</definedName>
    <definedName name="_bdm.1B8C5E7888CB4CC79B9F4D0A199B8B99.edm" hidden="1">#REF!</definedName>
    <definedName name="_bdm.6388D76133264D46BD6A140AF20FD375.edm" hidden="1">#REF!</definedName>
    <definedName name="_bdm.7F3B1CB0C3E847D8A8F04913226AC8CA.edm" hidden="1">#REF!</definedName>
    <definedName name="_bdm.BAF6B3CC8BBC4C3580CD3DE17379D13E.edm" hidden="1">#REF!</definedName>
    <definedName name="_bdm.FBC8F4734CD44B95848F689416B40C4F.edm" localSheetId="1" hidden="1">#REF!</definedName>
    <definedName name="_bdm.FBC8F4734CD44B95848F689416B40C4F.edm" hidden="1">#REF!</definedName>
    <definedName name="_bdm.ToolkitBookmark.1_30_03_11_02_40_PM.edm" localSheetId="1" hidden="1">#REF!</definedName>
    <definedName name="_bdm.ToolkitBookmark.1_30_03_11_02_40_PM.edm" hidden="1">#REF!</definedName>
    <definedName name="_ColCount">27</definedName>
    <definedName name="_ColLabelMapping">"875934126"</definedName>
    <definedName name="_ColLabelVisible">"000001111"</definedName>
    <definedName name="_Dist_Bin" hidden="1">#REF!</definedName>
    <definedName name="_Dist_Values" hidden="1">#REF!</definedName>
    <definedName name="_DRE0700" localSheetId="3" hidden="1">{"'PXR_6500'!$A$1:$I$124"}</definedName>
    <definedName name="_DRE0700" localSheetId="1" hidden="1">{"'PXR_6500'!$A$1:$I$124"}</definedName>
    <definedName name="_DRE0700" hidden="1">{"'PXR_6500'!$A$1:$I$124"}</definedName>
    <definedName name="_Fill" hidden="1">#REF!</definedName>
    <definedName name="_xlnm._FilterDatabase" localSheetId="3" hidden="1">'Master Data (DO NOT EDIT)'!$A$1:$BP$149</definedName>
    <definedName name="_xlnm._FilterDatabase" localSheetId="1" hidden="1">'Notes - R&amp;O'!$A$1:$L$147</definedName>
    <definedName name="_xlnm._FilterDatabase" localSheetId="5" hidden="1">Rough!$O$5:$U$84</definedName>
    <definedName name="_xlnm._FilterDatabase" localSheetId="0" hidden="1">'YTD Financials Run Rate'!$A$27:$G$66</definedName>
    <definedName name="_xlnm._FilterDatabase" hidden="1">#REF!</definedName>
    <definedName name="_FlowType">"C"</definedName>
    <definedName name="_IncludeAccountNo">1</definedName>
    <definedName name="_IncludeAccountText">0</definedName>
    <definedName name="_IncludeDimName">0</definedName>
    <definedName name="_IncludeGroupName">0</definedName>
    <definedName name="_Key1" hidden="1">#REF!</definedName>
    <definedName name="_Key2" hidden="1">#REF!</definedName>
    <definedName name="_Keyn" hidden="1">#REF!</definedName>
    <definedName name="_new1" localSheetId="3" hidden="1">{"review",#N/A,FALSE,"FACTSHT"}</definedName>
    <definedName name="_new1" localSheetId="1" hidden="1">{"review",#N/A,FALSE,"FACTSHT"}</definedName>
    <definedName name="_new1" hidden="1">{"review",#N/A,FALSE,"FACTSHT"}</definedName>
    <definedName name="_nmr1" localSheetId="1" hidden="1">#REF!</definedName>
    <definedName name="_nmr1" hidden="1">#REF!</definedName>
    <definedName name="_Order1" hidden="1">255</definedName>
    <definedName name="_Order2" hidden="1">255</definedName>
    <definedName name="_Parse_In" hidden="1">#REF!</definedName>
    <definedName name="_Parse_Out" hidden="1">#REF!</definedName>
    <definedName name="_pARSE_QUE" hidden="1">#REF!</definedName>
    <definedName name="_r" localSheetId="3" hidden="1">{"FS`s",#N/A,TRUE,"FS's";"Icome St",#N/A,TRUE,"Income St.";"Balance Sh",#N/A,TRUE,"Balance Sh.";"Gross Margin",#N/A,TRUE,"Gross Margin"}</definedName>
    <definedName name="_r" localSheetId="1" hidden="1">{"FS`s",#N/A,TRUE,"FS's";"Icome St",#N/A,TRUE,"Income St.";"Balance Sh",#N/A,TRUE,"Balance Sh.";"Gross Margin",#N/A,TRUE,"Gross Margin"}</definedName>
    <definedName name="_r" hidden="1">{"FS`s",#N/A,TRUE,"FS's";"Icome St",#N/A,TRUE,"Income St.";"Balance Sh",#N/A,TRUE,"Balance Sh.";"Gross Margin",#N/A,TRUE,"Gross Margin"}</definedName>
    <definedName name="_Regression_Int" hidden="1">1</definedName>
    <definedName name="_Regression_Out" hidden="1">#REF!</definedName>
    <definedName name="_Regression_X" localSheetId="1" hidden="1">#REF!</definedName>
    <definedName name="_Regression_X" hidden="1">#REF!</definedName>
    <definedName name="_Regression_Y" hidden="1">#REF!</definedName>
    <definedName name="_RowCount">1043</definedName>
    <definedName name="_RowType">"A"</definedName>
    <definedName name="_SC984" localSheetId="1">#REF!</definedName>
    <definedName name="_SC984">#REF!</definedName>
    <definedName name="_ShortNamesInColumns">0</definedName>
    <definedName name="_ShortNamesInRows">0</definedName>
    <definedName name="_Sort" hidden="1">#REF!</definedName>
    <definedName name="_Sortn" hidden="1">#REF!</definedName>
    <definedName name="_Table1_In1" hidden="1">#REF!</definedName>
    <definedName name="_Table1_Out" hidden="1">#REF!</definedName>
    <definedName name="_Table2_In1" hidden="1">#REF!</definedName>
    <definedName name="_Table2_In2" hidden="1">#REF!</definedName>
    <definedName name="_Table2_Out" hidden="1">#REF!</definedName>
    <definedName name="_Table3_In2" hidden="1">#REF!</definedName>
    <definedName name="_v" localSheetId="1" hidden="1">#REF!</definedName>
    <definedName name="_v" hidden="1">#REF!</definedName>
    <definedName name="_ww1" localSheetId="3" hidden="1">{"Assumptions",#N/A,FALSE,"Model"}</definedName>
    <definedName name="_ww1" localSheetId="1" hidden="1">{"Assumptions",#N/A,FALSE,"Model"}</definedName>
    <definedName name="_ww1" hidden="1">{"Assumptions",#N/A,FALSE,"Model"}</definedName>
    <definedName name="_ww1_1" localSheetId="3" hidden="1">{"Assumptions",#N/A,FALSE,"Model"}</definedName>
    <definedName name="_ww1_1" localSheetId="1" hidden="1">{"Assumptions",#N/A,FALSE,"Model"}</definedName>
    <definedName name="_ww1_1" hidden="1">{"Assumptions",#N/A,FALSE,"Model"}</definedName>
    <definedName name="_ww1_1_1" localSheetId="3" hidden="1">{"Assumptions",#N/A,FALSE,"Model"}</definedName>
    <definedName name="_ww1_1_1" localSheetId="1" hidden="1">{"Assumptions",#N/A,FALSE,"Model"}</definedName>
    <definedName name="_ww1_1_1" hidden="1">{"Assumptions",#N/A,FALSE,"Model"}</definedName>
    <definedName name="_ww1_1_1_1" localSheetId="3" hidden="1">{"Assumptions",#N/A,FALSE,"Model"}</definedName>
    <definedName name="_ww1_1_1_1" localSheetId="1" hidden="1">{"Assumptions",#N/A,FALSE,"Model"}</definedName>
    <definedName name="_ww1_1_1_1" hidden="1">{"Assumptions",#N/A,FALSE,"Model"}</definedName>
    <definedName name="_ww1_1_1_1_1" localSheetId="3" hidden="1">{"Assumptions",#N/A,FALSE,"Model"}</definedName>
    <definedName name="_ww1_1_1_1_1" localSheetId="1" hidden="1">{"Assumptions",#N/A,FALSE,"Model"}</definedName>
    <definedName name="_ww1_1_1_1_1" hidden="1">{"Assumptions",#N/A,FALSE,"Model"}</definedName>
    <definedName name="_ww1_1_2" localSheetId="3" hidden="1">{"Assumptions",#N/A,FALSE,"Model"}</definedName>
    <definedName name="_ww1_1_2" localSheetId="1" hidden="1">{"Assumptions",#N/A,FALSE,"Model"}</definedName>
    <definedName name="_ww1_1_2" hidden="1">{"Assumptions",#N/A,FALSE,"Model"}</definedName>
    <definedName name="_ww1_1_2_1" localSheetId="3" hidden="1">{"Assumptions",#N/A,FALSE,"Model"}</definedName>
    <definedName name="_ww1_1_2_1" localSheetId="1" hidden="1">{"Assumptions",#N/A,FALSE,"Model"}</definedName>
    <definedName name="_ww1_1_2_1" hidden="1">{"Assumptions",#N/A,FALSE,"Model"}</definedName>
    <definedName name="_ww1_1_3" localSheetId="3" hidden="1">{"Assumptions",#N/A,FALSE,"Model"}</definedName>
    <definedName name="_ww1_1_3" localSheetId="1" hidden="1">{"Assumptions",#N/A,FALSE,"Model"}</definedName>
    <definedName name="_ww1_1_3" hidden="1">{"Assumptions",#N/A,FALSE,"Model"}</definedName>
    <definedName name="_ww1_1_3_1" localSheetId="3" hidden="1">{"Assumptions",#N/A,FALSE,"Model"}</definedName>
    <definedName name="_ww1_1_3_1" localSheetId="1" hidden="1">{"Assumptions",#N/A,FALSE,"Model"}</definedName>
    <definedName name="_ww1_1_3_1" hidden="1">{"Assumptions",#N/A,FALSE,"Model"}</definedName>
    <definedName name="_ww1_1_4" localSheetId="3" hidden="1">{"Assumptions",#N/A,FALSE,"Model"}</definedName>
    <definedName name="_ww1_1_4" localSheetId="1" hidden="1">{"Assumptions",#N/A,FALSE,"Model"}</definedName>
    <definedName name="_ww1_1_4" hidden="1">{"Assumptions",#N/A,FALSE,"Model"}</definedName>
    <definedName name="_ww1_2" localSheetId="3" hidden="1">{"Assumptions",#N/A,FALSE,"Model"}</definedName>
    <definedName name="_ww1_2" localSheetId="1" hidden="1">{"Assumptions",#N/A,FALSE,"Model"}</definedName>
    <definedName name="_ww1_2" hidden="1">{"Assumptions",#N/A,FALSE,"Model"}</definedName>
    <definedName name="_ww1_2_1" localSheetId="3" hidden="1">{"Assumptions",#N/A,FALSE,"Model"}</definedName>
    <definedName name="_ww1_2_1" localSheetId="1" hidden="1">{"Assumptions",#N/A,FALSE,"Model"}</definedName>
    <definedName name="_ww1_2_1" hidden="1">{"Assumptions",#N/A,FALSE,"Model"}</definedName>
    <definedName name="_ww1_2_1_1" localSheetId="3" hidden="1">{"Assumptions",#N/A,FALSE,"Model"}</definedName>
    <definedName name="_ww1_2_1_1" localSheetId="1" hidden="1">{"Assumptions",#N/A,FALSE,"Model"}</definedName>
    <definedName name="_ww1_2_1_1" hidden="1">{"Assumptions",#N/A,FALSE,"Model"}</definedName>
    <definedName name="_ww1_2_1_1_1" localSheetId="3" hidden="1">{"Assumptions",#N/A,FALSE,"Model"}</definedName>
    <definedName name="_ww1_2_1_1_1" localSheetId="1" hidden="1">{"Assumptions",#N/A,FALSE,"Model"}</definedName>
    <definedName name="_ww1_2_1_1_1" hidden="1">{"Assumptions",#N/A,FALSE,"Model"}</definedName>
    <definedName name="_ww1_2_2" localSheetId="3" hidden="1">{"Assumptions",#N/A,FALSE,"Model"}</definedName>
    <definedName name="_ww1_2_2" localSheetId="1" hidden="1">{"Assumptions",#N/A,FALSE,"Model"}</definedName>
    <definedName name="_ww1_2_2" hidden="1">{"Assumptions",#N/A,FALSE,"Model"}</definedName>
    <definedName name="_ww1_2_2_1" localSheetId="3" hidden="1">{"Assumptions",#N/A,FALSE,"Model"}</definedName>
    <definedName name="_ww1_2_2_1" localSheetId="1" hidden="1">{"Assumptions",#N/A,FALSE,"Model"}</definedName>
    <definedName name="_ww1_2_2_1" hidden="1">{"Assumptions",#N/A,FALSE,"Model"}</definedName>
    <definedName name="_ww1_2_3" localSheetId="3" hidden="1">{"Assumptions",#N/A,FALSE,"Model"}</definedName>
    <definedName name="_ww1_2_3" localSheetId="1" hidden="1">{"Assumptions",#N/A,FALSE,"Model"}</definedName>
    <definedName name="_ww1_2_3" hidden="1">{"Assumptions",#N/A,FALSE,"Model"}</definedName>
    <definedName name="_ww1_3" localSheetId="3" hidden="1">{"Assumptions",#N/A,FALSE,"Model"}</definedName>
    <definedName name="_ww1_3" localSheetId="1" hidden="1">{"Assumptions",#N/A,FALSE,"Model"}</definedName>
    <definedName name="_ww1_3" hidden="1">{"Assumptions",#N/A,FALSE,"Model"}</definedName>
    <definedName name="_ww1_3_1" localSheetId="3" hidden="1">{"Assumptions",#N/A,FALSE,"Model"}</definedName>
    <definedName name="_ww1_3_1" localSheetId="1" hidden="1">{"Assumptions",#N/A,FALSE,"Model"}</definedName>
    <definedName name="_ww1_3_1" hidden="1">{"Assumptions",#N/A,FALSE,"Model"}</definedName>
    <definedName name="_ww1_3_1_1" localSheetId="3" hidden="1">{"Assumptions",#N/A,FALSE,"Model"}</definedName>
    <definedName name="_ww1_3_1_1" localSheetId="1" hidden="1">{"Assumptions",#N/A,FALSE,"Model"}</definedName>
    <definedName name="_ww1_3_1_1" hidden="1">{"Assumptions",#N/A,FALSE,"Model"}</definedName>
    <definedName name="_ww1_3_1_1_1" localSheetId="3" hidden="1">{"Assumptions",#N/A,FALSE,"Model"}</definedName>
    <definedName name="_ww1_3_1_1_1" localSheetId="1" hidden="1">{"Assumptions",#N/A,FALSE,"Model"}</definedName>
    <definedName name="_ww1_3_1_1_1" hidden="1">{"Assumptions",#N/A,FALSE,"Model"}</definedName>
    <definedName name="_ww1_3_2" localSheetId="3" hidden="1">{"Assumptions",#N/A,FALSE,"Model"}</definedName>
    <definedName name="_ww1_3_2" localSheetId="1" hidden="1">{"Assumptions",#N/A,FALSE,"Model"}</definedName>
    <definedName name="_ww1_3_2" hidden="1">{"Assumptions",#N/A,FALSE,"Model"}</definedName>
    <definedName name="_ww1_3_2_1" localSheetId="3" hidden="1">{"Assumptions",#N/A,FALSE,"Model"}</definedName>
    <definedName name="_ww1_3_2_1" localSheetId="1" hidden="1">{"Assumptions",#N/A,FALSE,"Model"}</definedName>
    <definedName name="_ww1_3_2_1" hidden="1">{"Assumptions",#N/A,FALSE,"Model"}</definedName>
    <definedName name="_ww1_3_3" localSheetId="3" hidden="1">{"Assumptions",#N/A,FALSE,"Model"}</definedName>
    <definedName name="_ww1_3_3" localSheetId="1" hidden="1">{"Assumptions",#N/A,FALSE,"Model"}</definedName>
    <definedName name="_ww1_3_3" hidden="1">{"Assumptions",#N/A,FALSE,"Model"}</definedName>
    <definedName name="_ww1_4" localSheetId="3" hidden="1">{"Assumptions",#N/A,FALSE,"Model"}</definedName>
    <definedName name="_ww1_4" localSheetId="1" hidden="1">{"Assumptions",#N/A,FALSE,"Model"}</definedName>
    <definedName name="_ww1_4" hidden="1">{"Assumptions",#N/A,FALSE,"Model"}</definedName>
    <definedName name="_ww1_4_1" localSheetId="3" hidden="1">{"Assumptions",#N/A,FALSE,"Model"}</definedName>
    <definedName name="_ww1_4_1" localSheetId="1" hidden="1">{"Assumptions",#N/A,FALSE,"Model"}</definedName>
    <definedName name="_ww1_4_1" hidden="1">{"Assumptions",#N/A,FALSE,"Model"}</definedName>
    <definedName name="_ww1_4_1_1" localSheetId="3" hidden="1">{"Assumptions",#N/A,FALSE,"Model"}</definedName>
    <definedName name="_ww1_4_1_1" localSheetId="1" hidden="1">{"Assumptions",#N/A,FALSE,"Model"}</definedName>
    <definedName name="_ww1_4_1_1" hidden="1">{"Assumptions",#N/A,FALSE,"Model"}</definedName>
    <definedName name="_ww1_4_1_1_1" localSheetId="3" hidden="1">{"Assumptions",#N/A,FALSE,"Model"}</definedName>
    <definedName name="_ww1_4_1_1_1" localSheetId="1" hidden="1">{"Assumptions",#N/A,FALSE,"Model"}</definedName>
    <definedName name="_ww1_4_1_1_1" hidden="1">{"Assumptions",#N/A,FALSE,"Model"}</definedName>
    <definedName name="_ww1_4_2" localSheetId="3" hidden="1">{"Assumptions",#N/A,FALSE,"Model"}</definedName>
    <definedName name="_ww1_4_2" localSheetId="1" hidden="1">{"Assumptions",#N/A,FALSE,"Model"}</definedName>
    <definedName name="_ww1_4_2" hidden="1">{"Assumptions",#N/A,FALSE,"Model"}</definedName>
    <definedName name="_ww1_4_2_1" localSheetId="3" hidden="1">{"Assumptions",#N/A,FALSE,"Model"}</definedName>
    <definedName name="_ww1_4_2_1" localSheetId="1" hidden="1">{"Assumptions",#N/A,FALSE,"Model"}</definedName>
    <definedName name="_ww1_4_2_1" hidden="1">{"Assumptions",#N/A,FALSE,"Model"}</definedName>
    <definedName name="_ww1_4_3" localSheetId="3" hidden="1">{"Assumptions",#N/A,FALSE,"Model"}</definedName>
    <definedName name="_ww1_4_3" localSheetId="1" hidden="1">{"Assumptions",#N/A,FALSE,"Model"}</definedName>
    <definedName name="_ww1_4_3" hidden="1">{"Assumptions",#N/A,FALSE,"Model"}</definedName>
    <definedName name="_ww1_5" localSheetId="3" hidden="1">{"Assumptions",#N/A,FALSE,"Model"}</definedName>
    <definedName name="_ww1_5" localSheetId="1" hidden="1">{"Assumptions",#N/A,FALSE,"Model"}</definedName>
    <definedName name="_ww1_5" hidden="1">{"Assumptions",#N/A,FALSE,"Model"}</definedName>
    <definedName name="_ww1_5_1" localSheetId="3" hidden="1">{"Assumptions",#N/A,FALSE,"Model"}</definedName>
    <definedName name="_ww1_5_1" localSheetId="1" hidden="1">{"Assumptions",#N/A,FALSE,"Model"}</definedName>
    <definedName name="_ww1_5_1" hidden="1">{"Assumptions",#N/A,FALSE,"Model"}</definedName>
    <definedName name="_ww1_5_1_1" localSheetId="3" hidden="1">{"Assumptions",#N/A,FALSE,"Model"}</definedName>
    <definedName name="_ww1_5_1_1" localSheetId="1" hidden="1">{"Assumptions",#N/A,FALSE,"Model"}</definedName>
    <definedName name="_ww1_5_1_1" hidden="1">{"Assumptions",#N/A,FALSE,"Model"}</definedName>
    <definedName name="_ww1_5_1_1_1" localSheetId="3" hidden="1">{"Assumptions",#N/A,FALSE,"Model"}</definedName>
    <definedName name="_ww1_5_1_1_1" localSheetId="1" hidden="1">{"Assumptions",#N/A,FALSE,"Model"}</definedName>
    <definedName name="_ww1_5_1_1_1" hidden="1">{"Assumptions",#N/A,FALSE,"Model"}</definedName>
    <definedName name="_ww1_5_2" localSheetId="3" hidden="1">{"Assumptions",#N/A,FALSE,"Model"}</definedName>
    <definedName name="_ww1_5_2" localSheetId="1" hidden="1">{"Assumptions",#N/A,FALSE,"Model"}</definedName>
    <definedName name="_ww1_5_2" hidden="1">{"Assumptions",#N/A,FALSE,"Model"}</definedName>
    <definedName name="_ww1_5_2_1" localSheetId="3" hidden="1">{"Assumptions",#N/A,FALSE,"Model"}</definedName>
    <definedName name="_ww1_5_2_1" localSheetId="1" hidden="1">{"Assumptions",#N/A,FALSE,"Model"}</definedName>
    <definedName name="_ww1_5_2_1" hidden="1">{"Assumptions",#N/A,FALSE,"Model"}</definedName>
    <definedName name="_ww1_5_3" localSheetId="3" hidden="1">{"Assumptions",#N/A,FALSE,"Model"}</definedName>
    <definedName name="_ww1_5_3" localSheetId="1" hidden="1">{"Assumptions",#N/A,FALSE,"Model"}</definedName>
    <definedName name="_ww1_5_3" hidden="1">{"Assumptions",#N/A,FALSE,"Model"}</definedName>
    <definedName name="a" localSheetId="3" hidden="1">{"'FY98 BP2'!$A$1:$K$27","'FY98 BP2'!$A$3:$K$27"}</definedName>
    <definedName name="a" localSheetId="1" hidden="1">{"'FY98 BP2'!$A$1:$K$27","'FY98 BP2'!$A$3:$K$27"}</definedName>
    <definedName name="a" hidden="1">{"'FY98 BP2'!$A$1:$K$27","'FY98 BP2'!$A$3:$K$27"}</definedName>
    <definedName name="aa" localSheetId="3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aa" localSheetId="1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aa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aaa" localSheetId="3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aaa" localSheetId="1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aaa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AAA_DOCTOPS" hidden="1">"AAA_SET"</definedName>
    <definedName name="AAA_duser" hidden="1">"OFF"</definedName>
    <definedName name="AAAA" localSheetId="3" hidden="1">{"ten year ratios",#N/A,TRUE,"PROFIT_LOSS";"ten year ratios",#N/A,TRUE,"Ratios";"ten yr opex and capex",#N/A,TRUE,"1996 budget";"ten year revenues",#N/A,TRUE,"Revenue_1996-2004";"ten year payroll",#N/A,TRUE,"Payroll"}</definedName>
    <definedName name="AAAA" localSheetId="1" hidden="1">{"ten year ratios",#N/A,TRUE,"PROFIT_LOSS";"ten year ratios",#N/A,TRUE,"Ratios";"ten yr opex and capex",#N/A,TRUE,"1996 budget";"ten year revenues",#N/A,TRUE,"Revenue_1996-2004";"ten year payroll",#N/A,TRUE,"Payroll"}</definedName>
    <definedName name="AAAA" hidden="1">{"ten year ratios",#N/A,TRUE,"PROFIT_LOSS";"ten year ratios",#N/A,TRUE,"Ratios";"ten yr opex and capex",#N/A,TRUE,"1996 budget";"ten year revenues",#N/A,TRUE,"Revenue_1996-2004";"ten year payroll",#N/A,TRUE,"Payroll"}</definedName>
    <definedName name="aaaaa" localSheetId="3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aaaaa" localSheetId="1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aaaaa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aaaaaa" localSheetId="3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aaaaaa" localSheetId="1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aaaaaa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AaaRecoveryCov" localSheetId="1">#REF!</definedName>
    <definedName name="AaaRecoveryCov">#REF!</definedName>
    <definedName name="AAB_Addin5" hidden="1">"AAB_Description for addin 5,Description for addin 5,Description for addin 5,Description for addin 5,Description for addin 5,Description for addin 5"</definedName>
    <definedName name="abcde" localSheetId="3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abcde" localSheetId="1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abcde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abcdef" localSheetId="3" hidden="1">{"'PXR_6500'!$A$1:$I$124"}</definedName>
    <definedName name="abcdef" localSheetId="1" hidden="1">{"'PXR_6500'!$A$1:$I$124"}</definedName>
    <definedName name="abcdef" hidden="1">{"'PXR_6500'!$A$1:$I$124"}</definedName>
    <definedName name="ABN" localSheetId="3" hidden="1">{"'PXR_6500'!$A$1:$I$124"}</definedName>
    <definedName name="ABN" localSheetId="1" hidden="1">{"'PXR_6500'!$A$1:$I$124"}</definedName>
    <definedName name="ABN" hidden="1">{"'PXR_6500'!$A$1:$I$124"}</definedName>
    <definedName name="Account01" localSheetId="1">#REF!</definedName>
    <definedName name="Account01">#REF!</definedName>
    <definedName name="Account02" localSheetId="1">#REF!</definedName>
    <definedName name="Account02">#REF!</definedName>
    <definedName name="Account03" localSheetId="1">#REF!</definedName>
    <definedName name="Account03">#REF!</definedName>
    <definedName name="Account04" localSheetId="1">#REF!</definedName>
    <definedName name="Account04">#REF!</definedName>
    <definedName name="Account05" localSheetId="1">#REF!</definedName>
    <definedName name="Account05">#REF!</definedName>
    <definedName name="Account06" localSheetId="1">#REF!</definedName>
    <definedName name="Account06">#REF!</definedName>
    <definedName name="Account07" localSheetId="1">#REF!</definedName>
    <definedName name="Account07">#REF!</definedName>
    <definedName name="Account08" localSheetId="1">#REF!</definedName>
    <definedName name="Account08">#REF!</definedName>
    <definedName name="Account09" localSheetId="1">#REF!</definedName>
    <definedName name="Account09">#REF!</definedName>
    <definedName name="Account10" localSheetId="1">#REF!</definedName>
    <definedName name="Account10">#REF!</definedName>
    <definedName name="Account11" localSheetId="1">#REF!</definedName>
    <definedName name="Account11">#REF!</definedName>
    <definedName name="Account12" localSheetId="1">#REF!</definedName>
    <definedName name="Account12">#REF!</definedName>
    <definedName name="Account13" localSheetId="1">#REF!</definedName>
    <definedName name="Account13">#REF!</definedName>
    <definedName name="Account14" localSheetId="1">#REF!</definedName>
    <definedName name="Account14">#REF!</definedName>
    <definedName name="Account15" localSheetId="1">#REF!</definedName>
    <definedName name="Account15">#REF!</definedName>
    <definedName name="Account16" localSheetId="1">#REF!</definedName>
    <definedName name="Account16">#REF!</definedName>
    <definedName name="Account17" localSheetId="1">#REF!</definedName>
    <definedName name="Account17">#REF!</definedName>
    <definedName name="Account18" localSheetId="1">#REF!</definedName>
    <definedName name="Account18">#REF!</definedName>
    <definedName name="Account19" localSheetId="1">#REF!</definedName>
    <definedName name="Account19">#REF!</definedName>
    <definedName name="Account20" localSheetId="1">#REF!</definedName>
    <definedName name="Account20">#REF!</definedName>
    <definedName name="Account21" localSheetId="1">#REF!</definedName>
    <definedName name="Account21">#REF!</definedName>
    <definedName name="Account22" localSheetId="1">#REF!</definedName>
    <definedName name="Account22">#REF!</definedName>
    <definedName name="Account23" localSheetId="1">#REF!</definedName>
    <definedName name="Account23">#REF!</definedName>
    <definedName name="Account24" localSheetId="1">#REF!</definedName>
    <definedName name="Account24">#REF!</definedName>
    <definedName name="Account25" localSheetId="1">#REF!</definedName>
    <definedName name="Account25">#REF!</definedName>
    <definedName name="Account26" localSheetId="1">#REF!</definedName>
    <definedName name="Account26">#REF!</definedName>
    <definedName name="Account27" localSheetId="1">#REF!</definedName>
    <definedName name="Account27">#REF!</definedName>
    <definedName name="Account28" localSheetId="1">#REF!</definedName>
    <definedName name="Account28">#REF!</definedName>
    <definedName name="Account29" localSheetId="1">#REF!</definedName>
    <definedName name="Account29">#REF!</definedName>
    <definedName name="Account30" localSheetId="1">#REF!</definedName>
    <definedName name="Account30">#REF!</definedName>
    <definedName name="Account31" localSheetId="1">#REF!</definedName>
    <definedName name="Account31">#REF!</definedName>
    <definedName name="Account32" localSheetId="1">#REF!</definedName>
    <definedName name="Account32">#REF!</definedName>
    <definedName name="Account33" localSheetId="1">#REF!</definedName>
    <definedName name="Account33">#REF!</definedName>
    <definedName name="Account34" localSheetId="1">#REF!</definedName>
    <definedName name="Account34">#REF!</definedName>
    <definedName name="Account35" localSheetId="1">#REF!</definedName>
    <definedName name="Account35">#REF!</definedName>
    <definedName name="Account36" localSheetId="1">#REF!</definedName>
    <definedName name="Account36">#REF!</definedName>
    <definedName name="Account37" localSheetId="1">#REF!</definedName>
    <definedName name="Account37">#REF!</definedName>
    <definedName name="Account38" localSheetId="1">#REF!</definedName>
    <definedName name="Account38">#REF!</definedName>
    <definedName name="Account39" localSheetId="1">#REF!</definedName>
    <definedName name="Account39">#REF!</definedName>
    <definedName name="Account40" localSheetId="1">#REF!</definedName>
    <definedName name="Account40">#REF!</definedName>
    <definedName name="Account41" localSheetId="1">#REF!</definedName>
    <definedName name="Account41">#REF!</definedName>
    <definedName name="Account42" localSheetId="1">#REF!</definedName>
    <definedName name="Account42">#REF!</definedName>
    <definedName name="Account43" localSheetId="1">#REF!</definedName>
    <definedName name="Account43">#REF!</definedName>
    <definedName name="Account44" localSheetId="1">#REF!</definedName>
    <definedName name="Account44">#REF!</definedName>
    <definedName name="Account45" localSheetId="1">#REF!</definedName>
    <definedName name="Account45">#REF!</definedName>
    <definedName name="Account46" localSheetId="1">#REF!</definedName>
    <definedName name="Account46">#REF!</definedName>
    <definedName name="Account47" localSheetId="1">#REF!</definedName>
    <definedName name="Account47">#REF!</definedName>
    <definedName name="Account48" localSheetId="1">#REF!</definedName>
    <definedName name="Account48">#REF!</definedName>
    <definedName name="Account49" localSheetId="1">#REF!</definedName>
    <definedName name="Account49">#REF!</definedName>
    <definedName name="Account50" localSheetId="1">#REF!</definedName>
    <definedName name="Account50">#REF!</definedName>
    <definedName name="Account51" localSheetId="1">#REF!</definedName>
    <definedName name="Account51">#REF!</definedName>
    <definedName name="Account52" localSheetId="1">#REF!</definedName>
    <definedName name="Account52">#REF!</definedName>
    <definedName name="Account53" localSheetId="1">#REF!</definedName>
    <definedName name="Account53">#REF!</definedName>
    <definedName name="Account54" localSheetId="1">#REF!</definedName>
    <definedName name="Account54">#REF!</definedName>
    <definedName name="Account55" localSheetId="1">#REF!</definedName>
    <definedName name="Account55">#REF!</definedName>
    <definedName name="Account56" localSheetId="1">#REF!</definedName>
    <definedName name="Account56">#REF!</definedName>
    <definedName name="Account57" localSheetId="1">#REF!</definedName>
    <definedName name="Account57">#REF!</definedName>
    <definedName name="Account58" localSheetId="1">#REF!</definedName>
    <definedName name="Account58">#REF!</definedName>
    <definedName name="Account59" localSheetId="1">#REF!</definedName>
    <definedName name="Account59">#REF!</definedName>
    <definedName name="Account60" localSheetId="1">#REF!</definedName>
    <definedName name="Account60">#REF!</definedName>
    <definedName name="Account61" localSheetId="1">#REF!</definedName>
    <definedName name="Account61">#REF!</definedName>
    <definedName name="Account62" localSheetId="1">#REF!</definedName>
    <definedName name="Account62">#REF!</definedName>
    <definedName name="Account63" localSheetId="1">#REF!</definedName>
    <definedName name="Account63">#REF!</definedName>
    <definedName name="Account64" localSheetId="1">#REF!</definedName>
    <definedName name="Account64">#REF!</definedName>
    <definedName name="Account65" localSheetId="1">#REF!</definedName>
    <definedName name="Account65">#REF!</definedName>
    <definedName name="Account66" localSheetId="1">#REF!</definedName>
    <definedName name="Account66">#REF!</definedName>
    <definedName name="Account67" localSheetId="1">#REF!</definedName>
    <definedName name="Account67">#REF!</definedName>
    <definedName name="Account68" localSheetId="1">#REF!</definedName>
    <definedName name="Account68">#REF!</definedName>
    <definedName name="Account69" localSheetId="1">#REF!</definedName>
    <definedName name="Account69">#REF!</definedName>
    <definedName name="Account70" localSheetId="1">#REF!</definedName>
    <definedName name="Account70">#REF!</definedName>
    <definedName name="Account71" localSheetId="1">#REF!</definedName>
    <definedName name="Account71">#REF!</definedName>
    <definedName name="AccountInteger" localSheetId="1">#REF!</definedName>
    <definedName name="AccountInteger">#REF!</definedName>
    <definedName name="Accrual2010" localSheetId="3" hidden="1">{#N/A,#N/A,FALSE,"Balance Sheet";#N/A,#N/A,FALSE,"Income Statement";#N/A,#N/A,FALSE,"Partners Capital";#N/A,#N/A,FALSE,"Cash Flows";#N/A,#N/A,FALSE,"Support"}</definedName>
    <definedName name="Accrual2010" localSheetId="1" hidden="1">{#N/A,#N/A,FALSE,"Balance Sheet";#N/A,#N/A,FALSE,"Income Statement";#N/A,#N/A,FALSE,"Partners Capital";#N/A,#N/A,FALSE,"Cash Flows";#N/A,#N/A,FALSE,"Support"}</definedName>
    <definedName name="Accrual2010" hidden="1">{#N/A,#N/A,FALSE,"Balance Sheet";#N/A,#N/A,FALSE,"Income Statement";#N/A,#N/A,FALSE,"Partners Capital";#N/A,#N/A,FALSE,"Cash Flows";#N/A,#N/A,FALSE,"Support"}</definedName>
    <definedName name="Accruals" localSheetId="3" hidden="1">{#N/A,#N/A,FALSE,"Balance Sheet";#N/A,#N/A,FALSE,"Income Statement";#N/A,#N/A,FALSE,"Partners Capital";#N/A,#N/A,FALSE,"Cash Flows";#N/A,#N/A,FALSE,"Support"}</definedName>
    <definedName name="Accruals" localSheetId="1" hidden="1">{#N/A,#N/A,FALSE,"Balance Sheet";#N/A,#N/A,FALSE,"Income Statement";#N/A,#N/A,FALSE,"Partners Capital";#N/A,#N/A,FALSE,"Cash Flows";#N/A,#N/A,FALSE,"Support"}</definedName>
    <definedName name="Accruals" hidden="1">{#N/A,#N/A,FALSE,"Balance Sheet";#N/A,#N/A,FALSE,"Income Statement";#N/A,#N/A,FALSE,"Partners Capital";#N/A,#N/A,FALSE,"Cash Flows";#N/A,#N/A,FALSE,"Support"}</definedName>
    <definedName name="ACR" localSheetId="1">#REF!</definedName>
    <definedName name="ACR">#REF!</definedName>
    <definedName name="ACwvu.BiPolar." localSheetId="1" hidden="1">#REF!</definedName>
    <definedName name="ACwvu.BiPolar." hidden="1">#REF!</definedName>
    <definedName name="ACwvu.inputs._.raw._.data." hidden="1">#REF!</definedName>
    <definedName name="ACwvu.sp2." localSheetId="1" hidden="1">#REF!</definedName>
    <definedName name="ACwvu.sp2." hidden="1">#REF!</definedName>
    <definedName name="ACwvu.sum." localSheetId="1" hidden="1">#REF!</definedName>
    <definedName name="ACwvu.sum." hidden="1">#REF!</definedName>
    <definedName name="ACwvu.summary1." hidden="1">#REF!</definedName>
    <definedName name="ACwvu.summary2." hidden="1">#REF!</definedName>
    <definedName name="ACwvu.summary3." hidden="1">#REF!</definedName>
    <definedName name="ACwvu.Sumnpv." localSheetId="1" hidden="1">#REF!</definedName>
    <definedName name="ACwvu.Sumnpv." hidden="1">#REF!</definedName>
    <definedName name="adfadf" localSheetId="3" hidden="1">{#N/A,#N/A,FALSE,"Balance Sheet";#N/A,#N/A,FALSE,"Income Statement";#N/A,#N/A,FALSE,"Partners Capital";#N/A,#N/A,FALSE,"Cash Flows";#N/A,#N/A,FALSE,"Support"}</definedName>
    <definedName name="adfadf" localSheetId="1" hidden="1">{#N/A,#N/A,FALSE,"Balance Sheet";#N/A,#N/A,FALSE,"Income Statement";#N/A,#N/A,FALSE,"Partners Capital";#N/A,#N/A,FALSE,"Cash Flows";#N/A,#N/A,FALSE,"Support"}</definedName>
    <definedName name="adfadf" hidden="1">{#N/A,#N/A,FALSE,"Balance Sheet";#N/A,#N/A,FALSE,"Income Statement";#N/A,#N/A,FALSE,"Partners Capital";#N/A,#N/A,FALSE,"Cash Flows";#N/A,#N/A,FALSE,"Support"}</definedName>
    <definedName name="adfbadfbadfbadfbagbagb" localSheetId="1" hidden="1">#REF!</definedName>
    <definedName name="adfbadfbadfbadfbagbagb" hidden="1">#REF!</definedName>
    <definedName name="Admin_Cap" localSheetId="1">#REF!</definedName>
    <definedName name="Admin_Cap">#REF!</definedName>
    <definedName name="afdgsdfgadfbadfb" localSheetId="1" hidden="1">#REF!</definedName>
    <definedName name="afdgsdfgadfbadfb" hidden="1">#REF!</definedName>
    <definedName name="agbagbadgbfadfbadfbzxczxchg" localSheetId="1" hidden="1">#REF!</definedName>
    <definedName name="agbagbadgbfadfbadfbzxczxchg" hidden="1">#REF!</definedName>
    <definedName name="Agg_Adj_balance" localSheetId="1">#REF!</definedName>
    <definedName name="Agg_Adj_balance">#REF!</definedName>
    <definedName name="Agg_Equity_Unfund_Exp_Amt" localSheetId="1">#REF!</definedName>
    <definedName name="Agg_Equity_Unfund_Exp_Amt">#REF!</definedName>
    <definedName name="Agg_Excess_Concentration" localSheetId="1">#REF!</definedName>
    <definedName name="Agg_Excess_Concentration">#REF!</definedName>
    <definedName name="Agg_Max_Prin_Bal" localSheetId="1">#REF!</definedName>
    <definedName name="Agg_Max_Prin_Bal">#REF!</definedName>
    <definedName name="Agg_Undrawn_Fee_1" localSheetId="1">#REF!</definedName>
    <definedName name="Agg_Undrawn_Fee_1">#REF!</definedName>
    <definedName name="Agg_Unfund_Exp_CAD" localSheetId="1">#REF!</definedName>
    <definedName name="Agg_Unfund_Exp_CAD">#REF!</definedName>
    <definedName name="Agg_Unfund_Exp_USD" localSheetId="1">#REF!</definedName>
    <definedName name="Agg_Unfund_Exp_USD">#REF!</definedName>
    <definedName name="Agg_Unfund_Exposure_X_Valuation" localSheetId="1">#REF!</definedName>
    <definedName name="Agg_Unfund_Exposure_X_Valuation">#REF!</definedName>
    <definedName name="Agg_Unfunded_exp" localSheetId="1">#REF!</definedName>
    <definedName name="Agg_Unfunded_exp">#REF!</definedName>
    <definedName name="all" localSheetId="3" hidden="1">{#N/A,#N/A,FALSE,"Balance Sheet";#N/A,#N/A,FALSE,"Income Statement";#N/A,#N/A,FALSE,"Partners Capital";#N/A,#N/A,FALSE,"Cash Flows";#N/A,#N/A,FALSE,"Support"}</definedName>
    <definedName name="all" localSheetId="1" hidden="1">{#N/A,#N/A,FALSE,"Balance Sheet";#N/A,#N/A,FALSE,"Income Statement";#N/A,#N/A,FALSE,"Partners Capital";#N/A,#N/A,FALSE,"Cash Flows";#N/A,#N/A,FALSE,"Support"}</definedName>
    <definedName name="all" hidden="1">{#N/A,#N/A,FALSE,"Balance Sheet";#N/A,#N/A,FALSE,"Income Statement";#N/A,#N/A,FALSE,"Partners Capital";#N/A,#N/A,FALSE,"Cash Flows";#N/A,#N/A,FALSE,"Support"}</definedName>
    <definedName name="anscount" hidden="1">2</definedName>
    <definedName name="aqqq" localSheetId="3" hidden="1">{"'PXR_6500'!$A$1:$I$124"}</definedName>
    <definedName name="aqqq" localSheetId="1" hidden="1">{"'PXR_6500'!$A$1:$I$124"}</definedName>
    <definedName name="aqqq" hidden="1">{"'PXR_6500'!$A$1:$I$124"}</definedName>
    <definedName name="AS" localSheetId="3" hidden="1">{"'TG'!$A$1:$L$37"}</definedName>
    <definedName name="AS" localSheetId="1" hidden="1">{"'TG'!$A$1:$L$37"}</definedName>
    <definedName name="AS" hidden="1">{"'TG'!$A$1:$L$37"}</definedName>
    <definedName name="As_of_Date" localSheetId="1">#REF!</definedName>
    <definedName name="As_of_Date">#REF!</definedName>
    <definedName name="AS2DocOpenMode" hidden="1">"AS2DocumentEdit"</definedName>
    <definedName name="AS2HasNoAutoHeaderFooter" hidden="1">" "</definedName>
    <definedName name="AS2NamedRange" hidden="1">14</definedName>
    <definedName name="AS2ReportLS" hidden="1">1</definedName>
    <definedName name="AS2StaticLS" hidden="1">#REF!</definedName>
    <definedName name="AS2SyncStepLS" hidden="1">0</definedName>
    <definedName name="AS2TickmarkLS" hidden="1">#REF!</definedName>
    <definedName name="AS2VersionLS" hidden="1">300</definedName>
    <definedName name="asd" localSheetId="3" hidden="1">{"e_Target Assumptions",#N/A,FALSE,"Financials";"f_Target Income Statement",#N/A,FALSE,"Financials";"g_Target Balance Sheet",#N/A,FALSE,"Financials";"h_Target Cashflow Statement",#N/A,FALSE,"Financials"}</definedName>
    <definedName name="asd" localSheetId="1" hidden="1">{"e_Target Assumptions",#N/A,FALSE,"Financials";"f_Target Income Statement",#N/A,FALSE,"Financials";"g_Target Balance Sheet",#N/A,FALSE,"Financials";"h_Target Cashflow Statement",#N/A,FALSE,"Financials"}</definedName>
    <definedName name="asd" hidden="1">{"e_Target Assumptions",#N/A,FALSE,"Financials";"f_Target Income Statement",#N/A,FALSE,"Financials";"g_Target Balance Sheet",#N/A,FALSE,"Financials";"h_Target Cashflow Statement",#N/A,FALSE,"Financials"}</definedName>
    <definedName name="asdf" localSheetId="3" hidden="1">{"by departments",#N/A,TRUE,"FORECAST";"cap_headcount",#N/A,TRUE,"FORECAST";"summary",#N/A,TRUE,"FORECAST"}</definedName>
    <definedName name="asdf" localSheetId="1" hidden="1">{"by departments",#N/A,TRUE,"FORECAST";"cap_headcount",#N/A,TRUE,"FORECAST";"summary",#N/A,TRUE,"FORECAST"}</definedName>
    <definedName name="asdf" hidden="1">{"by departments",#N/A,TRUE,"FORECAST";"cap_headcount",#N/A,TRUE,"FORECAST";"summary",#N/A,TRUE,"FORECAST"}</definedName>
    <definedName name="asdfasdfasdf" localSheetId="3" hidden="1">{"SUMMARY",#N/A,TRUE,"SUMMARY";"compare",#N/A,TRUE,"Vs. Bus Plan";"ratios",#N/A,TRUE,"Ratios";"REVENUE",#N/A,TRUE,"Revenue";"expenses",#N/A,TRUE,"1996 budget";"payroll",#N/A,TRUE,"Payroll"}</definedName>
    <definedName name="asdfasdfasdf" localSheetId="1" hidden="1">{"SUMMARY",#N/A,TRUE,"SUMMARY";"compare",#N/A,TRUE,"Vs. Bus Plan";"ratios",#N/A,TRUE,"Ratios";"REVENUE",#N/A,TRUE,"Revenue";"expenses",#N/A,TRUE,"1996 budget";"payroll",#N/A,TRUE,"Payroll"}</definedName>
    <definedName name="asdfasdfasdf" hidden="1">{"SUMMARY",#N/A,TRUE,"SUMMARY";"compare",#N/A,TRUE,"Vs. Bus Plan";"ratios",#N/A,TRUE,"Ratios";"REVENUE",#N/A,TRUE,"Revenue";"expenses",#N/A,TRUE,"1996 budget";"payroll",#N/A,TRUE,"Payroll"}</definedName>
    <definedName name="Asset_Yrs_to_Maturity" localSheetId="1">#REF!</definedName>
    <definedName name="Asset_Yrs_to_Maturity">#REF!</definedName>
    <definedName name="assump" localSheetId="3" hidden="1">{"Assumptions",#N/A,FALSE,"Model"}</definedName>
    <definedName name="assump" localSheetId="1" hidden="1">{"Assumptions",#N/A,FALSE,"Model"}</definedName>
    <definedName name="assump" hidden="1">{"Assumptions",#N/A,FALSE,"Model"}</definedName>
    <definedName name="assump_1" localSheetId="3" hidden="1">{"Assumptions",#N/A,FALSE,"Model"}</definedName>
    <definedName name="assump_1" localSheetId="1" hidden="1">{"Assumptions",#N/A,FALSE,"Model"}</definedName>
    <definedName name="assump_1" hidden="1">{"Assumptions",#N/A,FALSE,"Model"}</definedName>
    <definedName name="assump_1_1" localSheetId="3" hidden="1">{"Assumptions",#N/A,FALSE,"Model"}</definedName>
    <definedName name="assump_1_1" localSheetId="1" hidden="1">{"Assumptions",#N/A,FALSE,"Model"}</definedName>
    <definedName name="assump_1_1" hidden="1">{"Assumptions",#N/A,FALSE,"Model"}</definedName>
    <definedName name="assump_1_1_1" localSheetId="3" hidden="1">{"Assumptions",#N/A,FALSE,"Model"}</definedName>
    <definedName name="assump_1_1_1" localSheetId="1" hidden="1">{"Assumptions",#N/A,FALSE,"Model"}</definedName>
    <definedName name="assump_1_1_1" hidden="1">{"Assumptions",#N/A,FALSE,"Model"}</definedName>
    <definedName name="assump_1_1_1_1" localSheetId="3" hidden="1">{"Assumptions",#N/A,FALSE,"Model"}</definedName>
    <definedName name="assump_1_1_1_1" localSheetId="1" hidden="1">{"Assumptions",#N/A,FALSE,"Model"}</definedName>
    <definedName name="assump_1_1_1_1" hidden="1">{"Assumptions",#N/A,FALSE,"Model"}</definedName>
    <definedName name="assump_1_2" localSheetId="3" hidden="1">{"Assumptions",#N/A,FALSE,"Model"}</definedName>
    <definedName name="assump_1_2" localSheetId="1" hidden="1">{"Assumptions",#N/A,FALSE,"Model"}</definedName>
    <definedName name="assump_1_2" hidden="1">{"Assumptions",#N/A,FALSE,"Model"}</definedName>
    <definedName name="assump_1_2_1" localSheetId="3" hidden="1">{"Assumptions",#N/A,FALSE,"Model"}</definedName>
    <definedName name="assump_1_2_1" localSheetId="1" hidden="1">{"Assumptions",#N/A,FALSE,"Model"}</definedName>
    <definedName name="assump_1_2_1" hidden="1">{"Assumptions",#N/A,FALSE,"Model"}</definedName>
    <definedName name="assump_1_3" localSheetId="3" hidden="1">{"Assumptions",#N/A,FALSE,"Model"}</definedName>
    <definedName name="assump_1_3" localSheetId="1" hidden="1">{"Assumptions",#N/A,FALSE,"Model"}</definedName>
    <definedName name="assump_1_3" hidden="1">{"Assumptions",#N/A,FALSE,"Model"}</definedName>
    <definedName name="assump_1_3_1" localSheetId="3" hidden="1">{"Assumptions",#N/A,FALSE,"Model"}</definedName>
    <definedName name="assump_1_3_1" localSheetId="1" hidden="1">{"Assumptions",#N/A,FALSE,"Model"}</definedName>
    <definedName name="assump_1_3_1" hidden="1">{"Assumptions",#N/A,FALSE,"Model"}</definedName>
    <definedName name="assump_1_4" localSheetId="3" hidden="1">{"Assumptions",#N/A,FALSE,"Model"}</definedName>
    <definedName name="assump_1_4" localSheetId="1" hidden="1">{"Assumptions",#N/A,FALSE,"Model"}</definedName>
    <definedName name="assump_1_4" hidden="1">{"Assumptions",#N/A,FALSE,"Model"}</definedName>
    <definedName name="assump_2" localSheetId="3" hidden="1">{"Assumptions",#N/A,FALSE,"Model"}</definedName>
    <definedName name="assump_2" localSheetId="1" hidden="1">{"Assumptions",#N/A,FALSE,"Model"}</definedName>
    <definedName name="assump_2" hidden="1">{"Assumptions",#N/A,FALSE,"Model"}</definedName>
    <definedName name="assump_2_1" localSheetId="3" hidden="1">{"Assumptions",#N/A,FALSE,"Model"}</definedName>
    <definedName name="assump_2_1" localSheetId="1" hidden="1">{"Assumptions",#N/A,FALSE,"Model"}</definedName>
    <definedName name="assump_2_1" hidden="1">{"Assumptions",#N/A,FALSE,"Model"}</definedName>
    <definedName name="assump_2_1_1" localSheetId="3" hidden="1">{"Assumptions",#N/A,FALSE,"Model"}</definedName>
    <definedName name="assump_2_1_1" localSheetId="1" hidden="1">{"Assumptions",#N/A,FALSE,"Model"}</definedName>
    <definedName name="assump_2_1_1" hidden="1">{"Assumptions",#N/A,FALSE,"Model"}</definedName>
    <definedName name="assump_2_1_1_1" localSheetId="3" hidden="1">{"Assumptions",#N/A,FALSE,"Model"}</definedName>
    <definedName name="assump_2_1_1_1" localSheetId="1" hidden="1">{"Assumptions",#N/A,FALSE,"Model"}</definedName>
    <definedName name="assump_2_1_1_1" hidden="1">{"Assumptions",#N/A,FALSE,"Model"}</definedName>
    <definedName name="assump_2_2" localSheetId="3" hidden="1">{"Assumptions",#N/A,FALSE,"Model"}</definedName>
    <definedName name="assump_2_2" localSheetId="1" hidden="1">{"Assumptions",#N/A,FALSE,"Model"}</definedName>
    <definedName name="assump_2_2" hidden="1">{"Assumptions",#N/A,FALSE,"Model"}</definedName>
    <definedName name="assump_2_2_1" localSheetId="3" hidden="1">{"Assumptions",#N/A,FALSE,"Model"}</definedName>
    <definedName name="assump_2_2_1" localSheetId="1" hidden="1">{"Assumptions",#N/A,FALSE,"Model"}</definedName>
    <definedName name="assump_2_2_1" hidden="1">{"Assumptions",#N/A,FALSE,"Model"}</definedName>
    <definedName name="assump_2_3" localSheetId="3" hidden="1">{"Assumptions",#N/A,FALSE,"Model"}</definedName>
    <definedName name="assump_2_3" localSheetId="1" hidden="1">{"Assumptions",#N/A,FALSE,"Model"}</definedName>
    <definedName name="assump_2_3" hidden="1">{"Assumptions",#N/A,FALSE,"Model"}</definedName>
    <definedName name="assump_3" localSheetId="3" hidden="1">{"Assumptions",#N/A,FALSE,"Model"}</definedName>
    <definedName name="assump_3" localSheetId="1" hidden="1">{"Assumptions",#N/A,FALSE,"Model"}</definedName>
    <definedName name="assump_3" hidden="1">{"Assumptions",#N/A,FALSE,"Model"}</definedName>
    <definedName name="assump_3_1" localSheetId="3" hidden="1">{"Assumptions",#N/A,FALSE,"Model"}</definedName>
    <definedName name="assump_3_1" localSheetId="1" hidden="1">{"Assumptions",#N/A,FALSE,"Model"}</definedName>
    <definedName name="assump_3_1" hidden="1">{"Assumptions",#N/A,FALSE,"Model"}</definedName>
    <definedName name="assump_3_1_1" localSheetId="3" hidden="1">{"Assumptions",#N/A,FALSE,"Model"}</definedName>
    <definedName name="assump_3_1_1" localSheetId="1" hidden="1">{"Assumptions",#N/A,FALSE,"Model"}</definedName>
    <definedName name="assump_3_1_1" hidden="1">{"Assumptions",#N/A,FALSE,"Model"}</definedName>
    <definedName name="assump_3_1_1_1" localSheetId="3" hidden="1">{"Assumptions",#N/A,FALSE,"Model"}</definedName>
    <definedName name="assump_3_1_1_1" localSheetId="1" hidden="1">{"Assumptions",#N/A,FALSE,"Model"}</definedName>
    <definedName name="assump_3_1_1_1" hidden="1">{"Assumptions",#N/A,FALSE,"Model"}</definedName>
    <definedName name="assump_3_2" localSheetId="3" hidden="1">{"Assumptions",#N/A,FALSE,"Model"}</definedName>
    <definedName name="assump_3_2" localSheetId="1" hidden="1">{"Assumptions",#N/A,FALSE,"Model"}</definedName>
    <definedName name="assump_3_2" hidden="1">{"Assumptions",#N/A,FALSE,"Model"}</definedName>
    <definedName name="assump_3_2_1" localSheetId="3" hidden="1">{"Assumptions",#N/A,FALSE,"Model"}</definedName>
    <definedName name="assump_3_2_1" localSheetId="1" hidden="1">{"Assumptions",#N/A,FALSE,"Model"}</definedName>
    <definedName name="assump_3_2_1" hidden="1">{"Assumptions",#N/A,FALSE,"Model"}</definedName>
    <definedName name="assump_3_3" localSheetId="3" hidden="1">{"Assumptions",#N/A,FALSE,"Model"}</definedName>
    <definedName name="assump_3_3" localSheetId="1" hidden="1">{"Assumptions",#N/A,FALSE,"Model"}</definedName>
    <definedName name="assump_3_3" hidden="1">{"Assumptions",#N/A,FALSE,"Model"}</definedName>
    <definedName name="assump_4" localSheetId="3" hidden="1">{"Assumptions",#N/A,FALSE,"Model"}</definedName>
    <definedName name="assump_4" localSheetId="1" hidden="1">{"Assumptions",#N/A,FALSE,"Model"}</definedName>
    <definedName name="assump_4" hidden="1">{"Assumptions",#N/A,FALSE,"Model"}</definedName>
    <definedName name="assump_4_1" localSheetId="3" hidden="1">{"Assumptions",#N/A,FALSE,"Model"}</definedName>
    <definedName name="assump_4_1" localSheetId="1" hidden="1">{"Assumptions",#N/A,FALSE,"Model"}</definedName>
    <definedName name="assump_4_1" hidden="1">{"Assumptions",#N/A,FALSE,"Model"}</definedName>
    <definedName name="assump_4_1_1" localSheetId="3" hidden="1">{"Assumptions",#N/A,FALSE,"Model"}</definedName>
    <definedName name="assump_4_1_1" localSheetId="1" hidden="1">{"Assumptions",#N/A,FALSE,"Model"}</definedName>
    <definedName name="assump_4_1_1" hidden="1">{"Assumptions",#N/A,FALSE,"Model"}</definedName>
    <definedName name="assump_4_1_1_1" localSheetId="3" hidden="1">{"Assumptions",#N/A,FALSE,"Model"}</definedName>
    <definedName name="assump_4_1_1_1" localSheetId="1" hidden="1">{"Assumptions",#N/A,FALSE,"Model"}</definedName>
    <definedName name="assump_4_1_1_1" hidden="1">{"Assumptions",#N/A,FALSE,"Model"}</definedName>
    <definedName name="assump_4_2" localSheetId="3" hidden="1">{"Assumptions",#N/A,FALSE,"Model"}</definedName>
    <definedName name="assump_4_2" localSheetId="1" hidden="1">{"Assumptions",#N/A,FALSE,"Model"}</definedName>
    <definedName name="assump_4_2" hidden="1">{"Assumptions",#N/A,FALSE,"Model"}</definedName>
    <definedName name="assump_4_2_1" localSheetId="3" hidden="1">{"Assumptions",#N/A,FALSE,"Model"}</definedName>
    <definedName name="assump_4_2_1" localSheetId="1" hidden="1">{"Assumptions",#N/A,FALSE,"Model"}</definedName>
    <definedName name="assump_4_2_1" hidden="1">{"Assumptions",#N/A,FALSE,"Model"}</definedName>
    <definedName name="assump_4_3" localSheetId="3" hidden="1">{"Assumptions",#N/A,FALSE,"Model"}</definedName>
    <definedName name="assump_4_3" localSheetId="1" hidden="1">{"Assumptions",#N/A,FALSE,"Model"}</definedName>
    <definedName name="assump_4_3" hidden="1">{"Assumptions",#N/A,FALSE,"Model"}</definedName>
    <definedName name="assump_5" localSheetId="3" hidden="1">{"Assumptions",#N/A,FALSE,"Model"}</definedName>
    <definedName name="assump_5" localSheetId="1" hidden="1">{"Assumptions",#N/A,FALSE,"Model"}</definedName>
    <definedName name="assump_5" hidden="1">{"Assumptions",#N/A,FALSE,"Model"}</definedName>
    <definedName name="assump_5_1" localSheetId="3" hidden="1">{"Assumptions",#N/A,FALSE,"Model"}</definedName>
    <definedName name="assump_5_1" localSheetId="1" hidden="1">{"Assumptions",#N/A,FALSE,"Model"}</definedName>
    <definedName name="assump_5_1" hidden="1">{"Assumptions",#N/A,FALSE,"Model"}</definedName>
    <definedName name="assump_5_1_1" localSheetId="3" hidden="1">{"Assumptions",#N/A,FALSE,"Model"}</definedName>
    <definedName name="assump_5_1_1" localSheetId="1" hidden="1">{"Assumptions",#N/A,FALSE,"Model"}</definedName>
    <definedName name="assump_5_1_1" hidden="1">{"Assumptions",#N/A,FALSE,"Model"}</definedName>
    <definedName name="assump_5_1_1_1" localSheetId="3" hidden="1">{"Assumptions",#N/A,FALSE,"Model"}</definedName>
    <definedName name="assump_5_1_1_1" localSheetId="1" hidden="1">{"Assumptions",#N/A,FALSE,"Model"}</definedName>
    <definedName name="assump_5_1_1_1" hidden="1">{"Assumptions",#N/A,FALSE,"Model"}</definedName>
    <definedName name="assump_5_2" localSheetId="3" hidden="1">{"Assumptions",#N/A,FALSE,"Model"}</definedName>
    <definedName name="assump_5_2" localSheetId="1" hidden="1">{"Assumptions",#N/A,FALSE,"Model"}</definedName>
    <definedName name="assump_5_2" hidden="1">{"Assumptions",#N/A,FALSE,"Model"}</definedName>
    <definedName name="assump_5_2_1" localSheetId="3" hidden="1">{"Assumptions",#N/A,FALSE,"Model"}</definedName>
    <definedName name="assump_5_2_1" localSheetId="1" hidden="1">{"Assumptions",#N/A,FALSE,"Model"}</definedName>
    <definedName name="assump_5_2_1" hidden="1">{"Assumptions",#N/A,FALSE,"Model"}</definedName>
    <definedName name="assump_5_3" localSheetId="3" hidden="1">{"Assumptions",#N/A,FALSE,"Model"}</definedName>
    <definedName name="assump_5_3" localSheetId="1" hidden="1">{"Assumptions",#N/A,FALSE,"Model"}</definedName>
    <definedName name="assump_5_3" hidden="1">{"Assumptions",#N/A,FALSE,"Model"}</definedName>
    <definedName name="Audit_End" localSheetId="1">#REF!</definedName>
    <definedName name="Audit_End">#REF!</definedName>
    <definedName name="Audit_Period" localSheetId="1">#REF!</definedName>
    <definedName name="Audit_Period">#REF!</definedName>
    <definedName name="avegmultiple" hidden="1">#REF!</definedName>
    <definedName name="bbbb" localSheetId="3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bbbb" localSheetId="1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bbbb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bcv.attrition.yoy" localSheetId="1">#REF!</definedName>
    <definedName name="bcv.attrition.yoy">#REF!</definedName>
    <definedName name="bcv.awf.sch1.name" localSheetId="1">#REF!</definedName>
    <definedName name="bcv.awf.sch1.name">#REF!</definedName>
    <definedName name="bcv.awf.sch2.name" localSheetId="1">#REF!</definedName>
    <definedName name="bcv.awf.sch2.name">#REF!</definedName>
    <definedName name="bcv.bl.check" localSheetId="1">#REF!</definedName>
    <definedName name="bcv.bl.check">#REF!</definedName>
    <definedName name="bcv.bl.length" localSheetId="1">#REF!</definedName>
    <definedName name="bcv.bl.length">#REF!</definedName>
    <definedName name="bcv.bl.name" localSheetId="1">#REF!</definedName>
    <definedName name="bcv.bl.name">#REF!</definedName>
    <definedName name="bcv.cac.annual" localSheetId="1">#REF!</definedName>
    <definedName name="bcv.cac.annual">#REF!</definedName>
    <definedName name="bcv.cac.average" localSheetId="1">#REF!</definedName>
    <definedName name="bcv.cac.average">#REF!</definedName>
    <definedName name="bcv.cac.select" localSheetId="1">#REF!</definedName>
    <definedName name="bcv.cac.select">#REF!</definedName>
    <definedName name="bcv.con.fav.length" localSheetId="1">#REF!</definedName>
    <definedName name="bcv.con.fav.length">#REF!</definedName>
    <definedName name="bcv.con.fav.name" localSheetId="1">#REF!</definedName>
    <definedName name="bcv.con.fav.name">#REF!</definedName>
    <definedName name="bcv.con.unf.length" localSheetId="1">#REF!</definedName>
    <definedName name="bcv.con.unf.length">#REF!</definedName>
    <definedName name="bcv.con.unf.name" localSheetId="1">#REF!</definedName>
    <definedName name="bcv.con.unf.name">#REF!</definedName>
    <definedName name="bcv.cr.sch1.name" localSheetId="1">#REF!</definedName>
    <definedName name="bcv.cr.sch1.name">#REF!</definedName>
    <definedName name="bcv.cr.sch2.attrition.select" localSheetId="1">#REF!</definedName>
    <definedName name="bcv.cr.sch2.attrition.select">#REF!</definedName>
    <definedName name="bcv.cr.sch2.length" localSheetId="1">#REF!</definedName>
    <definedName name="bcv.cr.sch2.length">#REF!</definedName>
    <definedName name="bcv.cr.sch2.name" localSheetId="1">#REF!</definedName>
    <definedName name="bcv.cr.sch2.name">#REF!</definedName>
    <definedName name="bcv.dr.check" localSheetId="1">#REF!</definedName>
    <definedName name="bcv.dr.check">#REF!</definedName>
    <definedName name="bcv.dr.length" localSheetId="1">#REF!</definedName>
    <definedName name="bcv.dr.length">#REF!</definedName>
    <definedName name="bcv.dr.name" localSheetId="1">#REF!</definedName>
    <definedName name="bcv.dr.name">#REF!</definedName>
    <definedName name="bcv.dr.select" localSheetId="1">#REF!</definedName>
    <definedName name="bcv.dr.select">#REF!</definedName>
    <definedName name="bcv.dr.ticker01" localSheetId="1">#REF!</definedName>
    <definedName name="bcv.dr.ticker01">#REF!</definedName>
    <definedName name="bcv.dr.ticker02" localSheetId="1">#REF!</definedName>
    <definedName name="bcv.dr.ticker02">#REF!</definedName>
    <definedName name="bcv.dr.ticker03" localSheetId="1">#REF!</definedName>
    <definedName name="bcv.dr.ticker03">#REF!</definedName>
    <definedName name="bcv.dr.ticker04" localSheetId="1">#REF!</definedName>
    <definedName name="bcv.dr.ticker04">#REF!</definedName>
    <definedName name="bcv.dr.ticker05" localSheetId="1">#REF!</definedName>
    <definedName name="bcv.dr.ticker05">#REF!</definedName>
    <definedName name="bcv.dr.ticker06" localSheetId="1">#REF!</definedName>
    <definedName name="bcv.dr.ticker06">#REF!</definedName>
    <definedName name="bcv.dr.ticker07" localSheetId="1">#REF!</definedName>
    <definedName name="bcv.dr.ticker07">#REF!</definedName>
    <definedName name="bcv.dr.ticker08" localSheetId="1">#REF!</definedName>
    <definedName name="bcv.dr.ticker08">#REF!</definedName>
    <definedName name="bcv.dr.ticker09" localSheetId="1">#REF!</definedName>
    <definedName name="bcv.dr.ticker09">#REF!</definedName>
    <definedName name="bcv.dr.ticker10" localSheetId="1">#REF!</definedName>
    <definedName name="bcv.dr.ticker10">#REF!</definedName>
    <definedName name="bcv.dr.ticker11" localSheetId="1">#REF!</definedName>
    <definedName name="bcv.dr.ticker11">#REF!</definedName>
    <definedName name="bcv.dr.ticker12" localSheetId="1">#REF!</definedName>
    <definedName name="bcv.dr.ticker12">#REF!</definedName>
    <definedName name="bcv.dr.ticker13" localSheetId="1">#REF!</definedName>
    <definedName name="bcv.dr.ticker13">#REF!</definedName>
    <definedName name="bcv.dr.ticker14" localSheetId="1">#REF!</definedName>
    <definedName name="bcv.dr.ticker14">#REF!</definedName>
    <definedName name="bcv.dr.ticker15" localSheetId="1">#REF!</definedName>
    <definedName name="bcv.dr.ticker15">#REF!</definedName>
    <definedName name="bcv.dr.ticker16" localSheetId="1">#REF!</definedName>
    <definedName name="bcv.dr.ticker16">#REF!</definedName>
    <definedName name="bcv.dr.ticker17" localSheetId="1">#REF!</definedName>
    <definedName name="bcv.dr.ticker17">#REF!</definedName>
    <definedName name="bcv.dr.ticker18" localSheetId="1">#REF!</definedName>
    <definedName name="bcv.dr.ticker18">#REF!</definedName>
    <definedName name="bcv.dr.ticker19" localSheetId="1">#REF!</definedName>
    <definedName name="bcv.dr.ticker19">#REF!</definedName>
    <definedName name="bcv.dr.ticker20" localSheetId="1">#REF!</definedName>
    <definedName name="bcv.dr.ticker20">#REF!</definedName>
    <definedName name="bcv.dr.top" localSheetId="1">#REF!</definedName>
    <definedName name="bcv.dr.top">#REF!</definedName>
    <definedName name="bcv.inv.name" localSheetId="1">#REF!</definedName>
    <definedName name="bcv.inv.name">#REF!</definedName>
    <definedName name="bcv.inv.select" localSheetId="1">#REF!</definedName>
    <definedName name="bcv.inv.select">#REF!</definedName>
    <definedName name="bcv.inv.simple" localSheetId="1">#REF!</definedName>
    <definedName name="bcv.inv.simple">#REF!</definedName>
    <definedName name="bcv.iprd.check" localSheetId="1">#REF!</definedName>
    <definedName name="bcv.iprd.check">#REF!</definedName>
    <definedName name="bcv.iprd.length" localSheetId="1">#REF!</definedName>
    <definedName name="bcv.iprd.length">#REF!</definedName>
    <definedName name="bcv.iprd.name" localSheetId="1">#REF!</definedName>
    <definedName name="bcv.iprd.name">#REF!</definedName>
    <definedName name="bcv.lhi.fav.name" localSheetId="1">#REF!</definedName>
    <definedName name="bcv.lhi.fav.name">#REF!</definedName>
    <definedName name="bcv.lhi.unf.name" localSheetId="1">#REF!</definedName>
    <definedName name="bcv.lhi.unf.name">#REF!</definedName>
    <definedName name="bcv.nca.sch1.length" localSheetId="1">#REF!</definedName>
    <definedName name="bcv.nca.sch1.length">#REF!</definedName>
    <definedName name="bcv.nca.sch1.name" localSheetId="1">#REF!</definedName>
    <definedName name="bcv.nca.sch1.name">#REF!</definedName>
    <definedName name="bcv.nca.sch2.length" localSheetId="1">#REF!</definedName>
    <definedName name="bcv.nca.sch2.length">#REF!</definedName>
    <definedName name="bcv.nca.sch2.name" localSheetId="1">#REF!</definedName>
    <definedName name="bcv.nca.sch2.name">#REF!</definedName>
    <definedName name="bcv.nca.sch3.length" localSheetId="1">#REF!</definedName>
    <definedName name="bcv.nca.sch3.length">#REF!</definedName>
    <definedName name="bcv.nca.sch3.name" localSheetId="1">#REF!</definedName>
    <definedName name="bcv.nca.sch3.name">#REF!</definedName>
    <definedName name="bcv.permits.name" localSheetId="1">#REF!</definedName>
    <definedName name="bcv.permits.name">#REF!</definedName>
    <definedName name="bcv.ppe.check" localSheetId="1">#REF!</definedName>
    <definedName name="bcv.ppe.check">#REF!</definedName>
    <definedName name="bcv.ppe.name" localSheetId="1">#REF!</definedName>
    <definedName name="bcv.ppe.name">#REF!</definedName>
    <definedName name="bcv.tech.sch1.check" localSheetId="1">#REF!</definedName>
    <definedName name="bcv.tech.sch1.check">#REF!</definedName>
    <definedName name="bcv.tech.sch1.name" localSheetId="1">#REF!</definedName>
    <definedName name="bcv.tech.sch1.name">#REF!</definedName>
    <definedName name="bcv.tech.sch2.check" localSheetId="1">#REF!</definedName>
    <definedName name="bcv.tech.sch2.check">#REF!</definedName>
    <definedName name="bcv.tech.sch2.length" localSheetId="1">#REF!</definedName>
    <definedName name="bcv.tech.sch2.length">#REF!</definedName>
    <definedName name="bcv.tech.sch2.name" localSheetId="1">#REF!</definedName>
    <definedName name="bcv.tech.sch2.name">#REF!</definedName>
    <definedName name="bcv.tech.sch3.length" localSheetId="1">#REF!</definedName>
    <definedName name="bcv.tech.sch3.length">#REF!</definedName>
    <definedName name="bcv.tech.sch3.name" localSheetId="1">#REF!</definedName>
    <definedName name="bcv.tech.sch3.name">#REF!</definedName>
    <definedName name="bcv.tn.sch1.check" localSheetId="1">#REF!</definedName>
    <definedName name="bcv.tn.sch1.check">#REF!</definedName>
    <definedName name="bcv.tn.sch1.indef.check" localSheetId="1">#REF!</definedName>
    <definedName name="bcv.tn.sch1.indef.check">#REF!</definedName>
    <definedName name="bcv.tn.sch1.length" localSheetId="1">#REF!</definedName>
    <definedName name="bcv.tn.sch1.length">#REF!</definedName>
    <definedName name="bcv.tn.sch1.name" localSheetId="1">#REF!</definedName>
    <definedName name="bcv.tn.sch1.name">#REF!</definedName>
    <definedName name="bcv.tn.sch2.check" localSheetId="1">#REF!</definedName>
    <definedName name="bcv.tn.sch2.check">#REF!</definedName>
    <definedName name="bcv.tn.sch2.indef.check" localSheetId="1">#REF!</definedName>
    <definedName name="bcv.tn.sch2.indef.check">#REF!</definedName>
    <definedName name="bcv.tn.sch2.length" localSheetId="1">#REF!</definedName>
    <definedName name="bcv.tn.sch2.length">#REF!</definedName>
    <definedName name="bcv.tn.sch2.name" localSheetId="1">#REF!</definedName>
    <definedName name="bcv.tn.sch2.name">#REF!</definedName>
    <definedName name="Beg_Accrual_Period" localSheetId="1">#REF!</definedName>
    <definedName name="Beg_Accrual_Period">#REF!</definedName>
    <definedName name="Beg_of_Collctn_Prd" localSheetId="1">#REF!</definedName>
    <definedName name="Beg_of_Collctn_Prd">#REF!</definedName>
    <definedName name="BG_Del" hidden="1">15</definedName>
    <definedName name="BG_Ins" hidden="1">4</definedName>
    <definedName name="BG_Mod" hidden="1">6</definedName>
    <definedName name="bgbgsgh" hidden="1">#REF!</definedName>
    <definedName name="BHYDailyYield">OFFSET(#REF!,COUNTA(#REF!)-1,0,-254,1)</definedName>
    <definedName name="BLoansDailyYield">OFFSET(#REF!,COUNTA(#REF!)-1,0,-254,1)</definedName>
    <definedName name="BLPB2" hidden="1">#REF!</definedName>
    <definedName name="BLPH1" localSheetId="1" hidden="1">#REF!</definedName>
    <definedName name="BLPH1" hidden="1">#REF!</definedName>
    <definedName name="BLPH10" localSheetId="1" hidden="1">#REF!</definedName>
    <definedName name="BLPH10" hidden="1">#REF!</definedName>
    <definedName name="BLPH11" localSheetId="1" hidden="1">#REF!</definedName>
    <definedName name="BLPH11" hidden="1">#REF!</definedName>
    <definedName name="BLPH12" localSheetId="1" hidden="1">#REF!</definedName>
    <definedName name="BLPH12" hidden="1">#REF!</definedName>
    <definedName name="BLPH13" localSheetId="1" hidden="1">#REF!</definedName>
    <definedName name="BLPH13" hidden="1">#REF!</definedName>
    <definedName name="BLPH14" localSheetId="1" hidden="1">#REF!</definedName>
    <definedName name="BLPH14" hidden="1">#REF!</definedName>
    <definedName name="BLPH15" localSheetId="1" hidden="1">#REF!</definedName>
    <definedName name="BLPH15" hidden="1">#REF!</definedName>
    <definedName name="BLPH16" localSheetId="1" hidden="1">#REF!</definedName>
    <definedName name="BLPH16" hidden="1">#REF!</definedName>
    <definedName name="BLPH17" localSheetId="1" hidden="1">#REF!</definedName>
    <definedName name="BLPH17" hidden="1">#REF!</definedName>
    <definedName name="BLPH18" localSheetId="1" hidden="1">#REF!</definedName>
    <definedName name="BLPH18" hidden="1">#REF!</definedName>
    <definedName name="BLPH19" localSheetId="1" hidden="1">#REF!</definedName>
    <definedName name="BLPH19" hidden="1">#REF!</definedName>
    <definedName name="BLPH2" localSheetId="1" hidden="1">#REF!</definedName>
    <definedName name="BLPH2" hidden="1">#REF!</definedName>
    <definedName name="BLPH20" localSheetId="1" hidden="1">#REF!</definedName>
    <definedName name="BLPH20" hidden="1">#REF!</definedName>
    <definedName name="BLPH200001" localSheetId="1" hidden="1">#REF!</definedName>
    <definedName name="BLPH200001" hidden="1">#REF!</definedName>
    <definedName name="BLPH21" localSheetId="1" hidden="1">#REF!</definedName>
    <definedName name="BLPH21" hidden="1">#REF!</definedName>
    <definedName name="BLPH22" localSheetId="1" hidden="1">#REF!</definedName>
    <definedName name="BLPH22" hidden="1">#REF!</definedName>
    <definedName name="BLPH23" localSheetId="1" hidden="1">#REF!</definedName>
    <definedName name="BLPH23" hidden="1">#REF!</definedName>
    <definedName name="BLPH24" localSheetId="1" hidden="1">#REF!</definedName>
    <definedName name="BLPH24" hidden="1">#REF!</definedName>
    <definedName name="BLPH25" localSheetId="1" hidden="1">#REF!</definedName>
    <definedName name="BLPH25" hidden="1">#REF!</definedName>
    <definedName name="BLPH26" localSheetId="1" hidden="1">#REF!</definedName>
    <definedName name="BLPH26" hidden="1">#REF!</definedName>
    <definedName name="BLPH27" localSheetId="1" hidden="1">#REF!</definedName>
    <definedName name="BLPH27" hidden="1">#REF!</definedName>
    <definedName name="BLPH28" localSheetId="1" hidden="1">#REF!</definedName>
    <definedName name="BLPH28" hidden="1">#REF!</definedName>
    <definedName name="BLPH29" localSheetId="1" hidden="1">#REF!</definedName>
    <definedName name="BLPH29" hidden="1">#REF!</definedName>
    <definedName name="BLPH3" localSheetId="1" hidden="1">#REF!</definedName>
    <definedName name="BLPH3" hidden="1">#REF!</definedName>
    <definedName name="BLPH30" localSheetId="1" hidden="1">#REF!</definedName>
    <definedName name="BLPH30" hidden="1">#REF!</definedName>
    <definedName name="BLPH4" localSheetId="1" hidden="1">#REF!</definedName>
    <definedName name="BLPH4" hidden="1">#REF!</definedName>
    <definedName name="BLPH5" localSheetId="1" hidden="1">#REF!</definedName>
    <definedName name="BLPH5" hidden="1">#REF!</definedName>
    <definedName name="BLPH6" localSheetId="1" hidden="1">#REF!</definedName>
    <definedName name="BLPH6" hidden="1">#REF!</definedName>
    <definedName name="BLPH7" localSheetId="1" hidden="1">#REF!</definedName>
    <definedName name="BLPH7" hidden="1">#REF!</definedName>
    <definedName name="BLPH8" localSheetId="1" hidden="1">#REF!</definedName>
    <definedName name="BLPH8" hidden="1">#REF!</definedName>
    <definedName name="BLPH9" localSheetId="1" hidden="1">#REF!</definedName>
    <definedName name="BLPH9" hidden="1">#REF!</definedName>
    <definedName name="BLPR120040219014152271" hidden="1">#REF!</definedName>
    <definedName name="BLPR120040219014152271_1_4" hidden="1">#REF!</definedName>
    <definedName name="BLPR120040219014152271_2_4" hidden="1">#REF!</definedName>
    <definedName name="BLPR120040219014152271_3_4" hidden="1">#REF!</definedName>
    <definedName name="BLPR120040219014152271_4_4" hidden="1">#REF!</definedName>
    <definedName name="BLPR220040219014152271" hidden="1">#REF!</definedName>
    <definedName name="BLPR220040219014152271_1_4" hidden="1">#REF!</definedName>
    <definedName name="BLPR220040219014152271_2_4" hidden="1">#REF!</definedName>
    <definedName name="BLPR220040219014152271_3_4" hidden="1">#REF!</definedName>
    <definedName name="BLPR220040219014152271_4_4" hidden="1">#REF!</definedName>
    <definedName name="BLPR320040219014152271" hidden="1">#REF!</definedName>
    <definedName name="BLPR320040219014152271_1_4" hidden="1">#REF!</definedName>
    <definedName name="BLPR320040219014152271_2_4" hidden="1">#REF!</definedName>
    <definedName name="BLPR320040219014152271_3_4" hidden="1">#REF!</definedName>
    <definedName name="BLPR320040219014152271_4_4" hidden="1">#REF!</definedName>
    <definedName name="BLPR420040219014152271" hidden="1">#REF!</definedName>
    <definedName name="BLPR420040219014152271_1_4" hidden="1">#REF!</definedName>
    <definedName name="BLPR420040219014152271_2_4" hidden="1">#REF!</definedName>
    <definedName name="BLPR420040219014152271_3_4" hidden="1">#REF!</definedName>
    <definedName name="BLPR420040219014152271_4_4" hidden="1">#REF!</definedName>
    <definedName name="BLPR520040219014532928" hidden="1">#REF!</definedName>
    <definedName name="BLPR520040219014532928_1_4" hidden="1">#REF!</definedName>
    <definedName name="BLPR520040219014532928_2_4" hidden="1">#REF!</definedName>
    <definedName name="BLPR520040219014532928_3_4" hidden="1">#REF!</definedName>
    <definedName name="BLPR520040219014532928_4_4" hidden="1">#REF!</definedName>
    <definedName name="BLPR620040219014548771" hidden="1">#REF!</definedName>
    <definedName name="BLPR620040219014548771_1_4" hidden="1">#REF!</definedName>
    <definedName name="BLPR620040219014548771_2_4" hidden="1">#REF!</definedName>
    <definedName name="BLPR620040219014548771_3_4" hidden="1">#REF!</definedName>
    <definedName name="BLPR620040219014548771_4_4" hidden="1">#REF!</definedName>
    <definedName name="BNE_MESSAGES_HIDDEN" hidden="1">#REF!</definedName>
    <definedName name="BrazilManufacturing" localSheetId="1">#REF!</definedName>
    <definedName name="BrazilManufacturing">#REF!</definedName>
    <definedName name="BrazilMarketing" localSheetId="1">#REF!</definedName>
    <definedName name="BrazilMarketing">#REF!</definedName>
    <definedName name="BSMO" localSheetId="1">#REF!</definedName>
    <definedName name="BSMO">#REF!</definedName>
    <definedName name="BSMonth" localSheetId="1">#REF!</definedName>
    <definedName name="BSMonth">#REF!</definedName>
    <definedName name="BSMONTHLY" localSheetId="1">#REF!</definedName>
    <definedName name="BSMONTHLY">#REF!</definedName>
    <definedName name="BSRF" localSheetId="1">#REF!</definedName>
    <definedName name="BSRF">#REF!</definedName>
    <definedName name="BSWK" localSheetId="1">#REF!</definedName>
    <definedName name="BSWK">#REF!</definedName>
    <definedName name="BUSCLX001PUSD" hidden="1">#REF!</definedName>
    <definedName name="c.LTMYear" hidden="1">#REF!</definedName>
    <definedName name="CAD_FX_rate" localSheetId="1">#REF!</definedName>
    <definedName name="CAD_FX_rate">#REF!</definedName>
    <definedName name="CAD_Int_Acct_Int" localSheetId="1">#REF!</definedName>
    <definedName name="CAD_Int_Acct_Int">#REF!</definedName>
    <definedName name="CAD_Prin_Coll_Acct_Prin" localSheetId="1">#REF!</definedName>
    <definedName name="CAD_Prin_Coll_Acct_Prin">#REF!</definedName>
    <definedName name="CAD_Unfund_Exp_acct" localSheetId="1">#REF!</definedName>
    <definedName name="CAD_Unfund_Exp_acct">#REF!</definedName>
    <definedName name="Call_If" localSheetId="1">#REF!</definedName>
    <definedName name="Call_If">#REF!</definedName>
    <definedName name="Call_Period" localSheetId="1">#REF!</definedName>
    <definedName name="Call_Period">#REF!</definedName>
    <definedName name="Call_Price" localSheetId="1">#REF!</definedName>
    <definedName name="Call_Price">#REF!</definedName>
    <definedName name="Cap" localSheetId="1">#REF!</definedName>
    <definedName name="Cap">#REF!</definedName>
    <definedName name="CapInterest" localSheetId="1">#REF!</definedName>
    <definedName name="CapInterest">#REF!</definedName>
    <definedName name="capital" localSheetId="3" hidden="1">{#N/A,#N/A,FALSE,"Balance Sheet";#N/A,#N/A,FALSE,"Income Statement";#N/A,#N/A,FALSE,"Partners Capital";#N/A,#N/A,FALSE,"Cash Flows";#N/A,#N/A,FALSE,"Support"}</definedName>
    <definedName name="capital" localSheetId="1" hidden="1">{#N/A,#N/A,FALSE,"Balance Sheet";#N/A,#N/A,FALSE,"Income Statement";#N/A,#N/A,FALSE,"Partners Capital";#N/A,#N/A,FALSE,"Cash Flows";#N/A,#N/A,FALSE,"Support"}</definedName>
    <definedName name="capital" hidden="1">{#N/A,#N/A,FALSE,"Balance Sheet";#N/A,#N/A,FALSE,"Income Statement";#N/A,#N/A,FALSE,"Partners Capital";#N/A,#N/A,FALSE,"Cash Flows";#N/A,#N/A,FALSE,"Support"}</definedName>
    <definedName name="capitalized" localSheetId="3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capitalized" localSheetId="1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capitalized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Carry_Int" localSheetId="1">#REF!</definedName>
    <definedName name="Carry_Int">#REF!</definedName>
    <definedName name="Carry_Spread" localSheetId="1">#REF!</definedName>
    <definedName name="Carry_Spread">#REF!</definedName>
    <definedName name="Cash_Capital" localSheetId="1">#REF!</definedName>
    <definedName name="Cash_Capital">#REF!</definedName>
    <definedName name="cb_Add_CalloutChart_24_opts" hidden="1">"1, 9, 1, False, 2, False, False, , 0, False, False, 1, 1"</definedName>
    <definedName name="cb_Add_CalloutChart_25_opts" hidden="1">"1, 10, 1, False, 2, False, False, , 0, False, True, 1, 1"</definedName>
    <definedName name="cb_Add_CalloutChart_26_opts" hidden="1">"1, 9, 1, False, 2, False, False, , 0, False, True, 1, 1"</definedName>
    <definedName name="cb_ALT_STACKED_COLUMNChart_22_opts" hidden="1">"1, 3, 1, False, 2, True, False, , 0, False, True, 1, 2"</definedName>
    <definedName name="cb_ALT_STACKED_COLUMNChart_23_opts" hidden="1">"1, 3, 1, False, 2, True, False, , 0, False, True, 1, 2"</definedName>
    <definedName name="cb_Chart_1_opts" hidden="1">"1, 6, 1, False, 2, False, False, , 0, False, True, 1, 2"</definedName>
    <definedName name="cb_Chart_10_opts" hidden="1">"1, 8, 1, False, 2, False, False, , 0, False, False, 1, 1"</definedName>
    <definedName name="cb_Chart_100032_opts" hidden="1">"1, 10, 1, False, 2, True, False, , 0, False, False, 2, 2"</definedName>
    <definedName name="cb_Chart_10104_opts" hidden="1">"1, 5, 1, False, 2, True, False, , 0, True, False, 2, 1"</definedName>
    <definedName name="cb_Chart_10401_opts" hidden="1">"1, 5, 1, False, 2, False, False, , 0, True, False, 2, 1"</definedName>
    <definedName name="cb_Chart_10736_opts" hidden="1">"1, 10, 1, False, 2, False, False, , 0, False, False, 2, 2"</definedName>
    <definedName name="cb_Chart_11_opts" hidden="1">"1, 5, 1, False, 2, False, False, , 0, False, False, 1, 2"</definedName>
    <definedName name="cb_Chart_12_opts" hidden="1">"1, 5, 1, False, 2, True, False, , 0, True, False, 1, 2"</definedName>
    <definedName name="cb_Chart_13_opts" hidden="1">"1, 5, 1, False, 2, True, False, , 0, True, False, 1, 2"</definedName>
    <definedName name="cb_Chart_14_opts" hidden="1">"2, 2, 2, True, 2, False, False, , 0, False, True, 1, 2"</definedName>
    <definedName name="cb_Chart_15_opts" hidden="1">"2, 1, 2, True, 2, False, False, , 0, False, True, 1, 2"</definedName>
    <definedName name="cb_Chart_1501_opts" hidden="1">"1, 10, 1, False, 2, True, False, , 0, False, False, 2, 2"</definedName>
    <definedName name="cb_Chart_16_opts" hidden="1">"2, 1, 2, True, 2, False, False, , 0, False, True, 1, 2"</definedName>
    <definedName name="cb_Chart_1670_opts" hidden="1">"1, 5, 1, False, 2, True, False, , 0, False, False, 2, 1"</definedName>
    <definedName name="cb_Chart_17_opts" hidden="1">"1, 9, 1, False, 2, False, False, , 0, False, False, 1, 1"</definedName>
    <definedName name="cb_Chart_18_opts" hidden="1">"1, 9, 1, False, 2, False, False, , 0, False, False, 1, 1"</definedName>
    <definedName name="cb_Chart_19_opts" hidden="1">"1, 2, 1, False, 2, True, False, , 0, True, False, 2, 1"</definedName>
    <definedName name="cb_Chart_2_opts" hidden="1">"1, 6, 1, False, 2, False, False, , 0, False, False, 1, 2"</definedName>
    <definedName name="cb_Chart_20_opts" hidden="1">"1, 9, 1, False, 2, False, False, , 0, False, False, 1, 1"</definedName>
    <definedName name="cb_Chart_21_opts" hidden="1">"1, 2, 1, False, 2, False, False, , 0, False, False, 2, 1"</definedName>
    <definedName name="cb_Chart_22_opts" hidden="1">"1, 2, 1, False, 2, True, False, , 0, False, False, 2, 1"</definedName>
    <definedName name="cb_Chart_22784_opts" hidden="1">"1, 9, 1, False, 2, False, False, , 0, False, True, 1, 2"</definedName>
    <definedName name="cb_Chart_23" localSheetId="1" hidden="1">#REF!</definedName>
    <definedName name="cb_Chart_23" hidden="1">#REF!</definedName>
    <definedName name="cb_Chart_23_opts" hidden="1">"1, 9, 1, False, 2, False, False, , 0, False, False, 1, 1"</definedName>
    <definedName name="cb_Chart_24_opts" hidden="1">"1, 2, 1, False, 2, False, False, , 0, False, False, 2, 1"</definedName>
    <definedName name="cb_Chart_24490_opts" hidden="1">"1, 10, 1, False, 2, True, False, , 0, False, False, 2, 2"</definedName>
    <definedName name="cb_Chart_25_opts" hidden="1">"1, 3, 1, False, 2, False, False, , 0, True, True, 1, 2"</definedName>
    <definedName name="cb_Chart_26_opts" hidden="1">"1, 2, 1, False, 2, False, False, , 0, False, False, 2, 1"</definedName>
    <definedName name="cb_Chart_26476_opts" hidden="1">"1, 1, 1, False, 2, True, False, , 0, False, False, 1, 2"</definedName>
    <definedName name="cb_Chart_27_opts" hidden="1">"1, 1, 1, False, 2, True, False, , 0, False, True, 1, 2"</definedName>
    <definedName name="cb_Chart_28_opts" hidden="1">"1, 3, 1, False, 2, True, False, , 0, False, True, 1, 2"</definedName>
    <definedName name="cb_Chart_28031_opts" hidden="1">"1, 1, 1, False, 2, True, False, , 0, False, False, 1, 2"</definedName>
    <definedName name="cb_Chart_28545_opts" hidden="1">"1, 5, 1, False, 2, True, False, , 0, False, True, 2, 1"</definedName>
    <definedName name="cb_Chart_29" localSheetId="1" hidden="1">#REF!</definedName>
    <definedName name="cb_Chart_29" hidden="1">#REF!</definedName>
    <definedName name="cb_Chart_29_opts" hidden="1">"1, 3, 1, False, 2, False, False, , 0, False, False, 1, 1"</definedName>
    <definedName name="cb_Chart_29053_opts" hidden="1">"1, 10, 1, False, 2, True, False, , 0, False, False, 2, 2"</definedName>
    <definedName name="cb_Chart_29913_opts" hidden="1">"1, 1, 1, False, 2, False, False, , 0, False, False, 1, 1"</definedName>
    <definedName name="cb_Chart_3_opts" hidden="1">"1, 1, 1, False, 2, True, False, , 0, False, False, 2, 2"</definedName>
    <definedName name="cb_Chart_30" localSheetId="1" hidden="1">#REF!</definedName>
    <definedName name="cb_Chart_30" hidden="1">#REF!</definedName>
    <definedName name="cb_Chart_30_opts" hidden="1">"1, 3, 1, False, 2, True, False, , 0, False, True, 1, 2"</definedName>
    <definedName name="cb_Chart_30292_opts" hidden="1">"1, 1, 1, False, 2, False, False, , 0, False, False, 1, 2"</definedName>
    <definedName name="cb_Chart_31_opts" hidden="1">"1, 1, 1, False, 2, True, False, , 0, True, True, 2, 2"</definedName>
    <definedName name="cb_Chart_32_opts" hidden="1">"1, 1, 1, False, 2, True, False, , 0, False, False, 2, 2"</definedName>
    <definedName name="cb_Chart_33_opts" hidden="1">"1, 1, 1, False, 2, True, False, , 0, False, True, 3, 2"</definedName>
    <definedName name="cb_Chart_34_opts" hidden="1">"1, 10, 1, False, 2, True, False, , 0, False, False, 2, 2"</definedName>
    <definedName name="cb_Chart_36498_opts" hidden="1">"1, 1, 1, False, 2, True, False, , 0, False, False, 1, 2"</definedName>
    <definedName name="cb_Chart_37450_opts" hidden="1">"1, 10, 1, False, 2, True, False, , 0, False, False, 2, 2"</definedName>
    <definedName name="cb_Chart_4_opts" hidden="1">"1, 7, 1, False, 2, False, False, , 0, False, True, 1, 2"</definedName>
    <definedName name="cb_Chart_41_opts" hidden="1">"1, 10, 1, False, 2, True, False, , 0, False, False, 2, 1"</definedName>
    <definedName name="cb_Chart_41499_opts" hidden="1">"1, 10, 1, False, 2, True, False, , 0, False, False, 2, 2"</definedName>
    <definedName name="cb_Chart_42_opts" hidden="1">"1, 10, 1, False, 2, True, False, , 0, False, False, 2, 1"</definedName>
    <definedName name="cb_Chart_43" localSheetId="1" hidden="1">#REF!</definedName>
    <definedName name="cb_Chart_43" hidden="1">#REF!</definedName>
    <definedName name="cb_Chart_43_opts" hidden="1">"1, 10, 1, False, 2, True, False, , 0, False, False, 2, 1"</definedName>
    <definedName name="cb_Chart_4634_opts" hidden="1">"1, 10, 1, False, 2, True, False, , 0, False, False, 2, 2"</definedName>
    <definedName name="cb_Chart_4664_opts" hidden="1">"1, 5, 1, False, 2, True, False, , 0, False, True, 1, 2"</definedName>
    <definedName name="cb_Chart_46965_opts" hidden="1">"1, 1, 1, False, 2, False, False, , 0, False, False, 1, 1"</definedName>
    <definedName name="cb_Chart_5" localSheetId="1" hidden="1">#REF!</definedName>
    <definedName name="cb_Chart_5" hidden="1">#REF!</definedName>
    <definedName name="cb_Chart_5_opts" hidden="1">"1, 8, 1, False, 2, False, False, , 0, False, False, 1, 2"</definedName>
    <definedName name="cb_Chart_52582_opts" hidden="1">"1, 1, 1, False, 2, False, False, , 0, False, False, 1, 2"</definedName>
    <definedName name="cb_Chart_53437_opts" hidden="1">"1, 10, 1, False, 2, True, False, , 0, False, False, 2, 2"</definedName>
    <definedName name="cb_Chart_53482_opts" hidden="1">"1, 10, 1, False, 2, True, False, , 0, False, False, 2, 2"</definedName>
    <definedName name="cb_Chart_54_opts" hidden="1">"1, 3, 1, False, 2, False, False, , 0, False, True, 2, 2"</definedName>
    <definedName name="cb_Chart_5449_opts" hidden="1">"1, 1, 1, False, 2, False, False, , 0, False, False, 1, 1"</definedName>
    <definedName name="cb_Chart_5723_opts" hidden="1">"1, 1, 1, False, 2, True, False, , 0, False, True, 1, 2"</definedName>
    <definedName name="cb_Chart_57613_opts" hidden="1">"1, 5, 1, False, 2, True, False, , 0, False, True, 2, 1"</definedName>
    <definedName name="cb_Chart_58046_opts" hidden="1">"1, 10, 1, False, 2, True, False, , 0, False, False, 2, 2"</definedName>
    <definedName name="cb_Chart_59010_opts" hidden="1">"1, 2, 1, False, 2, False, False, , 0, False, False, 2, 1"</definedName>
    <definedName name="cb_Chart_59340_opts" hidden="1">"1, 1, 1, False, 2, False, False, , 0, False, False, 1, 1"</definedName>
    <definedName name="cb_Chart_6_opts" hidden="1">"1, 10, 1, False, 2, True, False, , 0, False, False, 2, 2"</definedName>
    <definedName name="cb_Chart_62364_opts" hidden="1">"1, 1, 1, False, 2, True, False, , 0, False, False, 1, 2"</definedName>
    <definedName name="cb_Chart_64876_opts" hidden="1">"1, 1, 1, False, 2, True, False, , 0, False, False, 1, 2"</definedName>
    <definedName name="cb_Chart_67711_opts" hidden="1">"1, 10, 1, False, 2, True, False, , 0, False, False, 2, 2"</definedName>
    <definedName name="cb_Chart_69605_opts" hidden="1">"1, 2, 1, False, 2, False, False, , 0, False, False, 2, 1"</definedName>
    <definedName name="cb_Chart_7_opts" hidden="1">"2, 1, 2, True, 2, False, False, , 0, False, True, 1, 2"</definedName>
    <definedName name="cb_Chart_70_opts" hidden="1">"1, 10, 1, False, 2, True, False, , 0, False, False, 1, 1"</definedName>
    <definedName name="cb_Chart_70648_opts" hidden="1">"1, 1, 1, False, 2, True, False, , 0, False, False, 2, 2"</definedName>
    <definedName name="cb_Chart_70997_opts" hidden="1">"1, 10, 1, False, 2, False, False, , 0, False, False, 1, 1"</definedName>
    <definedName name="cb_Chart_71_opts" hidden="1">"1, 10, 1, False, 2, False, False, , 0, False, False, 1, 1"</definedName>
    <definedName name="cb_Chart_72_opts" hidden="1">"1, 10, 1, False, 2, True, False, , 0, False, False, 1, 1"</definedName>
    <definedName name="cb_Chart_73_opts" hidden="1">"1, 10, 1, False, 2, False, False, , 0, False, False, 1, 1"</definedName>
    <definedName name="cb_Chart_76165_opts" hidden="1">"1, 10, 1, False, 2, True, False, , 0, False, False, 2, 2"</definedName>
    <definedName name="cb_Chart_76804_opts" hidden="1">"1, 1, 1, False, 2, False, False, , 0, False, False, 1, 1"</definedName>
    <definedName name="cb_Chart_77567_opts" hidden="1">"1, 10, 1, False, 2, False, False, , 0, False, False, 1, 1"</definedName>
    <definedName name="cb_Chart_79140_opts" hidden="1">"1, 10, 1, False, 2, True, False, , 0, False, False, 2, 2"</definedName>
    <definedName name="cb_Chart_79981_opts" hidden="1">"1, 5, 1, False, 2, True, False, , 0, True, False, 2, 1"</definedName>
    <definedName name="cb_Chart_8_opts" hidden="1">"2, 1, 2, True, 2, False, False, , 0, False, True, 1, 2"</definedName>
    <definedName name="cb_Chart_81541_opts" hidden="1">"1, 10, 1, False, 2, True, False, , 0, False, False, 2, 2"</definedName>
    <definedName name="cb_Chart_82552_opts" hidden="1">"1, 1, 1, False, 2, True, False, , 0, False, False, 1, 2"</definedName>
    <definedName name="cb_Chart_83072_opts" hidden="1">"1, 1, 1, False, 2, True, False, , 0, False, False, 1, 2"</definedName>
    <definedName name="cb_Chart_86354_opts" hidden="1">"1, 10, 1, False, 2, False, False, , 0, False, False, 1, 1"</definedName>
    <definedName name="cb_Chart_87236_opts" hidden="1">"1, 1, 1, False, 2, True, False, , 0, False, False, 1, 2"</definedName>
    <definedName name="cb_Chart_9_opts" hidden="1">"1, 8, 1, False, 2, False, False, , 0, False, False, 1, 1"</definedName>
    <definedName name="cb_Chart_91188_opts" hidden="1">"1, 8, 1, False, 2, False, False, , 0, False, False, 1, 2"</definedName>
    <definedName name="cb_Chart_95047_opts" hidden="1">"1, 1, 1, False, 2, False, False, , 0, False, False, 1, 2"</definedName>
    <definedName name="cb_Chart_96286_opts" hidden="1">"1, 10, 1, False, 2, True, False, , 0, False, False, 2, 2"</definedName>
    <definedName name="cb_Chart_98091_opts" hidden="1">"1, 2, 1, False, 2, False, False, , 0, False, False, 2, 1"</definedName>
    <definedName name="cb_Chart_98700_opts" hidden="1">"1, 8, 1, False, 2, False, False, , 0, False, False, 1, 2"</definedName>
    <definedName name="cb_Copy_Chart_w_New_DataChart_10_opts" hidden="1">"2, 1, 1, True, 4, False, False, , 0, False, False, 2, 2"</definedName>
    <definedName name="cb_Copy_Chart_w_New_DataChart_7_opts" hidden="1">"2, 1, 1, True, 4, False, False, , 0, False, False, 2, 2"</definedName>
    <definedName name="cb_Copy_Chart_w_New_DataChart_8_opts" hidden="1">"2, 1, 1, True, 4, False, False, , 0, False, False, 2, 2"</definedName>
    <definedName name="cb_Copy_Chart_w_New_DataChart_9_opts" hidden="1">"2, 1, 1, True, 4, False, False, , 0, False, False, 2, 2"</definedName>
    <definedName name="cb_Dimension_Pie_ChartsChart_1_opts" hidden="1">"1, 1, 1, False, 2, True, False, , 0, False, False, 2, 2"</definedName>
    <definedName name="cb_Dimension_Pie_ChartsChart_2_opts" hidden="1">"1, 10, 1, False, 2, True, False, , 0, False, False, 2, 2"</definedName>
    <definedName name="cb_Export_LegendChart_14_opts" hidden="1">"1, 10, 1, False, 2, True, False, , 0, False, False, 2, 2"</definedName>
    <definedName name="cb_Export_LegendChart_15_opts" hidden="1">"1, 10, 1, False, 2, True, False, , 0, False, False, 2, 2"</definedName>
    <definedName name="cb_PieChart_16_opts" hidden="1">"1, 10, 1, False, 2, True, False, , 0, False, False, 2, 2"</definedName>
    <definedName name="cb_sChart_1501_opts" hidden="1">"1, 2, 1, False, 2, False, False, , 0, False, False, 2, 1"</definedName>
    <definedName name="cb_sChart_26476_opts" hidden="1">"1, 4, 1, False, 2, True, False, , 0, False, False, 1, 2"</definedName>
    <definedName name="cb_sChart_28031_opts" hidden="1">"1, 4, 1, False, 2, True, False, , 0, False, False, 1, 1"</definedName>
    <definedName name="cb_sChart_29053_opts" hidden="1">"1, 2, 1, False, 2, False, False, , 0, False, False, 2, 1"</definedName>
    <definedName name="cb_sChart_29913_opts" hidden="1">"1, 3, 1, False, 2, False, False, , 0, False, True, 2, 2"</definedName>
    <definedName name="cb_sChart_30292_opts" hidden="1">"1, 2, 1, False, 2, False, False, , 0, False, False, 2, 1"</definedName>
    <definedName name="cb_sChart_36498_opts" hidden="1">"1, 3, 1, False, 2, False, False, , 0, False, False, 1, 2"</definedName>
    <definedName name="cb_sChart_37450_opts" hidden="1">"1, 1, 1, False, 2, True, False, , 0, False, False, 1, 2"</definedName>
    <definedName name="cb_sChart_41499_opts" hidden="1">"1, 2, 1, False, 2, False, False, , 0, False, False, 2, 1"</definedName>
    <definedName name="cb_sChart_4634_opts" hidden="1">"1, 2, 1, False, 2, False, False, , 0, False, False, 2, 1"</definedName>
    <definedName name="cb_sChart_46965_opts" hidden="1">"1, 1, 1, False, 2, False, False, , 0, False, False, 1, 1"</definedName>
    <definedName name="cb_sChart_52582_opts" hidden="1">"1, 5, 1, False, 2, False, False, , 0, False, True, 1, 2"</definedName>
    <definedName name="cb_sChart_53437_opts" hidden="1">"1, 1, 1, False, 2, True, False, , 0, False, False, 1, 2"</definedName>
    <definedName name="cb_sChart_5449_opts" hidden="1">"1, 3, 1, False, 2, False, False, , 0, False, True, 2, 2"</definedName>
    <definedName name="cb_sChart_5723_opts" hidden="1">"1, 1, 1, False, 2, True, False, , 0, False, False, 2, 1"</definedName>
    <definedName name="cb_sChart_58046_opts" hidden="1">"1, 1, 1, False, 2, True, False, , 0, False, False, 1, 2"</definedName>
    <definedName name="cb_sChart_59010_opts" hidden="1">"1, 5, 1, False, 2, True, False, , 0, False, False, 2, 1"</definedName>
    <definedName name="cb_sChart_59340_opts" hidden="1">"1, 3, 1, False, 2, False, False, , 0, False, True, 2, 2"</definedName>
    <definedName name="cb_sChart_62364_opts" hidden="1">"1, 3, 1, False, 2, False, False, , 0, False, True, 2, 2"</definedName>
    <definedName name="cb_sChart_64876_opts" hidden="1">"1, 5, 1, False, 2, True, False, , 0, False, False, 2, 2"</definedName>
    <definedName name="cb_sChart_70648_opts" hidden="1">"1, 1, 1, False, 2, False, False, , 0, False, False, 1, 1"</definedName>
    <definedName name="cb_sChart_70997_opts" hidden="1">"1, 2, 1, False, 2, False, False, , 0, False, False, 2, 1"</definedName>
    <definedName name="cb_sChart_76165_opts" hidden="1">"1, 2, 1, False, 2, False, False, , 0, False, False, 2, 1"</definedName>
    <definedName name="cb_sChart_76804_opts" hidden="1">"1, 3, 1, False, 2, False, False, , 0, False, True, 2, 2"</definedName>
    <definedName name="cb_sChart_77567_opts" hidden="1">"1, 2, 1, False, 2, False, False, , 0, False, False, 2, 1"</definedName>
    <definedName name="cb_sChart_79140_opts" hidden="1">"1, 1, 1, False, 2, True, False, , 0, False, False, 1, 2"</definedName>
    <definedName name="cb_sChart_81541_opts" hidden="1">"1, 2, 1, False, 2, False, False, , 0, False, False, 2, 1"</definedName>
    <definedName name="cb_sChart_82552_opts" hidden="1">"1, 4, 1, False, 2, True, False, , 0, False, False, 2, 1"</definedName>
    <definedName name="cb_sChart_83072_opts" hidden="1">"1, 4, 1, False, 2, True, False, , 0, False, False, 2, 1"</definedName>
    <definedName name="cb_sChart_86354_opts" hidden="1">"1, 1, 1, False, 2, True, False, , 0, False, False, 1, 2"</definedName>
    <definedName name="cb_sChart_87236_opts" hidden="1">"1, 2, 1, False, 2, False, False, , 0, False, False, 2, 1"</definedName>
    <definedName name="cb_sChart_95047_opts" hidden="1">"1, 3, 1, False, 2, False, False, , 0, False, False, 1, 2"</definedName>
    <definedName name="cb_sChart_96286_opts" hidden="1">"1, 2, 1, False, 2, False, False, , 0, False, False, 2, 1"</definedName>
    <definedName name="cb_sChart11DCFB24_opts" hidden="1">"1, 9, 1, False, 2, False, False, , 0, False, True, 1, 1"</definedName>
    <definedName name="cb_sChart11EADA92_opts" hidden="1">"1, 1, 1, False, 2, False, False, , 0, False, True, 2, 2"</definedName>
    <definedName name="cb_sChart11EAED4A_opts" hidden="1">"1, 1, 1, False, 2, False, False, , 0, False, True, 2, 2"</definedName>
    <definedName name="cb_sChart11EB049E_opts" hidden="1">"1, 1, 1, False, 2, False, False, , 0, False, True, 2, 2"</definedName>
    <definedName name="cb_sChart11FB1BDC_opts" hidden="1">"1, 1, 1, False, 2, True, False, , 0, False, True, 2, 2"</definedName>
    <definedName name="cb_sChart11FB2467_opts" hidden="1">"1, 1, 1, False, 2, True, False, , 0, False, True, 2, 2"</definedName>
    <definedName name="cb_sChart11FB271E_opts" hidden="1">"1, 1, 1, False, 2, True, False, , 0, False, True, 2, 2"</definedName>
    <definedName name="cb_sChart11FB296C_opts" hidden="1">"1, 1, 1, False, 2, True, False, , 0, False, True, 2, 2"</definedName>
    <definedName name="cb_sChart11FB4DE8_opts" hidden="1">"1, 9, 1, False, 2, False, False, , 0, False, True, 1, 2"</definedName>
    <definedName name="cb_sChart11FCA363_opts" hidden="1">"2, 1, 2, True, 2, False, False, , 0, False, True, 2, 2"</definedName>
    <definedName name="cb_sChart11FCA851_opts" hidden="1">"2, 1, 2, True, 2, False, False, , 0, False, True, 2, 2"</definedName>
    <definedName name="cb_sChart11FCE81C_opts" hidden="1">"1, 9, 1, False, 2, False, False, , 0, False, True, 2, 2"</definedName>
    <definedName name="cb_sChart12073B79_opts" hidden="1">"1, 9, 1, False, 2, False, False, , 0, False, True, 2, 2"</definedName>
    <definedName name="cb_sChart12074F69_opts" hidden="1">"1, 9, 1, False, 2, False, False, , 0, False, True, 2, 2"</definedName>
    <definedName name="cb_sChart1216F828_opts" hidden="1">"2, 1, 1, False, 2, False, False, , 0, False, True, 2, 2"</definedName>
    <definedName name="cb_sChart122574E1_opts" hidden="1">"1, 1, 1, False, 2, False, False, , 0, False, True, 2, 2"</definedName>
    <definedName name="cb_sChart12285211_opts" hidden="1">"1, 9, 1, False, 2, False, False, , 0, False, False, 1, 2"</definedName>
    <definedName name="cb_sChart12291B1F_opts" hidden="1">"2, 1, 1, True, 3, False, False, , 0, False, False, 1, 2"</definedName>
    <definedName name="cb_sChart1248DE96_opts" hidden="1">"1, 9, 1, False, 2, False, False, , 0, False, False, 1, 2"</definedName>
    <definedName name="cb_sChart1248E206_opts" hidden="1">"1, 9, 1, False, 2, False, False, , 0, False, False, 1, 2"</definedName>
    <definedName name="cb_sChart13E9564D_opts" hidden="1">"1, 10, 1, False, 2, False, False, , 0, False, True, 2, 1"</definedName>
    <definedName name="cb_sChart13E9574C_opts" hidden="1">"1, 10, 1, False, 2, False, False, , 0, False, False, 2, 1"</definedName>
    <definedName name="cb_sChart1401F7BB_opts" hidden="1">"1, 10, 1, False, 2, False, False, , 0, False, False, 2, 1"</definedName>
    <definedName name="cb_sChart1401F88B_opts" hidden="1">"1, 10, 1, False, 2, False, False, , 0, False, False, 2, 1"</definedName>
    <definedName name="cb_sChart1401F9C4_opts" hidden="1">"1, 10, 1, False, 2, False, False, , 0, False, False, 2, 1"</definedName>
    <definedName name="cb_sChart1401FA71_opts" hidden="1">"1, 10, 1, False, 2, False, False, , 0, False, False, 2, 1"</definedName>
    <definedName name="cb_sChart1403FD66_opts" hidden="1">"1, 10, 1, False, 2, False, False, , 0, False, False, 2, 1"</definedName>
    <definedName name="cb_sChart140400A7_opts" hidden="1">"1, 10, 1, False, 2, False, False, , 0, False, False, 2, 1"</definedName>
    <definedName name="cb_sChart1406555A_opts" hidden="1">"1, 5, 1, False, 2, False, False, , 0, False, False, 1, 1"</definedName>
    <definedName name="cb_sChart140655E5_opts" hidden="1">"1, 3, 1, False, 2, False, False, , 0, False, False, 1, 1"</definedName>
    <definedName name="cb_sChart1406581C_opts" hidden="1">"1, 3, 1, False, 2, False, False, , 0, False, False, 1, 1"</definedName>
    <definedName name="cb_sChart14065ADE_opts" hidden="1">"1, 3, 1, False, 2, False, False, , 0, False, True, 1, 1"</definedName>
    <definedName name="cb_sChart14065BA3_opts" hidden="1">"1, 5, 1, False, 2, False, False, , 0, False, False, 1, 1"</definedName>
    <definedName name="cb_sChart15A07AA4_opts" hidden="1">"1, 9, 1, False, 2, False, False, , 0, False, False, 1, 2"</definedName>
    <definedName name="cb_sChart15A0819A_opts" hidden="1">"1, 4, 1, False, 2, False, False, , 0, False, False, 2, 1"</definedName>
    <definedName name="cb_sChart15A0820E_opts" hidden="1">"1, 1, 1, False, 2, False, False, , 0, False, False, 2, 2"</definedName>
    <definedName name="cb_sChart15A08324_opts" hidden="1">"1, 4, 1, False, 2, False, False, , 0, False, False, 1, 1"</definedName>
    <definedName name="cb_sChart15A083DD_opts" hidden="1">"1, 4, 1, False, 2, False, False, , 0, False, False, 1, 1"</definedName>
    <definedName name="cb_sChart15A08496_opts" hidden="1">"1, 1, 1, False, 2, False, False, , 0, False, False, 2, 2"</definedName>
    <definedName name="cb_sChart15A084F3_opts" hidden="1">"1, 1, 1, False, 2, False, False, , 0, False, False, 1, 1"</definedName>
    <definedName name="cb_sChart15A173D8_opts" hidden="1">"1, 4, 1, False, 2, False, False, , 0, False, False, 1, 1"</definedName>
    <definedName name="cb_sChart15A17491_opts" hidden="1">"1, 4, 1, False, 2, False, False, , 0, False, False, 1, 1"</definedName>
    <definedName name="cb_sChart15A1751C_opts" hidden="1">"1, 4, 1, False, 2, False, False, , 0, False, False, 1, 1"</definedName>
    <definedName name="cb_sChart15A17590_opts" hidden="1">"1, 4, 1, False, 2, False, False, , 0, False, False, 1, 1"</definedName>
    <definedName name="cb_sChart15A17869_opts" hidden="1">"1, 4, 1, False, 2, False, False, , 0, False, False, 1, 1"</definedName>
    <definedName name="cb_sChart15A178E8_opts" hidden="1">"1, 4, 1, False, 2, False, False, , 0, False, False, 2, 1"</definedName>
    <definedName name="cb_sChart15A17968_opts" hidden="1">"1, 4, 1, False, 2, False, False, , 0, False, False, 1, 1"</definedName>
    <definedName name="cb_sChart15A179F2_opts" hidden="1">"1, 1, 1, False, 2, False, False, , 0, False, False, 2, 1"</definedName>
    <definedName name="cb_sChart15A17A7D_opts" hidden="1">"1, 4, 1, False, 2, False, False, , 0, False, False, 1, 1"</definedName>
    <definedName name="cb_sChart15A17B08_opts" hidden="1">"1, 1, 1, False, 2, False, False, , 0, False, False, 2, 2"</definedName>
    <definedName name="cb_sChart161DB88B_opts" hidden="1">"1, 9, 1, False, 2, False, False, , 0, False, True, 1, 1"</definedName>
    <definedName name="cb_sChart161DBB4D_opts" hidden="1">"1, 1, 1, False, 2, False, False, , 0, False, True, 1, 1"</definedName>
    <definedName name="cb_sChartD68BCC9_opts" hidden="1">"1, 1, 1, False, 2, True, False, , 0, False, True, 1, 1"</definedName>
    <definedName name="cb_sChartD6B06A2_opts" hidden="1">"1, 1, 1, False, 2, False, False, , 0, False, False, 2, 2"</definedName>
    <definedName name="cb_sChartD6B1FA3_opts" hidden="1">"1, 1, 1, False, 2, False, False, , 0, False, False, 2, 2"</definedName>
    <definedName name="cb_sChartD6B69B1_opts" hidden="1">"1, 1, 1, False, 2, False, False, , 0, False, False, 1, 2"</definedName>
    <definedName name="cb_sChartD6B76F0_opts" hidden="1">"2, 1, 1, False, 2, False, False, , 0, False, False, 1, 2"</definedName>
    <definedName name="cb_sChartD6B943C_opts" hidden="1">"2, 1, 1, False, 3, False, False, , 0, False, False, 1, 2"</definedName>
    <definedName name="cb_sChartD6C1C01_opts" hidden="1">"2, 1, 1, True, 2, False, False, , 0, False, False, 1, 2"</definedName>
    <definedName name="cb_sChartD6FD60D_opts" hidden="1">"1, 1, 1, False, 2, False, False, , 0, False, False, 1, 1"</definedName>
    <definedName name="cb_sChartD78B484_opts" hidden="1">"2, 1, 1, False, 2, True, False, , 0, False, False, 1, 2"</definedName>
    <definedName name="cb_sChartD78C2AA_opts" hidden="1">"2, 1, 1, True, 2, True, False, , 0, False, False, 1, 2"</definedName>
    <definedName name="cb_sChartD78C76A_opts" hidden="1">"2, 1, 1, True, 2, True, False, , 0, False, False, 1, 1"</definedName>
    <definedName name="cb_sChartD78CF99_opts" hidden="1">"2, 1, 3, True, 2, False, False, , 0, False, False, 1, 1"</definedName>
    <definedName name="cb_sChartD78D2CE_opts" hidden="1">"1, 1, 1, False, 2, False, False, , 0, False, False, 1, 2"</definedName>
    <definedName name="cb_sChartD78D365_opts" hidden="1">"1, 1, 1, False, 2, False, False, , 0, False, False, 1, 2"</definedName>
    <definedName name="cb_sChartD78D5B3_opts" hidden="1">"1, 1, 1, False, 2, False, False, , 0, False, False, 1, 2"</definedName>
    <definedName name="cb_sChartD78D655_opts" hidden="1">"1, 1, 1, False, 2, True, False, , 0, False, False, 1, 2"</definedName>
    <definedName name="cb_sChartD78DFD4_opts" hidden="1">"2, 1, 1, True, 2, False, False, , 0, False, False, 1, 2"</definedName>
    <definedName name="cb_sChartD78E27F_opts" hidden="1">"2, 1, 1, True, 2, False, False, , 0, False, False, 1, 2"</definedName>
    <definedName name="cb_sChartD78E924_opts" hidden="1">"2, 1, 1, True, 3, False, False, , 0, False, False, 1, 2"</definedName>
    <definedName name="cb_sChartD7A9852_opts" hidden="1">"2, 1, 1, True, 3, False, False, , 0, False, False, 1, 2"</definedName>
    <definedName name="cb_Size_by_height_and_widthChart_16_opts" hidden="1">"1, 4, 1, False, 2, False, False, , 0, False, False, 1, 1"</definedName>
    <definedName name="cb_Size_by_height_and_widthChart_7_opts" hidden="1">"1, 4, 1, False, 2, False, False, , 0, False, False, 1, 1"</definedName>
    <definedName name="cb_Size_by_height_and_widthChart_8_opts" hidden="1">"1, 4, 1, False, 2, False, False, , 0, False, False, 1, 1"</definedName>
    <definedName name="CCInteger" localSheetId="1">#REF!</definedName>
    <definedName name="CCInteger">#REF!</definedName>
    <definedName name="CCMO" localSheetId="1">#REF!</definedName>
    <definedName name="CCMO">#REF!</definedName>
    <definedName name="CCMOEXT" localSheetId="1">#REF!</definedName>
    <definedName name="CCMOEXT">#REF!</definedName>
    <definedName name="CCName01" localSheetId="1">#REF!</definedName>
    <definedName name="CCName01">#REF!</definedName>
    <definedName name="CCName02" localSheetId="1">#REF!</definedName>
    <definedName name="CCName02">#REF!</definedName>
    <definedName name="CCName03" localSheetId="1">#REF!</definedName>
    <definedName name="CCName03">#REF!</definedName>
    <definedName name="CCName04" localSheetId="1">#REF!</definedName>
    <definedName name="CCName04">#REF!</definedName>
    <definedName name="CCName05" localSheetId="1">#REF!</definedName>
    <definedName name="CCName05">#REF!</definedName>
    <definedName name="CCName06" localSheetId="1">#REF!</definedName>
    <definedName name="CCName06">#REF!</definedName>
    <definedName name="CCName07" localSheetId="1">#REF!</definedName>
    <definedName name="CCName07">#REF!</definedName>
    <definedName name="CCName08" localSheetId="1">#REF!</definedName>
    <definedName name="CCName08">#REF!</definedName>
    <definedName name="CCName09" localSheetId="1">#REF!</definedName>
    <definedName name="CCName09">#REF!</definedName>
    <definedName name="CCName10" localSheetId="1">#REF!</definedName>
    <definedName name="CCName10">#REF!</definedName>
    <definedName name="CCName11" localSheetId="1">#REF!</definedName>
    <definedName name="CCName11">#REF!</definedName>
    <definedName name="CCName12" localSheetId="1">#REF!</definedName>
    <definedName name="CCName12">#REF!</definedName>
    <definedName name="CCName13" localSheetId="1">#REF!</definedName>
    <definedName name="CCName13">#REF!</definedName>
    <definedName name="CCName14" localSheetId="1">#REF!</definedName>
    <definedName name="CCName14">#REF!</definedName>
    <definedName name="CCName15" localSheetId="1">#REF!</definedName>
    <definedName name="CCName15">#REF!</definedName>
    <definedName name="CCName16" localSheetId="1">#REF!</definedName>
    <definedName name="CCName16">#REF!</definedName>
    <definedName name="CCName17" localSheetId="1">#REF!</definedName>
    <definedName name="CCName17">#REF!</definedName>
    <definedName name="CCName18" localSheetId="1">#REF!</definedName>
    <definedName name="CCName18">#REF!</definedName>
    <definedName name="CCName19" localSheetId="1">#REF!</definedName>
    <definedName name="CCName19">#REF!</definedName>
    <definedName name="CCName20" localSheetId="1">#REF!</definedName>
    <definedName name="CCName20">#REF!</definedName>
    <definedName name="CCName21" localSheetId="1">#REF!</definedName>
    <definedName name="CCName21">#REF!</definedName>
    <definedName name="CCName22" localSheetId="1">#REF!</definedName>
    <definedName name="CCName22">#REF!</definedName>
    <definedName name="CCName23" localSheetId="1">#REF!</definedName>
    <definedName name="CCName23">#REF!</definedName>
    <definedName name="CCName24" localSheetId="1">#REF!</definedName>
    <definedName name="CCName24">#REF!</definedName>
    <definedName name="CCName25" localSheetId="1">#REF!</definedName>
    <definedName name="CCName25">#REF!</definedName>
    <definedName name="CCName26" localSheetId="1">#REF!</definedName>
    <definedName name="CCName26">#REF!</definedName>
    <definedName name="CCName27" localSheetId="1">#REF!</definedName>
    <definedName name="CCName27">#REF!</definedName>
    <definedName name="CCName28" localSheetId="1">#REF!</definedName>
    <definedName name="CCName28">#REF!</definedName>
    <definedName name="CCName29" localSheetId="1">#REF!</definedName>
    <definedName name="CCName29">#REF!</definedName>
    <definedName name="CCName30" localSheetId="1">#REF!</definedName>
    <definedName name="CCName30">#REF!</definedName>
    <definedName name="CCName31" localSheetId="1">#REF!</definedName>
    <definedName name="CCName31">#REF!</definedName>
    <definedName name="CCName32" localSheetId="1">#REF!</definedName>
    <definedName name="CCName32">#REF!</definedName>
    <definedName name="CCName33" localSheetId="1">#REF!</definedName>
    <definedName name="CCName33">#REF!</definedName>
    <definedName name="CCName34" localSheetId="1">#REF!</definedName>
    <definedName name="CCName34">#REF!</definedName>
    <definedName name="CCName35" localSheetId="1">#REF!</definedName>
    <definedName name="CCName35">#REF!</definedName>
    <definedName name="CCName36" localSheetId="1">#REF!</definedName>
    <definedName name="CCName36">#REF!</definedName>
    <definedName name="CCName37" localSheetId="1">#REF!</definedName>
    <definedName name="CCName37">#REF!</definedName>
    <definedName name="CCName38" localSheetId="1">#REF!</definedName>
    <definedName name="CCName38">#REF!</definedName>
    <definedName name="CCName39" localSheetId="1">#REF!</definedName>
    <definedName name="CCName39">#REF!</definedName>
    <definedName name="CCName40" localSheetId="1">#REF!</definedName>
    <definedName name="CCName40">#REF!</definedName>
    <definedName name="CCName41" localSheetId="1">#REF!</definedName>
    <definedName name="CCName41">#REF!</definedName>
    <definedName name="CCName42" localSheetId="1">#REF!</definedName>
    <definedName name="CCName42">#REF!</definedName>
    <definedName name="CCName43" localSheetId="1">#REF!</definedName>
    <definedName name="CCName43">#REF!</definedName>
    <definedName name="CCName44" localSheetId="1">#REF!</definedName>
    <definedName name="CCName44">#REF!</definedName>
    <definedName name="CCName45" localSheetId="1">#REF!</definedName>
    <definedName name="CCName45">#REF!</definedName>
    <definedName name="CCName46" localSheetId="1">#REF!</definedName>
    <definedName name="CCName46">#REF!</definedName>
    <definedName name="CCName47" localSheetId="1">#REF!</definedName>
    <definedName name="CCName47">#REF!</definedName>
    <definedName name="CCName48" localSheetId="1">#REF!</definedName>
    <definedName name="CCName48">#REF!</definedName>
    <definedName name="CCName49" localSheetId="1">#REF!</definedName>
    <definedName name="CCName49">#REF!</definedName>
    <definedName name="CCName50" localSheetId="1">#REF!</definedName>
    <definedName name="CCName50">#REF!</definedName>
    <definedName name="CCName51" localSheetId="1">#REF!</definedName>
    <definedName name="CCName51">#REF!</definedName>
    <definedName name="CCName52" localSheetId="1">#REF!</definedName>
    <definedName name="CCName52">#REF!</definedName>
    <definedName name="CCName53" localSheetId="1">#REF!</definedName>
    <definedName name="CCName53">#REF!</definedName>
    <definedName name="CCName54" localSheetId="1">#REF!</definedName>
    <definedName name="CCName54">#REF!</definedName>
    <definedName name="CCName55" localSheetId="1">#REF!</definedName>
    <definedName name="CCName55">#REF!</definedName>
    <definedName name="CCName56" localSheetId="1">#REF!</definedName>
    <definedName name="CCName56">#REF!</definedName>
    <definedName name="CCName57" localSheetId="1">#REF!</definedName>
    <definedName name="CCName57">#REF!</definedName>
    <definedName name="CCName58" localSheetId="1">#REF!</definedName>
    <definedName name="CCName58">#REF!</definedName>
    <definedName name="CCName59" localSheetId="1">#REF!</definedName>
    <definedName name="CCName59">#REF!</definedName>
    <definedName name="CCName60" localSheetId="1">#REF!</definedName>
    <definedName name="CCName60">#REF!</definedName>
    <definedName name="CCName61" localSheetId="1">#REF!</definedName>
    <definedName name="CCName61">#REF!</definedName>
    <definedName name="CCName62" localSheetId="1">#REF!</definedName>
    <definedName name="CCName62">#REF!</definedName>
    <definedName name="CCName63" localSheetId="1">#REF!</definedName>
    <definedName name="CCName63">#REF!</definedName>
    <definedName name="CCName64" localSheetId="1">#REF!</definedName>
    <definedName name="CCName64">#REF!</definedName>
    <definedName name="CCName65" localSheetId="1">#REF!</definedName>
    <definedName name="CCName65">#REF!</definedName>
    <definedName name="CCName66" localSheetId="1">#REF!</definedName>
    <definedName name="CCName66">#REF!</definedName>
    <definedName name="CCName67" localSheetId="1">#REF!</definedName>
    <definedName name="CCName67">#REF!</definedName>
    <definedName name="CCName68" localSheetId="1">#REF!</definedName>
    <definedName name="CCName68">#REF!</definedName>
    <definedName name="CCName69" localSheetId="1">#REF!</definedName>
    <definedName name="CCName69">#REF!</definedName>
    <definedName name="CCName70" localSheetId="1">#REF!</definedName>
    <definedName name="CCName70">#REF!</definedName>
    <definedName name="cd" localSheetId="1" hidden="1">#REF!</definedName>
    <definedName name="cd" hidden="1">#REF!</definedName>
    <definedName name="CDR" localSheetId="1">#REF!</definedName>
    <definedName name="CDR">#REF!</definedName>
    <definedName name="cdsc" localSheetId="3" hidden="1">{#N/A,#N/A,FALSE,"FFCXOUT3"}</definedName>
    <definedName name="cdsc" localSheetId="1" hidden="1">{#N/A,#N/A,FALSE,"FFCXOUT3"}</definedName>
    <definedName name="cdsc" hidden="1">{#N/A,#N/A,FALSE,"FFCXOUT3"}</definedName>
    <definedName name="cdswdw" localSheetId="1" hidden="1">#REF!</definedName>
    <definedName name="cdswdw" hidden="1">#REF!</definedName>
    <definedName name="CertaintyE" localSheetId="1">#REF!</definedName>
    <definedName name="CertaintyE">#REF!</definedName>
    <definedName name="CFMO" localSheetId="1">#REF!</definedName>
    <definedName name="CFMO">#REF!</definedName>
    <definedName name="CFWK" localSheetId="1">#REF!</definedName>
    <definedName name="CFWK">#REF!</definedName>
    <definedName name="chao" hidden="1">255</definedName>
    <definedName name="ChooseTitle" localSheetId="1">#REF!</definedName>
    <definedName name="ChooseTitle">#REF!</definedName>
    <definedName name="CIQWBGuid" hidden="1">"Antares Debt Activity Tracker_Updated_2.xlsx"</definedName>
    <definedName name="ClientMultiple" localSheetId="1">#REF!</definedName>
    <definedName name="ClientMultiple">#REF!</definedName>
    <definedName name="ClientValue" localSheetId="1">#REF!</definedName>
    <definedName name="ClientValue">#REF!</definedName>
    <definedName name="clo" localSheetId="3" hidden="1">{TRUE,TRUE,-1.25,-15.5,604.5,369.75,FALSE,TRUE,TRUE,TRUE,0,10,#N/A,1,#N/A,6.65591397849462,19.2727272727273,1,FALSE,FALSE,3,TRUE,1,FALSE,100,"Swvu.sum.","ACwvu.sum.",#N/A,FALSE,FALSE,0.36,0.35,0.62,0.81,1,"&amp;LML CBO Series 1997-P-2","&amp;L&amp;""Times New Roman,Regular""Merrill Lynch
Structured Products Group&amp;R&amp;""Times New Roman,Regular""&amp;F
&amp;D
&amp;T",TRUE,FALSE,FALSE,FALSE,1,#N/A,1,1,"=R1C11:R41C15","=R1",#N/A,#N/A,FALSE,FALSE,FALSE,1,600,600,FALSE,FALSE,TRUE,TRUE,TRUE}</definedName>
    <definedName name="clo" localSheetId="1" hidden="1">{TRUE,TRUE,-1.25,-15.5,604.5,369.75,FALSE,TRUE,TRUE,TRUE,0,10,#N/A,1,#N/A,6.65591397849462,19.2727272727273,1,FALSE,FALSE,3,TRUE,1,FALSE,100,"Swvu.sum.","ACwvu.sum.",#N/A,FALSE,FALSE,0.36,0.35,0.62,0.81,1,"&amp;LML CBO Series 1997-P-2","&amp;L&amp;""Times New Roman,Regular""Merrill Lynch
Structured Products Group&amp;R&amp;""Times New Roman,Regular""&amp;F
&amp;D
&amp;T",TRUE,FALSE,FALSE,FALSE,1,#N/A,1,1,"=R1C11:R41C15","=R1",#N/A,#N/A,FALSE,FALSE,FALSE,1,600,600,FALSE,FALSE,TRUE,TRUE,TRUE}</definedName>
    <definedName name="clo" hidden="1">{TRUE,TRUE,-1.25,-15.5,604.5,369.75,FALSE,TRUE,TRUE,TRUE,0,10,#N/A,1,#N/A,6.65591397849462,19.2727272727273,1,FALSE,FALSE,3,TRUE,1,FALSE,100,"Swvu.sum.","ACwvu.sum.",#N/A,FALSE,FALSE,0.36,0.35,0.62,0.81,1,"&amp;LML CBO Series 1997-P-2","&amp;L&amp;""Times New Roman,Regular""Merrill Lynch
Structured Products Group&amp;R&amp;""Times New Roman,Regular""&amp;F
&amp;D
&amp;T",TRUE,FALSE,FALSE,FALSE,1,#N/A,1,1,"=R1C11:R41C15","=R1",#N/A,#N/A,FALSE,FALSE,FALSE,1,600,600,FALSE,FALSE,TRUE,TRUE,TRUE}</definedName>
    <definedName name="Coll_Obl_Amount_TBL" localSheetId="1">#REF!</definedName>
    <definedName name="Coll_Obl_Amount_TBL">#REF!</definedName>
    <definedName name="Collater_Cust_fee_cap" localSheetId="1">#REF!</definedName>
    <definedName name="Collater_Cust_fee_cap">#REF!</definedName>
    <definedName name="ComboCoupon" localSheetId="1">#REF!</definedName>
    <definedName name="ComboCoupon">#REF!</definedName>
    <definedName name="ComboCouponType" localSheetId="1">#REF!</definedName>
    <definedName name="ComboCouponType">#REF!</definedName>
    <definedName name="ComboEqHaircut" localSheetId="1">#REF!</definedName>
    <definedName name="ComboEqHaircut">#REF!</definedName>
    <definedName name="ComboTargetRating" localSheetId="1">#REF!</definedName>
    <definedName name="ComboTargetRating">#REF!</definedName>
    <definedName name="ComboTrancheBal" localSheetId="1">#REF!</definedName>
    <definedName name="ComboTrancheBal">#REF!</definedName>
    <definedName name="CompACR_asof_Reinvest_Prd_clause_i" localSheetId="1">#REF!</definedName>
    <definedName name="CompACR_asof_Reinvest_Prd_clause_i">#REF!</definedName>
    <definedName name="CompanyDescription" localSheetId="1">#REF!</definedName>
    <definedName name="CompanyDescription">#REF!</definedName>
    <definedName name="CompanyName" hidden="1">#REF!</definedName>
    <definedName name="CompanyType" localSheetId="1">#REF!</definedName>
    <definedName name="CompanyType">#REF!</definedName>
    <definedName name="Compliance_ACR" localSheetId="1">#REF!</definedName>
    <definedName name="Compliance_ACR">#REF!</definedName>
    <definedName name="compnam" localSheetId="1" hidden="1">#REF!</definedName>
    <definedName name="compnam" hidden="1">#REF!</definedName>
    <definedName name="CostCenterSelectionRange" localSheetId="1">#REF!</definedName>
    <definedName name="CostCenterSelectionRange">#REF!</definedName>
    <definedName name="Counterparty_Excess" localSheetId="1">#REF!</definedName>
    <definedName name="Counterparty_Excess">#REF!</definedName>
    <definedName name="Counterparty_Excess_Facility_Level" localSheetId="1">#REF!</definedName>
    <definedName name="Counterparty_Excess_Facility_Level">#REF!</definedName>
    <definedName name="Cov_Lite__YN" localSheetId="1">#REF!</definedName>
    <definedName name="Cov_Lite__YN">#REF!</definedName>
    <definedName name="Cube" localSheetId="1">#REF!</definedName>
    <definedName name="Cube">#REF!</definedName>
    <definedName name="cur_CDOR" localSheetId="1">#REF!</definedName>
    <definedName name="cur_CDOR">#REF!</definedName>
    <definedName name="cur_LIBOR" localSheetId="1">#REF!</definedName>
    <definedName name="cur_LIBOR">#REF!</definedName>
    <definedName name="current_Batch" localSheetId="1">#REF!</definedName>
    <definedName name="current_Batch">#REF!</definedName>
    <definedName name="current_Group" localSheetId="1">#REF!</definedName>
    <definedName name="current_Group">#REF!</definedName>
    <definedName name="CurrentEmployeeRange" localSheetId="1">#REF!</definedName>
    <definedName name="CurrentEmployeeRange">#REF!</definedName>
    <definedName name="CurrentYearRetrRange" localSheetId="1">#REF!</definedName>
    <definedName name="CurrentYearRetrRange">#REF!</definedName>
    <definedName name="CURRpd" localSheetId="1">#REF!</definedName>
    <definedName name="CURRpd">#REF!</definedName>
    <definedName name="curse" localSheetId="1" hidden="1">#REF!</definedName>
    <definedName name="curse" hidden="1">#REF!</definedName>
    <definedName name="Cwvu.GREY_ALL." localSheetId="1" hidden="1">#REF!</definedName>
    <definedName name="Cwvu.GREY_ALL." hidden="1">#REF!</definedName>
    <definedName name="Cwvy.GREY_ALL._dcf" hidden="1">#REF!</definedName>
    <definedName name="d" hidden="1">#REF!</definedName>
    <definedName name="DATA_01" hidden="1">#REF!</definedName>
    <definedName name="DATA_02" hidden="1">#REF!</definedName>
    <definedName name="DATA_03" hidden="1">#REF!</definedName>
    <definedName name="DATA_04" hidden="1">#REF!</definedName>
    <definedName name="DATA_05" hidden="1">#REF!</definedName>
    <definedName name="DATA_06" hidden="1">#REF!</definedName>
    <definedName name="DATA_07" hidden="1">#REF!</definedName>
    <definedName name="DATA_08" hidden="1">#REF!</definedName>
    <definedName name="DATA_09" hidden="1">#REF!</definedName>
    <definedName name="DATA_10" hidden="1">#REF!</definedName>
    <definedName name="Data_query" localSheetId="1">#REF!</definedName>
    <definedName name="Data_query">#REF!</definedName>
    <definedName name="DATA1A" localSheetId="1">#REF!</definedName>
    <definedName name="DATA1A">#REF!</definedName>
    <definedName name="DATA1B" localSheetId="1">#REF!</definedName>
    <definedName name="DATA1B">#REF!</definedName>
    <definedName name="DATA3A" localSheetId="1">#REF!</definedName>
    <definedName name="DATA3A">#REF!</definedName>
    <definedName name="DATA3B" localSheetId="1">#REF!</definedName>
    <definedName name="DATA3B">#REF!</definedName>
    <definedName name="DATA4A" localSheetId="1">#REF!</definedName>
    <definedName name="DATA4A">#REF!</definedName>
    <definedName name="DATA4B" localSheetId="1">#REF!</definedName>
    <definedName name="DATA4B">#REF!</definedName>
    <definedName name="_xlnm.Database" localSheetId="1">#REF!</definedName>
    <definedName name="_xlnm.Database">#REF!</definedName>
    <definedName name="datadownfour" localSheetId="1" hidden="1">#REF!</definedName>
    <definedName name="datadownfour" hidden="1">#REF!</definedName>
    <definedName name="datadownone" localSheetId="1" hidden="1">#REF!</definedName>
    <definedName name="datadownone" hidden="1">#REF!</definedName>
    <definedName name="datadownthree" localSheetId="1" hidden="1">#REF!</definedName>
    <definedName name="datadownthree" hidden="1">#REF!</definedName>
    <definedName name="datadowntwo" localSheetId="1" hidden="1">#REF!</definedName>
    <definedName name="datadowntwo" hidden="1">#REF!</definedName>
    <definedName name="datatoggle" localSheetId="1" hidden="1">#REF!</definedName>
    <definedName name="datatoggle" hidden="1">#REF!</definedName>
    <definedName name="datatoggletwo" localSheetId="1" hidden="1">#REF!</definedName>
    <definedName name="datatoggletwo" hidden="1">#REF!</definedName>
    <definedName name="DataValDate" localSheetId="1" hidden="1">#REF!</definedName>
    <definedName name="DataValDate" hidden="1">#REF!</definedName>
    <definedName name="datavaldate2" localSheetId="1" hidden="1">#REF!</definedName>
    <definedName name="datavaldate2" hidden="1">#REF!</definedName>
    <definedName name="datavaldate3" localSheetId="1" hidden="1">#REF!</definedName>
    <definedName name="datavaldate3" hidden="1">#REF!</definedName>
    <definedName name="date" localSheetId="1">#REF!</definedName>
    <definedName name="date">#REF!</definedName>
    <definedName name="DateHY">OFFSET(#REF!,COUNTA(#REF!)-1,0,-254,1)</definedName>
    <definedName name="DateLoans">OFFSET(#REF!,COUNTA(#REF!)-3,0,-60,1)</definedName>
    <definedName name="Dates" localSheetId="1">#REF!</definedName>
    <definedName name="Dates">#REF!</definedName>
    <definedName name="Dates_B_and_BB">OFFSET(#REF!,COUNTA(#REF!)-2,0,-60,1)</definedName>
    <definedName name="Dates_CovLite">OFFSET(#REF!,COUNT(#REF!)-1,0,-58,1)</definedName>
    <definedName name="Dates_FL_SL">OFFSET(#REF!,COUNT(#REF!)-1,0,-60,1)</definedName>
    <definedName name="Dates_FL_SL_B">OFFSET(#REF!,COUNT(#REF!)-1,0,-58,1)</definedName>
    <definedName name="Dates_LC">OFFSET(#REF!,COUNT(#REF!)-1,0,-60,1)</definedName>
    <definedName name="DAYAN" localSheetId="3" hidden="1">{"LIBOR",#N/A,TRUE,"Model";"Caps",#N/A,TRUE,"Model";"Assets",#N/A,TRUE,"Model";"Liabilities",#N/A,TRUE,"Model";"Tests",#N/A,TRUE,"Model";"Results",#N/A,TRUE,"Model"}</definedName>
    <definedName name="DAYAN" localSheetId="1" hidden="1">{"LIBOR",#N/A,TRUE,"Model";"Caps",#N/A,TRUE,"Model";"Assets",#N/A,TRUE,"Model";"Liabilities",#N/A,TRUE,"Model";"Tests",#N/A,TRUE,"Model";"Results",#N/A,TRUE,"Model"}</definedName>
    <definedName name="DAYAN" hidden="1">{"LIBOR",#N/A,TRUE,"Model";"Caps",#N/A,TRUE,"Model";"Assets",#N/A,TRUE,"Model";"Liabilities",#N/A,TRUE,"Model";"Tests",#N/A,TRUE,"Model";"Results",#N/A,TRUE,"Model"}</definedName>
    <definedName name="DAYAN_1" localSheetId="3" hidden="1">{"LIBOR",#N/A,TRUE,"Model";"Caps",#N/A,TRUE,"Model";"Assets",#N/A,TRUE,"Model";"Liabilities",#N/A,TRUE,"Model";"Tests",#N/A,TRUE,"Model";"Results",#N/A,TRUE,"Model"}</definedName>
    <definedName name="DAYAN_1" localSheetId="1" hidden="1">{"LIBOR",#N/A,TRUE,"Model";"Caps",#N/A,TRUE,"Model";"Assets",#N/A,TRUE,"Model";"Liabilities",#N/A,TRUE,"Model";"Tests",#N/A,TRUE,"Model";"Results",#N/A,TRUE,"Model"}</definedName>
    <definedName name="DAYAN_1" hidden="1">{"LIBOR",#N/A,TRUE,"Model";"Caps",#N/A,TRUE,"Model";"Assets",#N/A,TRUE,"Model";"Liabilities",#N/A,TRUE,"Model";"Tests",#N/A,TRUE,"Model";"Results",#N/A,TRUE,"Model"}</definedName>
    <definedName name="DAYAN_1_1" localSheetId="3" hidden="1">{"LIBOR",#N/A,TRUE,"Model";"Caps",#N/A,TRUE,"Model";"Assets",#N/A,TRUE,"Model";"Liabilities",#N/A,TRUE,"Model";"Tests",#N/A,TRUE,"Model";"Results",#N/A,TRUE,"Model"}</definedName>
    <definedName name="DAYAN_1_1" localSheetId="1" hidden="1">{"LIBOR",#N/A,TRUE,"Model";"Caps",#N/A,TRUE,"Model";"Assets",#N/A,TRUE,"Model";"Liabilities",#N/A,TRUE,"Model";"Tests",#N/A,TRUE,"Model";"Results",#N/A,TRUE,"Model"}</definedName>
    <definedName name="DAYAN_1_1" hidden="1">{"LIBOR",#N/A,TRUE,"Model";"Caps",#N/A,TRUE,"Model";"Assets",#N/A,TRUE,"Model";"Liabilities",#N/A,TRUE,"Model";"Tests",#N/A,TRUE,"Model";"Results",#N/A,TRUE,"Model"}</definedName>
    <definedName name="DAYAN_1_1_1" localSheetId="3" hidden="1">{"LIBOR",#N/A,TRUE,"Model";"Caps",#N/A,TRUE,"Model";"Assets",#N/A,TRUE,"Model";"Liabilities",#N/A,TRUE,"Model";"Tests",#N/A,TRUE,"Model";"Results",#N/A,TRUE,"Model"}</definedName>
    <definedName name="DAYAN_1_1_1" localSheetId="1" hidden="1">{"LIBOR",#N/A,TRUE,"Model";"Caps",#N/A,TRUE,"Model";"Assets",#N/A,TRUE,"Model";"Liabilities",#N/A,TRUE,"Model";"Tests",#N/A,TRUE,"Model";"Results",#N/A,TRUE,"Model"}</definedName>
    <definedName name="DAYAN_1_1_1" hidden="1">{"LIBOR",#N/A,TRUE,"Model";"Caps",#N/A,TRUE,"Model";"Assets",#N/A,TRUE,"Model";"Liabilities",#N/A,TRUE,"Model";"Tests",#N/A,TRUE,"Model";"Results",#N/A,TRUE,"Model"}</definedName>
    <definedName name="DAYAN_1_1_1_1" localSheetId="3" hidden="1">{"LIBOR",#N/A,TRUE,"Model";"Caps",#N/A,TRUE,"Model";"Assets",#N/A,TRUE,"Model";"Liabilities",#N/A,TRUE,"Model";"Tests",#N/A,TRUE,"Model";"Results",#N/A,TRUE,"Model"}</definedName>
    <definedName name="DAYAN_1_1_1_1" localSheetId="1" hidden="1">{"LIBOR",#N/A,TRUE,"Model";"Caps",#N/A,TRUE,"Model";"Assets",#N/A,TRUE,"Model";"Liabilities",#N/A,TRUE,"Model";"Tests",#N/A,TRUE,"Model";"Results",#N/A,TRUE,"Model"}</definedName>
    <definedName name="DAYAN_1_1_1_1" hidden="1">{"LIBOR",#N/A,TRUE,"Model";"Caps",#N/A,TRUE,"Model";"Assets",#N/A,TRUE,"Model";"Liabilities",#N/A,TRUE,"Model";"Tests",#N/A,TRUE,"Model";"Results",#N/A,TRUE,"Model"}</definedName>
    <definedName name="DAYAN_1_2" localSheetId="3" hidden="1">{"LIBOR",#N/A,TRUE,"Model";"Caps",#N/A,TRUE,"Model";"Assets",#N/A,TRUE,"Model";"Liabilities",#N/A,TRUE,"Model";"Tests",#N/A,TRUE,"Model";"Results",#N/A,TRUE,"Model"}</definedName>
    <definedName name="DAYAN_1_2" localSheetId="1" hidden="1">{"LIBOR",#N/A,TRUE,"Model";"Caps",#N/A,TRUE,"Model";"Assets",#N/A,TRUE,"Model";"Liabilities",#N/A,TRUE,"Model";"Tests",#N/A,TRUE,"Model";"Results",#N/A,TRUE,"Model"}</definedName>
    <definedName name="DAYAN_1_2" hidden="1">{"LIBOR",#N/A,TRUE,"Model";"Caps",#N/A,TRUE,"Model";"Assets",#N/A,TRUE,"Model";"Liabilities",#N/A,TRUE,"Model";"Tests",#N/A,TRUE,"Model";"Results",#N/A,TRUE,"Model"}</definedName>
    <definedName name="DAYAN_1_2_1" localSheetId="3" hidden="1">{"LIBOR",#N/A,TRUE,"Model";"Caps",#N/A,TRUE,"Model";"Assets",#N/A,TRUE,"Model";"Liabilities",#N/A,TRUE,"Model";"Tests",#N/A,TRUE,"Model";"Results",#N/A,TRUE,"Model"}</definedName>
    <definedName name="DAYAN_1_2_1" localSheetId="1" hidden="1">{"LIBOR",#N/A,TRUE,"Model";"Caps",#N/A,TRUE,"Model";"Assets",#N/A,TRUE,"Model";"Liabilities",#N/A,TRUE,"Model";"Tests",#N/A,TRUE,"Model";"Results",#N/A,TRUE,"Model"}</definedName>
    <definedName name="DAYAN_1_2_1" hidden="1">{"LIBOR",#N/A,TRUE,"Model";"Caps",#N/A,TRUE,"Model";"Assets",#N/A,TRUE,"Model";"Liabilities",#N/A,TRUE,"Model";"Tests",#N/A,TRUE,"Model";"Results",#N/A,TRUE,"Model"}</definedName>
    <definedName name="DAYAN_1_3" localSheetId="3" hidden="1">{"LIBOR",#N/A,TRUE,"Model";"Caps",#N/A,TRUE,"Model";"Assets",#N/A,TRUE,"Model";"Liabilities",#N/A,TRUE,"Model";"Tests",#N/A,TRUE,"Model";"Results",#N/A,TRUE,"Model"}</definedName>
    <definedName name="DAYAN_1_3" localSheetId="1" hidden="1">{"LIBOR",#N/A,TRUE,"Model";"Caps",#N/A,TRUE,"Model";"Assets",#N/A,TRUE,"Model";"Liabilities",#N/A,TRUE,"Model";"Tests",#N/A,TRUE,"Model";"Results",#N/A,TRUE,"Model"}</definedName>
    <definedName name="DAYAN_1_3" hidden="1">{"LIBOR",#N/A,TRUE,"Model";"Caps",#N/A,TRUE,"Model";"Assets",#N/A,TRUE,"Model";"Liabilities",#N/A,TRUE,"Model";"Tests",#N/A,TRUE,"Model";"Results",#N/A,TRUE,"Model"}</definedName>
    <definedName name="DAYAN_1_3_1" localSheetId="3" hidden="1">{"LIBOR",#N/A,TRUE,"Model";"Caps",#N/A,TRUE,"Model";"Assets",#N/A,TRUE,"Model";"Liabilities",#N/A,TRUE,"Model";"Tests",#N/A,TRUE,"Model";"Results",#N/A,TRUE,"Model"}</definedName>
    <definedName name="DAYAN_1_3_1" localSheetId="1" hidden="1">{"LIBOR",#N/A,TRUE,"Model";"Caps",#N/A,TRUE,"Model";"Assets",#N/A,TRUE,"Model";"Liabilities",#N/A,TRUE,"Model";"Tests",#N/A,TRUE,"Model";"Results",#N/A,TRUE,"Model"}</definedName>
    <definedName name="DAYAN_1_3_1" hidden="1">{"LIBOR",#N/A,TRUE,"Model";"Caps",#N/A,TRUE,"Model";"Assets",#N/A,TRUE,"Model";"Liabilities",#N/A,TRUE,"Model";"Tests",#N/A,TRUE,"Model";"Results",#N/A,TRUE,"Model"}</definedName>
    <definedName name="DAYAN_1_4" localSheetId="3" hidden="1">{"LIBOR",#N/A,TRUE,"Model";"Caps",#N/A,TRUE,"Model";"Assets",#N/A,TRUE,"Model";"Liabilities",#N/A,TRUE,"Model";"Tests",#N/A,TRUE,"Model";"Results",#N/A,TRUE,"Model"}</definedName>
    <definedName name="DAYAN_1_4" localSheetId="1" hidden="1">{"LIBOR",#N/A,TRUE,"Model";"Caps",#N/A,TRUE,"Model";"Assets",#N/A,TRUE,"Model";"Liabilities",#N/A,TRUE,"Model";"Tests",#N/A,TRUE,"Model";"Results",#N/A,TRUE,"Model"}</definedName>
    <definedName name="DAYAN_1_4" hidden="1">{"LIBOR",#N/A,TRUE,"Model";"Caps",#N/A,TRUE,"Model";"Assets",#N/A,TRUE,"Model";"Liabilities",#N/A,TRUE,"Model";"Tests",#N/A,TRUE,"Model";"Results",#N/A,TRUE,"Model"}</definedName>
    <definedName name="DAYAN_2" localSheetId="3" hidden="1">{"LIBOR",#N/A,TRUE,"Model";"Caps",#N/A,TRUE,"Model";"Assets",#N/A,TRUE,"Model";"Liabilities",#N/A,TRUE,"Model";"Tests",#N/A,TRUE,"Model";"Results",#N/A,TRUE,"Model"}</definedName>
    <definedName name="DAYAN_2" localSheetId="1" hidden="1">{"LIBOR",#N/A,TRUE,"Model";"Caps",#N/A,TRUE,"Model";"Assets",#N/A,TRUE,"Model";"Liabilities",#N/A,TRUE,"Model";"Tests",#N/A,TRUE,"Model";"Results",#N/A,TRUE,"Model"}</definedName>
    <definedName name="DAYAN_2" hidden="1">{"LIBOR",#N/A,TRUE,"Model";"Caps",#N/A,TRUE,"Model";"Assets",#N/A,TRUE,"Model";"Liabilities",#N/A,TRUE,"Model";"Tests",#N/A,TRUE,"Model";"Results",#N/A,TRUE,"Model"}</definedName>
    <definedName name="DAYAN_2_1" localSheetId="3" hidden="1">{"LIBOR",#N/A,TRUE,"Model";"Caps",#N/A,TRUE,"Model";"Assets",#N/A,TRUE,"Model";"Liabilities",#N/A,TRUE,"Model";"Tests",#N/A,TRUE,"Model";"Results",#N/A,TRUE,"Model"}</definedName>
    <definedName name="DAYAN_2_1" localSheetId="1" hidden="1">{"LIBOR",#N/A,TRUE,"Model";"Caps",#N/A,TRUE,"Model";"Assets",#N/A,TRUE,"Model";"Liabilities",#N/A,TRUE,"Model";"Tests",#N/A,TRUE,"Model";"Results",#N/A,TRUE,"Model"}</definedName>
    <definedName name="DAYAN_2_1" hidden="1">{"LIBOR",#N/A,TRUE,"Model";"Caps",#N/A,TRUE,"Model";"Assets",#N/A,TRUE,"Model";"Liabilities",#N/A,TRUE,"Model";"Tests",#N/A,TRUE,"Model";"Results",#N/A,TRUE,"Model"}</definedName>
    <definedName name="DAYAN_2_1_1" localSheetId="3" hidden="1">{"LIBOR",#N/A,TRUE,"Model";"Caps",#N/A,TRUE,"Model";"Assets",#N/A,TRUE,"Model";"Liabilities",#N/A,TRUE,"Model";"Tests",#N/A,TRUE,"Model";"Results",#N/A,TRUE,"Model"}</definedName>
    <definedName name="DAYAN_2_1_1" localSheetId="1" hidden="1">{"LIBOR",#N/A,TRUE,"Model";"Caps",#N/A,TRUE,"Model";"Assets",#N/A,TRUE,"Model";"Liabilities",#N/A,TRUE,"Model";"Tests",#N/A,TRUE,"Model";"Results",#N/A,TRUE,"Model"}</definedName>
    <definedName name="DAYAN_2_1_1" hidden="1">{"LIBOR",#N/A,TRUE,"Model";"Caps",#N/A,TRUE,"Model";"Assets",#N/A,TRUE,"Model";"Liabilities",#N/A,TRUE,"Model";"Tests",#N/A,TRUE,"Model";"Results",#N/A,TRUE,"Model"}</definedName>
    <definedName name="DAYAN_2_1_1_1" localSheetId="3" hidden="1">{"LIBOR",#N/A,TRUE,"Model";"Caps",#N/A,TRUE,"Model";"Assets",#N/A,TRUE,"Model";"Liabilities",#N/A,TRUE,"Model";"Tests",#N/A,TRUE,"Model";"Results",#N/A,TRUE,"Model"}</definedName>
    <definedName name="DAYAN_2_1_1_1" localSheetId="1" hidden="1">{"LIBOR",#N/A,TRUE,"Model";"Caps",#N/A,TRUE,"Model";"Assets",#N/A,TRUE,"Model";"Liabilities",#N/A,TRUE,"Model";"Tests",#N/A,TRUE,"Model";"Results",#N/A,TRUE,"Model"}</definedName>
    <definedName name="DAYAN_2_1_1_1" hidden="1">{"LIBOR",#N/A,TRUE,"Model";"Caps",#N/A,TRUE,"Model";"Assets",#N/A,TRUE,"Model";"Liabilities",#N/A,TRUE,"Model";"Tests",#N/A,TRUE,"Model";"Results",#N/A,TRUE,"Model"}</definedName>
    <definedName name="DAYAN_2_2" localSheetId="3" hidden="1">{"LIBOR",#N/A,TRUE,"Model";"Caps",#N/A,TRUE,"Model";"Assets",#N/A,TRUE,"Model";"Liabilities",#N/A,TRUE,"Model";"Tests",#N/A,TRUE,"Model";"Results",#N/A,TRUE,"Model"}</definedName>
    <definedName name="DAYAN_2_2" localSheetId="1" hidden="1">{"LIBOR",#N/A,TRUE,"Model";"Caps",#N/A,TRUE,"Model";"Assets",#N/A,TRUE,"Model";"Liabilities",#N/A,TRUE,"Model";"Tests",#N/A,TRUE,"Model";"Results",#N/A,TRUE,"Model"}</definedName>
    <definedName name="DAYAN_2_2" hidden="1">{"LIBOR",#N/A,TRUE,"Model";"Caps",#N/A,TRUE,"Model";"Assets",#N/A,TRUE,"Model";"Liabilities",#N/A,TRUE,"Model";"Tests",#N/A,TRUE,"Model";"Results",#N/A,TRUE,"Model"}</definedName>
    <definedName name="DAYAN_2_2_1" localSheetId="3" hidden="1">{"LIBOR",#N/A,TRUE,"Model";"Caps",#N/A,TRUE,"Model";"Assets",#N/A,TRUE,"Model";"Liabilities",#N/A,TRUE,"Model";"Tests",#N/A,TRUE,"Model";"Results",#N/A,TRUE,"Model"}</definedName>
    <definedName name="DAYAN_2_2_1" localSheetId="1" hidden="1">{"LIBOR",#N/A,TRUE,"Model";"Caps",#N/A,TRUE,"Model";"Assets",#N/A,TRUE,"Model";"Liabilities",#N/A,TRUE,"Model";"Tests",#N/A,TRUE,"Model";"Results",#N/A,TRUE,"Model"}</definedName>
    <definedName name="DAYAN_2_2_1" hidden="1">{"LIBOR",#N/A,TRUE,"Model";"Caps",#N/A,TRUE,"Model";"Assets",#N/A,TRUE,"Model";"Liabilities",#N/A,TRUE,"Model";"Tests",#N/A,TRUE,"Model";"Results",#N/A,TRUE,"Model"}</definedName>
    <definedName name="DAYAN_2_3" localSheetId="3" hidden="1">{"LIBOR",#N/A,TRUE,"Model";"Caps",#N/A,TRUE,"Model";"Assets",#N/A,TRUE,"Model";"Liabilities",#N/A,TRUE,"Model";"Tests",#N/A,TRUE,"Model";"Results",#N/A,TRUE,"Model"}</definedName>
    <definedName name="DAYAN_2_3" localSheetId="1" hidden="1">{"LIBOR",#N/A,TRUE,"Model";"Caps",#N/A,TRUE,"Model";"Assets",#N/A,TRUE,"Model";"Liabilities",#N/A,TRUE,"Model";"Tests",#N/A,TRUE,"Model";"Results",#N/A,TRUE,"Model"}</definedName>
    <definedName name="DAYAN_2_3" hidden="1">{"LIBOR",#N/A,TRUE,"Model";"Caps",#N/A,TRUE,"Model";"Assets",#N/A,TRUE,"Model";"Liabilities",#N/A,TRUE,"Model";"Tests",#N/A,TRUE,"Model";"Results",#N/A,TRUE,"Model"}</definedName>
    <definedName name="DAYAN_3" localSheetId="3" hidden="1">{"LIBOR",#N/A,TRUE,"Model";"Caps",#N/A,TRUE,"Model";"Assets",#N/A,TRUE,"Model";"Liabilities",#N/A,TRUE,"Model";"Tests",#N/A,TRUE,"Model";"Results",#N/A,TRUE,"Model"}</definedName>
    <definedName name="DAYAN_3" localSheetId="1" hidden="1">{"LIBOR",#N/A,TRUE,"Model";"Caps",#N/A,TRUE,"Model";"Assets",#N/A,TRUE,"Model";"Liabilities",#N/A,TRUE,"Model";"Tests",#N/A,TRUE,"Model";"Results",#N/A,TRUE,"Model"}</definedName>
    <definedName name="DAYAN_3" hidden="1">{"LIBOR",#N/A,TRUE,"Model";"Caps",#N/A,TRUE,"Model";"Assets",#N/A,TRUE,"Model";"Liabilities",#N/A,TRUE,"Model";"Tests",#N/A,TRUE,"Model";"Results",#N/A,TRUE,"Model"}</definedName>
    <definedName name="DAYAN_3_1" localSheetId="3" hidden="1">{"LIBOR",#N/A,TRUE,"Model";"Caps",#N/A,TRUE,"Model";"Assets",#N/A,TRUE,"Model";"Liabilities",#N/A,TRUE,"Model";"Tests",#N/A,TRUE,"Model";"Results",#N/A,TRUE,"Model"}</definedName>
    <definedName name="DAYAN_3_1" localSheetId="1" hidden="1">{"LIBOR",#N/A,TRUE,"Model";"Caps",#N/A,TRUE,"Model";"Assets",#N/A,TRUE,"Model";"Liabilities",#N/A,TRUE,"Model";"Tests",#N/A,TRUE,"Model";"Results",#N/A,TRUE,"Model"}</definedName>
    <definedName name="DAYAN_3_1" hidden="1">{"LIBOR",#N/A,TRUE,"Model";"Caps",#N/A,TRUE,"Model";"Assets",#N/A,TRUE,"Model";"Liabilities",#N/A,TRUE,"Model";"Tests",#N/A,TRUE,"Model";"Results",#N/A,TRUE,"Model"}</definedName>
    <definedName name="DAYAN_3_1_1" localSheetId="3" hidden="1">{"LIBOR",#N/A,TRUE,"Model";"Caps",#N/A,TRUE,"Model";"Assets",#N/A,TRUE,"Model";"Liabilities",#N/A,TRUE,"Model";"Tests",#N/A,TRUE,"Model";"Results",#N/A,TRUE,"Model"}</definedName>
    <definedName name="DAYAN_3_1_1" localSheetId="1" hidden="1">{"LIBOR",#N/A,TRUE,"Model";"Caps",#N/A,TRUE,"Model";"Assets",#N/A,TRUE,"Model";"Liabilities",#N/A,TRUE,"Model";"Tests",#N/A,TRUE,"Model";"Results",#N/A,TRUE,"Model"}</definedName>
    <definedName name="DAYAN_3_1_1" hidden="1">{"LIBOR",#N/A,TRUE,"Model";"Caps",#N/A,TRUE,"Model";"Assets",#N/A,TRUE,"Model";"Liabilities",#N/A,TRUE,"Model";"Tests",#N/A,TRUE,"Model";"Results",#N/A,TRUE,"Model"}</definedName>
    <definedName name="DAYAN_3_1_1_1" localSheetId="3" hidden="1">{"LIBOR",#N/A,TRUE,"Model";"Caps",#N/A,TRUE,"Model";"Assets",#N/A,TRUE,"Model";"Liabilities",#N/A,TRUE,"Model";"Tests",#N/A,TRUE,"Model";"Results",#N/A,TRUE,"Model"}</definedName>
    <definedName name="DAYAN_3_1_1_1" localSheetId="1" hidden="1">{"LIBOR",#N/A,TRUE,"Model";"Caps",#N/A,TRUE,"Model";"Assets",#N/A,TRUE,"Model";"Liabilities",#N/A,TRUE,"Model";"Tests",#N/A,TRUE,"Model";"Results",#N/A,TRUE,"Model"}</definedName>
    <definedName name="DAYAN_3_1_1_1" hidden="1">{"LIBOR",#N/A,TRUE,"Model";"Caps",#N/A,TRUE,"Model";"Assets",#N/A,TRUE,"Model";"Liabilities",#N/A,TRUE,"Model";"Tests",#N/A,TRUE,"Model";"Results",#N/A,TRUE,"Model"}</definedName>
    <definedName name="DAYAN_3_2" localSheetId="3" hidden="1">{"LIBOR",#N/A,TRUE,"Model";"Caps",#N/A,TRUE,"Model";"Assets",#N/A,TRUE,"Model";"Liabilities",#N/A,TRUE,"Model";"Tests",#N/A,TRUE,"Model";"Results",#N/A,TRUE,"Model"}</definedName>
    <definedName name="DAYAN_3_2" localSheetId="1" hidden="1">{"LIBOR",#N/A,TRUE,"Model";"Caps",#N/A,TRUE,"Model";"Assets",#N/A,TRUE,"Model";"Liabilities",#N/A,TRUE,"Model";"Tests",#N/A,TRUE,"Model";"Results",#N/A,TRUE,"Model"}</definedName>
    <definedName name="DAYAN_3_2" hidden="1">{"LIBOR",#N/A,TRUE,"Model";"Caps",#N/A,TRUE,"Model";"Assets",#N/A,TRUE,"Model";"Liabilities",#N/A,TRUE,"Model";"Tests",#N/A,TRUE,"Model";"Results",#N/A,TRUE,"Model"}</definedName>
    <definedName name="DAYAN_3_2_1" localSheetId="3" hidden="1">{"LIBOR",#N/A,TRUE,"Model";"Caps",#N/A,TRUE,"Model";"Assets",#N/A,TRUE,"Model";"Liabilities",#N/A,TRUE,"Model";"Tests",#N/A,TRUE,"Model";"Results",#N/A,TRUE,"Model"}</definedName>
    <definedName name="DAYAN_3_2_1" localSheetId="1" hidden="1">{"LIBOR",#N/A,TRUE,"Model";"Caps",#N/A,TRUE,"Model";"Assets",#N/A,TRUE,"Model";"Liabilities",#N/A,TRUE,"Model";"Tests",#N/A,TRUE,"Model";"Results",#N/A,TRUE,"Model"}</definedName>
    <definedName name="DAYAN_3_2_1" hidden="1">{"LIBOR",#N/A,TRUE,"Model";"Caps",#N/A,TRUE,"Model";"Assets",#N/A,TRUE,"Model";"Liabilities",#N/A,TRUE,"Model";"Tests",#N/A,TRUE,"Model";"Results",#N/A,TRUE,"Model"}</definedName>
    <definedName name="DAYAN_3_3" localSheetId="3" hidden="1">{"LIBOR",#N/A,TRUE,"Model";"Caps",#N/A,TRUE,"Model";"Assets",#N/A,TRUE,"Model";"Liabilities",#N/A,TRUE,"Model";"Tests",#N/A,TRUE,"Model";"Results",#N/A,TRUE,"Model"}</definedName>
    <definedName name="DAYAN_3_3" localSheetId="1" hidden="1">{"LIBOR",#N/A,TRUE,"Model";"Caps",#N/A,TRUE,"Model";"Assets",#N/A,TRUE,"Model";"Liabilities",#N/A,TRUE,"Model";"Tests",#N/A,TRUE,"Model";"Results",#N/A,TRUE,"Model"}</definedName>
    <definedName name="DAYAN_3_3" hidden="1">{"LIBOR",#N/A,TRUE,"Model";"Caps",#N/A,TRUE,"Model";"Assets",#N/A,TRUE,"Model";"Liabilities",#N/A,TRUE,"Model";"Tests",#N/A,TRUE,"Model";"Results",#N/A,TRUE,"Model"}</definedName>
    <definedName name="DAYAN_4" localSheetId="3" hidden="1">{"LIBOR",#N/A,TRUE,"Model";"Caps",#N/A,TRUE,"Model";"Assets",#N/A,TRUE,"Model";"Liabilities",#N/A,TRUE,"Model";"Tests",#N/A,TRUE,"Model";"Results",#N/A,TRUE,"Model"}</definedName>
    <definedName name="DAYAN_4" localSheetId="1" hidden="1">{"LIBOR",#N/A,TRUE,"Model";"Caps",#N/A,TRUE,"Model";"Assets",#N/A,TRUE,"Model";"Liabilities",#N/A,TRUE,"Model";"Tests",#N/A,TRUE,"Model";"Results",#N/A,TRUE,"Model"}</definedName>
    <definedName name="DAYAN_4" hidden="1">{"LIBOR",#N/A,TRUE,"Model";"Caps",#N/A,TRUE,"Model";"Assets",#N/A,TRUE,"Model";"Liabilities",#N/A,TRUE,"Model";"Tests",#N/A,TRUE,"Model";"Results",#N/A,TRUE,"Model"}</definedName>
    <definedName name="DAYAN_4_1" localSheetId="3" hidden="1">{"LIBOR",#N/A,TRUE,"Model";"Caps",#N/A,TRUE,"Model";"Assets",#N/A,TRUE,"Model";"Liabilities",#N/A,TRUE,"Model";"Tests",#N/A,TRUE,"Model";"Results",#N/A,TRUE,"Model"}</definedName>
    <definedName name="DAYAN_4_1" localSheetId="1" hidden="1">{"LIBOR",#N/A,TRUE,"Model";"Caps",#N/A,TRUE,"Model";"Assets",#N/A,TRUE,"Model";"Liabilities",#N/A,TRUE,"Model";"Tests",#N/A,TRUE,"Model";"Results",#N/A,TRUE,"Model"}</definedName>
    <definedName name="DAYAN_4_1" hidden="1">{"LIBOR",#N/A,TRUE,"Model";"Caps",#N/A,TRUE,"Model";"Assets",#N/A,TRUE,"Model";"Liabilities",#N/A,TRUE,"Model";"Tests",#N/A,TRUE,"Model";"Results",#N/A,TRUE,"Model"}</definedName>
    <definedName name="DAYAN_4_1_1" localSheetId="3" hidden="1">{"LIBOR",#N/A,TRUE,"Model";"Caps",#N/A,TRUE,"Model";"Assets",#N/A,TRUE,"Model";"Liabilities",#N/A,TRUE,"Model";"Tests",#N/A,TRUE,"Model";"Results",#N/A,TRUE,"Model"}</definedName>
    <definedName name="DAYAN_4_1_1" localSheetId="1" hidden="1">{"LIBOR",#N/A,TRUE,"Model";"Caps",#N/A,TRUE,"Model";"Assets",#N/A,TRUE,"Model";"Liabilities",#N/A,TRUE,"Model";"Tests",#N/A,TRUE,"Model";"Results",#N/A,TRUE,"Model"}</definedName>
    <definedName name="DAYAN_4_1_1" hidden="1">{"LIBOR",#N/A,TRUE,"Model";"Caps",#N/A,TRUE,"Model";"Assets",#N/A,TRUE,"Model";"Liabilities",#N/A,TRUE,"Model";"Tests",#N/A,TRUE,"Model";"Results",#N/A,TRUE,"Model"}</definedName>
    <definedName name="DAYAN_4_1_1_1" localSheetId="3" hidden="1">{"LIBOR",#N/A,TRUE,"Model";"Caps",#N/A,TRUE,"Model";"Assets",#N/A,TRUE,"Model";"Liabilities",#N/A,TRUE,"Model";"Tests",#N/A,TRUE,"Model";"Results",#N/A,TRUE,"Model"}</definedName>
    <definedName name="DAYAN_4_1_1_1" localSheetId="1" hidden="1">{"LIBOR",#N/A,TRUE,"Model";"Caps",#N/A,TRUE,"Model";"Assets",#N/A,TRUE,"Model";"Liabilities",#N/A,TRUE,"Model";"Tests",#N/A,TRUE,"Model";"Results",#N/A,TRUE,"Model"}</definedName>
    <definedName name="DAYAN_4_1_1_1" hidden="1">{"LIBOR",#N/A,TRUE,"Model";"Caps",#N/A,TRUE,"Model";"Assets",#N/A,TRUE,"Model";"Liabilities",#N/A,TRUE,"Model";"Tests",#N/A,TRUE,"Model";"Results",#N/A,TRUE,"Model"}</definedName>
    <definedName name="DAYAN_4_2" localSheetId="3" hidden="1">{"LIBOR",#N/A,TRUE,"Model";"Caps",#N/A,TRUE,"Model";"Assets",#N/A,TRUE,"Model";"Liabilities",#N/A,TRUE,"Model";"Tests",#N/A,TRUE,"Model";"Results",#N/A,TRUE,"Model"}</definedName>
    <definedName name="DAYAN_4_2" localSheetId="1" hidden="1">{"LIBOR",#N/A,TRUE,"Model";"Caps",#N/A,TRUE,"Model";"Assets",#N/A,TRUE,"Model";"Liabilities",#N/A,TRUE,"Model";"Tests",#N/A,TRUE,"Model";"Results",#N/A,TRUE,"Model"}</definedName>
    <definedName name="DAYAN_4_2" hidden="1">{"LIBOR",#N/A,TRUE,"Model";"Caps",#N/A,TRUE,"Model";"Assets",#N/A,TRUE,"Model";"Liabilities",#N/A,TRUE,"Model";"Tests",#N/A,TRUE,"Model";"Results",#N/A,TRUE,"Model"}</definedName>
    <definedName name="DAYAN_4_2_1" localSheetId="3" hidden="1">{"LIBOR",#N/A,TRUE,"Model";"Caps",#N/A,TRUE,"Model";"Assets",#N/A,TRUE,"Model";"Liabilities",#N/A,TRUE,"Model";"Tests",#N/A,TRUE,"Model";"Results",#N/A,TRUE,"Model"}</definedName>
    <definedName name="DAYAN_4_2_1" localSheetId="1" hidden="1">{"LIBOR",#N/A,TRUE,"Model";"Caps",#N/A,TRUE,"Model";"Assets",#N/A,TRUE,"Model";"Liabilities",#N/A,TRUE,"Model";"Tests",#N/A,TRUE,"Model";"Results",#N/A,TRUE,"Model"}</definedName>
    <definedName name="DAYAN_4_2_1" hidden="1">{"LIBOR",#N/A,TRUE,"Model";"Caps",#N/A,TRUE,"Model";"Assets",#N/A,TRUE,"Model";"Liabilities",#N/A,TRUE,"Model";"Tests",#N/A,TRUE,"Model";"Results",#N/A,TRUE,"Model"}</definedName>
    <definedName name="DAYAN_4_3" localSheetId="3" hidden="1">{"LIBOR",#N/A,TRUE,"Model";"Caps",#N/A,TRUE,"Model";"Assets",#N/A,TRUE,"Model";"Liabilities",#N/A,TRUE,"Model";"Tests",#N/A,TRUE,"Model";"Results",#N/A,TRUE,"Model"}</definedName>
    <definedName name="DAYAN_4_3" localSheetId="1" hidden="1">{"LIBOR",#N/A,TRUE,"Model";"Caps",#N/A,TRUE,"Model";"Assets",#N/A,TRUE,"Model";"Liabilities",#N/A,TRUE,"Model";"Tests",#N/A,TRUE,"Model";"Results",#N/A,TRUE,"Model"}</definedName>
    <definedName name="DAYAN_4_3" hidden="1">{"LIBOR",#N/A,TRUE,"Model";"Caps",#N/A,TRUE,"Model";"Assets",#N/A,TRUE,"Model";"Liabilities",#N/A,TRUE,"Model";"Tests",#N/A,TRUE,"Model";"Results",#N/A,TRUE,"Model"}</definedName>
    <definedName name="DAYAN_5" localSheetId="3" hidden="1">{"LIBOR",#N/A,TRUE,"Model";"Caps",#N/A,TRUE,"Model";"Assets",#N/A,TRUE,"Model";"Liabilities",#N/A,TRUE,"Model";"Tests",#N/A,TRUE,"Model";"Results",#N/A,TRUE,"Model"}</definedName>
    <definedName name="DAYAN_5" localSheetId="1" hidden="1">{"LIBOR",#N/A,TRUE,"Model";"Caps",#N/A,TRUE,"Model";"Assets",#N/A,TRUE,"Model";"Liabilities",#N/A,TRUE,"Model";"Tests",#N/A,TRUE,"Model";"Results",#N/A,TRUE,"Model"}</definedName>
    <definedName name="DAYAN_5" hidden="1">{"LIBOR",#N/A,TRUE,"Model";"Caps",#N/A,TRUE,"Model";"Assets",#N/A,TRUE,"Model";"Liabilities",#N/A,TRUE,"Model";"Tests",#N/A,TRUE,"Model";"Results",#N/A,TRUE,"Model"}</definedName>
    <definedName name="DAYAN_5_1" localSheetId="3" hidden="1">{"LIBOR",#N/A,TRUE,"Model";"Caps",#N/A,TRUE,"Model";"Assets",#N/A,TRUE,"Model";"Liabilities",#N/A,TRUE,"Model";"Tests",#N/A,TRUE,"Model";"Results",#N/A,TRUE,"Model"}</definedName>
    <definedName name="DAYAN_5_1" localSheetId="1" hidden="1">{"LIBOR",#N/A,TRUE,"Model";"Caps",#N/A,TRUE,"Model";"Assets",#N/A,TRUE,"Model";"Liabilities",#N/A,TRUE,"Model";"Tests",#N/A,TRUE,"Model";"Results",#N/A,TRUE,"Model"}</definedName>
    <definedName name="DAYAN_5_1" hidden="1">{"LIBOR",#N/A,TRUE,"Model";"Caps",#N/A,TRUE,"Model";"Assets",#N/A,TRUE,"Model";"Liabilities",#N/A,TRUE,"Model";"Tests",#N/A,TRUE,"Model";"Results",#N/A,TRUE,"Model"}</definedName>
    <definedName name="DAYAN_5_1_1" localSheetId="3" hidden="1">{"LIBOR",#N/A,TRUE,"Model";"Caps",#N/A,TRUE,"Model";"Assets",#N/A,TRUE,"Model";"Liabilities",#N/A,TRUE,"Model";"Tests",#N/A,TRUE,"Model";"Results",#N/A,TRUE,"Model"}</definedName>
    <definedName name="DAYAN_5_1_1" localSheetId="1" hidden="1">{"LIBOR",#N/A,TRUE,"Model";"Caps",#N/A,TRUE,"Model";"Assets",#N/A,TRUE,"Model";"Liabilities",#N/A,TRUE,"Model";"Tests",#N/A,TRUE,"Model";"Results",#N/A,TRUE,"Model"}</definedName>
    <definedName name="DAYAN_5_1_1" hidden="1">{"LIBOR",#N/A,TRUE,"Model";"Caps",#N/A,TRUE,"Model";"Assets",#N/A,TRUE,"Model";"Liabilities",#N/A,TRUE,"Model";"Tests",#N/A,TRUE,"Model";"Results",#N/A,TRUE,"Model"}</definedName>
    <definedName name="DAYAN_5_1_1_1" localSheetId="3" hidden="1">{"LIBOR",#N/A,TRUE,"Model";"Caps",#N/A,TRUE,"Model";"Assets",#N/A,TRUE,"Model";"Liabilities",#N/A,TRUE,"Model";"Tests",#N/A,TRUE,"Model";"Results",#N/A,TRUE,"Model"}</definedName>
    <definedName name="DAYAN_5_1_1_1" localSheetId="1" hidden="1">{"LIBOR",#N/A,TRUE,"Model";"Caps",#N/A,TRUE,"Model";"Assets",#N/A,TRUE,"Model";"Liabilities",#N/A,TRUE,"Model";"Tests",#N/A,TRUE,"Model";"Results",#N/A,TRUE,"Model"}</definedName>
    <definedName name="DAYAN_5_1_1_1" hidden="1">{"LIBOR",#N/A,TRUE,"Model";"Caps",#N/A,TRUE,"Model";"Assets",#N/A,TRUE,"Model";"Liabilities",#N/A,TRUE,"Model";"Tests",#N/A,TRUE,"Model";"Results",#N/A,TRUE,"Model"}</definedName>
    <definedName name="DAYAN_5_2" localSheetId="3" hidden="1">{"LIBOR",#N/A,TRUE,"Model";"Caps",#N/A,TRUE,"Model";"Assets",#N/A,TRUE,"Model";"Liabilities",#N/A,TRUE,"Model";"Tests",#N/A,TRUE,"Model";"Results",#N/A,TRUE,"Model"}</definedName>
    <definedName name="DAYAN_5_2" localSheetId="1" hidden="1">{"LIBOR",#N/A,TRUE,"Model";"Caps",#N/A,TRUE,"Model";"Assets",#N/A,TRUE,"Model";"Liabilities",#N/A,TRUE,"Model";"Tests",#N/A,TRUE,"Model";"Results",#N/A,TRUE,"Model"}</definedName>
    <definedName name="DAYAN_5_2" hidden="1">{"LIBOR",#N/A,TRUE,"Model";"Caps",#N/A,TRUE,"Model";"Assets",#N/A,TRUE,"Model";"Liabilities",#N/A,TRUE,"Model";"Tests",#N/A,TRUE,"Model";"Results",#N/A,TRUE,"Model"}</definedName>
    <definedName name="DAYAN_5_2_1" localSheetId="3" hidden="1">{"LIBOR",#N/A,TRUE,"Model";"Caps",#N/A,TRUE,"Model";"Assets",#N/A,TRUE,"Model";"Liabilities",#N/A,TRUE,"Model";"Tests",#N/A,TRUE,"Model";"Results",#N/A,TRUE,"Model"}</definedName>
    <definedName name="DAYAN_5_2_1" localSheetId="1" hidden="1">{"LIBOR",#N/A,TRUE,"Model";"Caps",#N/A,TRUE,"Model";"Assets",#N/A,TRUE,"Model";"Liabilities",#N/A,TRUE,"Model";"Tests",#N/A,TRUE,"Model";"Results",#N/A,TRUE,"Model"}</definedName>
    <definedName name="DAYAN_5_2_1" hidden="1">{"LIBOR",#N/A,TRUE,"Model";"Caps",#N/A,TRUE,"Model";"Assets",#N/A,TRUE,"Model";"Liabilities",#N/A,TRUE,"Model";"Tests",#N/A,TRUE,"Model";"Results",#N/A,TRUE,"Model"}</definedName>
    <definedName name="DAYAN_5_3" localSheetId="3" hidden="1">{"LIBOR",#N/A,TRUE,"Model";"Caps",#N/A,TRUE,"Model";"Assets",#N/A,TRUE,"Model";"Liabilities",#N/A,TRUE,"Model";"Tests",#N/A,TRUE,"Model";"Results",#N/A,TRUE,"Model"}</definedName>
    <definedName name="DAYAN_5_3" localSheetId="1" hidden="1">{"LIBOR",#N/A,TRUE,"Model";"Caps",#N/A,TRUE,"Model";"Assets",#N/A,TRUE,"Model";"Liabilities",#N/A,TRUE,"Model";"Tests",#N/A,TRUE,"Model";"Results",#N/A,TRUE,"Model"}</definedName>
    <definedName name="DAYAN_5_3" hidden="1">{"LIBOR",#N/A,TRUE,"Model";"Caps",#N/A,TRUE,"Model";"Assets",#N/A,TRUE,"Model";"Liabilities",#N/A,TRUE,"Model";"Tests",#N/A,TRUE,"Model";"Results",#N/A,TRUE,"Model"}</definedName>
    <definedName name="dbbud95" localSheetId="1">#REF!</definedName>
    <definedName name="dbbud95">#REF!</definedName>
    <definedName name="dcf.depre.ads.sl" localSheetId="1">#REF!</definedName>
    <definedName name="dcf.depre.ads.sl">#REF!</definedName>
    <definedName name="dcf.depre.gds.150db" localSheetId="1">#REF!</definedName>
    <definedName name="dcf.depre.gds.150db">#REF!</definedName>
    <definedName name="dcf.depre.gds.ddb" localSheetId="1">#REF!</definedName>
    <definedName name="dcf.depre.gds.ddb">#REF!</definedName>
    <definedName name="dcf.depre.gds.sl" localSheetId="1">#REF!</definedName>
    <definedName name="dcf.depre.gds.sl">#REF!</definedName>
    <definedName name="dcf.depre.kpmg" localSheetId="1">#REF!</definedName>
    <definedName name="dcf.depre.kpmg">#REF!</definedName>
    <definedName name="dcf.depre.pbc" localSheetId="1">#REF!</definedName>
    <definedName name="dcf.depre.pbc">#REF!</definedName>
    <definedName name="dcf.depre.ru1.select" localSheetId="1">#REF!</definedName>
    <definedName name="dcf.depre.ru1.select">#REF!</definedName>
    <definedName name="dcf.depre.ru2.select" localSheetId="1">#REF!</definedName>
    <definedName name="dcf.depre.ru2.select">#REF!</definedName>
    <definedName name="dcf.depre.ru3.select" localSheetId="1">#REF!</definedName>
    <definedName name="dcf.depre.ru3.select">#REF!</definedName>
    <definedName name="dcf.discount.ru2" localSheetId="1">#REF!</definedName>
    <definedName name="dcf.discount.ru2">#REF!</definedName>
    <definedName name="dcf.discount.ru3" localSheetId="1">#REF!</definedName>
    <definedName name="dcf.discount.ru3">#REF!</definedName>
    <definedName name="dcf.gs.change.ru2" localSheetId="1">#REF!</definedName>
    <definedName name="dcf.gs.change.ru2">#REF!</definedName>
    <definedName name="dcf.gs.change.ru3" localSheetId="1">#REF!</definedName>
    <definedName name="dcf.gs.change.ru3">#REF!</definedName>
    <definedName name="dcf.length" localSheetId="1">#REF!</definedName>
    <definedName name="dcf.length">#REF!</definedName>
    <definedName name="dcf.nol.kpmg" localSheetId="1">#REF!</definedName>
    <definedName name="dcf.nol.kpmg">#REF!</definedName>
    <definedName name="dcf.nol.ru1.select" localSheetId="1">#REF!</definedName>
    <definedName name="dcf.nol.ru1.select">#REF!</definedName>
    <definedName name="dcf.nol.ru2.select" localSheetId="1">#REF!</definedName>
    <definedName name="dcf.nol.ru2.select">#REF!</definedName>
    <definedName name="dcf.nol.ru3.select" localSheetId="1">#REF!</definedName>
    <definedName name="dcf.nol.ru3.select">#REF!</definedName>
    <definedName name="dcf.nwc.cashfree" localSheetId="1">#REF!</definedName>
    <definedName name="dcf.nwc.cashfree">#REF!</definedName>
    <definedName name="dcf.nwc.select" localSheetId="1">#REF!</definedName>
    <definedName name="dcf.nwc.select">#REF!</definedName>
    <definedName name="dcf.tax.select" localSheetId="1">#REF!</definedName>
    <definedName name="dcf.tax.select">#REF!</definedName>
    <definedName name="dcf.tax.statutory" localSheetId="1">#REF!</definedName>
    <definedName name="dcf.tax.statutory">#REF!</definedName>
    <definedName name="dcf.tax.year" localSheetId="1">#REF!</definedName>
    <definedName name="dcf.tax.year">#REF!</definedName>
    <definedName name="dcf.tv.capex.ru1" localSheetId="1">#REF!</definedName>
    <definedName name="dcf.tv.capex.ru1">#REF!</definedName>
    <definedName name="dcf.tv.capex.ru2" localSheetId="1">#REF!</definedName>
    <definedName name="dcf.tv.capex.ru2">#REF!</definedName>
    <definedName name="dcf.tv.capex.ru3" localSheetId="1">#REF!</definedName>
    <definedName name="dcf.tv.capex.ru3">#REF!</definedName>
    <definedName name="dcf.tv.ebitda.x.ru1" localSheetId="1">#REF!</definedName>
    <definedName name="dcf.tv.ebitda.x.ru1">#REF!</definedName>
    <definedName name="dcf.tv.hm.g.ru1" localSheetId="1">#REF!</definedName>
    <definedName name="dcf.tv.hm.g.ru1">#REF!</definedName>
    <definedName name="dcf.tv.hm.years.ru1" localSheetId="1">#REF!</definedName>
    <definedName name="dcf.tv.hm.years.ru1">#REF!</definedName>
    <definedName name="dcf.tv.method.gordon" localSheetId="1">#REF!</definedName>
    <definedName name="dcf.tv.method.gordon">#REF!</definedName>
    <definedName name="dcf.tv.method.hm" localSheetId="1">#REF!</definedName>
    <definedName name="dcf.tv.method.hm">#REF!</definedName>
    <definedName name="dcf.tv.method.rev" localSheetId="1">#REF!</definedName>
    <definedName name="dcf.tv.method.rev">#REF!</definedName>
    <definedName name="dcf.tv.rev.x.ru1" localSheetId="1">#REF!</definedName>
    <definedName name="dcf.tv.rev.x.ru1">#REF!</definedName>
    <definedName name="dcf.tv.ru1.select" localSheetId="1">#REF!</definedName>
    <definedName name="dcf.tv.ru1.select">#REF!</definedName>
    <definedName name="dd" localSheetId="3" hidden="1">{"by departments",#N/A,TRUE,"FORECAST";"cap_headcount",#N/A,TRUE,"FORECAST";"summary",#N/A,TRUE,"FORECAST"}</definedName>
    <definedName name="dd" localSheetId="1" hidden="1">{"by departments",#N/A,TRUE,"FORECAST";"cap_headcount",#N/A,TRUE,"FORECAST";"summary",#N/A,TRUE,"FORECAST"}</definedName>
    <definedName name="dd" hidden="1">{"by departments",#N/A,TRUE,"FORECAST";"cap_headcount",#N/A,TRUE,"FORECAST";"summary",#N/A,TRUE,"FORECAST"}</definedName>
    <definedName name="ddd" localSheetId="3" hidden="1">{"by departments",#N/A,TRUE,"FORECAST";"cap_headcount",#N/A,TRUE,"FORECAST";"summary",#N/A,TRUE,"FORECAST"}</definedName>
    <definedName name="ddd" localSheetId="1" hidden="1">{"by departments",#N/A,TRUE,"FORECAST";"cap_headcount",#N/A,TRUE,"FORECAST";"summary",#N/A,TRUE,"FORECAST"}</definedName>
    <definedName name="ddd" hidden="1">{"by departments",#N/A,TRUE,"FORECAST";"cap_headcount",#N/A,TRUE,"FORECAST";"summary",#N/A,TRUE,"FORECAST"}</definedName>
    <definedName name="DealName" localSheetId="1">#REF!</definedName>
    <definedName name="DealName">#REF!</definedName>
    <definedName name="debtpref" localSheetId="1" hidden="1">#REF!</definedName>
    <definedName name="debtpref" hidden="1">#REF!</definedName>
    <definedName name="Def_Loan_Cost" localSheetId="1">#REF!</definedName>
    <definedName name="Def_Loan_Cost">#REF!</definedName>
    <definedName name="Def_Loan_Cost_Amort" localSheetId="1">#REF!</definedName>
    <definedName name="Def_Loan_Cost_Amort">#REF!</definedName>
    <definedName name="Def_Struc_Cost" localSheetId="1">#REF!</definedName>
    <definedName name="Def_Struc_Cost">#REF!</definedName>
    <definedName name="Def_Struc_Cost_Amort" localSheetId="1">#REF!</definedName>
    <definedName name="Def_Struc_Cost_Amort">#REF!</definedName>
    <definedName name="Default_ACR" localSheetId="1">#REF!</definedName>
    <definedName name="Default_ACR">#REF!</definedName>
    <definedName name="del" localSheetId="3" hidden="1">{"Reset Data",#N/A,FALSE,"Reset Notice";"Reset Notice",#N/A,FALSE,"Reset Notice"}</definedName>
    <definedName name="del" localSheetId="1" hidden="1">{"Reset Data",#N/A,FALSE,"Reset Notice";"Reset Notice",#N/A,FALSE,"Reset Notice"}</definedName>
    <definedName name="del" hidden="1">{"Reset Data",#N/A,FALSE,"Reset Notice";"Reset Notice",#N/A,FALSE,"Reset Notice"}</definedName>
    <definedName name="del_1" localSheetId="3" hidden="1">{"Reset Data",#N/A,FALSE,"Reset Notice";"Reset Notice",#N/A,FALSE,"Reset Notice"}</definedName>
    <definedName name="del_1" localSheetId="1" hidden="1">{"Reset Data",#N/A,FALSE,"Reset Notice";"Reset Notice",#N/A,FALSE,"Reset Notice"}</definedName>
    <definedName name="del_1" hidden="1">{"Reset Data",#N/A,FALSE,"Reset Notice";"Reset Notice",#N/A,FALSE,"Reset Notice"}</definedName>
    <definedName name="del_1_1" localSheetId="3" hidden="1">{"Reset Data",#N/A,FALSE,"Reset Notice";"Reset Notice",#N/A,FALSE,"Reset Notice"}</definedName>
    <definedName name="del_1_1" localSheetId="1" hidden="1">{"Reset Data",#N/A,FALSE,"Reset Notice";"Reset Notice",#N/A,FALSE,"Reset Notice"}</definedName>
    <definedName name="del_1_1" hidden="1">{"Reset Data",#N/A,FALSE,"Reset Notice";"Reset Notice",#N/A,FALSE,"Reset Notice"}</definedName>
    <definedName name="del_1_1_1" localSheetId="3" hidden="1">{"Reset Data",#N/A,FALSE,"Reset Notice";"Reset Notice",#N/A,FALSE,"Reset Notice"}</definedName>
    <definedName name="del_1_1_1" localSheetId="1" hidden="1">{"Reset Data",#N/A,FALSE,"Reset Notice";"Reset Notice",#N/A,FALSE,"Reset Notice"}</definedName>
    <definedName name="del_1_1_1" hidden="1">{"Reset Data",#N/A,FALSE,"Reset Notice";"Reset Notice",#N/A,FALSE,"Reset Notice"}</definedName>
    <definedName name="del_1_1_1_1" localSheetId="3" hidden="1">{"Reset Data",#N/A,FALSE,"Reset Notice";"Reset Notice",#N/A,FALSE,"Reset Notice"}</definedName>
    <definedName name="del_1_1_1_1" localSheetId="1" hidden="1">{"Reset Data",#N/A,FALSE,"Reset Notice";"Reset Notice",#N/A,FALSE,"Reset Notice"}</definedName>
    <definedName name="del_1_1_1_1" hidden="1">{"Reset Data",#N/A,FALSE,"Reset Notice";"Reset Notice",#N/A,FALSE,"Reset Notice"}</definedName>
    <definedName name="del_1_2" localSheetId="3" hidden="1">{"Reset Data",#N/A,FALSE,"Reset Notice";"Reset Notice",#N/A,FALSE,"Reset Notice"}</definedName>
    <definedName name="del_1_2" localSheetId="1" hidden="1">{"Reset Data",#N/A,FALSE,"Reset Notice";"Reset Notice",#N/A,FALSE,"Reset Notice"}</definedName>
    <definedName name="del_1_2" hidden="1">{"Reset Data",#N/A,FALSE,"Reset Notice";"Reset Notice",#N/A,FALSE,"Reset Notice"}</definedName>
    <definedName name="del_1_2_1" localSheetId="3" hidden="1">{"Reset Data",#N/A,FALSE,"Reset Notice";"Reset Notice",#N/A,FALSE,"Reset Notice"}</definedName>
    <definedName name="del_1_2_1" localSheetId="1" hidden="1">{"Reset Data",#N/A,FALSE,"Reset Notice";"Reset Notice",#N/A,FALSE,"Reset Notice"}</definedName>
    <definedName name="del_1_2_1" hidden="1">{"Reset Data",#N/A,FALSE,"Reset Notice";"Reset Notice",#N/A,FALSE,"Reset Notice"}</definedName>
    <definedName name="del_1_3" localSheetId="3" hidden="1">{"Reset Data",#N/A,FALSE,"Reset Notice";"Reset Notice",#N/A,FALSE,"Reset Notice"}</definedName>
    <definedName name="del_1_3" localSheetId="1" hidden="1">{"Reset Data",#N/A,FALSE,"Reset Notice";"Reset Notice",#N/A,FALSE,"Reset Notice"}</definedName>
    <definedName name="del_1_3" hidden="1">{"Reset Data",#N/A,FALSE,"Reset Notice";"Reset Notice",#N/A,FALSE,"Reset Notice"}</definedName>
    <definedName name="del_1_3_1" localSheetId="3" hidden="1">{"Reset Data",#N/A,FALSE,"Reset Notice";"Reset Notice",#N/A,FALSE,"Reset Notice"}</definedName>
    <definedName name="del_1_3_1" localSheetId="1" hidden="1">{"Reset Data",#N/A,FALSE,"Reset Notice";"Reset Notice",#N/A,FALSE,"Reset Notice"}</definedName>
    <definedName name="del_1_3_1" hidden="1">{"Reset Data",#N/A,FALSE,"Reset Notice";"Reset Notice",#N/A,FALSE,"Reset Notice"}</definedName>
    <definedName name="del_1_4" localSheetId="3" hidden="1">{"Reset Data",#N/A,FALSE,"Reset Notice";"Reset Notice",#N/A,FALSE,"Reset Notice"}</definedName>
    <definedName name="del_1_4" localSheetId="1" hidden="1">{"Reset Data",#N/A,FALSE,"Reset Notice";"Reset Notice",#N/A,FALSE,"Reset Notice"}</definedName>
    <definedName name="del_1_4" hidden="1">{"Reset Data",#N/A,FALSE,"Reset Notice";"Reset Notice",#N/A,FALSE,"Reset Notice"}</definedName>
    <definedName name="del_2" localSheetId="3" hidden="1">{"Reset Data",#N/A,FALSE,"Reset Notice";"Reset Notice",#N/A,FALSE,"Reset Notice"}</definedName>
    <definedName name="del_2" localSheetId="1" hidden="1">{"Reset Data",#N/A,FALSE,"Reset Notice";"Reset Notice",#N/A,FALSE,"Reset Notice"}</definedName>
    <definedName name="del_2" hidden="1">{"Reset Data",#N/A,FALSE,"Reset Notice";"Reset Notice",#N/A,FALSE,"Reset Notice"}</definedName>
    <definedName name="del_2_1" localSheetId="3" hidden="1">{"Reset Data",#N/A,FALSE,"Reset Notice";"Reset Notice",#N/A,FALSE,"Reset Notice"}</definedName>
    <definedName name="del_2_1" localSheetId="1" hidden="1">{"Reset Data",#N/A,FALSE,"Reset Notice";"Reset Notice",#N/A,FALSE,"Reset Notice"}</definedName>
    <definedName name="del_2_1" hidden="1">{"Reset Data",#N/A,FALSE,"Reset Notice";"Reset Notice",#N/A,FALSE,"Reset Notice"}</definedName>
    <definedName name="del_2_1_1" localSheetId="3" hidden="1">{"Reset Data",#N/A,FALSE,"Reset Notice";"Reset Notice",#N/A,FALSE,"Reset Notice"}</definedName>
    <definedName name="del_2_1_1" localSheetId="1" hidden="1">{"Reset Data",#N/A,FALSE,"Reset Notice";"Reset Notice",#N/A,FALSE,"Reset Notice"}</definedName>
    <definedName name="del_2_1_1" hidden="1">{"Reset Data",#N/A,FALSE,"Reset Notice";"Reset Notice",#N/A,FALSE,"Reset Notice"}</definedName>
    <definedName name="del_2_1_1_1" localSheetId="3" hidden="1">{"Reset Data",#N/A,FALSE,"Reset Notice";"Reset Notice",#N/A,FALSE,"Reset Notice"}</definedName>
    <definedName name="del_2_1_1_1" localSheetId="1" hidden="1">{"Reset Data",#N/A,FALSE,"Reset Notice";"Reset Notice",#N/A,FALSE,"Reset Notice"}</definedName>
    <definedName name="del_2_1_1_1" hidden="1">{"Reset Data",#N/A,FALSE,"Reset Notice";"Reset Notice",#N/A,FALSE,"Reset Notice"}</definedName>
    <definedName name="del_2_2" localSheetId="3" hidden="1">{"Reset Data",#N/A,FALSE,"Reset Notice";"Reset Notice",#N/A,FALSE,"Reset Notice"}</definedName>
    <definedName name="del_2_2" localSheetId="1" hidden="1">{"Reset Data",#N/A,FALSE,"Reset Notice";"Reset Notice",#N/A,FALSE,"Reset Notice"}</definedName>
    <definedName name="del_2_2" hidden="1">{"Reset Data",#N/A,FALSE,"Reset Notice";"Reset Notice",#N/A,FALSE,"Reset Notice"}</definedName>
    <definedName name="del_2_2_1" localSheetId="3" hidden="1">{"Reset Data",#N/A,FALSE,"Reset Notice";"Reset Notice",#N/A,FALSE,"Reset Notice"}</definedName>
    <definedName name="del_2_2_1" localSheetId="1" hidden="1">{"Reset Data",#N/A,FALSE,"Reset Notice";"Reset Notice",#N/A,FALSE,"Reset Notice"}</definedName>
    <definedName name="del_2_2_1" hidden="1">{"Reset Data",#N/A,FALSE,"Reset Notice";"Reset Notice",#N/A,FALSE,"Reset Notice"}</definedName>
    <definedName name="del_2_3" localSheetId="3" hidden="1">{"Reset Data",#N/A,FALSE,"Reset Notice";"Reset Notice",#N/A,FALSE,"Reset Notice"}</definedName>
    <definedName name="del_2_3" localSheetId="1" hidden="1">{"Reset Data",#N/A,FALSE,"Reset Notice";"Reset Notice",#N/A,FALSE,"Reset Notice"}</definedName>
    <definedName name="del_2_3" hidden="1">{"Reset Data",#N/A,FALSE,"Reset Notice";"Reset Notice",#N/A,FALSE,"Reset Notice"}</definedName>
    <definedName name="del_3" localSheetId="3" hidden="1">{"Reset Data",#N/A,FALSE,"Reset Notice";"Reset Notice",#N/A,FALSE,"Reset Notice"}</definedName>
    <definedName name="del_3" localSheetId="1" hidden="1">{"Reset Data",#N/A,FALSE,"Reset Notice";"Reset Notice",#N/A,FALSE,"Reset Notice"}</definedName>
    <definedName name="del_3" hidden="1">{"Reset Data",#N/A,FALSE,"Reset Notice";"Reset Notice",#N/A,FALSE,"Reset Notice"}</definedName>
    <definedName name="del_3_1" localSheetId="3" hidden="1">{"Reset Data",#N/A,FALSE,"Reset Notice";"Reset Notice",#N/A,FALSE,"Reset Notice"}</definedName>
    <definedName name="del_3_1" localSheetId="1" hidden="1">{"Reset Data",#N/A,FALSE,"Reset Notice";"Reset Notice",#N/A,FALSE,"Reset Notice"}</definedName>
    <definedName name="del_3_1" hidden="1">{"Reset Data",#N/A,FALSE,"Reset Notice";"Reset Notice",#N/A,FALSE,"Reset Notice"}</definedName>
    <definedName name="del_3_1_1" localSheetId="3" hidden="1">{"Reset Data",#N/A,FALSE,"Reset Notice";"Reset Notice",#N/A,FALSE,"Reset Notice"}</definedName>
    <definedName name="del_3_1_1" localSheetId="1" hidden="1">{"Reset Data",#N/A,FALSE,"Reset Notice";"Reset Notice",#N/A,FALSE,"Reset Notice"}</definedName>
    <definedName name="del_3_1_1" hidden="1">{"Reset Data",#N/A,FALSE,"Reset Notice";"Reset Notice",#N/A,FALSE,"Reset Notice"}</definedName>
    <definedName name="del_3_1_1_1" localSheetId="3" hidden="1">{"Reset Data",#N/A,FALSE,"Reset Notice";"Reset Notice",#N/A,FALSE,"Reset Notice"}</definedName>
    <definedName name="del_3_1_1_1" localSheetId="1" hidden="1">{"Reset Data",#N/A,FALSE,"Reset Notice";"Reset Notice",#N/A,FALSE,"Reset Notice"}</definedName>
    <definedName name="del_3_1_1_1" hidden="1">{"Reset Data",#N/A,FALSE,"Reset Notice";"Reset Notice",#N/A,FALSE,"Reset Notice"}</definedName>
    <definedName name="del_3_2" localSheetId="3" hidden="1">{"Reset Data",#N/A,FALSE,"Reset Notice";"Reset Notice",#N/A,FALSE,"Reset Notice"}</definedName>
    <definedName name="del_3_2" localSheetId="1" hidden="1">{"Reset Data",#N/A,FALSE,"Reset Notice";"Reset Notice",#N/A,FALSE,"Reset Notice"}</definedName>
    <definedName name="del_3_2" hidden="1">{"Reset Data",#N/A,FALSE,"Reset Notice";"Reset Notice",#N/A,FALSE,"Reset Notice"}</definedName>
    <definedName name="del_3_2_1" localSheetId="3" hidden="1">{"Reset Data",#N/A,FALSE,"Reset Notice";"Reset Notice",#N/A,FALSE,"Reset Notice"}</definedName>
    <definedName name="del_3_2_1" localSheetId="1" hidden="1">{"Reset Data",#N/A,FALSE,"Reset Notice";"Reset Notice",#N/A,FALSE,"Reset Notice"}</definedName>
    <definedName name="del_3_2_1" hidden="1">{"Reset Data",#N/A,FALSE,"Reset Notice";"Reset Notice",#N/A,FALSE,"Reset Notice"}</definedName>
    <definedName name="del_3_3" localSheetId="3" hidden="1">{"Reset Data",#N/A,FALSE,"Reset Notice";"Reset Notice",#N/A,FALSE,"Reset Notice"}</definedName>
    <definedName name="del_3_3" localSheetId="1" hidden="1">{"Reset Data",#N/A,FALSE,"Reset Notice";"Reset Notice",#N/A,FALSE,"Reset Notice"}</definedName>
    <definedName name="del_3_3" hidden="1">{"Reset Data",#N/A,FALSE,"Reset Notice";"Reset Notice",#N/A,FALSE,"Reset Notice"}</definedName>
    <definedName name="del_4" localSheetId="3" hidden="1">{"Reset Data",#N/A,FALSE,"Reset Notice";"Reset Notice",#N/A,FALSE,"Reset Notice"}</definedName>
    <definedName name="del_4" localSheetId="1" hidden="1">{"Reset Data",#N/A,FALSE,"Reset Notice";"Reset Notice",#N/A,FALSE,"Reset Notice"}</definedName>
    <definedName name="del_4" hidden="1">{"Reset Data",#N/A,FALSE,"Reset Notice";"Reset Notice",#N/A,FALSE,"Reset Notice"}</definedName>
    <definedName name="del_4_1" localSheetId="3" hidden="1">{"Reset Data",#N/A,FALSE,"Reset Notice";"Reset Notice",#N/A,FALSE,"Reset Notice"}</definedName>
    <definedName name="del_4_1" localSheetId="1" hidden="1">{"Reset Data",#N/A,FALSE,"Reset Notice";"Reset Notice",#N/A,FALSE,"Reset Notice"}</definedName>
    <definedName name="del_4_1" hidden="1">{"Reset Data",#N/A,FALSE,"Reset Notice";"Reset Notice",#N/A,FALSE,"Reset Notice"}</definedName>
    <definedName name="del_4_1_1" localSheetId="3" hidden="1">{"Reset Data",#N/A,FALSE,"Reset Notice";"Reset Notice",#N/A,FALSE,"Reset Notice"}</definedName>
    <definedName name="del_4_1_1" localSheetId="1" hidden="1">{"Reset Data",#N/A,FALSE,"Reset Notice";"Reset Notice",#N/A,FALSE,"Reset Notice"}</definedName>
    <definedName name="del_4_1_1" hidden="1">{"Reset Data",#N/A,FALSE,"Reset Notice";"Reset Notice",#N/A,FALSE,"Reset Notice"}</definedName>
    <definedName name="del_4_1_1_1" localSheetId="3" hidden="1">{"Reset Data",#N/A,FALSE,"Reset Notice";"Reset Notice",#N/A,FALSE,"Reset Notice"}</definedName>
    <definedName name="del_4_1_1_1" localSheetId="1" hidden="1">{"Reset Data",#N/A,FALSE,"Reset Notice";"Reset Notice",#N/A,FALSE,"Reset Notice"}</definedName>
    <definedName name="del_4_1_1_1" hidden="1">{"Reset Data",#N/A,FALSE,"Reset Notice";"Reset Notice",#N/A,FALSE,"Reset Notice"}</definedName>
    <definedName name="del_4_2" localSheetId="3" hidden="1">{"Reset Data",#N/A,FALSE,"Reset Notice";"Reset Notice",#N/A,FALSE,"Reset Notice"}</definedName>
    <definedName name="del_4_2" localSheetId="1" hidden="1">{"Reset Data",#N/A,FALSE,"Reset Notice";"Reset Notice",#N/A,FALSE,"Reset Notice"}</definedName>
    <definedName name="del_4_2" hidden="1">{"Reset Data",#N/A,FALSE,"Reset Notice";"Reset Notice",#N/A,FALSE,"Reset Notice"}</definedName>
    <definedName name="del_4_2_1" localSheetId="3" hidden="1">{"Reset Data",#N/A,FALSE,"Reset Notice";"Reset Notice",#N/A,FALSE,"Reset Notice"}</definedName>
    <definedName name="del_4_2_1" localSheetId="1" hidden="1">{"Reset Data",#N/A,FALSE,"Reset Notice";"Reset Notice",#N/A,FALSE,"Reset Notice"}</definedName>
    <definedName name="del_4_2_1" hidden="1">{"Reset Data",#N/A,FALSE,"Reset Notice";"Reset Notice",#N/A,FALSE,"Reset Notice"}</definedName>
    <definedName name="del_4_3" localSheetId="3" hidden="1">{"Reset Data",#N/A,FALSE,"Reset Notice";"Reset Notice",#N/A,FALSE,"Reset Notice"}</definedName>
    <definedName name="del_4_3" localSheetId="1" hidden="1">{"Reset Data",#N/A,FALSE,"Reset Notice";"Reset Notice",#N/A,FALSE,"Reset Notice"}</definedName>
    <definedName name="del_4_3" hidden="1">{"Reset Data",#N/A,FALSE,"Reset Notice";"Reset Notice",#N/A,FALSE,"Reset Notice"}</definedName>
    <definedName name="del_5" localSheetId="3" hidden="1">{"Reset Data",#N/A,FALSE,"Reset Notice";"Reset Notice",#N/A,FALSE,"Reset Notice"}</definedName>
    <definedName name="del_5" localSheetId="1" hidden="1">{"Reset Data",#N/A,FALSE,"Reset Notice";"Reset Notice",#N/A,FALSE,"Reset Notice"}</definedName>
    <definedName name="del_5" hidden="1">{"Reset Data",#N/A,FALSE,"Reset Notice";"Reset Notice",#N/A,FALSE,"Reset Notice"}</definedName>
    <definedName name="del_5_1" localSheetId="3" hidden="1">{"Reset Data",#N/A,FALSE,"Reset Notice";"Reset Notice",#N/A,FALSE,"Reset Notice"}</definedName>
    <definedName name="del_5_1" localSheetId="1" hidden="1">{"Reset Data",#N/A,FALSE,"Reset Notice";"Reset Notice",#N/A,FALSE,"Reset Notice"}</definedName>
    <definedName name="del_5_1" hidden="1">{"Reset Data",#N/A,FALSE,"Reset Notice";"Reset Notice",#N/A,FALSE,"Reset Notice"}</definedName>
    <definedName name="del_5_1_1" localSheetId="3" hidden="1">{"Reset Data",#N/A,FALSE,"Reset Notice";"Reset Notice",#N/A,FALSE,"Reset Notice"}</definedName>
    <definedName name="del_5_1_1" localSheetId="1" hidden="1">{"Reset Data",#N/A,FALSE,"Reset Notice";"Reset Notice",#N/A,FALSE,"Reset Notice"}</definedName>
    <definedName name="del_5_1_1" hidden="1">{"Reset Data",#N/A,FALSE,"Reset Notice";"Reset Notice",#N/A,FALSE,"Reset Notice"}</definedName>
    <definedName name="del_5_1_1_1" localSheetId="3" hidden="1">{"Reset Data",#N/A,FALSE,"Reset Notice";"Reset Notice",#N/A,FALSE,"Reset Notice"}</definedName>
    <definedName name="del_5_1_1_1" localSheetId="1" hidden="1">{"Reset Data",#N/A,FALSE,"Reset Notice";"Reset Notice",#N/A,FALSE,"Reset Notice"}</definedName>
    <definedName name="del_5_1_1_1" hidden="1">{"Reset Data",#N/A,FALSE,"Reset Notice";"Reset Notice",#N/A,FALSE,"Reset Notice"}</definedName>
    <definedName name="del_5_2" localSheetId="3" hidden="1">{"Reset Data",#N/A,FALSE,"Reset Notice";"Reset Notice",#N/A,FALSE,"Reset Notice"}</definedName>
    <definedName name="del_5_2" localSheetId="1" hidden="1">{"Reset Data",#N/A,FALSE,"Reset Notice";"Reset Notice",#N/A,FALSE,"Reset Notice"}</definedName>
    <definedName name="del_5_2" hidden="1">{"Reset Data",#N/A,FALSE,"Reset Notice";"Reset Notice",#N/A,FALSE,"Reset Notice"}</definedName>
    <definedName name="del_5_2_1" localSheetId="3" hidden="1">{"Reset Data",#N/A,FALSE,"Reset Notice";"Reset Notice",#N/A,FALSE,"Reset Notice"}</definedName>
    <definedName name="del_5_2_1" localSheetId="1" hidden="1">{"Reset Data",#N/A,FALSE,"Reset Notice";"Reset Notice",#N/A,FALSE,"Reset Notice"}</definedName>
    <definedName name="del_5_2_1" hidden="1">{"Reset Data",#N/A,FALSE,"Reset Notice";"Reset Notice",#N/A,FALSE,"Reset Notice"}</definedName>
    <definedName name="del_5_3" localSheetId="3" hidden="1">{"Reset Data",#N/A,FALSE,"Reset Notice";"Reset Notice",#N/A,FALSE,"Reset Notice"}</definedName>
    <definedName name="del_5_3" localSheetId="1" hidden="1">{"Reset Data",#N/A,FALSE,"Reset Notice";"Reset Notice",#N/A,FALSE,"Reset Notice"}</definedName>
    <definedName name="del_5_3" hidden="1">{"Reset Data",#N/A,FALSE,"Reset Notice";"Reset Notice",#N/A,FALSE,"Reset Notice"}</definedName>
    <definedName name="Delete" localSheetId="3" hidden="1">{"Reset Data",#N/A,FALSE,"Reset Notice";"Reset Notice",#N/A,FALSE,"Reset Notice"}</definedName>
    <definedName name="Delete" localSheetId="1" hidden="1">{"Reset Data",#N/A,FALSE,"Reset Notice";"Reset Notice",#N/A,FALSE,"Reset Notice"}</definedName>
    <definedName name="Delete" hidden="1">{"Reset Data",#N/A,FALSE,"Reset Notice";"Reset Notice",#N/A,FALSE,"Reset Notice"}</definedName>
    <definedName name="Delete_1" localSheetId="3" hidden="1">{"Reset Data",#N/A,FALSE,"Reset Notice";"Reset Notice",#N/A,FALSE,"Reset Notice"}</definedName>
    <definedName name="Delete_1" localSheetId="1" hidden="1">{"Reset Data",#N/A,FALSE,"Reset Notice";"Reset Notice",#N/A,FALSE,"Reset Notice"}</definedName>
    <definedName name="Delete_1" hidden="1">{"Reset Data",#N/A,FALSE,"Reset Notice";"Reset Notice",#N/A,FALSE,"Reset Notice"}</definedName>
    <definedName name="Delete_1_1" localSheetId="3" hidden="1">{"Reset Data",#N/A,FALSE,"Reset Notice";"Reset Notice",#N/A,FALSE,"Reset Notice"}</definedName>
    <definedName name="Delete_1_1" localSheetId="1" hidden="1">{"Reset Data",#N/A,FALSE,"Reset Notice";"Reset Notice",#N/A,FALSE,"Reset Notice"}</definedName>
    <definedName name="Delete_1_1" hidden="1">{"Reset Data",#N/A,FALSE,"Reset Notice";"Reset Notice",#N/A,FALSE,"Reset Notice"}</definedName>
    <definedName name="Delete_1_1_1" localSheetId="3" hidden="1">{"Reset Data",#N/A,FALSE,"Reset Notice";"Reset Notice",#N/A,FALSE,"Reset Notice"}</definedName>
    <definedName name="Delete_1_1_1" localSheetId="1" hidden="1">{"Reset Data",#N/A,FALSE,"Reset Notice";"Reset Notice",#N/A,FALSE,"Reset Notice"}</definedName>
    <definedName name="Delete_1_1_1" hidden="1">{"Reset Data",#N/A,FALSE,"Reset Notice";"Reset Notice",#N/A,FALSE,"Reset Notice"}</definedName>
    <definedName name="Delete_1_1_1_1" localSheetId="3" hidden="1">{"Reset Data",#N/A,FALSE,"Reset Notice";"Reset Notice",#N/A,FALSE,"Reset Notice"}</definedName>
    <definedName name="Delete_1_1_1_1" localSheetId="1" hidden="1">{"Reset Data",#N/A,FALSE,"Reset Notice";"Reset Notice",#N/A,FALSE,"Reset Notice"}</definedName>
    <definedName name="Delete_1_1_1_1" hidden="1">{"Reset Data",#N/A,FALSE,"Reset Notice";"Reset Notice",#N/A,FALSE,"Reset Notice"}</definedName>
    <definedName name="Delete_1_2" localSheetId="3" hidden="1">{"Reset Data",#N/A,FALSE,"Reset Notice";"Reset Notice",#N/A,FALSE,"Reset Notice"}</definedName>
    <definedName name="Delete_1_2" localSheetId="1" hidden="1">{"Reset Data",#N/A,FALSE,"Reset Notice";"Reset Notice",#N/A,FALSE,"Reset Notice"}</definedName>
    <definedName name="Delete_1_2" hidden="1">{"Reset Data",#N/A,FALSE,"Reset Notice";"Reset Notice",#N/A,FALSE,"Reset Notice"}</definedName>
    <definedName name="Delete_1_2_1" localSheetId="3" hidden="1">{"Reset Data",#N/A,FALSE,"Reset Notice";"Reset Notice",#N/A,FALSE,"Reset Notice"}</definedName>
    <definedName name="Delete_1_2_1" localSheetId="1" hidden="1">{"Reset Data",#N/A,FALSE,"Reset Notice";"Reset Notice",#N/A,FALSE,"Reset Notice"}</definedName>
    <definedName name="Delete_1_2_1" hidden="1">{"Reset Data",#N/A,FALSE,"Reset Notice";"Reset Notice",#N/A,FALSE,"Reset Notice"}</definedName>
    <definedName name="Delete_1_3" localSheetId="3" hidden="1">{"Reset Data",#N/A,FALSE,"Reset Notice";"Reset Notice",#N/A,FALSE,"Reset Notice"}</definedName>
    <definedName name="Delete_1_3" localSheetId="1" hidden="1">{"Reset Data",#N/A,FALSE,"Reset Notice";"Reset Notice",#N/A,FALSE,"Reset Notice"}</definedName>
    <definedName name="Delete_1_3" hidden="1">{"Reset Data",#N/A,FALSE,"Reset Notice";"Reset Notice",#N/A,FALSE,"Reset Notice"}</definedName>
    <definedName name="Delete_1_3_1" localSheetId="3" hidden="1">{"Reset Data",#N/A,FALSE,"Reset Notice";"Reset Notice",#N/A,FALSE,"Reset Notice"}</definedName>
    <definedName name="Delete_1_3_1" localSheetId="1" hidden="1">{"Reset Data",#N/A,FALSE,"Reset Notice";"Reset Notice",#N/A,FALSE,"Reset Notice"}</definedName>
    <definedName name="Delete_1_3_1" hidden="1">{"Reset Data",#N/A,FALSE,"Reset Notice";"Reset Notice",#N/A,FALSE,"Reset Notice"}</definedName>
    <definedName name="Delete_1_4" localSheetId="3" hidden="1">{"Reset Data",#N/A,FALSE,"Reset Notice";"Reset Notice",#N/A,FALSE,"Reset Notice"}</definedName>
    <definedName name="Delete_1_4" localSheetId="1" hidden="1">{"Reset Data",#N/A,FALSE,"Reset Notice";"Reset Notice",#N/A,FALSE,"Reset Notice"}</definedName>
    <definedName name="Delete_1_4" hidden="1">{"Reset Data",#N/A,FALSE,"Reset Notice";"Reset Notice",#N/A,FALSE,"Reset Notice"}</definedName>
    <definedName name="Delete_2" localSheetId="3" hidden="1">{"Reset Data",#N/A,FALSE,"Reset Notice";"Reset Notice",#N/A,FALSE,"Reset Notice"}</definedName>
    <definedName name="Delete_2" localSheetId="1" hidden="1">{"Reset Data",#N/A,FALSE,"Reset Notice";"Reset Notice",#N/A,FALSE,"Reset Notice"}</definedName>
    <definedName name="Delete_2" hidden="1">{"Reset Data",#N/A,FALSE,"Reset Notice";"Reset Notice",#N/A,FALSE,"Reset Notice"}</definedName>
    <definedName name="Delete_2_1" localSheetId="3" hidden="1">{"Reset Data",#N/A,FALSE,"Reset Notice";"Reset Notice",#N/A,FALSE,"Reset Notice"}</definedName>
    <definedName name="Delete_2_1" localSheetId="1" hidden="1">{"Reset Data",#N/A,FALSE,"Reset Notice";"Reset Notice",#N/A,FALSE,"Reset Notice"}</definedName>
    <definedName name="Delete_2_1" hidden="1">{"Reset Data",#N/A,FALSE,"Reset Notice";"Reset Notice",#N/A,FALSE,"Reset Notice"}</definedName>
    <definedName name="Delete_2_1_1" localSheetId="3" hidden="1">{"Reset Data",#N/A,FALSE,"Reset Notice";"Reset Notice",#N/A,FALSE,"Reset Notice"}</definedName>
    <definedName name="Delete_2_1_1" localSheetId="1" hidden="1">{"Reset Data",#N/A,FALSE,"Reset Notice";"Reset Notice",#N/A,FALSE,"Reset Notice"}</definedName>
    <definedName name="Delete_2_1_1" hidden="1">{"Reset Data",#N/A,FALSE,"Reset Notice";"Reset Notice",#N/A,FALSE,"Reset Notice"}</definedName>
    <definedName name="Delete_2_1_1_1" localSheetId="3" hidden="1">{"Reset Data",#N/A,FALSE,"Reset Notice";"Reset Notice",#N/A,FALSE,"Reset Notice"}</definedName>
    <definedName name="Delete_2_1_1_1" localSheetId="1" hidden="1">{"Reset Data",#N/A,FALSE,"Reset Notice";"Reset Notice",#N/A,FALSE,"Reset Notice"}</definedName>
    <definedName name="Delete_2_1_1_1" hidden="1">{"Reset Data",#N/A,FALSE,"Reset Notice";"Reset Notice",#N/A,FALSE,"Reset Notice"}</definedName>
    <definedName name="Delete_2_2" localSheetId="3" hidden="1">{"Reset Data",#N/A,FALSE,"Reset Notice";"Reset Notice",#N/A,FALSE,"Reset Notice"}</definedName>
    <definedName name="Delete_2_2" localSheetId="1" hidden="1">{"Reset Data",#N/A,FALSE,"Reset Notice";"Reset Notice",#N/A,FALSE,"Reset Notice"}</definedName>
    <definedName name="Delete_2_2" hidden="1">{"Reset Data",#N/A,FALSE,"Reset Notice";"Reset Notice",#N/A,FALSE,"Reset Notice"}</definedName>
    <definedName name="Delete_2_2_1" localSheetId="3" hidden="1">{"Reset Data",#N/A,FALSE,"Reset Notice";"Reset Notice",#N/A,FALSE,"Reset Notice"}</definedName>
    <definedName name="Delete_2_2_1" localSheetId="1" hidden="1">{"Reset Data",#N/A,FALSE,"Reset Notice";"Reset Notice",#N/A,FALSE,"Reset Notice"}</definedName>
    <definedName name="Delete_2_2_1" hidden="1">{"Reset Data",#N/A,FALSE,"Reset Notice";"Reset Notice",#N/A,FALSE,"Reset Notice"}</definedName>
    <definedName name="Delete_2_3" localSheetId="3" hidden="1">{"Reset Data",#N/A,FALSE,"Reset Notice";"Reset Notice",#N/A,FALSE,"Reset Notice"}</definedName>
    <definedName name="Delete_2_3" localSheetId="1" hidden="1">{"Reset Data",#N/A,FALSE,"Reset Notice";"Reset Notice",#N/A,FALSE,"Reset Notice"}</definedName>
    <definedName name="Delete_2_3" hidden="1">{"Reset Data",#N/A,FALSE,"Reset Notice";"Reset Notice",#N/A,FALSE,"Reset Notice"}</definedName>
    <definedName name="Delete_3" localSheetId="3" hidden="1">{"Reset Data",#N/A,FALSE,"Reset Notice";"Reset Notice",#N/A,FALSE,"Reset Notice"}</definedName>
    <definedName name="Delete_3" localSheetId="1" hidden="1">{"Reset Data",#N/A,FALSE,"Reset Notice";"Reset Notice",#N/A,FALSE,"Reset Notice"}</definedName>
    <definedName name="Delete_3" hidden="1">{"Reset Data",#N/A,FALSE,"Reset Notice";"Reset Notice",#N/A,FALSE,"Reset Notice"}</definedName>
    <definedName name="Delete_3_1" localSheetId="3" hidden="1">{"Reset Data",#N/A,FALSE,"Reset Notice";"Reset Notice",#N/A,FALSE,"Reset Notice"}</definedName>
    <definedName name="Delete_3_1" localSheetId="1" hidden="1">{"Reset Data",#N/A,FALSE,"Reset Notice";"Reset Notice",#N/A,FALSE,"Reset Notice"}</definedName>
    <definedName name="Delete_3_1" hidden="1">{"Reset Data",#N/A,FALSE,"Reset Notice";"Reset Notice",#N/A,FALSE,"Reset Notice"}</definedName>
    <definedName name="Delete_3_1_1" localSheetId="3" hidden="1">{"Reset Data",#N/A,FALSE,"Reset Notice";"Reset Notice",#N/A,FALSE,"Reset Notice"}</definedName>
    <definedName name="Delete_3_1_1" localSheetId="1" hidden="1">{"Reset Data",#N/A,FALSE,"Reset Notice";"Reset Notice",#N/A,FALSE,"Reset Notice"}</definedName>
    <definedName name="Delete_3_1_1" hidden="1">{"Reset Data",#N/A,FALSE,"Reset Notice";"Reset Notice",#N/A,FALSE,"Reset Notice"}</definedName>
    <definedName name="Delete_3_1_1_1" localSheetId="3" hidden="1">{"Reset Data",#N/A,FALSE,"Reset Notice";"Reset Notice",#N/A,FALSE,"Reset Notice"}</definedName>
    <definedName name="Delete_3_1_1_1" localSheetId="1" hidden="1">{"Reset Data",#N/A,FALSE,"Reset Notice";"Reset Notice",#N/A,FALSE,"Reset Notice"}</definedName>
    <definedName name="Delete_3_1_1_1" hidden="1">{"Reset Data",#N/A,FALSE,"Reset Notice";"Reset Notice",#N/A,FALSE,"Reset Notice"}</definedName>
    <definedName name="Delete_3_2" localSheetId="3" hidden="1">{"Reset Data",#N/A,FALSE,"Reset Notice";"Reset Notice",#N/A,FALSE,"Reset Notice"}</definedName>
    <definedName name="Delete_3_2" localSheetId="1" hidden="1">{"Reset Data",#N/A,FALSE,"Reset Notice";"Reset Notice",#N/A,FALSE,"Reset Notice"}</definedName>
    <definedName name="Delete_3_2" hidden="1">{"Reset Data",#N/A,FALSE,"Reset Notice";"Reset Notice",#N/A,FALSE,"Reset Notice"}</definedName>
    <definedName name="Delete_3_2_1" localSheetId="3" hidden="1">{"Reset Data",#N/A,FALSE,"Reset Notice";"Reset Notice",#N/A,FALSE,"Reset Notice"}</definedName>
    <definedName name="Delete_3_2_1" localSheetId="1" hidden="1">{"Reset Data",#N/A,FALSE,"Reset Notice";"Reset Notice",#N/A,FALSE,"Reset Notice"}</definedName>
    <definedName name="Delete_3_2_1" hidden="1">{"Reset Data",#N/A,FALSE,"Reset Notice";"Reset Notice",#N/A,FALSE,"Reset Notice"}</definedName>
    <definedName name="Delete_3_3" localSheetId="3" hidden="1">{"Reset Data",#N/A,FALSE,"Reset Notice";"Reset Notice",#N/A,FALSE,"Reset Notice"}</definedName>
    <definedName name="Delete_3_3" localSheetId="1" hidden="1">{"Reset Data",#N/A,FALSE,"Reset Notice";"Reset Notice",#N/A,FALSE,"Reset Notice"}</definedName>
    <definedName name="Delete_3_3" hidden="1">{"Reset Data",#N/A,FALSE,"Reset Notice";"Reset Notice",#N/A,FALSE,"Reset Notice"}</definedName>
    <definedName name="Delete_4" localSheetId="3" hidden="1">{"Reset Data",#N/A,FALSE,"Reset Notice";"Reset Notice",#N/A,FALSE,"Reset Notice"}</definedName>
    <definedName name="Delete_4" localSheetId="1" hidden="1">{"Reset Data",#N/A,FALSE,"Reset Notice";"Reset Notice",#N/A,FALSE,"Reset Notice"}</definedName>
    <definedName name="Delete_4" hidden="1">{"Reset Data",#N/A,FALSE,"Reset Notice";"Reset Notice",#N/A,FALSE,"Reset Notice"}</definedName>
    <definedName name="Delete_4_1" localSheetId="3" hidden="1">{"Reset Data",#N/A,FALSE,"Reset Notice";"Reset Notice",#N/A,FALSE,"Reset Notice"}</definedName>
    <definedName name="Delete_4_1" localSheetId="1" hidden="1">{"Reset Data",#N/A,FALSE,"Reset Notice";"Reset Notice",#N/A,FALSE,"Reset Notice"}</definedName>
    <definedName name="Delete_4_1" hidden="1">{"Reset Data",#N/A,FALSE,"Reset Notice";"Reset Notice",#N/A,FALSE,"Reset Notice"}</definedName>
    <definedName name="Delete_4_1_1" localSheetId="3" hidden="1">{"Reset Data",#N/A,FALSE,"Reset Notice";"Reset Notice",#N/A,FALSE,"Reset Notice"}</definedName>
    <definedName name="Delete_4_1_1" localSheetId="1" hidden="1">{"Reset Data",#N/A,FALSE,"Reset Notice";"Reset Notice",#N/A,FALSE,"Reset Notice"}</definedName>
    <definedName name="Delete_4_1_1" hidden="1">{"Reset Data",#N/A,FALSE,"Reset Notice";"Reset Notice",#N/A,FALSE,"Reset Notice"}</definedName>
    <definedName name="Delete_4_1_1_1" localSheetId="3" hidden="1">{"Reset Data",#N/A,FALSE,"Reset Notice";"Reset Notice",#N/A,FALSE,"Reset Notice"}</definedName>
    <definedName name="Delete_4_1_1_1" localSheetId="1" hidden="1">{"Reset Data",#N/A,FALSE,"Reset Notice";"Reset Notice",#N/A,FALSE,"Reset Notice"}</definedName>
    <definedName name="Delete_4_1_1_1" hidden="1">{"Reset Data",#N/A,FALSE,"Reset Notice";"Reset Notice",#N/A,FALSE,"Reset Notice"}</definedName>
    <definedName name="Delete_4_2" localSheetId="3" hidden="1">{"Reset Data",#N/A,FALSE,"Reset Notice";"Reset Notice",#N/A,FALSE,"Reset Notice"}</definedName>
    <definedName name="Delete_4_2" localSheetId="1" hidden="1">{"Reset Data",#N/A,FALSE,"Reset Notice";"Reset Notice",#N/A,FALSE,"Reset Notice"}</definedName>
    <definedName name="Delete_4_2" hidden="1">{"Reset Data",#N/A,FALSE,"Reset Notice";"Reset Notice",#N/A,FALSE,"Reset Notice"}</definedName>
    <definedName name="Delete_4_2_1" localSheetId="3" hidden="1">{"Reset Data",#N/A,FALSE,"Reset Notice";"Reset Notice",#N/A,FALSE,"Reset Notice"}</definedName>
    <definedName name="Delete_4_2_1" localSheetId="1" hidden="1">{"Reset Data",#N/A,FALSE,"Reset Notice";"Reset Notice",#N/A,FALSE,"Reset Notice"}</definedName>
    <definedName name="Delete_4_2_1" hidden="1">{"Reset Data",#N/A,FALSE,"Reset Notice";"Reset Notice",#N/A,FALSE,"Reset Notice"}</definedName>
    <definedName name="Delete_4_3" localSheetId="3" hidden="1">{"Reset Data",#N/A,FALSE,"Reset Notice";"Reset Notice",#N/A,FALSE,"Reset Notice"}</definedName>
    <definedName name="Delete_4_3" localSheetId="1" hidden="1">{"Reset Data",#N/A,FALSE,"Reset Notice";"Reset Notice",#N/A,FALSE,"Reset Notice"}</definedName>
    <definedName name="Delete_4_3" hidden="1">{"Reset Data",#N/A,FALSE,"Reset Notice";"Reset Notice",#N/A,FALSE,"Reset Notice"}</definedName>
    <definedName name="Delete_5" localSheetId="3" hidden="1">{"Reset Data",#N/A,FALSE,"Reset Notice";"Reset Notice",#N/A,FALSE,"Reset Notice"}</definedName>
    <definedName name="Delete_5" localSheetId="1" hidden="1">{"Reset Data",#N/A,FALSE,"Reset Notice";"Reset Notice",#N/A,FALSE,"Reset Notice"}</definedName>
    <definedName name="Delete_5" hidden="1">{"Reset Data",#N/A,FALSE,"Reset Notice";"Reset Notice",#N/A,FALSE,"Reset Notice"}</definedName>
    <definedName name="Delete_5_1" localSheetId="3" hidden="1">{"Reset Data",#N/A,FALSE,"Reset Notice";"Reset Notice",#N/A,FALSE,"Reset Notice"}</definedName>
    <definedName name="Delete_5_1" localSheetId="1" hidden="1">{"Reset Data",#N/A,FALSE,"Reset Notice";"Reset Notice",#N/A,FALSE,"Reset Notice"}</definedName>
    <definedName name="Delete_5_1" hidden="1">{"Reset Data",#N/A,FALSE,"Reset Notice";"Reset Notice",#N/A,FALSE,"Reset Notice"}</definedName>
    <definedName name="Delete_5_1_1" localSheetId="3" hidden="1">{"Reset Data",#N/A,FALSE,"Reset Notice";"Reset Notice",#N/A,FALSE,"Reset Notice"}</definedName>
    <definedName name="Delete_5_1_1" localSheetId="1" hidden="1">{"Reset Data",#N/A,FALSE,"Reset Notice";"Reset Notice",#N/A,FALSE,"Reset Notice"}</definedName>
    <definedName name="Delete_5_1_1" hidden="1">{"Reset Data",#N/A,FALSE,"Reset Notice";"Reset Notice",#N/A,FALSE,"Reset Notice"}</definedName>
    <definedName name="Delete_5_1_1_1" localSheetId="3" hidden="1">{"Reset Data",#N/A,FALSE,"Reset Notice";"Reset Notice",#N/A,FALSE,"Reset Notice"}</definedName>
    <definedName name="Delete_5_1_1_1" localSheetId="1" hidden="1">{"Reset Data",#N/A,FALSE,"Reset Notice";"Reset Notice",#N/A,FALSE,"Reset Notice"}</definedName>
    <definedName name="Delete_5_1_1_1" hidden="1">{"Reset Data",#N/A,FALSE,"Reset Notice";"Reset Notice",#N/A,FALSE,"Reset Notice"}</definedName>
    <definedName name="Delete_5_2" localSheetId="3" hidden="1">{"Reset Data",#N/A,FALSE,"Reset Notice";"Reset Notice",#N/A,FALSE,"Reset Notice"}</definedName>
    <definedName name="Delete_5_2" localSheetId="1" hidden="1">{"Reset Data",#N/A,FALSE,"Reset Notice";"Reset Notice",#N/A,FALSE,"Reset Notice"}</definedName>
    <definedName name="Delete_5_2" hidden="1">{"Reset Data",#N/A,FALSE,"Reset Notice";"Reset Notice",#N/A,FALSE,"Reset Notice"}</definedName>
    <definedName name="Delete_5_2_1" localSheetId="3" hidden="1">{"Reset Data",#N/A,FALSE,"Reset Notice";"Reset Notice",#N/A,FALSE,"Reset Notice"}</definedName>
    <definedName name="Delete_5_2_1" localSheetId="1" hidden="1">{"Reset Data",#N/A,FALSE,"Reset Notice";"Reset Notice",#N/A,FALSE,"Reset Notice"}</definedName>
    <definedName name="Delete_5_2_1" hidden="1">{"Reset Data",#N/A,FALSE,"Reset Notice";"Reset Notice",#N/A,FALSE,"Reset Notice"}</definedName>
    <definedName name="Delete_5_3" localSheetId="3" hidden="1">{"Reset Data",#N/A,FALSE,"Reset Notice";"Reset Notice",#N/A,FALSE,"Reset Notice"}</definedName>
    <definedName name="Delete_5_3" localSheetId="1" hidden="1">{"Reset Data",#N/A,FALSE,"Reset Notice";"Reset Notice",#N/A,FALSE,"Reset Notice"}</definedName>
    <definedName name="Delete_5_3" hidden="1">{"Reset Data",#N/A,FALSE,"Reset Notice";"Reset Notice",#N/A,FALSE,"Reset Notice"}</definedName>
    <definedName name="dfghdfgjdj" localSheetId="1" hidden="1">#REF!</definedName>
    <definedName name="dfghdfgjdj" hidden="1">#REF!</definedName>
    <definedName name="dfgjdfgjdfgjd" localSheetId="1" hidden="1">#REF!</definedName>
    <definedName name="dfgjdfgjdfgjd" hidden="1">#REF!</definedName>
    <definedName name="dfgjdfjyd6" localSheetId="1" hidden="1">#REF!</definedName>
    <definedName name="dfgjdfjyd6" hidden="1">#REF!</definedName>
    <definedName name="dfh" hidden="1">#REF!</definedName>
    <definedName name="dhfghdfhdfgh" localSheetId="1" hidden="1">#REF!</definedName>
    <definedName name="dhfghdfhdfgh" hidden="1">#REF!</definedName>
    <definedName name="Diversity_Table" localSheetId="1">#REF!</definedName>
    <definedName name="Diversity_Table">#REF!</definedName>
    <definedName name="Dow" hidden="1">41414.6390972222</definedName>
    <definedName name="E" localSheetId="3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E" localSheetId="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E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EastEurope" localSheetId="1">#REF!</definedName>
    <definedName name="EastEurope">#REF!</definedName>
    <definedName name="ECNOFIBRAS" localSheetId="3" hidden="1">{"'PXR_6500'!$A$1:$I$124"}</definedName>
    <definedName name="ECNOFIBRAS" localSheetId="1" hidden="1">{"'PXR_6500'!$A$1:$I$124"}</definedName>
    <definedName name="ECNOFIBRAS" hidden="1">{"'PXR_6500'!$A$1:$I$124"}</definedName>
    <definedName name="ECNOFIBRAS2" localSheetId="3" hidden="1">{"'PXR_6500'!$A$1:$I$124"}</definedName>
    <definedName name="ECNOFIBRAS2" localSheetId="1" hidden="1">{"'PXR_6500'!$A$1:$I$124"}</definedName>
    <definedName name="ECNOFIBRAS2" hidden="1">{"'PXR_6500'!$A$1:$I$124"}</definedName>
    <definedName name="Effective_date" localSheetId="1">#REF!</definedName>
    <definedName name="Effective_date">#REF!</definedName>
    <definedName name="Effective_Spread" localSheetId="1">#REF!</definedName>
    <definedName name="Effective_Spread">#REF!</definedName>
    <definedName name="elementary2" localSheetId="1">#REF!</definedName>
    <definedName name="elementary2">#REF!</definedName>
    <definedName name="Elimination" localSheetId="1">#REF!</definedName>
    <definedName name="Elimination">#REF!</definedName>
    <definedName name="End_Accrual_Period" localSheetId="1">#REF!</definedName>
    <definedName name="End_Accrual_Period">#REF!</definedName>
    <definedName name="End_Accrual_Period_CAD" localSheetId="1">#REF!</definedName>
    <definedName name="End_Accrual_Period_CAD">#REF!</definedName>
    <definedName name="End_of_Collction_Prd" localSheetId="1">#REF!</definedName>
    <definedName name="End_of_Collction_Prd">#REF!</definedName>
    <definedName name="enrollments" localSheetId="1">#REF!</definedName>
    <definedName name="enrollments">#REF!</definedName>
    <definedName name="EntryDate" localSheetId="1">#REF!</definedName>
    <definedName name="EntryDate">#REF!</definedName>
    <definedName name="EntryMultiple" localSheetId="1">#REF!</definedName>
    <definedName name="EntryMultiple">#REF!</definedName>
    <definedName name="EOD_Begin" localSheetId="1">#REF!</definedName>
    <definedName name="EOD_Begin">#REF!</definedName>
    <definedName name="EOD_End" localSheetId="1">#REF!</definedName>
    <definedName name="EOD_End">#REF!</definedName>
    <definedName name="epsltm" localSheetId="1" hidden="1">#REF!</definedName>
    <definedName name="epsltm" hidden="1">#REF!</definedName>
    <definedName name="Equity" localSheetId="1">#REF!</definedName>
    <definedName name="Equity">#REF!</definedName>
    <definedName name="EquityType" localSheetId="1">#REF!</definedName>
    <definedName name="EquityType">#REF!</definedName>
    <definedName name="EqValue2" localSheetId="1">#REF!</definedName>
    <definedName name="EqValue2">#REF!</definedName>
    <definedName name="ev.Calculation" hidden="1">-4105</definedName>
    <definedName name="ev.dcf.ru1.check" localSheetId="1">#REF!</definedName>
    <definedName name="ev.dcf.ru1.check">#REF!</definedName>
    <definedName name="ev.dcf.ru2.check" localSheetId="1">#REF!</definedName>
    <definedName name="ev.dcf.ru2.check">#REF!</definedName>
    <definedName name="ev.dcf.ru3.check" localSheetId="1">#REF!</definedName>
    <definedName name="ev.dcf.ru3.check">#REF!</definedName>
    <definedName name="ev.gmac.ru1.check" localSheetId="1">#REF!</definedName>
    <definedName name="ev.gmac.ru1.check">#REF!</definedName>
    <definedName name="ev.gmac.ru2.check" localSheetId="1">#REF!</definedName>
    <definedName name="ev.gmac.ru2.check">#REF!</definedName>
    <definedName name="ev.gmac.ru3.check" localSheetId="1">#REF!</definedName>
    <definedName name="ev.gmac.ru3.check">#REF!</definedName>
    <definedName name="ev.gmac.xmetric.ru1.select" localSheetId="1">#REF!</definedName>
    <definedName name="ev.gmac.xmetric.ru1.select">#REF!</definedName>
    <definedName name="ev.gmac.xmetric.ru2.select" localSheetId="1">#REF!</definedName>
    <definedName name="ev.gmac.xmetric.ru2.select">#REF!</definedName>
    <definedName name="ev.gmac.xmetric.ru3.select" localSheetId="1">#REF!</definedName>
    <definedName name="ev.gmac.xmetric.ru3.select">#REF!</definedName>
    <definedName name="ev.gpc.ru1.check" localSheetId="1">#REF!</definedName>
    <definedName name="ev.gpc.ru1.check">#REF!</definedName>
    <definedName name="ev.gpc.ru2.check" localSheetId="1">#REF!</definedName>
    <definedName name="ev.gpc.ru2.check">#REF!</definedName>
    <definedName name="ev.gpc.ru3.check" localSheetId="1">#REF!</definedName>
    <definedName name="ev.gpc.ru3.check">#REF!</definedName>
    <definedName name="ev.gpc.x.lcy" localSheetId="1">#REF!</definedName>
    <definedName name="ev.gpc.x.lcy">#REF!</definedName>
    <definedName name="ev.gpc.x.lfy" localSheetId="1">#REF!</definedName>
    <definedName name="ev.gpc.x.lfy">#REF!</definedName>
    <definedName name="ev.gpc.x.ncy" localSheetId="1">#REF!</definedName>
    <definedName name="ev.gpc.x.ncy">#REF!</definedName>
    <definedName name="ev.gpc.x.nfy" localSheetId="1">#REF!</definedName>
    <definedName name="ev.gpc.x.nfy">#REF!</definedName>
    <definedName name="ev.gpc.x.ttm" localSheetId="1">#REF!</definedName>
    <definedName name="ev.gpc.x.ttm">#REF!</definedName>
    <definedName name="ev.gpc.x1.ru1.select" localSheetId="1">#REF!</definedName>
    <definedName name="ev.gpc.x1.ru1.select">#REF!</definedName>
    <definedName name="ev.gpc.x1.ru2.select" localSheetId="1">#REF!</definedName>
    <definedName name="ev.gpc.x1.ru2.select">#REF!</definedName>
    <definedName name="ev.gpc.x1.ru3.select" localSheetId="1">#REF!</definedName>
    <definedName name="ev.gpc.x1.ru3.select">#REF!</definedName>
    <definedName name="ev.gpc.x1.year.ru1.select" localSheetId="1">#REF!</definedName>
    <definedName name="ev.gpc.x1.year.ru1.select">#REF!</definedName>
    <definedName name="ev.gpc.x1.year.ru2.select" localSheetId="1">#REF!</definedName>
    <definedName name="ev.gpc.x1.year.ru2.select">#REF!</definedName>
    <definedName name="ev.gpc.x1.year.ru3.select" localSheetId="1">#REF!</definedName>
    <definedName name="ev.gpc.x1.year.ru3.select">#REF!</definedName>
    <definedName name="ev.gpc.x2.ru1.select" localSheetId="1">#REF!</definedName>
    <definedName name="ev.gpc.x2.ru1.select">#REF!</definedName>
    <definedName name="ev.gpc.x2.ru2.select" localSheetId="1">#REF!</definedName>
    <definedName name="ev.gpc.x2.ru2.select">#REF!</definedName>
    <definedName name="ev.gpc.x2.ru3.select" localSheetId="1">#REF!</definedName>
    <definedName name="ev.gpc.x2.ru3.select">#REF!</definedName>
    <definedName name="ev.gpc.x2.year.ru2.select" localSheetId="1">#REF!</definedName>
    <definedName name="ev.gpc.x2.year.ru2.select">#REF!</definedName>
    <definedName name="ev.gpc.x2.year.ru3.select" localSheetId="1">#REF!</definedName>
    <definedName name="ev.gpc.x2.year.ru3.select">#REF!</definedName>
    <definedName name="ev.gpc.xmetric.ru1.select" localSheetId="1">#REF!</definedName>
    <definedName name="ev.gpc.xmetric.ru1.select">#REF!</definedName>
    <definedName name="ev.gpc.xmetric.ru2.select" localSheetId="1">#REF!</definedName>
    <definedName name="ev.gpc.xmetric.ru2.select">#REF!</definedName>
    <definedName name="ev.gpc.xmetric.ru3.select" localSheetId="1">#REF!</definedName>
    <definedName name="ev.gpc.xmetric.ru3.select">#REF!</definedName>
    <definedName name="ev.gpc.year.current" localSheetId="1">#REF!</definedName>
    <definedName name="ev.gpc.year.current">#REF!</definedName>
    <definedName name="ev.gpc.year.next" localSheetId="1">#REF!</definedName>
    <definedName name="ev.gpc.year.next">#REF!</definedName>
    <definedName name="ev.Initialized" hidden="1">FALSE</definedName>
    <definedName name="ev.metric.bev" localSheetId="1">#REF!</definedName>
    <definedName name="ev.metric.bev">#REF!</definedName>
    <definedName name="ev.metric.select" localSheetId="1">#REF!</definedName>
    <definedName name="ev.metric.select">#REF!</definedName>
    <definedName name="ev.metric.tic" localSheetId="1">#REF!</definedName>
    <definedName name="ev.metric.tic">#REF!</definedName>
    <definedName name="ev.nci.ru1.check" localSheetId="1">#REF!</definedName>
    <definedName name="ev.nci.ru1.check">#REF!</definedName>
    <definedName name="ev.nci.ru2.check" localSheetId="1">#REF!</definedName>
    <definedName name="ev.nci.ru2.check">#REF!</definedName>
    <definedName name="ev.nci.ru3.check" localSheetId="1">#REF!</definedName>
    <definedName name="ev.nci.ru3.check">#REF!</definedName>
    <definedName name="EV__LASTREFTIME__" hidden="1">38686.6321875</definedName>
    <definedName name="ExbMult_Total" hidden="1">#REF!</definedName>
    <definedName name="exbnumlist" localSheetId="1" hidden="1">#REF!</definedName>
    <definedName name="exbnumlist" hidden="1">#REF!</definedName>
    <definedName name="Excess_Concentration_Measure" localSheetId="1">#REF!</definedName>
    <definedName name="Excess_Concentration_Measure">#REF!</definedName>
    <definedName name="Expired" hidden="1">FALSE</definedName>
    <definedName name="EXPMO" localSheetId="1">#REF!</definedName>
    <definedName name="EXPMO">#REF!</definedName>
    <definedName name="EXPMOEXT" localSheetId="1">#REF!</definedName>
    <definedName name="EXPMOEXT">#REF!</definedName>
    <definedName name="fdgadfgavrag" localSheetId="1" hidden="1">#REF!</definedName>
    <definedName name="fdgadfgavrag" hidden="1">#REF!</definedName>
    <definedName name="fdsfs" hidden="1">#REF!</definedName>
    <definedName name="ff" hidden="1">#REF!</definedName>
    <definedName name="fff" localSheetId="3" hidden="1">{"e_Target Assumptions",#N/A,FALSE,"Financials";"f_Target Income Statement",#N/A,FALSE,"Financials";"g_Target Balance Sheet",#N/A,FALSE,"Financials";"h_Target Cashflow Statement",#N/A,FALSE,"Financials"}</definedName>
    <definedName name="fff" localSheetId="1" hidden="1">{"e_Target Assumptions",#N/A,FALSE,"Financials";"f_Target Income Statement",#N/A,FALSE,"Financials";"g_Target Balance Sheet",#N/A,FALSE,"Financials";"h_Target Cashflow Statement",#N/A,FALSE,"Financials"}</definedName>
    <definedName name="fff" hidden="1">{"e_Target Assumptions",#N/A,FALSE,"Financials";"f_Target Income Statement",#N/A,FALSE,"Financials";"g_Target Balance Sheet",#N/A,FALSE,"Financials";"h_Target Cashflow Statement",#N/A,FALSE,"Financials"}</definedName>
    <definedName name="fffffffffffffffffffff" hidden="1">#REF!</definedName>
    <definedName name="fg" localSheetId="3" hidden="1">{#N/A,#N/A,FALSE,"Balance Sheet";#N/A,#N/A,FALSE,"Income Statement";#N/A,#N/A,FALSE,"Partners Capital";#N/A,#N/A,FALSE,"Cash Flows";#N/A,#N/A,FALSE,"Support"}</definedName>
    <definedName name="fg" localSheetId="1" hidden="1">{#N/A,#N/A,FALSE,"Balance Sheet";#N/A,#N/A,FALSE,"Income Statement";#N/A,#N/A,FALSE,"Partners Capital";#N/A,#N/A,FALSE,"Cash Flows";#N/A,#N/A,FALSE,"Support"}</definedName>
    <definedName name="fg" hidden="1">{#N/A,#N/A,FALSE,"Balance Sheet";#N/A,#N/A,FALSE,"Income Statement";#N/A,#N/A,FALSE,"Partners Capital";#N/A,#N/A,FALSE,"Cash Flows";#N/A,#N/A,FALSE,"Support"}</definedName>
    <definedName name="fghgf" hidden="1">#REF!</definedName>
    <definedName name="FinalClientValue" localSheetId="1">#REF!</definedName>
    <definedName name="FinalClientValue">#REF!</definedName>
    <definedName name="financing_label" localSheetId="1">#REF!</definedName>
    <definedName name="financing_label">#REF!</definedName>
    <definedName name="financing_toggle" localSheetId="1">#REF!</definedName>
    <definedName name="financing_toggle">#REF!</definedName>
    <definedName name="finres" hidden="1">#REF!</definedName>
    <definedName name="Fitch_BE" localSheetId="1">#REF!</definedName>
    <definedName name="Fitch_BE">#REF!</definedName>
    <definedName name="Fitch_Matrix_TranchetoRun" localSheetId="1">#REF!</definedName>
    <definedName name="Fitch_Matrix_TranchetoRun">#REF!</definedName>
    <definedName name="Fitch_tranche" localSheetId="1">#REF!</definedName>
    <definedName name="Fitch_tranche">#REF!</definedName>
    <definedName name="Fitch_Tranche_Rating" localSheetId="1">#REF!</definedName>
    <definedName name="Fitch_Tranche_Rating">#REF!</definedName>
    <definedName name="Fix_Floating_Indicator" localSheetId="1">#REF!</definedName>
    <definedName name="Fix_Floating_Indicator">#REF!</definedName>
    <definedName name="FixedBucketPercent" localSheetId="1">#REF!</definedName>
    <definedName name="FixedBucketPercent">#REF!</definedName>
    <definedName name="ForecastPeriod" localSheetId="1" hidden="1">#REF!</definedName>
    <definedName name="ForecastPeriod" hidden="1">#REF!</definedName>
    <definedName name="Frequency" localSheetId="1">#REF!</definedName>
    <definedName name="Frequency">#REF!</definedName>
    <definedName name="FullyFunded" localSheetId="1">#REF!</definedName>
    <definedName name="FullyFunded">#REF!</definedName>
    <definedName name="g" hidden="1">#REF!</definedName>
    <definedName name="gdsgfg" hidden="1">#REF!</definedName>
    <definedName name="general.bs.length" localSheetId="1">#REF!</definedName>
    <definedName name="general.bs.length">#REF!</definedName>
    <definedName name="general.country.ru1" localSheetId="1">#REF!</definedName>
    <definedName name="general.country.ru1">#REF!</definedName>
    <definedName name="general.country.ru2" localSheetId="1">#REF!</definedName>
    <definedName name="general.country.ru2">#REF!</definedName>
    <definedName name="general.country.ru3" localSheetId="1">#REF!</definedName>
    <definedName name="general.country.ru3">#REF!</definedName>
    <definedName name="general.currency.select" localSheetId="1">#REF!</definedName>
    <definedName name="general.currency.select">#REF!</definedName>
    <definedName name="general.date.fye" localSheetId="1">#REF!</definedName>
    <definedName name="general.date.fye">#REF!</definedName>
    <definedName name="general.date.valuation" localSheetId="1">#REF!</definedName>
    <definedName name="general.date.valuation">#REF!</definedName>
    <definedName name="general.decimal.select" localSheetId="1">#REF!</definedName>
    <definedName name="general.decimal.select">#REF!</definedName>
    <definedName name="general.excess.ru1.select" localSheetId="1">#REF!</definedName>
    <definedName name="general.excess.ru1.select">#REF!</definedName>
    <definedName name="general.excess.ru2.select" localSheetId="1">#REF!</definedName>
    <definedName name="general.excess.ru2.select">#REF!</definedName>
    <definedName name="general.excess.ru3.select" localSheetId="1">#REF!</definedName>
    <definedName name="general.excess.ru3.select">#REF!</definedName>
    <definedName name="general.excess.yes" localSheetId="1">#REF!</definedName>
    <definedName name="general.excess.yes">#REF!</definedName>
    <definedName name="general.gpc.ru1.select" localSheetId="1">#REF!</definedName>
    <definedName name="general.gpc.ru1.select">#REF!</definedName>
    <definedName name="general.gpc.ru2.select" localSheetId="1">#REF!</definedName>
    <definedName name="general.gpc.ru2.select">#REF!</definedName>
    <definedName name="general.gpc.ru3.select" localSheetId="1">#REF!</definedName>
    <definedName name="general.gpc.ru3.select">#REF!</definedName>
    <definedName name="general.header.asof" localSheetId="1">#REF!</definedName>
    <definedName name="general.header.asof">#REF!</definedName>
    <definedName name="general.header.currency.unit" localSheetId="1">#REF!</definedName>
    <definedName name="general.header.currency.unit">#REF!</definedName>
    <definedName name="general.header.draft" localSheetId="1">#REF!</definedName>
    <definedName name="general.header.draft">#REF!</definedName>
    <definedName name="general.header.title" localSheetId="1">#REF!</definedName>
    <definedName name="general.header.title">#REF!</definedName>
    <definedName name="general.header.workpaper" localSheetId="1">#REF!</definedName>
    <definedName name="general.header.workpaper">#REF!</definedName>
    <definedName name="general.mc.select" localSheetId="1">#REF!</definedName>
    <definedName name="general.mc.select">#REF!</definedName>
    <definedName name="general.mc.undiluted" localSheetId="1">#REF!</definedName>
    <definedName name="general.mc.undiluted">#REF!</definedName>
    <definedName name="general.name.client" localSheetId="1">#REF!</definedName>
    <definedName name="general.name.client">#REF!</definedName>
    <definedName name="general.name.ru1" localSheetId="1">#REF!</definedName>
    <definedName name="general.name.ru1">#REF!</definedName>
    <definedName name="general.name.ru2" localSheetId="1">#REF!</definedName>
    <definedName name="general.name.ru2">#REF!</definedName>
    <definedName name="general.name.ru3" localSheetId="1">#REF!</definedName>
    <definedName name="general.name.ru3">#REF!</definedName>
    <definedName name="general.name.target" localSheetId="1">#REF!</definedName>
    <definedName name="general.name.target">#REF!</definedName>
    <definedName name="general.purpose.bcv" localSheetId="1">#REF!</definedName>
    <definedName name="general.purpose.bcv">#REF!</definedName>
    <definedName name="general.purpose.ev" localSheetId="1">#REF!</definedName>
    <definedName name="general.purpose.ev">#REF!</definedName>
    <definedName name="general.purpose.select" localSheetId="1">#REF!</definedName>
    <definedName name="general.purpose.select">#REF!</definedName>
    <definedName name="general.round.conclusion.100k" localSheetId="1">#REF!</definedName>
    <definedName name="general.round.conclusion.100k">#REF!</definedName>
    <definedName name="general.round.conclusion.10k" localSheetId="1">#REF!</definedName>
    <definedName name="general.round.conclusion.10k">#REF!</definedName>
    <definedName name="general.round.conclusion.h" localSheetId="1">#REF!</definedName>
    <definedName name="general.round.conclusion.h">#REF!</definedName>
    <definedName name="general.round.conclusion.k" localSheetId="1">#REF!</definedName>
    <definedName name="general.round.conclusion.k">#REF!</definedName>
    <definedName name="general.round.conclusion.none" localSheetId="1">#REF!</definedName>
    <definedName name="general.round.conclusion.none">#REF!</definedName>
    <definedName name="general.round.conclusion.select" localSheetId="1">#REF!</definedName>
    <definedName name="general.round.conclusion.select">#REF!</definedName>
    <definedName name="general.round.multiple.none" localSheetId="1">#REF!</definedName>
    <definedName name="general.round.multiple.none">#REF!</definedName>
    <definedName name="general.round.multiple.select" localSheetId="1">#REF!</definedName>
    <definedName name="general.round.multiple.select">#REF!</definedName>
    <definedName name="general.standard.fv" localSheetId="1">#REF!</definedName>
    <definedName name="general.standard.fv">#REF!</definedName>
    <definedName name="general.standard.select" localSheetId="1">#REF!</definedName>
    <definedName name="general.standard.select">#REF!</definedName>
    <definedName name="general.status.draft" localSheetId="1">#REF!</definedName>
    <definedName name="general.status.draft">#REF!</definedName>
    <definedName name="general.status.final" localSheetId="1">#REF!</definedName>
    <definedName name="general.status.final">#REF!</definedName>
    <definedName name="general.tab.cec" localSheetId="1">#REF!</definedName>
    <definedName name="general.tab.cec">#REF!</definedName>
    <definedName name="general.tab.formula" localSheetId="1">#REF!</definedName>
    <definedName name="general.tab.formula">#REF!</definedName>
    <definedName name="general.tab.ru1.select" localSheetId="1">#REF!</definedName>
    <definedName name="general.tab.ru1.select">#REF!</definedName>
    <definedName name="general.tab.ru2.select" localSheetId="1">#REF!</definedName>
    <definedName name="general.tab.ru2.select">#REF!</definedName>
    <definedName name="general.tab.ru3.select" localSheetId="1">#REF!</definedName>
    <definedName name="general.tab.ru3.select">#REF!</definedName>
    <definedName name="general.tab.schedule" localSheetId="1">#REF!</definedName>
    <definedName name="general.tab.schedule">#REF!</definedName>
    <definedName name="general.tab.ucc" localSheetId="1">#REF!</definedName>
    <definedName name="general.tab.ucc">#REF!</definedName>
    <definedName name="general.ticker.client" localSheetId="1">#REF!</definedName>
    <definedName name="general.ticker.client">#REF!</definedName>
    <definedName name="general.ticker.target" localSheetId="1">#REF!</definedName>
    <definedName name="general.ticker.target">#REF!</definedName>
    <definedName name="general.transaction.ru1.select" localSheetId="1">#REF!</definedName>
    <definedName name="general.transaction.ru1.select">#REF!</definedName>
    <definedName name="general.transaction.ru2.select" localSheetId="1">#REF!</definedName>
    <definedName name="general.transaction.ru2.select">#REF!</definedName>
    <definedName name="general.transaction.ru3.select" localSheetId="1">#REF!</definedName>
    <definedName name="general.transaction.ru3.select">#REF!</definedName>
    <definedName name="general.transaction.taxable" localSheetId="1" hidden="1">#REF!</definedName>
    <definedName name="general.transaction.taxable" hidden="1">#REF!</definedName>
    <definedName name="general.transaction.taxable.asset" localSheetId="1">#REF!</definedName>
    <definedName name="general.transaction.taxable.asset">#REF!</definedName>
    <definedName name="general.transaction.taxable.stock" localSheetId="1">#REF!</definedName>
    <definedName name="general.transaction.taxable.stock">#REF!</definedName>
    <definedName name="general.unit.1k" localSheetId="1">#REF!</definedName>
    <definedName name="general.unit.1k">#REF!</definedName>
    <definedName name="general.unit.1m" localSheetId="1">#REF!</definedName>
    <definedName name="general.unit.1m">#REF!</definedName>
    <definedName name="general.unit.millions" localSheetId="1">#REF!</definedName>
    <definedName name="general.unit.millions">#REF!</definedName>
    <definedName name="general.unit.number" localSheetId="1">#REF!</definedName>
    <definedName name="general.unit.number">#REF!</definedName>
    <definedName name="general.unit.select" localSheetId="1">#REF!</definedName>
    <definedName name="general.unit.select">#REF!</definedName>
    <definedName name="general.unit.thousands" localSheetId="1">#REF!</definedName>
    <definedName name="general.unit.thousands">#REF!</definedName>
    <definedName name="ggg" hidden="1">#REF!</definedName>
    <definedName name="GIC_Spread" localSheetId="1">#REF!</definedName>
    <definedName name="GIC_Spread">#REF!</definedName>
    <definedName name="GL" hidden="1">#REF!</definedName>
    <definedName name="gmac.set1.ticker01" localSheetId="1">#REF!</definedName>
    <definedName name="gmac.set1.ticker01">#REF!</definedName>
    <definedName name="gmac.set1.ticker02" localSheetId="1">#REF!</definedName>
    <definedName name="gmac.set1.ticker02">#REF!</definedName>
    <definedName name="gmac.set1.ticker03" localSheetId="1">#REF!</definedName>
    <definedName name="gmac.set1.ticker03">#REF!</definedName>
    <definedName name="gmac.set1.ticker04" localSheetId="1">#REF!</definedName>
    <definedName name="gmac.set1.ticker04">#REF!</definedName>
    <definedName name="gmac.set1.ticker05" localSheetId="1">#REF!</definedName>
    <definedName name="gmac.set1.ticker05">#REF!</definedName>
    <definedName name="gmac.set1.ticker06" localSheetId="1">#REF!</definedName>
    <definedName name="gmac.set1.ticker06">#REF!</definedName>
    <definedName name="gmac.set1.ticker07" localSheetId="1">#REF!</definedName>
    <definedName name="gmac.set1.ticker07">#REF!</definedName>
    <definedName name="gmac.set1.ticker08" localSheetId="1">#REF!</definedName>
    <definedName name="gmac.set1.ticker08">#REF!</definedName>
    <definedName name="gmac.set1.ticker09" localSheetId="1">#REF!</definedName>
    <definedName name="gmac.set1.ticker09">#REF!</definedName>
    <definedName name="gmac.set1.ticker10" localSheetId="1">#REF!</definedName>
    <definedName name="gmac.set1.ticker10">#REF!</definedName>
    <definedName name="gmac.set1.ticker11" localSheetId="1">#REF!</definedName>
    <definedName name="gmac.set1.ticker11">#REF!</definedName>
    <definedName name="gmac.set1.ticker12" localSheetId="1">#REF!</definedName>
    <definedName name="gmac.set1.ticker12">#REF!</definedName>
    <definedName name="gmac.set1.ticker13" localSheetId="1">#REF!</definedName>
    <definedName name="gmac.set1.ticker13">#REF!</definedName>
    <definedName name="gmac.set1.ticker14" localSheetId="1">#REF!</definedName>
    <definedName name="gmac.set1.ticker14">#REF!</definedName>
    <definedName name="gmac.set1.ticker15" localSheetId="1">#REF!</definedName>
    <definedName name="gmac.set1.ticker15">#REF!</definedName>
    <definedName name="gmac.set1.ticker16" localSheetId="1">#REF!</definedName>
    <definedName name="gmac.set1.ticker16">#REF!</definedName>
    <definedName name="gmac.set1.ticker17" localSheetId="1">#REF!</definedName>
    <definedName name="gmac.set1.ticker17">#REF!</definedName>
    <definedName name="gmac.set1.ticker18" localSheetId="1">#REF!</definedName>
    <definedName name="gmac.set1.ticker18">#REF!</definedName>
    <definedName name="gmac.set1.ticker19" localSheetId="1">#REF!</definedName>
    <definedName name="gmac.set1.ticker19">#REF!</definedName>
    <definedName name="gmac.set1.ticker20" localSheetId="1">#REF!</definedName>
    <definedName name="gmac.set1.ticker20">#REF!</definedName>
    <definedName name="gmcol" hidden="1">#REF!</definedName>
    <definedName name="gpc.set1.name" localSheetId="1">#REF!</definedName>
    <definedName name="gpc.set1.name">#REF!</definedName>
    <definedName name="gpc.set1.ticker01" localSheetId="1">#REF!</definedName>
    <definedName name="gpc.set1.ticker01">#REF!</definedName>
    <definedName name="gpc.set1.ticker02" localSheetId="1">#REF!</definedName>
    <definedName name="gpc.set1.ticker02">#REF!</definedName>
    <definedName name="gpc.set1.ticker03" localSheetId="1">#REF!</definedName>
    <definedName name="gpc.set1.ticker03">#REF!</definedName>
    <definedName name="gpc.set1.ticker04" localSheetId="1">#REF!</definedName>
    <definedName name="gpc.set1.ticker04">#REF!</definedName>
    <definedName name="gpc.set1.ticker05" localSheetId="1">#REF!</definedName>
    <definedName name="gpc.set1.ticker05">#REF!</definedName>
    <definedName name="gpc.set1.ticker06" localSheetId="1">#REF!</definedName>
    <definedName name="gpc.set1.ticker06">#REF!</definedName>
    <definedName name="gpc.set1.ticker07" localSheetId="1">#REF!</definedName>
    <definedName name="gpc.set1.ticker07">#REF!</definedName>
    <definedName name="gpc.set1.ticker08" localSheetId="1">#REF!</definedName>
    <definedName name="gpc.set1.ticker08">#REF!</definedName>
    <definedName name="gpc.set1.ticker09" localSheetId="1">#REF!</definedName>
    <definedName name="gpc.set1.ticker09">#REF!</definedName>
    <definedName name="gpc.set1.ticker10" localSheetId="1">#REF!</definedName>
    <definedName name="gpc.set1.ticker10">#REF!</definedName>
    <definedName name="gpc.set1.ticker11" localSheetId="1">#REF!</definedName>
    <definedName name="gpc.set1.ticker11">#REF!</definedName>
    <definedName name="gpc.set1.ticker12" localSheetId="1">#REF!</definedName>
    <definedName name="gpc.set1.ticker12">#REF!</definedName>
    <definedName name="gpc.set1.ticker13" localSheetId="1">#REF!</definedName>
    <definedName name="gpc.set1.ticker13">#REF!</definedName>
    <definedName name="gpc.set1.ticker14" localSheetId="1">#REF!</definedName>
    <definedName name="gpc.set1.ticker14">#REF!</definedName>
    <definedName name="gpc.set1.ticker15" localSheetId="1">#REF!</definedName>
    <definedName name="gpc.set1.ticker15">#REF!</definedName>
    <definedName name="gpc.set1.ticker16" localSheetId="1">#REF!</definedName>
    <definedName name="gpc.set1.ticker16">#REF!</definedName>
    <definedName name="gpc.set1.ticker17" localSheetId="1">#REF!</definedName>
    <definedName name="gpc.set1.ticker17">#REF!</definedName>
    <definedName name="gpc.set1.ticker18" localSheetId="1">#REF!</definedName>
    <definedName name="gpc.set1.ticker18">#REF!</definedName>
    <definedName name="gpc.set1.ticker19" localSheetId="1">#REF!</definedName>
    <definedName name="gpc.set1.ticker19">#REF!</definedName>
    <definedName name="gpc.set1.ticker20" localSheetId="1">#REF!</definedName>
    <definedName name="gpc.set1.ticker20">#REF!</definedName>
    <definedName name="gpc.set2.name" localSheetId="1">#REF!</definedName>
    <definedName name="gpc.set2.name">#REF!</definedName>
    <definedName name="gpc.set2.ticker01" localSheetId="1">#REF!</definedName>
    <definedName name="gpc.set2.ticker01">#REF!</definedName>
    <definedName name="gpc.set2.ticker02" localSheetId="1">#REF!</definedName>
    <definedName name="gpc.set2.ticker02">#REF!</definedName>
    <definedName name="gpc.set2.ticker03" localSheetId="1">#REF!</definedName>
    <definedName name="gpc.set2.ticker03">#REF!</definedName>
    <definedName name="gpc.set2.ticker04" localSheetId="1">#REF!</definedName>
    <definedName name="gpc.set2.ticker04">#REF!</definedName>
    <definedName name="gpc.set2.ticker05" localSheetId="1">#REF!</definedName>
    <definedName name="gpc.set2.ticker05">#REF!</definedName>
    <definedName name="gpc.set2.ticker06" localSheetId="1">#REF!</definedName>
    <definedName name="gpc.set2.ticker06">#REF!</definedName>
    <definedName name="gpc.set2.ticker07" localSheetId="1">#REF!</definedName>
    <definedName name="gpc.set2.ticker07">#REF!</definedName>
    <definedName name="gpc.set2.ticker08" localSheetId="1">#REF!</definedName>
    <definedName name="gpc.set2.ticker08">#REF!</definedName>
    <definedName name="gpc.set2.ticker09" localSheetId="1">#REF!</definedName>
    <definedName name="gpc.set2.ticker09">#REF!</definedName>
    <definedName name="gpc.set2.ticker10" localSheetId="1">#REF!</definedName>
    <definedName name="gpc.set2.ticker10">#REF!</definedName>
    <definedName name="gpc.set2.ticker11" localSheetId="1">#REF!</definedName>
    <definedName name="gpc.set2.ticker11">#REF!</definedName>
    <definedName name="gpc.set2.ticker12" localSheetId="1">#REF!</definedName>
    <definedName name="gpc.set2.ticker12">#REF!</definedName>
    <definedName name="gpc.set2.ticker13" localSheetId="1">#REF!</definedName>
    <definedName name="gpc.set2.ticker13">#REF!</definedName>
    <definedName name="gpc.set2.ticker14" localSheetId="1">#REF!</definedName>
    <definedName name="gpc.set2.ticker14">#REF!</definedName>
    <definedName name="gpc.set2.ticker15" localSheetId="1">#REF!</definedName>
    <definedName name="gpc.set2.ticker15">#REF!</definedName>
    <definedName name="gpc.set2.ticker16" localSheetId="1">#REF!</definedName>
    <definedName name="gpc.set2.ticker16">#REF!</definedName>
    <definedName name="gpc.set2.ticker17" localSheetId="1">#REF!</definedName>
    <definedName name="gpc.set2.ticker17">#REF!</definedName>
    <definedName name="gpc.set2.ticker18" localSheetId="1">#REF!</definedName>
    <definedName name="gpc.set2.ticker18">#REF!</definedName>
    <definedName name="gpc.set2.ticker19" localSheetId="1">#REF!</definedName>
    <definedName name="gpc.set2.ticker19">#REF!</definedName>
    <definedName name="gpc.set2.ticker20" localSheetId="1">#REF!</definedName>
    <definedName name="gpc.set2.ticker20">#REF!</definedName>
    <definedName name="GreaterChina" localSheetId="1">#REF!</definedName>
    <definedName name="GreaterChina">#REF!</definedName>
    <definedName name="grossnetdebt" localSheetId="1" hidden="1">#REF!</definedName>
    <definedName name="grossnetdebt" hidden="1">#REF!</definedName>
    <definedName name="GrpAcct1" hidden="1">"Blank (325)"</definedName>
    <definedName name="GrpLevel" hidden="1">2</definedName>
    <definedName name="gui" localSheetId="3" hidden="1">{#N/A,#N/A,FALSE,"Personal y Lineas";#N/A,#N/A,FALSE,"Inmovilizado material";#N/A,#N/A,FALSE,"Inmovilizado inmaterial ";#N/A,#N/A,FALSE,"Instalaciones Telefónicas";#N/A,#N/A,FALSE,"Coeficientes amortización";#N/A,#N/A,FALSE,"Elementos amortizados";#N/A,#N/A,FALSE,"Cotizaciones";#N/A,#N/A,FALSE,"Participaciones";#N/A,#N/A,FALSE,"Venta Participaciones";#N/A,#N/A,FALSE,"Fondo Comercio";#N/A,#N/A,FALSE,"Gtos Distribuir";#N/A,#N/A,FALSE,"Dif. Cambio";#N/A,#N/A,FALSE,"Cilentes y deudores emp. grupo";#N/A,#N/A,FALSE,"Clientes";#N/A,#N/A,FALSE,"Fondos Própios";#N/A,#N/A,FALSE,"Movimiento Reservas";#N/A,#N/A,FALSE,"Socios Externos";#N/A,#N/A,FALSE,"Socios Externos Movimiento";#N/A,#N/A,FALSE,"Ingresos Distribuir Saldo";#N/A,#N/A,FALSE,"Prov. Riesgos y Gastos Movimien";#N/A,#N/A,FALSE,"Obligaciones Movimiento";#N/A,#N/A,FALSE,"Obligaciones Saldos";#N/A,#N/A,FALSE,"Coste Financiero";#N/A,#N/A,FALSE,"Préstamos Formato TESA";#N/A,#N/A,FALSE,"Prestamos Vencimientos";#N/A,#N/A,FALSE,"Admones. Pcas.";#N/A,#N/A,FALSE,"Ingresos y Gtos Extras";#N/A,#N/A,FALSE,"Gtos e Ingr empresas grupo";#N/A,#N/A,FALSE,"Acreedores diversos"}</definedName>
    <definedName name="gui" localSheetId="1" hidden="1">{#N/A,#N/A,FALSE,"Personal y Lineas";#N/A,#N/A,FALSE,"Inmovilizado material";#N/A,#N/A,FALSE,"Inmovilizado inmaterial ";#N/A,#N/A,FALSE,"Instalaciones Telefónicas";#N/A,#N/A,FALSE,"Coeficientes amortización";#N/A,#N/A,FALSE,"Elementos amortizados";#N/A,#N/A,FALSE,"Cotizaciones";#N/A,#N/A,FALSE,"Participaciones";#N/A,#N/A,FALSE,"Venta Participaciones";#N/A,#N/A,FALSE,"Fondo Comercio";#N/A,#N/A,FALSE,"Gtos Distribuir";#N/A,#N/A,FALSE,"Dif. Cambio";#N/A,#N/A,FALSE,"Cilentes y deudores emp. grupo";#N/A,#N/A,FALSE,"Clientes";#N/A,#N/A,FALSE,"Fondos Própios";#N/A,#N/A,FALSE,"Movimiento Reservas";#N/A,#N/A,FALSE,"Socios Externos";#N/A,#N/A,FALSE,"Socios Externos Movimiento";#N/A,#N/A,FALSE,"Ingresos Distribuir Saldo";#N/A,#N/A,FALSE,"Prov. Riesgos y Gastos Movimien";#N/A,#N/A,FALSE,"Obligaciones Movimiento";#N/A,#N/A,FALSE,"Obligaciones Saldos";#N/A,#N/A,FALSE,"Coste Financiero";#N/A,#N/A,FALSE,"Préstamos Formato TESA";#N/A,#N/A,FALSE,"Prestamos Vencimientos";#N/A,#N/A,FALSE,"Admones. Pcas.";#N/A,#N/A,FALSE,"Ingresos y Gtos Extras";#N/A,#N/A,FALSE,"Gtos e Ingr empresas grupo";#N/A,#N/A,FALSE,"Acreedores diversos"}</definedName>
    <definedName name="gui" hidden="1">{#N/A,#N/A,FALSE,"Personal y Lineas";#N/A,#N/A,FALSE,"Inmovilizado material";#N/A,#N/A,FALSE,"Inmovilizado inmaterial ";#N/A,#N/A,FALSE,"Instalaciones Telefónicas";#N/A,#N/A,FALSE,"Coeficientes amortización";#N/A,#N/A,FALSE,"Elementos amortizados";#N/A,#N/A,FALSE,"Cotizaciones";#N/A,#N/A,FALSE,"Participaciones";#N/A,#N/A,FALSE,"Venta Participaciones";#N/A,#N/A,FALSE,"Fondo Comercio";#N/A,#N/A,FALSE,"Gtos Distribuir";#N/A,#N/A,FALSE,"Dif. Cambio";#N/A,#N/A,FALSE,"Cilentes y deudores emp. grupo";#N/A,#N/A,FALSE,"Clientes";#N/A,#N/A,FALSE,"Fondos Própios";#N/A,#N/A,FALSE,"Movimiento Reservas";#N/A,#N/A,FALSE,"Socios Externos";#N/A,#N/A,FALSE,"Socios Externos Movimiento";#N/A,#N/A,FALSE,"Ingresos Distribuir Saldo";#N/A,#N/A,FALSE,"Prov. Riesgos y Gastos Movimien";#N/A,#N/A,FALSE,"Obligaciones Movimiento";#N/A,#N/A,FALSE,"Obligaciones Saldos";#N/A,#N/A,FALSE,"Coste Financiero";#N/A,#N/A,FALSE,"Préstamos Formato TESA";#N/A,#N/A,FALSE,"Prestamos Vencimientos";#N/A,#N/A,FALSE,"Admones. Pcas.";#N/A,#N/A,FALSE,"Ingresos y Gtos Extras";#N/A,#N/A,FALSE,"Gtos e Ingr empresas grupo";#N/A,#N/A,FALSE,"Acreedores diversos"}</definedName>
    <definedName name="Guideline" localSheetId="1" hidden="1">#REF!</definedName>
    <definedName name="Guideline" hidden="1">#REF!</definedName>
    <definedName name="Header1" hidden="1">IF(COUNTA(#REF!)=0,0,INDEX(#REF!,MATCH(ROW(#REF!),#REF!,TRUE)))+1</definedName>
    <definedName name="Header255" hidden="1">IF(COUNTA(#REF!)=0,0,INDEX(#REF!,MATCH(ROW(#REF!),#REF!,TRUE)))+1</definedName>
    <definedName name="hgfh" hidden="1">#REF!</definedName>
    <definedName name="hhh" hidden="1">#REF!</definedName>
    <definedName name="hmg" localSheetId="3" hidden="1">{#N/A,#N/A,FALSE,"PortfolioStats";#N/A,#N/A,FALSE,"Graphs";#N/A,#N/A,FALSE,"Binomial Expansion";#N/A,#N/A,FALSE,"SP Analysis"}</definedName>
    <definedName name="hmg" localSheetId="1" hidden="1">{#N/A,#N/A,FALSE,"PortfolioStats";#N/A,#N/A,FALSE,"Graphs";#N/A,#N/A,FALSE,"Binomial Expansion";#N/A,#N/A,FALSE,"SP Analysis"}</definedName>
    <definedName name="hmg" hidden="1">{#N/A,#N/A,FALSE,"PortfolioStats";#N/A,#N/A,FALSE,"Graphs";#N/A,#N/A,FALSE,"Binomial Expansion";#N/A,#N/A,FALSE,"SP Analysis"}</definedName>
    <definedName name="hmgg" localSheetId="3" hidden="1">{#N/A,#N/A,FALSE,"PortfolioStats";#N/A,#N/A,FALSE,"Graphs";#N/A,#N/A,FALSE,"Binomial Expansion";#N/A,#N/A,FALSE,"SP Analysis"}</definedName>
    <definedName name="hmgg" localSheetId="1" hidden="1">{#N/A,#N/A,FALSE,"PortfolioStats";#N/A,#N/A,FALSE,"Graphs";#N/A,#N/A,FALSE,"Binomial Expansion";#N/A,#N/A,FALSE,"SP Analysis"}</definedName>
    <definedName name="hmgg" hidden="1">{#N/A,#N/A,FALSE,"PortfolioStats";#N/A,#N/A,FALSE,"Graphs";#N/A,#N/A,FALSE,"Binomial Expansion";#N/A,#N/A,FALSE,"SP Analysis"}</definedName>
    <definedName name="hn._I006" hidden="1">#REF!</definedName>
    <definedName name="hn._I018" hidden="1">#REF!</definedName>
    <definedName name="hn._I024" hidden="1">#REF!</definedName>
    <definedName name="hn._I028" hidden="1">#REF!</definedName>
    <definedName name="hn._I029" hidden="1">#REF!</definedName>
    <definedName name="hn._I030" hidden="1">#REF!</definedName>
    <definedName name="hn._I031" hidden="1">#REF!</definedName>
    <definedName name="hn._I059" hidden="1">#REF!</definedName>
    <definedName name="hn._I071" hidden="1">#REF!</definedName>
    <definedName name="hn._I075" hidden="1">#REF!</definedName>
    <definedName name="hn._I083" hidden="1">#REF!</definedName>
    <definedName name="hn._I085" hidden="1">#REF!</definedName>
    <definedName name="hn._P001" hidden="1">#REF!</definedName>
    <definedName name="hn._P004" hidden="1">#REF!</definedName>
    <definedName name="hn._P014" hidden="1">#REF!</definedName>
    <definedName name="hn._P016" hidden="1">#REF!</definedName>
    <definedName name="hn._P021" hidden="1">#REF!</definedName>
    <definedName name="hn._P024" hidden="1">#REF!</definedName>
    <definedName name="hn.Add015" hidden="1">#REF!</definedName>
    <definedName name="hn.Delete015" hidden="1">#REF!,#REF!,#REF!,#REF!,#REF!</definedName>
    <definedName name="hn.ExtDb" hidden="1">FALSE</definedName>
    <definedName name="hn.ModelType" hidden="1">"DEAL"</definedName>
    <definedName name="hn.ModelVersion" hidden="1">1</definedName>
    <definedName name="hn.NoUpload" hidden="1">0</definedName>
    <definedName name="hn.PrivateLTMYear" hidden="1">#REF!</definedName>
    <definedName name="hola" hidden="1">#REF!</definedName>
    <definedName name="HoldingCompanies" localSheetId="1">#REF!</definedName>
    <definedName name="HoldingCompanies">#REF!</definedName>
    <definedName name="HTML" localSheetId="3" hidden="1">{"'PXR_6500'!$A$1:$I$124"}</definedName>
    <definedName name="HTML" localSheetId="1" hidden="1">{"'PXR_6500'!$A$1:$I$124"}</definedName>
    <definedName name="HTML" hidden="1">{"'PXR_6500'!$A$1:$I$124"}</definedName>
    <definedName name="HTML_CodePage" hidden="1">1252</definedName>
    <definedName name="HTML_Control" localSheetId="3" hidden="1">{"'FY98 BP2'!$A$1:$K$27","'FY98 BP2'!$A$3:$K$27"}</definedName>
    <definedName name="HTML_Control" localSheetId="1" hidden="1">{"'FY98 BP2'!$A$1:$K$27","'FY98 BP2'!$A$3:$K$27"}</definedName>
    <definedName name="HTML_Control" hidden="1">{"'FY98 BP2'!$A$1:$K$27","'FY98 BP2'!$A$3:$K$27"}</definedName>
    <definedName name="HTML_Control2" localSheetId="3" hidden="1">{"'Sheet8'!$B$1:$K$44","'Sheet8'!$B$50:$K$97"}</definedName>
    <definedName name="HTML_Control2" localSheetId="1" hidden="1">{"'Sheet8'!$B$1:$K$44","'Sheet8'!$B$50:$K$97"}</definedName>
    <definedName name="HTML_Control2" hidden="1">{"'Sheet8'!$B$1:$K$44","'Sheet8'!$B$50:$K$97"}</definedName>
    <definedName name="HTML_Description" hidden="1">""</definedName>
    <definedName name="HTML_Email" hidden="1">""</definedName>
    <definedName name="HTML_Header" hidden="1">"FY98 BP2"</definedName>
    <definedName name="HTML_LastUpdate" hidden="1">"10/2/98"</definedName>
    <definedName name="HTML_LineAfter" hidden="1">TRUE</definedName>
    <definedName name="HTML_LineBefore" hidden="1">TRUE</definedName>
    <definedName name="HTML_Name" hidden="1">"Matt Verhalen"</definedName>
    <definedName name="HTML_OBDlg2" hidden="1">TRUE</definedName>
    <definedName name="HTML_OBDlg4" hidden="1">TRUE</definedName>
    <definedName name="HTML_OS" hidden="1">0</definedName>
    <definedName name="HTML_PathFile" hidden="1">"K:\financial\Budget\summary.htm"</definedName>
    <definedName name="HTML_PathFileMac" hidden="1">"Macintosh HD:HomePageStuff:New_Home_Page:datafile:ctryprem.html"</definedName>
    <definedName name="HTML_Title" hidden="1">"summary 98bp2"</definedName>
    <definedName name="HTML1_1" hidden="1">"[FCFF3]Sheet1!$A$1:$L$34"</definedName>
    <definedName name="HTML1_10" hidden="1">""</definedName>
    <definedName name="HTML1_11" hidden="1">1</definedName>
    <definedName name="HTML1_12" hidden="1">"Aswath:Adobe SiteMill™ 1.0.2:MyHomePage:FCFF3.html"</definedName>
    <definedName name="HTML1_2" hidden="1">1</definedName>
    <definedName name="HTML1_3" hidden="1">"FCFF3"</definedName>
    <definedName name="HTML1_4" hidden="1">"Three-Stage FCFF Model"</definedName>
    <definedName name="HTML1_5" hidden="1">""</definedName>
    <definedName name="HTML1_6" hidden="1">-4146</definedName>
    <definedName name="HTML1_7" hidden="1">-4146</definedName>
    <definedName name="HTML1_8" hidden="1">"10/22/96"</definedName>
    <definedName name="HTML1_9" hidden="1">"Aswath Damodaran"</definedName>
    <definedName name="HTML10_1" hidden="1">"[intrweek.xls]AllergyVolume!$A$1:$I$58"</definedName>
    <definedName name="HTML10_10" hidden="1">""</definedName>
    <definedName name="HTML10_11" hidden="1">1</definedName>
    <definedName name="HTML10_12" hidden="1">"S:\MKTRESCH\SCHERING\INTRANET\mktresch\weekmkts\wkvolume.htm"</definedName>
    <definedName name="HTML10_2" hidden="1">1</definedName>
    <definedName name="HTML10_3" hidden="1">"Weekly Antihistamine Volume Report"</definedName>
    <definedName name="HTML10_4" hidden="1">""</definedName>
    <definedName name="HTML10_5" hidden="1">""</definedName>
    <definedName name="HTML10_6" hidden="1">-4146</definedName>
    <definedName name="HTML10_7" hidden="1">-4146</definedName>
    <definedName name="HTML10_8" hidden="1">"7/13/98"</definedName>
    <definedName name="HTML10_9" hidden="1">"James Grote"</definedName>
    <definedName name="HTML11_1" hidden="1">"'[intrweek.xls]NRx Page'!$A$1:$H$225"</definedName>
    <definedName name="HTML11_10" hidden="1">""</definedName>
    <definedName name="HTML11_11" hidden="1">1</definedName>
    <definedName name="HTML11_12" hidden="1">"S:\MKTRESCH\SCHERING\INTRANET\mktresch\weekmkts\weeknrxs.htm"</definedName>
    <definedName name="HTML11_2" hidden="1">1</definedName>
    <definedName name="HTML11_3" hidden="1">"Weekly New Prescription Report"</definedName>
    <definedName name="HTML11_4" hidden="1">""</definedName>
    <definedName name="HTML11_5" hidden="1">""</definedName>
    <definedName name="HTML11_6" hidden="1">-4146</definedName>
    <definedName name="HTML11_7" hidden="1">-4146</definedName>
    <definedName name="HTML11_8" hidden="1">"6/5/98"</definedName>
    <definedName name="HTML11_9" hidden="1">"James Grote"</definedName>
    <definedName name="HTML12_1" hidden="1">"'[intrweek.xls]TRx Page'!$A$1:$H$240"</definedName>
    <definedName name="HTML12_10" hidden="1">""</definedName>
    <definedName name="HTML12_11" hidden="1">1</definedName>
    <definedName name="HTML12_12" hidden="1">"S:\MKTRESCH\SCHERING\INTRANET\mktresch\weekmkts\weektrxs.htm"</definedName>
    <definedName name="HTML12_2" hidden="1">1</definedName>
    <definedName name="HTML12_3" hidden="1">"Weekly Total Prescription Report"</definedName>
    <definedName name="HTML12_4" hidden="1">" "</definedName>
    <definedName name="HTML12_5" hidden="1">""</definedName>
    <definedName name="HTML12_6" hidden="1">-4146</definedName>
    <definedName name="HTML12_7" hidden="1">-4146</definedName>
    <definedName name="HTML12_8" hidden="1">"7/6/98"</definedName>
    <definedName name="HTML12_9" hidden="1">"James Grote"</definedName>
    <definedName name="HTML13_1" hidden="1">"'[intrweek.xls]NRx Page'!$A$1:$H$239"</definedName>
    <definedName name="HTML13_10" hidden="1">""</definedName>
    <definedName name="HTML13_11" hidden="1">1</definedName>
    <definedName name="HTML13_12" hidden="1">"S:\MKTRESCH\SCHERING\INTRANET\mktresch\weekmkts\weeknrxs.htm"</definedName>
    <definedName name="HTML13_2" hidden="1">1</definedName>
    <definedName name="HTML13_3" hidden="1">"Weekly New Prescription Report"</definedName>
    <definedName name="HTML13_4" hidden="1">""</definedName>
    <definedName name="HTML13_5" hidden="1">""</definedName>
    <definedName name="HTML13_6" hidden="1">-4146</definedName>
    <definedName name="HTML13_7" hidden="1">-4146</definedName>
    <definedName name="HTML13_8" hidden="1">"7/6/98"</definedName>
    <definedName name="HTML13_9" hidden="1">"James Grote"</definedName>
    <definedName name="HTML14_1" hidden="1">"'[intrweek.xls]AllergyVolume (TRx)'!$A$1:$I$58"</definedName>
    <definedName name="HTML14_10" hidden="1">""</definedName>
    <definedName name="HTML14_11" hidden="1">1</definedName>
    <definedName name="HTML14_12" hidden="1">"S:\MKTRESCH\SCHERING\INTRANET\mktresch\weekmkts\wkvolum2.htm"</definedName>
    <definedName name="HTML14_2" hidden="1">1</definedName>
    <definedName name="HTML14_3" hidden="1">"Weekly TRx Volume"</definedName>
    <definedName name="HTML14_4" hidden="1">""</definedName>
    <definedName name="HTML14_5" hidden="1">""</definedName>
    <definedName name="HTML14_6" hidden="1">-4146</definedName>
    <definedName name="HTML14_7" hidden="1">-4146</definedName>
    <definedName name="HTML14_8" hidden="1">"6/19/98"</definedName>
    <definedName name="HTML14_9" hidden="1">"James Grote"</definedName>
    <definedName name="HTML15_1" hidden="1">"'[intrweek.xls]AllergyVolume (TRx)'!$A$1:$I$57"</definedName>
    <definedName name="HTML15_10" hidden="1">""</definedName>
    <definedName name="HTML15_11" hidden="1">1</definedName>
    <definedName name="HTML15_12" hidden="1">"S:\MKTRESCH\SCHERING\INTRANET\mktresch\weekmkts\wkvolum2.htm"</definedName>
    <definedName name="HTML15_2" hidden="1">1</definedName>
    <definedName name="HTML15_3" hidden="1">"Weekly TRx Volume"</definedName>
    <definedName name="HTML15_4" hidden="1">""</definedName>
    <definedName name="HTML15_5" hidden="1">""</definedName>
    <definedName name="HTML15_6" hidden="1">-4146</definedName>
    <definedName name="HTML15_7" hidden="1">-4146</definedName>
    <definedName name="HTML15_8" hidden="1">"7/13/98"</definedName>
    <definedName name="HTML15_9" hidden="1">"James Grote"</definedName>
    <definedName name="HTML16_1" hidden="1">"[intrweek.xls]AllergyVolume!$A$1:$I$54"</definedName>
    <definedName name="HTML16_10" hidden="1">""</definedName>
    <definedName name="HTML16_11" hidden="1">1</definedName>
    <definedName name="HTML16_12" hidden="1">"S:\MKTRESCH\SCHERING\INTRANET\mktresch\weekmkts\wkvolume.htm"</definedName>
    <definedName name="HTML16_2" hidden="1">1</definedName>
    <definedName name="HTML16_3" hidden="1">"Weekly Antihistamine NRx Volume"</definedName>
    <definedName name="HTML16_4" hidden="1">""</definedName>
    <definedName name="HTML16_5" hidden="1">""</definedName>
    <definedName name="HTML16_6" hidden="1">-4146</definedName>
    <definedName name="HTML16_7" hidden="1">-4146</definedName>
    <definedName name="HTML16_8" hidden="1">"7/6/98"</definedName>
    <definedName name="HTML16_9" hidden="1">"James Grote"</definedName>
    <definedName name="HTML17_1" hidden="1">"'[intrweek.xls]NRx Page'!$A$1:$H$240"</definedName>
    <definedName name="HTML17_10" hidden="1">""</definedName>
    <definedName name="HTML17_11" hidden="1">1</definedName>
    <definedName name="HTML17_12" hidden="1">"S:\MKTRESCH\SCHERING\INTRANET\mktresch\weekmkts\weeknrxs.htm"</definedName>
    <definedName name="HTML17_2" hidden="1">1</definedName>
    <definedName name="HTML17_3" hidden="1">"Weekly NRx Page"</definedName>
    <definedName name="HTML17_4" hidden="1">""</definedName>
    <definedName name="HTML17_5" hidden="1">""</definedName>
    <definedName name="HTML17_6" hidden="1">-4146</definedName>
    <definedName name="HTML17_7" hidden="1">-4146</definedName>
    <definedName name="HTML17_8" hidden="1">"7/13/98"</definedName>
    <definedName name="HTML17_9" hidden="1">"James Grote"</definedName>
    <definedName name="HTML18_1" hidden="1">"'[intrweek.xls]TRx Page'!$A$1:$H$241"</definedName>
    <definedName name="HTML18_10" hidden="1">""</definedName>
    <definedName name="HTML18_11" hidden="1">1</definedName>
    <definedName name="HTML18_12" hidden="1">"S:\MKTRESCH\SCHERING\INTRANET\mktresch\weekmkts\weektrxs.htm"</definedName>
    <definedName name="HTML18_2" hidden="1">1</definedName>
    <definedName name="HTML18_3" hidden="1">"Weekly TRx Page"</definedName>
    <definedName name="HTML18_4" hidden="1">""</definedName>
    <definedName name="HTML18_5" hidden="1">""</definedName>
    <definedName name="HTML18_6" hidden="1">-4146</definedName>
    <definedName name="HTML18_7" hidden="1">-4146</definedName>
    <definedName name="HTML18_8" hidden="1">"7/13/98"</definedName>
    <definedName name="HTML18_9" hidden="1">"James Grote"</definedName>
    <definedName name="HTML19_1" hidden="1">"'[weekintr.xls]TRx Page'!$A$1:$I$243"</definedName>
    <definedName name="HTML19_10" hidden="1">""</definedName>
    <definedName name="HTML19_11" hidden="1">1</definedName>
    <definedName name="HTML19_12" hidden="1">"S:\MKTRESCH\SCHERING\INTRANET\mktresch\weekmkts\weektrxs.htm"</definedName>
    <definedName name="HTML19_2" hidden="1">1</definedName>
    <definedName name="HTML19_3" hidden="1">"Weekly Total Prescription Summary"</definedName>
    <definedName name="HTML19_4" hidden="1">""</definedName>
    <definedName name="HTML19_5" hidden="1">""</definedName>
    <definedName name="HTML19_6" hidden="1">-4146</definedName>
    <definedName name="HTML19_7" hidden="1">-4146</definedName>
    <definedName name="HTML19_8" hidden="1">"7/17/98"</definedName>
    <definedName name="HTML19_9" hidden="1">"James Grote"</definedName>
    <definedName name="HTML2_1" hidden="1">"'[WEEKSUMZ.xls]Claritin NRX  (2)'!$A$1:$H$244"</definedName>
    <definedName name="HTML2_10" hidden="1">""</definedName>
    <definedName name="HTML2_11" hidden="1">1</definedName>
    <definedName name="HTML2_12" hidden="1">"S:\MKTRESCH\SCHERING\INTRANET\mktresch\weekmkts\weeknrxs.htm"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-4146</definedName>
    <definedName name="HTML2_7" hidden="1">-4146</definedName>
    <definedName name="HTML2_8" hidden="1">"6/3/98"</definedName>
    <definedName name="HTML2_9" hidden="1">"James Grote"</definedName>
    <definedName name="HTML20_1" hidden="1">"'[intrweek.xls]NRx Page'!$A$1:$H$257"</definedName>
    <definedName name="HTML20_10" hidden="1">""</definedName>
    <definedName name="HTML20_11" hidden="1">1</definedName>
    <definedName name="HTML20_12" hidden="1">"S:\MKTRESCH\INTRANET\weekrx\weeknrxs.htm"</definedName>
    <definedName name="HTML20_2" hidden="1">1</definedName>
    <definedName name="HTML20_3" hidden="1">"Weekly New Prescription Page"</definedName>
    <definedName name="HTML20_4" hidden="1">""</definedName>
    <definedName name="HTML20_5" hidden="1">""</definedName>
    <definedName name="HTML20_6" hidden="1">-4146</definedName>
    <definedName name="HTML20_7" hidden="1">-4146</definedName>
    <definedName name="HTML20_8" hidden="1">"8/3/98"</definedName>
    <definedName name="HTML20_9" hidden="1">"James Grote"</definedName>
    <definedName name="HTML21_1" hidden="1">"'[intrweek.xls]TRx Page'!$A$1:$H$257"</definedName>
    <definedName name="HTML21_10" hidden="1">""</definedName>
    <definedName name="HTML21_11" hidden="1">1</definedName>
    <definedName name="HTML21_12" hidden="1">"S:\MKTRESCH\INTRANET\weekrx\weektrxs.htm"</definedName>
    <definedName name="HTML21_2" hidden="1">1</definedName>
    <definedName name="HTML21_3" hidden="1">"Weekly Total Prescription Page"</definedName>
    <definedName name="HTML21_4" hidden="1">""</definedName>
    <definedName name="HTML21_5" hidden="1">""</definedName>
    <definedName name="HTML21_6" hidden="1">-4146</definedName>
    <definedName name="HTML21_7" hidden="1">-4146</definedName>
    <definedName name="HTML21_8" hidden="1">"8/3/98"</definedName>
    <definedName name="HTML21_9" hidden="1">"James Grote"</definedName>
    <definedName name="HTML22_1" hidden="1">"[intrweek.xls]NRXAllergyVolume!$A$1:$I$54"</definedName>
    <definedName name="HTML22_10" hidden="1">""</definedName>
    <definedName name="HTML22_11" hidden="1">1</definedName>
    <definedName name="HTML22_12" hidden="1">"S:\MKTRESCH\INTRANET\weekrx\wkvolume.htm"</definedName>
    <definedName name="HTML22_2" hidden="1">1</definedName>
    <definedName name="HTML22_3" hidden="1">"Weekly Antihistamine NRx Volume"</definedName>
    <definedName name="HTML22_4" hidden="1">""</definedName>
    <definedName name="HTML22_5" hidden="1">""</definedName>
    <definedName name="HTML22_6" hidden="1">-4146</definedName>
    <definedName name="HTML22_7" hidden="1">-4146</definedName>
    <definedName name="HTML22_8" hidden="1">"8/3/98"</definedName>
    <definedName name="HTML22_9" hidden="1">"James Grote"</definedName>
    <definedName name="HTML23_1" hidden="1">"'[intrweek.xls]TRXAllergyVolume (2)'!$A$1:$I$54"</definedName>
    <definedName name="HTML23_10" hidden="1">""</definedName>
    <definedName name="HTML23_11" hidden="1">1</definedName>
    <definedName name="HTML23_12" hidden="1">"S:\MKTRESCH\INTRANET\weekrx\wkvolum2.htm"</definedName>
    <definedName name="HTML23_2" hidden="1">1</definedName>
    <definedName name="HTML23_3" hidden="1">"Weekly Antihistamine TRx Volume"</definedName>
    <definedName name="HTML23_4" hidden="1">""</definedName>
    <definedName name="HTML23_5" hidden="1">""</definedName>
    <definedName name="HTML23_6" hidden="1">-4146</definedName>
    <definedName name="HTML23_7" hidden="1">-4146</definedName>
    <definedName name="HTML23_8" hidden="1">"8/3/98"</definedName>
    <definedName name="HTML23_9" hidden="1">"James Grote"</definedName>
    <definedName name="HTML24_1" hidden="1">"'[intrweek.xls]NRx Page'!$A$1:$H$222"</definedName>
    <definedName name="HTML24_10" hidden="1">""</definedName>
    <definedName name="HTML24_11" hidden="1">1</definedName>
    <definedName name="HTML24_12" hidden="1">"S:\MKTRESCH\INTRANET\htmsum\weeknrxs.htm"</definedName>
    <definedName name="HTML24_2" hidden="1">1</definedName>
    <definedName name="HTML24_3" hidden="1">"Weekly NRx Report"</definedName>
    <definedName name="HTML24_4" hidden="1">""</definedName>
    <definedName name="HTML24_5" hidden="1">""</definedName>
    <definedName name="HTML24_6" hidden="1">-4146</definedName>
    <definedName name="HTML24_7" hidden="1">-4146</definedName>
    <definedName name="HTML24_8" hidden="1">"8/10/98"</definedName>
    <definedName name="HTML24_9" hidden="1">"James Grote"</definedName>
    <definedName name="HTML25_1" hidden="1">"'[intrweek.xls]TRx Page'!$A$1:$H$222"</definedName>
    <definedName name="HTML25_10" hidden="1">""</definedName>
    <definedName name="HTML25_11" hidden="1">1</definedName>
    <definedName name="HTML25_12" hidden="1">"S:\MKTRESCH\INTRANET\htmsum\weektrxs.htm"</definedName>
    <definedName name="HTML25_2" hidden="1">1</definedName>
    <definedName name="HTML25_3" hidden="1">"Weekly TRx Report"</definedName>
    <definedName name="HTML25_4" hidden="1">""</definedName>
    <definedName name="HTML25_5" hidden="1">""</definedName>
    <definedName name="HTML25_6" hidden="1">-4146</definedName>
    <definedName name="HTML25_7" hidden="1">-4146</definedName>
    <definedName name="HTML25_8" hidden="1">"8/10/98"</definedName>
    <definedName name="HTML25_9" hidden="1">"James Grote"</definedName>
    <definedName name="HTML26_1" hidden="1">"[intrweek.xls]NRXAllergyVolume!$A$1:$I$47"</definedName>
    <definedName name="HTML26_10" hidden="1">""</definedName>
    <definedName name="HTML26_11" hidden="1">1</definedName>
    <definedName name="HTML26_12" hidden="1">"S:\MKTRESCH\INTRANET\htmsum\wkvolnrx.htm"</definedName>
    <definedName name="HTML26_2" hidden="1">1</definedName>
    <definedName name="HTML26_3" hidden="1">"Weekly New Antihistamine Volume"</definedName>
    <definedName name="HTML26_4" hidden="1">""</definedName>
    <definedName name="HTML26_5" hidden="1">""</definedName>
    <definedName name="HTML26_6" hidden="1">-4146</definedName>
    <definedName name="HTML26_7" hidden="1">-4146</definedName>
    <definedName name="HTML26_8" hidden="1">"9/7/98"</definedName>
    <definedName name="HTML26_9" hidden="1">"James Grote"</definedName>
    <definedName name="HTML27_1" hidden="1">"[intrweek.xls]TRXAllergyVolume!$A$1:$I$47"</definedName>
    <definedName name="HTML27_10" hidden="1">""</definedName>
    <definedName name="HTML27_11" hidden="1">1</definedName>
    <definedName name="HTML27_12" hidden="1">"S:\MKTRESCH\INTRANET\htmsum\wkvoltrx.htm"</definedName>
    <definedName name="HTML27_2" hidden="1">1</definedName>
    <definedName name="HTML27_3" hidden="1">"Weekly Total Antihistamine Volume"</definedName>
    <definedName name="HTML27_4" hidden="1">""</definedName>
    <definedName name="HTML27_5" hidden="1">""</definedName>
    <definedName name="HTML27_6" hidden="1">-4146</definedName>
    <definedName name="HTML27_7" hidden="1">-4146</definedName>
    <definedName name="HTML27_8" hidden="1">"9/7/98"</definedName>
    <definedName name="HTML27_9" hidden="1">"James Grote"</definedName>
    <definedName name="HTML28_1" hidden="1">"'[intrweek.xls]TRx Page'!$A$1:$H$221"</definedName>
    <definedName name="HTML28_10" hidden="1">""</definedName>
    <definedName name="HTML28_11" hidden="1">1</definedName>
    <definedName name="HTML28_12" hidden="1">"S:\MKTRESCH\INTRANET\htmsum\weektrxs.htm"</definedName>
    <definedName name="HTML28_2" hidden="1">1</definedName>
    <definedName name="HTML28_3" hidden="1">"Weekly TRx Report"</definedName>
    <definedName name="HTML28_4" hidden="1">""</definedName>
    <definedName name="HTML28_5" hidden="1">""</definedName>
    <definedName name="HTML28_6" hidden="1">-4146</definedName>
    <definedName name="HTML28_7" hidden="1">-4146</definedName>
    <definedName name="HTML28_8" hidden="1">"8/10/98"</definedName>
    <definedName name="HTML28_9" hidden="1">"James Grote"</definedName>
    <definedName name="HTML29_1" hidden="1">"'[intrweek.xls]NRx Page'!$A$1:$H$220"</definedName>
    <definedName name="HTML29_10" hidden="1">""</definedName>
    <definedName name="HTML29_11" hidden="1">1</definedName>
    <definedName name="HTML29_12" hidden="1">"S:\MKTRESCH\INTRANET\htmsum\weeknrxs.htm"</definedName>
    <definedName name="HTML29_2" hidden="1">1</definedName>
    <definedName name="HTML29_3" hidden="1">"Weekly NRx Report"</definedName>
    <definedName name="HTML29_4" hidden="1">""</definedName>
    <definedName name="HTML29_5" hidden="1">""</definedName>
    <definedName name="HTML29_6" hidden="1">-4146</definedName>
    <definedName name="HTML29_7" hidden="1">-4146</definedName>
    <definedName name="HTML29_8" hidden="1">"8/10/98"</definedName>
    <definedName name="HTML29_9" hidden="1">"James Grote"</definedName>
    <definedName name="HTML3_1" hidden="1">"'[WEEKSUMZ.xls]Claritin TRX (2)'!$A$1:$H$223"</definedName>
    <definedName name="HTML3_10" hidden="1">""</definedName>
    <definedName name="HTML3_11" hidden="1">1</definedName>
    <definedName name="HTML3_12" hidden="1">"S:\MKTRESCH\SCHERING\INTRANET\mktresch\weekmkts\weektrxs.htm"</definedName>
    <definedName name="HTML3_2" hidden="1">1</definedName>
    <definedName name="HTML3_3" hidden="1">"Weekly TRx Report"</definedName>
    <definedName name="HTML3_4" hidden="1">""</definedName>
    <definedName name="HTML3_5" hidden="1">""</definedName>
    <definedName name="HTML3_6" hidden="1">-4146</definedName>
    <definedName name="HTML3_7" hidden="1">-4146</definedName>
    <definedName name="HTML3_8" hidden="1">"6/4/98"</definedName>
    <definedName name="HTML3_9" hidden="1">"James Grote"</definedName>
    <definedName name="HTML30_1" hidden="1">"'[intrweek.xls]TRx Page'!$A$1:$H$220"</definedName>
    <definedName name="HTML30_10" hidden="1">""</definedName>
    <definedName name="HTML30_11" hidden="1">1</definedName>
    <definedName name="HTML30_12" hidden="1">"S:\MKTRESCH\INTRANET\htmsum\weektrxs.htm"</definedName>
    <definedName name="HTML30_2" hidden="1">1</definedName>
    <definedName name="HTML30_3" hidden="1">"Weekly TRx Report"</definedName>
    <definedName name="HTML30_4" hidden="1">""</definedName>
    <definedName name="HTML30_5" hidden="1">""</definedName>
    <definedName name="HTML30_6" hidden="1">-4146</definedName>
    <definedName name="HTML30_7" hidden="1">-4146</definedName>
    <definedName name="HTML30_8" hidden="1">"8/10/98"</definedName>
    <definedName name="HTML30_9" hidden="1">"James Grote"</definedName>
    <definedName name="HTML31_1" hidden="1">"'[intrweek.xls]NRx Page'!$A$1:$H$209"</definedName>
    <definedName name="HTML31_10" hidden="1">""</definedName>
    <definedName name="HTML31_11" hidden="1">1</definedName>
    <definedName name="HTML31_12" hidden="1">"S:\MKTRESCH\INTRANET\htmsum\weeknrxs.htm"</definedName>
    <definedName name="HTML31_2" hidden="1">1</definedName>
    <definedName name="HTML31_3" hidden="1">"Weekly NRx Page"</definedName>
    <definedName name="HTML31_4" hidden="1">""</definedName>
    <definedName name="HTML31_5" hidden="1">""</definedName>
    <definedName name="HTML31_6" hidden="1">-4146</definedName>
    <definedName name="HTML31_7" hidden="1">-4146</definedName>
    <definedName name="HTML31_8" hidden="1">"9/7/98"</definedName>
    <definedName name="HTML31_9" hidden="1">"James Grote"</definedName>
    <definedName name="HTML32_1" hidden="1">"'[intrweek.xls]TRx Page'!$A$1:$H$209"</definedName>
    <definedName name="HTML32_10" hidden="1">""</definedName>
    <definedName name="HTML32_11" hidden="1">1</definedName>
    <definedName name="HTML32_12" hidden="1">"S:\MKTRESCH\INTRANET\htmsum\weektrxs.htm"</definedName>
    <definedName name="HTML32_2" hidden="1">1</definedName>
    <definedName name="HTML32_3" hidden="1">"Weekly TRx Page"</definedName>
    <definedName name="HTML32_4" hidden="1">""</definedName>
    <definedName name="HTML32_5" hidden="1">""</definedName>
    <definedName name="HTML32_6" hidden="1">-4146</definedName>
    <definedName name="HTML32_7" hidden="1">-4146</definedName>
    <definedName name="HTML32_8" hidden="1">"9/7/98"</definedName>
    <definedName name="HTML32_9" hidden="1">"James Grote"</definedName>
    <definedName name="HTML4_1" hidden="1">"'[intrweek.xls]NRx Page'!$A$1:$H$224"</definedName>
    <definedName name="HTML4_10" hidden="1">""</definedName>
    <definedName name="HTML4_11" hidden="1">1</definedName>
    <definedName name="HTML4_12" hidden="1">"S:\MKTRESCH\SCHERING\INTRANET\mktresch\weekmkts\weeknrxs.htm"</definedName>
    <definedName name="HTML4_2" hidden="1">1</definedName>
    <definedName name="HTML4_3" hidden="1">"Weekly New Prescription Report"</definedName>
    <definedName name="HTML4_4" hidden="1">""</definedName>
    <definedName name="HTML4_5" hidden="1">""</definedName>
    <definedName name="HTML4_6" hidden="1">-4146</definedName>
    <definedName name="HTML4_7" hidden="1">-4146</definedName>
    <definedName name="HTML4_8" hidden="1">"6/8/98"</definedName>
    <definedName name="HTML4_9" hidden="1">"James Grote"</definedName>
    <definedName name="HTML5_1" hidden="1">"'[intrweek.xls]TRx Page'!$A$1:$H$223"</definedName>
    <definedName name="HTML5_10" hidden="1">""</definedName>
    <definedName name="HTML5_11" hidden="1">1</definedName>
    <definedName name="HTML5_12" hidden="1">"S:\MKTRESCH\SCHERING\INTRANET\mktresch\weekmkts\weektrxs.htm"</definedName>
    <definedName name="HTML5_2" hidden="1">1</definedName>
    <definedName name="HTML5_3" hidden="1">"Weekly Total Prescription Report"</definedName>
    <definedName name="HTML5_4" hidden="1">""</definedName>
    <definedName name="HTML5_5" hidden="1">""</definedName>
    <definedName name="HTML5_6" hidden="1">-4146</definedName>
    <definedName name="HTML5_7" hidden="1">-4146</definedName>
    <definedName name="HTML5_8" hidden="1">"6/8/98"</definedName>
    <definedName name="HTML5_9" hidden="1">"James Grote"</definedName>
    <definedName name="HTML6_1" hidden="1">"[intrweek.xls]AllergyVolume!$B$1:$K$62"</definedName>
    <definedName name="HTML6_10" hidden="1">""</definedName>
    <definedName name="HTML6_11" hidden="1">1</definedName>
    <definedName name="HTML6_12" hidden="1">"S:\MKTRESCH\SCHERING\INTRANET\mktresch\weekmkts\wkvolume.htm"</definedName>
    <definedName name="HTML6_2" hidden="1">1</definedName>
    <definedName name="HTML6_3" hidden="1">"Weekly Allergy Volume Page"</definedName>
    <definedName name="HTML6_4" hidden="1">""</definedName>
    <definedName name="HTML6_5" hidden="1">""</definedName>
    <definedName name="HTML6_6" hidden="1">-4146</definedName>
    <definedName name="HTML6_7" hidden="1">-4146</definedName>
    <definedName name="HTML6_8" hidden="1">""</definedName>
    <definedName name="HTML6_9" hidden="1">""</definedName>
    <definedName name="HTML7_1" hidden="1">"[intrweek.xls]AllergyVolume!$A$1:$J$60"</definedName>
    <definedName name="HTML7_10" hidden="1">""</definedName>
    <definedName name="HTML7_11" hidden="1">1</definedName>
    <definedName name="HTML7_12" hidden="1">"S:\MKTRESCH\SCHERING\INTRANET\mktresch\weekmkts\wkvolume.htm"</definedName>
    <definedName name="HTML7_2" hidden="1">1</definedName>
    <definedName name="HTML7_3" hidden="1">"Weekly Allergy Volume Report"</definedName>
    <definedName name="HTML7_4" hidden="1">""</definedName>
    <definedName name="HTML7_5" hidden="1">""</definedName>
    <definedName name="HTML7_6" hidden="1">-4146</definedName>
    <definedName name="HTML7_7" hidden="1">-4146</definedName>
    <definedName name="HTML7_8" hidden="1">""</definedName>
    <definedName name="HTML7_9" hidden="1">" "</definedName>
    <definedName name="HTML8_1" hidden="1">"[intrweek.xls]AllergyVolume!$A$1:$I$60"</definedName>
    <definedName name="HTML8_10" hidden="1">""</definedName>
    <definedName name="HTML8_11" hidden="1">1</definedName>
    <definedName name="HTML8_12" hidden="1">"S:\MKTRESCH\SCHERING\INTRANET\mktresch\weekmkts\wkvolume.htm"</definedName>
    <definedName name="HTML8_2" hidden="1">1</definedName>
    <definedName name="HTML8_3" hidden="1">"Weekly Antihistamine Volume Data"</definedName>
    <definedName name="HTML8_4" hidden="1">""</definedName>
    <definedName name="HTML8_5" hidden="1">""</definedName>
    <definedName name="HTML8_6" hidden="1">-4146</definedName>
    <definedName name="HTML8_7" hidden="1">-4146</definedName>
    <definedName name="HTML8_8" hidden="1">"6/5/98"</definedName>
    <definedName name="HTML8_9" hidden="1">"James Grote"</definedName>
    <definedName name="HTML9_1" hidden="1">"[intrweek.xls]AllergyVolume!$A$1:$I$59"</definedName>
    <definedName name="HTML9_10" hidden="1">""</definedName>
    <definedName name="HTML9_11" hidden="1">1</definedName>
    <definedName name="HTML9_12" hidden="1">"S:\MKTRESCH\SCHERING\INTRANET\mktresch\weekmkts\wkvolume.htm"</definedName>
    <definedName name="HTML9_2" hidden="1">1</definedName>
    <definedName name="HTML9_3" hidden="1">"Weekly Antihistamine Volme Report"</definedName>
    <definedName name="HTML9_4" hidden="1">""</definedName>
    <definedName name="HTML9_5" hidden="1">""</definedName>
    <definedName name="HTML9_6" hidden="1">-4146</definedName>
    <definedName name="HTML9_7" hidden="1">-4146</definedName>
    <definedName name="HTML9_8" hidden="1">"6/8/98"</definedName>
    <definedName name="HTML9_9" hidden="1">"James Grote"</definedName>
    <definedName name="HTMLCount" hidden="1">1</definedName>
    <definedName name="HYdaily">OFFSET(#REF!,COUNTA(#REF!)-1,0,-254,1)</definedName>
    <definedName name="HyperionName01" localSheetId="1">#REF!</definedName>
    <definedName name="HyperionName01">#REF!</definedName>
    <definedName name="HyperionName02" localSheetId="1">#REF!</definedName>
    <definedName name="HyperionName02">#REF!</definedName>
    <definedName name="HyperionName03" localSheetId="1">#REF!</definedName>
    <definedName name="HyperionName03">#REF!</definedName>
    <definedName name="HyperionName04" localSheetId="1">#REF!</definedName>
    <definedName name="HyperionName04">#REF!</definedName>
    <definedName name="HyperionName05" localSheetId="1">#REF!</definedName>
    <definedName name="HyperionName05">#REF!</definedName>
    <definedName name="HyperionName06" localSheetId="1">#REF!</definedName>
    <definedName name="HyperionName06">#REF!</definedName>
    <definedName name="HyperionName07" localSheetId="1">#REF!</definedName>
    <definedName name="HyperionName07">#REF!</definedName>
    <definedName name="HyperionName08" localSheetId="1">#REF!</definedName>
    <definedName name="HyperionName08">#REF!</definedName>
    <definedName name="HyperionName09" localSheetId="1">#REF!</definedName>
    <definedName name="HyperionName09">#REF!</definedName>
    <definedName name="HyperionName10" localSheetId="1">#REF!</definedName>
    <definedName name="HyperionName10">#REF!</definedName>
    <definedName name="HyperionName11" localSheetId="1">#REF!</definedName>
    <definedName name="HyperionName11">#REF!</definedName>
    <definedName name="HyperionName12" localSheetId="1">#REF!</definedName>
    <definedName name="HyperionName12">#REF!</definedName>
    <definedName name="HyperionName13" localSheetId="1">#REF!</definedName>
    <definedName name="HyperionName13">#REF!</definedName>
    <definedName name="HyperionName14" localSheetId="1">#REF!</definedName>
    <definedName name="HyperionName14">#REF!</definedName>
    <definedName name="HyperionName15" localSheetId="1">#REF!</definedName>
    <definedName name="HyperionName15">#REF!</definedName>
    <definedName name="HyperionName16" localSheetId="1">#REF!</definedName>
    <definedName name="HyperionName16">#REF!</definedName>
    <definedName name="HyperionName17" localSheetId="1">#REF!</definedName>
    <definedName name="HyperionName17">#REF!</definedName>
    <definedName name="HyperionName18" localSheetId="1">#REF!</definedName>
    <definedName name="HyperionName18">#REF!</definedName>
    <definedName name="HyperionName19" localSheetId="1">#REF!</definedName>
    <definedName name="HyperionName19">#REF!</definedName>
    <definedName name="HyperionName20" localSheetId="1">#REF!</definedName>
    <definedName name="HyperionName20">#REF!</definedName>
    <definedName name="HyperionName21" localSheetId="1">#REF!</definedName>
    <definedName name="HyperionName21">#REF!</definedName>
    <definedName name="HyperionName22" localSheetId="1">#REF!</definedName>
    <definedName name="HyperionName22">#REF!</definedName>
    <definedName name="HyperionName23" localSheetId="1">#REF!</definedName>
    <definedName name="HyperionName23">#REF!</definedName>
    <definedName name="HyperionName24" localSheetId="1">#REF!</definedName>
    <definedName name="HyperionName24">#REF!</definedName>
    <definedName name="HyperionName25" localSheetId="1">#REF!</definedName>
    <definedName name="HyperionName25">#REF!</definedName>
    <definedName name="HyperionName26" localSheetId="1">#REF!</definedName>
    <definedName name="HyperionName26">#REF!</definedName>
    <definedName name="HyperionName27" localSheetId="1">#REF!</definedName>
    <definedName name="HyperionName27">#REF!</definedName>
    <definedName name="HyperionName28" localSheetId="1">#REF!</definedName>
    <definedName name="HyperionName28">#REF!</definedName>
    <definedName name="HyperionName29" localSheetId="1">#REF!</definedName>
    <definedName name="HyperionName29">#REF!</definedName>
    <definedName name="HyperionName30" localSheetId="1">#REF!</definedName>
    <definedName name="HyperionName30">#REF!</definedName>
    <definedName name="HyperionName31" localSheetId="1">#REF!</definedName>
    <definedName name="HyperionName31">#REF!</definedName>
    <definedName name="HyperionName32" localSheetId="1">#REF!</definedName>
    <definedName name="HyperionName32">#REF!</definedName>
    <definedName name="HyperionName33" localSheetId="1">#REF!</definedName>
    <definedName name="HyperionName33">#REF!</definedName>
    <definedName name="HyperionName34" localSheetId="1">#REF!</definedName>
    <definedName name="HyperionName34">#REF!</definedName>
    <definedName name="HyperionName35" localSheetId="1">#REF!</definedName>
    <definedName name="HyperionName35">#REF!</definedName>
    <definedName name="HyperionName36" localSheetId="1">#REF!</definedName>
    <definedName name="HyperionName36">#REF!</definedName>
    <definedName name="HyperionName37" localSheetId="1">#REF!</definedName>
    <definedName name="HyperionName37">#REF!</definedName>
    <definedName name="HyperionName38" localSheetId="1">#REF!</definedName>
    <definedName name="HyperionName38">#REF!</definedName>
    <definedName name="HyperionName39" localSheetId="1">#REF!</definedName>
    <definedName name="HyperionName39">#REF!</definedName>
    <definedName name="HyperionName40" localSheetId="1">#REF!</definedName>
    <definedName name="HyperionName40">#REF!</definedName>
    <definedName name="HyperionName41" localSheetId="1">#REF!</definedName>
    <definedName name="HyperionName41">#REF!</definedName>
    <definedName name="HyperionName42" localSheetId="1">#REF!</definedName>
    <definedName name="HyperionName42">#REF!</definedName>
    <definedName name="HyperionName43" localSheetId="1">#REF!</definedName>
    <definedName name="HyperionName43">#REF!</definedName>
    <definedName name="HyperionName44" localSheetId="1">#REF!</definedName>
    <definedName name="HyperionName44">#REF!</definedName>
    <definedName name="HyperionName45" localSheetId="1">#REF!</definedName>
    <definedName name="HyperionName45">#REF!</definedName>
    <definedName name="HyperionName46" localSheetId="1">#REF!</definedName>
    <definedName name="HyperionName46">#REF!</definedName>
    <definedName name="HyperionName47" localSheetId="1">#REF!</definedName>
    <definedName name="HyperionName47">#REF!</definedName>
    <definedName name="HyperionName48" localSheetId="1">#REF!</definedName>
    <definedName name="HyperionName48">#REF!</definedName>
    <definedName name="HyperionName49" localSheetId="1">#REF!</definedName>
    <definedName name="HyperionName49">#REF!</definedName>
    <definedName name="HyperionName50" localSheetId="1">#REF!</definedName>
    <definedName name="HyperionName50">#REF!</definedName>
    <definedName name="HyperionName51" localSheetId="1">#REF!</definedName>
    <definedName name="HyperionName51">#REF!</definedName>
    <definedName name="HyperionName52" localSheetId="1">#REF!</definedName>
    <definedName name="HyperionName52">#REF!</definedName>
    <definedName name="HyperionName53" localSheetId="1">#REF!</definedName>
    <definedName name="HyperionName53">#REF!</definedName>
    <definedName name="HyperionName54" localSheetId="1">#REF!</definedName>
    <definedName name="HyperionName54">#REF!</definedName>
    <definedName name="HyperionName55" localSheetId="1">#REF!</definedName>
    <definedName name="HyperionName55">#REF!</definedName>
    <definedName name="HyperionName56" localSheetId="1">#REF!</definedName>
    <definedName name="HyperionName56">#REF!</definedName>
    <definedName name="HyperionName57" localSheetId="1">#REF!</definedName>
    <definedName name="HyperionName57">#REF!</definedName>
    <definedName name="HyperionName58" localSheetId="1">#REF!</definedName>
    <definedName name="HyperionName58">#REF!</definedName>
    <definedName name="HyperionName59" localSheetId="1">#REF!</definedName>
    <definedName name="HyperionName59">#REF!</definedName>
    <definedName name="HyperionName60" localSheetId="1">#REF!</definedName>
    <definedName name="HyperionName60">#REF!</definedName>
    <definedName name="HyperionName61" localSheetId="1">#REF!</definedName>
    <definedName name="HyperionName61">#REF!</definedName>
    <definedName name="HyperionName62" localSheetId="1">#REF!</definedName>
    <definedName name="HyperionName62">#REF!</definedName>
    <definedName name="HyperionName63" localSheetId="1">#REF!</definedName>
    <definedName name="HyperionName63">#REF!</definedName>
    <definedName name="HyperionName64" localSheetId="1">#REF!</definedName>
    <definedName name="HyperionName64">#REF!</definedName>
    <definedName name="HyperionName65" localSheetId="1">#REF!</definedName>
    <definedName name="HyperionName65">#REF!</definedName>
    <definedName name="HyperionName66" localSheetId="1">#REF!</definedName>
    <definedName name="HyperionName66">#REF!</definedName>
    <definedName name="HyperionName67" localSheetId="1">#REF!</definedName>
    <definedName name="HyperionName67">#REF!</definedName>
    <definedName name="HyperionName68" localSheetId="1">#REF!</definedName>
    <definedName name="HyperionName68">#REF!</definedName>
    <definedName name="HyperionName69" localSheetId="1">#REF!</definedName>
    <definedName name="HyperionName69">#REF!</definedName>
    <definedName name="HyperionName70" localSheetId="1">#REF!</definedName>
    <definedName name="HyperionName70">#REF!</definedName>
    <definedName name="HyperionRollUpParent" localSheetId="1">#REF!</definedName>
    <definedName name="HyperionRollUpParent">#REF!</definedName>
    <definedName name="Inc" localSheetId="1">#REF!</definedName>
    <definedName name="Inc">#REF!</definedName>
    <definedName name="Incentive_Fee" localSheetId="1">#REF!</definedName>
    <definedName name="Incentive_Fee">#REF!</definedName>
    <definedName name="Incentive_IRR" localSheetId="1">#REF!</definedName>
    <definedName name="Incentive_IRR">#REF!</definedName>
    <definedName name="India" hidden="1">#REF!</definedName>
    <definedName name="IndMood2" localSheetId="1">#REF!</definedName>
    <definedName name="IndMood2">#REF!</definedName>
    <definedName name="IndSP2" localSheetId="1">#REF!</definedName>
    <definedName name="IndSP2">#REF!</definedName>
    <definedName name="Industry" localSheetId="1">#REF!</definedName>
    <definedName name="Industry">#REF!</definedName>
    <definedName name="Industry_Excess" localSheetId="1">#REF!</definedName>
    <definedName name="Industry_Excess">#REF!</definedName>
    <definedName name="Industry_Excess_Facility_Level" localSheetId="1">#REF!</definedName>
    <definedName name="Industry_Excess_Facility_Level">#REF!</definedName>
    <definedName name="inflList" hidden="1">"00000000000000000000000000000000000000000000000000000000000000000000000000000000000000000000000000000000000000000000000000000000000000000000000000000000000000000000000000000000000000000000000000000000"</definedName>
    <definedName name="InputTrancheNo." localSheetId="1">#REF!</definedName>
    <definedName name="InputTrancheNo.">#REF!</definedName>
    <definedName name="IntroPrintArea" hidden="1">#REF!</definedName>
    <definedName name="Inv" localSheetId="1" hidden="1">#REF!</definedName>
    <definedName name="Inv" hidden="1">#REF!</definedName>
    <definedName name="IQ_1_4_CONSTRUCTION_GROSS_LOANS_FFIEC" hidden="1">"c13402"</definedName>
    <definedName name="IQ_1_4_CONSTRUCTION_LL_REC_DOM_FFIEC" hidden="1">"c12899"</definedName>
    <definedName name="IQ_1_4_CONSTRUCTION_LOAN_COMMITMENTS_UNUSED_FFIEC" hidden="1">"c13244"</definedName>
    <definedName name="IQ_1_4_CONSTRUCTION_LOANS_DUE_30_89_FFIEC" hidden="1">"c13257"</definedName>
    <definedName name="IQ_1_4_CONSTRUCTION_LOANS_DUE_90_FFIEC" hidden="1">"c13285"</definedName>
    <definedName name="IQ_1_4_CONSTRUCTION_LOANS_NON_ACCRUAL_FFIEC" hidden="1">"c13311"</definedName>
    <definedName name="IQ_1_4_CONSTRUCTION_RISK_BASED_FFIEC" hidden="1">"c13423"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RES_DOM_FFIEC" hidden="1">"c15269"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30YR_FIXED_MORTGAGE" hidden="1">"c6811"</definedName>
    <definedName name="IQ_30YR_FIXED_MORTGAGE_FC" hidden="1">"c7691"</definedName>
    <definedName name="IQ_30YR_FIXED_MORTGAGE_POP" hidden="1">"c7031"</definedName>
    <definedName name="IQ_30YR_FIXED_MORTGAGE_POP_FC" hidden="1">"c7911"</definedName>
    <definedName name="IQ_30YR_FIXED_MORTGAGE_YOY" hidden="1">"c7251"</definedName>
    <definedName name="IQ_30YR_FIXED_MORTGAGE_YOY_FC" hidden="1">"c8131"</definedName>
    <definedName name="IQ_ABS_AVAIL_SALE_FFIEC" hidden="1">"c12802"</definedName>
    <definedName name="IQ_ABS_FFIEC" hidden="1">"c12788"</definedName>
    <definedName name="IQ_ABS_INVEST_SECURITIES_FFIEC" hidden="1">"c13461"</definedName>
    <definedName name="IQ_ABS_PERIOD" hidden="1">"c13823"</definedName>
    <definedName name="IQ_ACCEPTANCES_OTHER_FOREIGN_BANKS_LL_REC_FFIEC" hidden="1">"c15293"</definedName>
    <definedName name="IQ_ACCEPTANCES_OTHER_US_BANKS_LL_REC_FFIEC" hidden="1">"c15292"</definedName>
    <definedName name="IQ_ACCOUNT_CHANGE" hidden="1">"c413"</definedName>
    <definedName name="IQ_ACCOUNTING_FFIEC" hidden="1">"c13054"</definedName>
    <definedName name="IQ_ACCOUNTS_PAY" hidden="1">"c32"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"c8"</definedName>
    <definedName name="IQ_ACCRUED_INTEREST_RECEIVABLE_FFIEC" hidden="1">"c12842"</definedName>
    <definedName name="IQ_ACCT_RECV_10YR_ANN_CAGR" hidden="1">"c6159"</definedName>
    <definedName name="IQ_ACCT_RECV_10YR_ANN_GROWTH" hidden="1">"c1924"</definedName>
    <definedName name="IQ_ACCT_RECV_1YR_ANN_GROWTH" hidden="1">"c1919"</definedName>
    <definedName name="IQ_ACCT_RECV_2YR_ANN_CAGR" hidden="1">"c6155"</definedName>
    <definedName name="IQ_ACCT_RECV_2YR_ANN_GROWTH" hidden="1">"c1920"</definedName>
    <definedName name="IQ_ACCT_RECV_3YR_ANN_CAGR" hidden="1">"c6156"</definedName>
    <definedName name="IQ_ACCT_RECV_3YR_ANN_GROWTH" hidden="1">"c1921"</definedName>
    <definedName name="IQ_ACCT_RECV_5YR_ANN_CAGR" hidden="1">"c6157"</definedName>
    <definedName name="IQ_ACCT_RECV_5YR_ANN_GROWTH" hidden="1">"c1922"</definedName>
    <definedName name="IQ_ACCT_RECV_7YR_ANN_CAGR" hidden="1">"c6158"</definedName>
    <definedName name="IQ_ACCT_RECV_7YR_ANN_GROWTH" hidden="1">"c1923"</definedName>
    <definedName name="IQ_ACCUM_DEP" hidden="1">"c7"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RE_ASSETS" hidden="1">"c1628"</definedName>
    <definedName name="IQ_ACTUAL_PRODUCTION_ALUM" hidden="1">"c9247"</definedName>
    <definedName name="IQ_ACTUAL_PRODUCTION_CATHODE_COP" hidden="1">"c9192"</definedName>
    <definedName name="IQ_ACTUAL_PRODUCTION_COAL" hidden="1">"c9821"</definedName>
    <definedName name="IQ_ACTUAL_PRODUCTION_COP" hidden="1">"c9191"</definedName>
    <definedName name="IQ_ACTUAL_PRODUCTION_DIAM" hidden="1">"c9671"</definedName>
    <definedName name="IQ_ACTUAL_PRODUCTION_GOLD" hidden="1">"c9032"</definedName>
    <definedName name="IQ_ACTUAL_PRODUCTION_IRON" hidden="1">"c9406"</definedName>
    <definedName name="IQ_ACTUAL_PRODUCTION_LEAD" hidden="1">"c9459"</definedName>
    <definedName name="IQ_ACTUAL_PRODUCTION_MANG" hidden="1">"c9512"</definedName>
    <definedName name="IQ_ACTUAL_PRODUCTION_MET_COAL" hidden="1">"c9761"</definedName>
    <definedName name="IQ_ACTUAL_PRODUCTION_MOLYB" hidden="1">"c9724"</definedName>
    <definedName name="IQ_ACTUAL_PRODUCTION_NICK" hidden="1">"c9300"</definedName>
    <definedName name="IQ_ACTUAL_PRODUCTION_PLAT" hidden="1">"c9138"</definedName>
    <definedName name="IQ_ACTUAL_PRODUCTION_SILVER" hidden="1">"c9085"</definedName>
    <definedName name="IQ_ACTUAL_PRODUCTION_STEAM" hidden="1">"c9791"</definedName>
    <definedName name="IQ_ACTUAL_PRODUCTION_TITAN" hidden="1">"c9565"</definedName>
    <definedName name="IQ_ACTUAL_PRODUCTION_URAN" hidden="1">"c9618"</definedName>
    <definedName name="IQ_ACTUAL_PRODUCTION_ZINC" hidden="1">"c9353"</definedName>
    <definedName name="IQ_AD" hidden="1">"c7"</definedName>
    <definedName name="IQ_ADD_PAID_IN" hidden="1">"c39"</definedName>
    <definedName name="IQ_ADDIN" hidden="1">"AUTO"</definedName>
    <definedName name="IQ_ADDITIONAL_NON_INT_INC_FDIC" hidden="1">"c6574"</definedName>
    <definedName name="IQ_ADDITIONS_NON_ACCRUAL_ASSET_DURING_QTR_FFIEC" hidden="1">"c15349"</definedName>
    <definedName name="IQ_ADJ_AVG_BANK_ASSETS" hidden="1">"c2671"</definedName>
    <definedName name="IQ_ADJUSTABLE_RATE_LOANS_FDIC" hidden="1">"c6375"</definedName>
    <definedName name="IQ_ADJUSTED_NAV_COVERED" hidden="1">"c9963"</definedName>
    <definedName name="IQ_ADJUSTED_NAV_GROUP" hidden="1">"c9949"</definedName>
    <definedName name="IQ_ADMIN_RATIO" hidden="1">"c2784"</definedName>
    <definedName name="IQ_ADVERTISING" hidden="1">"c2246"</definedName>
    <definedName name="IQ_ADVERTISING_MARKETING" hidden="1">"c1566"</definedName>
    <definedName name="IQ_ADVERTISING_MARKETING_EXPENSES_FFIEC" hidden="1">"c13048"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" hidden="1">"c6195"</definedName>
    <definedName name="IQ_AE_REIT" hidden="1">"c13"</definedName>
    <definedName name="IQ_AE_UTI" hidden="1">"c14"</definedName>
    <definedName name="IQ_AFFO" hidden="1">"c8756"</definedName>
    <definedName name="IQ_AFFO_PER_SHARE_BASIC" hidden="1">"c8869"</definedName>
    <definedName name="IQ_AFFO_PER_SHARE_DILUTED" hidden="1">"c8870"</definedName>
    <definedName name="IQ_AFS_INVEST_SECURITIES_FFIEC" hidden="1">"c13456"</definedName>
    <definedName name="IQ_AFS_SECURITIES_TIER_1_FFIEC" hidden="1">"c13343"</definedName>
    <definedName name="IQ_AFTER_TAX_INCOME_FDIC" hidden="1">"c6583"</definedName>
    <definedName name="IQ_AG_PROD_FARM_LOANS_DOM_QUARTERLY_AVG_FFIEC" hidden="1">"c15477"</definedName>
    <definedName name="IQ_AGENCY" hidden="1">"c8960"</definedName>
    <definedName name="IQ_AGENCY_INVEST_SECURITIES_FFIEC" hidden="1">"c13458"</definedName>
    <definedName name="IQ_AGG_CORPORATE_SHARES" hidden="1">"c13781"</definedName>
    <definedName name="IQ_AGG_CORPORATE_VALUE" hidden="1">"c13774"</definedName>
    <definedName name="IQ_AGG_ESOP_SHARES" hidden="1">"c13782"</definedName>
    <definedName name="IQ_AGG_ESOP_VALUE" hidden="1">"c13775"</definedName>
    <definedName name="IQ_AGG_FOUNDATION_SHARES" hidden="1">"c13783"</definedName>
    <definedName name="IQ_AGG_FOUNDATION_VALUE" hidden="1">"c13776"</definedName>
    <definedName name="IQ_AGG_HEDGEFUND_SHARES" hidden="1">"c13785"</definedName>
    <definedName name="IQ_AGG_HEDGEFUND_VALUE" hidden="1">"c13778"</definedName>
    <definedName name="IQ_AGG_INSIDER_SHARES" hidden="1">"c13780"</definedName>
    <definedName name="IQ_AGG_INSIDER_VALUE" hidden="1">"c13773"</definedName>
    <definedName name="IQ_AGG_INSTITUTIONAL_SHARES" hidden="1">"c13779"</definedName>
    <definedName name="IQ_AGG_INSTITUTIONAL_VALUE" hidden="1">"c13772"</definedName>
    <definedName name="IQ_AGG_OTHER_SHARES" hidden="1">"c13784"</definedName>
    <definedName name="IQ_AGG_OTHER_VALUE" hidden="1">"c13777"</definedName>
    <definedName name="IQ_AGRICULTURAL_GROSS_LOANS_FFIEC" hidden="1">"c13413"</definedName>
    <definedName name="IQ_AGRICULTURAL_LOANS_FOREIGN_FFIEC" hidden="1">"c13481"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GRICULTURAL_RISK_BASED_FFIEC" hidden="1">"c13434"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AVG_PSGR_FARE" hidden="1">"c10029"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NUMBER_HRS_FLOWN" hidden="1">"c10037"</definedName>
    <definedName name="IQ_AIR_NUMBER_OPERATING_AIRCRAFT_AVG" hidden="1">"c10035"</definedName>
    <definedName name="IQ_AIR_NUMBER_TRIPS_FLOWN" hidden="1">"c10030"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EX_PER_ASK_EXCL_FUEL" hidden="1">"c10034"</definedName>
    <definedName name="IQ_AIR_OPEX_PER_ASM_EXCL_FUEL" hidden="1">"c10033"</definedName>
    <definedName name="IQ_AIR_OPTIONS" hidden="1">"c2837"</definedName>
    <definedName name="IQ_AIR_ORDERS" hidden="1">"c2836"</definedName>
    <definedName name="IQ_AIR_OWNED" hidden="1">"c2832"</definedName>
    <definedName name="IQ_AIR_PERCENTAGE_SALES_VIA_INTERNET" hidden="1">"c10036"</definedName>
    <definedName name="IQ_AIR_PSGR_HAUL_AVG_LENGTH_KM" hidden="1">"c10032"</definedName>
    <definedName name="IQ_AIR_PSGR_HAUL_AVG_LENGTH_MILES" hidden="1">"c10031"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_OTHER_DEPOSITS_FOREIGN_DEP_FFIEC" hidden="1">"c15347"</definedName>
    <definedName name="IQ_ALL_OTHER_INVEST_UNCONSOL_SUBS_FFIEC" hidden="1">"c15275"</definedName>
    <definedName name="IQ_ALL_OTHER_LEASES_CHARGE_OFFS_FFIEC" hidden="1">"c13185"</definedName>
    <definedName name="IQ_ALL_OTHER_LEASES_RECOV_FFIEC" hidden="1">"c13207"</definedName>
    <definedName name="IQ_ALL_OTHER_LOANS_CHARGE_OFFS_FFIEC" hidden="1">"c13183"</definedName>
    <definedName name="IQ_ALL_OTHER_LOANS_RECOV_FFIEC" hidden="1">"c13205"</definedName>
    <definedName name="IQ_ALL_OTHER_TRADING_LIABILITIES_DOM_FFIEC" hidden="1">"c12942"</definedName>
    <definedName name="IQ_ALLOW_BORROW_CONST" hidden="1">"c15"</definedName>
    <definedName name="IQ_ALLOW_CONST" hidden="1">"c16"</definedName>
    <definedName name="IQ_ALLOW_DOUBT_ACCT" hidden="1">"c2092"</definedName>
    <definedName name="IQ_ALLOW_EQUITY_CONST" hidden="1">"c16"</definedName>
    <definedName name="IQ_ALLOW_LL" hidden="1">"c17"</definedName>
    <definedName name="IQ_ALLOW_LL_LOSSES_FFIEC" hidden="1">"c12810"</definedName>
    <definedName name="IQ_ALLOWABLE_T2_CAPITAL_FFIEC" hidden="1">"c13150"</definedName>
    <definedName name="IQ_ALLOWANCE_10YR_ANN_CAGR" hidden="1">"c6035"</definedName>
    <definedName name="IQ_ALLOWANCE_10YR_ANN_GROWTH" hidden="1">"c18"</definedName>
    <definedName name="IQ_ALLOWANCE_1YR_ANN_GROWTH" hidden="1">"c19"</definedName>
    <definedName name="IQ_ALLOWANCE_2YR_ANN_CAGR" hidden="1">"c6036"</definedName>
    <definedName name="IQ_ALLOWANCE_2YR_ANN_GROWTH" hidden="1">"c20"</definedName>
    <definedName name="IQ_ALLOWANCE_3YR_ANN_CAGR" hidden="1">"c6037"</definedName>
    <definedName name="IQ_ALLOWANCE_3YR_ANN_GROWTH" hidden="1">"c21"</definedName>
    <definedName name="IQ_ALLOWANCE_5YR_ANN_CAGR" hidden="1">"c6038"</definedName>
    <definedName name="IQ_ALLOWANCE_5YR_ANN_GROWTH" hidden="1">"c22"</definedName>
    <definedName name="IQ_ALLOWANCE_7YR_ANN_CAGR" hidden="1">"c6039"</definedName>
    <definedName name="IQ_ALLOWANCE_7YR_ANN_GROWTH" hidden="1">"c23"</definedName>
    <definedName name="IQ_ALLOWANCE_CHARGE_OFFS" hidden="1">"c24"</definedName>
    <definedName name="IQ_ALLOWANCE_CREDIT_LOSSES_OFF_BS_FFIEC" hidden="1">"c12871"</definedName>
    <definedName name="IQ_ALLOWANCE_LL_LOSSES_T2_FFIEC" hidden="1">"c13146"</definedName>
    <definedName name="IQ_ALLOWANCE_NON_PERF_LOANS" hidden="1">"c25"</definedName>
    <definedName name="IQ_ALLOWANCE_TOTAL_LOANS" hidden="1">"c26"</definedName>
    <definedName name="IQ_AMENDED_BALANCE_PREVIOUS_YR_FDIC" hidden="1">"c6499"</definedName>
    <definedName name="IQ_AMORT_EXP_IMPAIRMENT_OTHER_INTANGIBLE_ASSETS_FFIEC" hidden="1">"c13026"</definedName>
    <definedName name="IQ_AMORT_EXPENSE_FDIC" hidden="1">"c6677"</definedName>
    <definedName name="IQ_AMORTIZATION" hidden="1">"c1471"</definedName>
    <definedName name="IQ_AMORTIZED_COST_FDIC" hidden="1">"c6426"</definedName>
    <definedName name="IQ_AMOUNT_FINANCIAL_LOC_CONVEYED_FFIEC" hidden="1">"c13250"</definedName>
    <definedName name="IQ_AMOUNT_PERFORMANCE_LOC_CONVEYED_FFIEC" hidden="1">"c13252"</definedName>
    <definedName name="IQ_AMT_OUT" hidden="1">"c2145"</definedName>
    <definedName name="IQ_ANALYST_EMAIL" hidden="1">"c13738"</definedName>
    <definedName name="IQ_ANALYST_NAME" hidden="1">"c13736"</definedName>
    <definedName name="IQ_ANALYST_PHONE" hidden="1">"c13737"</definedName>
    <definedName name="IQ_ANALYST_START_DATE" hidden="1">"c13740"</definedName>
    <definedName name="IQ_ANNU_DISTRIBUTION_UNIT" hidden="1">"c3004"</definedName>
    <definedName name="IQ_ANNUAL_DIVIDEND" hidden="1">"c229"</definedName>
    <definedName name="IQ_ANNUAL_PREMIUM_EQUIVALENT_NEW_BUSINESS" hidden="1">"c9972"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NNUITY_SALES_FEES_COMMISSIONS_FFIEC" hidden="1">"c13007"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" hidden="1">"c6196"</definedName>
    <definedName name="IQ_AP_REIT" hidden="1">"c37"</definedName>
    <definedName name="IQ_AP_UTI" hidden="1">"c38"</definedName>
    <definedName name="IQ_APIC" hidden="1">"c39"</definedName>
    <definedName name="IQ_APPLICABLE_INCOME_TAXES_FTE_FFIEC" hidden="1">"c13853"</definedName>
    <definedName name="IQ_AR" hidden="1">"c40"</definedName>
    <definedName name="IQ_AR_BR" hidden="1">"c41"</definedName>
    <definedName name="IQ_AR_LT" hidden="1">"c42"</definedName>
    <definedName name="IQ_AR_RE" hidden="1">"c6197"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BACKED_FDIC" hidden="1">"c6301"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" hidden="1">"c6198"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" hidden="1">"c6199"</definedName>
    <definedName name="IQ_ASSET_WRITEDOWN_REIT" hidden="1">"c60"</definedName>
    <definedName name="IQ_ASSET_WRITEDOWN_SUPPLE" hidden="1">"c13812"</definedName>
    <definedName name="IQ_ASSET_WRITEDOWN_UTI" hidden="1">"c61"</definedName>
    <definedName name="IQ_ASSETS_AP" hidden="1">"c8883"</definedName>
    <definedName name="IQ_ASSETS_AP_ABS" hidden="1">"c8902"</definedName>
    <definedName name="IQ_ASSETS_CAP_LEASE_DEPR" hidden="1">"c2068"</definedName>
    <definedName name="IQ_ASSETS_CAP_LEASE_GROSS" hidden="1">"c2069"</definedName>
    <definedName name="IQ_ASSETS_FAIR_VALUE" hidden="1">"c13843"</definedName>
    <definedName name="IQ_ASSETS_HELD_FDIC" hidden="1">"c6305"</definedName>
    <definedName name="IQ_ASSETS_LEVEL_1" hidden="1">"c13839"</definedName>
    <definedName name="IQ_ASSETS_LEVEL_2" hidden="1">"c13840"</definedName>
    <definedName name="IQ_ASSETS_LEVEL_3" hidden="1">"c13841"</definedName>
    <definedName name="IQ_ASSETS_NAME_AP" hidden="1">"c8921"</definedName>
    <definedName name="IQ_ASSETS_NAME_AP_ABS" hidden="1">"c8940"</definedName>
    <definedName name="IQ_ASSETS_NETTING_OTHER_ADJUSTMENTS" hidden="1">"c13842"</definedName>
    <definedName name="IQ_ASSETS_OPER_LEASE_DEPR" hidden="1">"c2070"</definedName>
    <definedName name="IQ_ASSETS_OPER_LEASE_GROSS" hidden="1">"c2071"</definedName>
    <definedName name="IQ_ASSETS_PER_EMPLOYEE_FDIC" hidden="1">"c6737"</definedName>
    <definedName name="IQ_ASSETS_REPRICE_ASSETS_TOT_FFIEC" hidden="1">"c13454"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TM_FEES_FFIEC" hidden="1">"c13042"</definedName>
    <definedName name="IQ_ATM_INTERCHANGE_EXPENSES_FFIEC" hidden="1">"c13056"</definedName>
    <definedName name="IQ_AUDITOR_NAME" hidden="1">"c1539"</definedName>
    <definedName name="IQ_AUDITOR_OPINION" hidden="1">"c1540"</definedName>
    <definedName name="IQ_AUM" hidden="1">"c10043"</definedName>
    <definedName name="IQ_AUM_EQUITY_FUNDS" hidden="1">"c10039"</definedName>
    <definedName name="IQ_AUM_FIXED_INCOME_FUNDS" hidden="1">"c10040"</definedName>
    <definedName name="IQ_AUM_MONEY_MARKET_FUNDS" hidden="1">"c10041"</definedName>
    <definedName name="IQ_AUM_OTHER" hidden="1">"c10042"</definedName>
    <definedName name="IQ_AUTO_REGIST_NEW" hidden="1">"c6923"</definedName>
    <definedName name="IQ_AUTO_REGIST_NEW_APR" hidden="1">"c7583"</definedName>
    <definedName name="IQ_AUTO_REGIST_NEW_APR_FC" hidden="1">"c8463"</definedName>
    <definedName name="IQ_AUTO_REGIST_NEW_FC" hidden="1">"c7803"</definedName>
    <definedName name="IQ_AUTO_REGIST_NEW_POP" hidden="1">"c7143"</definedName>
    <definedName name="IQ_AUTO_REGIST_NEW_POP_FC" hidden="1">"c8023"</definedName>
    <definedName name="IQ_AUTO_REGIST_NEW_YOY" hidden="1">"c7363"</definedName>
    <definedName name="IQ_AUTO_REGIST_NEW_YOY_FC" hidden="1">"c8243"</definedName>
    <definedName name="IQ_AUTO_SALES_DOM" hidden="1">"c6852"</definedName>
    <definedName name="IQ_AUTO_SALES_DOM_APR" hidden="1">"c7512"</definedName>
    <definedName name="IQ_AUTO_SALES_DOM_APR_FC" hidden="1">"c8392"</definedName>
    <definedName name="IQ_AUTO_SALES_DOM_FC" hidden="1">"c7732"</definedName>
    <definedName name="IQ_AUTO_SALES_DOM_POP" hidden="1">"c7072"</definedName>
    <definedName name="IQ_AUTO_SALES_DOM_POP_FC" hidden="1">"c7952"</definedName>
    <definedName name="IQ_AUTO_SALES_DOM_YOY" hidden="1">"c7292"</definedName>
    <definedName name="IQ_AUTO_SALES_DOM_YOY_FC" hidden="1">"c8172"</definedName>
    <definedName name="IQ_AUTO_SALES_FOREIGN" hidden="1">"c6873"</definedName>
    <definedName name="IQ_AUTO_SALES_FOREIGN_APR" hidden="1">"c7533"</definedName>
    <definedName name="IQ_AUTO_SALES_FOREIGN_APR_FC" hidden="1">"c8413"</definedName>
    <definedName name="IQ_AUTO_SALES_FOREIGN_FC" hidden="1">"c7753"</definedName>
    <definedName name="IQ_AUTO_SALES_FOREIGN_POP" hidden="1">"c7093"</definedName>
    <definedName name="IQ_AUTO_SALES_FOREIGN_POP_FC" hidden="1">"c7973"</definedName>
    <definedName name="IQ_AUTO_SALES_FOREIGN_YOY" hidden="1">"c7313"</definedName>
    <definedName name="IQ_AUTO_SALES_FOREIGN_YOY_FC" hidden="1">"c8193"</definedName>
    <definedName name="IQ_AUTO_WRITTEN" hidden="1">"c62"</definedName>
    <definedName name="IQ_AVAIL_FOR_SALE_FAIR_VALUE_TOT_FFIEC" hidden="1">"c15399"</definedName>
    <definedName name="IQ_AVAIL_FOR_SALE_LEVEL_1_FFIEC" hidden="1">"c15421"</definedName>
    <definedName name="IQ_AVAIL_FOR_SALE_LEVEL_2_FFIEC" hidden="1">"c15434"</definedName>
    <definedName name="IQ_AVAIL_FOR_SALE_LEVEL_3_FFIEC" hidden="1">"c15447"</definedName>
    <definedName name="IQ_AVAILABLE_FOR_SALE_FDIC" hidden="1">"c6409"</definedName>
    <definedName name="IQ_AVAILABLE_SALE_SEC_FFIEC" hidden="1">"c12791"</definedName>
    <definedName name="IQ_AVERAGE_ASSETS_FDIC" hidden="1">"c6362"</definedName>
    <definedName name="IQ_AVERAGE_ASSETS_QUART_FDIC" hidden="1">"c6363"</definedName>
    <definedName name="IQ_AVERAGE_DEPOSITS" hidden="1">"c15256"</definedName>
    <definedName name="IQ_AVERAGE_EARNING_ASSETS_FDIC" hidden="1">"c6748"</definedName>
    <definedName name="IQ_AVERAGE_EQUITY_FDIC" hidden="1">"c6749"</definedName>
    <definedName name="IQ_AVERAGE_INTEREST_BEARING_DEPOSITS" hidden="1">"c15254"</definedName>
    <definedName name="IQ_AVERAGE_LOANS_FDIC" hidden="1">"c6750"</definedName>
    <definedName name="IQ_AVERAGE_LOANS_HFI" hidden="1">"c15251"</definedName>
    <definedName name="IQ_AVERAGE_LOANS_HFS" hidden="1">"c15252"</definedName>
    <definedName name="IQ_AVERAGE_NON_INTEREST_BEARING_DEPOSITS" hidden="1">"c15255"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CIQ" hidden="1">"c3612"</definedName>
    <definedName name="IQ_AVG_BROKER_REC_NO" hidden="1">"c64"</definedName>
    <definedName name="IQ_AVG_BROKER_REC_NO_CIQ" hidden="1">"c4657"</definedName>
    <definedName name="IQ_AVG_CALORIFIC_VALUE_COAL" hidden="1">"c9828"</definedName>
    <definedName name="IQ_AVG_CALORIFIC_VALUE_MET_COAL" hidden="1">"c9764"</definedName>
    <definedName name="IQ_AVG_CALORIFIC_VALUE_STEAM" hidden="1">"c9794"</definedName>
    <definedName name="IQ_AVG_DAILY_VOL" hidden="1">"c65"</definedName>
    <definedName name="IQ_AVG_EMPLOYEES" hidden="1">"c6019"</definedName>
    <definedName name="IQ_AVG_GRADE_ALUM" hidden="1">"c9254"</definedName>
    <definedName name="IQ_AVG_GRADE_COP" hidden="1">"c9201"</definedName>
    <definedName name="IQ_AVG_GRADE_DIAM" hidden="1">"c9678"</definedName>
    <definedName name="IQ_AVG_GRADE_GOLD" hidden="1">"c9039"</definedName>
    <definedName name="IQ_AVG_GRADE_IRON" hidden="1">"c9413"</definedName>
    <definedName name="IQ_AVG_GRADE_LEAD" hidden="1">"c9466"</definedName>
    <definedName name="IQ_AVG_GRADE_MANG" hidden="1">"c9519"</definedName>
    <definedName name="IQ_AVG_GRADE_MOLYB" hidden="1">"c9731"</definedName>
    <definedName name="IQ_AVG_GRADE_NICK" hidden="1">"c9307"</definedName>
    <definedName name="IQ_AVG_GRADE_PLAT" hidden="1">"c9145"</definedName>
    <definedName name="IQ_AVG_GRADE_SILVER" hidden="1">"c9092"</definedName>
    <definedName name="IQ_AVG_GRADE_TITAN" hidden="1">"c9572"</definedName>
    <definedName name="IQ_AVG_GRADE_URAN" hidden="1">"c9625"</definedName>
    <definedName name="IQ_AVG_GRADE_ZINC" hidden="1">"c9360"</definedName>
    <definedName name="IQ_AVG_INDUSTRY_REC_CIQ" hidden="1">"c4984"</definedName>
    <definedName name="IQ_AVG_INT_BEAR_LIAB" hidden="1">"c66"</definedName>
    <definedName name="IQ_AVG_INT_BEAR_LIAB_10YR_ANN_CAGR" hidden="1">"c6040"</definedName>
    <definedName name="IQ_AVG_INT_BEAR_LIAB_10YR_ANN_GROWTH" hidden="1">"c67"</definedName>
    <definedName name="IQ_AVG_INT_BEAR_LIAB_1YR_ANN_GROWTH" hidden="1">"c68"</definedName>
    <definedName name="IQ_AVG_INT_BEAR_LIAB_2YR_ANN_CAGR" hidden="1">"c6041"</definedName>
    <definedName name="IQ_AVG_INT_BEAR_LIAB_2YR_ANN_GROWTH" hidden="1">"c69"</definedName>
    <definedName name="IQ_AVG_INT_BEAR_LIAB_3YR_ANN_CAGR" hidden="1">"c6042"</definedName>
    <definedName name="IQ_AVG_INT_BEAR_LIAB_3YR_ANN_GROWTH" hidden="1">"c70"</definedName>
    <definedName name="IQ_AVG_INT_BEAR_LIAB_5YR_ANN_CAGR" hidden="1">"c6043"</definedName>
    <definedName name="IQ_AVG_INT_BEAR_LIAB_5YR_ANN_GROWTH" hidden="1">"c71"</definedName>
    <definedName name="IQ_AVG_INT_BEAR_LIAB_7YR_ANN_CAGR" hidden="1">"c6044"</definedName>
    <definedName name="IQ_AVG_INT_BEAR_LIAB_7YR_ANN_GROWTH" hidden="1">"c72"</definedName>
    <definedName name="IQ_AVG_INT_EARN_ASSETS" hidden="1">"c73"</definedName>
    <definedName name="IQ_AVG_INT_EARN_ASSETS_10YR_ANN_CAGR" hidden="1">"c6045"</definedName>
    <definedName name="IQ_AVG_INT_EARN_ASSETS_10YR_ANN_GROWTH" hidden="1">"c74"</definedName>
    <definedName name="IQ_AVG_INT_EARN_ASSETS_1YR_ANN_GROWTH" hidden="1">"c75"</definedName>
    <definedName name="IQ_AVG_INT_EARN_ASSETS_2YR_ANN_CAGR" hidden="1">"c6046"</definedName>
    <definedName name="IQ_AVG_INT_EARN_ASSETS_2YR_ANN_GROWTH" hidden="1">"c76"</definedName>
    <definedName name="IQ_AVG_INT_EARN_ASSETS_3YR_ANN_CAGR" hidden="1">"c6047"</definedName>
    <definedName name="IQ_AVG_INT_EARN_ASSETS_3YR_ANN_GROWTH" hidden="1">"c77"</definedName>
    <definedName name="IQ_AVG_INT_EARN_ASSETS_5YR_ANN_CAGR" hidden="1">"c6048"</definedName>
    <definedName name="IQ_AVG_INT_EARN_ASSETS_5YR_ANN_GROWTH" hidden="1">"c78"</definedName>
    <definedName name="IQ_AVG_INT_EARN_ASSETS_7YR_ANN_CAGR" hidden="1">"c6049"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PRODUCTION_PER_MINE_ALUM" hidden="1">"c9249"</definedName>
    <definedName name="IQ_AVG_PRODUCTION_PER_MINE_COAL" hidden="1">"c9823"</definedName>
    <definedName name="IQ_AVG_PRODUCTION_PER_MINE_COP" hidden="1">"c9194"</definedName>
    <definedName name="IQ_AVG_PRODUCTION_PER_MINE_DIAM" hidden="1">"c9673"</definedName>
    <definedName name="IQ_AVG_PRODUCTION_PER_MINE_GOLD" hidden="1">"c9034"</definedName>
    <definedName name="IQ_AVG_PRODUCTION_PER_MINE_IRON" hidden="1">"c9408"</definedName>
    <definedName name="IQ_AVG_PRODUCTION_PER_MINE_LEAD" hidden="1">"c9461"</definedName>
    <definedName name="IQ_AVG_PRODUCTION_PER_MINE_MANG" hidden="1">"c9514"</definedName>
    <definedName name="IQ_AVG_PRODUCTION_PER_MINE_MOLYB" hidden="1">"c9726"</definedName>
    <definedName name="IQ_AVG_PRODUCTION_PER_MINE_NICK" hidden="1">"c9302"</definedName>
    <definedName name="IQ_AVG_PRODUCTION_PER_MINE_PLAT" hidden="1">"c9140"</definedName>
    <definedName name="IQ_AVG_PRODUCTION_PER_MINE_SILVER" hidden="1">"c9087"</definedName>
    <definedName name="IQ_AVG_PRODUCTION_PER_MINE_TITAN" hidden="1">"c9567"</definedName>
    <definedName name="IQ_AVG_PRODUCTION_PER_MINE_URAN" hidden="1">"c9620"</definedName>
    <definedName name="IQ_AVG_PRODUCTION_PER_MINE_ZINC" hidden="1">"c9355"</definedName>
    <definedName name="IQ_AVG_REAL_PRICE_POST_TREAT_REFINING_ALUM" hidden="1">"c9259"</definedName>
    <definedName name="IQ_AVG_REAL_PRICE_POST_TREAT_REFINING_COP" hidden="1">"c9206"</definedName>
    <definedName name="IQ_AVG_REAL_PRICE_POST_TREAT_REFINING_DIAM" hidden="1">"c9683"</definedName>
    <definedName name="IQ_AVG_REAL_PRICE_POST_TREAT_REFINING_GOLD" hidden="1">"c9044"</definedName>
    <definedName name="IQ_AVG_REAL_PRICE_POST_TREAT_REFINING_IRON" hidden="1">"c9418"</definedName>
    <definedName name="IQ_AVG_REAL_PRICE_POST_TREAT_REFINING_LEAD" hidden="1">"c9471"</definedName>
    <definedName name="IQ_AVG_REAL_PRICE_POST_TREAT_REFINING_MANG" hidden="1">"c9524"</definedName>
    <definedName name="IQ_AVG_REAL_PRICE_POST_TREAT_REFINING_MOLYB" hidden="1">"c9736"</definedName>
    <definedName name="IQ_AVG_REAL_PRICE_POST_TREAT_REFINING_NICK" hidden="1">"c9311"</definedName>
    <definedName name="IQ_AVG_REAL_PRICE_POST_TREAT_REFINING_PLAT" hidden="1">"c9150"</definedName>
    <definedName name="IQ_AVG_REAL_PRICE_POST_TREAT_REFINING_SILVER" hidden="1">"c9097"</definedName>
    <definedName name="IQ_AVG_REAL_PRICE_POST_TREAT_REFINING_TITAN" hidden="1">"c9577"</definedName>
    <definedName name="IQ_AVG_REAL_PRICE_POST_TREAT_REFINING_URAN" hidden="1">"c9630"</definedName>
    <definedName name="IQ_AVG_REAL_PRICE_POST_TREAT_REFINING_ZINC" hidden="1">"c9365"</definedName>
    <definedName name="IQ_AVG_REAL_PRICE_PRE_TREAT_REFINING_ALUM" hidden="1">"c9258"</definedName>
    <definedName name="IQ_AVG_REAL_PRICE_PRE_TREAT_REFINING_COP" hidden="1">"c9205"</definedName>
    <definedName name="IQ_AVG_REAL_PRICE_PRE_TREAT_REFINING_DIAM" hidden="1">"c9682"</definedName>
    <definedName name="IQ_AVG_REAL_PRICE_PRE_TREAT_REFINING_GOLD" hidden="1">"c9043"</definedName>
    <definedName name="IQ_AVG_REAL_PRICE_PRE_TREAT_REFINING_IRON" hidden="1">"c9417"</definedName>
    <definedName name="IQ_AVG_REAL_PRICE_PRE_TREAT_REFINING_LEAD" hidden="1">"c9470"</definedName>
    <definedName name="IQ_AVG_REAL_PRICE_PRE_TREAT_REFINING_MANG" hidden="1">"c9523"</definedName>
    <definedName name="IQ_AVG_REAL_PRICE_PRE_TREAT_REFINING_MOLYB" hidden="1">"c9735"</definedName>
    <definedName name="IQ_AVG_REAL_PRICE_PRE_TREAT_REFINING_NICK" hidden="1">"c9312"</definedName>
    <definedName name="IQ_AVG_REAL_PRICE_PRE_TREAT_REFINING_PLAT" hidden="1">"c9149"</definedName>
    <definedName name="IQ_AVG_REAL_PRICE_PRE_TREAT_REFINING_SILVER" hidden="1">"c9096"</definedName>
    <definedName name="IQ_AVG_REAL_PRICE_PRE_TREAT_REFINING_TITAN" hidden="1">"c9576"</definedName>
    <definedName name="IQ_AVG_REAL_PRICE_PRE_TREAT_REFINING_URAN" hidden="1">"c9629"</definedName>
    <definedName name="IQ_AVG_REAL_PRICE_PRE_TREAT_REFINING_ZINC" hidden="1">"c9364"</definedName>
    <definedName name="IQ_AVG_REALIZED_PRICE_AFTER_HEDGING_ALUM" hidden="1">"c9257"</definedName>
    <definedName name="IQ_AVG_REALIZED_PRICE_AFTER_HEDGING_COAL" hidden="1">"c9830"</definedName>
    <definedName name="IQ_AVG_REALIZED_PRICE_AFTER_HEDGING_COP" hidden="1">"c9204"</definedName>
    <definedName name="IQ_AVG_REALIZED_PRICE_AFTER_HEDGING_DIAM" hidden="1">"c9681"</definedName>
    <definedName name="IQ_AVG_REALIZED_PRICE_AFTER_HEDGING_GOLD" hidden="1">"c9042"</definedName>
    <definedName name="IQ_AVG_REALIZED_PRICE_AFTER_HEDGING_IRON" hidden="1">"c9416"</definedName>
    <definedName name="IQ_AVG_REALIZED_PRICE_AFTER_HEDGING_LEAD" hidden="1">"c9469"</definedName>
    <definedName name="IQ_AVG_REALIZED_PRICE_AFTER_HEDGING_MANG" hidden="1">"c9522"</definedName>
    <definedName name="IQ_AVG_REALIZED_PRICE_AFTER_HEDGING_MET_COAL" hidden="1">"c9766"</definedName>
    <definedName name="IQ_AVG_REALIZED_PRICE_AFTER_HEDGING_MOLYB" hidden="1">"c9734"</definedName>
    <definedName name="IQ_AVG_REALIZED_PRICE_AFTER_HEDGING_NICK" hidden="1">"c9310"</definedName>
    <definedName name="IQ_AVG_REALIZED_PRICE_AFTER_HEDGING_PLAT" hidden="1">"c9148"</definedName>
    <definedName name="IQ_AVG_REALIZED_PRICE_AFTER_HEDGING_SILVER" hidden="1">"c9095"</definedName>
    <definedName name="IQ_AVG_REALIZED_PRICE_AFTER_HEDGING_STEAM" hidden="1">"c9796"</definedName>
    <definedName name="IQ_AVG_REALIZED_PRICE_AFTER_HEDGING_TITAN" hidden="1">"c9575"</definedName>
    <definedName name="IQ_AVG_REALIZED_PRICE_AFTER_HEDGING_URAN" hidden="1">"c9628"</definedName>
    <definedName name="IQ_AVG_REALIZED_PRICE_AFTER_HEDGING_ZINC" hidden="1">"c9363"</definedName>
    <definedName name="IQ_AVG_REALIZED_PRICE_BEFORE_HEDGING_ALUM" hidden="1">"c9256"</definedName>
    <definedName name="IQ_AVG_REALIZED_PRICE_BEFORE_HEDGING_COAL" hidden="1">"c9829"</definedName>
    <definedName name="IQ_AVG_REALIZED_PRICE_BEFORE_HEDGING_COP" hidden="1">"c9203"</definedName>
    <definedName name="IQ_AVG_REALIZED_PRICE_BEFORE_HEDGING_DIAM" hidden="1">"c9680"</definedName>
    <definedName name="IQ_AVG_REALIZED_PRICE_BEFORE_HEDGING_GOLD" hidden="1">"c9041"</definedName>
    <definedName name="IQ_AVG_REALIZED_PRICE_BEFORE_HEDGING_IRON" hidden="1">"c9415"</definedName>
    <definedName name="IQ_AVG_REALIZED_PRICE_BEFORE_HEDGING_LEAD" hidden="1">"c9468"</definedName>
    <definedName name="IQ_AVG_REALIZED_PRICE_BEFORE_HEDGING_MANG" hidden="1">"c9521"</definedName>
    <definedName name="IQ_AVG_REALIZED_PRICE_BEFORE_HEDGING_MET_COAL" hidden="1">"c9765"</definedName>
    <definedName name="IQ_AVG_REALIZED_PRICE_BEFORE_HEDGING_MOLYB" hidden="1">"c9733"</definedName>
    <definedName name="IQ_AVG_REALIZED_PRICE_BEFORE_HEDGING_NICK" hidden="1">"c9309"</definedName>
    <definedName name="IQ_AVG_REALIZED_PRICE_BEFORE_HEDGING_PLAT" hidden="1">"c9147"</definedName>
    <definedName name="IQ_AVG_REALIZED_PRICE_BEFORE_HEDGING_SILVER" hidden="1">"c9094"</definedName>
    <definedName name="IQ_AVG_REALIZED_PRICE_BEFORE_HEDGING_STEAM" hidden="1">"c9795"</definedName>
    <definedName name="IQ_AVG_REALIZED_PRICE_BEFORE_HEDGING_TITAN" hidden="1">"c9574"</definedName>
    <definedName name="IQ_AVG_REALIZED_PRICE_BEFORE_HEDGING_URAN" hidden="1">"c9627"</definedName>
    <definedName name="IQ_AVG_REALIZED_PRICE_BEFORE_HEDGING_ZINC" hidden="1">"c9362"</definedName>
    <definedName name="IQ_AVG_SHAREOUTSTANDING" hidden="1">"c83"</definedName>
    <definedName name="IQ_AVG_TEMP_EMPLOYEES" hidden="1">"c6020"</definedName>
    <definedName name="IQ_AVG_TEV" hidden="1">"c84"</definedName>
    <definedName name="IQ_AVG_TOTAL_ASSETS_LEVERAGE_CAPITAL_FFIEC" hidden="1">"c13159"</definedName>
    <definedName name="IQ_AVG_TOTAL_ASSETS_LEVERAGE_RATIO_FFIEC" hidden="1">"c13154"</definedName>
    <definedName name="IQ_AVG_VOLUME" hidden="1">"c65"</definedName>
    <definedName name="IQ_AVG_WAGES" hidden="1">"c6812"</definedName>
    <definedName name="IQ_AVG_WAGES_APR" hidden="1">"c7472"</definedName>
    <definedName name="IQ_AVG_WAGES_APR_FC" hidden="1">"c8352"</definedName>
    <definedName name="IQ_AVG_WAGES_FC" hidden="1">"c7692"</definedName>
    <definedName name="IQ_AVG_WAGES_POP" hidden="1">"c7032"</definedName>
    <definedName name="IQ_AVG_WAGES_POP_FC" hidden="1">"c7912"</definedName>
    <definedName name="IQ_AVG_WAGES_YOY" hidden="1">"c7252"</definedName>
    <definedName name="IQ_AVG_WAGES_YOY_FC" hidden="1">"c8132"</definedName>
    <definedName name="IQ_BALANCE_GOODS_APR_FC_UNUSED" hidden="1">"c8353"</definedName>
    <definedName name="IQ_BALANCE_GOODS_APR_FC_UNUSED_UNUSED_UNUSED" hidden="1">"c8353"</definedName>
    <definedName name="IQ_BALANCE_GOODS_APR_UNUSED" hidden="1">"c7473"</definedName>
    <definedName name="IQ_BALANCE_GOODS_APR_UNUSED_UNUSED_UNUSED" hidden="1">"c7473"</definedName>
    <definedName name="IQ_BALANCE_GOODS_FC_UNUSED" hidden="1">"c7693"</definedName>
    <definedName name="IQ_BALANCE_GOODS_FC_UNUSED_UNUSED_UNUSED" hidden="1">"c7693"</definedName>
    <definedName name="IQ_BALANCE_GOODS_POP_FC_UNUSED" hidden="1">"c7913"</definedName>
    <definedName name="IQ_BALANCE_GOODS_POP_FC_UNUSED_UNUSED_UNUSED" hidden="1">"c7913"</definedName>
    <definedName name="IQ_BALANCE_GOODS_POP_UNUSED" hidden="1">"c7033"</definedName>
    <definedName name="IQ_BALANCE_GOODS_POP_UNUSED_UNUSED_UNUSED" hidden="1">"c7033"</definedName>
    <definedName name="IQ_BALANCE_GOODS_REAL" hidden="1">"c6952"</definedName>
    <definedName name="IQ_BALANCE_GOODS_REAL_APR" hidden="1">"c7612"</definedName>
    <definedName name="IQ_BALANCE_GOODS_REAL_APR_FC" hidden="1">"c8492"</definedName>
    <definedName name="IQ_BALANCE_GOODS_REAL_FC" hidden="1">"c7832"</definedName>
    <definedName name="IQ_BALANCE_GOODS_REAL_POP" hidden="1">"c7172"</definedName>
    <definedName name="IQ_BALANCE_GOODS_REAL_POP_FC" hidden="1">"c8052"</definedName>
    <definedName name="IQ_BALANCE_GOODS_REAL_SAAR" hidden="1">"c6953"</definedName>
    <definedName name="IQ_BALANCE_GOODS_REAL_SAAR_APR" hidden="1">"c7613"</definedName>
    <definedName name="IQ_BALANCE_GOODS_REAL_SAAR_APR_FC" hidden="1">"c8493"</definedName>
    <definedName name="IQ_BALANCE_GOODS_REAL_SAAR_FC" hidden="1">"c7833"</definedName>
    <definedName name="IQ_BALANCE_GOODS_REAL_SAAR_POP" hidden="1">"c7173"</definedName>
    <definedName name="IQ_BALANCE_GOODS_REAL_SAAR_POP_FC" hidden="1">"c8053"</definedName>
    <definedName name="IQ_BALANCE_GOODS_REAL_SAAR_USD_APR_FC" hidden="1">"c11893"</definedName>
    <definedName name="IQ_BALANCE_GOODS_REAL_SAAR_USD_FC" hidden="1">"c11890"</definedName>
    <definedName name="IQ_BALANCE_GOODS_REAL_SAAR_USD_POP_FC" hidden="1">"c11891"</definedName>
    <definedName name="IQ_BALANCE_GOODS_REAL_SAAR_USD_YOY_FC" hidden="1">"c11892"</definedName>
    <definedName name="IQ_BALANCE_GOODS_REAL_SAAR_YOY" hidden="1">"c7393"</definedName>
    <definedName name="IQ_BALANCE_GOODS_REAL_SAAR_YOY_FC" hidden="1">"c8273"</definedName>
    <definedName name="IQ_BALANCE_GOODS_REAL_USD_APR_FC" hidden="1">"c11889"</definedName>
    <definedName name="IQ_BALANCE_GOODS_REAL_USD_FC" hidden="1">"c11886"</definedName>
    <definedName name="IQ_BALANCE_GOODS_REAL_USD_POP_FC" hidden="1">"c11887"</definedName>
    <definedName name="IQ_BALANCE_GOODS_REAL_USD_YOY_FC" hidden="1">"c11888"</definedName>
    <definedName name="IQ_BALANCE_GOODS_REAL_YOY" hidden="1">"c7392"</definedName>
    <definedName name="IQ_BALANCE_GOODS_REAL_YOY_FC" hidden="1">"c8272"</definedName>
    <definedName name="IQ_BALANCE_GOODS_SAAR" hidden="1">"c6814"</definedName>
    <definedName name="IQ_BALANCE_GOODS_SAAR_APR" hidden="1">"c7474"</definedName>
    <definedName name="IQ_BALANCE_GOODS_SAAR_APR_FC" hidden="1">"c8354"</definedName>
    <definedName name="IQ_BALANCE_GOODS_SAAR_FC" hidden="1">"c7694"</definedName>
    <definedName name="IQ_BALANCE_GOODS_SAAR_POP" hidden="1">"c7034"</definedName>
    <definedName name="IQ_BALANCE_GOODS_SAAR_POP_FC" hidden="1">"c7914"</definedName>
    <definedName name="IQ_BALANCE_GOODS_SAAR_USD_APR_FC" hidden="1">"c11762"</definedName>
    <definedName name="IQ_BALANCE_GOODS_SAAR_USD_FC" hidden="1">"c11759"</definedName>
    <definedName name="IQ_BALANCE_GOODS_SAAR_USD_POP_FC" hidden="1">"c11760"</definedName>
    <definedName name="IQ_BALANCE_GOODS_SAAR_USD_YOY_FC" hidden="1">"c11761"</definedName>
    <definedName name="IQ_BALANCE_GOODS_SAAR_YOY" hidden="1">"c7254"</definedName>
    <definedName name="IQ_BALANCE_GOODS_SAAR_YOY_FC" hidden="1">"c8134"</definedName>
    <definedName name="IQ_BALANCE_GOODS_UNUSED" hidden="1">"c6813"</definedName>
    <definedName name="IQ_BALANCE_GOODS_UNUSED_UNUSED_UNUSED" hidden="1">"c6813"</definedName>
    <definedName name="IQ_BALANCE_GOODS_USD_APR_FC" hidden="1">"c11758"</definedName>
    <definedName name="IQ_BALANCE_GOODS_USD_FC" hidden="1">"c11755"</definedName>
    <definedName name="IQ_BALANCE_GOODS_USD_POP_FC" hidden="1">"c11756"</definedName>
    <definedName name="IQ_BALANCE_GOODS_USD_YOY_FC" hidden="1">"c11757"</definedName>
    <definedName name="IQ_BALANCE_GOODS_YOY_FC_UNUSED" hidden="1">"c8133"</definedName>
    <definedName name="IQ_BALANCE_GOODS_YOY_FC_UNUSED_UNUSED_UNUSED" hidden="1">"c8133"</definedName>
    <definedName name="IQ_BALANCE_GOODS_YOY_UNUSED" hidden="1">"c7253"</definedName>
    <definedName name="IQ_BALANCE_GOODS_YOY_UNUSED_UNUSED_UNUSED" hidden="1">"c7253"</definedName>
    <definedName name="IQ_BALANCE_SERV_APR_FC_UNUSED" hidden="1">"c8355"</definedName>
    <definedName name="IQ_BALANCE_SERV_APR_FC_UNUSED_UNUSED_UNUSED" hidden="1">"c8355"</definedName>
    <definedName name="IQ_BALANCE_SERV_APR_UNUSED" hidden="1">"c7475"</definedName>
    <definedName name="IQ_BALANCE_SERV_APR_UNUSED_UNUSED_UNUSED" hidden="1">"c7475"</definedName>
    <definedName name="IQ_BALANCE_SERV_FC_UNUSED" hidden="1">"c7695"</definedName>
    <definedName name="IQ_BALANCE_SERV_FC_UNUSED_UNUSED_UNUSED" hidden="1">"c7695"</definedName>
    <definedName name="IQ_BALANCE_SERV_POP_FC_UNUSED" hidden="1">"c7915"</definedName>
    <definedName name="IQ_BALANCE_SERV_POP_FC_UNUSED_UNUSED_UNUSED" hidden="1">"c7915"</definedName>
    <definedName name="IQ_BALANCE_SERV_POP_UNUSED" hidden="1">"c7035"</definedName>
    <definedName name="IQ_BALANCE_SERV_POP_UNUSED_UNUSED_UNUSED" hidden="1">"c7035"</definedName>
    <definedName name="IQ_BALANCE_SERV_SAAR" hidden="1">"c6816"</definedName>
    <definedName name="IQ_BALANCE_SERV_SAAR_APR" hidden="1">"c7476"</definedName>
    <definedName name="IQ_BALANCE_SERV_SAAR_APR_FC" hidden="1">"c8356"</definedName>
    <definedName name="IQ_BALANCE_SERV_SAAR_FC" hidden="1">"c7696"</definedName>
    <definedName name="IQ_BALANCE_SERV_SAAR_POP" hidden="1">"c7036"</definedName>
    <definedName name="IQ_BALANCE_SERV_SAAR_POP_FC" hidden="1">"c7916"</definedName>
    <definedName name="IQ_BALANCE_SERV_SAAR_YOY" hidden="1">"c7256"</definedName>
    <definedName name="IQ_BALANCE_SERV_SAAR_YOY_FC" hidden="1">"c8136"</definedName>
    <definedName name="IQ_BALANCE_SERV_UNUSED" hidden="1">"c6815"</definedName>
    <definedName name="IQ_BALANCE_SERV_UNUSED_UNUSED_UNUSED" hidden="1">"c6815"</definedName>
    <definedName name="IQ_BALANCE_SERV_USD_APR_FC" hidden="1">"c11766"</definedName>
    <definedName name="IQ_BALANCE_SERV_USD_FC" hidden="1">"c11763"</definedName>
    <definedName name="IQ_BALANCE_SERV_USD_POP_FC" hidden="1">"c11764"</definedName>
    <definedName name="IQ_BALANCE_SERV_USD_YOY_FC" hidden="1">"c11765"</definedName>
    <definedName name="IQ_BALANCE_SERV_YOY_FC_UNUSED" hidden="1">"c8135"</definedName>
    <definedName name="IQ_BALANCE_SERV_YOY_FC_UNUSED_UNUSED_UNUSED" hidden="1">"c8135"</definedName>
    <definedName name="IQ_BALANCE_SERV_YOY_UNUSED" hidden="1">"c7255"</definedName>
    <definedName name="IQ_BALANCE_SERV_YOY_UNUSED_UNUSED_UNUSED" hidden="1">"c7255"</definedName>
    <definedName name="IQ_BALANCE_SERVICES_REAL" hidden="1">"c6954"</definedName>
    <definedName name="IQ_BALANCE_SERVICES_REAL_APR" hidden="1">"c7614"</definedName>
    <definedName name="IQ_BALANCE_SERVICES_REAL_APR_FC" hidden="1">"c8494"</definedName>
    <definedName name="IQ_BALANCE_SERVICES_REAL_FC" hidden="1">"c7834"</definedName>
    <definedName name="IQ_BALANCE_SERVICES_REAL_POP" hidden="1">"c7174"</definedName>
    <definedName name="IQ_BALANCE_SERVICES_REAL_POP_FC" hidden="1">"c8054"</definedName>
    <definedName name="IQ_BALANCE_SERVICES_REAL_SAAR" hidden="1">"c6955"</definedName>
    <definedName name="IQ_BALANCE_SERVICES_REAL_SAAR_APR" hidden="1">"c7615"</definedName>
    <definedName name="IQ_BALANCE_SERVICES_REAL_SAAR_APR_FC" hidden="1">"c8495"</definedName>
    <definedName name="IQ_BALANCE_SERVICES_REAL_SAAR_FC" hidden="1">"c7835"</definedName>
    <definedName name="IQ_BALANCE_SERVICES_REAL_SAAR_POP" hidden="1">"c7175"</definedName>
    <definedName name="IQ_BALANCE_SERVICES_REAL_SAAR_POP_FC" hidden="1">"c8055"</definedName>
    <definedName name="IQ_BALANCE_SERVICES_REAL_SAAR_YOY" hidden="1">"c7395"</definedName>
    <definedName name="IQ_BALANCE_SERVICES_REAL_SAAR_YOY_FC" hidden="1">"c8275"</definedName>
    <definedName name="IQ_BALANCE_SERVICES_REAL_USD_APR_FC" hidden="1">"c11897"</definedName>
    <definedName name="IQ_BALANCE_SERVICES_REAL_USD_FC" hidden="1">"c11894"</definedName>
    <definedName name="IQ_BALANCE_SERVICES_REAL_USD_POP_FC" hidden="1">"c11895"</definedName>
    <definedName name="IQ_BALANCE_SERVICES_REAL_USD_YOY_FC" hidden="1">"c11896"</definedName>
    <definedName name="IQ_BALANCE_SERVICES_REAL_YOY" hidden="1">"c7394"</definedName>
    <definedName name="IQ_BALANCE_SERVICES_REAL_YOY_FC" hidden="1">"c8274"</definedName>
    <definedName name="IQ_BALANCE_TRADE_APR_FC_UNUSED" hidden="1">"c8357"</definedName>
    <definedName name="IQ_BALANCE_TRADE_APR_FC_UNUSED_UNUSED_UNUSED" hidden="1">"c8357"</definedName>
    <definedName name="IQ_BALANCE_TRADE_APR_UNUSED" hidden="1">"c7477"</definedName>
    <definedName name="IQ_BALANCE_TRADE_APR_UNUSED_UNUSED_UNUSED" hidden="1">"c7477"</definedName>
    <definedName name="IQ_BALANCE_TRADE_FC_UNUSED" hidden="1">"c7697"</definedName>
    <definedName name="IQ_BALANCE_TRADE_FC_UNUSED_UNUSED_UNUSED" hidden="1">"c7697"</definedName>
    <definedName name="IQ_BALANCE_TRADE_POP_FC_UNUSED" hidden="1">"c7917"</definedName>
    <definedName name="IQ_BALANCE_TRADE_POP_FC_UNUSED_UNUSED_UNUSED" hidden="1">"c7917"</definedName>
    <definedName name="IQ_BALANCE_TRADE_POP_UNUSED" hidden="1">"c7037"</definedName>
    <definedName name="IQ_BALANCE_TRADE_POP_UNUSED_UNUSED_UNUSED" hidden="1">"c7037"</definedName>
    <definedName name="IQ_BALANCE_TRADE_REAL" hidden="1">"c6956"</definedName>
    <definedName name="IQ_BALANCE_TRADE_REAL_APR" hidden="1">"c7616"</definedName>
    <definedName name="IQ_BALANCE_TRADE_REAL_APR_FC" hidden="1">"c8496"</definedName>
    <definedName name="IQ_BALANCE_TRADE_REAL_FC" hidden="1">"c7836"</definedName>
    <definedName name="IQ_BALANCE_TRADE_REAL_POP" hidden="1">"c7176"</definedName>
    <definedName name="IQ_BALANCE_TRADE_REAL_POP_FC" hidden="1">"c8056"</definedName>
    <definedName name="IQ_BALANCE_TRADE_REAL_SAAR" hidden="1">"c6957"</definedName>
    <definedName name="IQ_BALANCE_TRADE_REAL_SAAR_APR" hidden="1">"c7617"</definedName>
    <definedName name="IQ_BALANCE_TRADE_REAL_SAAR_APR_FC" hidden="1">"c8497"</definedName>
    <definedName name="IQ_BALANCE_TRADE_REAL_SAAR_FC" hidden="1">"c7837"</definedName>
    <definedName name="IQ_BALANCE_TRADE_REAL_SAAR_POP" hidden="1">"c7177"</definedName>
    <definedName name="IQ_BALANCE_TRADE_REAL_SAAR_POP_FC" hidden="1">"c8057"</definedName>
    <definedName name="IQ_BALANCE_TRADE_REAL_SAAR_USD_APR_FC" hidden="1">"c11905"</definedName>
    <definedName name="IQ_BALANCE_TRADE_REAL_SAAR_USD_FC" hidden="1">"c11902"</definedName>
    <definedName name="IQ_BALANCE_TRADE_REAL_SAAR_USD_POP_FC" hidden="1">"c11903"</definedName>
    <definedName name="IQ_BALANCE_TRADE_REAL_SAAR_USD_YOY_FC" hidden="1">"c11904"</definedName>
    <definedName name="IQ_BALANCE_TRADE_REAL_SAAR_YOY" hidden="1">"c7397"</definedName>
    <definedName name="IQ_BALANCE_TRADE_REAL_SAAR_YOY_FC" hidden="1">"c8277"</definedName>
    <definedName name="IQ_BALANCE_TRADE_REAL_USD_APR_FC" hidden="1">"c11901"</definedName>
    <definedName name="IQ_BALANCE_TRADE_REAL_USD_FC" hidden="1">"c11898"</definedName>
    <definedName name="IQ_BALANCE_TRADE_REAL_USD_POP_FC" hidden="1">"c11899"</definedName>
    <definedName name="IQ_BALANCE_TRADE_REAL_USD_YOY_FC" hidden="1">"c11900"</definedName>
    <definedName name="IQ_BALANCE_TRADE_REAL_YOY" hidden="1">"c7396"</definedName>
    <definedName name="IQ_BALANCE_TRADE_REAL_YOY_FC" hidden="1">"c8276"</definedName>
    <definedName name="IQ_BALANCE_TRADE_SAAR" hidden="1">"c6818"</definedName>
    <definedName name="IQ_BALANCE_TRADE_SAAR_APR" hidden="1">"c7478"</definedName>
    <definedName name="IQ_BALANCE_TRADE_SAAR_APR_FC" hidden="1">"c8358"</definedName>
    <definedName name="IQ_BALANCE_TRADE_SAAR_FC" hidden="1">"c7698"</definedName>
    <definedName name="IQ_BALANCE_TRADE_SAAR_POP" hidden="1">"c7038"</definedName>
    <definedName name="IQ_BALANCE_TRADE_SAAR_POP_FC" hidden="1">"c7918"</definedName>
    <definedName name="IQ_BALANCE_TRADE_SAAR_USD_APR_FC" hidden="1">"c11774"</definedName>
    <definedName name="IQ_BALANCE_TRADE_SAAR_USD_FC" hidden="1">"c11771"</definedName>
    <definedName name="IQ_BALANCE_TRADE_SAAR_USD_POP_FC" hidden="1">"c11772"</definedName>
    <definedName name="IQ_BALANCE_TRADE_SAAR_USD_YOY_FC" hidden="1">"c11773"</definedName>
    <definedName name="IQ_BALANCE_TRADE_SAAR_YOY" hidden="1">"c7258"</definedName>
    <definedName name="IQ_BALANCE_TRADE_SAAR_YOY_FC" hidden="1">"c8138"</definedName>
    <definedName name="IQ_BALANCE_TRADE_UNUSED" hidden="1">"c6817"</definedName>
    <definedName name="IQ_BALANCE_TRADE_UNUSED_UNUSED_UNUSED" hidden="1">"c6817"</definedName>
    <definedName name="IQ_BALANCE_TRADE_USD_APR_FC" hidden="1">"c11770"</definedName>
    <definedName name="IQ_BALANCE_TRADE_USD_FC" hidden="1">"c11767"</definedName>
    <definedName name="IQ_BALANCE_TRADE_USD_POP_FC" hidden="1">"c11768"</definedName>
    <definedName name="IQ_BALANCE_TRADE_USD_YOY_FC" hidden="1">"c11769"</definedName>
    <definedName name="IQ_BALANCE_TRADE_YOY_FC_UNUSED" hidden="1">"c8137"</definedName>
    <definedName name="IQ_BALANCE_TRADE_YOY_FC_UNUSED_UNUSED_UNUSED" hidden="1">"c8137"</definedName>
    <definedName name="IQ_BALANCE_TRADE_YOY_UNUSED" hidden="1">"c7257"</definedName>
    <definedName name="IQ_BALANCE_TRADE_YOY_UNUSED_UNUSED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DEBT" hidden="1">"c2544"</definedName>
    <definedName name="IQ_BANK_DEBT_PCT" hidden="1">"c2545"</definedName>
    <definedName name="IQ_BANK_GUARANTOR_FDIC" hidden="1">"c6506"</definedName>
    <definedName name="IQ_BANK_LOAN_LIST" hidden="1">"c13507"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ING_FEES_OPERATING_INC_FFIEC" hidden="1">"c13386"</definedName>
    <definedName name="IQ_BANKS_FOREIGN_COUNTRIES_NON_TRANS_ACCTS_FFIEC" hidden="1">"c15326"</definedName>
    <definedName name="IQ_BANKS_FOREIGN_COUNTRIES_TOTAL_DEPOSITS_FDIC" hidden="1">"c6475"</definedName>
    <definedName name="IQ_BANKS_FOREIGN_COUNTRIES_TRANS_ACCTS_FFIEC" hidden="1">"c15318"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NCHMARK_YIELD" hidden="1">"c8955"</definedName>
    <definedName name="IQ_BETA" hidden="1">"c88"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ASSISTANT_EMAIL" hidden="1">"c15179"</definedName>
    <definedName name="IQ_BOARD_MEMBER_ASSISTANT_FAX" hidden="1">"c15181"</definedName>
    <definedName name="IQ_BOARD_MEMBER_ASSISTANT_NAME" hidden="1">"c15178"</definedName>
    <definedName name="IQ_BOARD_MEMBER_ASSISTANT_PHONE" hidden="1">"c15180"</definedName>
    <definedName name="IQ_BOARD_MEMBER_BACKGROUND" hidden="1">"c2101"</definedName>
    <definedName name="IQ_BOARD_MEMBER_DIRECT_FAX" hidden="1">"c15176"</definedName>
    <definedName name="IQ_BOARD_MEMBER_DIRECT_PHONE" hidden="1">"c15175"</definedName>
    <definedName name="IQ_BOARD_MEMBER_EMAIL" hidden="1">"c15177"</definedName>
    <definedName name="IQ_BOARD_MEMBER_FAX" hidden="1">"c2100"</definedName>
    <definedName name="IQ_BOARD_MEMBER_ID" hidden="1">"c13756"</definedName>
    <definedName name="IQ_BOARD_MEMBER_MAIN_FAX" hidden="1">"c15174"</definedName>
    <definedName name="IQ_BOARD_MEMBER_MAIN_PHONE" hidden="1">"c15173"</definedName>
    <definedName name="IQ_BOARD_MEMBER_OFFICE" hidden="1">"c2098"</definedName>
    <definedName name="IQ_BOARD_MEMBER_OFFICE_ADDRESS" hidden="1">"c15172"</definedName>
    <definedName name="IQ_BOARD_MEMBER_PHONE" hidden="1">"c2099"</definedName>
    <definedName name="IQ_BOARD_MEMBER_TITLE" hidden="1">"c97"</definedName>
    <definedName name="IQ_BOND_COUPON" hidden="1">"c2183"</definedName>
    <definedName name="IQ_BOND_COUPON_TYPE" hidden="1">"c2184"</definedName>
    <definedName name="IQ_BOND_LIST" hidden="1">"c13505"</definedName>
    <definedName name="IQ_BOND_PRICE" hidden="1">"c2162"</definedName>
    <definedName name="IQ_BONDRATING_FITCH" hidden="1">"IQ_BONDRATING_FITCH"</definedName>
    <definedName name="IQ_BONDRATING_FITCH_DATE" hidden="1">"c241"</definedName>
    <definedName name="IQ_BONDRATING_MOODYS" hidden="1">"IQ_BONDRATING_MOODYS"</definedName>
    <definedName name="IQ_BONDRATING_SP" hidden="1">"IQ_BONDRATING_SP"</definedName>
    <definedName name="IQ_BONDRATING_SP_DATE" hidden="1">"c242"</definedName>
    <definedName name="IQ_BOOK_VALUE" hidden="1">"IQ_BOOK_VALUE"</definedName>
    <definedName name="IQ_BORROWED_MONEY_QUARTERLY_AVG_FFIEC" hidden="1">"c13091"</definedName>
    <definedName name="IQ_BORROWINGS_LESS_1YR_ASSETS_TOT_FFIEC" hidden="1">"c13450"</definedName>
    <definedName name="IQ_BROK_COMISSION" hidden="1">"c98"</definedName>
    <definedName name="IQ_BROK_COMMISSION" hidden="1">"c3514"</definedName>
    <definedName name="IQ_BROKER_DEPOSIT_LESS_THAN_100000_1_YR_LESS_FFIEC" hidden="1">"c15307"</definedName>
    <definedName name="IQ_BROKER_DEPOSIT_LESS_THAN_100000_1_YR_MORE_FFIEC" hidden="1">"c15308"</definedName>
    <definedName name="IQ_BROKER_DEPOSIT_LESS_THAN_100000_FFIEC" hidden="1">"c15306"</definedName>
    <definedName name="IQ_BROKER_DEPOSIT_MORE_THAN_100000_1_YR_LESS_FFIEC" hidden="1">"c15310"</definedName>
    <definedName name="IQ_BROKER_DEPOSIT_MORE_THAN_100000_1_YR_MORE_FFIEC" hidden="1">"c15311"</definedName>
    <definedName name="IQ_BROKER_DEPOSIT_MORE_THAN_100000_FFIEC" hidden="1">"c15309"</definedName>
    <definedName name="IQ_BROKERED_DEPOSITS_FDIC" hidden="1">"c6486"</definedName>
    <definedName name="IQ_BUDGET_BALANCE_APR_FC_UNUSED" hidden="1">"c8359"</definedName>
    <definedName name="IQ_BUDGET_BALANCE_APR_FC_UNUSED_UNUSED_UNUSED" hidden="1">"c8359"</definedName>
    <definedName name="IQ_BUDGET_BALANCE_APR_UNUSED" hidden="1">"c7479"</definedName>
    <definedName name="IQ_BUDGET_BALANCE_APR_UNUSED_UNUSED_UNUSED" hidden="1">"c7479"</definedName>
    <definedName name="IQ_BUDGET_BALANCE_FC_UNUSED" hidden="1">"c7699"</definedName>
    <definedName name="IQ_BUDGET_BALANCE_FC_UNUSED_UNUSED_UNUSED" hidden="1">"c7699"</definedName>
    <definedName name="IQ_BUDGET_BALANCE_POP_FC_UNUSED" hidden="1">"c7919"</definedName>
    <definedName name="IQ_BUDGET_BALANCE_POP_FC_UNUSED_UNUSED_UNUSED" hidden="1">"c7919"</definedName>
    <definedName name="IQ_BUDGET_BALANCE_POP_UNUSED" hidden="1">"c7039"</definedName>
    <definedName name="IQ_BUDGET_BALANCE_POP_UNUSED_UNUSED_UNUSED" hidden="1">"c7039"</definedName>
    <definedName name="IQ_BUDGET_BALANCE_SAAR" hidden="1">"c6820"</definedName>
    <definedName name="IQ_BUDGET_BALANCE_SAAR_APR" hidden="1">"c7480"</definedName>
    <definedName name="IQ_BUDGET_BALANCE_SAAR_APR_FC" hidden="1">"c8360"</definedName>
    <definedName name="IQ_BUDGET_BALANCE_SAAR_FC" hidden="1">"c7700"</definedName>
    <definedName name="IQ_BUDGET_BALANCE_SAAR_POP" hidden="1">"c7040"</definedName>
    <definedName name="IQ_BUDGET_BALANCE_SAAR_POP_FC" hidden="1">"c7920"</definedName>
    <definedName name="IQ_BUDGET_BALANCE_SAAR_YOY" hidden="1">"c7260"</definedName>
    <definedName name="IQ_BUDGET_BALANCE_SAAR_YOY_FC" hidden="1">"c8140"</definedName>
    <definedName name="IQ_BUDGET_BALANCE_UNUSED" hidden="1">"c6819"</definedName>
    <definedName name="IQ_BUDGET_BALANCE_UNUSED_UNUSED_UNUSED" hidden="1">"c6819"</definedName>
    <definedName name="IQ_BUDGET_BALANCE_YOY_FC_UNUSED" hidden="1">"c8139"</definedName>
    <definedName name="IQ_BUDGET_BALANCE_YOY_FC_UNUSED_UNUSED_UNUSED" hidden="1">"c8139"</definedName>
    <definedName name="IQ_BUDGET_BALANCE_YOY_UNUSED" hidden="1">"c7259"</definedName>
    <definedName name="IQ_BUDGET_BALANCE_YOY_UNUSED_UNUSED_UNUSED" hidden="1">"c7259"</definedName>
    <definedName name="IQ_BUDGET_RECEIPTS_APR_FC_UNUSED" hidden="1">"c8361"</definedName>
    <definedName name="IQ_BUDGET_RECEIPTS_APR_FC_UNUSED_UNUSED_UNUSED" hidden="1">"c8361"</definedName>
    <definedName name="IQ_BUDGET_RECEIPTS_APR_UNUSED" hidden="1">"c7481"</definedName>
    <definedName name="IQ_BUDGET_RECEIPTS_APR_UNUSED_UNUSED_UNUSED" hidden="1">"c7481"</definedName>
    <definedName name="IQ_BUDGET_RECEIPTS_FC_UNUSED" hidden="1">"c7701"</definedName>
    <definedName name="IQ_BUDGET_RECEIPTS_FC_UNUSED_UNUSED_UNUSED" hidden="1">"c7701"</definedName>
    <definedName name="IQ_BUDGET_RECEIPTS_POP_FC_UNUSED" hidden="1">"c7921"</definedName>
    <definedName name="IQ_BUDGET_RECEIPTS_POP_FC_UNUSED_UNUSED_UNUSED" hidden="1">"c7921"</definedName>
    <definedName name="IQ_BUDGET_RECEIPTS_POP_UNUSED" hidden="1">"c7041"</definedName>
    <definedName name="IQ_BUDGET_RECEIPTS_POP_UNUSED_UNUSED_UNUSED" hidden="1">"c7041"</definedName>
    <definedName name="IQ_BUDGET_RECEIPTS_UNUSED" hidden="1">"c6821"</definedName>
    <definedName name="IQ_BUDGET_RECEIPTS_UNUSED_UNUSED_UNUSED" hidden="1">"c6821"</definedName>
    <definedName name="IQ_BUDGET_RECEIPTS_YOY_FC_UNUSED" hidden="1">"c8141"</definedName>
    <definedName name="IQ_BUDGET_RECEIPTS_YOY_FC_UNUSED_UNUSED_UNUSED" hidden="1">"c8141"</definedName>
    <definedName name="IQ_BUDGET_RECEIPTS_YOY_UNUSED" hidden="1">"c7261"</definedName>
    <definedName name="IQ_BUDGET_RECEIPTS_YOY_UNUSED_UNUSED_UNUSED" hidden="1">"c7261"</definedName>
    <definedName name="IQ_BUDGET_SPENDING" hidden="1">"c6822"</definedName>
    <definedName name="IQ_BUDGET_SPENDING_APR" hidden="1">"c7482"</definedName>
    <definedName name="IQ_BUDGET_SPENDING_APR_FC" hidden="1">"c8362"</definedName>
    <definedName name="IQ_BUDGET_SPENDING_FC" hidden="1">"c7702"</definedName>
    <definedName name="IQ_BUDGET_SPENDING_POP" hidden="1">"c7042"</definedName>
    <definedName name="IQ_BUDGET_SPENDING_POP_FC" hidden="1">"c7922"</definedName>
    <definedName name="IQ_BUDGET_SPENDING_REAL" hidden="1">"c6958"</definedName>
    <definedName name="IQ_BUDGET_SPENDING_REAL_APR" hidden="1">"c7618"</definedName>
    <definedName name="IQ_BUDGET_SPENDING_REAL_APR_FC" hidden="1">"c8498"</definedName>
    <definedName name="IQ_BUDGET_SPENDING_REAL_FC" hidden="1">"c7838"</definedName>
    <definedName name="IQ_BUDGET_SPENDING_REAL_POP" hidden="1">"c7178"</definedName>
    <definedName name="IQ_BUDGET_SPENDING_REAL_POP_FC" hidden="1">"c8058"</definedName>
    <definedName name="IQ_BUDGET_SPENDING_REAL_SAAR" hidden="1">"c6959"</definedName>
    <definedName name="IQ_BUDGET_SPENDING_REAL_SAAR_APR" hidden="1">"c7619"</definedName>
    <definedName name="IQ_BUDGET_SPENDING_REAL_SAAR_APR_FC" hidden="1">"c8499"</definedName>
    <definedName name="IQ_BUDGET_SPENDING_REAL_SAAR_FC" hidden="1">"c7839"</definedName>
    <definedName name="IQ_BUDGET_SPENDING_REAL_SAAR_POP" hidden="1">"c7179"</definedName>
    <definedName name="IQ_BUDGET_SPENDING_REAL_SAAR_POP_FC" hidden="1">"c8059"</definedName>
    <definedName name="IQ_BUDGET_SPENDING_REAL_SAAR_USD" hidden="1">"c11906"</definedName>
    <definedName name="IQ_BUDGET_SPENDING_REAL_SAAR_USD_APR" hidden="1">"c11909"</definedName>
    <definedName name="IQ_BUDGET_SPENDING_REAL_SAAR_USD_POP" hidden="1">"c11907"</definedName>
    <definedName name="IQ_BUDGET_SPENDING_REAL_SAAR_USD_YOY" hidden="1">"c11908"</definedName>
    <definedName name="IQ_BUDGET_SPENDING_REAL_SAAR_YOY" hidden="1">"c7399"</definedName>
    <definedName name="IQ_BUDGET_SPENDING_REAL_SAAR_YOY_FC" hidden="1">"c8279"</definedName>
    <definedName name="IQ_BUDGET_SPENDING_REAL_YOY" hidden="1">"c7398"</definedName>
    <definedName name="IQ_BUDGET_SPENDING_REAL_YOY_FC" hidden="1">"c8278"</definedName>
    <definedName name="IQ_BUDGET_SPENDING_SAAR" hidden="1">"c6823"</definedName>
    <definedName name="IQ_BUDGET_SPENDING_SAAR_APR" hidden="1">"c7483"</definedName>
    <definedName name="IQ_BUDGET_SPENDING_SAAR_APR_FC" hidden="1">"c8363"</definedName>
    <definedName name="IQ_BUDGET_SPENDING_SAAR_FC" hidden="1">"c7703"</definedName>
    <definedName name="IQ_BUDGET_SPENDING_SAAR_POP" hidden="1">"c7043"</definedName>
    <definedName name="IQ_BUDGET_SPENDING_SAAR_POP_FC" hidden="1">"c7923"</definedName>
    <definedName name="IQ_BUDGET_SPENDING_SAAR_USD_APR_FC" hidden="1">"c11782"</definedName>
    <definedName name="IQ_BUDGET_SPENDING_SAAR_USD_FC" hidden="1">"c11779"</definedName>
    <definedName name="IQ_BUDGET_SPENDING_SAAR_USD_POP_FC" hidden="1">"c11780"</definedName>
    <definedName name="IQ_BUDGET_SPENDING_SAAR_USD_YOY_FC" hidden="1">"c11781"</definedName>
    <definedName name="IQ_BUDGET_SPENDING_SAAR_YOY" hidden="1">"c7263"</definedName>
    <definedName name="IQ_BUDGET_SPENDING_SAAR_YOY_FC" hidden="1">"c8143"</definedName>
    <definedName name="IQ_BUDGET_SPENDING_USD_APR_FC" hidden="1">"c11778"</definedName>
    <definedName name="IQ_BUDGET_SPENDING_USD_FC" hidden="1">"c11775"</definedName>
    <definedName name="IQ_BUDGET_SPENDING_USD_POP_FC" hidden="1">"c11776"</definedName>
    <definedName name="IQ_BUDGET_SPENDING_USD_YOY_FC" hidden="1">"c11777"</definedName>
    <definedName name="IQ_BUDGET_SPENDING_YOY" hidden="1">"c7262"</definedName>
    <definedName name="IQ_BUDGET_SPENDING_YOY_FC" hidden="1">"c8142"</definedName>
    <definedName name="IQ_BUILDINGS" hidden="1">"c99"</definedName>
    <definedName name="IQ_BUS_SEG_ASSETS" hidden="1">"c4067"</definedName>
    <definedName name="IQ_BUS_SEG_ASSETS_ABS" hidden="1">"c4089"</definedName>
    <definedName name="IQ_BUS_SEG_ASSETS_TOTAL" hidden="1">"c4112"</definedName>
    <definedName name="IQ_BUS_SEG_CAPEX" hidden="1">"c4079"</definedName>
    <definedName name="IQ_BUS_SEG_CAPEX_ABS" hidden="1">"c4101"</definedName>
    <definedName name="IQ_BUS_SEG_CAPEX_TOTAL" hidden="1">"c4116"</definedName>
    <definedName name="IQ_BUS_SEG_DA" hidden="1">"c4078"</definedName>
    <definedName name="IQ_BUS_SEG_DA_ABS" hidden="1">"c4100"</definedName>
    <definedName name="IQ_BUS_SEG_DA_TOTAL" hidden="1">"c4115"</definedName>
    <definedName name="IQ_BUS_SEG_EARNINGS_OP" hidden="1">"c4063"</definedName>
    <definedName name="IQ_BUS_SEG_EARNINGS_OP_ABS" hidden="1">"c4085"</definedName>
    <definedName name="IQ_BUS_SEG_EARNINGS_OP_TOTAL" hidden="1">"c4108"</definedName>
    <definedName name="IQ_BUS_SEG_EBT" hidden="1">"c4064"</definedName>
    <definedName name="IQ_BUS_SEG_EBT_ABS" hidden="1">"c4086"</definedName>
    <definedName name="IQ_BUS_SEG_EBT_TOTAL" hidden="1">"c4110"</definedName>
    <definedName name="IQ_BUS_SEG_GP" hidden="1">"c4066"</definedName>
    <definedName name="IQ_BUS_SEG_GP_ABS" hidden="1">"c4088"</definedName>
    <definedName name="IQ_BUS_SEG_GP_TOTAL" hidden="1">"c4109"</definedName>
    <definedName name="IQ_BUS_SEG_INC_TAX" hidden="1">"c4077"</definedName>
    <definedName name="IQ_BUS_SEG_INC_TAX_ABS" hidden="1">"c4099"</definedName>
    <definedName name="IQ_BUS_SEG_INC_TAX_TOTAL" hidden="1">"c4114"</definedName>
    <definedName name="IQ_BUS_SEG_INTEREST_EXP" hidden="1">"c4076"</definedName>
    <definedName name="IQ_BUS_SEG_INTEREST_EXP_ABS" hidden="1">"c4098"</definedName>
    <definedName name="IQ_BUS_SEG_INTEREST_EXP_TOTAL" hidden="1">"c4113"</definedName>
    <definedName name="IQ_BUS_SEG_NAME" hidden="1">"c5482"</definedName>
    <definedName name="IQ_BUS_SEG_NAME_ABS" hidden="1">"c5483"</definedName>
    <definedName name="IQ_BUS_SEG_NI" hidden="1">"c4065"</definedName>
    <definedName name="IQ_BUS_SEG_NI_ABS" hidden="1">"c4087"</definedName>
    <definedName name="IQ_BUS_SEG_NI_TOTAL" hidden="1">"c4111"</definedName>
    <definedName name="IQ_BUS_SEG_OPER_INC" hidden="1">"c4062"</definedName>
    <definedName name="IQ_BUS_SEG_OPER_INC_ABS" hidden="1">"c4084"</definedName>
    <definedName name="IQ_BUS_SEG_OPER_INC_TOTAL" hidden="1">"c4107"</definedName>
    <definedName name="IQ_BUS_SEG_REV" hidden="1">"c4068"</definedName>
    <definedName name="IQ_BUS_SEG_REV_ABS" hidden="1">"c4090"</definedName>
    <definedName name="IQ_BUS_SEG_REV_TOTAL" hidden="1">"c4106"</definedName>
    <definedName name="IQ_BUSINESS_COMBINATIONS_FFIEC" hidden="1">"c12967"</definedName>
    <definedName name="IQ_BUSINESS_DESCRIPTION" hidden="1">"c322"</definedName>
    <definedName name="IQ_BV_ACT_OR_EST_CIQ" hidden="1">"c5068"</definedName>
    <definedName name="IQ_BV_OVER_SHARES" hidden="1">"c100"</definedName>
    <definedName name="IQ_BV_SHARE" hidden="1">"c100"</definedName>
    <definedName name="IQ_CA_AP" hidden="1">"c8881"</definedName>
    <definedName name="IQ_CA_AP_ABS" hidden="1">"c8900"</definedName>
    <definedName name="IQ_CA_NAME_AP" hidden="1">"c8919"</definedName>
    <definedName name="IQ_CA_NAME_AP_ABS" hidden="1">"c8938"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Q_EST" hidden="1">"c6796"</definedName>
    <definedName name="IQ_CAL_Q_EST_CIQ" hidden="1">"c6808"</definedName>
    <definedName name="IQ_CAL_Y" hidden="1">"c102"</definedName>
    <definedName name="IQ_CAL_Y_EST" hidden="1">"c6797"</definedName>
    <definedName name="IQ_CAL_Y_EST_CIQ" hidden="1">"c6809"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_UTIL_RATE" hidden="1">"c6824"</definedName>
    <definedName name="IQ_CAP_UTIL_RATE_POP" hidden="1">"c7044"</definedName>
    <definedName name="IQ_CAP_UTIL_RATE_YOY" hidden="1">"c7264"</definedName>
    <definedName name="IQ_CAPEX" hidden="1">"c103"</definedName>
    <definedName name="IQ_CAPEX_10YR_ANN_CAGR" hidden="1">"c6050"</definedName>
    <definedName name="IQ_CAPEX_10YR_ANN_GROWTH" hidden="1">"c104"</definedName>
    <definedName name="IQ_CAPEX_1YR_ANN_GROWTH" hidden="1">"c105"</definedName>
    <definedName name="IQ_CAPEX_2YR_ANN_CAGR" hidden="1">"c6051"</definedName>
    <definedName name="IQ_CAPEX_2YR_ANN_GROWTH" hidden="1">"c106"</definedName>
    <definedName name="IQ_CAPEX_3YR_ANN_CAGR" hidden="1">"c6052"</definedName>
    <definedName name="IQ_CAPEX_3YR_ANN_GROWTH" hidden="1">"c107"</definedName>
    <definedName name="IQ_CAPEX_5YR_ANN_CAGR" hidden="1">"c6053"</definedName>
    <definedName name="IQ_CAPEX_5YR_ANN_GROWTH" hidden="1">"c108"</definedName>
    <definedName name="IQ_CAPEX_7YR_ANN_CAGR" hidden="1">"c6054"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ALLOCATION_ADJUSTMENT_FOREIGN_FFIEC" hidden="1">"c15389"</definedName>
    <definedName name="IQ_CAPITAL_LEASE" hidden="1">"c115"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_RAISED_PERIOD_COVERED" hidden="1">"c9959"</definedName>
    <definedName name="IQ_CAPITAL_RAISED_PERIOD_GROUP" hidden="1">"c9945"</definedName>
    <definedName name="IQ_CAPITALIZED_INTEREST" hidden="1">"c2076"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"c118"</definedName>
    <definedName name="IQ_CASH_ACQUIRE_CF" hidden="1">"c1630"</definedName>
    <definedName name="IQ_CASH_BALANCES_DUE_FFIEC" hidden="1">"c12773"</definedName>
    <definedName name="IQ_CASH_BANKS_FOREIGN_COUNTRIES_DOM_FFIEC" hidden="1">"c15289"</definedName>
    <definedName name="IQ_CASH_COLLECTION_UNPOSTED_DEBITS_CURRENCY_FFIEC" hidden="1">"c15279"</definedName>
    <definedName name="IQ_CASH_COLLECTION_UNPOSTED_DEBITS_DOM_FFIEC" hidden="1">"c15286"</definedName>
    <definedName name="IQ_CASH_CONVERSION" hidden="1">"c117"</definedName>
    <definedName name="IQ_CASH_COST_ALUM" hidden="1">"c9252"</definedName>
    <definedName name="IQ_CASH_COST_COAL" hidden="1">"c9825"</definedName>
    <definedName name="IQ_CASH_COST_COP" hidden="1">"c9199"</definedName>
    <definedName name="IQ_CASH_COST_DIAM" hidden="1">"c9676"</definedName>
    <definedName name="IQ_CASH_COST_GOLD" hidden="1">"c9037"</definedName>
    <definedName name="IQ_CASH_COST_IRON" hidden="1">"c9411"</definedName>
    <definedName name="IQ_CASH_COST_LEAD" hidden="1">"c9464"</definedName>
    <definedName name="IQ_CASH_COST_MANG" hidden="1">"c9517"</definedName>
    <definedName name="IQ_CASH_COST_MET_COAL" hidden="1">"c9762"</definedName>
    <definedName name="IQ_CASH_COST_MOLYB" hidden="1">"c9729"</definedName>
    <definedName name="IQ_CASH_COST_NICK" hidden="1">"c9305"</definedName>
    <definedName name="IQ_CASH_COST_PLAT" hidden="1">"c9143"</definedName>
    <definedName name="IQ_CASH_COST_SILVER" hidden="1">"c9090"</definedName>
    <definedName name="IQ_CASH_COST_STEAM" hidden="1">"c9792"</definedName>
    <definedName name="IQ_CASH_COST_TITAN" hidden="1">"c9570"</definedName>
    <definedName name="IQ_CASH_COST_URAN" hidden="1">"c9623"</definedName>
    <definedName name="IQ_CASH_COST_ZINC" hidden="1">"c9358"</definedName>
    <definedName name="IQ_CASH_DEPOSITORY_INSTIT_US_DOM_FFIEC" hidden="1">"c15288"</definedName>
    <definedName name="IQ_CASH_DIVIDENDS_NET_INCOME_FDIC" hidden="1">"c6738"</definedName>
    <definedName name="IQ_CASH_DUE_BANKS" hidden="1">"c118"</definedName>
    <definedName name="IQ_CASH_DUE_OTHER_FED_RESERVE_BANKS_DOM_FFIEC" hidden="1">"c15290"</definedName>
    <definedName name="IQ_CASH_DUE_OTHER_FED_RESERVE_BANKS_FFIEC" hidden="1">"c15284"</definedName>
    <definedName name="IQ_CASH_DUE_US_BRANCH_FOREIGN_BANK_FFIEC" hidden="1">"c15280"</definedName>
    <definedName name="IQ_CASH_EQUIV" hidden="1">"c118"</definedName>
    <definedName name="IQ_CASH_FINAN" hidden="1">"c119"</definedName>
    <definedName name="IQ_CASH_FINAN_AP" hidden="1">"c8890"</definedName>
    <definedName name="IQ_CASH_FINAN_AP_ABS" hidden="1">"c8909"</definedName>
    <definedName name="IQ_CASH_FINAN_NAME_AP" hidden="1">"c8928"</definedName>
    <definedName name="IQ_CASH_FINAN_NAME_AP_ABS" hidden="1">"c8947"</definedName>
    <definedName name="IQ_CASH_FINAN_SUBTOTAL_AP" hidden="1">"c10111"</definedName>
    <definedName name="IQ_CASH_FLOW_ACT_OR_EST_CIQ" hidden="1">"c4566"</definedName>
    <definedName name="IQ_CASH_FOREIGN_BRANCH_OTHER_US_BANKS_FFIEC" hidden="1">"c15282"</definedName>
    <definedName name="IQ_CASH_IN_PROCESS_FDIC" hidden="1">"c6386"</definedName>
    <definedName name="IQ_CASH_INTEREST" hidden="1">"c120"</definedName>
    <definedName name="IQ_CASH_INTEREST_FINAN" hidden="1">"c6295"</definedName>
    <definedName name="IQ_CASH_INTEREST_INVEST" hidden="1">"c6294"</definedName>
    <definedName name="IQ_CASH_INTEREST_NET" hidden="1">"c12753"</definedName>
    <definedName name="IQ_CASH_INTEREST_OPER" hidden="1">"c6293"</definedName>
    <definedName name="IQ_CASH_INTEREST_RECEIVED" hidden="1">"c12754"</definedName>
    <definedName name="IQ_CASH_INVEST" hidden="1">"c121"</definedName>
    <definedName name="IQ_CASH_INVEST_AP" hidden="1">"c8889"</definedName>
    <definedName name="IQ_CASH_INVEST_AP_ABS" hidden="1">"c8908"</definedName>
    <definedName name="IQ_CASH_INVEST_NAME_AP" hidden="1">"c8927"</definedName>
    <definedName name="IQ_CASH_INVEST_NAME_AP_ABS" hidden="1">"c8946"</definedName>
    <definedName name="IQ_CASH_INVEST_SUBTOTAL_AP" hidden="1">"c8991"</definedName>
    <definedName name="IQ_CASH_OPER" hidden="1">"c122"</definedName>
    <definedName name="IQ_CASH_OPER_ACT_OR_EST" hidden="1">"c4164"</definedName>
    <definedName name="IQ_CASH_OPER_ACT_OR_EST_CIQ" hidden="1">"c4576"</definedName>
    <definedName name="IQ_CASH_OPER_AP" hidden="1">"c8888"</definedName>
    <definedName name="IQ_CASH_OPER_AP_ABS" hidden="1">"c8907"</definedName>
    <definedName name="IQ_CASH_OPER_NAME_AP" hidden="1">"c8926"</definedName>
    <definedName name="IQ_CASH_OPER_NAME_AP_ABS" hidden="1">"c8945"</definedName>
    <definedName name="IQ_CASH_OPER_SUBTOTAL_AP" hidden="1">"c8990"</definedName>
    <definedName name="IQ_CASH_OTHER_ADJ_AP" hidden="1">"c8891"</definedName>
    <definedName name="IQ_CASH_OTHER_ADJ_AP_ABS" hidden="1">"c8910"</definedName>
    <definedName name="IQ_CASH_OTHER_ADJ_NAME_AP" hidden="1">"c8929"</definedName>
    <definedName name="IQ_CASH_OTHER_ADJ_NAME_AP_ABS" hidden="1">"c8948"</definedName>
    <definedName name="IQ_CASH_OTHER_BANKS_FOREIGN_COUNTRIES_FFIEC" hidden="1">"c15283"</definedName>
    <definedName name="IQ_CASH_OTHER_US_COMM_BANK_DEP_INSTIT_FFIEC" hidden="1">"c15281"</definedName>
    <definedName name="IQ_CASH_SEGREG" hidden="1">"c123"</definedName>
    <definedName name="IQ_CASH_SHARE" hidden="1">"c1911"</definedName>
    <definedName name="IQ_CASH_ST" hidden="1">"c124"</definedName>
    <definedName name="IQ_CASH_ST_INVEST" hidden="1">"c124"</definedName>
    <definedName name="IQ_CASH_STRUCTURED_PRODUCTS_AVAIL_SALE_FFIEC" hidden="1">"c15263"</definedName>
    <definedName name="IQ_CASH_STRUCTURED_PRODUCTS_FFIEC" hidden="1">"c15260"</definedName>
    <definedName name="IQ_CASH_TAXES" hidden="1">"c125"</definedName>
    <definedName name="IQ_CASH_TAXES_FINAN" hidden="1">"c6292"</definedName>
    <definedName name="IQ_CASH_TAXES_INVEST" hidden="1">"c6291"</definedName>
    <definedName name="IQ_CASH_TAXES_OPER" hidden="1">"c6290"</definedName>
    <definedName name="IQ_CCE_FDIC" hidden="1">"c6296"</definedName>
    <definedName name="IQ_CDS_5YR_CIQID" hidden="1">"c11751"</definedName>
    <definedName name="IQ_CDS_ASK" hidden="1">"c6027"</definedName>
    <definedName name="IQ_CDS_BID" hidden="1">"c6026"</definedName>
    <definedName name="IQ_CDS_COUPON" hidden="1">"c15234"</definedName>
    <definedName name="IQ_CDS_CURRENCY" hidden="1">"c6031"</definedName>
    <definedName name="IQ_CDS_DERIVATIVES_BENEFICIARY_FFIEC" hidden="1">"c13119"</definedName>
    <definedName name="IQ_CDS_DERIVATIVES_GUARANTOR_FFIEC" hidden="1">"c13112"</definedName>
    <definedName name="IQ_CDS_EVAL_DATE" hidden="1">"c6029"</definedName>
    <definedName name="IQ_CDS_LIST" hidden="1">"c13510"</definedName>
    <definedName name="IQ_CDS_LOAN_LIST" hidden="1">"c13518"</definedName>
    <definedName name="IQ_CDS_MID" hidden="1">"c6028"</definedName>
    <definedName name="IQ_CDS_NAME" hidden="1">"c6034"</definedName>
    <definedName name="IQ_CDS_NEXT_SERIES_ID" hidden="1">"c15231"</definedName>
    <definedName name="IQ_CDS_PREV_SERIES_ID" hidden="1">"c15232"</definedName>
    <definedName name="IQ_CDS_PRICE_TYPE" hidden="1">"c15233"</definedName>
    <definedName name="IQ_CDS_SENIOR_LIST" hidden="1">"c13508"</definedName>
    <definedName name="IQ_CDS_SUB_LIST" hidden="1">"c13509"</definedName>
    <definedName name="IQ_CDS_TERM" hidden="1">"c6030"</definedName>
    <definedName name="IQ_CDS_TYPE" hidden="1">"c6025"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EO_ID" hidden="1">"c15210"</definedName>
    <definedName name="IQ_CEO_NAME" hidden="1">"c15209"</definedName>
    <definedName name="IQ_CERTIFIED_OFFICIAL_CHECKS_TRANS_ACCTS_FFIEC" hidden="1">"c15320"</definedName>
    <definedName name="IQ_CFO_10YR_ANN_CAGR" hidden="1">"c6055"</definedName>
    <definedName name="IQ_CFO_10YR_ANN_GROWTH" hidden="1">"c126"</definedName>
    <definedName name="IQ_CFO_1YR_ANN_GROWTH" hidden="1">"c127"</definedName>
    <definedName name="IQ_CFO_2YR_ANN_CAGR" hidden="1">"c6056"</definedName>
    <definedName name="IQ_CFO_2YR_ANN_GROWTH" hidden="1">"c128"</definedName>
    <definedName name="IQ_CFO_3YR_ANN_CAGR" hidden="1">"c6057"</definedName>
    <definedName name="IQ_CFO_3YR_ANN_GROWTH" hidden="1">"c129"</definedName>
    <definedName name="IQ_CFO_5YR_ANN_CAGR" hidden="1">"c6058"</definedName>
    <definedName name="IQ_CFO_5YR_ANN_GROWTH" hidden="1">"c130"</definedName>
    <definedName name="IQ_CFO_7YR_ANN_CAGR" hidden="1">"c6059"</definedName>
    <definedName name="IQ_CFO_7YR_ANN_GROWTH" hidden="1">"c131"</definedName>
    <definedName name="IQ_CFO_CURRENT_LIAB" hidden="1">"c132"</definedName>
    <definedName name="IQ_CFO_ID" hidden="1">"c15212"</definedName>
    <definedName name="IQ_CFO_NAME" hidden="1">"c15211"</definedName>
    <definedName name="IQ_CFPS_ACT_OR_EST" hidden="1">"c2217"</definedName>
    <definedName name="IQ_CFPS_EST" hidden="1">"c1667"</definedName>
    <definedName name="IQ_CFPS_HIGH_EST" hidden="1">"c1669"</definedName>
    <definedName name="IQ_CFPS_LOW_EST" hidden="1">"c1670"</definedName>
    <definedName name="IQ_CFPS_MEDIAN_EST" hidden="1">"c1668"</definedName>
    <definedName name="IQ_CFPS_NUM_EST" hidden="1">"c1671"</definedName>
    <definedName name="IQ_CFPS_STDDEV_EST" hidden="1">"c1672"</definedName>
    <definedName name="IQ_CH" hidden="1">110000</definedName>
    <definedName name="IQ_CHAIRMAN_ID" hidden="1">"c15218"</definedName>
    <definedName name="IQ_CHAIRMAN_NAME" hidden="1">"c15217"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" hidden="1">"c6200"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" hidden="1">"c6201"</definedName>
    <definedName name="IQ_CHANGE_AR_REIT" hidden="1">"c145"</definedName>
    <definedName name="IQ_CHANGE_AR_UTI" hidden="1">"c146"</definedName>
    <definedName name="IQ_CHANGE_DEF_TAX" hidden="1">"c147"</definedName>
    <definedName name="IQ_CHANGE_DEF_TAX_TOTAL" hidden="1">"c15557"</definedName>
    <definedName name="IQ_CHANGE_DEPOSIT_ACCT" hidden="1">"c148"</definedName>
    <definedName name="IQ_CHANGE_FAIR_VALUE_FINANCIAL_LIAB_T1_FFIEC" hidden="1">"c13138"</definedName>
    <definedName name="IQ_CHANGE_FAIR_VALUE_OPTIONS_FFIEC" hidden="1">"c13045"</definedName>
    <definedName name="IQ_CHANGE_INC_TAX" hidden="1">"c149"</definedName>
    <definedName name="IQ_CHANGE_INS_RES_LIAB" hidden="1">"c150"</definedName>
    <definedName name="IQ_CHANGE_INVENT" hidden="1">"c6826"</definedName>
    <definedName name="IQ_CHANGE_INVENT_APR" hidden="1">"c7486"</definedName>
    <definedName name="IQ_CHANGE_INVENT_POP" hidden="1">"c7046"</definedName>
    <definedName name="IQ_CHANGE_INVENT_REAL_APR_FC_UNUSED" hidden="1">"c8500"</definedName>
    <definedName name="IQ_CHANGE_INVENT_REAL_APR_FC_UNUSED_UNUSED_UNUSED" hidden="1">"c8500"</definedName>
    <definedName name="IQ_CHANGE_INVENT_REAL_APR_UNUSED" hidden="1">"c7620"</definedName>
    <definedName name="IQ_CHANGE_INVENT_REAL_APR_UNUSED_UNUSED_UNUSED" hidden="1">"c7620"</definedName>
    <definedName name="IQ_CHANGE_INVENT_REAL_FC_UNUSED" hidden="1">"c7840"</definedName>
    <definedName name="IQ_CHANGE_INVENT_REAL_FC_UNUSED_UNUSED_UNUSED" hidden="1">"c7840"</definedName>
    <definedName name="IQ_CHANGE_INVENT_REAL_POP_FC_UNUSED" hidden="1">"c8060"</definedName>
    <definedName name="IQ_CHANGE_INVENT_REAL_POP_FC_UNUSED_UNUSED_UNUSED" hidden="1">"c8060"</definedName>
    <definedName name="IQ_CHANGE_INVENT_REAL_POP_UNUSED" hidden="1">"c7180"</definedName>
    <definedName name="IQ_CHANGE_INVENT_REAL_POP_UNUSED_UNUSED_UNUSED" hidden="1">"c7180"</definedName>
    <definedName name="IQ_CHANGE_INVENT_REAL_SAAR" hidden="1">"c6962"</definedName>
    <definedName name="IQ_CHANGE_INVENT_REAL_SAAR_APR" hidden="1">"c7622"</definedName>
    <definedName name="IQ_CHANGE_INVENT_REAL_SAAR_APR_FC" hidden="1">"c8502"</definedName>
    <definedName name="IQ_CHANGE_INVENT_REAL_SAAR_FC" hidden="1">"c7842"</definedName>
    <definedName name="IQ_CHANGE_INVENT_REAL_SAAR_POP" hidden="1">"c7182"</definedName>
    <definedName name="IQ_CHANGE_INVENT_REAL_SAAR_POP_FC" hidden="1">"c8062"</definedName>
    <definedName name="IQ_CHANGE_INVENT_REAL_SAAR_USD_APR_FC" hidden="1">"c11917"</definedName>
    <definedName name="IQ_CHANGE_INVENT_REAL_SAAR_USD_FC" hidden="1">"c11914"</definedName>
    <definedName name="IQ_CHANGE_INVENT_REAL_SAAR_USD_POP_FC" hidden="1">"c11915"</definedName>
    <definedName name="IQ_CHANGE_INVENT_REAL_SAAR_USD_YOY_FC" hidden="1">"c11916"</definedName>
    <definedName name="IQ_CHANGE_INVENT_REAL_SAAR_YOY" hidden="1">"c7402"</definedName>
    <definedName name="IQ_CHANGE_INVENT_REAL_SAAR_YOY_FC" hidden="1">"c8282"</definedName>
    <definedName name="IQ_CHANGE_INVENT_REAL_UNUSED" hidden="1">"c6960"</definedName>
    <definedName name="IQ_CHANGE_INVENT_REAL_UNUSED_UNUSED_UNUSED" hidden="1">"c6960"</definedName>
    <definedName name="IQ_CHANGE_INVENT_REAL_USD_APR_FC" hidden="1">"c11913"</definedName>
    <definedName name="IQ_CHANGE_INVENT_REAL_USD_FC" hidden="1">"c11910"</definedName>
    <definedName name="IQ_CHANGE_INVENT_REAL_USD_POP_FC" hidden="1">"c11911"</definedName>
    <definedName name="IQ_CHANGE_INVENT_REAL_USD_YOY_FC" hidden="1">"c11912"</definedName>
    <definedName name="IQ_CHANGE_INVENT_REAL_YOY_FC_UNUSED" hidden="1">"c8280"</definedName>
    <definedName name="IQ_CHANGE_INVENT_REAL_YOY_FC_UNUSED_UNUSED_UNUSED" hidden="1">"c8280"</definedName>
    <definedName name="IQ_CHANGE_INVENT_REAL_YOY_UNUSED" hidden="1">"c7400"</definedName>
    <definedName name="IQ_CHANGE_INVENT_REAL_YOY_UNUSED_UNUSED_UNUSED" hidden="1">"c7400"</definedName>
    <definedName name="IQ_CHANGE_INVENT_SAAR" hidden="1">"c6827"</definedName>
    <definedName name="IQ_CHANGE_INVENT_SAAR_APR" hidden="1">"c7487"</definedName>
    <definedName name="IQ_CHANGE_INVENT_SAAR_APR_FC" hidden="1">"c8367"</definedName>
    <definedName name="IQ_CHANGE_INVENT_SAAR_FC" hidden="1">"c7707"</definedName>
    <definedName name="IQ_CHANGE_INVENT_SAAR_POP" hidden="1">"c7047"</definedName>
    <definedName name="IQ_CHANGE_INVENT_SAAR_POP_FC" hidden="1">"c7927"</definedName>
    <definedName name="IQ_CHANGE_INVENT_SAAR_YOY" hidden="1">"c7267"</definedName>
    <definedName name="IQ_CHANGE_INVENT_SAAR_YOY_FC" hidden="1">"c8147"</definedName>
    <definedName name="IQ_CHANGE_INVENT_YOY" hidden="1">"c7266"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" hidden="1">"c6285"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PRIVATE_INVENT" hidden="1">"c6828"</definedName>
    <definedName name="IQ_CHANGE_PRIVATE_INVENT_APR" hidden="1">"c7488"</definedName>
    <definedName name="IQ_CHANGE_PRIVATE_INVENT_APR_FC" hidden="1">"c8368"</definedName>
    <definedName name="IQ_CHANGE_PRIVATE_INVENT_FC" hidden="1">"c7708"</definedName>
    <definedName name="IQ_CHANGE_PRIVATE_INVENT_POP" hidden="1">"c7048"</definedName>
    <definedName name="IQ_CHANGE_PRIVATE_INVENT_POP_FC" hidden="1">"c7928"</definedName>
    <definedName name="IQ_CHANGE_PRIVATE_INVENT_YOY" hidden="1">"c7268"</definedName>
    <definedName name="IQ_CHANGE_PRIVATE_INVENT_YOY_FC" hidden="1">"c8148"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"c161"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TOTAL_AVG_LOANS" hidden="1">"c165"</definedName>
    <definedName name="IQ_CHICAGO_PMI" hidden="1">"c6829"</definedName>
    <definedName name="IQ_CHICAGO_PMI_APR" hidden="1">"c7489"</definedName>
    <definedName name="IQ_CHICAGO_PMI_APR_FC" hidden="1">"c8369"</definedName>
    <definedName name="IQ_CHICAGO_PMI_FC" hidden="1">"c7709"</definedName>
    <definedName name="IQ_CHICAGO_PMI_POP" hidden="1">"c7049"</definedName>
    <definedName name="IQ_CHICAGO_PMI_POP_FC" hidden="1">"c7929"</definedName>
    <definedName name="IQ_CHICAGO_PMI_YOY" hidden="1">"c7269"</definedName>
    <definedName name="IQ_CHICAGO_PMI_YOY_FC" hidden="1">"c8149"</definedName>
    <definedName name="IQ_CITY" hidden="1">"c166"</definedName>
    <definedName name="IQ_CL_AP" hidden="1">"c8884"</definedName>
    <definedName name="IQ_CL_AP_ABS" hidden="1">"c8903"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NAME_AP" hidden="1">"c8922"</definedName>
    <definedName name="IQ_CL_NAME_AP_ABS" hidden="1">"c8941"</definedName>
    <definedName name="IQ_CL_OBLIGATION_IMMEDIATE" hidden="1">"c2253"</definedName>
    <definedName name="IQ_CLAIMS_ADJUSTMENT_EXP_PC_FFIEC" hidden="1">"c13100"</definedName>
    <definedName name="IQ_CLASS_MARKETCAP" hidden="1">"c13512"</definedName>
    <definedName name="IQ_CLASS_SHARESOUTSTANDING" hidden="1">"c13513"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ABLE_END_OS" hidden="1">"c5809"</definedName>
    <definedName name="IQ_CLASSA_OPTIONS_EXERCISED" hidden="1">"c2681"</definedName>
    <definedName name="IQ_CLASSA_OPTIONS_GRANTED" hidden="1">"c2680"</definedName>
    <definedName name="IQ_CLASSA_OPTIONS_STRIKE_PRICE_BEG_OS" hidden="1">"c5810"</definedName>
    <definedName name="IQ_CLASSA_OPTIONS_STRIKE_PRICE_CANCELLED" hidden="1">"c5812"</definedName>
    <definedName name="IQ_CLASSA_OPTIONS_STRIKE_PRICE_EXERCISABLE" hidden="1">"c5813"</definedName>
    <definedName name="IQ_CLASSA_OPTIONS_STRIKE_PRICE_EXERCISED" hidden="1">"c5811"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ASSB_OUTSTANDING_BS_DATE" hidden="1">"c1972"</definedName>
    <definedName name="IQ_CLASSB_OUTSTANDING_FILING_DATE" hidden="1">"c1974"</definedName>
    <definedName name="IQ_CLOSED_END_1_4_FAM_LOANS_TOT_LOANS_FFIEC" hidden="1">"c13866"</definedName>
    <definedName name="IQ_CLOSED_END_1_4_FIRST_LIENS_TRADING_DOM_FFIEC" hidden="1">"c12928"</definedName>
    <definedName name="IQ_CLOSED_END_1_4_JR_LIENS_LL_REC_DOM_FFIEC" hidden="1">"c12904"</definedName>
    <definedName name="IQ_CLOSED_END_1_4_JUNIOR_LIENS_TRADING_DOM_FFIEC" hidden="1">"c12929"</definedName>
    <definedName name="IQ_CLOSED_END_SEC_1_4_1ST_LIENS_CHARGE_OFFS_FFIEC" hidden="1">"c13169"</definedName>
    <definedName name="IQ_CLOSED_END_SEC_1_4_1ST_LIENS_DUE_30_89_FFIEC" hidden="1">"c13261"</definedName>
    <definedName name="IQ_CLOSED_END_SEC_1_4_1ST_LIENS_DUE_90_FFIEC" hidden="1">"c13289"</definedName>
    <definedName name="IQ_CLOSED_END_SEC_1_4_1ST_LIENS_NON_ACCRUAL_FFIEC" hidden="1">"c13315"</definedName>
    <definedName name="IQ_CLOSED_END_SEC_1_4_1ST_LIENS_RECOV_FFIEC" hidden="1">"c13191"</definedName>
    <definedName name="IQ_CLOSED_END_SEC_1_4_JR_LIENS_CHARGE_OFFS_FFIEC" hidden="1">"c13170"</definedName>
    <definedName name="IQ_CLOSED_END_SEC_1_4_JR_LIENS_DUE_30_89_FFIEC" hidden="1">"c13262"</definedName>
    <definedName name="IQ_CLOSED_END_SEC_1_4_JR_LIENS_DUE_90_FFIEC" hidden="1">"c13290"</definedName>
    <definedName name="IQ_CLOSED_END_SEC_1_4_JR_LIENS_NON_ACCRUAL_FFIEC" hidden="1">"c13316"</definedName>
    <definedName name="IQ_CLOSED_END_SEC_1_4_JR_LIENS_RECOV_FFIEC" hidden="1">"c13192"</definedName>
    <definedName name="IQ_CLOSED_END_SEC_1_4_RESIDENT_CHARGE_OFFS_FFIEC" hidden="1">"c15397"</definedName>
    <definedName name="IQ_CLOSED_END_SEC_1_4_RESIDENT_DUE_30_89_FFIEC" hidden="1">"c15413"</definedName>
    <definedName name="IQ_CLOSED_END_SEC_1_4_RESIDENT_DUE_90_FFIEC" hidden="1">"c15417"</definedName>
    <definedName name="IQ_CLOSED_END_SEC_1_4_RESIDENT_NON_ACCRUAL_FFIEC" hidden="1">"c15460"</definedName>
    <definedName name="IQ_CLOSED_END_SEC_1_4_RESIDENT_RECOV_FFIEC" hidden="1">"c15398"</definedName>
    <definedName name="IQ_CLOSED_END_SECURED_1_4_FIRST_LIENS_LL_REC_DOM_FFIEC" hidden="1">"c12903"</definedName>
    <definedName name="IQ_CLOSED_LOANS_GROSS_LOANS_FFIEC" hidden="1">"c13399"</definedName>
    <definedName name="IQ_CLOSED_LOANS_RISK_BASED_FFIEC" hidden="1">"c13420"</definedName>
    <definedName name="IQ_CLOSEPRICE" hidden="1">"c174"</definedName>
    <definedName name="IQ_CLOSEPRICE_ADJ" hidden="1">"c2115"</definedName>
    <definedName name="IQ_CMBS_ISSUED_AVAIL_SALE_FFIEC" hidden="1">"c12800"</definedName>
    <definedName name="IQ_CMBS_ISSUED_FFIEC" hidden="1">"c12786"</definedName>
    <definedName name="IQ_CMO_FDIC" hidden="1">"c6406"</definedName>
    <definedName name="IQ_COGS" hidden="1">"c175"</definedName>
    <definedName name="IQ_COLLATERAL_TYPE" hidden="1">"c8954"</definedName>
    <definedName name="IQ_COLLECTION_DOMESTIC_FDIC" hidden="1">"c6387"</definedName>
    <definedName name="IQ_COM_TARGET_PRICE" hidden="1">"c13606"</definedName>
    <definedName name="IQ_COM_TARGET_PRICE_CIQ" hidden="1">"c13599"</definedName>
    <definedName name="IQ_COM_TARGET_PRICE_HIGH" hidden="1">"c13607"</definedName>
    <definedName name="IQ_COM_TARGET_PRICE_HIGH_CIQ" hidden="1">"c13600"</definedName>
    <definedName name="IQ_COM_TARGET_PRICE_LOW" hidden="1">"c13608"</definedName>
    <definedName name="IQ_COM_TARGET_PRICE_LOW_CIQ" hidden="1">"c13601"</definedName>
    <definedName name="IQ_COM_TARGET_PRICE_MEDIAN" hidden="1">"c13609"</definedName>
    <definedName name="IQ_COM_TARGET_PRICE_MEDIAN_CIQ" hidden="1">"c13602"</definedName>
    <definedName name="IQ_COM_TARGET_PRICE_NUM" hidden="1">"c13604"</definedName>
    <definedName name="IQ_COM_TARGET_PRICE_NUM_CIQ" hidden="1">"c13597"</definedName>
    <definedName name="IQ_COM_TARGET_PRICE_STDDEV" hidden="1">"c13605"</definedName>
    <definedName name="IQ_COM_TARGET_PRICE_STDDEV_CIQ" hidden="1">"c13598"</definedName>
    <definedName name="IQ_COMBINED_RATIO" hidden="1">"c176"</definedName>
    <definedName name="IQ_COMM_BANKS_OTHER_DEP_INST_US_TRANS_ACCTS_FFIEC" hidden="1">"c15317"</definedName>
    <definedName name="IQ_COMM_BANKS_OTHER_INST_US_NON_TRANS_ACCTS_FFIEC" hidden="1">"c15325"</definedName>
    <definedName name="IQ_COMM_IND_LOANS_TOT_LOANS_FFIEC" hidden="1">"c13874"</definedName>
    <definedName name="IQ_COMM_INDUSTRIAL_LOANS_FFIEC" hidden="1">"c12821"</definedName>
    <definedName name="IQ_COMM_INDUSTRIAL_NON_US_LL_REC_FFIEC" hidden="1">"c12888"</definedName>
    <definedName name="IQ_COMM_INDUSTRIAL_US_LL_REC_FFIEC" hidden="1">"c12887"</definedName>
    <definedName name="IQ_COMM_RE_FARM_LOANS_TOT_LOANS_FFIEC" hidden="1">"c13872"</definedName>
    <definedName name="IQ_COMM_RE_NONFARM_NONRES_TOT_LOANS_FFIEC" hidden="1">"c13871"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 hidden="1">"c178"</definedName>
    <definedName name="IQ_COMMERCIAL_INDUSTRIAL_CHARGE_OFFS_FDIC" hidden="1">"c6598"</definedName>
    <definedName name="IQ_COMMERCIAL_INDUSTRIAL_DOM_QUARTERLY_AVG_FFIEC" hidden="1">"c15478"</definedName>
    <definedName name="IQ_COMMERCIAL_INDUSTRIAL_GROSS_LOANS_FFIEC" hidden="1">"c13410"</definedName>
    <definedName name="IQ_COMMERCIAL_INDUSTRIAL_LOANS_DUE_30_89_FFIEC" hidden="1">"c13271"</definedName>
    <definedName name="IQ_COMMERCIAL_INDUSTRIAL_LOANS_DUE_90_FFIEC" hidden="1">"c13297"</definedName>
    <definedName name="IQ_COMMERCIAL_INDUSTRIAL_LOANS_LL_REC_DOM_FFIEC" hidden="1">"c12910"</definedName>
    <definedName name="IQ_COMMERCIAL_INDUSTRIAL_LOANS_NET_FDIC" hidden="1">"c6317"</definedName>
    <definedName name="IQ_COMMERCIAL_INDUSTRIAL_LOANS_NON_ACCRUAL_FFIEC" hidden="1">"c13323"</definedName>
    <definedName name="IQ_COMMERCIAL_INDUSTRIAL_NET_CHARGE_OFFS_FDIC" hidden="1">"c6636"</definedName>
    <definedName name="IQ_COMMERCIAL_INDUSTRIAL_NON_US_CHARGE_OFFS_FFIEC" hidden="1">"c13179"</definedName>
    <definedName name="IQ_COMMERCIAL_INDUSTRIAL_NON_US_DUE_30_89_FFIEC" hidden="1">"c15415"</definedName>
    <definedName name="IQ_COMMERCIAL_INDUSTRIAL_NON_US_DUE_90_FFIEC" hidden="1">"c15419"</definedName>
    <definedName name="IQ_COMMERCIAL_INDUSTRIAL_NON_US_NON_ACCRUAL_FFIEC" hidden="1">"c15464"</definedName>
    <definedName name="IQ_COMMERCIAL_INDUSTRIAL_NON_US_RECOV_FFIEC" hidden="1">"c13201"</definedName>
    <definedName name="IQ_COMMERCIAL_INDUSTRIAL_RECOVERIES_FDIC" hidden="1">"c6617"</definedName>
    <definedName name="IQ_COMMERCIAL_INDUSTRIAL_RISK_BASED_FFIEC" hidden="1">"c13431"</definedName>
    <definedName name="IQ_COMMERCIAL_INDUSTRIAL_TOTAL_LOANS_FOREIGN_FDIC" hidden="1">"c6451"</definedName>
    <definedName name="IQ_COMMERCIAL_INDUSTRIAL_TRADING_DOM_FFIEC" hidden="1">"c12932"</definedName>
    <definedName name="IQ_COMMERCIAL_INDUSTRIAL_US_CHARGE_OFFS_FFIEC" hidden="1">"c13178"</definedName>
    <definedName name="IQ_COMMERCIAL_INDUSTRIAL_US_DUE_30_89_FFIEC" hidden="1">"c15414"</definedName>
    <definedName name="IQ_COMMERCIAL_INDUSTRIAL_US_DUE_90_FFIEC" hidden="1">"c15418"</definedName>
    <definedName name="IQ_COMMERCIAL_INDUSTRIAL_US_NON_ACCRUAL_FFIEC" hidden="1">"c15463"</definedName>
    <definedName name="IQ_COMMERCIAL_INDUSTRIAL_US_RECOV_FFIEC" hidden="1">"c13200"</definedName>
    <definedName name="IQ_COMMERCIAL_MORT" hidden="1">"c179"</definedName>
    <definedName name="IQ_COMMERCIAL_OTHER_LOC_FFIEC" hidden="1">"c13253"</definedName>
    <definedName name="IQ_COMMERCIAL_PAPER_ASSETS_TOT_FFIEC" hidden="1">"c13449"</definedName>
    <definedName name="IQ_COMMERCIAL_PAPER_FFIEC" hidden="1">"c12863"</definedName>
    <definedName name="IQ_COMMERCIAL_RE_CONSTRUCTION_LAND_DEV_FDIC" hidden="1">"c6526"</definedName>
    <definedName name="IQ_COMMERCIAL_RE_GROSS_LOANS_FFIEC" hidden="1">"c13400"</definedName>
    <definedName name="IQ_COMMERCIAL_RE_LOANS_FDIC" hidden="1">"c6312"</definedName>
    <definedName name="IQ_COMMERCIAL_RE_RISK_BASED_FFIEC" hidden="1">"c13421"</definedName>
    <definedName name="IQ_COMMISS_FEES" hidden="1">"c180"</definedName>
    <definedName name="IQ_COMMISSION_DEF" hidden="1">"c181"</definedName>
    <definedName name="IQ_COMMITMENTS_BUY_SEC_OTHER_OFF_BS_FFIEC" hidden="1">"c13128"</definedName>
    <definedName name="IQ_COMMITMENTS_COMMERCIAL_RE_UNUSED_FFIEC" hidden="1">"c13243"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ITMENTS_SELL_SEC_OTHER_OFF_BS_FFIEC" hidden="1">"c13129"</definedName>
    <definedName name="IQ_COMMODITY_EXPOSURE_FFIEC" hidden="1">"c13061"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" hidden="1">"c6202"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CAGR" hidden="1">"c6060"</definedName>
    <definedName name="IQ_COMMON_EQUITY_10YR_ANN_GROWTH" hidden="1">"c191"</definedName>
    <definedName name="IQ_COMMON_EQUITY_1YR_ANN_GROWTH" hidden="1">"c192"</definedName>
    <definedName name="IQ_COMMON_EQUITY_2YR_ANN_CAGR" hidden="1">"c6061"</definedName>
    <definedName name="IQ_COMMON_EQUITY_2YR_ANN_GROWTH" hidden="1">"c193"</definedName>
    <definedName name="IQ_COMMON_EQUITY_3YR_ANN_CAGR" hidden="1">"c6062"</definedName>
    <definedName name="IQ_COMMON_EQUITY_3YR_ANN_GROWTH" hidden="1">"c194"</definedName>
    <definedName name="IQ_COMMON_EQUITY_5YR_ANN_CAGR" hidden="1">"c6063"</definedName>
    <definedName name="IQ_COMMON_EQUITY_5YR_ANN_GROWTH" hidden="1">"c195"</definedName>
    <definedName name="IQ_COMMON_EQUITY_7YR_ANN_CAGR" hidden="1">"c6064"</definedName>
    <definedName name="IQ_COMMON_EQUITY_7YR_ANN_GROWTH" hidden="1">"c196"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" hidden="1">"c6203"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" hidden="1">"c6204"</definedName>
    <definedName name="IQ_COMMON_REP_REIT" hidden="1">"c211"</definedName>
    <definedName name="IQ_COMMON_REP_UTI" hidden="1">"c212"</definedName>
    <definedName name="IQ_COMMON_STOCK" hidden="1">"c182"</definedName>
    <definedName name="IQ_COMMON_STOCK_FFIEC" hidden="1">"c12876"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NOTE" hidden="1">"c6792"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ICKER_NO_EXCH" hidden="1">"c15490"</definedName>
    <definedName name="IQ_COMPANY_TYPE" hidden="1">"c2096"</definedName>
    <definedName name="IQ_COMPANY_WEBSITE" hidden="1">"c220"</definedName>
    <definedName name="IQ_COMPANY_ZIP" hidden="1">"c221"</definedName>
    <definedName name="IQ_COMPETITOR_ALL" hidden="1">"c13754"</definedName>
    <definedName name="IQ_COMPETITOR_NAMED_BY_COMPANY" hidden="1">"c13751"</definedName>
    <definedName name="IQ_COMPETITOR_NAMED_BY_COMPETITOR" hidden="1">"c13752"</definedName>
    <definedName name="IQ_COMPETITOR_NAMED_BY_THIRDPARTY" hidden="1">"c13753"</definedName>
    <definedName name="IQ_COMPOSITE_CYCLICAL_IND" hidden="1">"c6830"</definedName>
    <definedName name="IQ_COMPOSITE_CYCLICAL_IND_APR" hidden="1">"c7490"</definedName>
    <definedName name="IQ_COMPOSITE_CYCLICAL_IND_APR_FC" hidden="1">"c8370"</definedName>
    <definedName name="IQ_COMPOSITE_CYCLICAL_IND_FC" hidden="1">"c7710"</definedName>
    <definedName name="IQ_COMPOSITE_CYCLICAL_IND_POP" hidden="1">"c7050"</definedName>
    <definedName name="IQ_COMPOSITE_CYCLICAL_IND_POP_FC" hidden="1">"c7930"</definedName>
    <definedName name="IQ_COMPOSITE_CYCLICAL_IND_YOY" hidden="1">"c7270"</definedName>
    <definedName name="IQ_COMPOSITE_CYCLICAL_IND_YOY_FC" hidden="1">"c8150"</definedName>
    <definedName name="IQ_CONSOL_BEDS" hidden="1">"c8782"</definedName>
    <definedName name="IQ_CONSOL_PROP_OPERATIONAL" hidden="1">"c8758"</definedName>
    <definedName name="IQ_CONSOL_PROP_OTHER_OWNED" hidden="1">"c8760"</definedName>
    <definedName name="IQ_CONSOL_PROP_TOTAL" hidden="1">"c8761"</definedName>
    <definedName name="IQ_CONSOL_PROP_UNDEVELOPED" hidden="1">"c8759"</definedName>
    <definedName name="IQ_CONSOL_ROOMS" hidden="1">"c8786"</definedName>
    <definedName name="IQ_CONSOL_SQ_FT_OPERATIONAL" hidden="1">"c8774"</definedName>
    <definedName name="IQ_CONSOL_SQ_FT_OTHER_OWNED" hidden="1">"c8776"</definedName>
    <definedName name="IQ_CONSOL_SQ_FT_TOTAL" hidden="1">"c8777"</definedName>
    <definedName name="IQ_CONSOL_SQ_FT_UNDEVELOPED" hidden="1">"c8775"</definedName>
    <definedName name="IQ_CONSOL_UNITS_OPERATIONAL" hidden="1">"c8766"</definedName>
    <definedName name="IQ_CONSOL_UNITS_OTHER_OWNED" hidden="1">"c8768"</definedName>
    <definedName name="IQ_CONSOL_UNITS_TOTAL" hidden="1">"c8769"</definedName>
    <definedName name="IQ_CONSOL_UNITS_UNDEVELOPED" hidden="1">"c8767"</definedName>
    <definedName name="IQ_CONSOLIDATED_ASSETS_QUARTERLY_AVG_FFIEC" hidden="1">"c13087"</definedName>
    <definedName name="IQ_CONSOLIDATED_NI_FOREIGN_FFIEC" hidden="1">"c15396"</definedName>
    <definedName name="IQ_CONST_LAND_DEV_LOANS_TOT_LOANS_FFIEC" hidden="1">"c13865"</definedName>
    <definedName name="IQ_CONST_LAND_DEVELOP_OTHER_DOM_CHARGE_OFFS_FFIEC" hidden="1">"c13628"</definedName>
    <definedName name="IQ_CONST_LAND_DEVELOP_OTHER_DOM_RECOV_FFIEC" hidden="1">"c13632"</definedName>
    <definedName name="IQ_CONSTRUCTION_DEV_LOANS_FDIC" hidden="1">"c6313"</definedName>
    <definedName name="IQ_CONSTRUCTION_LAND_DEV_DOM_FFIEC" hidden="1">"c15267"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L_REC_DOM_FFIEC" hidden="1">"c12900"</definedName>
    <definedName name="IQ_CONSTRUCTION_LOANS" hidden="1">"c222"</definedName>
    <definedName name="IQ_CONSTRUCTION_LOANS_DOM_DUE_30_89_FFIEC" hidden="1">"c13256"</definedName>
    <definedName name="IQ_CONSTRUCTION_LOANS_DOM_DUE_90_FFIEC" hidden="1">"c13284"</definedName>
    <definedName name="IQ_CONSTRUCTION_LOANS_DOM_NON_ACCRUAL_FFIEC" hidden="1">"c13310"</definedName>
    <definedName name="IQ_CONSTRUCTION_LOANS_GROSS_LOANS_FFIEC" hidden="1">"c13401"</definedName>
    <definedName name="IQ_CONSTRUCTION_RISK_BASED_FFIEC" hidden="1">"c13422"</definedName>
    <definedName name="IQ_CONSULTING_FFIEC" hidden="1">"c13055"</definedName>
    <definedName name="IQ_CONSUMER_COMFORT" hidden="1">"c6831"</definedName>
    <definedName name="IQ_CONSUMER_COMFORT_APR" hidden="1">"c7491"</definedName>
    <definedName name="IQ_CONSUMER_COMFORT_APR_FC" hidden="1">"c8371"</definedName>
    <definedName name="IQ_CONSUMER_COMFORT_FC" hidden="1">"c7711"</definedName>
    <definedName name="IQ_CONSUMER_COMFORT_POP" hidden="1">"c7051"</definedName>
    <definedName name="IQ_CONSUMER_COMFORT_POP_FC" hidden="1">"c7931"</definedName>
    <definedName name="IQ_CONSUMER_CONFIDENCE" hidden="1">"c6832"</definedName>
    <definedName name="IQ_CONSUMER_CONFIDENCE_APR" hidden="1">"c7492"</definedName>
    <definedName name="IQ_CONSUMER_CONFIDENCE_APR_FC" hidden="1">"c8372"</definedName>
    <definedName name="IQ_CONSUMER_CONFIDENCE_FC" hidden="1">"c7712"</definedName>
    <definedName name="IQ_CONSUMER_CONFIDENCE_POP" hidden="1">"c7052"</definedName>
    <definedName name="IQ_CONSUMER_CONFIDENCE_POP_FC" hidden="1">"c7932"</definedName>
    <definedName name="IQ_CONSUMER_CONFIDENCE_YOY" hidden="1">"c7272"</definedName>
    <definedName name="IQ_CONSUMER_CONFIDENCE_YOY_FC" hidden="1">"c8152"</definedName>
    <definedName name="IQ_CONSUMER_LEASES_LL_REC_FFIEC" hidden="1">"c12895"</definedName>
    <definedName name="IQ_CONSUMER_LENDING" hidden="1">"c6833"</definedName>
    <definedName name="IQ_CONSUMER_LENDING_APR" hidden="1">"c7493"</definedName>
    <definedName name="IQ_CONSUMER_LENDING_APR_FC" hidden="1">"c8373"</definedName>
    <definedName name="IQ_CONSUMER_LENDING_FC" hidden="1">"c7713"</definedName>
    <definedName name="IQ_CONSUMER_LENDING_GROSS" hidden="1">"c6878"</definedName>
    <definedName name="IQ_CONSUMER_LENDING_GROSS_APR" hidden="1">"c7538"</definedName>
    <definedName name="IQ_CONSUMER_LENDING_GROSS_APR_FC" hidden="1">"c8418"</definedName>
    <definedName name="IQ_CONSUMER_LENDING_GROSS_FC" hidden="1">"c7758"</definedName>
    <definedName name="IQ_CONSUMER_LENDING_GROSS_POP" hidden="1">"c7098"</definedName>
    <definedName name="IQ_CONSUMER_LENDING_GROSS_POP_FC" hidden="1">"c7978"</definedName>
    <definedName name="IQ_CONSUMER_LENDING_GROSS_YOY" hidden="1">"c7318"</definedName>
    <definedName name="IQ_CONSUMER_LENDING_GROSS_YOY_FC" hidden="1">"c8198"</definedName>
    <definedName name="IQ_CONSUMER_LENDING_NET" hidden="1">"c6922"</definedName>
    <definedName name="IQ_CONSUMER_LENDING_NET_APR" hidden="1">"c7582"</definedName>
    <definedName name="IQ_CONSUMER_LENDING_NET_APR_FC" hidden="1">"c8462"</definedName>
    <definedName name="IQ_CONSUMER_LENDING_NET_FC" hidden="1">"c7802"</definedName>
    <definedName name="IQ_CONSUMER_LENDING_NET_POP" hidden="1">"c7142"</definedName>
    <definedName name="IQ_CONSUMER_LENDING_NET_POP_FC" hidden="1">"c8022"</definedName>
    <definedName name="IQ_CONSUMER_LENDING_NET_YOY" hidden="1">"c7362"</definedName>
    <definedName name="IQ_CONSUMER_LENDING_NET_YOY_FC" hidden="1">"c8242"</definedName>
    <definedName name="IQ_CONSUMER_LENDING_POP" hidden="1">"c7053"</definedName>
    <definedName name="IQ_CONSUMER_LENDING_POP_FC" hidden="1">"c7933"</definedName>
    <definedName name="IQ_CONSUMER_LENDING_TOTAL" hidden="1">"c7018"</definedName>
    <definedName name="IQ_CONSUMER_LENDING_TOTAL_APR" hidden="1">"c7678"</definedName>
    <definedName name="IQ_CONSUMER_LENDING_TOTAL_APR_FC" hidden="1">"c8558"</definedName>
    <definedName name="IQ_CONSUMER_LENDING_TOTAL_FC" hidden="1">"c7898"</definedName>
    <definedName name="IQ_CONSUMER_LENDING_TOTAL_POP" hidden="1">"c7238"</definedName>
    <definedName name="IQ_CONSUMER_LENDING_TOTAL_POP_FC" hidden="1">"c8118"</definedName>
    <definedName name="IQ_CONSUMER_LENDING_TOTAL_YOY" hidden="1">"c7458"</definedName>
    <definedName name="IQ_CONSUMER_LENDING_TOTAL_YOY_FC" hidden="1">"c8338"</definedName>
    <definedName name="IQ_CONSUMER_LENDING_YOY" hidden="1">"c7273"</definedName>
    <definedName name="IQ_CONSUMER_LENDING_YOY_FC" hidden="1">"c8153"</definedName>
    <definedName name="IQ_CONSUMER_LOANS" hidden="1">"c223"</definedName>
    <definedName name="IQ_CONSUMER_LOANS_LL_REC_DOM_FFIEC" hidden="1">"c12911"</definedName>
    <definedName name="IQ_CONSUMER_LOANS_TOT_LOANS_FFIEC" hidden="1">"c13875"</definedName>
    <definedName name="IQ_CONSUMER_SPENDING" hidden="1">"c6834"</definedName>
    <definedName name="IQ_CONSUMER_SPENDING_APR" hidden="1">"c7494"</definedName>
    <definedName name="IQ_CONSUMER_SPENDING_APR_FC" hidden="1">"c8374"</definedName>
    <definedName name="IQ_CONSUMER_SPENDING_DURABLE" hidden="1">"c6835"</definedName>
    <definedName name="IQ_CONSUMER_SPENDING_DURABLE_APR" hidden="1">"c7495"</definedName>
    <definedName name="IQ_CONSUMER_SPENDING_DURABLE_APR_FC" hidden="1">"c8375"</definedName>
    <definedName name="IQ_CONSUMER_SPENDING_DURABLE_FC" hidden="1">"c7715"</definedName>
    <definedName name="IQ_CONSUMER_SPENDING_DURABLE_POP" hidden="1">"c7055"</definedName>
    <definedName name="IQ_CONSUMER_SPENDING_DURABLE_POP_FC" hidden="1">"c7935"</definedName>
    <definedName name="IQ_CONSUMER_SPENDING_DURABLE_REAL" hidden="1">"c6964"</definedName>
    <definedName name="IQ_CONSUMER_SPENDING_DURABLE_REAL_APR" hidden="1">"c7624"</definedName>
    <definedName name="IQ_CONSUMER_SPENDING_DURABLE_REAL_APR_FC" hidden="1">"c8504"</definedName>
    <definedName name="IQ_CONSUMER_SPENDING_DURABLE_REAL_FC" hidden="1">"c7844"</definedName>
    <definedName name="IQ_CONSUMER_SPENDING_DURABLE_REAL_POP" hidden="1">"c7184"</definedName>
    <definedName name="IQ_CONSUMER_SPENDING_DURABLE_REAL_POP_FC" hidden="1">"c8064"</definedName>
    <definedName name="IQ_CONSUMER_SPENDING_DURABLE_REAL_SAAR" hidden="1">"c6965"</definedName>
    <definedName name="IQ_CONSUMER_SPENDING_DURABLE_REAL_SAAR_APR" hidden="1">"c7625"</definedName>
    <definedName name="IQ_CONSUMER_SPENDING_DURABLE_REAL_SAAR_APR_FC" hidden="1">"c8505"</definedName>
    <definedName name="IQ_CONSUMER_SPENDING_DURABLE_REAL_SAAR_FC" hidden="1">"c7845"</definedName>
    <definedName name="IQ_CONSUMER_SPENDING_DURABLE_REAL_SAAR_POP" hidden="1">"c7185"</definedName>
    <definedName name="IQ_CONSUMER_SPENDING_DURABLE_REAL_SAAR_POP_FC" hidden="1">"c8065"</definedName>
    <definedName name="IQ_CONSUMER_SPENDING_DURABLE_REAL_SAAR_YOY" hidden="1">"c7405"</definedName>
    <definedName name="IQ_CONSUMER_SPENDING_DURABLE_REAL_SAAR_YOY_FC" hidden="1">"c8285"</definedName>
    <definedName name="IQ_CONSUMER_SPENDING_DURABLE_REAL_YOY" hidden="1">"c7404"</definedName>
    <definedName name="IQ_CONSUMER_SPENDING_DURABLE_REAL_YOY_FC" hidden="1">"c8284"</definedName>
    <definedName name="IQ_CONSUMER_SPENDING_DURABLE_YOY" hidden="1">"c7275"</definedName>
    <definedName name="IQ_CONSUMER_SPENDING_DURABLE_YOY_FC" hidden="1">"c8155"</definedName>
    <definedName name="IQ_CONSUMER_SPENDING_FC" hidden="1">"c7714"</definedName>
    <definedName name="IQ_CONSUMER_SPENDING_NONDURABLE" hidden="1">"c6836"</definedName>
    <definedName name="IQ_CONSUMER_SPENDING_NONDURABLE_APR" hidden="1">"c7496"</definedName>
    <definedName name="IQ_CONSUMER_SPENDING_NONDURABLE_APR_FC" hidden="1">"c8376"</definedName>
    <definedName name="IQ_CONSUMER_SPENDING_NONDURABLE_FC" hidden="1">"c7716"</definedName>
    <definedName name="IQ_CONSUMER_SPENDING_NONDURABLE_POP" hidden="1">"c7056"</definedName>
    <definedName name="IQ_CONSUMER_SPENDING_NONDURABLE_POP_FC" hidden="1">"c7936"</definedName>
    <definedName name="IQ_CONSUMER_SPENDING_NONDURABLE_REAL" hidden="1">"c6966"</definedName>
    <definedName name="IQ_CONSUMER_SPENDING_NONDURABLE_REAL_APR" hidden="1">"c7626"</definedName>
    <definedName name="IQ_CONSUMER_SPENDING_NONDURABLE_REAL_APR_FC" hidden="1">"c8506"</definedName>
    <definedName name="IQ_CONSUMER_SPENDING_NONDURABLE_REAL_FC" hidden="1">"c7846"</definedName>
    <definedName name="IQ_CONSUMER_SPENDING_NONDURABLE_REAL_POP" hidden="1">"c7186"</definedName>
    <definedName name="IQ_CONSUMER_SPENDING_NONDURABLE_REAL_POP_FC" hidden="1">"c8066"</definedName>
    <definedName name="IQ_CONSUMER_SPENDING_NONDURABLE_REAL_SAAR" hidden="1">"c6967"</definedName>
    <definedName name="IQ_CONSUMER_SPENDING_NONDURABLE_REAL_SAAR_APR" hidden="1">"c7627"</definedName>
    <definedName name="IQ_CONSUMER_SPENDING_NONDURABLE_REAL_SAAR_APR_FC" hidden="1">"c8507"</definedName>
    <definedName name="IQ_CONSUMER_SPENDING_NONDURABLE_REAL_SAAR_FC" hidden="1">"c7847"</definedName>
    <definedName name="IQ_CONSUMER_SPENDING_NONDURABLE_REAL_SAAR_POP" hidden="1">"c7187"</definedName>
    <definedName name="IQ_CONSUMER_SPENDING_NONDURABLE_REAL_SAAR_POP_FC" hidden="1">"c8067"</definedName>
    <definedName name="IQ_CONSUMER_SPENDING_NONDURABLE_REAL_SAAR_YOY" hidden="1">"c7407"</definedName>
    <definedName name="IQ_CONSUMER_SPENDING_NONDURABLE_REAL_SAAR_YOY_FC" hidden="1">"c8287"</definedName>
    <definedName name="IQ_CONSUMER_SPENDING_NONDURABLE_REAL_YOY" hidden="1">"c7406"</definedName>
    <definedName name="IQ_CONSUMER_SPENDING_NONDURABLE_REAL_YOY_FC" hidden="1">"c8286"</definedName>
    <definedName name="IQ_CONSUMER_SPENDING_NONDURABLE_YOY" hidden="1">"c7276"</definedName>
    <definedName name="IQ_CONSUMER_SPENDING_NONDURABLE_YOY_FC" hidden="1">"c8156"</definedName>
    <definedName name="IQ_CONSUMER_SPENDING_POP" hidden="1">"c7054"</definedName>
    <definedName name="IQ_CONSUMER_SPENDING_POP_FC" hidden="1">"c7934"</definedName>
    <definedName name="IQ_CONSUMER_SPENDING_REAL" hidden="1">"c6963"</definedName>
    <definedName name="IQ_CONSUMER_SPENDING_REAL_APR" hidden="1">"c7623"</definedName>
    <definedName name="IQ_CONSUMER_SPENDING_REAL_APR_FC" hidden="1">"c8503"</definedName>
    <definedName name="IQ_CONSUMER_SPENDING_REAL_FC" hidden="1">"c7843"</definedName>
    <definedName name="IQ_CONSUMER_SPENDING_REAL_POP" hidden="1">"c7183"</definedName>
    <definedName name="IQ_CONSUMER_SPENDING_REAL_POP_FC" hidden="1">"c8063"</definedName>
    <definedName name="IQ_CONSUMER_SPENDING_REAL_SAAR" hidden="1">"c6968"</definedName>
    <definedName name="IQ_CONSUMER_SPENDING_REAL_SAAR_APR" hidden="1">"c7628"</definedName>
    <definedName name="IQ_CONSUMER_SPENDING_REAL_SAAR_APR_FC" hidden="1">"c8508"</definedName>
    <definedName name="IQ_CONSUMER_SPENDING_REAL_SAAR_FC" hidden="1">"c7848"</definedName>
    <definedName name="IQ_CONSUMER_SPENDING_REAL_SAAR_POP" hidden="1">"c7188"</definedName>
    <definedName name="IQ_CONSUMER_SPENDING_REAL_SAAR_POP_FC" hidden="1">"c8068"</definedName>
    <definedName name="IQ_CONSUMER_SPENDING_REAL_SAAR_YOY" hidden="1">"c7408"</definedName>
    <definedName name="IQ_CONSUMER_SPENDING_REAL_SAAR_YOY_FC" hidden="1">"c8288"</definedName>
    <definedName name="IQ_CONSUMER_SPENDING_REAL_USD_APR_FC" hidden="1">"c11921"</definedName>
    <definedName name="IQ_CONSUMER_SPENDING_REAL_USD_FC" hidden="1">"c11918"</definedName>
    <definedName name="IQ_CONSUMER_SPENDING_REAL_USD_POP_FC" hidden="1">"c11919"</definedName>
    <definedName name="IQ_CONSUMER_SPENDING_REAL_USD_YOY_FC" hidden="1">"c11920"</definedName>
    <definedName name="IQ_CONSUMER_SPENDING_REAL_YOY" hidden="1">"c7403"</definedName>
    <definedName name="IQ_CONSUMER_SPENDING_REAL_YOY_FC" hidden="1">"c8283"</definedName>
    <definedName name="IQ_CONSUMER_SPENDING_SERVICES" hidden="1">"c6837"</definedName>
    <definedName name="IQ_CONSUMER_SPENDING_SERVICES_APR" hidden="1">"c7497"</definedName>
    <definedName name="IQ_CONSUMER_SPENDING_SERVICES_APR_FC" hidden="1">"c8377"</definedName>
    <definedName name="IQ_CONSUMER_SPENDING_SERVICES_FC" hidden="1">"c7717"</definedName>
    <definedName name="IQ_CONSUMER_SPENDING_SERVICES_POP" hidden="1">"c7057"</definedName>
    <definedName name="IQ_CONSUMER_SPENDING_SERVICES_POP_FC" hidden="1">"c7937"</definedName>
    <definedName name="IQ_CONSUMER_SPENDING_SERVICES_REAL" hidden="1">"c6969"</definedName>
    <definedName name="IQ_CONSUMER_SPENDING_SERVICES_REAL_APR" hidden="1">"c7629"</definedName>
    <definedName name="IQ_CONSUMER_SPENDING_SERVICES_REAL_APR_FC" hidden="1">"c8509"</definedName>
    <definedName name="IQ_CONSUMER_SPENDING_SERVICES_REAL_FC" hidden="1">"c7849"</definedName>
    <definedName name="IQ_CONSUMER_SPENDING_SERVICES_REAL_POP" hidden="1">"c7189"</definedName>
    <definedName name="IQ_CONSUMER_SPENDING_SERVICES_REAL_POP_FC" hidden="1">"c8069"</definedName>
    <definedName name="IQ_CONSUMER_SPENDING_SERVICES_REAL_SAAR" hidden="1">"c6970"</definedName>
    <definedName name="IQ_CONSUMER_SPENDING_SERVICES_REAL_SAAR_APR" hidden="1">"c7630"</definedName>
    <definedName name="IQ_CONSUMER_SPENDING_SERVICES_REAL_SAAR_APR_FC" hidden="1">"c8510"</definedName>
    <definedName name="IQ_CONSUMER_SPENDING_SERVICES_REAL_SAAR_FC" hidden="1">"c7850"</definedName>
    <definedName name="IQ_CONSUMER_SPENDING_SERVICES_REAL_SAAR_POP" hidden="1">"c7190"</definedName>
    <definedName name="IQ_CONSUMER_SPENDING_SERVICES_REAL_SAAR_POP_FC" hidden="1">"c8070"</definedName>
    <definedName name="IQ_CONSUMER_SPENDING_SERVICES_REAL_SAAR_YOY" hidden="1">"c7410"</definedName>
    <definedName name="IQ_CONSUMER_SPENDING_SERVICES_REAL_SAAR_YOY_FC" hidden="1">"c8290"</definedName>
    <definedName name="IQ_CONSUMER_SPENDING_SERVICES_REAL_YOY" hidden="1">"c7409"</definedName>
    <definedName name="IQ_CONSUMER_SPENDING_SERVICES_REAL_YOY_FC" hidden="1">"c8289"</definedName>
    <definedName name="IQ_CONSUMER_SPENDING_SERVICES_YOY" hidden="1">"c7277"</definedName>
    <definedName name="IQ_CONSUMER_SPENDING_SERVICES_YOY_FC" hidden="1">"c8157"</definedName>
    <definedName name="IQ_CONSUMER_SPENDING_YOY" hidden="1">"c7274"</definedName>
    <definedName name="IQ_CONSUMER_SPENDING_YOY_FC" hidden="1">"c8154"</definedName>
    <definedName name="IQ_CONTRACTS_OTHER_COMMODITIES_EQUITIES._FDIC" hidden="1">"c6522"</definedName>
    <definedName name="IQ_CONTRACTS_OTHER_COMMODITIES_EQUITIES_FDIC" hidden="1">"c6522"</definedName>
    <definedName name="IQ_CONTRIBUTOR_CIQID" hidden="1">"c13742"</definedName>
    <definedName name="IQ_CONTRIBUTOR_NAME" hidden="1">"c13735"</definedName>
    <definedName name="IQ_CONTRIBUTOR_START_DATE" hidden="1">"c13741"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E" hidden="1">"c2192"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SION_COMMON_FFIEC" hidden="1">"c12964"</definedName>
    <definedName name="IQ_CONVERSION_PREF_FFIEC" hidden="1">"c12962"</definedName>
    <definedName name="IQ_CONVERT" hidden="1">"c2536"</definedName>
    <definedName name="IQ_CONVERT_DEBT" hidden="1">"c224"</definedName>
    <definedName name="IQ_CONVERT_PCT" hidden="1">"c2537"</definedName>
    <definedName name="IQ_CONVEXITY" hidden="1">"c2182"</definedName>
    <definedName name="IQ_CONVEYED_TO_OTHERS_FDIC" hidden="1">"c6534"</definedName>
    <definedName name="IQ_COO_ID" hidden="1">"c15222"</definedName>
    <definedName name="IQ_COO_NAME" hidden="1">"c15221"</definedName>
    <definedName name="IQ_CORE_CAPITAL_RATIO_FDIC" hidden="1">"c6745"</definedName>
    <definedName name="IQ_CORE_DEPOSITS_ASSETS_TOT_FFIEC" hidden="1">"c13442"</definedName>
    <definedName name="IQ_CORE_DEPOSITS_FFIEC" hidden="1">"c13862"</definedName>
    <definedName name="IQ_CORE_DEPOSITS_TOT_DEPOSITS_FFIEC" hidden="1">"c13911"</definedName>
    <definedName name="IQ_CORE_TIER_ONE_CAPITAL" hidden="1">"c15244"</definedName>
    <definedName name="IQ_CORE_TIER_ONE_CAPITAL_RATIO" hidden="1">"c15240"</definedName>
    <definedName name="IQ_CORP_GOODS_PRICE_INDEX_APR_FC_UNUSED" hidden="1">"c8381"</definedName>
    <definedName name="IQ_CORP_GOODS_PRICE_INDEX_APR_FC_UNUSED_UNUSED_UNUSED" hidden="1">"c8381"</definedName>
    <definedName name="IQ_CORP_GOODS_PRICE_INDEX_APR_UNUSED" hidden="1">"c7501"</definedName>
    <definedName name="IQ_CORP_GOODS_PRICE_INDEX_APR_UNUSED_UNUSED_UNUSED" hidden="1">"c7501"</definedName>
    <definedName name="IQ_CORP_GOODS_PRICE_INDEX_FC_UNUSED" hidden="1">"c7721"</definedName>
    <definedName name="IQ_CORP_GOODS_PRICE_INDEX_FC_UNUSED_UNUSED_UNUSED" hidden="1">"c7721"</definedName>
    <definedName name="IQ_CORP_GOODS_PRICE_INDEX_POP_FC_UNUSED" hidden="1">"c7941"</definedName>
    <definedName name="IQ_CORP_GOODS_PRICE_INDEX_POP_FC_UNUSED_UNUSED_UNUSED" hidden="1">"c7941"</definedName>
    <definedName name="IQ_CORP_GOODS_PRICE_INDEX_POP_UNUSED" hidden="1">"c7061"</definedName>
    <definedName name="IQ_CORP_GOODS_PRICE_INDEX_POP_UNUSED_UNUSED_UNUSED" hidden="1">"c7061"</definedName>
    <definedName name="IQ_CORP_GOODS_PRICE_INDEX_UNUSED" hidden="1">"c6841"</definedName>
    <definedName name="IQ_CORP_GOODS_PRICE_INDEX_UNUSED_UNUSED_UNUSED" hidden="1">"c6841"</definedName>
    <definedName name="IQ_CORP_GOODS_PRICE_INDEX_YOY_FC_UNUSED" hidden="1">"c8161"</definedName>
    <definedName name="IQ_CORP_GOODS_PRICE_INDEX_YOY_FC_UNUSED_UNUSED_UNUSED" hidden="1">"c8161"</definedName>
    <definedName name="IQ_CORP_GOODS_PRICE_INDEX_YOY_UNUSED" hidden="1">"c7281"</definedName>
    <definedName name="IQ_CORP_GOODS_PRICE_INDEX_YOY_UNUSED_UNUSED_UNUSED" hidden="1">"c7281"</definedName>
    <definedName name="IQ_CORP_PROFITS" hidden="1">"c6843"</definedName>
    <definedName name="IQ_CORP_PROFITS_AFTER_TAX_SAAR" hidden="1">"c6842"</definedName>
    <definedName name="IQ_CORP_PROFITS_AFTER_TAX_SAAR_APR" hidden="1">"c7502"</definedName>
    <definedName name="IQ_CORP_PROFITS_AFTER_TAX_SAAR_APR_FC" hidden="1">"c8382"</definedName>
    <definedName name="IQ_CORP_PROFITS_AFTER_TAX_SAAR_FC" hidden="1">"c7722"</definedName>
    <definedName name="IQ_CORP_PROFITS_AFTER_TAX_SAAR_POP" hidden="1">"c7062"</definedName>
    <definedName name="IQ_CORP_PROFITS_AFTER_TAX_SAAR_POP_FC" hidden="1">"c7942"</definedName>
    <definedName name="IQ_CORP_PROFITS_AFTER_TAX_SAAR_YOY" hidden="1">"c7282"</definedName>
    <definedName name="IQ_CORP_PROFITS_AFTER_TAX_SAAR_YOY_FC" hidden="1">"c8162"</definedName>
    <definedName name="IQ_CORP_PROFITS_APR" hidden="1">"c7503"</definedName>
    <definedName name="IQ_CORP_PROFITS_APR_FC" hidden="1">"c8383"</definedName>
    <definedName name="IQ_CORP_PROFITS_FC" hidden="1">"c7723"</definedName>
    <definedName name="IQ_CORP_PROFITS_POP" hidden="1">"c7063"</definedName>
    <definedName name="IQ_CORP_PROFITS_POP_FC" hidden="1">"c7943"</definedName>
    <definedName name="IQ_CORP_PROFITS_SAAR" hidden="1">"c6844"</definedName>
    <definedName name="IQ_CORP_PROFITS_SAAR_APR" hidden="1">"c7504"</definedName>
    <definedName name="IQ_CORP_PROFITS_SAAR_APR_FC" hidden="1">"c8384"</definedName>
    <definedName name="IQ_CORP_PROFITS_SAAR_FC" hidden="1">"c7724"</definedName>
    <definedName name="IQ_CORP_PROFITS_SAAR_POP" hidden="1">"c7064"</definedName>
    <definedName name="IQ_CORP_PROFITS_SAAR_POP_FC" hidden="1">"c7944"</definedName>
    <definedName name="IQ_CORP_PROFITS_SAAR_YOY" hidden="1">"c7284"</definedName>
    <definedName name="IQ_CORP_PROFITS_SAAR_YOY_FC" hidden="1">"c8164"</definedName>
    <definedName name="IQ_CORP_PROFITS_YOY" hidden="1">"c7283"</definedName>
    <definedName name="IQ_CORP_PROFITS_YOY_FC" hidden="1">"c8163"</definedName>
    <definedName name="IQ_CORPORATE_OVER_TOTAL" hidden="1">"c13767"</definedName>
    <definedName name="IQ_COST_BORROWED_FUNDS_FFIEC" hidden="1">"c13492"</definedName>
    <definedName name="IQ_COST_BORROWING" hidden="1">"c2936"</definedName>
    <definedName name="IQ_COST_BORROWINGS" hidden="1">"c225"</definedName>
    <definedName name="IQ_COST_CAPITAL_NEW_BUSINESS" hidden="1">"c9968"</definedName>
    <definedName name="IQ_COST_FOREIGN_DEPOSITS_FFIEC" hidden="1">"c13490"</definedName>
    <definedName name="IQ_COST_FUNDS_PURCHASED_FFIEC" hidden="1">"c13491"</definedName>
    <definedName name="IQ_COST_INT_DEPOSITS_FFIEC" hidden="1">"c13489"</definedName>
    <definedName name="IQ_COST_OF_FUNDING_ASSETS_FDIC" hidden="1">"c6725"</definedName>
    <definedName name="IQ_COST_REV" hidden="1">"c226"</definedName>
    <definedName name="IQ_COST_REVENUE" hidden="1">"c226"</definedName>
    <definedName name="IQ_COST_SAVINGS" hidden="1">"c227"</definedName>
    <definedName name="IQ_COST_SERVICE" hidden="1">"c228"</definedName>
    <definedName name="IQ_COST_SOLVENCY_CAPITAL_COVERED" hidden="1">"c9965"</definedName>
    <definedName name="IQ_COST_SOLVENCY_CAPITAL_GROUP" hidden="1">"c9951"</definedName>
    <definedName name="IQ_COST_TOTAL_BORROWINGS" hidden="1">"c229"</definedName>
    <definedName name="IQ_COUNTRY_NAME" hidden="1">"c230"</definedName>
    <definedName name="IQ_COUNTRY_NAME_ECON" hidden="1">"c11752"</definedName>
    <definedName name="IQ_COUPON_FORMULA" hidden="1">"c8965"</definedName>
    <definedName name="IQ_COVERAGE_RATIO" hidden="1">"c15243"</definedName>
    <definedName name="IQ_COVERED_POPS" hidden="1">"c2124"</definedName>
    <definedName name="IQ_CP" hidden="1">"c2495"</definedName>
    <definedName name="IQ_CP_PCT" hidden="1">"c2496"</definedName>
    <definedName name="IQ_CPI" hidden="1">"c6845"</definedName>
    <definedName name="IQ_CPI_APR" hidden="1">"c7505"</definedName>
    <definedName name="IQ_CPI_APR_FC" hidden="1">"c8385"</definedName>
    <definedName name="IQ_CPI_CORE" hidden="1">"c6838"</definedName>
    <definedName name="IQ_CPI_CORE_APR" hidden="1">"c7498"</definedName>
    <definedName name="IQ_CPI_CORE_POP" hidden="1">"c7058"</definedName>
    <definedName name="IQ_CPI_CORE_YOY" hidden="1">"c7278"</definedName>
    <definedName name="IQ_CPI_FC" hidden="1">"c7725"</definedName>
    <definedName name="IQ_CPI_POP" hidden="1">"c7065"</definedName>
    <definedName name="IQ_CPI_POP_FC" hidden="1">"c7945"</definedName>
    <definedName name="IQ_CPI_YOY" hidden="1">"c7285"</definedName>
    <definedName name="IQ_CPI_YOY_FC" hidden="1">"c8165"</definedName>
    <definedName name="IQ_CQ" hidden="1">5000</definedName>
    <definedName name="IQ_CREDIT_CARD_CHARGE_OFFS_FDIC" hidden="1">"c6652"</definedName>
    <definedName name="IQ_CREDIT_CARD_FEE" hidden="1">"c231"</definedName>
    <definedName name="IQ_CREDIT_CARD_FEE_BNK" hidden="1">"c231"</definedName>
    <definedName name="IQ_CREDIT_CARD_FEE_FIN" hidden="1">"c1583"</definedName>
    <definedName name="IQ_CREDIT_CARD_GROSS_LOANS_FFIEC" hidden="1">"c13412"</definedName>
    <definedName name="IQ_CREDIT_CARD_INTERCHANGE_FEES_FFIEC" hidden="1">"c13046"</definedName>
    <definedName name="IQ_CREDIT_CARD_LINES_FDIC" hidden="1">"c6525"</definedName>
    <definedName name="IQ_CREDIT_CARD_LINES_UNUSED_FFIEC" hidden="1">"c13242"</definedName>
    <definedName name="IQ_CREDIT_CARD_LOANS_CHARGE_OFFS_FFIEC" hidden="1">"c13180"</definedName>
    <definedName name="IQ_CREDIT_CARD_LOANS_DOM_QUARTERLY_AVG_FFIEC" hidden="1">"c15480"</definedName>
    <definedName name="IQ_CREDIT_CARD_LOANS_DUE_30_89_FFIEC" hidden="1">"c13272"</definedName>
    <definedName name="IQ_CREDIT_CARD_LOANS_DUE_90_FFIEC" hidden="1">"c13298"</definedName>
    <definedName name="IQ_CREDIT_CARD_LOANS_FDIC" hidden="1">"c6319"</definedName>
    <definedName name="IQ_CREDIT_CARD_LOANS_NON_ACCRUAL_FFIEC" hidden="1">"c13324"</definedName>
    <definedName name="IQ_CREDIT_CARD_LOANS_RECOV_FFIEC" hidden="1">"c13202"</definedName>
    <definedName name="IQ_CREDIT_CARD_NET_CHARGE_OFFS_FDIC" hidden="1">"c6654"</definedName>
    <definedName name="IQ_CREDIT_CARD_RECOVERIES_FDIC" hidden="1">"c6653"</definedName>
    <definedName name="IQ_CREDIT_CARD_RISK_BASED_FFIEC" hidden="1">"c13433"</definedName>
    <definedName name="IQ_CREDIT_CARDS_CONSUMER_LOANS_FFIEC" hidden="1">"c12822"</definedName>
    <definedName name="IQ_CREDIT_CARDS_LL_REC_FFIEC" hidden="1">"c12889"</definedName>
    <definedName name="IQ_CREDIT_CARDS_LOANS_TRADING_DOM_FFIEC" hidden="1">"c12933"</definedName>
    <definedName name="IQ_CREDIT_EXPOSURE" hidden="1">"c10038"</definedName>
    <definedName name="IQ_CREDIT_EXPOSURE_FFIEC" hidden="1">"c13062"</definedName>
    <definedName name="IQ_CREDIT_LOSS_CF" hidden="1">"c232"</definedName>
    <definedName name="IQ_CREDIT_LOSS_PROVISION_NET_CHARGE_OFFS_FDIC" hidden="1">"c6734"</definedName>
    <definedName name="IQ_CREDIT_LOSSES_DERIVATIVES_FFIEC" hidden="1">"c13068"</definedName>
    <definedName name="IQ_CREDIT_OPTIONS_DERIVATIVES_BENEFICIARY_FFIEC" hidden="1">"c13121"</definedName>
    <definedName name="IQ_CREDIT_OPTIONS_DERIVATIVES_GUARANTOR_FFIEC" hidden="1">"c13114"</definedName>
    <definedName name="IQ_CUMULATIVE_PREFERREDS_T2_FFIEC" hidden="1">"c13145"</definedName>
    <definedName name="IQ_CUMULATIVE_SPLIT_FACTOR" hidden="1">"c2094"</definedName>
    <definedName name="IQ_CURR_ACCT_BALANCE_APR_FC_UNUSED" hidden="1">"c8387"</definedName>
    <definedName name="IQ_CURR_ACCT_BALANCE_APR_FC_UNUSED_UNUSED_UNUSED" hidden="1">"c8387"</definedName>
    <definedName name="IQ_CURR_ACCT_BALANCE_APR_UNUSED" hidden="1">"c7507"</definedName>
    <definedName name="IQ_CURR_ACCT_BALANCE_APR_UNUSED_UNUSED_UNUSED" hidden="1">"c7507"</definedName>
    <definedName name="IQ_CURR_ACCT_BALANCE_FC_UNUSED" hidden="1">"c7727"</definedName>
    <definedName name="IQ_CURR_ACCT_BALANCE_FC_UNUSED_UNUSED_UNUSED" hidden="1">"c7727"</definedName>
    <definedName name="IQ_CURR_ACCT_BALANCE_PCT" hidden="1">"c6846"</definedName>
    <definedName name="IQ_CURR_ACCT_BALANCE_PCT_FC" hidden="1">"c7726"</definedName>
    <definedName name="IQ_CURR_ACCT_BALANCE_PCT_POP" hidden="1">"c7066"</definedName>
    <definedName name="IQ_CURR_ACCT_BALANCE_PCT_POP_FC" hidden="1">"c7946"</definedName>
    <definedName name="IQ_CURR_ACCT_BALANCE_PCT_YOY" hidden="1">"c7286"</definedName>
    <definedName name="IQ_CURR_ACCT_BALANCE_PCT_YOY_FC" hidden="1">"c8166"</definedName>
    <definedName name="IQ_CURR_ACCT_BALANCE_POP_FC_UNUSED" hidden="1">"c7947"</definedName>
    <definedName name="IQ_CURR_ACCT_BALANCE_POP_FC_UNUSED_UNUSED_UNUSED" hidden="1">"c7947"</definedName>
    <definedName name="IQ_CURR_ACCT_BALANCE_POP_UNUSED" hidden="1">"c7067"</definedName>
    <definedName name="IQ_CURR_ACCT_BALANCE_POP_UNUSED_UNUSED_UNUSED" hidden="1">"c7067"</definedName>
    <definedName name="IQ_CURR_ACCT_BALANCE_SAAR" hidden="1">"c6848"</definedName>
    <definedName name="IQ_CURR_ACCT_BALANCE_SAAR_APR" hidden="1">"c7508"</definedName>
    <definedName name="IQ_CURR_ACCT_BALANCE_SAAR_APR_FC" hidden="1">"c8388"</definedName>
    <definedName name="IQ_CURR_ACCT_BALANCE_SAAR_FC" hidden="1">"c7728"</definedName>
    <definedName name="IQ_CURR_ACCT_BALANCE_SAAR_POP" hidden="1">"c7068"</definedName>
    <definedName name="IQ_CURR_ACCT_BALANCE_SAAR_POP_FC" hidden="1">"c7948"</definedName>
    <definedName name="IQ_CURR_ACCT_BALANCE_SAAR_USD_APR_FC" hidden="1">"c11797"</definedName>
    <definedName name="IQ_CURR_ACCT_BALANCE_SAAR_USD_FC" hidden="1">"c11794"</definedName>
    <definedName name="IQ_CURR_ACCT_BALANCE_SAAR_USD_POP_FC" hidden="1">"c11795"</definedName>
    <definedName name="IQ_CURR_ACCT_BALANCE_SAAR_USD_YOY_FC" hidden="1">"c11796"</definedName>
    <definedName name="IQ_CURR_ACCT_BALANCE_SAAR_YOY" hidden="1">"c7288"</definedName>
    <definedName name="IQ_CURR_ACCT_BALANCE_SAAR_YOY_FC" hidden="1">"c8168"</definedName>
    <definedName name="IQ_CURR_ACCT_BALANCE_UNUSED" hidden="1">"c6847"</definedName>
    <definedName name="IQ_CURR_ACCT_BALANCE_UNUSED_UNUSED_UNUSED" hidden="1">"c6847"</definedName>
    <definedName name="IQ_CURR_ACCT_BALANCE_USD" hidden="1">"c11786"</definedName>
    <definedName name="IQ_CURR_ACCT_BALANCE_USD_APR" hidden="1">"c11789"</definedName>
    <definedName name="IQ_CURR_ACCT_BALANCE_USD_APR_FC" hidden="1">"c11793"</definedName>
    <definedName name="IQ_CURR_ACCT_BALANCE_USD_FC" hidden="1">"c11790"</definedName>
    <definedName name="IQ_CURR_ACCT_BALANCE_USD_POP" hidden="1">"c11787"</definedName>
    <definedName name="IQ_CURR_ACCT_BALANCE_USD_POP_FC" hidden="1">"c11791"</definedName>
    <definedName name="IQ_CURR_ACCT_BALANCE_USD_YOY" hidden="1">"c11788"</definedName>
    <definedName name="IQ_CURR_ACCT_BALANCE_USD_YOY_FC" hidden="1">"c11792"</definedName>
    <definedName name="IQ_CURR_ACCT_BALANCE_YOY_FC_UNUSED" hidden="1">"c8167"</definedName>
    <definedName name="IQ_CURR_ACCT_BALANCE_YOY_FC_UNUSED_UNUSED_UNUSED" hidden="1">"c8167"</definedName>
    <definedName name="IQ_CURR_ACCT_BALANCE_YOY_UNUSED" hidden="1">"c7287"</definedName>
    <definedName name="IQ_CURR_ACCT_BALANCE_YOY_UNUSED_UNUSED_UNUSED" hidden="1">"c7287"</definedName>
    <definedName name="IQ_CURR_ACCT_INC_RECEIPTS" hidden="1">"c6849"</definedName>
    <definedName name="IQ_CURR_ACCT_INC_RECEIPTS_APR" hidden="1">"c7509"</definedName>
    <definedName name="IQ_CURR_ACCT_INC_RECEIPTS_APR_FC" hidden="1">"c8389"</definedName>
    <definedName name="IQ_CURR_ACCT_INC_RECEIPTS_FC" hidden="1">"c7729"</definedName>
    <definedName name="IQ_CURR_ACCT_INC_RECEIPTS_POP" hidden="1">"c7069"</definedName>
    <definedName name="IQ_CURR_ACCT_INC_RECEIPTS_POP_FC" hidden="1">"c7949"</definedName>
    <definedName name="IQ_CURR_ACCT_INC_RECEIPTS_YOY" hidden="1">"c7289"</definedName>
    <definedName name="IQ_CURR_ACCT_INC_RECEIPTS_YOY_FC" hidden="1">"c8169"</definedName>
    <definedName name="IQ_CURR_DOMESTIC_TAXES" hidden="1">"c2074"</definedName>
    <definedName name="IQ_CURR_FOREIGN_TAXES" hidden="1">"c2075"</definedName>
    <definedName name="IQ_CURRENCY_COIN_DOM_FFIEC" hidden="1">"c15287"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" hidden="1">"c6205"</definedName>
    <definedName name="IQ_CURRENCY_GAIN_REIT" hidden="1">"c239"</definedName>
    <definedName name="IQ_CURRENCY_GAIN_UTI" hidden="1">"c240"</definedName>
    <definedName name="IQ_CURRENT_BENCHMARK" hidden="1">"c6780"</definedName>
    <definedName name="IQ_CURRENT_BENCHMARK_CIQID" hidden="1">"c6781"</definedName>
    <definedName name="IQ_CURRENT_BENCHMARK_MATURITY" hidden="1">"c6782"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" hidden="1">"c6283"</definedName>
    <definedName name="IQ_CURRENT_PORT_DEBT_REIT" hidden="1">"c1570"</definedName>
    <definedName name="IQ_CURRENT_PORT_DEBT_UTI" hidden="1">"c1571"</definedName>
    <definedName name="IQ_CURRENT_PORT_FHLB_DEBT" hidden="1">"c5657"</definedName>
    <definedName name="IQ_CURRENT_PORT_LEASES" hidden="1">"c245"</definedName>
    <definedName name="IQ_CURRENT_PORT_PCT" hidden="1">"c2541"</definedName>
    <definedName name="IQ_CURRENT_RATIO" hidden="1">"c246"</definedName>
    <definedName name="IQ_CUSIP" hidden="1">"c2245"</definedName>
    <definedName name="IQ_CUSTOMER_LIAB_ACCEPTANCES_OUT_FFIEC" hidden="1">"c12835"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" hidden="1">"c6206"</definedName>
    <definedName name="IQ_DA_CF_REIT" hidden="1">"c254"</definedName>
    <definedName name="IQ_DA_CF_UTI" hidden="1">"c255"</definedName>
    <definedName name="IQ_DA_EBITDA" hidden="1">"c5528"</definedName>
    <definedName name="IQ_DA_FIN" hidden="1">"c256"</definedName>
    <definedName name="IQ_DA_INS" hidden="1">"c257"</definedName>
    <definedName name="IQ_DA_RE" hidden="1">"c6207"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" hidden="1">"c6208"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" hidden="1">"c6209"</definedName>
    <definedName name="IQ_DA_SUPPL_REIT" hidden="1">"c270"</definedName>
    <definedName name="IQ_DA_SUPPL_UTI" hidden="1">"c271"</definedName>
    <definedName name="IQ_DA_UTI" hidden="1">"c272"</definedName>
    <definedName name="IQ_DAILY" hidden="1">500000</definedName>
    <definedName name="IQ_DATA_PROCESSING_EXP_FFIEC" hidden="1">"c13047"</definedName>
    <definedName name="IQ_DATED_DATE" hidden="1">"c2185"</definedName>
    <definedName name="IQ_DAY_COUNT" hidden="1">"c2161"</definedName>
    <definedName name="IQ_DAYS_COVER_SHORT" hidden="1">"c1578"</definedName>
    <definedName name="IQ_DAYS_DELAY" hidden="1">"c8963"</definedName>
    <definedName name="IQ_DAYS_INVENTORY_OUT" hidden="1">"c273"</definedName>
    <definedName name="IQ_DAYS_PAY_OUTST" hidden="1">"c274"</definedName>
    <definedName name="IQ_DAYS_PAYABLE_OUT" hidden="1">"c274"</definedName>
    <definedName name="IQ_DAYS_SALES_OUT" hidden="1">"c275"</definedName>
    <definedName name="IQ_DAYS_SALES_OUTST" hidden="1">"c275"</definedName>
    <definedName name="IQ_DEBT_1_5_INVEST_SECURITIES_FFIEC" hidden="1">"c13465"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BT_LESS_1YR_INVEST_SECURITIES_FFIEC" hidden="1">"c13464"</definedName>
    <definedName name="IQ_DEBT_MATURING_MORE_THAN_ONE_YEAR_FFIEC" hidden="1">"c13164"</definedName>
    <definedName name="IQ_DEBT_MATURING_WITHIN_ONE_YEAR_FFIEC" hidden="1">"c13163"</definedName>
    <definedName name="IQ_DEBT_SEC_OVER_5YR_INVEST_SECURITIES_FFIEC" hidden="1">"c13466"</definedName>
    <definedName name="IQ_DEBT_SECURITIES_FOREIGN_FFIEC" hidden="1">"c13484"</definedName>
    <definedName name="IQ_DEBT_SECURITIES_OTHER_ASSETS_DUE_30_89_FFIEC" hidden="1">"c13279"</definedName>
    <definedName name="IQ_DEBT_SECURITIES_OTHER_ASSETS_DUE_90_FFIEC" hidden="1">"c13305"</definedName>
    <definedName name="IQ_DEBT_SECURITIES_OTHER_ASSETS_NON_ACCRUAL_FFIEC" hidden="1">"c13331"</definedName>
    <definedName name="IQ_DECREASE_INT_EXPENSE_FFIEC" hidden="1">"c13064"</definedName>
    <definedName name="IQ_DEDUCTIONS_TOTAL_RISK_BASED_CAPITAL_FFIEC" hidden="1">"c13152"</definedName>
    <definedName name="IQ_DEF_ACQ_CST" hidden="1">"c301"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" hidden="1">"c6210"</definedName>
    <definedName name="IQ_DEF_CHARGES_LT_REIT" hidden="1">"c297"</definedName>
    <definedName name="IQ_DEF_CHARGES_LT_UTI" hidden="1">"c298"</definedName>
    <definedName name="IQ_DEF_CHARGES_RE" hidden="1">"c6211"</definedName>
    <definedName name="IQ_DEF_CHARGES_REIT" hidden="1">"c299"</definedName>
    <definedName name="IQ_DEF_CONTRIBUTION_TOTAL_COST" hidden="1">"c300"</definedName>
    <definedName name="IQ_DEF_INC_TAX" hidden="1">"c313"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SPENDING_REAL_SAAR" hidden="1">"c6971"</definedName>
    <definedName name="IQ_DEF_SPENDING_REAL_SAAR_APR" hidden="1">"c7631"</definedName>
    <definedName name="IQ_DEF_SPENDING_REAL_SAAR_APR_FC" hidden="1">"c8511"</definedName>
    <definedName name="IQ_DEF_SPENDING_REAL_SAAR_FC" hidden="1">"c7851"</definedName>
    <definedName name="IQ_DEF_SPENDING_REAL_SAAR_POP" hidden="1">"c7191"</definedName>
    <definedName name="IQ_DEF_SPENDING_REAL_SAAR_POP_FC" hidden="1">"c8071"</definedName>
    <definedName name="IQ_DEF_SPENDING_REAL_SAAR_YOY" hidden="1">"c7411"</definedName>
    <definedName name="IQ_DEF_SPENDING_REAL_SAAR_YOY_FC" hidden="1">"c8291"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" hidden="1">"c6212"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" hidden="1">"c6213"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"c315"</definedName>
    <definedName name="IQ_DEFERRED_TAX_ASSETS_FFIEC" hidden="1">"c12843"</definedName>
    <definedName name="IQ_DEFERRED_TAX_ASSETS_T1_FFIEC" hidden="1">"c13141"</definedName>
    <definedName name="IQ_DEFERRED_TAX_LIAB_FFIEC" hidden="1">"c12870"</definedName>
    <definedName name="IQ_DEFERRED_TAXES" hidden="1">"c147"</definedName>
    <definedName name="IQ_DEMAND_DEP" hidden="1">"c320"</definedName>
    <definedName name="IQ_DEMAND_DEPOSITS_COMMERCIAL_BANK_SUBS_FFIEC" hidden="1">"c12945"</definedName>
    <definedName name="IQ_DEMAND_DEPOSITS_FDIC" hidden="1">"c6489"</definedName>
    <definedName name="IQ_DEMAND_DEPOSITS_TOT_DEPOSITS_FFIEC" hidden="1">"c13902"</definedName>
    <definedName name="IQ_DEPOSIT_ACCOUNTS_LESS_THAN_100K_FDIC" hidden="1">"c6494"</definedName>
    <definedName name="IQ_DEPOSIT_ACCOUNTS_MORE_THAN_100K_FDIC" hidden="1">"c6492"</definedName>
    <definedName name="IQ_DEPOSITORY_INST_ACCEPTANCES_LL_REC_DOM_FFIEC" hidden="1">"c12908"</definedName>
    <definedName name="IQ_DEPOSITORY_INST_GROSS_LOANS_FFIEC" hidden="1">"c13409"</definedName>
    <definedName name="IQ_DEPOSITORY_INST_RISK_BASED_FFIEC" hidden="1">"c13430"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100K_MORE_ASSETS_TOT_FFIEC" hidden="1">"c13444"</definedName>
    <definedName name="IQ_DEPOSITS_DOM_FFIEC" hidden="1">"c12850"</definedName>
    <definedName name="IQ_DEPOSITS_FAIR_VALUE_TOT_FFIEC" hidden="1">"c13213"</definedName>
    <definedName name="IQ_DEPOSITS_FIN" hidden="1">"c321"</definedName>
    <definedName name="IQ_DEPOSITS_FOREIGN_BANKS_FOREIGN_AGENCIES_FFIEC" hidden="1">"c15344"</definedName>
    <definedName name="IQ_DEPOSITS_FOREIGN_FFIEC" hidden="1">"c12853"</definedName>
    <definedName name="IQ_DEPOSITS_HELD_DOMESTIC_FDIC" hidden="1">"c6340"</definedName>
    <definedName name="IQ_DEPOSITS_HELD_FOREIGN_FDIC" hidden="1">"c6341"</definedName>
    <definedName name="IQ_DEPOSITS_INTEREST_SECURITIES" hidden="1">"c5509"</definedName>
    <definedName name="IQ_DEPOSITS_LESS_100K_COMMERCIAL_BANK_SUBS_FFIEC" hidden="1">"c12948"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LEVEL_1_FFIEC" hidden="1">"c13221"</definedName>
    <definedName name="IQ_DEPOSITS_LEVEL_2_FFIEC" hidden="1">"c13229"</definedName>
    <definedName name="IQ_DEPOSITS_LEVEL_3_FFIEC" hidden="1">"c13237"</definedName>
    <definedName name="IQ_DEPOSITS_MORE_100K_COMMERCIAL_BANK_SUBS_FFIEC" hidden="1">"c12949"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hidden="1">"c247"</definedName>
    <definedName name="IQ_DEPRE_AMORT_SUPPL" hidden="1">"c1593"</definedName>
    <definedName name="IQ_DEPRE_DEPLE" hidden="1">"c261"</definedName>
    <definedName name="IQ_DEPRE_SUPP" hidden="1">"c1443"</definedName>
    <definedName name="IQ_DERIVATIVE_ASSETS_FAIR_VALUE_TOT_FFIEC" hidden="1">"c15403"</definedName>
    <definedName name="IQ_DERIVATIVE_ASSETS_LEVEL_1_FFIEC" hidden="1">"c15425"</definedName>
    <definedName name="IQ_DERIVATIVE_ASSETS_LEVEL_2_FFIEC" hidden="1">"c15438"</definedName>
    <definedName name="IQ_DERIVATIVE_ASSETS_LEVEL_3_FFIEC" hidden="1">"c15451"</definedName>
    <definedName name="IQ_DERIVATIVE_LIABILITIES_FAIR_VALUE_TOT_FFIEC" hidden="1">"c15407"</definedName>
    <definedName name="IQ_DERIVATIVE_LIABILITIES_LEVEL_1_FFIEC" hidden="1">"c15429"</definedName>
    <definedName name="IQ_DERIVATIVE_LIABILITIES_LEVEL_2_FFIEC" hidden="1">"c15442"</definedName>
    <definedName name="IQ_DERIVATIVE_LIABILITIES_LEVEL_3_FFIEC" hidden="1">"c15455"</definedName>
    <definedName name="IQ_DERIVATIVES_FDIC" hidden="1">"c6523"</definedName>
    <definedName name="IQ_DERIVATIVES_NEGATIVE_FAIR_VALUE_DOM_FFIEC" hidden="1">"c12943"</definedName>
    <definedName name="IQ_DERIVATIVES_NEGATIVE_VALUE_FFIEC" hidden="1">"c12861"</definedName>
    <definedName name="IQ_DERIVATIVES_POS_FAIR_VALUE_FFIEC" hidden="1">"c12827"</definedName>
    <definedName name="IQ_DERIVATIVES_POSITIVE_FAIR_VALUE_TRADING_DOM_FFIEC" hidden="1">"c12938"</definedName>
    <definedName name="IQ_DESCRIPTION_LONG" hidden="1">"c322"</definedName>
    <definedName name="IQ_DEVELOP_LAND" hidden="1">"c323"</definedName>
    <definedName name="IQ_DIC" hidden="1">"c13834"</definedName>
    <definedName name="IQ_DIFF_LASTCLOSE_TARGET_PRICE" hidden="1">"c1854"</definedName>
    <definedName name="IQ_DIFF_LASTCLOSE_TARGET_PRICE_CIQ" hidden="1">"c4767"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INDIRECT_RE_VENTURES_FFIEC" hidden="1">"c15266"</definedName>
    <definedName name="IQ_DIRECT_INDIRECT_RE_VENTURES_UNCONSOL_FFIEC" hidden="1">"c15274"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RECTORS_FEES_FFIEC" hidden="1">"c13049"</definedName>
    <definedName name="IQ_DISALLOWED_DEFERRED_TAX_ASSETS_FFIEC" hidden="1">"c13157"</definedName>
    <definedName name="IQ_DISALLOWED_GOODWILL_INTANGIBLE_ASSETS_FFIEC" hidden="1">"c13155"</definedName>
    <definedName name="IQ_DISALLOWED_GOODWILL_INTANGIBLES_T1_FFIEC" hidden="1">"c13137"</definedName>
    <definedName name="IQ_DISALLOWED_SERVICING_ASSETS_FFIEC" hidden="1">"c13156"</definedName>
    <definedName name="IQ_DISALLOWED_SERVICING_ASSETS_T1_FFIEC" hidden="1">"c13140"</definedName>
    <definedName name="IQ_DISCONT_OPER" hidden="1">"c333"</definedName>
    <definedName name="IQ_DISCOUNT_RATE_PENSION_DOMESTIC" hidden="1">"c327"</definedName>
    <definedName name="IQ_DISCOUNT_RATE_PENSION_FOREIGN" hidden="1">"c328"</definedName>
    <definedName name="IQ_DISPOSABLE_PERSONAL_INC" hidden="1">"c6850"</definedName>
    <definedName name="IQ_DISPOSABLE_PERSONAL_INC_APR" hidden="1">"c7510"</definedName>
    <definedName name="IQ_DISPOSABLE_PERSONAL_INC_APR_FC" hidden="1">"c8390"</definedName>
    <definedName name="IQ_DISPOSABLE_PERSONAL_INC_FC" hidden="1">"c7730"</definedName>
    <definedName name="IQ_DISPOSABLE_PERSONAL_INC_POP" hidden="1">"c7070"</definedName>
    <definedName name="IQ_DISPOSABLE_PERSONAL_INC_POP_FC" hidden="1">"c7950"</definedName>
    <definedName name="IQ_DISPOSABLE_PERSONAL_INC_REAL" hidden="1">"c11922"</definedName>
    <definedName name="IQ_DISPOSABLE_PERSONAL_INC_REAL_APR" hidden="1">"c11925"</definedName>
    <definedName name="IQ_DISPOSABLE_PERSONAL_INC_REAL_POP" hidden="1">"c11923"</definedName>
    <definedName name="IQ_DISPOSABLE_PERSONAL_INC_REAL_YOY" hidden="1">"c11924"</definedName>
    <definedName name="IQ_DISPOSABLE_PERSONAL_INC_SAAR" hidden="1">"c6851"</definedName>
    <definedName name="IQ_DISPOSABLE_PERSONAL_INC_SAAR_APR" hidden="1">"c7511"</definedName>
    <definedName name="IQ_DISPOSABLE_PERSONAL_INC_SAAR_APR_FC" hidden="1">"c8391"</definedName>
    <definedName name="IQ_DISPOSABLE_PERSONAL_INC_SAAR_FC" hidden="1">"c7731"</definedName>
    <definedName name="IQ_DISPOSABLE_PERSONAL_INC_SAAR_POP" hidden="1">"c7071"</definedName>
    <definedName name="IQ_DISPOSABLE_PERSONAL_INC_SAAR_POP_FC" hidden="1">"c7951"</definedName>
    <definedName name="IQ_DISPOSABLE_PERSONAL_INC_SAAR_USD_APR_FC" hidden="1">"c11805"</definedName>
    <definedName name="IQ_DISPOSABLE_PERSONAL_INC_SAAR_USD_FC" hidden="1">"c11802"</definedName>
    <definedName name="IQ_DISPOSABLE_PERSONAL_INC_SAAR_USD_POP_FC" hidden="1">"c11803"</definedName>
    <definedName name="IQ_DISPOSABLE_PERSONAL_INC_SAAR_USD_YOY_FC" hidden="1">"c11804"</definedName>
    <definedName name="IQ_DISPOSABLE_PERSONAL_INC_SAAR_YOY" hidden="1">"c7291"</definedName>
    <definedName name="IQ_DISPOSABLE_PERSONAL_INC_SAAR_YOY_FC" hidden="1">"c8171"</definedName>
    <definedName name="IQ_DISPOSABLE_PERSONAL_INC_USD_APR_FC" hidden="1">"c11801"</definedName>
    <definedName name="IQ_DISPOSABLE_PERSONAL_INC_USD_FC" hidden="1">"c11798"</definedName>
    <definedName name="IQ_DISPOSABLE_PERSONAL_INC_USD_POP_FC" hidden="1">"c11799"</definedName>
    <definedName name="IQ_DISPOSABLE_PERSONAL_INC_USD_YOY_FC" hidden="1">"c11800"</definedName>
    <definedName name="IQ_DISPOSABLE_PERSONAL_INC_YOY" hidden="1">"c7290"</definedName>
    <definedName name="IQ_DISPOSABLE_PERSONAL_INC_YOY_FC" hidden="1">"c8170"</definedName>
    <definedName name="IQ_DISTR_EXCESS_EARN" hidden="1">"c329"</definedName>
    <definedName name="IQ_DISTRIBUTABLE_CASH" hidden="1">"c3002"</definedName>
    <definedName name="IQ_DISTRIBUTABLE_CASH_ACT_OR_EST_CIQ" hidden="1">"c4803"</definedName>
    <definedName name="IQ_DISTRIBUTABLE_CASH_EST_CIQ" hidden="1">"c4802"</definedName>
    <definedName name="IQ_DISTRIBUTABLE_CASH_HIGH_EST_CIQ" hidden="1">"c4805"</definedName>
    <definedName name="IQ_DISTRIBUTABLE_CASH_LOW_EST_CIQ" hidden="1">"c4806"</definedName>
    <definedName name="IQ_DISTRIBUTABLE_CASH_MEDIAN_EST_CIQ" hidden="1">"c4807"</definedName>
    <definedName name="IQ_DISTRIBUTABLE_CASH_NUM_EST_CIQ" hidden="1">"c4808"</definedName>
    <definedName name="IQ_DISTRIBUTABLE_CASH_PAYOUT" hidden="1">"c3005"</definedName>
    <definedName name="IQ_DISTRIBUTABLE_CASH_SHARE" hidden="1">"c3003"</definedName>
    <definedName name="IQ_DISTRIBUTABLE_CASH_SHARE_ACT_OR_EST_CIQ" hidden="1">"c4811"</definedName>
    <definedName name="IQ_DISTRIBUTABLE_CASH_SHARE_EST_CIQ" hidden="1">"c4810"</definedName>
    <definedName name="IQ_DISTRIBUTABLE_CASH_SHARE_HIGH_EST_CIQ" hidden="1">"c4813"</definedName>
    <definedName name="IQ_DISTRIBUTABLE_CASH_SHARE_LOW_EST_CIQ" hidden="1">"c4814"</definedName>
    <definedName name="IQ_DISTRIBUTABLE_CASH_SHARE_MEDIAN_EST_CIQ" hidden="1">"c4815"</definedName>
    <definedName name="IQ_DISTRIBUTABLE_CASH_SHARE_NUM_EST_CIQ" hidden="1">"c4816"</definedName>
    <definedName name="IQ_DISTRIBUTABLE_CASH_SHARE_STDDEV_EST_CIQ" hidden="1">"c4817"</definedName>
    <definedName name="IQ_DISTRIBUTABLE_CASH_STDDEV_EST_CIQ" hidden="1">"c4819"</definedName>
    <definedName name="IQ_DIV_AMOUNT" hidden="1">"c3041"</definedName>
    <definedName name="IQ_DIV_PAYMENT_DATE" hidden="1">"c2205"</definedName>
    <definedName name="IQ_DIV_PAYMENT_TYPE" hidden="1">"c12752"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"c330"</definedName>
    <definedName name="IQ_DIVIDEND_YIELD" hidden="1">"c332"</definedName>
    <definedName name="IQ_DIVIDENDS_DECLARED_COMMON_FDIC" hidden="1">"c6659"</definedName>
    <definedName name="IQ_DIVIDENDS_DECLARED_COMMON_FFIEC" hidden="1">"c12969"</definedName>
    <definedName name="IQ_DIVIDENDS_DECLARED_PREFERRED_FDIC" hidden="1">"c6658"</definedName>
    <definedName name="IQ_DIVIDENDS_DECLARED_PREFERRED_FFIEC" hidden="1">"c12968"</definedName>
    <definedName name="IQ_DIVIDENDS_FDIC" hidden="1">"c6660"</definedName>
    <definedName name="IQ_DIVIDENDS_NET_INCOME_FFIEC" hidden="1">"c13349"</definedName>
    <definedName name="IQ_DIVIDENDS_PAID_DECLARED_PERIOD_COVERED" hidden="1">"c9960"</definedName>
    <definedName name="IQ_DIVIDENDS_PAID_DECLARED_PERIOD_GROUP" hidden="1">"c9946"</definedName>
    <definedName name="IQ_DNB_OTHER_EXP_INC_TAX_US" hidden="1">"c6787"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OC_CLAUSE" hidden="1">"c6032"</definedName>
    <definedName name="IQ_DOM_OFFICE_DEPOSITS_TOT_DEPOSITS_FFIEC" hidden="1">"c13910"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CAGR" hidden="1">"c6065"</definedName>
    <definedName name="IQ_DPS_10YR_ANN_GROWTH" hidden="1">"c337"</definedName>
    <definedName name="IQ_DPS_1YR_ANN_GROWTH" hidden="1">"c338"</definedName>
    <definedName name="IQ_DPS_2YR_ANN_CAGR" hidden="1">"c6066"</definedName>
    <definedName name="IQ_DPS_2YR_ANN_GROWTH" hidden="1">"c339"</definedName>
    <definedName name="IQ_DPS_3YR_ANN_CAGR" hidden="1">"c6067"</definedName>
    <definedName name="IQ_DPS_3YR_ANN_GROWTH" hidden="1">"c340"</definedName>
    <definedName name="IQ_DPS_5YR_ANN_CAGR" hidden="1">"c6068"</definedName>
    <definedName name="IQ_DPS_5YR_ANN_GROWTH" hidden="1">"c341"</definedName>
    <definedName name="IQ_DPS_7YR_ANN_CAGR" hidden="1">"c6069"</definedName>
    <definedName name="IQ_DPS_7YR_ANN_GROWTH" hidden="1">"c342"</definedName>
    <definedName name="IQ_DPS_ACT_OR_EST" hidden="1">"c2218"</definedName>
    <definedName name="IQ_DPS_EST" hidden="1">"c1674"</definedName>
    <definedName name="IQ_DPS_HIGH_EST" hidden="1">"c1676"</definedName>
    <definedName name="IQ_DPS_LOW_EST" hidden="1">"c1677"</definedName>
    <definedName name="IQ_DPS_MEDIAN_EST" hidden="1">"c1675"</definedName>
    <definedName name="IQ_DPS_NUM_EST" hidden="1">"c1678"</definedName>
    <definedName name="IQ_DPS_STDDEV_EST" hidden="1">"c1679"</definedName>
    <definedName name="IQ_DURABLE_INVENTORIES" hidden="1">"c6853"</definedName>
    <definedName name="IQ_DURABLE_INVENTORIES_APR" hidden="1">"c7513"</definedName>
    <definedName name="IQ_DURABLE_INVENTORIES_APR_FC" hidden="1">"c8393"</definedName>
    <definedName name="IQ_DURABLE_INVENTORIES_FC" hidden="1">"c7733"</definedName>
    <definedName name="IQ_DURABLE_INVENTORIES_POP" hidden="1">"c7073"</definedName>
    <definedName name="IQ_DURABLE_INVENTORIES_POP_FC" hidden="1">"c7953"</definedName>
    <definedName name="IQ_DURABLE_INVENTORIES_YOY" hidden="1">"c7293"</definedName>
    <definedName name="IQ_DURABLE_INVENTORIES_YOY_FC" hidden="1">"c8173"</definedName>
    <definedName name="IQ_DURABLE_ORDERS" hidden="1">"c6854"</definedName>
    <definedName name="IQ_DURABLE_ORDERS_APR" hidden="1">"c7514"</definedName>
    <definedName name="IQ_DURABLE_ORDERS_APR_FC" hidden="1">"c8394"</definedName>
    <definedName name="IQ_DURABLE_ORDERS_FC" hidden="1">"c7734"</definedName>
    <definedName name="IQ_DURABLE_ORDERS_POP" hidden="1">"c7074"</definedName>
    <definedName name="IQ_DURABLE_ORDERS_POP_FC" hidden="1">"c7954"</definedName>
    <definedName name="IQ_DURABLE_ORDERS_YOY" hidden="1">"c7294"</definedName>
    <definedName name="IQ_DURABLE_ORDERS_YOY_FC" hidden="1">"c8174"</definedName>
    <definedName name="IQ_DURABLE_SHIPMENTS" hidden="1">"c6855"</definedName>
    <definedName name="IQ_DURABLE_SHIPMENTS_APR" hidden="1">"c7515"</definedName>
    <definedName name="IQ_DURABLE_SHIPMENTS_APR_FC" hidden="1">"c8395"</definedName>
    <definedName name="IQ_DURABLE_SHIPMENTS_FC" hidden="1">"c7735"</definedName>
    <definedName name="IQ_DURABLE_SHIPMENTS_POP" hidden="1">"c7075"</definedName>
    <definedName name="IQ_DURABLE_SHIPMENTS_POP_FC" hidden="1">"c7955"</definedName>
    <definedName name="IQ_DURABLE_SHIPMENTS_YOY" hidden="1">"c7295"</definedName>
    <definedName name="IQ_DURABLE_SHIPMENTS_YOY_FC" hidden="1">"c8175"</definedName>
    <definedName name="IQ_DURATION" hidden="1">"c2181"</definedName>
    <definedName name="IQ_EARNING_ASSET_YIELD" hidden="1">"c343"</definedName>
    <definedName name="IQ_EARNING_ASSETS_AVG_ASSETS_FFIEC" hidden="1">"c13354"</definedName>
    <definedName name="IQ_EARNING_ASSETS_FDIC" hidden="1">"c6360"</definedName>
    <definedName name="IQ_EARNING_ASSETS_QUARTERLY_AVG_FFIEC" hidden="1">"c13086"</definedName>
    <definedName name="IQ_EARNING_ASSETS_REPRICE_ASSETS_TOT_FFIEC" hidden="1">"c13451"</definedName>
    <definedName name="IQ_EARNING_ASSETS_YIELD_FDIC" hidden="1">"c6724"</definedName>
    <definedName name="IQ_EARNING_CO" hidden="1">"c344"</definedName>
    <definedName name="IQ_EARNING_CO_10YR_ANN_CAGR" hidden="1">"c6070"</definedName>
    <definedName name="IQ_EARNING_CO_10YR_ANN_GROWTH" hidden="1">"c345"</definedName>
    <definedName name="IQ_EARNING_CO_1YR_ANN_GROWTH" hidden="1">"c346"</definedName>
    <definedName name="IQ_EARNING_CO_2YR_ANN_CAGR" hidden="1">"c6071"</definedName>
    <definedName name="IQ_EARNING_CO_2YR_ANN_GROWTH" hidden="1">"c347"</definedName>
    <definedName name="IQ_EARNING_CO_3YR_ANN_CAGR" hidden="1">"c6072"</definedName>
    <definedName name="IQ_EARNING_CO_3YR_ANN_GROWTH" hidden="1">"c348"</definedName>
    <definedName name="IQ_EARNING_CO_5YR_ANN_CAGR" hidden="1">"c6073"</definedName>
    <definedName name="IQ_EARNING_CO_5YR_ANN_GROWTH" hidden="1">"c349"</definedName>
    <definedName name="IQ_EARNING_CO_7YR_ANN_CAGR" hidden="1">"c6074"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ANNOUNCE_DATE_CIQ" hidden="1">"c4656"</definedName>
    <definedName name="IQ_EARNINGS_CO_FFIEC" hidden="1">"c13032"</definedName>
    <definedName name="IQ_EARNINGS_COVERAGE_LOSSES_FFIEC" hidden="1">"c13351"</definedName>
    <definedName name="IQ_EARNINGS_COVERAGE_NET_CHARGE_OFFS_FDIC" hidden="1">"c6735"</definedName>
    <definedName name="IQ_EARNINGS_LIFE_INSURANCE_FFIEC" hidden="1">"c13041"</definedName>
    <definedName name="IQ_EARNINGS_PERIOD_COVERED" hidden="1">"c9958"</definedName>
    <definedName name="IQ_EARNINGS_PERIOD_GROUP" hidden="1">"c9944"</definedName>
    <definedName name="IQ_EBIT" hidden="1">"c352"</definedName>
    <definedName name="IQ_EBIT_10K" hidden="1">"IQ_EBIT_10K"</definedName>
    <definedName name="IQ_EBIT_10Q" hidden="1">"IQ_EBIT_10Q"</definedName>
    <definedName name="IQ_EBIT_10Q1" hidden="1">"IQ_EBIT_10Q1"</definedName>
    <definedName name="IQ_EBIT_10YR_ANN_CAGR" hidden="1">"c6075"</definedName>
    <definedName name="IQ_EBIT_10YR_ANN_GROWTH" hidden="1">"c353"</definedName>
    <definedName name="IQ_EBIT_1YR_ANN_GROWTH" hidden="1">"c354"</definedName>
    <definedName name="IQ_EBIT_2YR_ANN_CAGR" hidden="1">"c6076"</definedName>
    <definedName name="IQ_EBIT_2YR_ANN_GROWTH" hidden="1">"c355"</definedName>
    <definedName name="IQ_EBIT_3YR_ANN_CAGR" hidden="1">"c6077"</definedName>
    <definedName name="IQ_EBIT_3YR_ANN_GROWTH" hidden="1">"c356"</definedName>
    <definedName name="IQ_EBIT_5YR_ANN_CAGR" hidden="1">"c6078"</definedName>
    <definedName name="IQ_EBIT_5YR_ANN_GROWTH" hidden="1">"c357"</definedName>
    <definedName name="IQ_EBIT_7YR_ANN_CAGR" hidden="1">"c6079"</definedName>
    <definedName name="IQ_EBIT_7YR_ANN_GROWTH" hidden="1">"c358"</definedName>
    <definedName name="IQ_EBIT_ACT_OR_EST" hidden="1">"c2219"</definedName>
    <definedName name="IQ_EBIT_EQ_INC" hidden="1">"c3498"</definedName>
    <definedName name="IQ_EBIT_EQ_INC_EXCL_SBC" hidden="1">"c3502"</definedName>
    <definedName name="IQ_EBIT_EST" hidden="1">"c1681"</definedName>
    <definedName name="IQ_EBIT_EXCL_SBC" hidden="1">"c3082"</definedName>
    <definedName name="IQ_EBIT_GROWTH_1" hidden="1">"IQ_EBIT_GROWTH_1"</definedName>
    <definedName name="IQ_EBIT_GROWTH_2" hidden="1">"IQ_EBIT_GROWTH_2"</definedName>
    <definedName name="IQ_EBIT_HIGH_EST" hidden="1">"c1683"</definedName>
    <definedName name="IQ_EBIT_INT" hidden="1">"c360"</definedName>
    <definedName name="IQ_EBIT_LOW_EST" hidden="1">"c1684"</definedName>
    <definedName name="IQ_EBIT_MARGIN" hidden="1">"c359"</definedName>
    <definedName name="IQ_EBIT_MEDIAN_EST" hidden="1">"c1682"</definedName>
    <definedName name="IQ_EBIT_NUM_EST" hidden="1">"c1685"</definedName>
    <definedName name="IQ_EBIT_OVER_IE" hidden="1">"c360"</definedName>
    <definedName name="IQ_EBIT_SBC_ACT_OR_EST_CIQ" hidden="1">"c4841"</definedName>
    <definedName name="IQ_EBIT_SBC_GW_ACT_OR_EST_CIQ" hidden="1">"c4845"</definedName>
    <definedName name="IQ_EBIT_STDDEV_EST" hidden="1">"c1686"</definedName>
    <definedName name="IQ_EBITA" hidden="1">"c1910"</definedName>
    <definedName name="IQ_EBITA_10YR_ANN_CAGR" hidden="1">"c6184"</definedName>
    <definedName name="IQ_EBITA_10YR_ANN_GROWTH" hidden="1">"c1954"</definedName>
    <definedName name="IQ_EBITA_1YR_ANN_GROWTH" hidden="1">"c1949"</definedName>
    <definedName name="IQ_EBITA_2YR_ANN_CAGR" hidden="1">"c6180"</definedName>
    <definedName name="IQ_EBITA_2YR_ANN_GROWTH" hidden="1">"c1950"</definedName>
    <definedName name="IQ_EBITA_3YR_ANN_CAGR" hidden="1">"c6181"</definedName>
    <definedName name="IQ_EBITA_3YR_ANN_GROWTH" hidden="1">"c1951"</definedName>
    <definedName name="IQ_EBITA_5YR_ANN_CAGR" hidden="1">"c6182"</definedName>
    <definedName name="IQ_EBITA_5YR_ANN_GROWTH" hidden="1">"c1952"</definedName>
    <definedName name="IQ_EBITA_7YR_ANN_CAGR" hidden="1">"c6183"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K" hidden="1">"IQ_EBITDA_10K"</definedName>
    <definedName name="IQ_EBITDA_10Q" hidden="1">"IQ_EBITDA_10Q"</definedName>
    <definedName name="IQ_EBITDA_10Q1" hidden="1">"IQ_EBITDA_10Q1"</definedName>
    <definedName name="IQ_EBITDA_10YR_ANN_CAGR" hidden="1">"c6080"</definedName>
    <definedName name="IQ_EBITDA_10YR_ANN_GROWTH" hidden="1">"c362"</definedName>
    <definedName name="IQ_EBITDA_1YR_ANN_GROWTH" hidden="1">"c363"</definedName>
    <definedName name="IQ_EBITDA_2YR_ANN_CAGR" hidden="1">"c6081"</definedName>
    <definedName name="IQ_EBITDA_2YR_ANN_GROWTH" hidden="1">"c364"</definedName>
    <definedName name="IQ_EBITDA_3YR_ANN_CAGR" hidden="1">"c6082"</definedName>
    <definedName name="IQ_EBITDA_3YR_ANN_GROWTH" hidden="1">"c365"</definedName>
    <definedName name="IQ_EBITDA_5YR_ANN_CAGR" hidden="1">"c6083"</definedName>
    <definedName name="IQ_EBITDA_5YR_ANN_GROWTH" hidden="1">"c366"</definedName>
    <definedName name="IQ_EBITDA_7YR_ANN_CAGR" hidden="1">"c6084"</definedName>
    <definedName name="IQ_EBITDA_7YR_ANN_GROWTH" hidden="1">"c367"</definedName>
    <definedName name="IQ_EBITDA_ACT_OR_EST" hidden="1">"c2215"</definedName>
    <definedName name="IQ_EBITDA_ACT_OR_EST_CIQ" hidden="1">"c5060"</definedName>
    <definedName name="IQ_EBITDA_CAPEX_INT" hidden="1">"c368"</definedName>
    <definedName name="IQ_EBITDA_CAPEX_OVER_TOTAL_IE" hidden="1">"c368"</definedName>
    <definedName name="IQ_EBITDA_EQ_INC" hidden="1">"c3496"</definedName>
    <definedName name="IQ_EBITDA_EQ_INC_EXCL_SBC" hidden="1">"c3500"</definedName>
    <definedName name="IQ_EBITDA_EST" hidden="1">"c369"</definedName>
    <definedName name="IQ_EBITDA_EST_CIQ" hidden="1">"c3622"</definedName>
    <definedName name="IQ_EBITDA_EXCL_SBC" hidden="1">"c3081"</definedName>
    <definedName name="IQ_EBITDA_GROWTH_1" hidden="1">"IQ_EBITDA_GROWTH_1"</definedName>
    <definedName name="IQ_EBITDA_GROWTH_2" hidden="1">"IQ_EBITDA_GROWTH_2"</definedName>
    <definedName name="IQ_EBITDA_HIGH_EST" hidden="1">"c370"</definedName>
    <definedName name="IQ_EBITDA_HIGH_EST_CIQ" hidden="1">"c3624"</definedName>
    <definedName name="IQ_EBITDA_INT" hidden="1">"c373"</definedName>
    <definedName name="IQ_EBITDA_LOW_EST" hidden="1">"c371"</definedName>
    <definedName name="IQ_EBITDA_LOW_EST_CIQ" hidden="1">"c3625"</definedName>
    <definedName name="IQ_EBITDA_MARGIN" hidden="1">"c372"</definedName>
    <definedName name="IQ_EBITDA_MEDIAN_EST" hidden="1">"c1663"</definedName>
    <definedName name="IQ_EBITDA_MEDIAN_EST_CIQ" hidden="1">"c3623"</definedName>
    <definedName name="IQ_EBITDA_NO_EST" hidden="1">"c267"</definedName>
    <definedName name="IQ_EBITDA_NUM_EST" hidden="1">"c374"</definedName>
    <definedName name="IQ_EBITDA_NUM_EST_CIQ" hidden="1">"c3626"</definedName>
    <definedName name="IQ_EBITDA_OVER_TOTAL_IE" hidden="1">"c373"</definedName>
    <definedName name="IQ_EBITDA_SBC_ACT_OR_EST_CIQ" hidden="1">"c4862"</definedName>
    <definedName name="IQ_EBITDA_STDDEV_EST" hidden="1">"c375"</definedName>
    <definedName name="IQ_EBITDA_STDDEV_EST_CIQ" hidden="1">"c3627"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" hidden="1">"c6214"</definedName>
    <definedName name="IQ_EBT_EXCL_REIT" hidden="1">"c384"</definedName>
    <definedName name="IQ_EBT_EXCL_UTI" hidden="1">"c385"</definedName>
    <definedName name="IQ_EBT_FFIEC" hidden="1">"c13029"</definedName>
    <definedName name="IQ_EBT_FIN" hidden="1">"c386"</definedName>
    <definedName name="IQ_EBT_FTE_FFIEC" hidden="1">"c13037"</definedName>
    <definedName name="IQ_EBT_INCL_MARGIN" hidden="1">"c387"</definedName>
    <definedName name="IQ_EBT_INS" hidden="1">"c388"</definedName>
    <definedName name="IQ_EBT_RE" hidden="1">"c6215"</definedName>
    <definedName name="IQ_EBT_REIT" hidden="1">"c389"</definedName>
    <definedName name="IQ_EBT_SBC_ACT_OR_EST_CIQ" hidden="1">"c4875"</definedName>
    <definedName name="IQ_EBT_SBC_GW_ACT_OR_EST_CIQ" hidden="1">"c4879"</definedName>
    <definedName name="IQ_EBT_SUBTOTAL_AP" hidden="1">"c8982"</definedName>
    <definedName name="IQ_EBT_UTI" hidden="1">"c390"</definedName>
    <definedName name="IQ_ECO_METRIC_6825_UNUSED" hidden="1">"c6825"</definedName>
    <definedName name="IQ_ECO_METRIC_6825_UNUSED_UNUSED_UNUSED" hidden="1">"c6825"</definedName>
    <definedName name="IQ_ECO_METRIC_6839_UNUSED" hidden="1">"c6839"</definedName>
    <definedName name="IQ_ECO_METRIC_6839_UNUSED_UNUSED_UNUSED" hidden="1">"c6839"</definedName>
    <definedName name="IQ_ECO_METRIC_6896_UNUSED" hidden="1">"c6896"</definedName>
    <definedName name="IQ_ECO_METRIC_6896_UNUSED_UNUSED_UNUSED" hidden="1">"c6896"</definedName>
    <definedName name="IQ_ECO_METRIC_6897_UNUSED" hidden="1">"c6897"</definedName>
    <definedName name="IQ_ECO_METRIC_6897_UNUSED_UNUSED_UNUSED" hidden="1">"c6897"</definedName>
    <definedName name="IQ_ECO_METRIC_6927" hidden="1">"c6927"</definedName>
    <definedName name="IQ_ECO_METRIC_6988_UNUSED" hidden="1">"c6988"</definedName>
    <definedName name="IQ_ECO_METRIC_6988_UNUSED_UNUSED_UNUSED" hidden="1">"c6988"</definedName>
    <definedName name="IQ_ECO_METRIC_7045_UNUSED" hidden="1">"c7045"</definedName>
    <definedName name="IQ_ECO_METRIC_7045_UNUSED_UNUSED_UNUSED" hidden="1">"c7045"</definedName>
    <definedName name="IQ_ECO_METRIC_7059_UNUSED" hidden="1">"c7059"</definedName>
    <definedName name="IQ_ECO_METRIC_7059_UNUSED_UNUSED_UNUSED" hidden="1">"c7059"</definedName>
    <definedName name="IQ_ECO_METRIC_7116_UNUSED" hidden="1">"c7116"</definedName>
    <definedName name="IQ_ECO_METRIC_7116_UNUSED_UNUSED_UNUSED" hidden="1">"c7116"</definedName>
    <definedName name="IQ_ECO_METRIC_7117_UNUSED" hidden="1">"c7117"</definedName>
    <definedName name="IQ_ECO_METRIC_7117_UNUSED_UNUSED_UNUSED" hidden="1">"c7117"</definedName>
    <definedName name="IQ_ECO_METRIC_7147" hidden="1">"c7147"</definedName>
    <definedName name="IQ_ECO_METRIC_7208_UNUSED" hidden="1">"c7208"</definedName>
    <definedName name="IQ_ECO_METRIC_7208_UNUSED_UNUSED_UNUSED" hidden="1">"c7208"</definedName>
    <definedName name="IQ_ECO_METRIC_7265_UNUSED" hidden="1">"c7265"</definedName>
    <definedName name="IQ_ECO_METRIC_7265_UNUSED_UNUSED_UNUSED" hidden="1">"c7265"</definedName>
    <definedName name="IQ_ECO_METRIC_7279_UNUSED" hidden="1">"c7279"</definedName>
    <definedName name="IQ_ECO_METRIC_7279_UNUSED_UNUSED_UNUSED" hidden="1">"c7279"</definedName>
    <definedName name="IQ_ECO_METRIC_7336_UNUSED" hidden="1">"c7336"</definedName>
    <definedName name="IQ_ECO_METRIC_7336_UNUSED_UNUSED_UNUSED" hidden="1">"c7336"</definedName>
    <definedName name="IQ_ECO_METRIC_7337_UNUSED" hidden="1">"c7337"</definedName>
    <definedName name="IQ_ECO_METRIC_7337_UNUSED_UNUSED_UNUSED" hidden="1">"c7337"</definedName>
    <definedName name="IQ_ECO_METRIC_7367" hidden="1">"c7367"</definedName>
    <definedName name="IQ_ECO_METRIC_7428_UNUSED" hidden="1">"c7428"</definedName>
    <definedName name="IQ_ECO_METRIC_7428_UNUSED_UNUSED_UNUSED" hidden="1">"c7428"</definedName>
    <definedName name="IQ_ECO_METRIC_7556_UNUSED" hidden="1">"c7556"</definedName>
    <definedName name="IQ_ECO_METRIC_7556_UNUSED_UNUSED_UNUSED" hidden="1">"c7556"</definedName>
    <definedName name="IQ_ECO_METRIC_7557_UNUSED" hidden="1">"c7557"</definedName>
    <definedName name="IQ_ECO_METRIC_7557_UNUSED_UNUSED_UNUSED" hidden="1">"c7557"</definedName>
    <definedName name="IQ_ECO_METRIC_7587" hidden="1">"c7587"</definedName>
    <definedName name="IQ_ECO_METRIC_7648_UNUSED" hidden="1">"c7648"</definedName>
    <definedName name="IQ_ECO_METRIC_7648_UNUSED_UNUSED_UNUSED" hidden="1">"c7648"</definedName>
    <definedName name="IQ_ECO_METRIC_7704" hidden="1">"c7704"</definedName>
    <definedName name="IQ_ECO_METRIC_7705_UNUSED" hidden="1">"c7705"</definedName>
    <definedName name="IQ_ECO_METRIC_7705_UNUSED_UNUSED_UNUSED" hidden="1">"c7705"</definedName>
    <definedName name="IQ_ECO_METRIC_7706" hidden="1">"c7706"</definedName>
    <definedName name="IQ_ECO_METRIC_7718" hidden="1">"c7718"</definedName>
    <definedName name="IQ_ECO_METRIC_7719_UNUSED" hidden="1">"c7719"</definedName>
    <definedName name="IQ_ECO_METRIC_7719_UNUSED_UNUSED_UNUSED" hidden="1">"c7719"</definedName>
    <definedName name="IQ_ECO_METRIC_7776_UNUSED" hidden="1">"c7776"</definedName>
    <definedName name="IQ_ECO_METRIC_7776_UNUSED_UNUSED_UNUSED" hidden="1">"c7776"</definedName>
    <definedName name="IQ_ECO_METRIC_7777_UNUSED" hidden="1">"c7777"</definedName>
    <definedName name="IQ_ECO_METRIC_7777_UNUSED_UNUSED_UNUSED" hidden="1">"c7777"</definedName>
    <definedName name="IQ_ECO_METRIC_7807" hidden="1">"c7807"</definedName>
    <definedName name="IQ_ECO_METRIC_7811" hidden="1">"c7811"</definedName>
    <definedName name="IQ_ECO_METRIC_7868_UNUSED" hidden="1">"c7868"</definedName>
    <definedName name="IQ_ECO_METRIC_7868_UNUSED_UNUSED_UNUSED" hidden="1">"c7868"</definedName>
    <definedName name="IQ_ECO_METRIC_7873" hidden="1">"c7873"</definedName>
    <definedName name="IQ_ECO_METRIC_7924" hidden="1">"c7924"</definedName>
    <definedName name="IQ_ECO_METRIC_7925_UNUSED" hidden="1">"c7925"</definedName>
    <definedName name="IQ_ECO_METRIC_7925_UNUSED_UNUSED_UNUSED" hidden="1">"c7925"</definedName>
    <definedName name="IQ_ECO_METRIC_7926" hidden="1">"c7926"</definedName>
    <definedName name="IQ_ECO_METRIC_7938" hidden="1">"c7938"</definedName>
    <definedName name="IQ_ECO_METRIC_7939_UNUSED" hidden="1">"c7939"</definedName>
    <definedName name="IQ_ECO_METRIC_7939_UNUSED_UNUSED_UNUSED" hidden="1">"c7939"</definedName>
    <definedName name="IQ_ECO_METRIC_7996_UNUSED" hidden="1">"c7996"</definedName>
    <definedName name="IQ_ECO_METRIC_7996_UNUSED_UNUSED_UNUSED" hidden="1">"c7996"</definedName>
    <definedName name="IQ_ECO_METRIC_7997_UNUSED" hidden="1">"c7997"</definedName>
    <definedName name="IQ_ECO_METRIC_7997_UNUSED_UNUSED_UNUSED" hidden="1">"c7997"</definedName>
    <definedName name="IQ_ECO_METRIC_8027" hidden="1">"c8027"</definedName>
    <definedName name="IQ_ECO_METRIC_8031" hidden="1">"c8031"</definedName>
    <definedName name="IQ_ECO_METRIC_8088_UNUSED" hidden="1">"c8088"</definedName>
    <definedName name="IQ_ECO_METRIC_8088_UNUSED_UNUSED_UNUSED" hidden="1">"c8088"</definedName>
    <definedName name="IQ_ECO_METRIC_8093" hidden="1">"c8093"</definedName>
    <definedName name="IQ_ECO_METRIC_8144" hidden="1">"c8144"</definedName>
    <definedName name="IQ_ECO_METRIC_8145_UNUSED" hidden="1">"c8145"</definedName>
    <definedName name="IQ_ECO_METRIC_8145_UNUSED_UNUSED_UNUSED" hidden="1">"c8145"</definedName>
    <definedName name="IQ_ECO_METRIC_8146" hidden="1">"c8146"</definedName>
    <definedName name="IQ_ECO_METRIC_8158" hidden="1">"c8158"</definedName>
    <definedName name="IQ_ECO_METRIC_8159_UNUSED" hidden="1">"c8159"</definedName>
    <definedName name="IQ_ECO_METRIC_8159_UNUSED_UNUSED_UNUSED" hidden="1">"c8159"</definedName>
    <definedName name="IQ_ECO_METRIC_8216_UNUSED" hidden="1">"c8216"</definedName>
    <definedName name="IQ_ECO_METRIC_8216_UNUSED_UNUSED_UNUSED" hidden="1">"c8216"</definedName>
    <definedName name="IQ_ECO_METRIC_8217_UNUSED" hidden="1">"c8217"</definedName>
    <definedName name="IQ_ECO_METRIC_8217_UNUSED_UNUSED_UNUSED" hidden="1">"c8217"</definedName>
    <definedName name="IQ_ECO_METRIC_8247" hidden="1">"c8247"</definedName>
    <definedName name="IQ_ECO_METRIC_8251" hidden="1">"c8251"</definedName>
    <definedName name="IQ_ECO_METRIC_8308_UNUSED" hidden="1">"c8308"</definedName>
    <definedName name="IQ_ECO_METRIC_8308_UNUSED_UNUSED_UNUSED" hidden="1">"c8308"</definedName>
    <definedName name="IQ_ECO_METRIC_8313" hidden="1">"c8313"</definedName>
    <definedName name="IQ_ECO_METRIC_8366" hidden="1">"c8366"</definedName>
    <definedName name="IQ_ECO_METRIC_8378" hidden="1">"c8378"</definedName>
    <definedName name="IQ_ECO_METRIC_8436_UNUSED" hidden="1">"c8436"</definedName>
    <definedName name="IQ_ECO_METRIC_8436_UNUSED_UNUSED_UNUSED" hidden="1">"c8436"</definedName>
    <definedName name="IQ_ECO_METRIC_8437_UNUSED" hidden="1">"c8437"</definedName>
    <definedName name="IQ_ECO_METRIC_8437_UNUSED_UNUSED_UNUSED" hidden="1">"c8437"</definedName>
    <definedName name="IQ_ECO_METRIC_8467" hidden="1">"c8467"</definedName>
    <definedName name="IQ_ECO_METRIC_8471" hidden="1">"c8471"</definedName>
    <definedName name="IQ_ECO_METRIC_8528_UNUSED" hidden="1">"c8528"</definedName>
    <definedName name="IQ_ECO_METRIC_8528_UNUSED_UNUSED_UNUSED" hidden="1">"c8528"</definedName>
    <definedName name="IQ_ECO_METRIC_8533" hidden="1">"c8533"</definedName>
    <definedName name="IQ_ECS_AUTHORIZED_SHARES" hidden="1">"c5583"</definedName>
    <definedName name="IQ_ECS_AUTHORIZED_SHARES_ABS" hidden="1">"c5597"</definedName>
    <definedName name="IQ_ECS_CONVERT_FACTOR" hidden="1">"c5581"</definedName>
    <definedName name="IQ_ECS_CONVERT_FACTOR_ABS" hidden="1">"c5595"</definedName>
    <definedName name="IQ_ECS_CONVERT_INTO" hidden="1">"c5580"</definedName>
    <definedName name="IQ_ECS_CONVERT_INTO_ABS" hidden="1">"c5594"</definedName>
    <definedName name="IQ_ECS_CONVERT_TYPE" hidden="1">"c5579"</definedName>
    <definedName name="IQ_ECS_CONVERT_TYPE_ABS" hidden="1">"c5593"</definedName>
    <definedName name="IQ_ECS_INACTIVE_DATE" hidden="1">"c5576"</definedName>
    <definedName name="IQ_ECS_INACTIVE_DATE_ABS" hidden="1">"c5590"</definedName>
    <definedName name="IQ_ECS_NAME" hidden="1">"c5571"</definedName>
    <definedName name="IQ_ECS_NAME_ABS" hidden="1">"c5585"</definedName>
    <definedName name="IQ_ECS_NUM_SHAREHOLDERS" hidden="1">"c5584"</definedName>
    <definedName name="IQ_ECS_NUM_SHAREHOLDERS_ABS" hidden="1">"c5598"</definedName>
    <definedName name="IQ_ECS_PAR_VALUE" hidden="1">"c5577"</definedName>
    <definedName name="IQ_ECS_PAR_VALUE_ABS" hidden="1">"c5591"</definedName>
    <definedName name="IQ_ECS_PAR_VALUE_CURRENCY" hidden="1">"c5578"</definedName>
    <definedName name="IQ_ECS_PAR_VALUE_CURRENCY_ABS" hidden="1">"c5592"</definedName>
    <definedName name="IQ_ECS_SHARES_OUT_BS_DATE" hidden="1">"c5572"</definedName>
    <definedName name="IQ_ECS_SHARES_OUT_BS_DATE_ABS" hidden="1">"c5586"</definedName>
    <definedName name="IQ_ECS_SHARES_OUT_FILING_DATE" hidden="1">"c5573"</definedName>
    <definedName name="IQ_ECS_SHARES_OUT_FILING_DATE_ABS" hidden="1">"c5587"</definedName>
    <definedName name="IQ_ECS_START_DATE" hidden="1">"c5575"</definedName>
    <definedName name="IQ_ECS_START_DATE_ABS" hidden="1">"c5589"</definedName>
    <definedName name="IQ_ECS_TYPE" hidden="1">"c5574"</definedName>
    <definedName name="IQ_ECS_TYPE_ABS" hidden="1">"c5588"</definedName>
    <definedName name="IQ_ECS_VOTING" hidden="1">"c5582"</definedName>
    <definedName name="IQ_ECS_VOTING_ABS" hidden="1">"c5596"</definedName>
    <definedName name="IQ_EFFECT_SPECIAL_CHARGE" hidden="1">"c1595"</definedName>
    <definedName name="IQ_EFFECT_TAX_RATE" hidden="1">"c1899"</definedName>
    <definedName name="IQ_EFFECTIVE_DATE" hidden="1">"c8966"</definedName>
    <definedName name="IQ_EFFICIENCY_RATIO" hidden="1">"c391"</definedName>
    <definedName name="IQ_EFFICIENCY_RATIO_FDIC" hidden="1">"c6736"</definedName>
    <definedName name="IQ_ELIMINATIONS_CONSOL_OFFICES_FOREIGN_FFIEC" hidden="1">"c15395"</definedName>
    <definedName name="IQ_EMBEDDED_VAL_COVERED" hidden="1">"c9962"</definedName>
    <definedName name="IQ_EMBEDDED_VAL_COVERED_BEG" hidden="1">"c9957"</definedName>
    <definedName name="IQ_EMBEDDED_VAL_GROUP" hidden="1">"c9948"</definedName>
    <definedName name="IQ_EMBEDDED_VAL_GROUP_BEG" hidden="1">"c9943"</definedName>
    <definedName name="IQ_EMPLOY_COST_INDEX_BENEFITS" hidden="1">"c6857"</definedName>
    <definedName name="IQ_EMPLOY_COST_INDEX_BENEFITS_APR" hidden="1">"c7517"</definedName>
    <definedName name="IQ_EMPLOY_COST_INDEX_BENEFITS_APR_FC" hidden="1">"c8397"</definedName>
    <definedName name="IQ_EMPLOY_COST_INDEX_BENEFITS_FC" hidden="1">"c7737"</definedName>
    <definedName name="IQ_EMPLOY_COST_INDEX_BENEFITS_POP" hidden="1">"c7077"</definedName>
    <definedName name="IQ_EMPLOY_COST_INDEX_BENEFITS_POP_FC" hidden="1">"c7957"</definedName>
    <definedName name="IQ_EMPLOY_COST_INDEX_BENEFITS_YOY" hidden="1">"c7297"</definedName>
    <definedName name="IQ_EMPLOY_COST_INDEX_BENEFITS_YOY_FC" hidden="1">"c8177"</definedName>
    <definedName name="IQ_EMPLOY_COST_INDEX_COMP" hidden="1">"c6856"</definedName>
    <definedName name="IQ_EMPLOY_COST_INDEX_COMP_APR" hidden="1">"c7516"</definedName>
    <definedName name="IQ_EMPLOY_COST_INDEX_COMP_APR_FC" hidden="1">"c8396"</definedName>
    <definedName name="IQ_EMPLOY_COST_INDEX_COMP_FC" hidden="1">"c7736"</definedName>
    <definedName name="IQ_EMPLOY_COST_INDEX_COMP_POP" hidden="1">"c7076"</definedName>
    <definedName name="IQ_EMPLOY_COST_INDEX_COMP_POP_FC" hidden="1">"c7956"</definedName>
    <definedName name="IQ_EMPLOY_COST_INDEX_COMP_YOY" hidden="1">"c7296"</definedName>
    <definedName name="IQ_EMPLOY_COST_INDEX_COMP_YOY_FC" hidden="1">"c8176"</definedName>
    <definedName name="IQ_EMPLOY_COST_INDEX_WAGE_SALARY" hidden="1">"c6858"</definedName>
    <definedName name="IQ_EMPLOY_COST_INDEX_WAGE_SALARY_APR" hidden="1">"c7518"</definedName>
    <definedName name="IQ_EMPLOY_COST_INDEX_WAGE_SALARY_APR_FC" hidden="1">"c8398"</definedName>
    <definedName name="IQ_EMPLOY_COST_INDEX_WAGE_SALARY_FC" hidden="1">"c7738"</definedName>
    <definedName name="IQ_EMPLOY_COST_INDEX_WAGE_SALARY_POP" hidden="1">"c7078"</definedName>
    <definedName name="IQ_EMPLOY_COST_INDEX_WAGE_SALARY_POP_FC" hidden="1">"c7958"</definedName>
    <definedName name="IQ_EMPLOY_COST_INDEX_WAGE_SALARY_YOY" hidden="1">"c7298"</definedName>
    <definedName name="IQ_EMPLOY_COST_INDEX_WAGE_SALARY_YOY_FC" hidden="1">"c8178"</definedName>
    <definedName name="IQ_EMPLOYEES" hidden="1">"c392"</definedName>
    <definedName name="IQ_EMPLOYEES_FFIEC" hidden="1">"c13035"</definedName>
    <definedName name="IQ_ENTERPRISE_VALUE" hidden="1">"c84"</definedName>
    <definedName name="IQ_ENTREPRENEURAL_PROPERTY_INC" hidden="1">"c6859"</definedName>
    <definedName name="IQ_ENTREPRENEURAL_PROPERTY_INC_APR" hidden="1">"c7519"</definedName>
    <definedName name="IQ_ENTREPRENEURAL_PROPERTY_INC_APR_FC" hidden="1">"c8399"</definedName>
    <definedName name="IQ_ENTREPRENEURAL_PROPERTY_INC_FC" hidden="1">"c7739"</definedName>
    <definedName name="IQ_ENTREPRENEURAL_PROPERTY_INC_POP" hidden="1">"c7079"</definedName>
    <definedName name="IQ_ENTREPRENEURAL_PROPERTY_INC_POP_FC" hidden="1">"c7959"</definedName>
    <definedName name="IQ_ENTREPRENEURAL_PROPERTY_INC_YOY" hidden="1">"c7299"</definedName>
    <definedName name="IQ_ENTREPRENEURAL_PROPERTY_INC_YOY_FC" hidden="1">"c8179"</definedName>
    <definedName name="IQ_EPS" hidden="1">"IQ_EPS"</definedName>
    <definedName name="IQ_EPS_10K" hidden="1">"IQ_EPS_10K"</definedName>
    <definedName name="IQ_EPS_10Q" hidden="1">"IQ_EPS_10Q"</definedName>
    <definedName name="IQ_EPS_10Q1" hidden="1">"IQ_EPS_10Q1"</definedName>
    <definedName name="IQ_EPS_10YR_ANN_CAGR" hidden="1">"c6085"</definedName>
    <definedName name="IQ_EPS_10YR_ANN_GROWTH" hidden="1">"c393"</definedName>
    <definedName name="IQ_EPS_1YR_ANN_GROWTH" hidden="1">"c394"</definedName>
    <definedName name="IQ_EPS_2YR_ANN_CAGR" hidden="1">"c6086"</definedName>
    <definedName name="IQ_EPS_2YR_ANN_GROWTH" hidden="1">"c395"</definedName>
    <definedName name="IQ_EPS_3YR_ANN_CAGR" hidden="1">"c6087"</definedName>
    <definedName name="IQ_EPS_3YR_ANN_GROWTH" hidden="1">"c396"</definedName>
    <definedName name="IQ_EPS_5YR_ANN_CAGR" hidden="1">"c6088"</definedName>
    <definedName name="IQ_EPS_5YR_ANN_GROWTH" hidden="1">"c397"</definedName>
    <definedName name="IQ_EPS_7YR_ANN_CAGR" hidden="1">"c6089"</definedName>
    <definedName name="IQ_EPS_7YR_ANN_GROWTH" hidden="1">"c398"</definedName>
    <definedName name="IQ_EPS_ACT_OR_EST" hidden="1">"c2213"</definedName>
    <definedName name="IQ_EPS_ACT_OR_EST_CIQ" hidden="1">"c5058"</definedName>
    <definedName name="IQ_EPS_AP" hidden="1">"c8880"</definedName>
    <definedName name="IQ_EPS_AP_ABS" hidden="1">"c8899"</definedName>
    <definedName name="IQ_EPS_EST" hidden="1">"c399"</definedName>
    <definedName name="IQ_EPS_EST_1" hidden="1">"IQ_EPS_EST_1"</definedName>
    <definedName name="IQ_EPS_EST_BOTTOM_UP_CIQ" hidden="1">"c12026"</definedName>
    <definedName name="IQ_EPS_EST_CIQ" hidden="1">"c4994"</definedName>
    <definedName name="IQ_EPS_GW_ACT_OR_EST" hidden="1">"c2223"</definedName>
    <definedName name="IQ_EPS_GW_ACT_OR_EST_CIQ" hidden="1">"c5066"</definedName>
    <definedName name="IQ_EPS_GW_EST" hidden="1">"c1737"</definedName>
    <definedName name="IQ_EPS_GW_EST_BOTTOM_UP_CIQ" hidden="1">"c12028"</definedName>
    <definedName name="IQ_EPS_GW_EST_CIQ" hidden="1">"c4723"</definedName>
    <definedName name="IQ_EPS_GW_HIGH_EST" hidden="1">"c1739"</definedName>
    <definedName name="IQ_EPS_GW_HIGH_EST_CIQ" hidden="1">"c4725"</definedName>
    <definedName name="IQ_EPS_GW_LOW_EST" hidden="1">"c1740"</definedName>
    <definedName name="IQ_EPS_GW_LOW_EST_CIQ" hidden="1">"c4726"</definedName>
    <definedName name="IQ_EPS_GW_MEDIAN_EST" hidden="1">"c1738"</definedName>
    <definedName name="IQ_EPS_GW_MEDIAN_EST_CIQ" hidden="1">"c4724"</definedName>
    <definedName name="IQ_EPS_GW_NUM_EST" hidden="1">"c1741"</definedName>
    <definedName name="IQ_EPS_GW_NUM_EST_CIQ" hidden="1">"c4727"</definedName>
    <definedName name="IQ_EPS_GW_STDDEV_EST" hidden="1">"c1742"</definedName>
    <definedName name="IQ_EPS_GW_STDDEV_EST_CIQ" hidden="1">"c4728"</definedName>
    <definedName name="IQ_EPS_HIGH_EST" hidden="1">"c400"</definedName>
    <definedName name="IQ_EPS_HIGH_EST_CIQ" hidden="1">"c4995"</definedName>
    <definedName name="IQ_EPS_LOW_EST" hidden="1">"c401"</definedName>
    <definedName name="IQ_EPS_LOW_EST_CIQ" hidden="1">"c4996"</definedName>
    <definedName name="IQ_EPS_MEDIAN_EST" hidden="1">"c1661"</definedName>
    <definedName name="IQ_EPS_MEDIAN_EST_CIQ" hidden="1">"c4997"</definedName>
    <definedName name="IQ_EPS_NAME_AP" hidden="1">"c8918"</definedName>
    <definedName name="IQ_EPS_NAME_AP_ABS" hidden="1">"c8937"</definedName>
    <definedName name="IQ_EPS_NO_EST" hidden="1">"c271"</definedName>
    <definedName name="IQ_EPS_NORM" hidden="1">"c1902"</definedName>
    <definedName name="IQ_EPS_NORM_EST" hidden="1">"c2226"</definedName>
    <definedName name="IQ_EPS_NORM_EST_BOTTOM_UP_CIQ" hidden="1">"c12027"</definedName>
    <definedName name="IQ_EPS_NORM_EST_CIQ" hidden="1">"c4667"</definedName>
    <definedName name="IQ_EPS_NORM_HIGH_EST" hidden="1">"c2228"</definedName>
    <definedName name="IQ_EPS_NORM_HIGH_EST_CIQ" hidden="1">"c4669"</definedName>
    <definedName name="IQ_EPS_NORM_LOW_EST" hidden="1">"c2229"</definedName>
    <definedName name="IQ_EPS_NORM_LOW_EST_CIQ" hidden="1">"c4670"</definedName>
    <definedName name="IQ_EPS_NORM_MEDIAN_EST" hidden="1">"c2227"</definedName>
    <definedName name="IQ_EPS_NORM_MEDIAN_EST_CIQ" hidden="1">"c4668"</definedName>
    <definedName name="IQ_EPS_NORM_NUM_EST" hidden="1">"c2230"</definedName>
    <definedName name="IQ_EPS_NORM_NUM_EST_CIQ" hidden="1">"c4671"</definedName>
    <definedName name="IQ_EPS_NORM_STDDEV_EST" hidden="1">"c2231"</definedName>
    <definedName name="IQ_EPS_NORM_STDDEV_EST_CIQ" hidden="1">"c4672"</definedName>
    <definedName name="IQ_EPS_NUM_EST" hidden="1">"c402"</definedName>
    <definedName name="IQ_EPS_NUM_EST_CIQ" hidden="1">"c4992"</definedName>
    <definedName name="IQ_EPS_PRIMARY_EST" hidden="1">"c2226"</definedName>
    <definedName name="IQ_EPS_PRIMARY_HIGH_EST" hidden="1">"c2228"</definedName>
    <definedName name="IQ_EPS_PRIMARY_LOW_EST" hidden="1">"c2229"</definedName>
    <definedName name="IQ_EPS_PRIMARY_MEDIAN_EST" hidden="1">"c2227"</definedName>
    <definedName name="IQ_EPS_PRIMARY_NUM_EST" hidden="1">"c2230"</definedName>
    <definedName name="IQ_EPS_PRIMARY_STDDEV_EST" hidden="1">"c2231"</definedName>
    <definedName name="IQ_EPS_REPORT_ACT_OR_EST" hidden="1">"c2224"</definedName>
    <definedName name="IQ_EPS_REPORT_ACT_OR_EST_CIQ" hidden="1">"c5067"</definedName>
    <definedName name="IQ_EPS_REPORTED_EST" hidden="1">"c1744"</definedName>
    <definedName name="IQ_EPS_REPORTED_EST_BOTTOM_UP_CIQ" hidden="1">"c12029"</definedName>
    <definedName name="IQ_EPS_REPORTED_EST_CIQ" hidden="1">"c4730"</definedName>
    <definedName name="IQ_EPS_REPORTED_HIGH_EST" hidden="1">"c1746"</definedName>
    <definedName name="IQ_EPS_REPORTED_HIGH_EST_CIQ" hidden="1">"c4732"</definedName>
    <definedName name="IQ_EPS_REPORTED_LOW_EST" hidden="1">"c1747"</definedName>
    <definedName name="IQ_EPS_REPORTED_LOW_EST_CIQ" hidden="1">"c4733"</definedName>
    <definedName name="IQ_EPS_REPORTED_MEDIAN_EST" hidden="1">"c1745"</definedName>
    <definedName name="IQ_EPS_REPORTED_MEDIAN_EST_CIQ" hidden="1">"c4731"</definedName>
    <definedName name="IQ_EPS_REPORTED_NUM_EST" hidden="1">"c1748"</definedName>
    <definedName name="IQ_EPS_REPORTED_NUM_EST_CIQ" hidden="1">"c4734"</definedName>
    <definedName name="IQ_EPS_REPORTED_STDDEV_EST" hidden="1">"c1749"</definedName>
    <definedName name="IQ_EPS_REPORTED_STDDEV_EST_CIQ" hidden="1">"c4735"</definedName>
    <definedName name="IQ_EPS_SBC_ACT_OR_EST_CIQ" hidden="1">"c4901"</definedName>
    <definedName name="IQ_EPS_SBC_GW_ACT_OR_EST_CIQ" hidden="1">"c4905"</definedName>
    <definedName name="IQ_EPS_STDDEV_EST" hidden="1">"c403"</definedName>
    <definedName name="IQ_EPS_STDDEV_EST_CIQ" hidden="1">"c4993"</definedName>
    <definedName name="IQ_EQUITY_AFFIL" hidden="1">"c552"</definedName>
    <definedName name="IQ_EQUITY_AP" hidden="1">"c8887"</definedName>
    <definedName name="IQ_EQUITY_AP_ABS" hidden="1">"c8906"</definedName>
    <definedName name="IQ_EQUITY_ASSETS_TOT_FFIEC" hidden="1">"c13436"</definedName>
    <definedName name="IQ_EQUITY_BEG_EXCL_FFIEC" hidden="1">"c12957"</definedName>
    <definedName name="IQ_EQUITY_BEG_FFIEC" hidden="1">"c12959"</definedName>
    <definedName name="IQ_EQUITY_CAPITAL_ASSETS_FDIC" hidden="1">"c6744"</definedName>
    <definedName name="IQ_EQUITY_CAPITAL_QUARTERLY_AVG_FFIEC" hidden="1">"c13092"</definedName>
    <definedName name="IQ_EQUITY_ENDING_FFIEC" hidden="1">"c12973"</definedName>
    <definedName name="IQ_EQUITY_FDIC" hidden="1">"c6353"</definedName>
    <definedName name="IQ_EQUITY_INDEX_EXPOSURE_FFIEC" hidden="1">"c13060"</definedName>
    <definedName name="IQ_EQUITY_LIST" hidden="1">"c15158"</definedName>
    <definedName name="IQ_EQUITY_METHOD" hidden="1">"c404"</definedName>
    <definedName name="IQ_EQUITY_NAME_AP" hidden="1">"c8925"</definedName>
    <definedName name="IQ_EQUITY_NAME_AP_ABS" hidden="1">"c8944"</definedName>
    <definedName name="IQ_EQUITY_SEC_FAIR_VALUE_FFIEC" hidden="1">"c12805"</definedName>
    <definedName name="IQ_EQUITY_SEC_INVEST_SECURITIES_FFIEC" hidden="1">"c13463"</definedName>
    <definedName name="IQ_EQUITY_SECURITIES_FDIC" hidden="1">"c6304"</definedName>
    <definedName name="IQ_EQUITY_SECURITIES_QUARTERLY_AVG_FFIEC" hidden="1">"c15474"</definedName>
    <definedName name="IQ_EQUITY_SECURITIES_WITHOUT_FAIR_VALUES_FFIEC" hidden="1">"c12846"</definedName>
    <definedName name="IQ_EQUITY_SECURITY_EXPOSURES_FDIC" hidden="1">"c6664"</definedName>
    <definedName name="IQ_EQUITY_TIER_ONE_CAPITAL" hidden="1">"c15246"</definedName>
    <definedName name="IQ_EQUITY_TIER_ONE_CAPITAL_RATIO" hidden="1">"c15242"</definedName>
    <definedName name="IQ_EQV_OVER_BV" hidden="1">"c1596"</definedName>
    <definedName name="IQ_EQV_OVER_LTM_PRETAX_INC" hidden="1">"c739"</definedName>
    <definedName name="IQ_ESOP_DEBT" hidden="1">"c1597"</definedName>
    <definedName name="IQ_ESOP_DEBT_GUARANTEED_FFIEC" hidden="1">"c12971"</definedName>
    <definedName name="IQ_ESOP_OVER_TOTAL" hidden="1">"c13768"</definedName>
    <definedName name="IQ_EST_ACT_CFPS" hidden="1">"c1673"</definedName>
    <definedName name="IQ_EST_ACT_DPS" hidden="1">"c1680"</definedName>
    <definedName name="IQ_EST_ACT_EBIT" hidden="1">"c1687"</definedName>
    <definedName name="IQ_EST_ACT_EBITDA" hidden="1">"c1664"</definedName>
    <definedName name="IQ_EST_ACT_EBITDA_CIQ" hidden="1">"c3667"</definedName>
    <definedName name="IQ_EST_ACT_EPS" hidden="1">"c1648"</definedName>
    <definedName name="IQ_EST_ACT_EPS_CIQ" hidden="1">"c4998"</definedName>
    <definedName name="IQ_EST_ACT_EPS_GW" hidden="1">"c1743"</definedName>
    <definedName name="IQ_EST_ACT_EPS_GW_CIQ" hidden="1">"c4729"</definedName>
    <definedName name="IQ_EST_ACT_EPS_NORM" hidden="1">"c2232"</definedName>
    <definedName name="IQ_EST_ACT_EPS_NORM_CIQ" hidden="1">"c4673"</definedName>
    <definedName name="IQ_EST_ACT_EPS_PRIMARY" hidden="1">"c2232"</definedName>
    <definedName name="IQ_EST_ACT_EPS_REPORTED" hidden="1">"c1750"</definedName>
    <definedName name="IQ_EST_ACT_EPS_REPORTED_CIQ" hidden="1">"c4736"</definedName>
    <definedName name="IQ_EST_ACT_FFO" hidden="1">"c1666"</definedName>
    <definedName name="IQ_EST_ACT_NAV" hidden="1">"c1757"</definedName>
    <definedName name="IQ_EST_ACT_NI" hidden="1">"c1722"</definedName>
    <definedName name="IQ_EST_ACT_NI_GW" hidden="1">"c1729"</definedName>
    <definedName name="IQ_EST_ACT_NI_REPORTED" hidden="1">"c1736"</definedName>
    <definedName name="IQ_EST_ACT_OPER_INC" hidden="1">"c1694"</definedName>
    <definedName name="IQ_EST_ACT_PRETAX_GW_INC" hidden="1">"c1708"</definedName>
    <definedName name="IQ_EST_ACT_PRETAX_INC" hidden="1">"c1701"</definedName>
    <definedName name="IQ_EST_ACT_PRETAX_REPORT_INC" hidden="1">"c1715"</definedName>
    <definedName name="IQ_EST_ACT_REV" hidden="1">"c2113"</definedName>
    <definedName name="IQ_EST_ACT_REV_CIQ" hidden="1">"c3666"</definedName>
    <definedName name="IQ_EST_CFPS_DIFF" hidden="1">"c1871"</definedName>
    <definedName name="IQ_EST_CFPS_GROWTH_1YR" hidden="1">"c1774"</definedName>
    <definedName name="IQ_EST_CFPS_GROWTH_2YR" hidden="1">"c1775"</definedName>
    <definedName name="IQ_EST_CFPS_GROWTH_Q_1YR" hidden="1">"c1776"</definedName>
    <definedName name="IQ_EST_CFPS_SEQ_GROWTH_Q" hidden="1">"c1777"</definedName>
    <definedName name="IQ_EST_CFPS_SURPRISE_PERCENT" hidden="1">"c1872"</definedName>
    <definedName name="IQ_EST_CURRENCY" hidden="1">"c2140"</definedName>
    <definedName name="IQ_EST_CURRENCY_CIQ" hidden="1">"c4769"</definedName>
    <definedName name="IQ_EST_DATE" hidden="1">"c1634"</definedName>
    <definedName name="IQ_EST_DATE_CIQ" hidden="1">"c4770"</definedName>
    <definedName name="IQ_EST_DPS_DIFF" hidden="1">"c1873"</definedName>
    <definedName name="IQ_EST_DPS_GROWTH_1YR" hidden="1">"c1778"</definedName>
    <definedName name="IQ_EST_DPS_GROWTH_2YR" hidden="1">"c1779"</definedName>
    <definedName name="IQ_EST_DPS_GROWTH_Q_1YR" hidden="1">"c1780"</definedName>
    <definedName name="IQ_EST_DPS_SEQ_GROWTH_Q" hidden="1">"c1781"</definedName>
    <definedName name="IQ_EST_DPS_SURPRISE_PERCENT" hidden="1">"c1874"</definedName>
    <definedName name="IQ_EST_EBIT_DIFF" hidden="1">"c1875"</definedName>
    <definedName name="IQ_EST_EBIT_SURPRISE_PERCENT" hidden="1">"c1876"</definedName>
    <definedName name="IQ_EST_EBITDA_DIFF" hidden="1">"c1867"</definedName>
    <definedName name="IQ_EST_EBITDA_DIFF_CIQ" hidden="1">"c3719"</definedName>
    <definedName name="IQ_EST_EBITDA_GROWTH_1YR" hidden="1">"c1766"</definedName>
    <definedName name="IQ_EST_EBITDA_GROWTH_2YR" hidden="1">"c1767"</definedName>
    <definedName name="IQ_EST_EBITDA_GROWTH_Q_1YR" hidden="1">"c1768"</definedName>
    <definedName name="IQ_EST_EBITDA_SEQ_GROWTH_Q" hidden="1">"c1769"</definedName>
    <definedName name="IQ_EST_EBITDA_SURPRISE_PERCENT" hidden="1">"c1868"</definedName>
    <definedName name="IQ_EST_EBITDA_SURPRISE_PERCENT_CIQ" hidden="1">"c3720"</definedName>
    <definedName name="IQ_EST_EPS_DIFF" hidden="1">"c1864"</definedName>
    <definedName name="IQ_EST_EPS_DIFF_CIQ" hidden="1">"c4999"</definedName>
    <definedName name="IQ_EST_EPS_GROWTH_1YR" hidden="1">"c1636"</definedName>
    <definedName name="IQ_EST_EPS_GROWTH_1YR_CIQ" hidden="1">"c3628"</definedName>
    <definedName name="IQ_EST_EPS_GROWTH_2YR" hidden="1">"c1637"</definedName>
    <definedName name="IQ_EST_EPS_GROWTH_5YR" hidden="1">"c1655"</definedName>
    <definedName name="IQ_EST_EPS_GROWTH_5YR_BOTTOM_UP_CIQ" hidden="1">"c12024"</definedName>
    <definedName name="IQ_EST_EPS_GROWTH_5YR_CIQ" hidden="1">"c3615"</definedName>
    <definedName name="IQ_EST_EPS_GROWTH_5YR_HIGH" hidden="1">"c1657"</definedName>
    <definedName name="IQ_EST_EPS_GROWTH_5YR_HIGH_CIQ" hidden="1">"c4663"</definedName>
    <definedName name="IQ_EST_EPS_GROWTH_5YR_LOW" hidden="1">"c1658"</definedName>
    <definedName name="IQ_EST_EPS_GROWTH_5YR_LOW_CIQ" hidden="1">"c4664"</definedName>
    <definedName name="IQ_EST_EPS_GROWTH_5YR_MEDIAN" hidden="1">"c1656"</definedName>
    <definedName name="IQ_EST_EPS_GROWTH_5YR_MEDIAN_CIQ" hidden="1">"c5480"</definedName>
    <definedName name="IQ_EST_EPS_GROWTH_5YR_NUM" hidden="1">"c1659"</definedName>
    <definedName name="IQ_EST_EPS_GROWTH_5YR_NUM_CIQ" hidden="1">"c4665"</definedName>
    <definedName name="IQ_EST_EPS_GROWTH_5YR_STDDEV" hidden="1">"c1660"</definedName>
    <definedName name="IQ_EST_EPS_GROWTH_5YR_STDDEV_CIQ" hidden="1">"c4666"</definedName>
    <definedName name="IQ_EST_EPS_GROWTH_Q_1YR" hidden="1">"c1641"</definedName>
    <definedName name="IQ_EST_EPS_GROWTH_Q_1YR_CIQ" hidden="1">"c4744"</definedName>
    <definedName name="IQ_EST_EPS_GW_DIFF" hidden="1">"c1891"</definedName>
    <definedName name="IQ_EST_EPS_GW_DIFF_CIQ" hidden="1">"c4761"</definedName>
    <definedName name="IQ_EST_EPS_GW_SURPRISE_PERCENT" hidden="1">"c1892"</definedName>
    <definedName name="IQ_EST_EPS_GW_SURPRISE_PERCENT_CIQ" hidden="1">"c4762"</definedName>
    <definedName name="IQ_EST_EPS_NORM_DIFF" hidden="1">"c2247"</definedName>
    <definedName name="IQ_EST_EPS_NORM_DIFF_CIQ" hidden="1">"c4745"</definedName>
    <definedName name="IQ_EST_EPS_NORM_SURPRISE_PERCENT" hidden="1">"c2248"</definedName>
    <definedName name="IQ_EST_EPS_NORM_SURPRISE_PERCENT_CIQ" hidden="1">"c4746"</definedName>
    <definedName name="IQ_EST_EPS_REPORT_DIFF" hidden="1">"c1893"</definedName>
    <definedName name="IQ_EST_EPS_REPORT_DIFF_CIQ" hidden="1">"c4763"</definedName>
    <definedName name="IQ_EST_EPS_REPORT_SURPRISE_PERCENT" hidden="1">"c1894"</definedName>
    <definedName name="IQ_EST_EPS_REPORT_SURPRISE_PERCENT_CIQ" hidden="1">"c4764"</definedName>
    <definedName name="IQ_EST_EPS_SEQ_GROWTH_Q" hidden="1">"c1764"</definedName>
    <definedName name="IQ_EST_EPS_SURPRISE" hidden="1">"c1635"</definedName>
    <definedName name="IQ_EST_EPS_SURPRISE_PERCENT" hidden="1">"c1635"</definedName>
    <definedName name="IQ_EST_EPS_SURPRISE_PERCENT_CIQ" hidden="1">"c5000"</definedName>
    <definedName name="IQ_EST_FAIR_VALUE_MORT_SERVICING_ASSETS_FFIEC" hidden="1">"c12956"</definedName>
    <definedName name="IQ_EST_FFO_DIFF" hidden="1">"c1869"</definedName>
    <definedName name="IQ_EST_FFO_GROWTH_1YR" hidden="1">"c1770"</definedName>
    <definedName name="IQ_EST_FFO_GROWTH_2YR" hidden="1">"c1771"</definedName>
    <definedName name="IQ_EST_FFO_GROWTH_Q_1YR" hidden="1">"c1772"</definedName>
    <definedName name="IQ_EST_FFO_SEQ_GROWTH_Q" hidden="1">"c1773"</definedName>
    <definedName name="IQ_EST_FFO_SURPRISE_PERCENT" hidden="1">"c1870"</definedName>
    <definedName name="IQ_EST_FOOTNOTE" hidden="1">"c4540"</definedName>
    <definedName name="IQ_EST_FOOTNOTE_CIQ" hidden="1">"c12022"</definedName>
    <definedName name="IQ_EST_NAV_DIFF" hidden="1">"c1895"</definedName>
    <definedName name="IQ_EST_NAV_SURPRISE_PERCENT" hidden="1">"c1896"</definedName>
    <definedName name="IQ_EST_NEXT_EARNINGS_DATE" hidden="1">"c13591"</definedName>
    <definedName name="IQ_EST_NI_DIFF" hidden="1">"c1885"</definedName>
    <definedName name="IQ_EST_NI_GW_DIFF" hidden="1">"c1887"</definedName>
    <definedName name="IQ_EST_NI_GW_SURPRISE_PERCENT" hidden="1">"c1888"</definedName>
    <definedName name="IQ_EST_NI_REPORT_DIFF" hidden="1">"c1889"</definedName>
    <definedName name="IQ_EST_NI_REPORT_SURPRISE_PERCENT" hidden="1">"c1890"</definedName>
    <definedName name="IQ_EST_NI_SURPRISE_PERCENT" hidden="1">"c1886"</definedName>
    <definedName name="IQ_EST_NUM_BUY" hidden="1">"c1759"</definedName>
    <definedName name="IQ_EST_NUM_HOLD" hidden="1">"c1761"</definedName>
    <definedName name="IQ_EST_NUM_NO_OPINION" hidden="1">"c1758"</definedName>
    <definedName name="IQ_EST_NUM_OUTPERFORM" hidden="1">"c1760"</definedName>
    <definedName name="IQ_EST_NUM_SELL" hidden="1">"c1763"</definedName>
    <definedName name="IQ_EST_NUM_UNDERPERFORM" hidden="1">"c1762"</definedName>
    <definedName name="IQ_EST_OPER_INC_DIFF" hidden="1">"c1877"</definedName>
    <definedName name="IQ_EST_OPER_INC_SURPRISE_PERCENT" hidden="1">"c1878"</definedName>
    <definedName name="IQ_EST_PRE_TAX_DIFF" hidden="1">"c1879"</definedName>
    <definedName name="IQ_EST_PRE_TAX_GW_DIFF" hidden="1">"c1881"</definedName>
    <definedName name="IQ_EST_PRE_TAX_GW_SURPRISE_PERCENT" hidden="1">"c1882"</definedName>
    <definedName name="IQ_EST_PRE_TAX_REPORT_DIFF" hidden="1">"c1883"</definedName>
    <definedName name="IQ_EST_PRE_TAX_REPORT_SURPRISE_PERCENT" hidden="1">"c1884"</definedName>
    <definedName name="IQ_EST_PRE_TAX_SURPRISE_PERCENT" hidden="1">"c1880"</definedName>
    <definedName name="IQ_EST_REV_DIFF" hidden="1">"c1865"</definedName>
    <definedName name="IQ_EST_REV_DIFF_CIQ" hidden="1">"c3717"</definedName>
    <definedName name="IQ_EST_REV_GROWTH_1YR" hidden="1">"c1638"</definedName>
    <definedName name="IQ_EST_REV_GROWTH_2YR" hidden="1">"c1639"</definedName>
    <definedName name="IQ_EST_REV_GROWTH_Q_1YR" hidden="1">"c1640"</definedName>
    <definedName name="IQ_EST_REV_SEQ_GROWTH_Q" hidden="1">"c1765"</definedName>
    <definedName name="IQ_EST_REV_SURPRISE_PERCENT" hidden="1">"c1866"</definedName>
    <definedName name="IQ_EST_REV_SURPRISE_PERCENT_CIQ" hidden="1">"c3718"</definedName>
    <definedName name="IQ_ESTIMATED_ASSESSABLE_DEPOSITS_FDIC" hidden="1">"c6490"</definedName>
    <definedName name="IQ_ESTIMATED_INSURED_DEPOSITS_FDIC" hidden="1">"c6491"</definedName>
    <definedName name="IQ_EV_OVER_EMPLOYEE" hidden="1">"c1225"</definedName>
    <definedName name="IQ_EV_OVER_LTM_EBIT" hidden="1">"c1221"</definedName>
    <definedName name="IQ_EV_OVER_LTM_EBITDA" hidden="1">"c1223"</definedName>
    <definedName name="IQ_EV_OVER_LTM_REVENUE" hidden="1">"c1227"</definedName>
    <definedName name="IQ_EV_OVER_REVENUE_EST" hidden="1">"IQ_EV_OVER_REVENUE_EST"</definedName>
    <definedName name="IQ_EV_OVER_REVENUE_EST_1" hidden="1">"IQ_EV_OVER_REVENUE_EST_1"</definedName>
    <definedName name="IQ_EVAL_DATE" hidden="1">"c2180"</definedName>
    <definedName name="IQ_EVENT_DATE" hidden="1">"c13819"</definedName>
    <definedName name="IQ_EVENT_ID" hidden="1">"c13818"</definedName>
    <definedName name="IQ_EVENT_TIME" hidden="1">"c13820"</definedName>
    <definedName name="IQ_EVENT_TYPE" hidden="1">"c13821"</definedName>
    <definedName name="IQ_EXCHANGE" hidden="1">"c405"</definedName>
    <definedName name="IQ_EXCISE_TAXES_EXCL_SALES" hidden="1">"c5515"</definedName>
    <definedName name="IQ_EXCISE_TAXES_INCL_SALES" hidden="1">"c5514"</definedName>
    <definedName name="IQ_EXERCISE_PRICE" hidden="1">"c406"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ENSE_CODE_" hidden="1">"ajsdasd"</definedName>
    <definedName name="IQ_EXPENSES_AP" hidden="1">"c8875"</definedName>
    <definedName name="IQ_EXPENSES_AP_ABS" hidden="1">"c8894"</definedName>
    <definedName name="IQ_EXPENSES_FIXED_ASSETS_FFIEC" hidden="1">"c13024"</definedName>
    <definedName name="IQ_EXPENSES_NAME_AP" hidden="1">"c8913"</definedName>
    <definedName name="IQ_EXPENSES_NAME_AP_ABS" hidden="1">"c8932"</definedName>
    <definedName name="IQ_EXPLORATION_EXPENDITURE_ALUM" hidden="1">"c9255"</definedName>
    <definedName name="IQ_EXPLORATION_EXPENDITURE_COAL" hidden="1">"c9827"</definedName>
    <definedName name="IQ_EXPLORATION_EXPENDITURE_COP" hidden="1">"c9202"</definedName>
    <definedName name="IQ_EXPLORATION_EXPENDITURE_DIAM" hidden="1">"c9679"</definedName>
    <definedName name="IQ_EXPLORATION_EXPENDITURE_GOLD" hidden="1">"c9040"</definedName>
    <definedName name="IQ_EXPLORATION_EXPENDITURE_IRON" hidden="1">"c9414"</definedName>
    <definedName name="IQ_EXPLORATION_EXPENDITURE_LEAD" hidden="1">"c9467"</definedName>
    <definedName name="IQ_EXPLORATION_EXPENDITURE_MANG" hidden="1">"c9520"</definedName>
    <definedName name="IQ_EXPLORATION_EXPENDITURE_MOLYB" hidden="1">"c9732"</definedName>
    <definedName name="IQ_EXPLORATION_EXPENDITURE_NICK" hidden="1">"c9308"</definedName>
    <definedName name="IQ_EXPLORATION_EXPENDITURE_PLAT" hidden="1">"c9146"</definedName>
    <definedName name="IQ_EXPLORATION_EXPENDITURE_SILVER" hidden="1">"c9093"</definedName>
    <definedName name="IQ_EXPLORATION_EXPENDITURE_TITAN" hidden="1">"c9573"</definedName>
    <definedName name="IQ_EXPLORATION_EXPENDITURE_URAN" hidden="1">"c9626"</definedName>
    <definedName name="IQ_EXPLORATION_EXPENDITURE_ZINC" hidden="1">"c9361"</definedName>
    <definedName name="IQ_EXPLORE_DRILL" hidden="1">"c409"</definedName>
    <definedName name="IQ_EXPLORE_DRILL_EXP_TOTAL" hidden="1">"c13850"</definedName>
    <definedName name="IQ_EXPORT_PRICE_INDEX" hidden="1">"c6860"</definedName>
    <definedName name="IQ_EXPORT_PRICE_INDEX_APR" hidden="1">"c7520"</definedName>
    <definedName name="IQ_EXPORT_PRICE_INDEX_APR_FC" hidden="1">"c8400"</definedName>
    <definedName name="IQ_EXPORT_PRICE_INDEX_FC" hidden="1">"c7740"</definedName>
    <definedName name="IQ_EXPORT_PRICE_INDEX_POP" hidden="1">"c7080"</definedName>
    <definedName name="IQ_EXPORT_PRICE_INDEX_POP_FC" hidden="1">"c7960"</definedName>
    <definedName name="IQ_EXPORT_PRICE_INDEX_YOY" hidden="1">"c7300"</definedName>
    <definedName name="IQ_EXPORT_PRICE_INDEX_YOY_FC" hidden="1">"c8180"</definedName>
    <definedName name="IQ_EXPORTS_APR_FC_UNUSED" hidden="1">"c8401"</definedName>
    <definedName name="IQ_EXPORTS_APR_FC_UNUSED_UNUSED_UNUSED" hidden="1">"c8401"</definedName>
    <definedName name="IQ_EXPORTS_APR_UNUSED" hidden="1">"c7521"</definedName>
    <definedName name="IQ_EXPORTS_APR_UNUSED_UNUSED_UNUSED" hidden="1">"c7521"</definedName>
    <definedName name="IQ_EXPORTS_FACTOR_SERVICES" hidden="1">"c6862"</definedName>
    <definedName name="IQ_EXPORTS_FACTOR_SERVICES_APR" hidden="1">"c7522"</definedName>
    <definedName name="IQ_EXPORTS_FACTOR_SERVICES_APR_FC" hidden="1">"c8402"</definedName>
    <definedName name="IQ_EXPORTS_FACTOR_SERVICES_FC" hidden="1">"c7742"</definedName>
    <definedName name="IQ_EXPORTS_FACTOR_SERVICES_POP" hidden="1">"c7082"</definedName>
    <definedName name="IQ_EXPORTS_FACTOR_SERVICES_POP_FC" hidden="1">"c7962"</definedName>
    <definedName name="IQ_EXPORTS_FACTOR_SERVICES_SAAR" hidden="1">"c6863"</definedName>
    <definedName name="IQ_EXPORTS_FACTOR_SERVICES_SAAR_APR" hidden="1">"c7523"</definedName>
    <definedName name="IQ_EXPORTS_FACTOR_SERVICES_SAAR_APR_FC" hidden="1">"c8403"</definedName>
    <definedName name="IQ_EXPORTS_FACTOR_SERVICES_SAAR_FC" hidden="1">"c7743"</definedName>
    <definedName name="IQ_EXPORTS_FACTOR_SERVICES_SAAR_POP" hidden="1">"c7083"</definedName>
    <definedName name="IQ_EXPORTS_FACTOR_SERVICES_SAAR_POP_FC" hidden="1">"c7963"</definedName>
    <definedName name="IQ_EXPORTS_FACTOR_SERVICES_SAAR_USD_APR_FC" hidden="1">"c11817"</definedName>
    <definedName name="IQ_EXPORTS_FACTOR_SERVICES_SAAR_USD_FC" hidden="1">"c11814"</definedName>
    <definedName name="IQ_EXPORTS_FACTOR_SERVICES_SAAR_USD_POP_FC" hidden="1">"c11815"</definedName>
    <definedName name="IQ_EXPORTS_FACTOR_SERVICES_SAAR_USD_YOY_FC" hidden="1">"c11816"</definedName>
    <definedName name="IQ_EXPORTS_FACTOR_SERVICES_SAAR_YOY" hidden="1">"c7303"</definedName>
    <definedName name="IQ_EXPORTS_FACTOR_SERVICES_SAAR_YOY_FC" hidden="1">"c8183"</definedName>
    <definedName name="IQ_EXPORTS_FACTOR_SERVICES_USD_APR_FC" hidden="1">"c11813"</definedName>
    <definedName name="IQ_EXPORTS_FACTOR_SERVICES_USD_FC" hidden="1">"c11810"</definedName>
    <definedName name="IQ_EXPORTS_FACTOR_SERVICES_USD_POP_FC" hidden="1">"c11811"</definedName>
    <definedName name="IQ_EXPORTS_FACTOR_SERVICES_USD_YOY_FC" hidden="1">"c11812"</definedName>
    <definedName name="IQ_EXPORTS_FACTOR_SERVICES_YOY" hidden="1">"c7302"</definedName>
    <definedName name="IQ_EXPORTS_FACTOR_SERVICES_YOY_FC" hidden="1">"c8182"</definedName>
    <definedName name="IQ_EXPORTS_FC_UNUSED" hidden="1">"c7741"</definedName>
    <definedName name="IQ_EXPORTS_FC_UNUSED_UNUSED_UNUSED" hidden="1">"c7741"</definedName>
    <definedName name="IQ_EXPORTS_GOODS" hidden="1">"c6864"</definedName>
    <definedName name="IQ_EXPORTS_GOODS_APR" hidden="1">"c7524"</definedName>
    <definedName name="IQ_EXPORTS_GOODS_APR_FC" hidden="1">"c8404"</definedName>
    <definedName name="IQ_EXPORTS_GOODS_FC" hidden="1">"c7744"</definedName>
    <definedName name="IQ_EXPORTS_GOODS_NONFACTOR_SERVICES" hidden="1">"c6865"</definedName>
    <definedName name="IQ_EXPORTS_GOODS_NONFACTOR_SERVICES_APR" hidden="1">"c7525"</definedName>
    <definedName name="IQ_EXPORTS_GOODS_NONFACTOR_SERVICES_APR_FC" hidden="1">"c8405"</definedName>
    <definedName name="IQ_EXPORTS_GOODS_NONFACTOR_SERVICES_FC" hidden="1">"c7745"</definedName>
    <definedName name="IQ_EXPORTS_GOODS_NONFACTOR_SERVICES_POP" hidden="1">"c7085"</definedName>
    <definedName name="IQ_EXPORTS_GOODS_NONFACTOR_SERVICES_POP_FC" hidden="1">"c7965"</definedName>
    <definedName name="IQ_EXPORTS_GOODS_NONFACTOR_SERVICES_YOY" hidden="1">"c7305"</definedName>
    <definedName name="IQ_EXPORTS_GOODS_NONFACTOR_SERVICES_YOY_FC" hidden="1">"c8185"</definedName>
    <definedName name="IQ_EXPORTS_GOODS_POP" hidden="1">"c7084"</definedName>
    <definedName name="IQ_EXPORTS_GOODS_POP_FC" hidden="1">"c7964"</definedName>
    <definedName name="IQ_EXPORTS_GOODS_REAL" hidden="1">"c6973"</definedName>
    <definedName name="IQ_EXPORTS_GOODS_REAL_APR" hidden="1">"c7633"</definedName>
    <definedName name="IQ_EXPORTS_GOODS_REAL_APR_FC" hidden="1">"c8513"</definedName>
    <definedName name="IQ_EXPORTS_GOODS_REAL_FC" hidden="1">"c7853"</definedName>
    <definedName name="IQ_EXPORTS_GOODS_REAL_POP" hidden="1">"c7193"</definedName>
    <definedName name="IQ_EXPORTS_GOODS_REAL_POP_FC" hidden="1">"c8073"</definedName>
    <definedName name="IQ_EXPORTS_GOODS_REAL_SAAR" hidden="1">"c11930"</definedName>
    <definedName name="IQ_EXPORTS_GOODS_REAL_SAAR_APR" hidden="1">"c11933"</definedName>
    <definedName name="IQ_EXPORTS_GOODS_REAL_SAAR_APR_FC_UNUSED" hidden="1">"c8512"</definedName>
    <definedName name="IQ_EXPORTS_GOODS_REAL_SAAR_APR_FC_UNUSED_UNUSED_UNUSED" hidden="1">"c8512"</definedName>
    <definedName name="IQ_EXPORTS_GOODS_REAL_SAAR_APR_UNUSED" hidden="1">"c7632"</definedName>
    <definedName name="IQ_EXPORTS_GOODS_REAL_SAAR_APR_UNUSED_UNUSED_UNUSED" hidden="1">"c7632"</definedName>
    <definedName name="IQ_EXPORTS_GOODS_REAL_SAAR_FC_UNUSED" hidden="1">"c7852"</definedName>
    <definedName name="IQ_EXPORTS_GOODS_REAL_SAAR_FC_UNUSED_UNUSED_UNUSED" hidden="1">"c7852"</definedName>
    <definedName name="IQ_EXPORTS_GOODS_REAL_SAAR_POP" hidden="1">"c11931"</definedName>
    <definedName name="IQ_EXPORTS_GOODS_REAL_SAAR_POP_FC_UNUSED" hidden="1">"c8072"</definedName>
    <definedName name="IQ_EXPORTS_GOODS_REAL_SAAR_POP_FC_UNUSED_UNUSED_UNUSED" hidden="1">"c8072"</definedName>
    <definedName name="IQ_EXPORTS_GOODS_REAL_SAAR_POP_UNUSED" hidden="1">"c7192"</definedName>
    <definedName name="IQ_EXPORTS_GOODS_REAL_SAAR_POP_UNUSED_UNUSED_UNUSED" hidden="1">"c7192"</definedName>
    <definedName name="IQ_EXPORTS_GOODS_REAL_SAAR_UNUSED" hidden="1">"c6972"</definedName>
    <definedName name="IQ_EXPORTS_GOODS_REAL_SAAR_UNUSED_UNUSED_UNUSED" hidden="1">"c6972"</definedName>
    <definedName name="IQ_EXPORTS_GOODS_REAL_SAAR_YOY" hidden="1">"c11932"</definedName>
    <definedName name="IQ_EXPORTS_GOODS_REAL_SAAR_YOY_FC_UNUSED" hidden="1">"c8292"</definedName>
    <definedName name="IQ_EXPORTS_GOODS_REAL_SAAR_YOY_FC_UNUSED_UNUSED_UNUSED" hidden="1">"c8292"</definedName>
    <definedName name="IQ_EXPORTS_GOODS_REAL_SAAR_YOY_UNUSED" hidden="1">"c7412"</definedName>
    <definedName name="IQ_EXPORTS_GOODS_REAL_SAAR_YOY_UNUSED_UNUSED_UNUSED" hidden="1">"c7412"</definedName>
    <definedName name="IQ_EXPORTS_GOODS_REAL_YOY" hidden="1">"c7413"</definedName>
    <definedName name="IQ_EXPORTS_GOODS_REAL_YOY_FC" hidden="1">"c8293"</definedName>
    <definedName name="IQ_EXPORTS_GOODS_SERVICES" hidden="1">"c6866"</definedName>
    <definedName name="IQ_EXPORTS_GOODS_SERVICES_APR" hidden="1">"c7526"</definedName>
    <definedName name="IQ_EXPORTS_GOODS_SERVICES_APR_FC" hidden="1">"c8406"</definedName>
    <definedName name="IQ_EXPORTS_GOODS_SERVICES_FC" hidden="1">"c7746"</definedName>
    <definedName name="IQ_EXPORTS_GOODS_SERVICES_POP" hidden="1">"c7086"</definedName>
    <definedName name="IQ_EXPORTS_GOODS_SERVICES_POP_FC" hidden="1">"c7966"</definedName>
    <definedName name="IQ_EXPORTS_GOODS_SERVICES_REAL" hidden="1">"c6974"</definedName>
    <definedName name="IQ_EXPORTS_GOODS_SERVICES_REAL_APR" hidden="1">"c7634"</definedName>
    <definedName name="IQ_EXPORTS_GOODS_SERVICES_REAL_APR_FC" hidden="1">"c8514"</definedName>
    <definedName name="IQ_EXPORTS_GOODS_SERVICES_REAL_FC" hidden="1">"c7854"</definedName>
    <definedName name="IQ_EXPORTS_GOODS_SERVICES_REAL_POP" hidden="1">"c7194"</definedName>
    <definedName name="IQ_EXPORTS_GOODS_SERVICES_REAL_POP_FC" hidden="1">"c8074"</definedName>
    <definedName name="IQ_EXPORTS_GOODS_SERVICES_REAL_SAAR" hidden="1">"c6975"</definedName>
    <definedName name="IQ_EXPORTS_GOODS_SERVICES_REAL_SAAR_APR" hidden="1">"c7635"</definedName>
    <definedName name="IQ_EXPORTS_GOODS_SERVICES_REAL_SAAR_APR_FC" hidden="1">"c8515"</definedName>
    <definedName name="IQ_EXPORTS_GOODS_SERVICES_REAL_SAAR_FC" hidden="1">"c7855"</definedName>
    <definedName name="IQ_EXPORTS_GOODS_SERVICES_REAL_SAAR_POP" hidden="1">"c7195"</definedName>
    <definedName name="IQ_EXPORTS_GOODS_SERVICES_REAL_SAAR_POP_FC" hidden="1">"c8075"</definedName>
    <definedName name="IQ_EXPORTS_GOODS_SERVICES_REAL_SAAR_YOY" hidden="1">"c7415"</definedName>
    <definedName name="IQ_EXPORTS_GOODS_SERVICES_REAL_SAAR_YOY_FC" hidden="1">"c8295"</definedName>
    <definedName name="IQ_EXPORTS_GOODS_SERVICES_REAL_USD" hidden="1">"c11926"</definedName>
    <definedName name="IQ_EXPORTS_GOODS_SERVICES_REAL_USD_APR" hidden="1">"c11929"</definedName>
    <definedName name="IQ_EXPORTS_GOODS_SERVICES_REAL_USD_POP" hidden="1">"c11927"</definedName>
    <definedName name="IQ_EXPORTS_GOODS_SERVICES_REAL_USD_YOY" hidden="1">"c11928"</definedName>
    <definedName name="IQ_EXPORTS_GOODS_SERVICES_REAL_YOY" hidden="1">"c7414"</definedName>
    <definedName name="IQ_EXPORTS_GOODS_SERVICES_REAL_YOY_FC" hidden="1">"c8294"</definedName>
    <definedName name="IQ_EXPORTS_GOODS_SERVICES_SAAR" hidden="1">"c6867"</definedName>
    <definedName name="IQ_EXPORTS_GOODS_SERVICES_SAAR_APR" hidden="1">"c7527"</definedName>
    <definedName name="IQ_EXPORTS_GOODS_SERVICES_SAAR_APR_FC" hidden="1">"c8407"</definedName>
    <definedName name="IQ_EXPORTS_GOODS_SERVICES_SAAR_FC" hidden="1">"c7747"</definedName>
    <definedName name="IQ_EXPORTS_GOODS_SERVICES_SAAR_POP" hidden="1">"c7087"</definedName>
    <definedName name="IQ_EXPORTS_GOODS_SERVICES_SAAR_POP_FC" hidden="1">"c7967"</definedName>
    <definedName name="IQ_EXPORTS_GOODS_SERVICES_SAAR_YOY" hidden="1">"c7307"</definedName>
    <definedName name="IQ_EXPORTS_GOODS_SERVICES_SAAR_YOY_FC" hidden="1">"c8187"</definedName>
    <definedName name="IQ_EXPORTS_GOODS_SERVICES_USD" hidden="1">"c11822"</definedName>
    <definedName name="IQ_EXPORTS_GOODS_SERVICES_USD_APR" hidden="1">"c11825"</definedName>
    <definedName name="IQ_EXPORTS_GOODS_SERVICES_USD_POP" hidden="1">"c11823"</definedName>
    <definedName name="IQ_EXPORTS_GOODS_SERVICES_USD_YOY" hidden="1">"c11824"</definedName>
    <definedName name="IQ_EXPORTS_GOODS_SERVICES_YOY" hidden="1">"c7306"</definedName>
    <definedName name="IQ_EXPORTS_GOODS_SERVICES_YOY_FC" hidden="1">"c8186"</definedName>
    <definedName name="IQ_EXPORTS_GOODS_USD" hidden="1">"c11818"</definedName>
    <definedName name="IQ_EXPORTS_GOODS_USD_APR" hidden="1">"c11821"</definedName>
    <definedName name="IQ_EXPORTS_GOODS_USD_POP" hidden="1">"c11819"</definedName>
    <definedName name="IQ_EXPORTS_GOODS_USD_YOY" hidden="1">"c11820"</definedName>
    <definedName name="IQ_EXPORTS_GOODS_YOY" hidden="1">"c7304"</definedName>
    <definedName name="IQ_EXPORTS_GOODS_YOY_FC" hidden="1">"c8184"</definedName>
    <definedName name="IQ_EXPORTS_NONFACTOR_SERVICES" hidden="1">"c6868"</definedName>
    <definedName name="IQ_EXPORTS_NONFACTOR_SERVICES_APR" hidden="1">"c7528"</definedName>
    <definedName name="IQ_EXPORTS_NONFACTOR_SERVICES_APR_FC" hidden="1">"c8408"</definedName>
    <definedName name="IQ_EXPORTS_NONFACTOR_SERVICES_FC" hidden="1">"c7748"</definedName>
    <definedName name="IQ_EXPORTS_NONFACTOR_SERVICES_POP" hidden="1">"c7088"</definedName>
    <definedName name="IQ_EXPORTS_NONFACTOR_SERVICES_POP_FC" hidden="1">"c7968"</definedName>
    <definedName name="IQ_EXPORTS_NONFACTOR_SERVICES_YOY" hidden="1">"c7308"</definedName>
    <definedName name="IQ_EXPORTS_NONFACTOR_SERVICES_YOY_FC" hidden="1">"c8188"</definedName>
    <definedName name="IQ_EXPORTS_POP_FC_UNUSED" hidden="1">"c7961"</definedName>
    <definedName name="IQ_EXPORTS_POP_FC_UNUSED_UNUSED_UNUSED" hidden="1">"c7961"</definedName>
    <definedName name="IQ_EXPORTS_POP_UNUSED" hidden="1">"c7081"</definedName>
    <definedName name="IQ_EXPORTS_POP_UNUSED_UNUSED_UNUSED" hidden="1">"c7081"</definedName>
    <definedName name="IQ_EXPORTS_SERVICES_REAL" hidden="1">"c6977"</definedName>
    <definedName name="IQ_EXPORTS_SERVICES_REAL_APR" hidden="1">"c7637"</definedName>
    <definedName name="IQ_EXPORTS_SERVICES_REAL_APR_FC" hidden="1">"c8517"</definedName>
    <definedName name="IQ_EXPORTS_SERVICES_REAL_FC" hidden="1">"c7857"</definedName>
    <definedName name="IQ_EXPORTS_SERVICES_REAL_POP" hidden="1">"c7197"</definedName>
    <definedName name="IQ_EXPORTS_SERVICES_REAL_POP_FC" hidden="1">"c8077"</definedName>
    <definedName name="IQ_EXPORTS_SERVICES_REAL_SAAR" hidden="1">"c11934"</definedName>
    <definedName name="IQ_EXPORTS_SERVICES_REAL_SAAR_APR" hidden="1">"c11937"</definedName>
    <definedName name="IQ_EXPORTS_SERVICES_REAL_SAAR_APR_FC_UNUSED" hidden="1">"c8516"</definedName>
    <definedName name="IQ_EXPORTS_SERVICES_REAL_SAAR_APR_FC_UNUSED_UNUSED_UNUSED" hidden="1">"c8516"</definedName>
    <definedName name="IQ_EXPORTS_SERVICES_REAL_SAAR_APR_UNUSED" hidden="1">"c7636"</definedName>
    <definedName name="IQ_EXPORTS_SERVICES_REAL_SAAR_APR_UNUSED_UNUSED_UNUSED" hidden="1">"c7636"</definedName>
    <definedName name="IQ_EXPORTS_SERVICES_REAL_SAAR_FC_UNUSED" hidden="1">"c7856"</definedName>
    <definedName name="IQ_EXPORTS_SERVICES_REAL_SAAR_FC_UNUSED_UNUSED_UNUSED" hidden="1">"c7856"</definedName>
    <definedName name="IQ_EXPORTS_SERVICES_REAL_SAAR_POP" hidden="1">"c11935"</definedName>
    <definedName name="IQ_EXPORTS_SERVICES_REAL_SAAR_POP_FC_UNUSED" hidden="1">"c8076"</definedName>
    <definedName name="IQ_EXPORTS_SERVICES_REAL_SAAR_POP_FC_UNUSED_UNUSED_UNUSED" hidden="1">"c8076"</definedName>
    <definedName name="IQ_EXPORTS_SERVICES_REAL_SAAR_POP_UNUSED" hidden="1">"c7196"</definedName>
    <definedName name="IQ_EXPORTS_SERVICES_REAL_SAAR_POP_UNUSED_UNUSED_UNUSED" hidden="1">"c7196"</definedName>
    <definedName name="IQ_EXPORTS_SERVICES_REAL_SAAR_UNUSED" hidden="1">"c6976"</definedName>
    <definedName name="IQ_EXPORTS_SERVICES_REAL_SAAR_UNUSED_UNUSED_UNUSED" hidden="1">"c6976"</definedName>
    <definedName name="IQ_EXPORTS_SERVICES_REAL_SAAR_YOY" hidden="1">"c11936"</definedName>
    <definedName name="IQ_EXPORTS_SERVICES_REAL_SAAR_YOY_FC_UNUSED" hidden="1">"c8296"</definedName>
    <definedName name="IQ_EXPORTS_SERVICES_REAL_SAAR_YOY_FC_UNUSED_UNUSED_UNUSED" hidden="1">"c8296"</definedName>
    <definedName name="IQ_EXPORTS_SERVICES_REAL_SAAR_YOY_UNUSED" hidden="1">"c7416"</definedName>
    <definedName name="IQ_EXPORTS_SERVICES_REAL_SAAR_YOY_UNUSED_UNUSED_UNUSED" hidden="1">"c7416"</definedName>
    <definedName name="IQ_EXPORTS_SERVICES_REAL_YOY" hidden="1">"c7417"</definedName>
    <definedName name="IQ_EXPORTS_SERVICES_REAL_YOY_FC" hidden="1">"c8297"</definedName>
    <definedName name="IQ_EXPORTS_UNUSED" hidden="1">"c6861"</definedName>
    <definedName name="IQ_EXPORTS_UNUSED_UNUSED_UNUSED" hidden="1">"c6861"</definedName>
    <definedName name="IQ_EXPORTS_USD" hidden="1">"c11806"</definedName>
    <definedName name="IQ_EXPORTS_USD_APR" hidden="1">"c11809"</definedName>
    <definedName name="IQ_EXPORTS_USD_POP" hidden="1">"c11807"</definedName>
    <definedName name="IQ_EXPORTS_USD_YOY" hidden="1">"c11808"</definedName>
    <definedName name="IQ_EXPORTS_YOY_FC_UNUSED" hidden="1">"c8181"</definedName>
    <definedName name="IQ_EXPORTS_YOY_FC_UNUSED_UNUSED_UNUSED" hidden="1">"c8181"</definedName>
    <definedName name="IQ_EXPORTS_YOY_UNUSED" hidden="1">"c7301"</definedName>
    <definedName name="IQ_EXPORTS_YOY_UNUSED_UNUSED_UNUSED" hidden="1">"c7301"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" hidden="1">"c6216"</definedName>
    <definedName name="IQ_EXTRA_ACC_ITEMS_REIT" hidden="1">"c415"</definedName>
    <definedName name="IQ_EXTRA_ACC_ITEMS_UTI" hidden="1">"c416"</definedName>
    <definedName name="IQ_EXTRA_AVG_ASSETS_FFIEC" hidden="1">"c13369"</definedName>
    <definedName name="IQ_EXTRA_ITEMS" hidden="1">"c413"</definedName>
    <definedName name="IQ_EXTRA_ITEMS_OTHER_ADJUSTMENTS_FOREIGN_FFIEC" hidden="1">"c15392"</definedName>
    <definedName name="IQ_EXTRAORDINARY_GAINS_FDIC" hidden="1">"c6586"</definedName>
    <definedName name="IQ_EXTRAORDINARY_ITEMS_FFIEC" hidden="1">"c13033"</definedName>
    <definedName name="IQ_FAD" hidden="1">"c8757"</definedName>
    <definedName name="IQ_FAD_PAYOUT_RATIO" hidden="1">"c8872"</definedName>
    <definedName name="IQ_FAIR_VALUE_CHANGE_INCL_EARNINGS" hidden="1">"c13849"</definedName>
    <definedName name="IQ_FAIR_VALUE_FDIC" hidden="1">"c6427"</definedName>
    <definedName name="IQ_FARM_LOANS_NET_FDIC" hidden="1">"c6316"</definedName>
    <definedName name="IQ_FARM_LOANS_TOT_LOANS_FFIEC" hidden="1">"c13870"</definedName>
    <definedName name="IQ_FARM_LOANS_TOTAL_LOANS_FOREIGN_FDIC" hidden="1">"c6450"</definedName>
    <definedName name="IQ_FARMLAND_DOM_FFIEC" hidden="1">"c15268"</definedName>
    <definedName name="IQ_FARMLAND_LOANS_FDIC" hidden="1">"c6314"</definedName>
    <definedName name="IQ_FDIC" hidden="1">"c417"</definedName>
    <definedName name="IQ_FDIC_DEPOSIT_INSURANCE_FFIEC" hidden="1">"c13053"</definedName>
    <definedName name="IQ_FED_BUDGET_RECEIPTS" hidden="1">"c6869"</definedName>
    <definedName name="IQ_FED_BUDGET_RECEIPTS_APR" hidden="1">"c7529"</definedName>
    <definedName name="IQ_FED_BUDGET_RECEIPTS_APR_FC" hidden="1">"c8409"</definedName>
    <definedName name="IQ_FED_BUDGET_RECEIPTS_FC" hidden="1">"c7749"</definedName>
    <definedName name="IQ_FED_BUDGET_RECEIPTS_POP" hidden="1">"c7089"</definedName>
    <definedName name="IQ_FED_BUDGET_RECEIPTS_POP_FC" hidden="1">"c7969"</definedName>
    <definedName name="IQ_FED_BUDGET_RECEIPTS_YOY" hidden="1">"c7309"</definedName>
    <definedName name="IQ_FED_BUDGET_RECEIPTS_YOY_FC" hidden="1">"c8189"</definedName>
    <definedName name="IQ_FED_FUND_PURCHASED_SEC_SOLD_REPURCHASE_FFIEC" hidden="1">"c15489"</definedName>
    <definedName name="IQ_FED_FUND_SOLD_SEC_PURCHASED_RESELL_FFIEC" hidden="1">"c15488"</definedName>
    <definedName name="IQ_FED_FUNDS_PURCH_SEC_SOLD_FAIR_VALUE_TOT_FFIEC" hidden="1">"c15406"</definedName>
    <definedName name="IQ_FED_FUNDS_PURCH_SEC_SOLD_LEVEL_1_FFIEC" hidden="1">"c15428"</definedName>
    <definedName name="IQ_FED_FUNDS_PURCH_SEC_SOLD_LEVEL_2_FFIEC" hidden="1">"c15441"</definedName>
    <definedName name="IQ_FED_FUNDS_PURCH_SEC_SOLD_LEVEL_3_FFIEC" hidden="1">"c15454"</definedName>
    <definedName name="IQ_FED_FUNDS_PURCHASED_DOM_FFIEC" hidden="1">"c12856"</definedName>
    <definedName name="IQ_FED_FUNDS_PURCHASED_FDIC" hidden="1">"c6343"</definedName>
    <definedName name="IQ_FED_FUNDS_PURCHASED_QUARTERLY_AVG_FFIEC" hidden="1">"c13090"</definedName>
    <definedName name="IQ_FED_FUNDS_SOLD_DOM_FFIEC" hidden="1">"c12806"</definedName>
    <definedName name="IQ_FED_FUNDS_SOLD_FDIC" hidden="1">"c6307"</definedName>
    <definedName name="IQ_FED_FUNDS_SOLD_QUARTERLY_AVG_FFIEC" hidden="1">"c13080"</definedName>
    <definedName name="IQ_FED_FUNDS_SOLD_SEC_PURCH_FAIR_VALUE_TOT_FFIEC" hidden="1">"c15402"</definedName>
    <definedName name="IQ_FED_FUNDS_SOLD_SEC_PURCH_LEVEL_1_FFIEC" hidden="1">"c15424"</definedName>
    <definedName name="IQ_FED_FUNDS_SOLD_SEC_PURCH_LEVEL_2_FFIEC" hidden="1">"c15437"</definedName>
    <definedName name="IQ_FED_FUNDS_SOLD_SEC_PURCH_LEVEL_3_FFIEC" hidden="1">"c15450"</definedName>
    <definedName name="IQ_FEDFUNDS_SOLD" hidden="1">"c2256"</definedName>
    <definedName name="IQ_FEES_COMMISSIONS_BROKERAGE_FFIEC" hidden="1">"c13005"</definedName>
    <definedName name="IQ_FEES_OTHER_INCOME" hidden="1">"c15257"</definedName>
    <definedName name="IQ_FFO" hidden="1">"c1574"</definedName>
    <definedName name="IQ_FFO_ACT_OR_EST" hidden="1">"c2216"</definedName>
    <definedName name="IQ_FFO_ADJ_ACT_OR_EST_CIQ" hidden="1">"c4960"</definedName>
    <definedName name="IQ_FFO_ADJ_EST_CIQ" hidden="1">"c4959"</definedName>
    <definedName name="IQ_FFO_ADJ_HIGH_EST_CIQ" hidden="1">"c4962"</definedName>
    <definedName name="IQ_FFO_ADJ_LOW_EST_CIQ" hidden="1">"c4963"</definedName>
    <definedName name="IQ_FFO_ADJ_MEDIAN_EST_CIQ" hidden="1">"c4964"</definedName>
    <definedName name="IQ_FFO_ADJ_NUM_EST_CIQ" hidden="1">"c4965"</definedName>
    <definedName name="IQ_FFO_ADJ_STDDEV_EST_CIQ" hidden="1">"c4966"</definedName>
    <definedName name="IQ_FFO_EST" hidden="1">"c418"</definedName>
    <definedName name="IQ_FFO_EST_CIQ" hidden="1">"c4970"</definedName>
    <definedName name="IQ_FFO_HIGH_EST" hidden="1">"c419"</definedName>
    <definedName name="IQ_FFO_HIGH_EST_CIQ" hidden="1">"c4977"</definedName>
    <definedName name="IQ_FFO_LOW_EST" hidden="1">"c420"</definedName>
    <definedName name="IQ_FFO_LOW_EST_CIQ" hidden="1">"c4978"</definedName>
    <definedName name="IQ_FFO_MEDIAN_EST" hidden="1">"c1665"</definedName>
    <definedName name="IQ_FFO_MEDIAN_EST_CIQ" hidden="1">"c4979"</definedName>
    <definedName name="IQ_FFO_NO_EST" hidden="1">"c276"</definedName>
    <definedName name="IQ_FFO_NUM_EST" hidden="1">"c421"</definedName>
    <definedName name="IQ_FFO_NUM_EST_CIQ" hidden="1">"c4980"</definedName>
    <definedName name="IQ_FFO_PAYOUT_RATIO" hidden="1">"c3492"</definedName>
    <definedName name="IQ_FFO_PER_SHARE_BASIC" hidden="1">"c8867"</definedName>
    <definedName name="IQ_FFO_PER_SHARE_DILUTED" hidden="1">"c8868"</definedName>
    <definedName name="IQ_FFO_SHARE_ACT_OR_EST_CIQ" hidden="1">"c4971"</definedName>
    <definedName name="IQ_FFO_STDDEV_EST" hidden="1">"c422"</definedName>
    <definedName name="IQ_FFO_STDDEV_EST_CIQ" hidden="1">"c4981"</definedName>
    <definedName name="IQ_FH" hidden="1">100000</definedName>
    <definedName name="IQ_FHLB_ADVANCES_FDIC" hidden="1">"c6366"</definedName>
    <definedName name="IQ_FHLB_DEBT" hidden="1">"c423"</definedName>
    <definedName name="IQ_FHLB_DUE_AFTER_FIVE" hidden="1">"c2086"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DUCIARY_ACTIVITIES_FDIC" hidden="1">"c6571"</definedName>
    <definedName name="IQ_FIDUCIARY_INCOME_OPERATING_INC_FFIEC" hidden="1">"c13383"</definedName>
    <definedName name="IQ_FIFETEEN_YEAR_FIXED_AND_FLOATING_RATE_FDIC" hidden="1">"c6423"</definedName>
    <definedName name="IQ_FIFETEEN_YEAR_MORTGAGE_PASS_THROUGHS_FDIC" hidden="1">"c6415"</definedName>
    <definedName name="IQ_FILING_CURRENCY" hidden="1">"c2129"</definedName>
    <definedName name="IQ_FILING_CURRENCY_AP" hidden="1">"c11747"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ATA_SOURCE" hidden="1">"c6788"</definedName>
    <definedName name="IQ_FIN_DIV_ASSETS_CURRENT" hidden="1">"c427"</definedName>
    <definedName name="IQ_FIN_DIV_ASSETS_LT" hidden="1">"c428"</definedName>
    <definedName name="IQ_FIN_DIV_CASH_EQUIV" hidden="1">"c6289"</definedName>
    <definedName name="IQ_FIN_DIV_CURRENT_PORT_DEBT_TOTAL" hidden="1">"c5524"</definedName>
    <definedName name="IQ_FIN_DIV_CURRENT_PORT_LEASES_TOTAL" hidden="1">"c5523"</definedName>
    <definedName name="IQ_FIN_DIV_DEBT_CURRENT" hidden="1">"c429"</definedName>
    <definedName name="IQ_FIN_DIV_DEBT_LT" hidden="1">"c430"</definedName>
    <definedName name="IQ_FIN_DIV_DEBT_LT_TOTAL" hidden="1">"c5526"</definedName>
    <definedName name="IQ_FIN_DIV_DEBT_TOTAL" hidden="1">"c5656"</definedName>
    <definedName name="IQ_FIN_DIV_EXP" hidden="1">"c431"</definedName>
    <definedName name="IQ_FIN_DIV_INT_EXP" hidden="1">"c432"</definedName>
    <definedName name="IQ_FIN_DIV_LEASES_LT_TOTAL" hidden="1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LT_DEBT_TOTAL" hidden="1">"c5655"</definedName>
    <definedName name="IQ_FIN_DIV_NOTES_PAY_TOTAL" hidden="1">"c5522"</definedName>
    <definedName name="IQ_FIN_DIV_REV" hidden="1">"c437"</definedName>
    <definedName name="IQ_FIN_DIV_ST_DEBT_TOTAL" hidden="1">"c5527"</definedName>
    <definedName name="IQ_FIN_DIV_ST_INVEST" hidden="1">"c6288"</definedName>
    <definedName name="IQ_FINANCIAL_LOC_FOREIGN_GUARANTEES_FFIEC" hidden="1">"c13249"</definedName>
    <definedName name="IQ_FINANCIAL_SERVICING_ASSETS_FAIR_VALUE_TOT_FFIEC" hidden="1">"c13212"</definedName>
    <definedName name="IQ_FINANCIAL_SERVICING_ASSETS_LEVEL_1_FFIEC" hidden="1">"c13220"</definedName>
    <definedName name="IQ_FINANCIAL_SERVICING_ASSETS_LEVEL_2_FFIEC" hidden="1">"c13228"</definedName>
    <definedName name="IQ_FINANCIAL_SERVICING_ASSETS_LEVEL_3_FFIEC" hidden="1">"c13236"</definedName>
    <definedName name="IQ_FINANCIAL_SERVICING_LIAB_FAIR_VALUE_TOT_FFIEC" hidden="1">"c13215"</definedName>
    <definedName name="IQ_FINANCIAL_SERVICING_LIAB_LEVEL_1_FFIEC" hidden="1">"c13223"</definedName>
    <definedName name="IQ_FINANCIAL_SERVICING_LIAB_LEVEL_2_FFIEC" hidden="1">"c13231"</definedName>
    <definedName name="IQ_FINANCIAL_SERVICING_LIAB_LEVEL_3_FFIEC" hidden="1">"c13239"</definedName>
    <definedName name="IQ_FINANCING_CASH" hidden="1">"c893"</definedName>
    <definedName name="IQ_FINANCING_CASH_SUPPL" hidden="1">"c899"</definedName>
    <definedName name="IQ_FINANCING_OBLIG_CURRENT" hidden="1">"c11753"</definedName>
    <definedName name="IQ_FINANCING_OBLIG_NON_CURRENT" hidden="1">"c11754"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Q_EST" hidden="1">"c6794"</definedName>
    <definedName name="IQ_FISCAL_Q_EST_CIQ" hidden="1">"c6806"</definedName>
    <definedName name="IQ_FISCAL_Y" hidden="1">"c441"</definedName>
    <definedName name="IQ_FISCAL_Y_EST" hidden="1">"c6795"</definedName>
    <definedName name="IQ_FISCAL_Y_EST_CIQ" hidden="1">"c6807"</definedName>
    <definedName name="IQ_FIVE_PERCENT_AMOUNT" hidden="1">"c240"</definedName>
    <definedName name="IQ_FIVE_PERCENT_OWNER" hidden="1">"c442"</definedName>
    <definedName name="IQ_FIVE_YEAR_FIXED_AND_FLOATING_RATE_FDIC" hidden="1">"c6422"</definedName>
    <definedName name="IQ_FIVE_YEAR_MORTGAGE_PASS_THROUGHS_FDIC" hidden="1">"c6414"</definedName>
    <definedName name="IQ_FIVEPERCENT_OWNER" hidden="1">"c239"</definedName>
    <definedName name="IQ_FIVEPERCENT_PERCENT" hidden="1">"c443"</definedName>
    <definedName name="IQ_FIVEPERCENT_SHARES" hidden="1">"c444"</definedName>
    <definedName name="IQ_FIX_FREQUENCY" hidden="1">"c8964"</definedName>
    <definedName name="IQ_FIXED_ASSET_TURNS" hidden="1">"c445"</definedName>
    <definedName name="IQ_FIXED_INCOME_LIST" hidden="1">"c13504"</definedName>
    <definedName name="IQ_FIXED_INVEST_APR_FC_UNUSED" hidden="1">"c8410"</definedName>
    <definedName name="IQ_FIXED_INVEST_APR_FC_UNUSED_UNUSED_UNUSED" hidden="1">"c8410"</definedName>
    <definedName name="IQ_FIXED_INVEST_APR_UNUSED" hidden="1">"c7530"</definedName>
    <definedName name="IQ_FIXED_INVEST_APR_UNUSED_UNUSED_UNUSED" hidden="1">"c7530"</definedName>
    <definedName name="IQ_FIXED_INVEST_FC_UNUSED" hidden="1">"c7750"</definedName>
    <definedName name="IQ_FIXED_INVEST_FC_UNUSED_UNUSED_UNUSED" hidden="1">"c7750"</definedName>
    <definedName name="IQ_FIXED_INVEST_MACH_EQUIP" hidden="1">"c6871"</definedName>
    <definedName name="IQ_FIXED_INVEST_MACH_EQUIP_APR" hidden="1">"c7531"</definedName>
    <definedName name="IQ_FIXED_INVEST_MACH_EQUIP_APR_FC" hidden="1">"c8411"</definedName>
    <definedName name="IQ_FIXED_INVEST_MACH_EQUIP_FC" hidden="1">"c7751"</definedName>
    <definedName name="IQ_FIXED_INVEST_MACH_EQUIP_POP" hidden="1">"c7091"</definedName>
    <definedName name="IQ_FIXED_INVEST_MACH_EQUIP_POP_FC" hidden="1">"c7971"</definedName>
    <definedName name="IQ_FIXED_INVEST_MACH_EQUIP_REAL" hidden="1">"c6979"</definedName>
    <definedName name="IQ_FIXED_INVEST_MACH_EQUIP_REAL_APR" hidden="1">"c7639"</definedName>
    <definedName name="IQ_FIXED_INVEST_MACH_EQUIP_REAL_APR_FC" hidden="1">"c8519"</definedName>
    <definedName name="IQ_FIXED_INVEST_MACH_EQUIP_REAL_FC" hidden="1">"c7859"</definedName>
    <definedName name="IQ_FIXED_INVEST_MACH_EQUIP_REAL_POP" hidden="1">"c7199"</definedName>
    <definedName name="IQ_FIXED_INVEST_MACH_EQUIP_REAL_POP_FC" hidden="1">"c8079"</definedName>
    <definedName name="IQ_FIXED_INVEST_MACH_EQUIP_REAL_YOY" hidden="1">"c7419"</definedName>
    <definedName name="IQ_FIXED_INVEST_MACH_EQUIP_REAL_YOY_FC" hidden="1">"c8299"</definedName>
    <definedName name="IQ_FIXED_INVEST_MACH_EQUIP_YOY" hidden="1">"c7311"</definedName>
    <definedName name="IQ_FIXED_INVEST_MACH_EQUIP_YOY_FC" hidden="1">"c8191"</definedName>
    <definedName name="IQ_FIXED_INVEST_POP_FC_UNUSED" hidden="1">"c7970"</definedName>
    <definedName name="IQ_FIXED_INVEST_POP_FC_UNUSED_UNUSED_UNUSED" hidden="1">"c7970"</definedName>
    <definedName name="IQ_FIXED_INVEST_POP_UNUSED" hidden="1">"c7090"</definedName>
    <definedName name="IQ_FIXED_INVEST_POP_UNUSED_UNUSED_UNUSED" hidden="1">"c7090"</definedName>
    <definedName name="IQ_FIXED_INVEST_REAL_APR_FC_UNUSED" hidden="1">"c8518"</definedName>
    <definedName name="IQ_FIXED_INVEST_REAL_APR_FC_UNUSED_UNUSED_UNUSED" hidden="1">"c8518"</definedName>
    <definedName name="IQ_FIXED_INVEST_REAL_APR_UNUSED" hidden="1">"c7638"</definedName>
    <definedName name="IQ_FIXED_INVEST_REAL_APR_UNUSED_UNUSED_UNUSED" hidden="1">"c7638"</definedName>
    <definedName name="IQ_FIXED_INVEST_REAL_FC_UNUSED" hidden="1">"c7858"</definedName>
    <definedName name="IQ_FIXED_INVEST_REAL_FC_UNUSED_UNUSED_UNUSED" hidden="1">"c7858"</definedName>
    <definedName name="IQ_FIXED_INVEST_REAL_POP_FC_UNUSED" hidden="1">"c8078"</definedName>
    <definedName name="IQ_FIXED_INVEST_REAL_POP_FC_UNUSED_UNUSED_UNUSED" hidden="1">"c8078"</definedName>
    <definedName name="IQ_FIXED_INVEST_REAL_POP_UNUSED" hidden="1">"c7198"</definedName>
    <definedName name="IQ_FIXED_INVEST_REAL_POP_UNUSED_UNUSED_UNUSED" hidden="1">"c7198"</definedName>
    <definedName name="IQ_FIXED_INVEST_REAL_SAAR" hidden="1">"c6980"</definedName>
    <definedName name="IQ_FIXED_INVEST_REAL_SAAR_APR" hidden="1">"c7640"</definedName>
    <definedName name="IQ_FIXED_INVEST_REAL_SAAR_APR_FC" hidden="1">"c8520"</definedName>
    <definedName name="IQ_FIXED_INVEST_REAL_SAAR_FC" hidden="1">"c7860"</definedName>
    <definedName name="IQ_FIXED_INVEST_REAL_SAAR_POP" hidden="1">"c7200"</definedName>
    <definedName name="IQ_FIXED_INVEST_REAL_SAAR_POP_FC" hidden="1">"c8080"</definedName>
    <definedName name="IQ_FIXED_INVEST_REAL_SAAR_USD_APR_FC" hidden="1">"c11945"</definedName>
    <definedName name="IQ_FIXED_INVEST_REAL_SAAR_USD_FC" hidden="1">"c11942"</definedName>
    <definedName name="IQ_FIXED_INVEST_REAL_SAAR_USD_POP_FC" hidden="1">"c11943"</definedName>
    <definedName name="IQ_FIXED_INVEST_REAL_SAAR_USD_YOY_FC" hidden="1">"c11944"</definedName>
    <definedName name="IQ_FIXED_INVEST_REAL_SAAR_YOY" hidden="1">"c7420"</definedName>
    <definedName name="IQ_FIXED_INVEST_REAL_SAAR_YOY_FC" hidden="1">"c8300"</definedName>
    <definedName name="IQ_FIXED_INVEST_REAL_UNUSED" hidden="1">"c6978"</definedName>
    <definedName name="IQ_FIXED_INVEST_REAL_UNUSED_UNUSED_UNUSED" hidden="1">"c6978"</definedName>
    <definedName name="IQ_FIXED_INVEST_REAL_USD_APR_FC" hidden="1">"c11941"</definedName>
    <definedName name="IQ_FIXED_INVEST_REAL_USD_FC" hidden="1">"c11938"</definedName>
    <definedName name="IQ_FIXED_INVEST_REAL_USD_POP_FC" hidden="1">"c11939"</definedName>
    <definedName name="IQ_FIXED_INVEST_REAL_USD_YOY_FC" hidden="1">"c11940"</definedName>
    <definedName name="IQ_FIXED_INVEST_REAL_YOY_FC_UNUSED" hidden="1">"c8298"</definedName>
    <definedName name="IQ_FIXED_INVEST_REAL_YOY_FC_UNUSED_UNUSED_UNUSED" hidden="1">"c8298"</definedName>
    <definedName name="IQ_FIXED_INVEST_REAL_YOY_UNUSED" hidden="1">"c7418"</definedName>
    <definedName name="IQ_FIXED_INVEST_REAL_YOY_UNUSED_UNUSED_UNUSED" hidden="1">"c7418"</definedName>
    <definedName name="IQ_FIXED_INVEST_SAAR" hidden="1">"c6872"</definedName>
    <definedName name="IQ_FIXED_INVEST_SAAR_APR" hidden="1">"c7532"</definedName>
    <definedName name="IQ_FIXED_INVEST_SAAR_APR_FC" hidden="1">"c8412"</definedName>
    <definedName name="IQ_FIXED_INVEST_SAAR_FC" hidden="1">"c7752"</definedName>
    <definedName name="IQ_FIXED_INVEST_SAAR_POP" hidden="1">"c7092"</definedName>
    <definedName name="IQ_FIXED_INVEST_SAAR_POP_FC" hidden="1">"c7972"</definedName>
    <definedName name="IQ_FIXED_INVEST_SAAR_USD_APR_FC" hidden="1">"c11833"</definedName>
    <definedName name="IQ_FIXED_INVEST_SAAR_USD_FC" hidden="1">"c11830"</definedName>
    <definedName name="IQ_FIXED_INVEST_SAAR_USD_POP_FC" hidden="1">"c11831"</definedName>
    <definedName name="IQ_FIXED_INVEST_SAAR_USD_YOY_FC" hidden="1">"c11832"</definedName>
    <definedName name="IQ_FIXED_INVEST_SAAR_YOY" hidden="1">"c7312"</definedName>
    <definedName name="IQ_FIXED_INVEST_SAAR_YOY_FC" hidden="1">"c8192"</definedName>
    <definedName name="IQ_FIXED_INVEST_UNUSED" hidden="1">"c6870"</definedName>
    <definedName name="IQ_FIXED_INVEST_UNUSED_UNUSED_UNUSED" hidden="1">"c6870"</definedName>
    <definedName name="IQ_FIXED_INVEST_USD_APR_FC" hidden="1">"c11829"</definedName>
    <definedName name="IQ_FIXED_INVEST_USD_FC" hidden="1">"c11826"</definedName>
    <definedName name="IQ_FIXED_INVEST_USD_POP_FC" hidden="1">"c11827"</definedName>
    <definedName name="IQ_FIXED_INVEST_USD_YOY_FC" hidden="1">"c11828"</definedName>
    <definedName name="IQ_FIXED_INVEST_YOY_FC_UNUSED" hidden="1">"c8190"</definedName>
    <definedName name="IQ_FIXED_INVEST_YOY_FC_UNUSED_UNUSED_UNUSED" hidden="1">"c8190"</definedName>
    <definedName name="IQ_FIXED_INVEST_YOY_UNUSED" hidden="1">"c7310"</definedName>
    <definedName name="IQ_FIXED_INVEST_YOY_UNUSED_UNUSED_UNUSED" hidden="1">"c7310"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_GNMA_LOANS_FFIEC" hidden="1">"c15272"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DUE_30_89_FFIEC" hidden="1">"c13269"</definedName>
    <definedName name="IQ_FOREIGN_BANKS_DUE_90_FFIEC" hidden="1">"c13295"</definedName>
    <definedName name="IQ_FOREIGN_BANKS_LOAN_CHARG_OFFS_FDIC" hidden="1">"c6645"</definedName>
    <definedName name="IQ_FOREIGN_BANKS_NET_CHARGE_OFFS_FDIC" hidden="1">"c6647"</definedName>
    <definedName name="IQ_FOREIGN_BANKS_NON_ACCRUAL_FFIEC" hidden="1">"c13321"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.S._BANKS_LOANS_FDIC" hidden="1">"c6438"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ASSETS_TOT_FFIEC" hidden="1">"c13445"</definedName>
    <definedName name="IQ_FOREIGN_DEPOSITS_NONTRANSACTION_ACCOUNTS_FDIC" hidden="1">"c6549"</definedName>
    <definedName name="IQ_FOREIGN_DEPOSITS_TOT_FFIEC" hidden="1">"c13486"</definedName>
    <definedName name="IQ_FOREIGN_DEPOSITS_TRANSACTION_ACCOUNTS_FDIC" hidden="1">"c6541"</definedName>
    <definedName name="IQ_FOREIGN_EXCHANGE" hidden="1">"c451"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GOVT_OFFICIAL_INST_FOREIGN_DEP_FFIEC" hidden="1">"c15345"</definedName>
    <definedName name="IQ_FOREIGN_GOVT_OFFICIAL_INST_NON_TRANS_ACCTS_FFIEC" hidden="1">"c15327"</definedName>
    <definedName name="IQ_FOREIGN_GOVT_OFFICIAL_INST_TRANS_ACCTS_FFIEC" hidden="1">"c15319"</definedName>
    <definedName name="IQ_FOREIGN_LL_REC_FFIEC" hidden="1">"c12892"</definedName>
    <definedName name="IQ_FOREIGN_LOANS" hidden="1">"c448"</definedName>
    <definedName name="IQ_FOREIGN_LOANS_LEASES_FOREIGN_FFIEC" hidden="1">"c13478"</definedName>
    <definedName name="IQ_FOUNDATION_OVER_TOTAL" hidden="1">"c13769"</definedName>
    <definedName name="IQ_FQ" hidden="1">500</definedName>
    <definedName name="IQ_FUEL" hidden="1">"c449"</definedName>
    <definedName name="IQ_FULL_TIME" hidden="1">"c450"</definedName>
    <definedName name="IQ_FULLY_INSURED_BROKERED_DEPOSITS_FFIEC" hidden="1">"c15305"</definedName>
    <definedName name="IQ_FULLY_INSURED_DEPOSITS_FDIC" hidden="1">"c6487"</definedName>
    <definedName name="IQ_FUND_FEE_INC_NON_INT_INC_FFIEC" hidden="1">"c13493"</definedName>
    <definedName name="IQ_FUND_NAV" hidden="1">"c15225"</definedName>
    <definedName name="IQ_FUNDING_DEPENDENCE_FFIEC" hidden="1">"c13336"</definedName>
    <definedName name="IQ_FUNDING_DEPENDENCE_ST_FFIEC" hidden="1">"c13337"</definedName>
    <definedName name="IQ_FUNDS_PURCHASED_ASSETS_TOT_FFIEC" hidden="1">"c13446"</definedName>
    <definedName name="IQ_FUTURES_FORWARD_CONTRACTS_NOTIONAL_AMOUNT_FDIC" hidden="1">"c6518"</definedName>
    <definedName name="IQ_FUTURES_FORWARD_CONTRACTS_RATE_RISK_FDIC" hidden="1">"c6508"</definedName>
    <definedName name="IQ_FWD" hidden="1">"LTM"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WD_Q3" hidden="1">"504"</definedName>
    <definedName name="IQ_FWD_Q4" hidden="1">"505"</definedName>
    <definedName name="IQ_FWD_Q5" hidden="1">"506"</definedName>
    <definedName name="IQ_FWD_Q6" hidden="1">"507"</definedName>
    <definedName name="IQ_FWD_Q7" hidden="1">"508"</definedName>
    <definedName name="IQ_FWD1" hidden="1">"LTM"</definedName>
    <definedName name="IQ_FX" hidden="1">"c451"</definedName>
    <definedName name="IQ_FX_CONTRACTS_FDIC" hidden="1">"c6517"</definedName>
    <definedName name="IQ_FX_CONTRACTS_FFIEC" hidden="1">"c13125"</definedName>
    <definedName name="IQ_FX_CONTRACTS_SPOT_FDIC" hidden="1">"c6356"</definedName>
    <definedName name="IQ_FX_EXPOSURE_FFIEC" hidden="1">"c13059"</definedName>
    <definedName name="IQ_FY" hidden="1">1000</definedName>
    <definedName name="IQ_FY_DATE" hidden="1">"IQ_FY_DATE"</definedName>
    <definedName name="IQ_GA_EXP" hidden="1">"c2241"</definedName>
    <definedName name="IQ_GAAP_BS" hidden="1">"c6789"</definedName>
    <definedName name="IQ_GAAP_CF" hidden="1">"c6790"</definedName>
    <definedName name="IQ_GAAP_IS" hidden="1">"c6194"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" hidden="1">"c6217"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" hidden="1">"c6218"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" hidden="1">"c6219"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CREDIT_DERIVATIVES_FFIEC" hidden="1">"c13066"</definedName>
    <definedName name="IQ_GAIN_CREDIT_DERIVATIVES_NON_TRADING_FFIEC" hidden="1">"c13067"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" hidden="1">"c6220"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" hidden="1">"c6278"</definedName>
    <definedName name="IQ_GAIN_INVEST_REC_BNK" hidden="1">"c488"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" hidden="1">"c6221"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LOSS_HTM_AFS_SECURITIES_FOREIGN_FFIEC" hidden="1">"c15384"</definedName>
    <definedName name="IQ_GAIN_SALE_ASSETS" hidden="1">"c452"</definedName>
    <definedName name="IQ_GAIN_SALE_LOANS_FDIC" hidden="1">"c6673"</definedName>
    <definedName name="IQ_GAIN_SALE_RE_FDIC" hidden="1">"c6674"</definedName>
    <definedName name="IQ_GAINS_AFS_AVG_ASSETS_FFIEC" hidden="1">"c13364"</definedName>
    <definedName name="IQ_GAINS_ASSETS_TOT_FFIEC" hidden="1">"c13073"</definedName>
    <definedName name="IQ_GAINS_AVAIL_SALE_EQUITY_SEC_T2_FFIEC" hidden="1">"c13147"</definedName>
    <definedName name="IQ_GAINS_AVAIL_SALE_SEC_T1_FFIEC" hidden="1">"c13131"</definedName>
    <definedName name="IQ_GAINS_CASH_FLOW_HEDGES_T1_FFIEC" hidden="1">"c13133"</definedName>
    <definedName name="IQ_GAINS_HTM_AVG_ASSETS_FFIEC" hidden="1">"c13363"</definedName>
    <definedName name="IQ_GAINS_INSTRUMENT_SPECIFIC_CREDIT_RISK_LIAB_FFIEC" hidden="1">"c13076"</definedName>
    <definedName name="IQ_GAINS_INSTRUMENT_SPECIFIC_RISK_FFIEC" hidden="1">"c13074"</definedName>
    <definedName name="IQ_GAINS_INSURANCE_ACTIVITIES_FFIEC" hidden="1">"c13072"</definedName>
    <definedName name="IQ_GAINS_LIABILITIES_FFIEC" hidden="1">"c13075"</definedName>
    <definedName name="IQ_GAINS_SALE_ASSETS_FDIC" hidden="1">"c6675"</definedName>
    <definedName name="IQ_GAINS_SALE_LOANS_LEASES_FFIEC" hidden="1">"c13013"</definedName>
    <definedName name="IQ_GAINS_SALE_OTHER_ASSETS_FFIEC" hidden="1">"c13015"</definedName>
    <definedName name="IQ_GAINS_SALE_OTHER_RE_OWNED_FFIEC" hidden="1">"c13014"</definedName>
    <definedName name="IQ_GAINS_SECURITIZATION_OPERATING_INC_FFIEC" hidden="1">"c13391"</definedName>
    <definedName name="IQ_GDP" hidden="1">"c6874"</definedName>
    <definedName name="IQ_GDP_APR" hidden="1">"c7534"</definedName>
    <definedName name="IQ_GDP_APR_FC" hidden="1">"c8414"</definedName>
    <definedName name="IQ_GDP_FC" hidden="1">"c7754"</definedName>
    <definedName name="IQ_GDP_POP" hidden="1">"c7094"</definedName>
    <definedName name="IQ_GDP_POP_FC" hidden="1">"c7974"</definedName>
    <definedName name="IQ_GDP_REAL" hidden="1">"c6981"</definedName>
    <definedName name="IQ_GDP_REAL_APR" hidden="1">"c7641"</definedName>
    <definedName name="IQ_GDP_REAL_APR_FC" hidden="1">"c8521"</definedName>
    <definedName name="IQ_GDP_REAL_FC" hidden="1">"c7861"</definedName>
    <definedName name="IQ_GDP_REAL_POP" hidden="1">"c7201"</definedName>
    <definedName name="IQ_GDP_REAL_POP_FC" hidden="1">"c8081"</definedName>
    <definedName name="IQ_GDP_REAL_SAAR" hidden="1">"c6982"</definedName>
    <definedName name="IQ_GDP_REAL_SAAR_APR" hidden="1">"c7642"</definedName>
    <definedName name="IQ_GDP_REAL_SAAR_APR_FC" hidden="1">"c8522"</definedName>
    <definedName name="IQ_GDP_REAL_SAAR_FC" hidden="1">"c7862"</definedName>
    <definedName name="IQ_GDP_REAL_SAAR_POP" hidden="1">"c7202"</definedName>
    <definedName name="IQ_GDP_REAL_SAAR_POP_FC" hidden="1">"c8082"</definedName>
    <definedName name="IQ_GDP_REAL_SAAR_YOY" hidden="1">"c7422"</definedName>
    <definedName name="IQ_GDP_REAL_SAAR_YOY_FC" hidden="1">"c8302"</definedName>
    <definedName name="IQ_GDP_REAL_USD" hidden="1">"c11946"</definedName>
    <definedName name="IQ_GDP_REAL_USD_APR" hidden="1">"c11949"</definedName>
    <definedName name="IQ_GDP_REAL_USD_POP" hidden="1">"c11947"</definedName>
    <definedName name="IQ_GDP_REAL_USD_YOY" hidden="1">"c11948"</definedName>
    <definedName name="IQ_GDP_REAL_YOY" hidden="1">"c7421"</definedName>
    <definedName name="IQ_GDP_REAL_YOY_FC" hidden="1">"c8301"</definedName>
    <definedName name="IQ_GDP_SAAR" hidden="1">"c6875"</definedName>
    <definedName name="IQ_GDP_SAAR_APR" hidden="1">"c7535"</definedName>
    <definedName name="IQ_GDP_SAAR_APR_FC" hidden="1">"c8415"</definedName>
    <definedName name="IQ_GDP_SAAR_FC" hidden="1">"c7755"</definedName>
    <definedName name="IQ_GDP_SAAR_POP" hidden="1">"c7095"</definedName>
    <definedName name="IQ_GDP_SAAR_POP_FC" hidden="1">"c7975"</definedName>
    <definedName name="IQ_GDP_SAAR_YOY" hidden="1">"c7315"</definedName>
    <definedName name="IQ_GDP_SAAR_YOY_FC" hidden="1">"c8195"</definedName>
    <definedName name="IQ_GDP_USD" hidden="1">"c11834"</definedName>
    <definedName name="IQ_GDP_USD_APR" hidden="1">"c11837"</definedName>
    <definedName name="IQ_GDP_USD_POP" hidden="1">"c11835"</definedName>
    <definedName name="IQ_GDP_USD_YOY" hidden="1">"c11836"</definedName>
    <definedName name="IQ_GDP_YOY" hidden="1">"c7314"</definedName>
    <definedName name="IQ_GDP_YOY_FC" hidden="1">"c8194"</definedName>
    <definedName name="IQ_GENERAL_ALLOWANCE" hidden="1">"c15248"</definedName>
    <definedName name="IQ_GEO_SEG_ASSETS" hidden="1">"c4069"</definedName>
    <definedName name="IQ_GEO_SEG_ASSETS_ABS" hidden="1">"c4091"</definedName>
    <definedName name="IQ_GEO_SEG_ASSETS_TOTAL" hidden="1">"c4123"</definedName>
    <definedName name="IQ_GEO_SEG_CAPEX" hidden="1">"c4083"</definedName>
    <definedName name="IQ_GEO_SEG_CAPEX_ABS" hidden="1">"c4105"</definedName>
    <definedName name="IQ_GEO_SEG_CAPEX_TOTAL" hidden="1">"c4127"</definedName>
    <definedName name="IQ_GEO_SEG_DA" hidden="1">"c4082"</definedName>
    <definedName name="IQ_GEO_SEG_DA_ABS" hidden="1">"c4104"</definedName>
    <definedName name="IQ_GEO_SEG_DA_TOTAL" hidden="1">"c4126"</definedName>
    <definedName name="IQ_GEO_SEG_EARNINGS_OP" hidden="1">"c4073"</definedName>
    <definedName name="IQ_GEO_SEG_EARNINGS_OP_ABS" hidden="1">"c4095"</definedName>
    <definedName name="IQ_GEO_SEG_EARNINGS_OP_TOTAL" hidden="1">"c4119"</definedName>
    <definedName name="IQ_GEO_SEG_EBT" hidden="1">"c4072"</definedName>
    <definedName name="IQ_GEO_SEG_EBT_ABS" hidden="1">"c4094"</definedName>
    <definedName name="IQ_GEO_SEG_EBT_TOTAL" hidden="1">"c4121"</definedName>
    <definedName name="IQ_GEO_SEG_GP" hidden="1">"c4070"</definedName>
    <definedName name="IQ_GEO_SEG_GP_ABS" hidden="1">"c4092"</definedName>
    <definedName name="IQ_GEO_SEG_GP_TOTAL" hidden="1">"c4120"</definedName>
    <definedName name="IQ_GEO_SEG_INC_TAX" hidden="1">"c4081"</definedName>
    <definedName name="IQ_GEO_SEG_INC_TAX_ABS" hidden="1">"c4103"</definedName>
    <definedName name="IQ_GEO_SEG_INC_TAX_TOTAL" hidden="1">"c4125"</definedName>
    <definedName name="IQ_GEO_SEG_INTEREST_EXP" hidden="1">"c4080"</definedName>
    <definedName name="IQ_GEO_SEG_INTEREST_EXP_ABS" hidden="1">"c4102"</definedName>
    <definedName name="IQ_GEO_SEG_INTEREST_EXP_TOTAL" hidden="1">"c4124"</definedName>
    <definedName name="IQ_GEO_SEG_NAME" hidden="1">"c5484"</definedName>
    <definedName name="IQ_GEO_SEG_NAME_ABS" hidden="1">"c5485"</definedName>
    <definedName name="IQ_GEO_SEG_NI" hidden="1">"c4071"</definedName>
    <definedName name="IQ_GEO_SEG_NI_ABS" hidden="1">"c4093"</definedName>
    <definedName name="IQ_GEO_SEG_NI_TOTAL" hidden="1">"c4122"</definedName>
    <definedName name="IQ_GEO_SEG_OPER_INC" hidden="1">"c4075"</definedName>
    <definedName name="IQ_GEO_SEG_OPER_INC_ABS" hidden="1">"c4097"</definedName>
    <definedName name="IQ_GEO_SEG_OPER_INC_TOTAL" hidden="1">"c4118"</definedName>
    <definedName name="IQ_GEO_SEG_REV" hidden="1">"c4074"</definedName>
    <definedName name="IQ_GEO_SEG_REV_ABS" hidden="1">"c4096"</definedName>
    <definedName name="IQ_GEO_SEG_REV_TOTAL" hidden="1">"c4117"</definedName>
    <definedName name="IQ_GLA_PCT_LEASED_CONSOL" hidden="1">"c8810"</definedName>
    <definedName name="IQ_GLA_PCT_LEASED_MANAGED" hidden="1">"c8812"</definedName>
    <definedName name="IQ_GLA_PCT_LEASED_OTHER" hidden="1">"c8813"</definedName>
    <definedName name="IQ_GLA_PCT_LEASED_TOTAL" hidden="1">"c8814"</definedName>
    <definedName name="IQ_GLA_PCT_LEASED_UNCONSOL" hidden="1">"c8811"</definedName>
    <definedName name="IQ_GLA_SQ_FT_CONSOL" hidden="1">"c8790"</definedName>
    <definedName name="IQ_GLA_SQ_FT_MANAGED" hidden="1">"c8792"</definedName>
    <definedName name="IQ_GLA_SQ_FT_OTHER" hidden="1">"c8793"</definedName>
    <definedName name="IQ_GLA_SQ_FT_TOTAL" hidden="1">"c8794"</definedName>
    <definedName name="IQ_GLA_SQ_FT_UNCONSOL" hidden="1">"c8791"</definedName>
    <definedName name="IQ_GLA_SQ_METER_CONSOL" hidden="1">"c8795"</definedName>
    <definedName name="IQ_GLA_SQ_METER_MANAGED" hidden="1">"c8797"</definedName>
    <definedName name="IQ_GLA_SQ_METER_OTHER" hidden="1">"c8798"</definedName>
    <definedName name="IQ_GLA_SQ_METER_TOTAL" hidden="1">"c8799"</definedName>
    <definedName name="IQ_GLA_SQ_METER_UNCONSOL" hidden="1">"c8796"</definedName>
    <definedName name="IQ_GNMA_FDIC" hidden="1">"c6398"</definedName>
    <definedName name="IQ_GOODWILL_FDIC" hidden="1">"c6334"</definedName>
    <definedName name="IQ_GOODWILL_FFIEC" hidden="1">"c12836"</definedName>
    <definedName name="IQ_GOODWILL_IMPAIRMENT_FDIC" hidden="1">"c6678"</definedName>
    <definedName name="IQ_GOODWILL_IMPAIRMENT_FFIEC" hidden="1">"c13025"</definedName>
    <definedName name="IQ_GOODWILL_INTAN_FDIC" hidden="1">"c6333"</definedName>
    <definedName name="IQ_GOODWILL_NET" hidden="1">"c530"</definedName>
    <definedName name="IQ_GOVT_PERSONAL_TAXES_RECEIPTS" hidden="1">"c6876"</definedName>
    <definedName name="IQ_GOVT_PERSONAL_TAXES_RECEIPTS_APR" hidden="1">"c7536"</definedName>
    <definedName name="IQ_GOVT_PERSONAL_TAXES_RECEIPTS_APR_FC" hidden="1">"c8416"</definedName>
    <definedName name="IQ_GOVT_PERSONAL_TAXES_RECEIPTS_FC" hidden="1">"c7756"</definedName>
    <definedName name="IQ_GOVT_PERSONAL_TAXES_RECEIPTS_POP" hidden="1">"c7096"</definedName>
    <definedName name="IQ_GOVT_PERSONAL_TAXES_RECEIPTS_POP_FC" hidden="1">"c7976"</definedName>
    <definedName name="IQ_GOVT_PERSONAL_TAXES_RECEIPTS_YOY" hidden="1">"c7316"</definedName>
    <definedName name="IQ_GOVT_PERSONAL_TAXES_RECEIPTS_YOY_FC" hidden="1">"c8196"</definedName>
    <definedName name="IQ_GOVT_RECEIPTS" hidden="1">"c6877"</definedName>
    <definedName name="IQ_GOVT_RECEIPTS_APR" hidden="1">"c7537"</definedName>
    <definedName name="IQ_GOVT_RECEIPTS_APR_FC" hidden="1">"c8417"</definedName>
    <definedName name="IQ_GOVT_RECEIPTS_FC" hidden="1">"c7757"</definedName>
    <definedName name="IQ_GOVT_RECEIPTS_POP" hidden="1">"c7097"</definedName>
    <definedName name="IQ_GOVT_RECEIPTS_POP_FC" hidden="1">"c7977"</definedName>
    <definedName name="IQ_GOVT_RECEIPTS_YOY" hidden="1">"c7317"</definedName>
    <definedName name="IQ_GOVT_RECEIPTS_YOY_FC" hidden="1">"c8197"</definedName>
    <definedName name="IQ_GP" hidden="1">"c511"</definedName>
    <definedName name="IQ_GP_10YR_ANN_CAGR" hidden="1">"c6090"</definedName>
    <definedName name="IQ_GP_10YR_ANN_GROWTH" hidden="1">"c512"</definedName>
    <definedName name="IQ_GP_1YR_ANN_GROWTH" hidden="1">"c513"</definedName>
    <definedName name="IQ_GP_2YR_ANN_CAGR" hidden="1">"c6091"</definedName>
    <definedName name="IQ_GP_2YR_ANN_GROWTH" hidden="1">"c514"</definedName>
    <definedName name="IQ_GP_3YR_ANN_CAGR" hidden="1">"c6092"</definedName>
    <definedName name="IQ_GP_3YR_ANN_GROWTH" hidden="1">"c515"</definedName>
    <definedName name="IQ_GP_5YR_ANN_CAGR" hidden="1">"c6093"</definedName>
    <definedName name="IQ_GP_5YR_ANN_GROWTH" hidden="1">"c516"</definedName>
    <definedName name="IQ_GP_7YR_ANN_CAGR" hidden="1">"c6094"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"c192"</definedName>
    <definedName name="IQ_GROSS_EARNED" hidden="1">"c2732"</definedName>
    <definedName name="IQ_GROSS_GW" hidden="1">"c519"</definedName>
    <definedName name="IQ_GROSS_INTAN" hidden="1">"c520"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CAGR" hidden="1">"c6095"</definedName>
    <definedName name="IQ_GROSS_LOANS_10YR_ANN_GROWTH" hidden="1">"c522"</definedName>
    <definedName name="IQ_GROSS_LOANS_1YR_ANN_GROWTH" hidden="1">"c523"</definedName>
    <definedName name="IQ_GROSS_LOANS_2YR_ANN_CAGR" hidden="1">"c6096"</definedName>
    <definedName name="IQ_GROSS_LOANS_2YR_ANN_GROWTH" hidden="1">"c524"</definedName>
    <definedName name="IQ_GROSS_LOANS_3YR_ANN_CAGR" hidden="1">"c6097"</definedName>
    <definedName name="IQ_GROSS_LOANS_3YR_ANN_GROWTH" hidden="1">"c525"</definedName>
    <definedName name="IQ_GROSS_LOANS_5YR_ANN_CAGR" hidden="1">"c6098"</definedName>
    <definedName name="IQ_GROSS_LOANS_5YR_ANN_GROWTH" hidden="1">"c526"</definedName>
    <definedName name="IQ_GROSS_LOANS_7YR_ANN_CAGR" hidden="1">"c6099"</definedName>
    <definedName name="IQ_GROSS_LOANS_7YR_ANN_GROWTH" hidden="1">"c527"</definedName>
    <definedName name="IQ_GROSS_LOANS_TOTAL_DEPOSITS" hidden="1">"c528"</definedName>
    <definedName name="IQ_GROSS_LOSSES_AVG_LOANS_FFIEC" hidden="1">"c13475"</definedName>
    <definedName name="IQ_GROSS_MARGIN" hidden="1">"c529"</definedName>
    <definedName name="IQ_GROSS_PC_EARNED" hidden="1">"c2747"</definedName>
    <definedName name="IQ_GROSS_PROFIT" hidden="1">"c511"</definedName>
    <definedName name="IQ_GROSS_SPRD" hidden="1">"c2155"</definedName>
    <definedName name="IQ_GROSS_WRITTEN" hidden="1">"c2726"</definedName>
    <definedName name="IQ_GROUP_EMBEDDED_VALUE_ASSET_MANAGEMENT" hidden="1">"c9955"</definedName>
    <definedName name="IQ_GROUP_EMBEDDED_VALUE_HEALTH" hidden="1">"c9954"</definedName>
    <definedName name="IQ_GROUP_EMBEDDED_VALUE_LIFE" hidden="1">"c9953"</definedName>
    <definedName name="IQ_GROUP_EMBEDDED_VALUE_LIFE_OTHER" hidden="1">"c9956"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" hidden="1">"c6279"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" hidden="1">"c6280"</definedName>
    <definedName name="IQ_GW_INTAN_AMORT_REIT" hidden="1">"c1480"</definedName>
    <definedName name="IQ_GW_INTAN_AMORT_UTI" hidden="1">"c1481"</definedName>
    <definedName name="IQ_HC_ADJUSTED_DISCHARGES" hidden="1">"c9977"</definedName>
    <definedName name="IQ_HC_ADMISSIONS" hidden="1">"c5953"</definedName>
    <definedName name="IQ_HC_ADMISSIONS_GROWTH" hidden="1">"c5997"</definedName>
    <definedName name="IQ_HC_ADMISSIONS_MANAGED_CARE" hidden="1">"c5956"</definedName>
    <definedName name="IQ_HC_ADMISSIONS_MEDICAID" hidden="1">"c5955"</definedName>
    <definedName name="IQ_HC_ADMISSIONS_MEDICARE" hidden="1">"c5954"</definedName>
    <definedName name="IQ_HC_ADMISSIONS_OTHER" hidden="1">"c5957"</definedName>
    <definedName name="IQ_HC_ADMISSIONS_SF" hidden="1">"c6006"</definedName>
    <definedName name="IQ_HC_ALFS" hidden="1">"c5952"</definedName>
    <definedName name="IQ_HC_ASO_COVERED_LIVES" hidden="1">"c9982"</definedName>
    <definedName name="IQ_HC_ASO_MEMBERSHIP" hidden="1">"c9985"</definedName>
    <definedName name="IQ_HC_AVG_BEDS_SVC" hidden="1">"c5951"</definedName>
    <definedName name="IQ_HC_AVG_DAILY_CENSUS" hidden="1">"c5965"</definedName>
    <definedName name="IQ_HC_AVG_LICENSED_BEDS" hidden="1">"c5949"</definedName>
    <definedName name="IQ_HC_AVG_LICENSED_BEDS_SF" hidden="1">"c6004"</definedName>
    <definedName name="IQ_HC_AVG_STAY" hidden="1">"c5966"</definedName>
    <definedName name="IQ_HC_AVG_STAY_SF" hidden="1">"c6016"</definedName>
    <definedName name="IQ_HC_BEDS_SVC" hidden="1">"c5950"</definedName>
    <definedName name="IQ_HC_CASES" hidden="1">"c9978"</definedName>
    <definedName name="IQ_HC_CLAIMS_RESERVES" hidden="1">"c9989"</definedName>
    <definedName name="IQ_HC_DAYS_REV_OUT" hidden="1">"c5993"</definedName>
    <definedName name="IQ_HC_DISCHARGES" hidden="1">"c9976"</definedName>
    <definedName name="IQ_HC_EQUIV_ADMISSIONS_GROWTH" hidden="1">"c5998"</definedName>
    <definedName name="IQ_HC_EQUIVALENT_ADMISSIONS" hidden="1">"c5958"</definedName>
    <definedName name="IQ_HC_EQUIVALENT_ADMISSIONS_SF" hidden="1">"c6007"</definedName>
    <definedName name="IQ_HC_EQUIVALENT_PATIENT_DAYS" hidden="1">"c9980"</definedName>
    <definedName name="IQ_HC_ER_VISITS" hidden="1">"c5964"</definedName>
    <definedName name="IQ_HC_ER_VISITS_SF" hidden="1">"c6017"</definedName>
    <definedName name="IQ_HC_GROSS_INPATIENT_REV" hidden="1">"c5987"</definedName>
    <definedName name="IQ_HC_GROSS_OUTPATIENT_REV" hidden="1">"c5988"</definedName>
    <definedName name="IQ_HC_GROSS_PATIENT_REV" hidden="1">"c5989"</definedName>
    <definedName name="IQ_HC_HOSP_FACILITIES_CONSOL" hidden="1">"c5945"</definedName>
    <definedName name="IQ_HC_HOSP_FACILITIES_CONSOL_SF" hidden="1">"c6000"</definedName>
    <definedName name="IQ_HC_HOSP_FACILITIES_NON_CONSOL" hidden="1">"c5946"</definedName>
    <definedName name="IQ_HC_HOSP_FACILITIES_NON_CONSOL_SF" hidden="1">"c6001"</definedName>
    <definedName name="IQ_HC_HOSP_FACILITIES_TOTAL" hidden="1">"c5947"</definedName>
    <definedName name="IQ_HC_HOSP_FACILITIES_TOTAL_SF" hidden="1">"c6002"</definedName>
    <definedName name="IQ_HC_INPATIENT_PROCEDURES" hidden="1">"c5961"</definedName>
    <definedName name="IQ_HC_INPATIENT_PROCEDURES_SF" hidden="1">"c6011"</definedName>
    <definedName name="IQ_HC_INPATIENT_REV_PER_ADMISSION" hidden="1">"c5994"</definedName>
    <definedName name="IQ_HC_INTPATIENT_SVCS_PCT_REV" hidden="1">"c5975"</definedName>
    <definedName name="IQ_HC_INTPATIENT_SVCS_PCT_REV_SF" hidden="1">"c6015"</definedName>
    <definedName name="IQ_HC_LICENSED_BEDS" hidden="1">"c5948"</definedName>
    <definedName name="IQ_HC_LICENSED_BEDS_SF" hidden="1">"c6003"</definedName>
    <definedName name="IQ_HC_MANAGED_CARE_PCT_ADMISSIONS" hidden="1">"c5982"</definedName>
    <definedName name="IQ_HC_MANAGED_CARE_PCT_REV" hidden="1">"c5978"</definedName>
    <definedName name="IQ_HC_MEDICAID_PCT_ADMISSIONS" hidden="1">"c5981"</definedName>
    <definedName name="IQ_HC_MEDICAID_PCT_REV" hidden="1">"c5977"</definedName>
    <definedName name="IQ_HC_MEDICAL_EXPENSE_RATIO" hidden="1">"c9987"</definedName>
    <definedName name="IQ_HC_MEDICARE_PCT_ADMISSIONS" hidden="1">"c5980"</definedName>
    <definedName name="IQ_HC_MEDICARE_PCT_REV" hidden="1">"c5976"</definedName>
    <definedName name="IQ_HC_NET_INPATIENT_REV" hidden="1">"c5984"</definedName>
    <definedName name="IQ_HC_NET_OUTPATIENT_REV" hidden="1">"c5985"</definedName>
    <definedName name="IQ_HC_NET_PATIENT_REV" hidden="1">"c5986"</definedName>
    <definedName name="IQ_HC_NET_PATIENT_REV_SF" hidden="1">"c6005"</definedName>
    <definedName name="IQ_HC_OCC_RATE" hidden="1">"c5967"</definedName>
    <definedName name="IQ_HC_OCC_RATE_LICENSED_BEDS" hidden="1">"c5968"</definedName>
    <definedName name="IQ_HC_OCC_RATE_SF" hidden="1">"c6009"</definedName>
    <definedName name="IQ_HC_OPEX_SUPPLIES" hidden="1">"c5990"</definedName>
    <definedName name="IQ_HC_OTHER_OPEX_PCT_REV" hidden="1">"c5973"</definedName>
    <definedName name="IQ_HC_OUTPATIENT_PROCEDURES" hidden="1">"c5962"</definedName>
    <definedName name="IQ_HC_OUTPATIENT_PROCEDURES_SF" hidden="1">"c6012"</definedName>
    <definedName name="IQ_HC_OUTPATIENT_REV_PER_ADMISSION" hidden="1">"c5995"</definedName>
    <definedName name="IQ_HC_OUTPATIENT_SVCS_PCT_REV" hidden="1">"c5974"</definedName>
    <definedName name="IQ_HC_OUTPATIENT_SVCS_PCT_REV_SF" hidden="1">"c6014"</definedName>
    <definedName name="IQ_HC_PATIENT_DAYS" hidden="1">"c5960"</definedName>
    <definedName name="IQ_HC_PATIENT_DAYS_SF" hidden="1">"c6010"</definedName>
    <definedName name="IQ_HC_PROF_GEN_LIAB_CLAIM_PAID" hidden="1">"c5991"</definedName>
    <definedName name="IQ_HC_PROF_GEN_LIAB_EXP_BENEFIT" hidden="1">"c5992"</definedName>
    <definedName name="IQ_HC_PROVISION_DOUBTFUL_PCT_REV" hidden="1">"c5972"</definedName>
    <definedName name="IQ_HC_REV_GROWTH" hidden="1">"c5996"</definedName>
    <definedName name="IQ_HC_REV_PER_CASE" hidden="1">"c9979"</definedName>
    <definedName name="IQ_HC_REV_PER_DISCHARGE" hidden="1">"c9990"</definedName>
    <definedName name="IQ_HC_REV_PER_EQUIV_ADMISSION" hidden="1">"c5959"</definedName>
    <definedName name="IQ_HC_REV_PER_EQUIV_ADMISSION_SF" hidden="1">"c6008"</definedName>
    <definedName name="IQ_HC_REV_PER_EQUIV_ADMISSIONS_GROWTH" hidden="1">"c5999"</definedName>
    <definedName name="IQ_HC_REV_PER_PATIENT_DAY" hidden="1">"c5969"</definedName>
    <definedName name="IQ_HC_REV_PER_PATIENT_DAY_SF" hidden="1">"c6018"</definedName>
    <definedName name="IQ_HC_RISK_COVERED_LIVES" hidden="1">"c9981"</definedName>
    <definedName name="IQ_HC_RISK_MEMBERSHIP" hidden="1">"c9984"</definedName>
    <definedName name="IQ_HC_SALARIES_PCT_REV" hidden="1">"c5970"</definedName>
    <definedName name="IQ_HC_SGA_MARGIN" hidden="1">"c9988"</definedName>
    <definedName name="IQ_HC_SUPPLIES_PCT_REV" hidden="1">"c5971"</definedName>
    <definedName name="IQ_HC_TOTAL_COVERED_LIVES" hidden="1">"c9983"</definedName>
    <definedName name="IQ_HC_TOTAL_MEMBERSHIP" hidden="1">"c9986"</definedName>
    <definedName name="IQ_HC_TOTAL_PROCEDURES" hidden="1">"c5963"</definedName>
    <definedName name="IQ_HC_TOTAL_PROCEDURES_SF" hidden="1">"c6013"</definedName>
    <definedName name="IQ_HC_UNINSURED_PCT_ADMISSIONS" hidden="1">"c5983"</definedName>
    <definedName name="IQ_HC_UNINSURED_PCT_REV" hidden="1">"c5979"</definedName>
    <definedName name="IQ_HEDGEFUND_OVER_TOTAL" hidden="1">"c13771"</definedName>
    <definedName name="IQ_HELD_MATURITY_FDIC" hidden="1">"c6408"</definedName>
    <definedName name="IQ_HG_ACQUIRED_FRANCHISE_HOTEL_PROPERTIES" hidden="1">"c8584"</definedName>
    <definedName name="IQ_HG_ACQUIRED_FRANCHISE_ROOMS" hidden="1">"c8614"</definedName>
    <definedName name="IQ_HG_ACQUIRED_HOTEL_PROPERTIES" hidden="1">"c8572"</definedName>
    <definedName name="IQ_HG_ACQUIRED_MANAGED_HOTEL_PROPERTIES" hidden="1">"c8590"</definedName>
    <definedName name="IQ_HG_ACQUIRED_MANAGED_ROOMS" hidden="1">"c8620"</definedName>
    <definedName name="IQ_HG_ACQUIRED_OTHER_HOTEL_PROPERTIES" hidden="1">"c8596"</definedName>
    <definedName name="IQ_HG_ACQUIRED_OTHER_ROOMS" hidden="1">"c8626"</definedName>
    <definedName name="IQ_HG_ACQUIRED_OWNED_HOTEL_PROPERTIES" hidden="1">"c8578"</definedName>
    <definedName name="IQ_HG_ACQUIRED_OWNED_ROOMS" hidden="1">"c8608"</definedName>
    <definedName name="IQ_HG_ACQUIRED_ROOMS" hidden="1">"c8602"</definedName>
    <definedName name="IQ_HG_ADR_CHANGE_FRANCHISE" hidden="1">"c8684"</definedName>
    <definedName name="IQ_HG_ADR_CHANGE_MANAGED" hidden="1">"c8685"</definedName>
    <definedName name="IQ_HG_ADR_CHANGE_OTHER" hidden="1">"c8686"</definedName>
    <definedName name="IQ_HG_ADR_CHANGE_OWNED" hidden="1">"c8683"</definedName>
    <definedName name="IQ_HG_ADR_CHANGE_OWNED_COMP" hidden="1">"c8709"</definedName>
    <definedName name="IQ_HG_ADR_CHANGE_TOTAL" hidden="1">"c8687"</definedName>
    <definedName name="IQ_HG_ADR_CHANGE_TOTAL_COMP" hidden="1">"c8710"</definedName>
    <definedName name="IQ_HG_ADR_FRANCHISE" hidden="1">"c8664"</definedName>
    <definedName name="IQ_HG_ADR_MANAGED" hidden="1">"c8665"</definedName>
    <definedName name="IQ_HG_ADR_OTHER" hidden="1">"c8666"</definedName>
    <definedName name="IQ_HG_ADR_OWNED" hidden="1">"c8663"</definedName>
    <definedName name="IQ_HG_ADR_OWNED_COMP" hidden="1">"c8701"</definedName>
    <definedName name="IQ_HG_ADR_TOTAL" hidden="1">"c8667"</definedName>
    <definedName name="IQ_HG_ADR_TOTAL_COMP" hidden="1">"c8702"</definedName>
    <definedName name="IQ_HG_CASINOS_JV" hidden="1">"c8631"</definedName>
    <definedName name="IQ_HG_CASINOS_MANAGED" hidden="1">"c8632"</definedName>
    <definedName name="IQ_HG_CASINOS_OWNED" hidden="1">"c8630"</definedName>
    <definedName name="IQ_HG_CASINOS_TOTAL" hidden="1">"c8633"</definedName>
    <definedName name="IQ_HG_CLOSED_FRANCHISE_HOTEL_PROPERTIES" hidden="1">"c8586"</definedName>
    <definedName name="IQ_HG_CLOSED_FRANCHISE_ROOMS" hidden="1">"c8616"</definedName>
    <definedName name="IQ_HG_CLOSED_HOTEL_PROPERTIES" hidden="1">"c8574"</definedName>
    <definedName name="IQ_HG_CLOSED_MANAGED_HOTEL_PROPERTIES" hidden="1">"c8592"</definedName>
    <definedName name="IQ_HG_CLOSED_MANAGED_ROOMS" hidden="1">"c8622"</definedName>
    <definedName name="IQ_HG_CLOSED_OTHER_HOTEL_PROPERTIES" hidden="1">"c8598"</definedName>
    <definedName name="IQ_HG_CLOSED_OTHER_ROOMS" hidden="1">"c8628"</definedName>
    <definedName name="IQ_HG_CLOSED_OWNED_HOTEL_PROPERTIES" hidden="1">"c8580"</definedName>
    <definedName name="IQ_HG_CLOSED_OWNED_ROOMS" hidden="1">"c8610"</definedName>
    <definedName name="IQ_HG_CLOSED_ROOMS" hidden="1">"c8604"</definedName>
    <definedName name="IQ_HG_EXP_CASINO" hidden="1">"c8733"</definedName>
    <definedName name="IQ_HG_EXP_DEVELOPMENT" hidden="1">"c8738"</definedName>
    <definedName name="IQ_HG_EXP_ENTERTAINMENT" hidden="1">"c8736"</definedName>
    <definedName name="IQ_HG_EXP_FOOD_BEV" hidden="1">"c8734"</definedName>
    <definedName name="IQ_HG_EXP_FRANCHISE_MANAGEMENT" hidden="1">"c8744"</definedName>
    <definedName name="IQ_HG_EXP_OTHER_MNGD_FRANCHISE_PROP" hidden="1">"c8742"</definedName>
    <definedName name="IQ_HG_EXP_OWNED_LEASED_CONSOL_JV" hidden="1">"c8740"</definedName>
    <definedName name="IQ_HG_EXP_REIMBURSEMENTS" hidden="1">"c8743"</definedName>
    <definedName name="IQ_HG_EXP_RETAIL" hidden="1">"c8737"</definedName>
    <definedName name="IQ_HG_EXP_ROOMS" hidden="1">"c8735"</definedName>
    <definedName name="IQ_HG_EXP_THEATRE_CONCESSION" hidden="1">"c8739"</definedName>
    <definedName name="IQ_HG_EXP_VACA_OWNERSHIP_RES" hidden="1">"c8741"</definedName>
    <definedName name="IQ_HG_FOOD_PROM_COSTS" hidden="1">"c8746"</definedName>
    <definedName name="IQ_HG_FRANCHISE_HOTEL_PROPERTIES_BEG" hidden="1">"c8582"</definedName>
    <definedName name="IQ_HG_FRANCHISE_ROOMS_BEG" hidden="1">"c8612"</definedName>
    <definedName name="IQ_HG_GAMING_SPACE_JV" hidden="1">"c8635"</definedName>
    <definedName name="IQ_HG_GAMING_SPACE_MANAGED" hidden="1">"c8636"</definedName>
    <definedName name="IQ_HG_GAMING_SPACE_OWNED" hidden="1">"c8634"</definedName>
    <definedName name="IQ_HG_GAMING_SPACE_TOTAL" hidden="1">"c8637"</definedName>
    <definedName name="IQ_HG_HOTEL_PROPERTIES_BEG" hidden="1">"c8570"</definedName>
    <definedName name="IQ_HG_LAND_AVAIL_JV" hidden="1">"c8647"</definedName>
    <definedName name="IQ_HG_LAND_AVAIL_MANAGED" hidden="1">"c8648"</definedName>
    <definedName name="IQ_HG_LAND_AVAIL_OWNED" hidden="1">"c8646"</definedName>
    <definedName name="IQ_HG_LAND_AVAIL_TOTAL" hidden="1">"c8649"</definedName>
    <definedName name="IQ_HG_LAND_JV" hidden="1">"c8651"</definedName>
    <definedName name="IQ_HG_LAND_MANAGED" hidden="1">"c8652"</definedName>
    <definedName name="IQ_HG_LAND_OWNED" hidden="1">"c8650"</definedName>
    <definedName name="IQ_HG_LAND_TOTAL" hidden="1">"c8653"</definedName>
    <definedName name="IQ_HG_MANAGED_HOTEL_PROPERTIES_BEG" hidden="1">"c8588"</definedName>
    <definedName name="IQ_HG_MANAGED_ROOMS_BEG" hidden="1">"c8618"</definedName>
    <definedName name="IQ_HG_OCCUPANCY_CHANGE_FRANCHISE" hidden="1">"c8675"</definedName>
    <definedName name="IQ_HG_OCCUPANCY_CHANGE_MANAGED" hidden="1">"c8677"</definedName>
    <definedName name="IQ_HG_OCCUPANCY_CHANGE_OTHER" hidden="1">"c8679"</definedName>
    <definedName name="IQ_HG_OCCUPANCY_CHANGE_OWNED" hidden="1">"c8673"</definedName>
    <definedName name="IQ_HG_OCCUPANCY_CHANGE_OWNED_COMP" hidden="1">"c8705"</definedName>
    <definedName name="IQ_HG_OCCUPANCY_CHANGE_TOTAL" hidden="1">"c8681"</definedName>
    <definedName name="IQ_HG_OCCUPANCY_CHANGE_TOTAL_COMP" hidden="1">"c8707"</definedName>
    <definedName name="IQ_HG_OCCUPANCY_FRANCHISE" hidden="1">"c8659"</definedName>
    <definedName name="IQ_HG_OCCUPANCY_INCDEC_FRANCHISE" hidden="1">"c8676"</definedName>
    <definedName name="IQ_HG_OCCUPANCY_INCDEC_MANAGED" hidden="1">"c8678"</definedName>
    <definedName name="IQ_HG_OCCUPANCY_INCDEC_OTHER" hidden="1">"c8680"</definedName>
    <definedName name="IQ_HG_OCCUPANCY_INCDEC_OWNED" hidden="1">"c8674"</definedName>
    <definedName name="IQ_HG_OCCUPANCY_INCDEC_OWNED_COMP" hidden="1">"c8706"</definedName>
    <definedName name="IQ_HG_OCCUPANCY_INCDEC_TOTAL" hidden="1">"c8682"</definedName>
    <definedName name="IQ_HG_OCCUPANCY_INCDEC_TOTAL_COMP" hidden="1">"c8708"</definedName>
    <definedName name="IQ_HG_OCCUPANCY_MANAGED" hidden="1">"c8660"</definedName>
    <definedName name="IQ_HG_OCCUPANCY_OTHER" hidden="1">"c8661"</definedName>
    <definedName name="IQ_HG_OCCUPANCY_OWNED" hidden="1">"c8658"</definedName>
    <definedName name="IQ_HG_OCCUPANCY_OWNED_COMP" hidden="1">"c8699"</definedName>
    <definedName name="IQ_HG_OCCUPANCY_TOTAL" hidden="1">"c8662"</definedName>
    <definedName name="IQ_HG_OCCUPANCY_TOTAL_COMP" hidden="1">"c8700"</definedName>
    <definedName name="IQ_HG_OPENED_FRANCHISE_HOTEL_PROPERTIES" hidden="1">"c8583"</definedName>
    <definedName name="IQ_HG_OPENED_FRANCHISE_ROOMS" hidden="1">"c8613"</definedName>
    <definedName name="IQ_HG_OPENED_HOTEL_PROPERTIES" hidden="1">"c8571"</definedName>
    <definedName name="IQ_HG_OPENED_MANAGED_HOTEL_PROPERTIES" hidden="1">"c8589"</definedName>
    <definedName name="IQ_HG_OPENED_MANAGED_ROOMS" hidden="1">"c8619"</definedName>
    <definedName name="IQ_HG_OPENED_OTHER_HOTEL_PROPERTIES" hidden="1">"c8595"</definedName>
    <definedName name="IQ_HG_OPENED_OTHER_ROOMS" hidden="1">"c8625"</definedName>
    <definedName name="IQ_HG_OPENED_OWNED_HOTEL_PROPERTIES" hidden="1">"c8577"</definedName>
    <definedName name="IQ_HG_OPENED_OWNED_ROOMS" hidden="1">"c8607"</definedName>
    <definedName name="IQ_HG_OPENED_ROOMS" hidden="1">"c8601"</definedName>
    <definedName name="IQ_HG_OTHER_HOTEL_PROPERTIES_BEG" hidden="1">"c8594"</definedName>
    <definedName name="IQ_HG_OTHER_PROM_COSTS" hidden="1">"c8747"</definedName>
    <definedName name="IQ_HG_OTHER_ROOMS_BEG" hidden="1">"c8624"</definedName>
    <definedName name="IQ_HG_OWNED_HOTEL_PROPERTIES_BEG" hidden="1">"c8576"</definedName>
    <definedName name="IQ_HG_OWNED_ROOMS_BEG" hidden="1">"c8606"</definedName>
    <definedName name="IQ_HG_PARKING_SPACES_JV" hidden="1">"c8655"</definedName>
    <definedName name="IQ_HG_PARKING_SPACES_MANAGED" hidden="1">"c8656"</definedName>
    <definedName name="IQ_HG_PARKING_SPACES_OWNED" hidden="1">"c8654"</definedName>
    <definedName name="IQ_HG_PARKING_SPACES_TOTAL" hidden="1">"c8657"</definedName>
    <definedName name="IQ_HG_REV_BASE_MANAGEMENT_FEES" hidden="1">"c8726"</definedName>
    <definedName name="IQ_HG_REV_CASINO" hidden="1">"c8713"</definedName>
    <definedName name="IQ_HG_REV_COST_REIMBURSEMENT" hidden="1">"c8728"</definedName>
    <definedName name="IQ_HG_REV_ENTERTAINMENT" hidden="1">"c8716"</definedName>
    <definedName name="IQ_HG_REV_FOOD_BEV" hidden="1">"c8714"</definedName>
    <definedName name="IQ_HG_REV_FRANCHISE" hidden="1">"c8725"</definedName>
    <definedName name="IQ_HG_REV_INCENTIVE_MANAGEMENT_FEES" hidden="1">"c8727"</definedName>
    <definedName name="IQ_HG_REV_MANAGEMENT_FEES" hidden="1">"c8718"</definedName>
    <definedName name="IQ_HG_REV_OTHER_MNGD_FRANCHISE_PROP" hidden="1">"c8730"</definedName>
    <definedName name="IQ_HG_REV_OTHER_OP_SEGMENT" hidden="1">"c8721"</definedName>
    <definedName name="IQ_HG_REV_OTHER_OWNERSHIP_MIX" hidden="1">"c8731"</definedName>
    <definedName name="IQ_HG_REV_OWNED_LEASED_CONSOL_JV_HOTELS" hidden="1">"c8724"</definedName>
    <definedName name="IQ_HG_REV_PROMOTIONAL_ALLOWANCE" hidden="1">"c8722"</definedName>
    <definedName name="IQ_HG_REV_RACING" hidden="1">"c8719"</definedName>
    <definedName name="IQ_HG_REV_RETAIL" hidden="1">"c8717"</definedName>
    <definedName name="IQ_HG_REV_ROOMS" hidden="1">"c8715"</definedName>
    <definedName name="IQ_HG_REV_THEATRE_CONCESSION" hidden="1">"c8720"</definedName>
    <definedName name="IQ_HG_REV_TOTAL_OP_SEGMENT" hidden="1">"c8723"</definedName>
    <definedName name="IQ_HG_REV_TOTAL_OWNERSHIP_MIX" hidden="1">"c8732"</definedName>
    <definedName name="IQ_HG_REV_VACA_OWNERSHIP_RES_SALES_SVCS" hidden="1">"c8729"</definedName>
    <definedName name="IQ_HG_REVENUES_CHANGE_OWNED_COMP" hidden="1">"c8697"</definedName>
    <definedName name="IQ_HG_REVENUES_CHANGE_TOTAL_COMP" hidden="1">"c8698"</definedName>
    <definedName name="IQ_HG_REVPAR_CHANGE_MANAGED" hidden="1">"c8690"</definedName>
    <definedName name="IQ_HG_REVPAR_CHANGE_OTHER" hidden="1">"c8691"</definedName>
    <definedName name="IQ_HG_REVPAR_CHANGE_OWNED" hidden="1">"c8688"</definedName>
    <definedName name="IQ_HG_REVPAR_CHANGE_OWNED_COMP" hidden="1">"c8711"</definedName>
    <definedName name="IQ_HG_REVPAR_CHANGE_TOTAL" hidden="1">"c8692"</definedName>
    <definedName name="IQ_HG_REVPAR_CHANGE_TOTAL_COMP" hidden="1">"c8712"</definedName>
    <definedName name="IQ_HG_REVPAR_CHNAGE_FRANCHISE" hidden="1">"c8689"</definedName>
    <definedName name="IQ_HG_REVPAR_FRANCHISE" hidden="1">"c8669"</definedName>
    <definedName name="IQ_HG_REVPAR_MANAGED" hidden="1">"c8670"</definedName>
    <definedName name="IQ_HG_REVPAR_OTHER" hidden="1">"c8671"</definedName>
    <definedName name="IQ_HG_REVPAR_OWNED" hidden="1">"c8668"</definedName>
    <definedName name="IQ_HG_REVPAR_OWNED_COMP" hidden="1">"c8703"</definedName>
    <definedName name="IQ_HG_REVPAR_TOTAL" hidden="1">"c8672"</definedName>
    <definedName name="IQ_HG_REVPAR_TOTAL_COMP" hidden="1">"c8704"</definedName>
    <definedName name="IQ_HG_ROOM_PROM_COSTS" hidden="1">"c8745"</definedName>
    <definedName name="IQ_HG_ROOMS_BEG" hidden="1">"c8600"</definedName>
    <definedName name="IQ_HG_SLOT_MACHINES_JV" hidden="1">"c8639"</definedName>
    <definedName name="IQ_HG_SLOT_MACHINES_MANAGED" hidden="1">"c8640"</definedName>
    <definedName name="IQ_HG_SLOT_MACHINES_OWNED" hidden="1">"c8638"</definedName>
    <definedName name="IQ_HG_SLOT_MACHINES_TOTAL" hidden="1">"c8641"</definedName>
    <definedName name="IQ_HG_SOLD_FRANCHISE_HOTEL_PROPERTIES" hidden="1">"c8585"</definedName>
    <definedName name="IQ_HG_SOLD_FRANCHISE_ROOMS" hidden="1">"c8615"</definedName>
    <definedName name="IQ_HG_SOLD_HOTEL_PROPERTIES" hidden="1">"c8573"</definedName>
    <definedName name="IQ_HG_SOLD_MANAGED_HOTEL_PROPERTIES" hidden="1">"c8591"</definedName>
    <definedName name="IQ_HG_SOLD_MANAGED_ROOMS" hidden="1">"c8621"</definedName>
    <definedName name="IQ_HG_SOLD_OTHER_HOTEL_PROPERTIES" hidden="1">"c8597"</definedName>
    <definedName name="IQ_HG_SOLD_OTHER_ROOMS" hidden="1">"c8627"</definedName>
    <definedName name="IQ_HG_SOLD_OWNED_HOTEL_PROPERTIES" hidden="1">"c8579"</definedName>
    <definedName name="IQ_HG_SOLD_OWNED_ROOMS" hidden="1">"c8609"</definedName>
    <definedName name="IQ_HG_SOLD_ROOMS" hidden="1">"c8603"</definedName>
    <definedName name="IQ_HG_TABLE_GAMES_JV" hidden="1">"c8643"</definedName>
    <definedName name="IQ_HG_TABLE_GAMES_MANAGED" hidden="1">"c8644"</definedName>
    <definedName name="IQ_HG_TABLE_GAMES_OWNED" hidden="1">"c8642"</definedName>
    <definedName name="IQ_HG_TABLE_GAMES_TOTAL" hidden="1">"c8645"</definedName>
    <definedName name="IQ_HG_TOTAL_FRANCHISE_HOTEL_PROPERTIES" hidden="1">"c8587"</definedName>
    <definedName name="IQ_HG_TOTAL_FRANCHISE_ROOMS" hidden="1">"c8617"</definedName>
    <definedName name="IQ_HG_TOTAL_HOTEL_PROPERTIES" hidden="1">"c8575"</definedName>
    <definedName name="IQ_HG_TOTAL_MANAGED_HOTEL_PROPERTIES" hidden="1">"c8593"</definedName>
    <definedName name="IQ_HG_TOTAL_MANAGED_ROOMS" hidden="1">"c8623"</definedName>
    <definedName name="IQ_HG_TOTAL_OTHER_HOTEL_PROPERTIES" hidden="1">"c8599"</definedName>
    <definedName name="IQ_HG_TOTAL_OTHER_ROOMS" hidden="1">"c8629"</definedName>
    <definedName name="IQ_HG_TOTAL_OWNED_HOTEL_PROPERTIES" hidden="1">"c8581"</definedName>
    <definedName name="IQ_HG_TOTAL_OWNED_PROPERTIES_COMP" hidden="1">"c8693"</definedName>
    <definedName name="IQ_HG_TOTAL_OWNED_ROOMS" hidden="1">"c8611"</definedName>
    <definedName name="IQ_HG_TOTAL_OWNED_ROOMS_COMP" hidden="1">"c8695"</definedName>
    <definedName name="IQ_HG_TOTAL_PROM_COSTS" hidden="1">"c8748"</definedName>
    <definedName name="IQ_HG_TOTAL_PROPERTIES_COMP" hidden="1">"c8694"</definedName>
    <definedName name="IQ_HG_TOTAL_ROOMS" hidden="1">"c8605"</definedName>
    <definedName name="IQ_HG_TOTAL_ROOMS_COMP" hidden="1">"c8696"</definedName>
    <definedName name="IQ_HIGH_LOW_CLOSEPRICE_DATE" hidden="1">"c1204"</definedName>
    <definedName name="IQ_HIGH_TARGET_PRICE" hidden="1">"c1651"</definedName>
    <definedName name="IQ_HIGH_TARGET_PRICE_CIQ" hidden="1">"c4659"</definedName>
    <definedName name="IQ_HIGHPRICE" hidden="1">"c545"</definedName>
    <definedName name="IQ_HOLDER_CIQID" hidden="1">"c13787"</definedName>
    <definedName name="IQ_HOLDER_CIQID_SECURITY" hidden="1">"c13794"</definedName>
    <definedName name="IQ_HOLDER_DERIVATIVES" hidden="1">"c13789"</definedName>
    <definedName name="IQ_HOLDER_DERIVATIVES_SECURITY" hidden="1">"c13796"</definedName>
    <definedName name="IQ_HOLDER_NAME" hidden="1">"c13786"</definedName>
    <definedName name="IQ_HOLDER_NAME_SECURITY" hidden="1">"c13793"</definedName>
    <definedName name="IQ_HOLDER_PERCENT" hidden="1">"c13790"</definedName>
    <definedName name="IQ_HOLDER_PERCENT_SECURITY" hidden="1">"c13831"</definedName>
    <definedName name="IQ_HOLDER_POSITION_DATE" hidden="1">"c13792"</definedName>
    <definedName name="IQ_HOLDER_POSITION_DATE_SECURITY" hidden="1">"c13798"</definedName>
    <definedName name="IQ_HOLDER_SHARES" hidden="1">"c13788"</definedName>
    <definedName name="IQ_HOLDER_SHARES_SECURITY" hidden="1">"c13795"</definedName>
    <definedName name="IQ_HOLDER_VALUE" hidden="1">"c13791"</definedName>
    <definedName name="IQ_HOLDER_VALUE_SECURITY" hidden="1">"c13797"</definedName>
    <definedName name="IQ_HOLDING_CIQID" hidden="1">"c13802"</definedName>
    <definedName name="IQ_HOLDING_NAME" hidden="1">"c13799"</definedName>
    <definedName name="IQ_HOLDING_PERCENT" hidden="1">"c13805"</definedName>
    <definedName name="IQ_HOLDING_PERCENT_PORTFOLIO" hidden="1">"c13806"</definedName>
    <definedName name="IQ_HOLDING_POSITION_DATE" hidden="1">"c13808"</definedName>
    <definedName name="IQ_HOLDING_SECURITY_TYPE" hidden="1">"c13803"</definedName>
    <definedName name="IQ_HOLDING_SHARES" hidden="1">"c13804"</definedName>
    <definedName name="IQ_HOLDING_TICKER" hidden="1">"c13800"</definedName>
    <definedName name="IQ_HOLDING_TRADING_ITEM_CIQID" hidden="1">"c13801"</definedName>
    <definedName name="IQ_HOLDING_VALUE" hidden="1">"c13807"</definedName>
    <definedName name="IQ_HOME_AVG_LOAN_SIZE" hidden="1">"c5911"</definedName>
    <definedName name="IQ_HOME_BACKLOG" hidden="1">"c5844"</definedName>
    <definedName name="IQ_HOME_BACKLOG_AVG_JV" hidden="1">"c5848"</definedName>
    <definedName name="IQ_HOME_BACKLOG_AVG_JV_GROWTH" hidden="1">"c5928"</definedName>
    <definedName name="IQ_HOME_BACKLOG_AVG_JV_INC" hidden="1">"c5851"</definedName>
    <definedName name="IQ_HOME_BACKLOG_AVG_JV_INC_GROWTH" hidden="1">"c5931"</definedName>
    <definedName name="IQ_HOME_BACKLOG_AVG_PRICE" hidden="1">"c5845"</definedName>
    <definedName name="IQ_HOME_BACKLOG_AVG_PRICE_GROWTH" hidden="1">"c5925"</definedName>
    <definedName name="IQ_HOME_BACKLOG_GROWTH" hidden="1">"c5924"</definedName>
    <definedName name="IQ_HOME_BACKLOG_JV" hidden="1">"c5847"</definedName>
    <definedName name="IQ_HOME_BACKLOG_JV_GROWTH" hidden="1">"c5927"</definedName>
    <definedName name="IQ_HOME_BACKLOG_JV_INC" hidden="1">"c5850"</definedName>
    <definedName name="IQ_HOME_BACKLOG_JV_INC_GROWTH" hidden="1">"c5930"</definedName>
    <definedName name="IQ_HOME_BACKLOG_VALUE" hidden="1">"c5846"</definedName>
    <definedName name="IQ_HOME_BACKLOG_VALUE_GROWTH" hidden="1">"c5926"</definedName>
    <definedName name="IQ_HOME_BACKLOG_VALUE_JV" hidden="1">"c5849"</definedName>
    <definedName name="IQ_HOME_BACKLOG_VALUE_JV_GROWTH" hidden="1">"c5929"</definedName>
    <definedName name="IQ_HOME_BACKLOG_VALUE_JV_INC" hidden="1">"c5852"</definedName>
    <definedName name="IQ_HOME_BACKLOG_VALUE_JV_INC_GROWTH" hidden="1">"c5932"</definedName>
    <definedName name="IQ_HOME_COMMUNITIES_ACTIVE" hidden="1">"c5862"</definedName>
    <definedName name="IQ_HOME_COMMUNITIES_ACTIVE_GROWTH" hidden="1">"c5942"</definedName>
    <definedName name="IQ_HOME_COMMUNITIES_ACTIVE_JV" hidden="1">"c5863"</definedName>
    <definedName name="IQ_HOME_COMMUNITIES_ACTIVE_JV_GROWTH" hidden="1">"c5943"</definedName>
    <definedName name="IQ_HOME_COMMUNITIES_ACTIVE_JV_INC" hidden="1">"c5864"</definedName>
    <definedName name="IQ_HOME_COMMUNITIES_ACTIVE_JV_INC_GROWTH" hidden="1">"c5944"</definedName>
    <definedName name="IQ_HOME_COST_CONSTRUCTION_SVCS" hidden="1">"c5882"</definedName>
    <definedName name="IQ_HOME_COST_ELIMINATIONS_OTHER" hidden="1">"c5883"</definedName>
    <definedName name="IQ_HOME_COST_FINANCIAL_SVCS" hidden="1">"c5881"</definedName>
    <definedName name="IQ_HOME_COST_HOUSING" hidden="1">"c5877"</definedName>
    <definedName name="IQ_HOME_COST_LAND_LOT" hidden="1">"c5878"</definedName>
    <definedName name="IQ_HOME_COST_OTHER_HOMEBUILDING" hidden="1">"c5879"</definedName>
    <definedName name="IQ_HOME_COST_TOTAL" hidden="1">"c5884"</definedName>
    <definedName name="IQ_HOME_COST_TOTAL_HOMEBUILDING" hidden="1">"c5880"</definedName>
    <definedName name="IQ_HOME_DELIVERED" hidden="1">"c5835"</definedName>
    <definedName name="IQ_HOME_DELIVERED_AVG_PRICE" hidden="1">"c5836"</definedName>
    <definedName name="IQ_HOME_DELIVERED_AVG_PRICE_GROWTH" hidden="1">"c5916"</definedName>
    <definedName name="IQ_HOME_DELIVERED_AVG_PRICE_JV" hidden="1">"c5839"</definedName>
    <definedName name="IQ_HOME_DELIVERED_AVG_PRICE_JV_GROWTH" hidden="1">"c5919"</definedName>
    <definedName name="IQ_HOME_DELIVERED_AVG_PRICE_JV_INC" hidden="1">"c5842"</definedName>
    <definedName name="IQ_HOME_DELIVERED_AVG_PRICE_JV_INC_GROWTH" hidden="1">"c5922"</definedName>
    <definedName name="IQ_HOME_DELIVERED_GROWTH" hidden="1">"c5915"</definedName>
    <definedName name="IQ_HOME_DELIVERED_JV" hidden="1">"c5838"</definedName>
    <definedName name="IQ_HOME_DELIVERED_JV_GROWTH" hidden="1">"c5918"</definedName>
    <definedName name="IQ_HOME_DELIVERED_JV_INC" hidden="1">"c5841"</definedName>
    <definedName name="IQ_HOME_DELIVERED_JV_INC_GROWTH" hidden="1">"c5921"</definedName>
    <definedName name="IQ_HOME_DELIVERED_VALUE" hidden="1">"c5837"</definedName>
    <definedName name="IQ_HOME_DELIVERED_VALUE_GROWTH" hidden="1">"c5917"</definedName>
    <definedName name="IQ_HOME_DELIVERED_VALUE_JV" hidden="1">"c5840"</definedName>
    <definedName name="IQ_HOME_DELIVERED_VALUE_JV_GROWTH" hidden="1">"c5920"</definedName>
    <definedName name="IQ_HOME_DELIVERED_VALUE_JV_INC" hidden="1">"c5843"</definedName>
    <definedName name="IQ_HOME_DELIVERED_VALUE_JV_INC_GROWTH" hidden="1">"c5923"</definedName>
    <definedName name="IQ_HOME_EQUITY_LOANS_TOT_LOANS_FFIEC" hidden="1">"c13867"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_FINISHED_HOMES_CIP" hidden="1">"c5865"</definedName>
    <definedName name="IQ_HOME_FIRSTLIEN_MORT_ORIGINATED" hidden="1">"c5905"</definedName>
    <definedName name="IQ_HOME_FIRSTLIEN_MORT_ORIGINATED_VOL" hidden="1">"c5908"</definedName>
    <definedName name="IQ_HOME_HUC" hidden="1">"c5822"</definedName>
    <definedName name="IQ_HOME_HUC_JV" hidden="1">"c5823"</definedName>
    <definedName name="IQ_HOME_HUC_JV_INC" hidden="1">"c5824"</definedName>
    <definedName name="IQ_HOME_INV_NOT_OWNED" hidden="1">"c5868"</definedName>
    <definedName name="IQ_HOME_LAND_DEVELOPMENT" hidden="1">"c5866"</definedName>
    <definedName name="IQ_HOME_LAND_FUTURE_DEVELOPMENT" hidden="1">"c5867"</definedName>
    <definedName name="IQ_HOME_LOAN_APPLICATIONS" hidden="1">"c5910"</definedName>
    <definedName name="IQ_HOME_LOANS_SOLD_COUNT" hidden="1">"c5912"</definedName>
    <definedName name="IQ_HOME_LOANS_SOLD_VALUE" hidden="1">"c5913"</definedName>
    <definedName name="IQ_HOME_LOTS_CONTROLLED" hidden="1">"c5831"</definedName>
    <definedName name="IQ_HOME_LOTS_FINISHED" hidden="1">"c5827"</definedName>
    <definedName name="IQ_HOME_LOTS_HELD_SALE" hidden="1">"c5830"</definedName>
    <definedName name="IQ_HOME_LOTS_JV" hidden="1">"c5833"</definedName>
    <definedName name="IQ_HOME_LOTS_JV_INC" hidden="1">"c5834"</definedName>
    <definedName name="IQ_HOME_LOTS_OTHER" hidden="1">"c5832"</definedName>
    <definedName name="IQ_HOME_LOTS_OWNED" hidden="1">"c5828"</definedName>
    <definedName name="IQ_HOME_LOTS_UNDER_DEVELOPMENT" hidden="1">"c5826"</definedName>
    <definedName name="IQ_HOME_LOTS_UNDER_OPTION" hidden="1">"c5829"</definedName>
    <definedName name="IQ_HOME_LOTS_UNDEVELOPED" hidden="1">"c5825"</definedName>
    <definedName name="IQ_HOME_MORT_CAPTURE_RATE" hidden="1">"c5906"</definedName>
    <definedName name="IQ_HOME_MORT_ORIGINATED" hidden="1">"c5907"</definedName>
    <definedName name="IQ_HOME_OBLIGATIONS_INV_NOT_OWNED" hidden="1">"c5914"</definedName>
    <definedName name="IQ_HOME_ORDERS" hidden="1">"c5853"</definedName>
    <definedName name="IQ_HOME_ORDERS_AVG_PRICE" hidden="1">"c5854"</definedName>
    <definedName name="IQ_HOME_ORDERS_AVG_PRICE_GROWTH" hidden="1">"c5934"</definedName>
    <definedName name="IQ_HOME_ORDERS_AVG_PRICE_JV" hidden="1">"c5857"</definedName>
    <definedName name="IQ_HOME_ORDERS_AVG_PRICE_JV_GROWTH" hidden="1">"c5937"</definedName>
    <definedName name="IQ_HOME_ORDERS_AVG_PRICE_JV_INC" hidden="1">"c5860"</definedName>
    <definedName name="IQ_HOME_ORDERS_AVG_PRICE_JV_INC_GROWTH" hidden="1">"c5940"</definedName>
    <definedName name="IQ_HOME_ORDERS_GROWTH" hidden="1">"c5933"</definedName>
    <definedName name="IQ_HOME_ORDERS_JV" hidden="1">"c5856"</definedName>
    <definedName name="IQ_HOME_ORDERS_JV_GROWTH" hidden="1">"c5936"</definedName>
    <definedName name="IQ_HOME_ORDERS_JV_INC" hidden="1">"c5859"</definedName>
    <definedName name="IQ_HOME_ORDERS_JV_INC_GROWTH" hidden="1">"c5939"</definedName>
    <definedName name="IQ_HOME_ORDERS_VALUE" hidden="1">"c5855"</definedName>
    <definedName name="IQ_HOME_ORDERS_VALUE_GROWTH" hidden="1">"c5935"</definedName>
    <definedName name="IQ_HOME_ORDERS_VALUE_JV" hidden="1">"c5858"</definedName>
    <definedName name="IQ_HOME_ORDERS_VALUE_JV_GROWTH" hidden="1">"c5938"</definedName>
    <definedName name="IQ_HOME_ORDERS_VALUE_JV_INC" hidden="1">"c5861"</definedName>
    <definedName name="IQ_HOME_ORDERS_VALUE_JV_INC_GROWTH" hidden="1">"c5941"</definedName>
    <definedName name="IQ_HOME_ORIGINATION_TOTAL" hidden="1">"c5909"</definedName>
    <definedName name="IQ_HOME_PRETAX_INC_CONSTRUCTION_SVCS" hidden="1">"c5890"</definedName>
    <definedName name="IQ_HOME_PRETAX_INC_ELIMINATIONS_OTHER" hidden="1">"c5891"</definedName>
    <definedName name="IQ_HOME_PRETAX_INC_FINANCIAL_SVCS" hidden="1">"c5889"</definedName>
    <definedName name="IQ_HOME_PRETAX_INC_HOUSING" hidden="1">"c5885"</definedName>
    <definedName name="IQ_HOME_PRETAX_INC_LAND_LOT" hidden="1">"c5886"</definedName>
    <definedName name="IQ_HOME_PRETAX_INC_OTHER_HOMEBUILDING" hidden="1">"c5887"</definedName>
    <definedName name="IQ_HOME_PRETAX_INC_TOTAL" hidden="1">"c5892"</definedName>
    <definedName name="IQ_HOME_PRETAX_INC_TOTAL_HOMEBUILDING" hidden="1">"c5888"</definedName>
    <definedName name="IQ_HOME_PURCH_OBLIGATION_1YR" hidden="1">"c5898"</definedName>
    <definedName name="IQ_HOME_PURCH_OBLIGATION_2YR" hidden="1">"c5899"</definedName>
    <definedName name="IQ_HOME_PURCH_OBLIGATION_3YR" hidden="1">"c5900"</definedName>
    <definedName name="IQ_HOME_PURCH_OBLIGATION_4YR" hidden="1">"c5901"</definedName>
    <definedName name="IQ_HOME_PURCH_OBLIGATION_5YR" hidden="1">"c5902"</definedName>
    <definedName name="IQ_HOME_PURCH_OBLIGATION_AFTER5" hidden="1">"c5903"</definedName>
    <definedName name="IQ_HOME_PURCH_OBLIGATION_TOTAL" hidden="1">"c5904"</definedName>
    <definedName name="IQ_HOME_REV_CONSTRUCTION_SERVICES" hidden="1">"c5874"</definedName>
    <definedName name="IQ_HOME_REV_ELIMINATIONS_OTHER" hidden="1">"c5875"</definedName>
    <definedName name="IQ_HOME_REV_FINANCIAL_SERVICES" hidden="1">"c5873"</definedName>
    <definedName name="IQ_HOME_REV_HOUSING" hidden="1">"c5872"</definedName>
    <definedName name="IQ_HOME_REV_LAND_LOT" hidden="1">"c5870"</definedName>
    <definedName name="IQ_HOME_REV_OTHER_HOMEBUILDING" hidden="1">"c5871"</definedName>
    <definedName name="IQ_HOME_REV_TOTAL" hidden="1">"c5876"</definedName>
    <definedName name="IQ_HOME_SALES_NEW" hidden="1">"c6924"</definedName>
    <definedName name="IQ_HOME_SALES_NEW_APR" hidden="1">"c7584"</definedName>
    <definedName name="IQ_HOME_SALES_NEW_APR_FC" hidden="1">"c8464"</definedName>
    <definedName name="IQ_HOME_SALES_NEW_FC" hidden="1">"c7804"</definedName>
    <definedName name="IQ_HOME_SALES_NEW_POP" hidden="1">"c7144"</definedName>
    <definedName name="IQ_HOME_SALES_NEW_POP_FC" hidden="1">"c8024"</definedName>
    <definedName name="IQ_HOME_SALES_NEW_YOY" hidden="1">"c7364"</definedName>
    <definedName name="IQ_HOME_SALES_NEW_YOY_FC" hidden="1">"c8244"</definedName>
    <definedName name="IQ_HOME_TOTAL_INV" hidden="1">"c5869"</definedName>
    <definedName name="IQ_HOME_WARRANTY_RES_BEG" hidden="1">"c5893"</definedName>
    <definedName name="IQ_HOME_WARRANTY_RES_END" hidden="1">"c5897"</definedName>
    <definedName name="IQ_HOME_WARRANTY_RES_ISS" hidden="1">"c5894"</definedName>
    <definedName name="IQ_HOME_WARRANTY_RES_OTHER" hidden="1">"c5896"</definedName>
    <definedName name="IQ_HOME_WARRANTY_RES_PAY" hidden="1">"c5895"</definedName>
    <definedName name="IQ_HOMEOWNERS_WRITTEN" hidden="1">"c546"</definedName>
    <definedName name="IQ_HOURLY_COMP" hidden="1">"c6879"</definedName>
    <definedName name="IQ_HOURLY_COMP_APR" hidden="1">"c7539"</definedName>
    <definedName name="IQ_HOURLY_COMP_APR_FC" hidden="1">"c8419"</definedName>
    <definedName name="IQ_HOURLY_COMP_FC" hidden="1">"c7759"</definedName>
    <definedName name="IQ_HOURLY_COMP_POP" hidden="1">"c7099"</definedName>
    <definedName name="IQ_HOURLY_COMP_POP_FC" hidden="1">"c7979"</definedName>
    <definedName name="IQ_HOURLY_COMP_YOY" hidden="1">"c7319"</definedName>
    <definedName name="IQ_HOURLY_COMP_YOY_FC" hidden="1">"c8199"</definedName>
    <definedName name="IQ_HOUSING_COMPLETIONS" hidden="1">"c6881"</definedName>
    <definedName name="IQ_HOUSING_COMPLETIONS_APR" hidden="1">"c7541"</definedName>
    <definedName name="IQ_HOUSING_COMPLETIONS_APR_FC" hidden="1">"c8421"</definedName>
    <definedName name="IQ_HOUSING_COMPLETIONS_FC" hidden="1">"c7761"</definedName>
    <definedName name="IQ_HOUSING_COMPLETIONS_POP" hidden="1">"c7101"</definedName>
    <definedName name="IQ_HOUSING_COMPLETIONS_POP_FC" hidden="1">"c7981"</definedName>
    <definedName name="IQ_HOUSING_COMPLETIONS_SINGLE_FAM_APR_FC_UNUSED" hidden="1">"c8422"</definedName>
    <definedName name="IQ_HOUSING_COMPLETIONS_SINGLE_FAM_APR_FC_UNUSED_UNUSED_UNUSED" hidden="1">"c8422"</definedName>
    <definedName name="IQ_HOUSING_COMPLETIONS_SINGLE_FAM_APR_UNUSED" hidden="1">"c7542"</definedName>
    <definedName name="IQ_HOUSING_COMPLETIONS_SINGLE_FAM_APR_UNUSED_UNUSED_UNUSED" hidden="1">"c7542"</definedName>
    <definedName name="IQ_HOUSING_COMPLETIONS_SINGLE_FAM_FC_UNUSED" hidden="1">"c7762"</definedName>
    <definedName name="IQ_HOUSING_COMPLETIONS_SINGLE_FAM_FC_UNUSED_UNUSED_UNUSED" hidden="1">"c7762"</definedName>
    <definedName name="IQ_HOUSING_COMPLETIONS_SINGLE_FAM_POP_FC_UNUSED" hidden="1">"c7982"</definedName>
    <definedName name="IQ_HOUSING_COMPLETIONS_SINGLE_FAM_POP_FC_UNUSED_UNUSED_UNUSED" hidden="1">"c7982"</definedName>
    <definedName name="IQ_HOUSING_COMPLETIONS_SINGLE_FAM_POP_UNUSED" hidden="1">"c7102"</definedName>
    <definedName name="IQ_HOUSING_COMPLETIONS_SINGLE_FAM_POP_UNUSED_UNUSED_UNUSED" hidden="1">"c7102"</definedName>
    <definedName name="IQ_HOUSING_COMPLETIONS_SINGLE_FAM_UNUSED" hidden="1">"c6882"</definedName>
    <definedName name="IQ_HOUSING_COMPLETIONS_SINGLE_FAM_UNUSED_UNUSED_UNUSED" hidden="1">"c6882"</definedName>
    <definedName name="IQ_HOUSING_COMPLETIONS_SINGLE_FAM_YOY_FC_UNUSED" hidden="1">"c8202"</definedName>
    <definedName name="IQ_HOUSING_COMPLETIONS_SINGLE_FAM_YOY_FC_UNUSED_UNUSED_UNUSED" hidden="1">"c8202"</definedName>
    <definedName name="IQ_HOUSING_COMPLETIONS_SINGLE_FAM_YOY_UNUSED" hidden="1">"c7322"</definedName>
    <definedName name="IQ_HOUSING_COMPLETIONS_SINGLE_FAM_YOY_UNUSED_UNUSED_UNUSED" hidden="1">"c7322"</definedName>
    <definedName name="IQ_HOUSING_COMPLETIONS_YOY" hidden="1">"c7321"</definedName>
    <definedName name="IQ_HOUSING_COMPLETIONS_YOY_FC" hidden="1">"c8201"</definedName>
    <definedName name="IQ_HOUSING_PERMITS" hidden="1">"c6883"</definedName>
    <definedName name="IQ_HOUSING_PERMITS_APR" hidden="1">"c7543"</definedName>
    <definedName name="IQ_HOUSING_PERMITS_APR_FC" hidden="1">"c8423"</definedName>
    <definedName name="IQ_HOUSING_PERMITS_FC" hidden="1">"c7763"</definedName>
    <definedName name="IQ_HOUSING_PERMITS_POP" hidden="1">"c7103"</definedName>
    <definedName name="IQ_HOUSING_PERMITS_POP_FC" hidden="1">"c7983"</definedName>
    <definedName name="IQ_HOUSING_PERMITS_YOY" hidden="1">"c7323"</definedName>
    <definedName name="IQ_HOUSING_PERMITS_YOY_FC" hidden="1">"c8203"</definedName>
    <definedName name="IQ_HOUSING_STARTS" hidden="1">"c6884"</definedName>
    <definedName name="IQ_HOUSING_STARTS_APR" hidden="1">"c7544"</definedName>
    <definedName name="IQ_HOUSING_STARTS_APR_FC" hidden="1">"c8424"</definedName>
    <definedName name="IQ_HOUSING_STARTS_FC" hidden="1">"c7764"</definedName>
    <definedName name="IQ_HOUSING_STARTS_POP" hidden="1">"c7104"</definedName>
    <definedName name="IQ_HOUSING_STARTS_POP_FC" hidden="1">"c7984"</definedName>
    <definedName name="IQ_HOUSING_STARTS_SAAR" hidden="1">"c6885"</definedName>
    <definedName name="IQ_HOUSING_STARTS_SAAR_APR" hidden="1">"c7545"</definedName>
    <definedName name="IQ_HOUSING_STARTS_SAAR_APR_FC" hidden="1">"c8425"</definedName>
    <definedName name="IQ_HOUSING_STARTS_SAAR_FC" hidden="1">"c7765"</definedName>
    <definedName name="IQ_HOUSING_STARTS_SAAR_POP" hidden="1">"c7105"</definedName>
    <definedName name="IQ_HOUSING_STARTS_SAAR_POP_FC" hidden="1">"c7985"</definedName>
    <definedName name="IQ_HOUSING_STARTS_SAAR_YOY" hidden="1">"c7325"</definedName>
    <definedName name="IQ_HOUSING_STARTS_SAAR_YOY_FC" hidden="1">"c8205"</definedName>
    <definedName name="IQ_HOUSING_STARTS_YOY" hidden="1">"c7324"</definedName>
    <definedName name="IQ_HOUSING_STARTS_YOY_FC" hidden="1">"c8204"</definedName>
    <definedName name="IQ_HRS_WORKED_FULL_PT" hidden="1">"c6880"</definedName>
    <definedName name="IQ_HRS_WORKED_FULL_PT_APR" hidden="1">"c7540"</definedName>
    <definedName name="IQ_HRS_WORKED_FULL_PT_APR_FC" hidden="1">"c8420"</definedName>
    <definedName name="IQ_HRS_WORKED_FULL_PT_FC" hidden="1">"c7760"</definedName>
    <definedName name="IQ_HRS_WORKED_FULL_PT_POP" hidden="1">"c7100"</definedName>
    <definedName name="IQ_HRS_WORKED_FULL_PT_POP_FC" hidden="1">"c7980"</definedName>
    <definedName name="IQ_HRS_WORKED_FULL_PT_YOY" hidden="1">"c7320"</definedName>
    <definedName name="IQ_HRS_WORKED_FULL_PT_YOY_FC" hidden="1">"c8200"</definedName>
    <definedName name="IQ_HTM_INVEST_SECURITIES_FFIEC" hidden="1">"c13455"</definedName>
    <definedName name="IQ_HTM_SECURITIES_TIER_1_FFIEC" hidden="1">"c13342"</definedName>
    <definedName name="IQ_HYBRID_CAPITAL" hidden="1">"c15245"</definedName>
    <definedName name="IQ_HYBRID_STRUCTURED_PRODUCTS_AVAIL_SALE_FFIEC" hidden="1">"c15265"</definedName>
    <definedName name="IQ_HYBRID_STRUCTURED_PRODUCTS_FFIEC" hidden="1">"c15262"</definedName>
    <definedName name="IQ_IB_ADVISORY_UNDERWRITING_FEES_FOREIGN_FFIEC" hidden="1">"c15378"</definedName>
    <definedName name="IQ_IBF_COMM_INDUST_LOANS_FFIEC" hidden="1">"c15298"</definedName>
    <definedName name="IQ_IBF_DEPOSIT_LIABILITIES_DUE_TO_BANKS_FFIEC" hidden="1">"c15300"</definedName>
    <definedName name="IQ_IM_AVG_REV_PER_CLICK" hidden="1">"c9991"</definedName>
    <definedName name="IQ_IM_NUMBER_PAGE_VIEWS" hidden="1">"c9993"</definedName>
    <definedName name="IQ_IM_NUMBER_PAID_CLICKS" hidden="1">"c9995"</definedName>
    <definedName name="IQ_IM_NUMBER_PAID_CLICKS_GROWTH" hidden="1">"c9996"</definedName>
    <definedName name="IQ_IM_PAGE_VIEWS_GROWTH" hidden="1">"c9994"</definedName>
    <definedName name="IQ_IM_REV_PER_PAGE_VIEW_GROWTH" hidden="1">"c9992"</definedName>
    <definedName name="IQ_IM_TRAFFIC_ACQUISITION_CHANGE" hidden="1">"c9998"</definedName>
    <definedName name="IQ_IM_TRAFFIC_ACQUISITION_COST_TO_AD_REV_RATIO" hidden="1">"c10000"</definedName>
    <definedName name="IQ_IM_TRAFFIC_ACQUISITION_COST_TO_TOTAL_REV_RATIO" hidden="1">"c9999"</definedName>
    <definedName name="IQ_IM_TRAFFIC_ACQUISITION_COSTS" hidden="1">"c9997"</definedName>
    <definedName name="IQ_IMPAIR_OIL" hidden="1">"c547"</definedName>
    <definedName name="IQ_IMPAIRED_LOANS" hidden="1">"c15250"</definedName>
    <definedName name="IQ_IMPAIRMENT_GW" hidden="1">"c548"</definedName>
    <definedName name="IQ_IMPAIRMENT_GW_SUPPLE" hidden="1">"c13811"</definedName>
    <definedName name="IQ_IMPORT_PRICE_INDEX" hidden="1">"c6886"</definedName>
    <definedName name="IQ_IMPORT_PRICE_INDEX_APR" hidden="1">"c7546"</definedName>
    <definedName name="IQ_IMPORT_PRICE_INDEX_APR_FC" hidden="1">"c8426"</definedName>
    <definedName name="IQ_IMPORT_PRICE_INDEX_FC" hidden="1">"c7766"</definedName>
    <definedName name="IQ_IMPORT_PRICE_INDEX_POP" hidden="1">"c7106"</definedName>
    <definedName name="IQ_IMPORT_PRICE_INDEX_POP_FC" hidden="1">"c7986"</definedName>
    <definedName name="IQ_IMPORT_PRICE_INDEX_YOY" hidden="1">"c7326"</definedName>
    <definedName name="IQ_IMPORT_PRICE_INDEX_YOY_FC" hidden="1">"c8206"</definedName>
    <definedName name="IQ_IMPORTS_GOODS" hidden="1">"c6887"</definedName>
    <definedName name="IQ_IMPORTS_GOODS_APR" hidden="1">"c7547"</definedName>
    <definedName name="IQ_IMPORTS_GOODS_APR_FC" hidden="1">"c8427"</definedName>
    <definedName name="IQ_IMPORTS_GOODS_FC" hidden="1">"c7767"</definedName>
    <definedName name="IQ_IMPORTS_GOODS_NONFACTOR_SERVICES" hidden="1">"c6888"</definedName>
    <definedName name="IQ_IMPORTS_GOODS_NONFACTOR_SERVICES_APR" hidden="1">"c7548"</definedName>
    <definedName name="IQ_IMPORTS_GOODS_NONFACTOR_SERVICES_APR_FC" hidden="1">"c8428"</definedName>
    <definedName name="IQ_IMPORTS_GOODS_NONFACTOR_SERVICES_FC" hidden="1">"c7768"</definedName>
    <definedName name="IQ_IMPORTS_GOODS_NONFACTOR_SERVICES_POP" hidden="1">"c7108"</definedName>
    <definedName name="IQ_IMPORTS_GOODS_NONFACTOR_SERVICES_POP_FC" hidden="1">"c7988"</definedName>
    <definedName name="IQ_IMPORTS_GOODS_NONFACTOR_SERVICES_YOY" hidden="1">"c7328"</definedName>
    <definedName name="IQ_IMPORTS_GOODS_NONFACTOR_SERVICES_YOY_FC" hidden="1">"c8208"</definedName>
    <definedName name="IQ_IMPORTS_GOODS_POP" hidden="1">"c7107"</definedName>
    <definedName name="IQ_IMPORTS_GOODS_POP_FC" hidden="1">"c7987"</definedName>
    <definedName name="IQ_IMPORTS_GOODS_REAL" hidden="1">"c11950"</definedName>
    <definedName name="IQ_IMPORTS_GOODS_REAL_APR" hidden="1">"c11953"</definedName>
    <definedName name="IQ_IMPORTS_GOODS_REAL_POP" hidden="1">"c11951"</definedName>
    <definedName name="IQ_IMPORTS_GOODS_REAL_SAAR_APR_FC_UNUSED" hidden="1">"c8523"</definedName>
    <definedName name="IQ_IMPORTS_GOODS_REAL_SAAR_APR_FC_UNUSED_UNUSED_UNUSED" hidden="1">"c8523"</definedName>
    <definedName name="IQ_IMPORTS_GOODS_REAL_SAAR_APR_UNUSED" hidden="1">"c7643"</definedName>
    <definedName name="IQ_IMPORTS_GOODS_REAL_SAAR_APR_UNUSED_UNUSED_UNUSED" hidden="1">"c7643"</definedName>
    <definedName name="IQ_IMPORTS_GOODS_REAL_SAAR_FC_UNUSED" hidden="1">"c7863"</definedName>
    <definedName name="IQ_IMPORTS_GOODS_REAL_SAAR_FC_UNUSED_UNUSED_UNUSED" hidden="1">"c7863"</definedName>
    <definedName name="IQ_IMPORTS_GOODS_REAL_SAAR_POP_FC_UNUSED" hidden="1">"c8083"</definedName>
    <definedName name="IQ_IMPORTS_GOODS_REAL_SAAR_POP_FC_UNUSED_UNUSED_UNUSED" hidden="1">"c8083"</definedName>
    <definedName name="IQ_IMPORTS_GOODS_REAL_SAAR_POP_UNUSED" hidden="1">"c7203"</definedName>
    <definedName name="IQ_IMPORTS_GOODS_REAL_SAAR_POP_UNUSED_UNUSED_UNUSED" hidden="1">"c7203"</definedName>
    <definedName name="IQ_IMPORTS_GOODS_REAL_SAAR_UNUSED" hidden="1">"c6983"</definedName>
    <definedName name="IQ_IMPORTS_GOODS_REAL_SAAR_UNUSED_UNUSED_UNUSED" hidden="1">"c6983"</definedName>
    <definedName name="IQ_IMPORTS_GOODS_REAL_SAAR_YOY_FC_UNUSED" hidden="1">"c8303"</definedName>
    <definedName name="IQ_IMPORTS_GOODS_REAL_SAAR_YOY_FC_UNUSED_UNUSED_UNUSED" hidden="1">"c8303"</definedName>
    <definedName name="IQ_IMPORTS_GOODS_REAL_SAAR_YOY_UNUSED" hidden="1">"c7423"</definedName>
    <definedName name="IQ_IMPORTS_GOODS_REAL_SAAR_YOY_UNUSED_UNUSED_UNUSED" hidden="1">"c7423"</definedName>
    <definedName name="IQ_IMPORTS_GOODS_REAL_YOY" hidden="1">"c11952"</definedName>
    <definedName name="IQ_IMPORTS_GOODS_SAAR" hidden="1">"c6891"</definedName>
    <definedName name="IQ_IMPORTS_GOODS_SAAR_APR" hidden="1">"c7551"</definedName>
    <definedName name="IQ_IMPORTS_GOODS_SAAR_APR_FC" hidden="1">"c8431"</definedName>
    <definedName name="IQ_IMPORTS_GOODS_SAAR_FC" hidden="1">"c7771"</definedName>
    <definedName name="IQ_IMPORTS_GOODS_SAAR_POP" hidden="1">"c7111"</definedName>
    <definedName name="IQ_IMPORTS_GOODS_SAAR_POP_FC" hidden="1">"c7991"</definedName>
    <definedName name="IQ_IMPORTS_GOODS_SAAR_USD_APR_FC" hidden="1">"c11849"</definedName>
    <definedName name="IQ_IMPORTS_GOODS_SAAR_USD_FC" hidden="1">"c11846"</definedName>
    <definedName name="IQ_IMPORTS_GOODS_SAAR_USD_POP_FC" hidden="1">"c11847"</definedName>
    <definedName name="IQ_IMPORTS_GOODS_SAAR_USD_YOY_FC" hidden="1">"c11848"</definedName>
    <definedName name="IQ_IMPORTS_GOODS_SAAR_YOY" hidden="1">"c7331"</definedName>
    <definedName name="IQ_IMPORTS_GOODS_SAAR_YOY_FC" hidden="1">"c8211"</definedName>
    <definedName name="IQ_IMPORTS_GOODS_SERVICES_APR_FC_UNUSED" hidden="1">"c8429"</definedName>
    <definedName name="IQ_IMPORTS_GOODS_SERVICES_APR_FC_UNUSED_UNUSED_UNUSED" hidden="1">"c8429"</definedName>
    <definedName name="IQ_IMPORTS_GOODS_SERVICES_APR_UNUSED" hidden="1">"c7549"</definedName>
    <definedName name="IQ_IMPORTS_GOODS_SERVICES_APR_UNUSED_UNUSED_UNUSED" hidden="1">"c7549"</definedName>
    <definedName name="IQ_IMPORTS_GOODS_SERVICES_FC_UNUSED" hidden="1">"c7769"</definedName>
    <definedName name="IQ_IMPORTS_GOODS_SERVICES_FC_UNUSED_UNUSED_UNUSED" hidden="1">"c7769"</definedName>
    <definedName name="IQ_IMPORTS_GOODS_SERVICES_POP_FC_UNUSED" hidden="1">"c7989"</definedName>
    <definedName name="IQ_IMPORTS_GOODS_SERVICES_POP_FC_UNUSED_UNUSED_UNUSED" hidden="1">"c7989"</definedName>
    <definedName name="IQ_IMPORTS_GOODS_SERVICES_POP_UNUSED" hidden="1">"c7109"</definedName>
    <definedName name="IQ_IMPORTS_GOODS_SERVICES_POP_UNUSED_UNUSED_UNUSED" hidden="1">"c7109"</definedName>
    <definedName name="IQ_IMPORTS_GOODS_SERVICES_REAL" hidden="1">"c6985"</definedName>
    <definedName name="IQ_IMPORTS_GOODS_SERVICES_REAL_APR" hidden="1">"c7645"</definedName>
    <definedName name="IQ_IMPORTS_GOODS_SERVICES_REAL_APR_FC" hidden="1">"c8525"</definedName>
    <definedName name="IQ_IMPORTS_GOODS_SERVICES_REAL_FC" hidden="1">"c7865"</definedName>
    <definedName name="IQ_IMPORTS_GOODS_SERVICES_REAL_POP" hidden="1">"c7205"</definedName>
    <definedName name="IQ_IMPORTS_GOODS_SERVICES_REAL_POP_FC" hidden="1">"c8085"</definedName>
    <definedName name="IQ_IMPORTS_GOODS_SERVICES_REAL_SAAR" hidden="1">"c11958"</definedName>
    <definedName name="IQ_IMPORTS_GOODS_SERVICES_REAL_SAAR_APR" hidden="1">"c11961"</definedName>
    <definedName name="IQ_IMPORTS_GOODS_SERVICES_REAL_SAAR_APR_FC_UNUSED" hidden="1">"c8524"</definedName>
    <definedName name="IQ_IMPORTS_GOODS_SERVICES_REAL_SAAR_APR_FC_UNUSED_UNUSED_UNUSED" hidden="1">"c8524"</definedName>
    <definedName name="IQ_IMPORTS_GOODS_SERVICES_REAL_SAAR_APR_UNUSED" hidden="1">"c7644"</definedName>
    <definedName name="IQ_IMPORTS_GOODS_SERVICES_REAL_SAAR_APR_UNUSED_UNUSED_UNUSED" hidden="1">"c7644"</definedName>
    <definedName name="IQ_IMPORTS_GOODS_SERVICES_REAL_SAAR_FC_UNUSED" hidden="1">"c7864"</definedName>
    <definedName name="IQ_IMPORTS_GOODS_SERVICES_REAL_SAAR_FC_UNUSED_UNUSED_UNUSED" hidden="1">"c7864"</definedName>
    <definedName name="IQ_IMPORTS_GOODS_SERVICES_REAL_SAAR_POP" hidden="1">"c11959"</definedName>
    <definedName name="IQ_IMPORTS_GOODS_SERVICES_REAL_SAAR_POP_FC_UNUSED" hidden="1">"c8084"</definedName>
    <definedName name="IQ_IMPORTS_GOODS_SERVICES_REAL_SAAR_POP_FC_UNUSED_UNUSED_UNUSED" hidden="1">"c8084"</definedName>
    <definedName name="IQ_IMPORTS_GOODS_SERVICES_REAL_SAAR_POP_UNUSED" hidden="1">"c7204"</definedName>
    <definedName name="IQ_IMPORTS_GOODS_SERVICES_REAL_SAAR_POP_UNUSED_UNUSED_UNUSED" hidden="1">"c7204"</definedName>
    <definedName name="IQ_IMPORTS_GOODS_SERVICES_REAL_SAAR_UNUSED" hidden="1">"c6984"</definedName>
    <definedName name="IQ_IMPORTS_GOODS_SERVICES_REAL_SAAR_UNUSED_UNUSED_UNUSED" hidden="1">"c6984"</definedName>
    <definedName name="IQ_IMPORTS_GOODS_SERVICES_REAL_SAAR_USD" hidden="1">"c11962"</definedName>
    <definedName name="IQ_IMPORTS_GOODS_SERVICES_REAL_SAAR_USD_APR" hidden="1">"c11965"</definedName>
    <definedName name="IQ_IMPORTS_GOODS_SERVICES_REAL_SAAR_USD_APR_FC" hidden="1">"c11969"</definedName>
    <definedName name="IQ_IMPORTS_GOODS_SERVICES_REAL_SAAR_USD_FC" hidden="1">"c11966"</definedName>
    <definedName name="IQ_IMPORTS_GOODS_SERVICES_REAL_SAAR_USD_POP" hidden="1">"c11963"</definedName>
    <definedName name="IQ_IMPORTS_GOODS_SERVICES_REAL_SAAR_USD_POP_FC" hidden="1">"c11967"</definedName>
    <definedName name="IQ_IMPORTS_GOODS_SERVICES_REAL_SAAR_USD_YOY" hidden="1">"c11964"</definedName>
    <definedName name="IQ_IMPORTS_GOODS_SERVICES_REAL_SAAR_USD_YOY_FC" hidden="1">"c11968"</definedName>
    <definedName name="IQ_IMPORTS_GOODS_SERVICES_REAL_SAAR_YOY" hidden="1">"c11960"</definedName>
    <definedName name="IQ_IMPORTS_GOODS_SERVICES_REAL_SAAR_YOY_FC_UNUSED" hidden="1">"c8304"</definedName>
    <definedName name="IQ_IMPORTS_GOODS_SERVICES_REAL_SAAR_YOY_FC_UNUSED_UNUSED_UNUSED" hidden="1">"c8304"</definedName>
    <definedName name="IQ_IMPORTS_GOODS_SERVICES_REAL_SAAR_YOY_UNUSED" hidden="1">"c7424"</definedName>
    <definedName name="IQ_IMPORTS_GOODS_SERVICES_REAL_SAAR_YOY_UNUSED_UNUSED_UNUSED" hidden="1">"c7424"</definedName>
    <definedName name="IQ_IMPORTS_GOODS_SERVICES_REAL_USD" hidden="1">"c11954"</definedName>
    <definedName name="IQ_IMPORTS_GOODS_SERVICES_REAL_USD_APR" hidden="1">"c11957"</definedName>
    <definedName name="IQ_IMPORTS_GOODS_SERVICES_REAL_USD_POP" hidden="1">"c11955"</definedName>
    <definedName name="IQ_IMPORTS_GOODS_SERVICES_REAL_USD_YOY" hidden="1">"c11956"</definedName>
    <definedName name="IQ_IMPORTS_GOODS_SERVICES_REAL_YOY" hidden="1">"c7425"</definedName>
    <definedName name="IQ_IMPORTS_GOODS_SERVICES_REAL_YOY_FC" hidden="1">"c8305"</definedName>
    <definedName name="IQ_IMPORTS_GOODS_SERVICES_SAAR" hidden="1">"c6890"</definedName>
    <definedName name="IQ_IMPORTS_GOODS_SERVICES_SAAR_APR" hidden="1">"c7550"</definedName>
    <definedName name="IQ_IMPORTS_GOODS_SERVICES_SAAR_APR_FC" hidden="1">"c8430"</definedName>
    <definedName name="IQ_IMPORTS_GOODS_SERVICES_SAAR_FC" hidden="1">"c7770"</definedName>
    <definedName name="IQ_IMPORTS_GOODS_SERVICES_SAAR_POP" hidden="1">"c7110"</definedName>
    <definedName name="IQ_IMPORTS_GOODS_SERVICES_SAAR_POP_FC" hidden="1">"c7990"</definedName>
    <definedName name="IQ_IMPORTS_GOODS_SERVICES_SAAR_YOY" hidden="1">"c7330"</definedName>
    <definedName name="IQ_IMPORTS_GOODS_SERVICES_SAAR_YOY_FC" hidden="1">"c8210"</definedName>
    <definedName name="IQ_IMPORTS_GOODS_SERVICES_UNUSED" hidden="1">"c6889"</definedName>
    <definedName name="IQ_IMPORTS_GOODS_SERVICES_UNUSED_UNUSED_UNUSED" hidden="1">"c6889"</definedName>
    <definedName name="IQ_IMPORTS_GOODS_SERVICES_USD" hidden="1">"c11842"</definedName>
    <definedName name="IQ_IMPORTS_GOODS_SERVICES_USD_APR" hidden="1">"c11845"</definedName>
    <definedName name="IQ_IMPORTS_GOODS_SERVICES_USD_POP" hidden="1">"c11843"</definedName>
    <definedName name="IQ_IMPORTS_GOODS_SERVICES_USD_YOY" hidden="1">"c11844"</definedName>
    <definedName name="IQ_IMPORTS_GOODS_SERVICES_YOY_FC_UNUSED" hidden="1">"c8209"</definedName>
    <definedName name="IQ_IMPORTS_GOODS_SERVICES_YOY_FC_UNUSED_UNUSED_UNUSED" hidden="1">"c8209"</definedName>
    <definedName name="IQ_IMPORTS_GOODS_SERVICES_YOY_UNUSED" hidden="1">"c7329"</definedName>
    <definedName name="IQ_IMPORTS_GOODS_SERVICES_YOY_UNUSED_UNUSED_UNUSED" hidden="1">"c7329"</definedName>
    <definedName name="IQ_IMPORTS_GOODS_USD_APR_FC" hidden="1">"c11841"</definedName>
    <definedName name="IQ_IMPORTS_GOODS_USD_FC" hidden="1">"c11838"</definedName>
    <definedName name="IQ_IMPORTS_GOODS_USD_POP_FC" hidden="1">"c11839"</definedName>
    <definedName name="IQ_IMPORTS_GOODS_USD_YOY_FC" hidden="1">"c11840"</definedName>
    <definedName name="IQ_IMPORTS_GOODS_YOY" hidden="1">"c7327"</definedName>
    <definedName name="IQ_IMPORTS_GOODS_YOY_FC" hidden="1">"c8207"</definedName>
    <definedName name="IQ_IMPORTS_NONFACTOR_SERVICES" hidden="1">"c6892"</definedName>
    <definedName name="IQ_IMPORTS_NONFACTOR_SERVICES_APR" hidden="1">"c7552"</definedName>
    <definedName name="IQ_IMPORTS_NONFACTOR_SERVICES_APR_FC" hidden="1">"c8432"</definedName>
    <definedName name="IQ_IMPORTS_NONFACTOR_SERVICES_FC" hidden="1">"c7772"</definedName>
    <definedName name="IQ_IMPORTS_NONFACTOR_SERVICES_POP" hidden="1">"c7112"</definedName>
    <definedName name="IQ_IMPORTS_NONFACTOR_SERVICES_POP_FC" hidden="1">"c7992"</definedName>
    <definedName name="IQ_IMPORTS_NONFACTOR_SERVICES_SAAR" hidden="1">"c6893"</definedName>
    <definedName name="IQ_IMPORTS_NONFACTOR_SERVICES_SAAR_APR" hidden="1">"c7553"</definedName>
    <definedName name="IQ_IMPORTS_NONFACTOR_SERVICES_SAAR_APR_FC" hidden="1">"c8433"</definedName>
    <definedName name="IQ_IMPORTS_NONFACTOR_SERVICES_SAAR_FC" hidden="1">"c7773"</definedName>
    <definedName name="IQ_IMPORTS_NONFACTOR_SERVICES_SAAR_POP" hidden="1">"c7113"</definedName>
    <definedName name="IQ_IMPORTS_NONFACTOR_SERVICES_SAAR_POP_FC" hidden="1">"c7993"</definedName>
    <definedName name="IQ_IMPORTS_NONFACTOR_SERVICES_SAAR_USD_APR_FC" hidden="1">"c11857"</definedName>
    <definedName name="IQ_IMPORTS_NONFACTOR_SERVICES_SAAR_USD_FC" hidden="1">"c11854"</definedName>
    <definedName name="IQ_IMPORTS_NONFACTOR_SERVICES_SAAR_USD_POP_FC" hidden="1">"c11855"</definedName>
    <definedName name="IQ_IMPORTS_NONFACTOR_SERVICES_SAAR_USD_YOY_FC" hidden="1">"c11856"</definedName>
    <definedName name="IQ_IMPORTS_NONFACTOR_SERVICES_SAAR_YOY" hidden="1">"c7333"</definedName>
    <definedName name="IQ_IMPORTS_NONFACTOR_SERVICES_SAAR_YOY_FC" hidden="1">"c8213"</definedName>
    <definedName name="IQ_IMPORTS_NONFACTOR_SERVICES_USD_APR_FC" hidden="1">"c11853"</definedName>
    <definedName name="IQ_IMPORTS_NONFACTOR_SERVICES_USD_FC" hidden="1">"c11850"</definedName>
    <definedName name="IQ_IMPORTS_NONFACTOR_SERVICES_USD_POP_FC" hidden="1">"c11851"</definedName>
    <definedName name="IQ_IMPORTS_NONFACTOR_SERVICES_USD_YOY_FC" hidden="1">"c11852"</definedName>
    <definedName name="IQ_IMPORTS_NONFACTOR_SERVICES_YOY" hidden="1">"c7332"</definedName>
    <definedName name="IQ_IMPORTS_NONFACTOR_SERVICES_YOY_FC" hidden="1">"c8212"</definedName>
    <definedName name="IQ_IMPORTS_SERVICES" hidden="1">"c11858"</definedName>
    <definedName name="IQ_IMPORTS_SERVICES_APR" hidden="1">"c11861"</definedName>
    <definedName name="IQ_IMPORTS_SERVICES_POP" hidden="1">"c11859"</definedName>
    <definedName name="IQ_IMPORTS_SERVICES_REAL" hidden="1">"c6986"</definedName>
    <definedName name="IQ_IMPORTS_SERVICES_REAL_APR" hidden="1">"c7646"</definedName>
    <definedName name="IQ_IMPORTS_SERVICES_REAL_APR_FC" hidden="1">"c8526"</definedName>
    <definedName name="IQ_IMPORTS_SERVICES_REAL_FC" hidden="1">"c7866"</definedName>
    <definedName name="IQ_IMPORTS_SERVICES_REAL_POP" hidden="1">"c7206"</definedName>
    <definedName name="IQ_IMPORTS_SERVICES_REAL_POP_FC" hidden="1">"c8086"</definedName>
    <definedName name="IQ_IMPORTS_SERVICES_REAL_YOY" hidden="1">"c7426"</definedName>
    <definedName name="IQ_IMPORTS_SERVICES_REAL_YOY_FC" hidden="1">"c8306"</definedName>
    <definedName name="IQ_IMPORTS_SERVICES_YOY" hidden="1">"c11860"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"c789"</definedName>
    <definedName name="IQ_INC_AVAIL_INCL" hidden="1">"c791"</definedName>
    <definedName name="IQ_INC_BEFORE_TAX" hidden="1">"c386"</definedName>
    <definedName name="IQ_INC_DOM_LOANS_FFIEC" hidden="1">"c12975"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" hidden="1">"c6222"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CHECKS_FFIEC" hidden="1">"c13040"</definedName>
    <definedName name="IQ_INCOME_EARNED_FDIC" hidden="1">"c6359"</definedName>
    <definedName name="IQ_INCOME_FIDUCIARY_ACTIVITIES_FFIEC" hidden="1">"c13002"</definedName>
    <definedName name="IQ_INCOME_LEASE_FINANCING_REC_FFIEC" hidden="1">"c12980"</definedName>
    <definedName name="IQ_INCOME_LOANS_LEASES_TAX_EXEMPT_FFIEC" hidden="1">"c13038"</definedName>
    <definedName name="IQ_INCOME_OTHER_INSURANCE_ACTIVITIES_FFIEC" hidden="1">"c13009"</definedName>
    <definedName name="IQ_INCOME_SALE_MUTUAL_FUNDS_DOM_FFIEC" hidden="1">"c13069"</definedName>
    <definedName name="IQ_INCOME_SECURITIES_TAX_EXEMPT_FFIEC" hidden="1">"c13039"</definedName>
    <definedName name="IQ_INCOME_TAX_FOREIGN_FFIEC" hidden="1">"c15391"</definedName>
    <definedName name="IQ_INCOME_TAXES_FDIC" hidden="1">"c6582"</definedName>
    <definedName name="IQ_INCOME_TAXES_FFIEC" hidden="1">"c13030"</definedName>
    <definedName name="IQ_INCREASE_INT_INCOME_FFIEC" hidden="1">"c13063"</definedName>
    <definedName name="IQ_INDEX_CURRENCY" hidden="1">"c15224"</definedName>
    <definedName name="IQ_INDEX_LEADING_IND" hidden="1">"c6894"</definedName>
    <definedName name="IQ_INDEX_LEADING_IND_APR" hidden="1">"c7554"</definedName>
    <definedName name="IQ_INDEX_LEADING_IND_APR_FC" hidden="1">"c8434"</definedName>
    <definedName name="IQ_INDEX_LEADING_IND_FC" hidden="1">"c7774"</definedName>
    <definedName name="IQ_INDEX_LEADING_IND_POP" hidden="1">"c7114"</definedName>
    <definedName name="IQ_INDEX_LEADING_IND_POP_FC" hidden="1">"c7994"</definedName>
    <definedName name="IQ_INDEX_LEADING_IND_YOY" hidden="1">"c7334"</definedName>
    <definedName name="IQ_INDEX_LEADING_IND_YOY_FC" hidden="1">"c8214"</definedName>
    <definedName name="IQ_INDEX_TYPE" hidden="1">"c15223"</definedName>
    <definedName name="IQ_INDICATED_ATTRIB_ORE_RESOURCES_ALUM" hidden="1">"c9238"</definedName>
    <definedName name="IQ_INDICATED_ATTRIB_ORE_RESOURCES_COP" hidden="1">"c9182"</definedName>
    <definedName name="IQ_INDICATED_ATTRIB_ORE_RESOURCES_DIAM" hidden="1">"c9662"</definedName>
    <definedName name="IQ_INDICATED_ATTRIB_ORE_RESOURCES_GOLD" hidden="1">"c9023"</definedName>
    <definedName name="IQ_INDICATED_ATTRIB_ORE_RESOURCES_IRON" hidden="1">"c9397"</definedName>
    <definedName name="IQ_INDICATED_ATTRIB_ORE_RESOURCES_LEAD" hidden="1">"c9450"</definedName>
    <definedName name="IQ_INDICATED_ATTRIB_ORE_RESOURCES_MANG" hidden="1">"c9503"</definedName>
    <definedName name="IQ_INDICATED_ATTRIB_ORE_RESOURCES_MOLYB" hidden="1">"c9715"</definedName>
    <definedName name="IQ_INDICATED_ATTRIB_ORE_RESOURCES_NICK" hidden="1">"c9291"</definedName>
    <definedName name="IQ_INDICATED_ATTRIB_ORE_RESOURCES_PLAT" hidden="1">"c9129"</definedName>
    <definedName name="IQ_INDICATED_ATTRIB_ORE_RESOURCES_SILVER" hidden="1">"c9076"</definedName>
    <definedName name="IQ_INDICATED_ATTRIB_ORE_RESOURCES_TITAN" hidden="1">"c9556"</definedName>
    <definedName name="IQ_INDICATED_ATTRIB_ORE_RESOURCES_URAN" hidden="1">"c9609"</definedName>
    <definedName name="IQ_INDICATED_ATTRIB_ORE_RESOURCES_ZINC" hidden="1">"c9344"</definedName>
    <definedName name="IQ_INDICATED_ORE_RESOURCES_ALUM" hidden="1">"c9224"</definedName>
    <definedName name="IQ_INDICATED_ORE_RESOURCES_COP" hidden="1">"c9168"</definedName>
    <definedName name="IQ_INDICATED_ORE_RESOURCES_DIAM" hidden="1">"c9648"</definedName>
    <definedName name="IQ_INDICATED_ORE_RESOURCES_GOLD" hidden="1">"c9009"</definedName>
    <definedName name="IQ_INDICATED_ORE_RESOURCES_IRON" hidden="1">"c9383"</definedName>
    <definedName name="IQ_INDICATED_ORE_RESOURCES_LEAD" hidden="1">"c9436"</definedName>
    <definedName name="IQ_INDICATED_ORE_RESOURCES_MANG" hidden="1">"c9489"</definedName>
    <definedName name="IQ_INDICATED_ORE_RESOURCES_MOLYB" hidden="1">"c9701"</definedName>
    <definedName name="IQ_INDICATED_ORE_RESOURCES_NICK" hidden="1">"c9277"</definedName>
    <definedName name="IQ_INDICATED_ORE_RESOURCES_PLAT" hidden="1">"c9115"</definedName>
    <definedName name="IQ_INDICATED_ORE_RESOURCES_SILVER" hidden="1">"c9062"</definedName>
    <definedName name="IQ_INDICATED_ORE_RESOURCES_TITAN" hidden="1">"c9542"</definedName>
    <definedName name="IQ_INDICATED_ORE_RESOURCES_URAN" hidden="1">"c9595"</definedName>
    <definedName name="IQ_INDICATED_ORE_RESOURCES_ZINC" hidden="1">"c9330"</definedName>
    <definedName name="IQ_INDICATED_RECOV_ATTRIB_RESOURCES_ALUM" hidden="1">"c9243"</definedName>
    <definedName name="IQ_INDICATED_RECOV_ATTRIB_RESOURCES_COAL" hidden="1">"c9817"</definedName>
    <definedName name="IQ_INDICATED_RECOV_ATTRIB_RESOURCES_COP" hidden="1">"c9187"</definedName>
    <definedName name="IQ_INDICATED_RECOV_ATTRIB_RESOURCES_DIAM" hidden="1">"c9667"</definedName>
    <definedName name="IQ_INDICATED_RECOV_ATTRIB_RESOURCES_GOLD" hidden="1">"c9028"</definedName>
    <definedName name="IQ_INDICATED_RECOV_ATTRIB_RESOURCES_IRON" hidden="1">"c9402"</definedName>
    <definedName name="IQ_INDICATED_RECOV_ATTRIB_RESOURCES_LEAD" hidden="1">"c9455"</definedName>
    <definedName name="IQ_INDICATED_RECOV_ATTRIB_RESOURCES_MANG" hidden="1">"c9508"</definedName>
    <definedName name="IQ_INDICATED_RECOV_ATTRIB_RESOURCES_MET_COAL" hidden="1">"c9757"</definedName>
    <definedName name="IQ_INDICATED_RECOV_ATTRIB_RESOURCES_MOLYB" hidden="1">"c9720"</definedName>
    <definedName name="IQ_INDICATED_RECOV_ATTRIB_RESOURCES_NICK" hidden="1">"c9296"</definedName>
    <definedName name="IQ_INDICATED_RECOV_ATTRIB_RESOURCES_PLAT" hidden="1">"c9134"</definedName>
    <definedName name="IQ_INDICATED_RECOV_ATTRIB_RESOURCES_SILVER" hidden="1">"c9081"</definedName>
    <definedName name="IQ_INDICATED_RECOV_ATTRIB_RESOURCES_STEAM" hidden="1">"c9787"</definedName>
    <definedName name="IQ_INDICATED_RECOV_ATTRIB_RESOURCES_TITAN" hidden="1">"c9561"</definedName>
    <definedName name="IQ_INDICATED_RECOV_ATTRIB_RESOURCES_URAN" hidden="1">"c9614"</definedName>
    <definedName name="IQ_INDICATED_RECOV_ATTRIB_RESOURCES_ZINC" hidden="1">"c9349"</definedName>
    <definedName name="IQ_INDICATED_RECOV_RESOURCES_ALUM" hidden="1">"c9233"</definedName>
    <definedName name="IQ_INDICATED_RECOV_RESOURCES_COAL" hidden="1">"c9812"</definedName>
    <definedName name="IQ_INDICATED_RECOV_RESOURCES_COP" hidden="1">"c9177"</definedName>
    <definedName name="IQ_INDICATED_RECOV_RESOURCES_DIAM" hidden="1">"c9657"</definedName>
    <definedName name="IQ_INDICATED_RECOV_RESOURCES_GOLD" hidden="1">"c9018"</definedName>
    <definedName name="IQ_INDICATED_RECOV_RESOURCES_IRON" hidden="1">"c9392"</definedName>
    <definedName name="IQ_INDICATED_RECOV_RESOURCES_LEAD" hidden="1">"c9445"</definedName>
    <definedName name="IQ_INDICATED_RECOV_RESOURCES_MANG" hidden="1">"c9498"</definedName>
    <definedName name="IQ_INDICATED_RECOV_RESOURCES_MET_COAL" hidden="1">"c9752"</definedName>
    <definedName name="IQ_INDICATED_RECOV_RESOURCES_MOLYB" hidden="1">"c9710"</definedName>
    <definedName name="IQ_INDICATED_RECOV_RESOURCES_NICK" hidden="1">"c9286"</definedName>
    <definedName name="IQ_INDICATED_RECOV_RESOURCES_PLAT" hidden="1">"c9124"</definedName>
    <definedName name="IQ_INDICATED_RECOV_RESOURCES_SILVER" hidden="1">"c9071"</definedName>
    <definedName name="IQ_INDICATED_RECOV_RESOURCES_STEAM" hidden="1">"c9782"</definedName>
    <definedName name="IQ_INDICATED_RECOV_RESOURCES_TITAN" hidden="1">"c9551"</definedName>
    <definedName name="IQ_INDICATED_RECOV_RESOURCES_URAN" hidden="1">"c9604"</definedName>
    <definedName name="IQ_INDICATED_RECOV_RESOURCES_ZINC" hidden="1">"c9339"</definedName>
    <definedName name="IQ_INDICATED_RESOURCES_CALORIFIC_VALUE_COAL" hidden="1">"c9807"</definedName>
    <definedName name="IQ_INDICATED_RESOURCES_CALORIFIC_VALUE_MET_COAL" hidden="1">"c9747"</definedName>
    <definedName name="IQ_INDICATED_RESOURCES_CALORIFIC_VALUE_STEAM" hidden="1">"c9777"</definedName>
    <definedName name="IQ_INDICATED_RESOURCES_GRADE_ALUM" hidden="1">"c9225"</definedName>
    <definedName name="IQ_INDICATED_RESOURCES_GRADE_COP" hidden="1">"c9169"</definedName>
    <definedName name="IQ_INDICATED_RESOURCES_GRADE_DIAM" hidden="1">"c9649"</definedName>
    <definedName name="IQ_INDICATED_RESOURCES_GRADE_GOLD" hidden="1">"c9010"</definedName>
    <definedName name="IQ_INDICATED_RESOURCES_GRADE_IRON" hidden="1">"c9384"</definedName>
    <definedName name="IQ_INDICATED_RESOURCES_GRADE_LEAD" hidden="1">"c9437"</definedName>
    <definedName name="IQ_INDICATED_RESOURCES_GRADE_MANG" hidden="1">"c9490"</definedName>
    <definedName name="IQ_INDICATED_RESOURCES_GRADE_MOLYB" hidden="1">"c9702"</definedName>
    <definedName name="IQ_INDICATED_RESOURCES_GRADE_NICK" hidden="1">"c9278"</definedName>
    <definedName name="IQ_INDICATED_RESOURCES_GRADE_PLAT" hidden="1">"c9116"</definedName>
    <definedName name="IQ_INDICATED_RESOURCES_GRADE_SILVER" hidden="1">"c9063"</definedName>
    <definedName name="IQ_INDICATED_RESOURCES_GRADE_TITAN" hidden="1">"c9543"</definedName>
    <definedName name="IQ_INDICATED_RESOURCES_GRADE_URAN" hidden="1">"c9596"</definedName>
    <definedName name="IQ_INDICATED_RESOURCES_GRADE_ZINC" hidden="1">"c9331"</definedName>
    <definedName name="IQ_INDIVIDUAL" hidden="1">"c15182"</definedName>
    <definedName name="IQ_INDIVIDUAL_ACTIVE_BOARD_MEMBERSHIPS" hidden="1">"c15201"</definedName>
    <definedName name="IQ_INDIVIDUAL_ACTIVE_PRO_AFFILIATIONS" hidden="1">"c15199"</definedName>
    <definedName name="IQ_INDIVIDUAL_AGE" hidden="1">"c15191"</definedName>
    <definedName name="IQ_INDIVIDUAL_ASSISTANT_EMAIL" hidden="1">"c15206"</definedName>
    <definedName name="IQ_INDIVIDUAL_ASSISTANT_FAX" hidden="1">"c15208"</definedName>
    <definedName name="IQ_INDIVIDUAL_ASSISTANT_NAME" hidden="1">"c15205"</definedName>
    <definedName name="IQ_INDIVIDUAL_ASSISTANT_PHONE" hidden="1">"c15207"</definedName>
    <definedName name="IQ_INDIVIDUAL_BACKGROUND" hidden="1">"c15184"</definedName>
    <definedName name="IQ_INDIVIDUAL_DIRECT_FAX" hidden="1">"c15189"</definedName>
    <definedName name="IQ_INDIVIDUAL_DIRECT_PHONE" hidden="1">"c15188"</definedName>
    <definedName name="IQ_INDIVIDUAL_EDUCATION" hidden="1">"c15203"</definedName>
    <definedName name="IQ_INDIVIDUAL_EMAIL" hidden="1">"c15193"</definedName>
    <definedName name="IQ_INDIVIDUAL_FAMILY_LOAN_DOM_QUARTERLY_AVG_FFIEC" hidden="1">"c15479"</definedName>
    <definedName name="IQ_INDIVIDUAL_HOME_ADDRESS" hidden="1">"c15194"</definedName>
    <definedName name="IQ_INDIVIDUAL_HOME_FAX" hidden="1">"c15196"</definedName>
    <definedName name="IQ_INDIVIDUAL_HOME_PHONE" hidden="1">"c15195"</definedName>
    <definedName name="IQ_INDIVIDUAL_MAIN_FAX" hidden="1">"c15187"</definedName>
    <definedName name="IQ_INDIVIDUAL_MAIN_PHONE" hidden="1">"c15186"</definedName>
    <definedName name="IQ_INDIVIDUAL_MOBILE" hidden="1">"c15198"</definedName>
    <definedName name="IQ_INDIVIDUAL_NICKNAME" hidden="1">"c15192"</definedName>
    <definedName name="IQ_INDIVIDUAL_NOTES" hidden="1">"c15204"</definedName>
    <definedName name="IQ_INDIVIDUAL_OFFICE_ADDRESS" hidden="1">"c15185"</definedName>
    <definedName name="IQ_INDIVIDUAL_OTHER_PHONE" hidden="1">"c15197"</definedName>
    <definedName name="IQ_INDIVIDUAL_PARTNER_CORP_NON_TRANS_ACCTS_FFIEC" hidden="1">"c15322"</definedName>
    <definedName name="IQ_INDIVIDUAL_PARTNER_CORP_TRANS_ACCTS_FFIEC" hidden="1">"c15314"</definedName>
    <definedName name="IQ_INDIVIDUAL_PARTNER_CORPS_FOREIGN_DEP_FFIEC" hidden="1">"c15342"</definedName>
    <definedName name="IQ_INDIVIDUAL_PRIOR_BOARD_MEMBERSHIPS" hidden="1">"c15202"</definedName>
    <definedName name="IQ_INDIVIDUAL_PRIOR_PRO_AFFILIATIONS" hidden="1">"c15200"</definedName>
    <definedName name="IQ_INDIVIDUAL_SPECIALTY" hidden="1">"c15190"</definedName>
    <definedName name="IQ_INDIVIDUAL_TITLE" hidden="1">"c15183"</definedName>
    <definedName name="IQ_INDIVIDUALS_CHARGE_OFFS_FDIC" hidden="1">"c6599"</definedName>
    <definedName name="IQ_INDIVIDUALS_GROSS_LOANS_FFIEC" hidden="1">"c13411"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DIVIDUALS_RISK_BASED_FFIEC" hidden="1">"c13432"</definedName>
    <definedName name="IQ_INDUSTRIAL_PROD" hidden="1">"c6895"</definedName>
    <definedName name="IQ_INDUSTRIAL_PROD_APR" hidden="1">"c7555"</definedName>
    <definedName name="IQ_INDUSTRIAL_PROD_APR_FC" hidden="1">"c8435"</definedName>
    <definedName name="IQ_INDUSTRIAL_PROD_FC" hidden="1">"c7775"</definedName>
    <definedName name="IQ_INDUSTRIAL_PROD_POP" hidden="1">"c7115"</definedName>
    <definedName name="IQ_INDUSTRIAL_PROD_POP_FC" hidden="1">"c7995"</definedName>
    <definedName name="IQ_INDUSTRIAL_PROD_YOY" hidden="1">"c7335"</definedName>
    <definedName name="IQ_INDUSTRIAL_PROD_YOY_FC" hidden="1">"c8215"</definedName>
    <definedName name="IQ_INDUSTRY" hidden="1">"c3601"</definedName>
    <definedName name="IQ_INDUSTRY_GROUP" hidden="1">"c3602"</definedName>
    <definedName name="IQ_INDUSTRY_SECTOR" hidden="1">"c3603"</definedName>
    <definedName name="IQ_INFERRED_ATTRIB_ORE_RESOURCES_ALUM" hidden="1">"c9240"</definedName>
    <definedName name="IQ_INFERRED_ATTRIB_ORE_RESOURCES_COP" hidden="1">"c9184"</definedName>
    <definedName name="IQ_INFERRED_ATTRIB_ORE_RESOURCES_DIAM" hidden="1">"c9664"</definedName>
    <definedName name="IQ_INFERRED_ATTRIB_ORE_RESOURCES_GOLD" hidden="1">"c9025"</definedName>
    <definedName name="IQ_INFERRED_ATTRIB_ORE_RESOURCES_IRON" hidden="1">"c9399"</definedName>
    <definedName name="IQ_INFERRED_ATTRIB_ORE_RESOURCES_LEAD" hidden="1">"c9452"</definedName>
    <definedName name="IQ_INFERRED_ATTRIB_ORE_RESOURCES_MANG" hidden="1">"c9505"</definedName>
    <definedName name="IQ_INFERRED_ATTRIB_ORE_RESOURCES_MOLYB" hidden="1">"c9717"</definedName>
    <definedName name="IQ_INFERRED_ATTRIB_ORE_RESOURCES_NICK" hidden="1">"c9293"</definedName>
    <definedName name="IQ_INFERRED_ATTRIB_ORE_RESOURCES_PLAT" hidden="1">"c9131"</definedName>
    <definedName name="IQ_INFERRED_ATTRIB_ORE_RESOURCES_SILVER" hidden="1">"c9078"</definedName>
    <definedName name="IQ_INFERRED_ATTRIB_ORE_RESOURCES_TITAN" hidden="1">"c9558"</definedName>
    <definedName name="IQ_INFERRED_ATTRIB_ORE_RESOURCES_URAN" hidden="1">"c9611"</definedName>
    <definedName name="IQ_INFERRED_ATTRIB_ORE_RESOURCES_ZINC" hidden="1">"c9346"</definedName>
    <definedName name="IQ_INFERRED_ORE_RESOURCES_ALUM" hidden="1">"c9228"</definedName>
    <definedName name="IQ_INFERRED_ORE_RESOURCES_COP" hidden="1">"c9172"</definedName>
    <definedName name="IQ_INFERRED_ORE_RESOURCES_DIAM" hidden="1">"c9652"</definedName>
    <definedName name="IQ_INFERRED_ORE_RESOURCES_GOLD" hidden="1">"c9013"</definedName>
    <definedName name="IQ_INFERRED_ORE_RESOURCES_IRON" hidden="1">"c9387"</definedName>
    <definedName name="IQ_INFERRED_ORE_RESOURCES_LEAD" hidden="1">"c9440"</definedName>
    <definedName name="IQ_INFERRED_ORE_RESOURCES_MANG" hidden="1">"c9493"</definedName>
    <definedName name="IQ_INFERRED_ORE_RESOURCES_MOLYB" hidden="1">"c9705"</definedName>
    <definedName name="IQ_INFERRED_ORE_RESOURCES_NICK" hidden="1">"c9281"</definedName>
    <definedName name="IQ_INFERRED_ORE_RESOURCES_PLAT" hidden="1">"c9119"</definedName>
    <definedName name="IQ_INFERRED_ORE_RESOURCES_SILVER" hidden="1">"c9066"</definedName>
    <definedName name="IQ_INFERRED_ORE_RESOURCES_TITAN" hidden="1">"c9546"</definedName>
    <definedName name="IQ_INFERRED_ORE_RESOURCES_URAN" hidden="1">"c9599"</definedName>
    <definedName name="IQ_INFERRED_ORE_RESOURCES_ZINC" hidden="1">"c9334"</definedName>
    <definedName name="IQ_INFERRED_RECOV_ATTRIB_RESOURCES_ALUM" hidden="1">"c9245"</definedName>
    <definedName name="IQ_INFERRED_RECOV_ATTRIB_RESOURCES_COAL" hidden="1">"c9819"</definedName>
    <definedName name="IQ_INFERRED_RECOV_ATTRIB_RESOURCES_COP" hidden="1">"c9189"</definedName>
    <definedName name="IQ_INFERRED_RECOV_ATTRIB_RESOURCES_DIAM" hidden="1">"c9669"</definedName>
    <definedName name="IQ_INFERRED_RECOV_ATTRIB_RESOURCES_GOLD" hidden="1">"c9030"</definedName>
    <definedName name="IQ_INFERRED_RECOV_ATTRIB_RESOURCES_IRON" hidden="1">"c9404"</definedName>
    <definedName name="IQ_INFERRED_RECOV_ATTRIB_RESOURCES_LEAD" hidden="1">"c9457"</definedName>
    <definedName name="IQ_INFERRED_RECOV_ATTRIB_RESOURCES_MANG" hidden="1">"c9510"</definedName>
    <definedName name="IQ_INFERRED_RECOV_ATTRIB_RESOURCES_MET_COAL" hidden="1">"c9759"</definedName>
    <definedName name="IQ_INFERRED_RECOV_ATTRIB_RESOURCES_MOLYB" hidden="1">"c9722"</definedName>
    <definedName name="IQ_INFERRED_RECOV_ATTRIB_RESOURCES_NICK" hidden="1">"c9298"</definedName>
    <definedName name="IQ_INFERRED_RECOV_ATTRIB_RESOURCES_PLAT" hidden="1">"c9136"</definedName>
    <definedName name="IQ_INFERRED_RECOV_ATTRIB_RESOURCES_SILVER" hidden="1">"c9083"</definedName>
    <definedName name="IQ_INFERRED_RECOV_ATTRIB_RESOURCES_STEAM" hidden="1">"c9789"</definedName>
    <definedName name="IQ_INFERRED_RECOV_ATTRIB_RESOURCES_TITAN" hidden="1">"c9563"</definedName>
    <definedName name="IQ_INFERRED_RECOV_ATTRIB_RESOURCES_URAN" hidden="1">"c9616"</definedName>
    <definedName name="IQ_INFERRED_RECOV_ATTRIB_RESOURCES_ZINC" hidden="1">"c9351"</definedName>
    <definedName name="IQ_INFERRED_RECOV_RESOURCES_ALUM" hidden="1">"c9235"</definedName>
    <definedName name="IQ_INFERRED_RECOV_RESOURCES_COAL" hidden="1">"c9814"</definedName>
    <definedName name="IQ_INFERRED_RECOV_RESOURCES_COP" hidden="1">"c9179"</definedName>
    <definedName name="IQ_INFERRED_RECOV_RESOURCES_DIAM" hidden="1">"c9659"</definedName>
    <definedName name="IQ_INFERRED_RECOV_RESOURCES_GOLD" hidden="1">"c9020"</definedName>
    <definedName name="IQ_INFERRED_RECOV_RESOURCES_IRON" hidden="1">"c9394"</definedName>
    <definedName name="IQ_INFERRED_RECOV_RESOURCES_LEAD" hidden="1">"c9447"</definedName>
    <definedName name="IQ_INFERRED_RECOV_RESOURCES_MANG" hidden="1">"c9500"</definedName>
    <definedName name="IQ_INFERRED_RECOV_RESOURCES_MET_COAL" hidden="1">"c9754"</definedName>
    <definedName name="IQ_INFERRED_RECOV_RESOURCES_MOLYB" hidden="1">"c9712"</definedName>
    <definedName name="IQ_INFERRED_RECOV_RESOURCES_NICK" hidden="1">"c9288"</definedName>
    <definedName name="IQ_INFERRED_RECOV_RESOURCES_PLAT" hidden="1">"c9126"</definedName>
    <definedName name="IQ_INFERRED_RECOV_RESOURCES_SILVER" hidden="1">"c9073"</definedName>
    <definedName name="IQ_INFERRED_RECOV_RESOURCES_STEAM" hidden="1">"c9784"</definedName>
    <definedName name="IQ_INFERRED_RECOV_RESOURCES_TITAN" hidden="1">"c9553"</definedName>
    <definedName name="IQ_INFERRED_RECOV_RESOURCES_URAN" hidden="1">"c9606"</definedName>
    <definedName name="IQ_INFERRED_RECOV_RESOURCES_ZINC" hidden="1">"c9341"</definedName>
    <definedName name="IQ_INFERRED_RESOURCES_CALORIFIC_VALUE_COAL" hidden="1">"c9809"</definedName>
    <definedName name="IQ_INFERRED_RESOURCES_CALORIFIC_VALUE_MET_COAL" hidden="1">"c9749"</definedName>
    <definedName name="IQ_INFERRED_RESOURCES_CALORIFIC_VALUE_STEAM" hidden="1">"c9779"</definedName>
    <definedName name="IQ_INFERRED_RESOURCES_GRADE_ALUM" hidden="1">"c9229"</definedName>
    <definedName name="IQ_INFERRED_RESOURCES_GRADE_COP" hidden="1">"c9173"</definedName>
    <definedName name="IQ_INFERRED_RESOURCES_GRADE_DIAM" hidden="1">"c9653"</definedName>
    <definedName name="IQ_INFERRED_RESOURCES_GRADE_GOLD" hidden="1">"c9014"</definedName>
    <definedName name="IQ_INFERRED_RESOURCES_GRADE_IRON" hidden="1">"c9388"</definedName>
    <definedName name="IQ_INFERRED_RESOURCES_GRADE_LEAD" hidden="1">"c9441"</definedName>
    <definedName name="IQ_INFERRED_RESOURCES_GRADE_MANG" hidden="1">"c9494"</definedName>
    <definedName name="IQ_INFERRED_RESOURCES_GRADE_MOLYB" hidden="1">"c9706"</definedName>
    <definedName name="IQ_INFERRED_RESOURCES_GRADE_NICK" hidden="1">"c9282"</definedName>
    <definedName name="IQ_INFERRED_RESOURCES_GRADE_PLAT" hidden="1">"c9120"</definedName>
    <definedName name="IQ_INFERRED_RESOURCES_GRADE_SILVER" hidden="1">"c9067"</definedName>
    <definedName name="IQ_INFERRED_RESOURCES_GRADE_TITAN" hidden="1">"c9547"</definedName>
    <definedName name="IQ_INFERRED_RESOURCES_GRADE_URAN" hidden="1">"c9600"</definedName>
    <definedName name="IQ_INFERRED_RESOURCES_GRADE_ZINC" hidden="1">"c9335"</definedName>
    <definedName name="IQ_INFLATION_RATE" hidden="1">"c6899"</definedName>
    <definedName name="IQ_INFLATION_RATE_CORE" hidden="1">"c11783"</definedName>
    <definedName name="IQ_INFLATION_RATE_CORE_POP" hidden="1">"c11784"</definedName>
    <definedName name="IQ_INFLATION_RATE_CORE_YOY" hidden="1">"c11785"</definedName>
    <definedName name="IQ_INFLATION_RATE_FC" hidden="1">"c7779"</definedName>
    <definedName name="IQ_INFLATION_RATE_POP" hidden="1">"c7119"</definedName>
    <definedName name="IQ_INFLATION_RATE_POP_FC" hidden="1">"c7999"</definedName>
    <definedName name="IQ_INFLATION_RATE_YOY" hidden="1">"c7339"</definedName>
    <definedName name="IQ_INFLATION_RATE_YOY_FC" hidden="1">"c8219"</definedName>
    <definedName name="IQ_INITIAL_CLAIMS" hidden="1">"c6900"</definedName>
    <definedName name="IQ_INITIAL_CLAIMS_APR" hidden="1">"c7560"</definedName>
    <definedName name="IQ_INITIAL_CLAIMS_APR_FC" hidden="1">"c8440"</definedName>
    <definedName name="IQ_INITIAL_CLAIMS_FC" hidden="1">"c7780"</definedName>
    <definedName name="IQ_INITIAL_CLAIMS_POP" hidden="1">"c7120"</definedName>
    <definedName name="IQ_INITIAL_CLAIMS_POP_FC" hidden="1">"c8000"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" hidden="1">"c6223"</definedName>
    <definedName name="IQ_INS_SETTLE_REIT" hidden="1">"c575"</definedName>
    <definedName name="IQ_INS_SETTLE_SUPPLE" hidden="1">"c13814"</definedName>
    <definedName name="IQ_INS_SETTLE_UTI" hidden="1">"c576"</definedName>
    <definedName name="IQ_INSIDER_3MTH_BOUGHT" hidden="1">"c1534"</definedName>
    <definedName name="IQ_INSIDER_3MTH_BOUGHT_PCT" hidden="1">"c1534"</definedName>
    <definedName name="IQ_INSIDER_3MTH_NET" hidden="1">"c1535"</definedName>
    <definedName name="IQ_INSIDER_3MTH_NET_PCT" hidden="1">"c1535"</definedName>
    <definedName name="IQ_INSIDER_3MTH_SOLD" hidden="1">"c1533"</definedName>
    <definedName name="IQ_INSIDER_3MTH_SOLD_PCT" hidden="1">"c1533"</definedName>
    <definedName name="IQ_INSIDER_6MTH_BOUGHT" hidden="1">"c1537"</definedName>
    <definedName name="IQ_INSIDER_6MTH_BOUGHT_PCT" hidden="1">"c1537"</definedName>
    <definedName name="IQ_INSIDER_6MTH_NET" hidden="1">"c1538"</definedName>
    <definedName name="IQ_INSIDER_6MTH_NET_PCT" hidden="1">"c1538"</definedName>
    <definedName name="IQ_INSIDER_6MTH_SOLD" hidden="1">"c1536"</definedName>
    <definedName name="IQ_INSIDER_6MTH_SOLD_PCT" hidden="1">"c1536"</definedName>
    <definedName name="IQ_INSIDER_AMOUNT" hidden="1">"c238"</definedName>
    <definedName name="IQ_INSIDER_LOANS_FDIC" hidden="1">"c6365"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_DEPOSITS" hidden="1">"c89"</definedName>
    <definedName name="IQ_INSTITUTIONAL_AMOUNT" hidden="1">"c236"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REINSURANCE_UNDERWRITING_INCOME_FFIEC" hidden="1">"c13008"</definedName>
    <definedName name="IQ_INSURANCE_REV_OPERATING_INC_FFIEC" hidden="1">"c13387"</definedName>
    <definedName name="IQ_INSURANCE_UNDERWRITING_INCOME_FDIC" hidden="1">"c6671"</definedName>
    <definedName name="IQ_INT_BEARING_DEPOSITS" hidden="1">"c1166"</definedName>
    <definedName name="IQ_INT_BEARING_FUNDS_AVG_ASSETS_FFIEC" hidden="1">"c13355"</definedName>
    <definedName name="IQ_INT_BEARING_LIABILITIES_REPRICE_ASSETS_TOT_FFIEC" hidden="1">"c13452"</definedName>
    <definedName name="IQ_INT_BORROW" hidden="1">"c583"</definedName>
    <definedName name="IQ_INT_DEMAND_NOTES_FDIC" hidden="1">"c6567"</definedName>
    <definedName name="IQ_INT_DEPOSITS" hidden="1">"c584"</definedName>
    <definedName name="IQ_INT_DEPOSITS_DOM_FFIEC" hidden="1">"c12852"</definedName>
    <definedName name="IQ_INT_DEPOSITS_DOM_QUARTERLY_AVG_FFIEC" hidden="1">"c13088"</definedName>
    <definedName name="IQ_INT_DEPOSITS_FOREIGN_FFIEC" hidden="1">"c12855"</definedName>
    <definedName name="IQ_INT_DEPOSITS_FOREIGN_QUARTERLY_AVG_FFIEC" hidden="1">"c13089"</definedName>
    <definedName name="IQ_INT_DIV_INC" hidden="1">"c585"</definedName>
    <definedName name="IQ_INT_DIV_INC_MBS_FFIEC" hidden="1">"c12984"</definedName>
    <definedName name="IQ_INT_DIV_INC_SECURITIES_FFIEC" hidden="1">"c12982"</definedName>
    <definedName name="IQ_INT_DIV_INC_SECURITIES_OTHER_FFIEC" hidden="1">"c12985"</definedName>
    <definedName name="IQ_INT_DIV_INC_TREASURY_SECURITIES_FFIEC" hidden="1">"c12983"</definedName>
    <definedName name="IQ_INT_DOMESTIC_DEPOSITS_FDIC" hidden="1">"c6564"</definedName>
    <definedName name="IQ_INT_EXP_AVG_ASSETS_FFIEC" hidden="1">"c13357"</definedName>
    <definedName name="IQ_INT_EXP_BR" hidden="1">"c586"</definedName>
    <definedName name="IQ_INT_EXP_COVERAGE" hidden="1">"c587"</definedName>
    <definedName name="IQ_INT_EXP_EARNING_ASSETS_FFIEC" hidden="1">"c13376"</definedName>
    <definedName name="IQ_INT_EXP_FED_FUNDS_PURCHASED_FFIEC" hidden="1">"c12996"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" hidden="1">"c6224"</definedName>
    <definedName name="IQ_INT_EXP_REIT" hidden="1">"c590"</definedName>
    <definedName name="IQ_INT_EXP_TOTAL" hidden="1">"c591"</definedName>
    <definedName name="IQ_INT_EXP_TOTAL_BNK_SUBTOTAL_AP" hidden="1">"c8977"</definedName>
    <definedName name="IQ_INT_EXP_TOTAL_FDIC" hidden="1">"c6569"</definedName>
    <definedName name="IQ_INT_EXP_UTI" hidden="1">"c592"</definedName>
    <definedName name="IQ_INT_FED_FUNDS_FDIC" hidden="1">"c6566"</definedName>
    <definedName name="IQ_INT_FEE_INC_ACCEPTANCE_OTHER_BANKS_DOM_FFIEC" hidden="1">"c15357"</definedName>
    <definedName name="IQ_INT_FEE_INC_AGRICULTURE_LOANS_FARMERS_DOM_FFIEC" hidden="1">"c15355"</definedName>
    <definedName name="IQ_INT_FEE_INC_COMM_IND_LOANS_DOM_FFIEC" hidden="1">"c15356"</definedName>
    <definedName name="IQ_INT_FEE_INC_CREDIT_CARDS_DOM_FFIEC" hidden="1">"c15358"</definedName>
    <definedName name="IQ_INT_FEE_INC_DEPOSITORY_LOANS_DOM_FFIEC" hidden="1">"c15354"</definedName>
    <definedName name="IQ_INT_FEE_INC_FOREIGN_GOVT_LOANS_DOM_FFIEC" hidden="1">"c15360"</definedName>
    <definedName name="IQ_INT_FEE_INC_INDIVIDUAL_LOANS_DOM_FFIEC" hidden="1">"c15359"</definedName>
    <definedName name="IQ_INT_FEE_INC_LOANS_1_4_DOM_FFIEC" hidden="1">"c12976"</definedName>
    <definedName name="IQ_INT_FEE_INC_LOANS_DOM_FFIEC" hidden="1">"c13335"</definedName>
    <definedName name="IQ_INT_FEE_INC_LOANS_FOREIGN_FFIEC" hidden="1">"c12979"</definedName>
    <definedName name="IQ_INT_FEE_INC_LOANS_OTHER_DOM_FFIEC" hidden="1">"c12978"</definedName>
    <definedName name="IQ_INT_FEE_INC_RE_LOANS_DOM_FFIEC" hidden="1">"c15353"</definedName>
    <definedName name="IQ_INT_FEE_INC_SECURED_RE_DOM_FFIEC" hidden="1">"c12977"</definedName>
    <definedName name="IQ_INT_FEE_INC_TAX_EXEMPT_OBLIGATIONS_DOM_FFIEC" hidden="1">"c15362"</definedName>
    <definedName name="IQ_INT_FEE_INC_TAXABLE_OBLIGATIONS_DOM_FFIEC" hidden="1">"c15361"</definedName>
    <definedName name="IQ_INT_FEE_INCOME_FFIEC" hidden="1">"c12974"</definedName>
    <definedName name="IQ_INT_FOREIGN_DEPOSITS_FDIC" hidden="1">"c6565"</definedName>
    <definedName name="IQ_INT_INC_AVG_ASSETS_FFIEC" hidden="1">"c13356"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DUE_DEPOSITORY_INSTITUTIONS_FFIEC" hidden="1">"c12981"</definedName>
    <definedName name="IQ_INT_INC_EARNING_ASSETS_FFIEC" hidden="1">"c13375"</definedName>
    <definedName name="IQ_INT_INC_FED_FUNDS_FDIC" hidden="1">"c6561"</definedName>
    <definedName name="IQ_INT_INC_FED_FUNDS_SOLD_FFIEC" hidden="1">"c12987"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" hidden="1">"c6225"</definedName>
    <definedName name="IQ_INT_INC_REIT" hidden="1">"c597"</definedName>
    <definedName name="IQ_INT_INC_SECURITIES_FDIC" hidden="1">"c6559"</definedName>
    <definedName name="IQ_INT_INC_TE_AVG_ASSETS_FFIEC" hidden="1">"c13358"</definedName>
    <definedName name="IQ_INT_INC_TE_EARNING_ASSETS_FFIEC" hidden="1">"c13377"</definedName>
    <definedName name="IQ_INT_INC_TOTAL" hidden="1">"c598"</definedName>
    <definedName name="IQ_INT_INC_TOTAL_BNK_SUBTOTAL_AP" hidden="1">"c8976"</definedName>
    <definedName name="IQ_INT_INC_TOTAL_FDIC" hidden="1">"c6563"</definedName>
    <definedName name="IQ_INT_INC_TRADING_ACCOUNTS_FDIC" hidden="1">"c6560"</definedName>
    <definedName name="IQ_INT_INC_TRADING_ASSETS_FFIEC" hidden="1">"c12986"</definedName>
    <definedName name="IQ_INT_INC_UTI" hidden="1">"c599"</definedName>
    <definedName name="IQ_INT_INCOME_FTE_AVG_ASSETS_FFIEC" hidden="1">"c13856"</definedName>
    <definedName name="IQ_INT_INCOME_FTE_AVG_EARNING_ASSETS_FFIEC" hidden="1">"c13857"</definedName>
    <definedName name="IQ_INT_INCOME_FTE_FFIEC" hidden="1">"c13852"</definedName>
    <definedName name="IQ_INT_INV_INC" hidden="1">"c600"</definedName>
    <definedName name="IQ_INT_INV_INC_RE" hidden="1">"c6226"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ON_DEPOSITS_DOM_FFIEC" hidden="1">"c12991"</definedName>
    <definedName name="IQ_INT_ON_DEPOSITS_FFIEC" hidden="1">"c12990"</definedName>
    <definedName name="IQ_INT_ON_DEPOSITS_FOREIGN_FFIEC" hidden="1">"c12995"</definedName>
    <definedName name="IQ_INT_RATE_EXPOSURE_FFIEC" hidden="1">"c13058"</definedName>
    <definedName name="IQ_INT_RATE_SPREAD" hidden="1">"c604"</definedName>
    <definedName name="IQ_INT_SAVINGS_DEPOSITS_MMDA_DOM_FFIEC" hidden="1">"c15364"</definedName>
    <definedName name="IQ_INT_SUB_NOTES_FDIC" hidden="1">"c6568"</definedName>
    <definedName name="IQ_INT_SUB_NOTES_FFIEC" hidden="1">"c12998"</definedName>
    <definedName name="IQ_INT_TIME_DEPOSITS_LESS_THAN_100K_DOM_FFIEC" hidden="1">"c12993"</definedName>
    <definedName name="IQ_INT_TIME_DEPOSITS_MORE_THAN_100K_DOM_FFIEC" hidden="1">"c12992"</definedName>
    <definedName name="IQ_INT_TRADING_LIABILITIES_FFIEC" hidden="1">"c12997"</definedName>
    <definedName name="IQ_INT_TRANSACTION_ACCOUNTS_DOM_FFIEC" hidden="1">"c15363"</definedName>
    <definedName name="IQ_INTANGIBLES_NET" hidden="1">"c907"</definedName>
    <definedName name="IQ_INTEREST_ACCRUED_ON_DEPOSITS_DOM_FFIEC" hidden="1">"c15277"</definedName>
    <definedName name="IQ_INTEREST_BEARING_BALANCES_FDIC" hidden="1">"c6371"</definedName>
    <definedName name="IQ_INTEREST_BEARING_BALANCES_QUARTERLY_AVG_FFIEC" hidden="1">"c15467"</definedName>
    <definedName name="IQ_INTEREST_BEARING_CASH_FFIEC" hidden="1">"c15259"</definedName>
    <definedName name="IQ_INTEREST_BEARING_CASH_FOREIGN_FFIEC" hidden="1">"c12776"</definedName>
    <definedName name="IQ_INTEREST_BEARING_CASH_US_FFIEC" hidden="1">"c12775"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BEARING_TRANS_DOM_QUARTERLY_AVG_FFIEC" hidden="1">"c15484"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"c618"</definedName>
    <definedName name="IQ_INTEREST_EXP_SUPPL" hidden="1">"c1460"</definedName>
    <definedName name="IQ_INTEREST_INC" hidden="1">"c769"</definedName>
    <definedName name="IQ_INTEREST_INC_10K" hidden="1">"IQ_INTEREST_INC_10K"</definedName>
    <definedName name="IQ_INTEREST_INC_10Q" hidden="1">"IQ_INTEREST_INC_10Q"</definedName>
    <definedName name="IQ_INTEREST_INC_10Q1" hidden="1">"IQ_INTEREST_INC_10Q1"</definedName>
    <definedName name="IQ_INTEREST_INC_NON" hidden="1">"c619"</definedName>
    <definedName name="IQ_INTEREST_INVEST_INC" hidden="1">"c619"</definedName>
    <definedName name="IQ_INTEREST_LT_DEBT" hidden="1">"c2086"</definedName>
    <definedName name="IQ_INTEREST_RATE_CONTRACTS_FDIC" hidden="1">"c6512"</definedName>
    <definedName name="IQ_INTEREST_RATE_EXPOSURES_FDIC" hidden="1">"c6662"</definedName>
    <definedName name="IQ_INTERNAL_ALLOCATIONS_INC_EXP_FOREIGN_FFIEC" hidden="1">"c15394"</definedName>
    <definedName name="IQ_INV_10YR_ANN_CAGR" hidden="1">"c6164"</definedName>
    <definedName name="IQ_INV_10YR_ANN_GROWTH" hidden="1">"c1930"</definedName>
    <definedName name="IQ_INV_1YR_ANN_GROWTH" hidden="1">"c1925"</definedName>
    <definedName name="IQ_INV_2YR_ANN_CAGR" hidden="1">"c6160"</definedName>
    <definedName name="IQ_INV_2YR_ANN_GROWTH" hidden="1">"c1926"</definedName>
    <definedName name="IQ_INV_3YR_ANN_CAGR" hidden="1">"c6161"</definedName>
    <definedName name="IQ_INV_3YR_ANN_GROWTH" hidden="1">"c1927"</definedName>
    <definedName name="IQ_INV_5YR_ANN_CAGR" hidden="1">"c6162"</definedName>
    <definedName name="IQ_INV_5YR_ANN_GROWTH" hidden="1">"c1928"</definedName>
    <definedName name="IQ_INV_7YR_ANN_CAGR" hidden="1">"c6163"</definedName>
    <definedName name="IQ_INV_7YR_ANN_GROWTH" hidden="1">"c1929"</definedName>
    <definedName name="IQ_INV_BANKING_FEE" hidden="1">"c620"</definedName>
    <definedName name="IQ_INV_METHOD" hidden="1">"c621"</definedName>
    <definedName name="IQ_INV_REL_ID" hidden="1">"c15220"</definedName>
    <definedName name="IQ_INV_REL_NAME" hidden="1">"c15219"</definedName>
    <definedName name="IQ_INVENTORIES" hidden="1">"c6901"</definedName>
    <definedName name="IQ_INVENTORIES_APR" hidden="1">"c7561"</definedName>
    <definedName name="IQ_INVENTORIES_APR_FC" hidden="1">"c8441"</definedName>
    <definedName name="IQ_INVENTORIES_FC" hidden="1">"c7781"</definedName>
    <definedName name="IQ_INVENTORIES_POP" hidden="1">"c7121"</definedName>
    <definedName name="IQ_INVENTORIES_POP_FC" hidden="1">"c8001"</definedName>
    <definedName name="IQ_INVENTORIES_YOY" hidden="1">"c7341"</definedName>
    <definedName name="IQ_INVENTORIES_YOY_FC" hidden="1">"c8221"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GOV_SECURITY" hidden="1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" hidden="1">"c6227"</definedName>
    <definedName name="IQ_INVEST_LOANS_CF_REIT" hidden="1">"c633"</definedName>
    <definedName name="IQ_INVEST_LOANS_CF_UTI" hidden="1">"c634"</definedName>
    <definedName name="IQ_INVEST_MUNI_SECURITY" hidden="1">"c5512"</definedName>
    <definedName name="IQ_INVEST_REAL_ESTATE" hidden="1">"c635"</definedName>
    <definedName name="IQ_INVEST_SECURITIES_ASSETS_TOT_FFIEC" hidden="1">"c13440"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" hidden="1">"c6228"</definedName>
    <definedName name="IQ_INVEST_SECURITY_CF_REIT" hidden="1">"c642"</definedName>
    <definedName name="IQ_INVEST_SECURITY_CF_UTI" hidden="1">"c643"</definedName>
    <definedName name="IQ_INVEST_SECURITY_SUPPL" hidden="1">"c5511"</definedName>
    <definedName name="IQ_INVEST_UNCONSOLIDATED_SUBS_FFIEC" hidden="1">"c12834"</definedName>
    <definedName name="IQ_INVESTMENT_BANKING_BROKERAGE_FEES_FFIEC" hidden="1">"c13627"</definedName>
    <definedName name="IQ_INVESTMENT_BANKING_FEES_COMMISSIONS_FFIEC" hidden="1">"c13006"</definedName>
    <definedName name="IQ_INVESTMENT_BANKING_OTHER_FEES_FDIC" hidden="1">"c6666"</definedName>
    <definedName name="IQ_IPRD" hidden="1">"c644"</definedName>
    <definedName name="IQ_IPRD_SUPPLE" hidden="1">"c13813"</definedName>
    <definedName name="IQ_IRA_KEOGH_ACCOUNTS_FDIC" hidden="1">"c6496"</definedName>
    <definedName name="IQ_ISIN" hidden="1">"c12041"</definedName>
    <definedName name="IQ_ISM_INDEX" hidden="1">"c6902"</definedName>
    <definedName name="IQ_ISM_INDEX_APR" hidden="1">"c7562"</definedName>
    <definedName name="IQ_ISM_INDEX_APR_FC" hidden="1">"c8442"</definedName>
    <definedName name="IQ_ISM_INDEX_FC" hidden="1">"c7782"</definedName>
    <definedName name="IQ_ISM_INDEX_POP" hidden="1">"c7122"</definedName>
    <definedName name="IQ_ISM_INDEX_POP_FC" hidden="1">"c8002"</definedName>
    <definedName name="IQ_ISM_INDEX_YOY" hidden="1">"c7342"</definedName>
    <definedName name="IQ_ISM_INDEX_YOY_FC" hidden="1">"c8222"</definedName>
    <definedName name="IQ_ISM_SERVICES_APR_FC_UNUSED" hidden="1">"c8443"</definedName>
    <definedName name="IQ_ISM_SERVICES_APR_FC_UNUSED_UNUSED_UNUSED" hidden="1">"c8443"</definedName>
    <definedName name="IQ_ISM_SERVICES_APR_UNUSED" hidden="1">"c7563"</definedName>
    <definedName name="IQ_ISM_SERVICES_APR_UNUSED_UNUSED_UNUSED" hidden="1">"c7563"</definedName>
    <definedName name="IQ_ISM_SERVICES_FC_UNUSED" hidden="1">"c7783"</definedName>
    <definedName name="IQ_ISM_SERVICES_FC_UNUSED_UNUSED_UNUSED" hidden="1">"c7783"</definedName>
    <definedName name="IQ_ISM_SERVICES_INDEX" hidden="1">"c11862"</definedName>
    <definedName name="IQ_ISM_SERVICES_INDEX_APR" hidden="1">"c11865"</definedName>
    <definedName name="IQ_ISM_SERVICES_INDEX_POP" hidden="1">"c11863"</definedName>
    <definedName name="IQ_ISM_SERVICES_INDEX_YOY" hidden="1">"c11864"</definedName>
    <definedName name="IQ_ISM_SERVICES_POP_FC_UNUSED" hidden="1">"c8003"</definedName>
    <definedName name="IQ_ISM_SERVICES_POP_FC_UNUSED_UNUSED_UNUSED" hidden="1">"c8003"</definedName>
    <definedName name="IQ_ISM_SERVICES_POP_UNUSED" hidden="1">"c7123"</definedName>
    <definedName name="IQ_ISM_SERVICES_POP_UNUSED_UNUSED_UNUSED" hidden="1">"c7123"</definedName>
    <definedName name="IQ_ISM_SERVICES_UNUSED" hidden="1">"c6903"</definedName>
    <definedName name="IQ_ISM_SERVICES_UNUSED_UNUSED_UNUSED" hidden="1">"c6903"</definedName>
    <definedName name="IQ_ISM_SERVICES_YOY_FC_UNUSED" hidden="1">"c8223"</definedName>
    <definedName name="IQ_ISM_SERVICES_YOY_FC_UNUSED_UNUSED_UNUSED" hidden="1">"c8223"</definedName>
    <definedName name="IQ_ISM_SERVICES_YOY_UNUSED" hidden="1">"c7343"</definedName>
    <definedName name="IQ_ISM_SERVICES_YOY_UNUSED_UNUSED_UNUSED" hidden="1">"c7343"</definedName>
    <definedName name="IQ_ISS_DEBT_NET" hidden="1">"c751"</definedName>
    <definedName name="IQ_ISS_STOCK_NET" hidden="1">"c1601"</definedName>
    <definedName name="IQ_ISSUE_CURRENCY" hidden="1">"c2156"</definedName>
    <definedName name="IQ_ISSUE_NAME" hidden="1">"c2142"</definedName>
    <definedName name="IQ_ISSUED_GUARANTEED_US_FDIC" hidden="1">"c6404"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KEY_DEV_COMPANY_ID" hidden="1">"c13830"</definedName>
    <definedName name="IQ_KEY_DEV_COMPANY_NAME" hidden="1">"c13829"</definedName>
    <definedName name="IQ_KEY_DEV_DATE" hidden="1">"c13763"</definedName>
    <definedName name="IQ_KEY_DEV_HEADLINE" hidden="1">"c13761"</definedName>
    <definedName name="IQ_KEY_DEV_ID" hidden="1">"c13760"</definedName>
    <definedName name="IQ_KEY_DEV_ID_INCL_SUBS" hidden="1">"c13832"</definedName>
    <definedName name="IQ_KEY_DEV_SITUATION" hidden="1">"c13762"</definedName>
    <definedName name="IQ_KEY_DEV_SOURCE" hidden="1">"c13765"</definedName>
    <definedName name="IQ_KEY_DEV_TIME" hidden="1">"c13833"</definedName>
    <definedName name="IQ_KEY_DEV_TRANSACTION_ID" hidden="1">"c13766"</definedName>
    <definedName name="IQ_KEY_DEV_TYPE" hidden="1">"c13764"</definedName>
    <definedName name="IQ_LAND" hidden="1">"c645"</definedName>
    <definedName name="IQ_LARGE_CAP_LABOR_COST_INDEX" hidden="1">"c6904"</definedName>
    <definedName name="IQ_LARGE_CAP_LABOR_COST_INDEX_APR" hidden="1">"c7564"</definedName>
    <definedName name="IQ_LARGE_CAP_LABOR_COST_INDEX_APR_FC" hidden="1">"c8444"</definedName>
    <definedName name="IQ_LARGE_CAP_LABOR_COST_INDEX_FC" hidden="1">"c7784"</definedName>
    <definedName name="IQ_LARGE_CAP_LABOR_COST_INDEX_POP" hidden="1">"c7124"</definedName>
    <definedName name="IQ_LARGE_CAP_LABOR_COST_INDEX_POP_FC" hidden="1">"c8004"</definedName>
    <definedName name="IQ_LARGE_CAP_LABOR_COST_INDEX_YOY" hidden="1">"c7344"</definedName>
    <definedName name="IQ_LARGE_CAP_LABOR_COST_INDEX_YOY_FC" hidden="1">"c8224"</definedName>
    <definedName name="IQ_LAST_EBIT_MARGIN" hidden="1">"IQ_LAST_EBIT_MARGIN"</definedName>
    <definedName name="IQ_LAST_EBITDA_MARGIN" hidden="1">"IQ_LAST_EBITDA_MARGIN"</definedName>
    <definedName name="IQ_LAST_GROSS_MARGIN" hidden="1">"IQ_LAST_GROSS_MARGIN"</definedName>
    <definedName name="IQ_LAST_NET_INC_MARGIN" hidden="1">"IQ_LAST_NET_INC_MARGIN"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" hidden="1">"1"</definedName>
    <definedName name="IQ_LATEST_MONTHLY_FACTOR" hidden="1">"c8971"</definedName>
    <definedName name="IQ_LATEST_MONTHLY_FACTOR_DATE" hidden="1">"c8972"</definedName>
    <definedName name="IQ_LATESTK" hidden="1">1000</definedName>
    <definedName name="IQ_LATESTKFR" hidden="1">"50"</definedName>
    <definedName name="IQ_LATESTQ" hidden="1">500</definedName>
    <definedName name="IQ_LATESTQFR" hidden="1">"100"</definedName>
    <definedName name="IQ_LEAD_UNDERWRITER" hidden="1">"c8957"</definedName>
    <definedName name="IQ_LEASE_FIN_RECEIVABLES_NON_US_CHARGE_OFFS_FFIEC" hidden="1">"c13631"</definedName>
    <definedName name="IQ_LEASE_FIN_RECEIVABLES_NON_US_RECOV_FFIEC" hidden="1">"c13635"</definedName>
    <definedName name="IQ_LEASE_FIN_RECEIVABLES_US_CHARGE_OFFS_FFIEC" hidden="1">"c13630"</definedName>
    <definedName name="IQ_LEASE_FIN_RECEIVABLES_US_RECOV_FFIEC" hidden="1">"c13634"</definedName>
    <definedName name="IQ_LEASE_FINANCE" hidden="1">"c5654"</definedName>
    <definedName name="IQ_LEASE_FINANCING_REC_DUE_30_89_FFIEC" hidden="1">"c13276"</definedName>
    <definedName name="IQ_LEASE_FINANCING_REC_DUE_90_FFIEC" hidden="1">"c13302"</definedName>
    <definedName name="IQ_LEASE_FINANCING_REC_NON_ACCRUAL_FFIEC" hidden="1">"c13328"</definedName>
    <definedName name="IQ_LEASE_FINANCING_RECEIVABLES_CHARGE_OFFS_FDIC" hidden="1">"c6602"</definedName>
    <definedName name="IQ_LEASE_FINANCING_RECEIVABLES_DOM_FFIEC" hidden="1">"c12915"</definedName>
    <definedName name="IQ_LEASE_FINANCING_RECEIVABLES_FDIC" hidden="1">"c6433"</definedName>
    <definedName name="IQ_LEASE_FINANCING_RECEIVABLES_NET_CHARGE_OFFS_FDIC" hidden="1">"c6640"</definedName>
    <definedName name="IQ_LEASE_FINANCING_RECEIVABLES_QUARTERLY_AVG_FFIEC" hidden="1">"c15483"</definedName>
    <definedName name="IQ_LEASE_FINANCING_RECEIVABLES_RECOVERIES_FDIC" hidden="1">"c6621"</definedName>
    <definedName name="IQ_LEASE_FINANCING_RECEIVABLES_TOTAL_LOANS_FOREIGN_FDIC" hidden="1">"c6449"</definedName>
    <definedName name="IQ_LEASE_RECEIVABLES_FOREIGN_FFIEC" hidden="1">"c13483"</definedName>
    <definedName name="IQ_LEASES_INDIVIDUALS_CHARGE_OFFS_FFIEC" hidden="1">"c13184"</definedName>
    <definedName name="IQ_LEASES_INDIVIDUALS_RECOV_FFIEC" hidden="1">"c13206"</definedName>
    <definedName name="IQ_LEASES_PERSONAL_EXP_DUE_30_89_FFIEC" hidden="1">"c13277"</definedName>
    <definedName name="IQ_LEASES_PERSONAL_EXP_DUE_90_FFIEC" hidden="1">"c13303"</definedName>
    <definedName name="IQ_LEASES_PERSONAL_EXP_NON_ACCRUAL_FFIEC" hidden="1">"c13329"</definedName>
    <definedName name="IQ_LEGAL_FEES_FFIEC" hidden="1">"c13052"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" hidden="1">"c6229"</definedName>
    <definedName name="IQ_LEGAL_SETTLE_REIT" hidden="1">"c652"</definedName>
    <definedName name="IQ_LEGAL_SETTLE_SUPPLE" hidden="1">"c13815"</definedName>
    <definedName name="IQ_LEGAL_SETTLE_UTI" hidden="1">"c653"</definedName>
    <definedName name="IQ_LEVERAGE_RATIO" hidden="1">"c654"</definedName>
    <definedName name="IQ_LEVERED_FCF" hidden="1">"c1907"</definedName>
    <definedName name="IQ_LFCF_10YR_ANN_CAGR" hidden="1">"c6174"</definedName>
    <definedName name="IQ_LFCF_10YR_ANN_GROWTH" hidden="1">"c1942"</definedName>
    <definedName name="IQ_LFCF_1YR_ANN_GROWTH" hidden="1">"c1937"</definedName>
    <definedName name="IQ_LFCF_2YR_ANN_CAGR" hidden="1">"c6170"</definedName>
    <definedName name="IQ_LFCF_2YR_ANN_GROWTH" hidden="1">"c1938"</definedName>
    <definedName name="IQ_LFCF_3YR_ANN_CAGR" hidden="1">"c6171"</definedName>
    <definedName name="IQ_LFCF_3YR_ANN_GROWTH" hidden="1">"c1939"</definedName>
    <definedName name="IQ_LFCF_5YR_ANN_CAGR" hidden="1">"c6172"</definedName>
    <definedName name="IQ_LFCF_5YR_ANN_GROWTH" hidden="1">"c1940"</definedName>
    <definedName name="IQ_LFCF_7YR_ANN_CAGR" hidden="1">"c6173"</definedName>
    <definedName name="IQ_LFCF_7YR_ANN_GROWTH" hidden="1">"c1941"</definedName>
    <definedName name="IQ_LFCF_MARGIN" hidden="1">"c1961"</definedName>
    <definedName name="IQ_LH_STATUTORY_SURPLUS" hidden="1">"c2771"</definedName>
    <definedName name="IQ_LIAB_AP" hidden="1">"c8886"</definedName>
    <definedName name="IQ_LIAB_AP_ABS" hidden="1">"c8905"</definedName>
    <definedName name="IQ_LIAB_NAME_AP" hidden="1">"c8924"</definedName>
    <definedName name="IQ_LIAB_NAME_AP_ABS" hidden="1">"c8943"</definedName>
    <definedName name="IQ_LIABILITIES_FAIR_VALUE" hidden="1">"c13848"</definedName>
    <definedName name="IQ_LIABILITIES_LEVEL_1" hidden="1">"c13844"</definedName>
    <definedName name="IQ_LIABILITIES_LEVEL_2" hidden="1">"c13845"</definedName>
    <definedName name="IQ_LIABILITIES_LEVEL_3" hidden="1">"c13846"</definedName>
    <definedName name="IQ_LIABILITIES_NETTING_OTHER_ADJUSTMENTS" hidden="1">"c13847"</definedName>
    <definedName name="IQ_LIABILITY_ACCEPTANCES_OUT_FFIEC" hidden="1">"c12866"</definedName>
    <definedName name="IQ_LIABILITY_SHORT_POSITIONS_DOM_FFIEC" hidden="1">"c12941"</definedName>
    <definedName name="IQ_LICENSED_POPS" hidden="1">"c2123"</definedName>
    <definedName name="IQ_LIFE_EARNED" hidden="1">"c2739"</definedName>
    <definedName name="IQ_LIFE_INSURANCE_ASSETS_FDIC" hidden="1">"c6372"</definedName>
    <definedName name="IQ_LIFE_INSURANCE_ASSETS_FFIEC" hidden="1">"c12847"</definedName>
    <definedName name="IQ_LIFOR" hidden="1">"c655"</definedName>
    <definedName name="IQ_LIQUID_ASSETS_ASSETS_TOT_FFIEC" hidden="1">"c13439"</definedName>
    <definedName name="IQ_LIQUID_ASSETS_NONCORE_FUNDING_FFIEC" hidden="1">"c13339"</definedName>
    <definedName name="IQ_LIQUIDATION_VALUE_PREFERRED_CONVERT" hidden="1">"c13835"</definedName>
    <definedName name="IQ_LIQUIDATION_VALUE_PREFERRED_NON_REDEEM" hidden="1">"c13836"</definedName>
    <definedName name="IQ_LIQUIDATION_VALUE_PREFERRED_REDEEM" hidden="1">"c13837"</definedName>
    <definedName name="IQ_LL" hidden="1">"c656"</definedName>
    <definedName name="IQ_LOAN_ALLOW_GROSS_LOANS_FFIEC" hidden="1">"c13415"</definedName>
    <definedName name="IQ_LOAN_ALLOWANCE_GROSS_LOSSES_FFIEC" hidden="1">"c13352"</definedName>
    <definedName name="IQ_LOAN_ALLOWANCE_NET_LOANS_FFIEC" hidden="1">"c13472"</definedName>
    <definedName name="IQ_LOAN_ALLOWANCE_NONACCRUAL_ASSETS_FFIEC" hidden="1">"c13473"</definedName>
    <definedName name="IQ_LOAN_ALLOWANCE_PAST_DUE_NONACCRUAL_FFIEC" hidden="1">"c13474"</definedName>
    <definedName name="IQ_LOAN_COMMITMENTS_FAIR_VALUE_TOT_FFIEC" hidden="1">"c13216"</definedName>
    <definedName name="IQ_LOAN_COMMITMENTS_LEVEL_1_FFIEC" hidden="1">"c13224"</definedName>
    <definedName name="IQ_LOAN_COMMITMENTS_LEVEL_2_FFIEC" hidden="1">"c13232"</definedName>
    <definedName name="IQ_LOAN_COMMITMENTS_LEVEL_3_FFIEC" hidden="1">"c13240"</definedName>
    <definedName name="IQ_LOAN_COMMITMENTS_REVOLVING_FDIC" hidden="1">"c6524"</definedName>
    <definedName name="IQ_LOAN_LEASE_RECEIV" hidden="1">"c657"</definedName>
    <definedName name="IQ_LOAN_LOSS" hidden="1">"c656"</definedName>
    <definedName name="IQ_LOAN_LOSS_ALLOW_FDIC" hidden="1">"c6326"</definedName>
    <definedName name="IQ_LOAN_LOSS_ALLOWANCE_NON_PERF_ASSETS_FFIEC" hidden="1">"c13912"</definedName>
    <definedName name="IQ_LOAN_LOSS_ALLOWANCE_NONCURRENT_LOANS_FDIC" hidden="1">"c6740"</definedName>
    <definedName name="IQ_LOAN_LOSS_PROVISION_FOREIGN_FFIEC" hidden="1">"c15382"</definedName>
    <definedName name="IQ_LOAN_LOSSES_AVERAGE_LOANS_FFIEC" hidden="1">"c13350"</definedName>
    <definedName name="IQ_LOAN_LOSSES_FDIC" hidden="1">"c6580"</definedName>
    <definedName name="IQ_LOAN_SERVICE_REV" hidden="1">"c658"</definedName>
    <definedName name="IQ_LOANS_AGRICULTURAL_PROD_LL_REC_FFIEC" hidden="1">"c12886"</definedName>
    <definedName name="IQ_LOANS_AND_LEASES_HELD_FDIC" hidden="1">"c6367"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" hidden="1">"c6230"</definedName>
    <definedName name="IQ_LOANS_CF_REIT" hidden="1">"c664"</definedName>
    <definedName name="IQ_LOANS_CF_UTI" hidden="1">"c665"</definedName>
    <definedName name="IQ_LOANS_DEPOSITORY_INST_US_LL_REC_FFIEC" hidden="1">"c12884"</definedName>
    <definedName name="IQ_LOANS_DEPOSITORY_INSTITUTIONS_FDIC" hidden="1">"c6382"</definedName>
    <definedName name="IQ_LOANS_DOM_QUARTERLY_AVG_FFIEC" hidden="1">"c13084"</definedName>
    <definedName name="IQ_LOANS_FARMERS_CHARGE_OFFS_FFIEC" hidden="1">"c13177"</definedName>
    <definedName name="IQ_LOANS_FARMERS_RECOV_FFIEC" hidden="1">"c13199"</definedName>
    <definedName name="IQ_LOANS_FINANCE_AGRICULTURAL_DUE_30_89_FFIEC" hidden="1">"c13270"</definedName>
    <definedName name="IQ_LOANS_FINANCE_AGRICULTURAL_DUE_90_FFIEC" hidden="1">"c13296"</definedName>
    <definedName name="IQ_LOANS_FINANCE_AGRICULTURAL_NON_ACCRUAL_FFIEC" hidden="1">"c13322"</definedName>
    <definedName name="IQ_LOANS_FINANCE_AGRICULTURAL_PROD_LL_REC_DOM_FFIEC" hidden="1">"c12909"</definedName>
    <definedName name="IQ_LOANS_FOR_SALE" hidden="1">"c666"</definedName>
    <definedName name="IQ_LOANS_FOREIGN_GOV_CHARGE_OFFS_FFIEC" hidden="1">"c13182"</definedName>
    <definedName name="IQ_LOANS_FOREIGN_GOV_DUE_30_89_FFIEC" hidden="1">"c13274"</definedName>
    <definedName name="IQ_LOANS_FOREIGN_GOV_DUE_90_FFIEC" hidden="1">"c13300"</definedName>
    <definedName name="IQ_LOANS_FOREIGN_GOV_LL_REC_DOM_FFIEC" hidden="1">"c12912"</definedName>
    <definedName name="IQ_LOANS_FOREIGN_GOV_NON_ACCRUAL_FFIEC" hidden="1">"c13326"</definedName>
    <definedName name="IQ_LOANS_FOREIGN_GOV_RECOV_FFIEC" hidden="1">"c13204"</definedName>
    <definedName name="IQ_LOANS_FOREIGN_INST_CHARGE_OFFS_FFIEC" hidden="1">"c13176"</definedName>
    <definedName name="IQ_LOANS_FOREIGN_INST_RECOV_FFIEC" hidden="1">"c13198"</definedName>
    <definedName name="IQ_LOANS_FOREIGN_LL_REC_FFIEC" hidden="1">"c12885"</definedName>
    <definedName name="IQ_LOANS_GOV_GUARANTEED_DUE_30_89_FFIEC" hidden="1">"c13281"</definedName>
    <definedName name="IQ_LOANS_GOV_GUARANTEED_DUE_90_FFIEC" hidden="1">"c13307"</definedName>
    <definedName name="IQ_LOANS_GOV_GUARANTEED_EXCL_GNMA_DUE_30_89_FFIEC" hidden="1">"c13282"</definedName>
    <definedName name="IQ_LOANS_GOV_GUARANTEED_EXCL_GNMA_DUE_90_FFIEC" hidden="1">"c13308"</definedName>
    <definedName name="IQ_LOANS_GOV_GUARANTEED_EXCL_GNMA_NON_ACCRUAL_FFIEC" hidden="1">"c13333"</definedName>
    <definedName name="IQ_LOANS_GOV_GUARANTEED_NON_ACCRUAL_FFIEC" hidden="1">"c13332"</definedName>
    <definedName name="IQ_LOANS_HELD_FOREIGN_FDIC" hidden="1">"c6315"</definedName>
    <definedName name="IQ_LOANS_INDIVIDUALS_FOREIGN_FFIEC" hidden="1">"c13480"</definedName>
    <definedName name="IQ_LOANS_LEASES_ASSETS_TOT_FFIEC" hidden="1">"c13437"</definedName>
    <definedName name="IQ_LOANS_LEASES_FAIR_VALUE_TOT_FFIEC" hidden="1">"c13209"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HELD_SALE_FFIEC" hidden="1">"c12808"</definedName>
    <definedName name="IQ_LOANS_LEASES_HFI_FAIR_VALUE_TOT_FFIEC" hidden="1">"c15401"</definedName>
    <definedName name="IQ_LOANS_LEASES_HFI_LEVEL_1_FFIEC" hidden="1">"c15423"</definedName>
    <definedName name="IQ_LOANS_LEASES_HFI_LEVEL_2_FFIEC" hidden="1">"c15436"</definedName>
    <definedName name="IQ_LOANS_LEASES_HFI_LEVEL_3_FFIEC" hidden="1">"c15449"</definedName>
    <definedName name="IQ_LOANS_LEASES_HFS_FAIR_VALUE_TOT_FFIEC" hidden="1">"c15400"</definedName>
    <definedName name="IQ_LOANS_LEASES_HFS_LEVEL_1_FFIEC" hidden="1">"c15422"</definedName>
    <definedName name="IQ_LOANS_LEASES_HFS_LEVEL_2_FFIEC" hidden="1">"c15435"</definedName>
    <definedName name="IQ_LOANS_LEASES_HFS_LEVEL_3_FFIEC" hidden="1">"c15448"</definedName>
    <definedName name="IQ_LOANS_LEASES_LEVEL_1_FFIEC" hidden="1">"c13217"</definedName>
    <definedName name="IQ_LOANS_LEASES_LEVEL_2_FFIEC" hidden="1">"c13225"</definedName>
    <definedName name="IQ_LOANS_LEASES_LEVEL_3_FFIEC" hidden="1">"c13233"</definedName>
    <definedName name="IQ_LOANS_LEASES_NET_FDIC" hidden="1">"c6327"</definedName>
    <definedName name="IQ_LOANS_LEASES_NET_UNEARNED_FDIC" hidden="1">"c6325"</definedName>
    <definedName name="IQ_LOANS_LEASES_NET_UNEARNED_INC_ALLOWANCE_FFIEC" hidden="1">"c12811"</definedName>
    <definedName name="IQ_LOANS_LEASES_NET_UNEARNED_INCOME_FFIEC" hidden="1">"c12809"</definedName>
    <definedName name="IQ_LOANS_LEASES_QUARTERLY_AVG_FFIEC" hidden="1">"c13081"</definedName>
    <definedName name="IQ_LOANS_LOC_ASSETS_TOT_FFIEC" hidden="1">"c13441"</definedName>
    <definedName name="IQ_LOANS_NOT_SECURED_RE_FDIC" hidden="1">"c6381"</definedName>
    <definedName name="IQ_LOANS_PAST_DUE" hidden="1">"c667"</definedName>
    <definedName name="IQ_LOANS_PURCHASING_CARRYING_SECURITIES_LL_REC_DOM_FFIEC" hidden="1">"c12913"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_RE_FOREIGN_CHARGE_OFFS_FFIEC" hidden="1">"c13174"</definedName>
    <definedName name="IQ_LOANS_SEC_RE_FOREIGN_RECOV_FFIEC" hidden="1">"c13196"</definedName>
    <definedName name="IQ_LOANS_SECURED_1_4_DOM_QUARTERLY_AVG_FFIEC" hidden="1">"c13082"</definedName>
    <definedName name="IQ_LOANS_SECURED_BY_RE_CHARGE_OFFS_FDIC" hidden="1">"c6588"</definedName>
    <definedName name="IQ_LOANS_SECURED_BY_RE_RECOVERIES_FDIC" hidden="1">"c6607"</definedName>
    <definedName name="IQ_LOANS_SECURED_CONSTRUCTION_TRADING_DOM_FFIEC" hidden="1">"c12925"</definedName>
    <definedName name="IQ_LOANS_SECURED_FARMLAND_TRADING_DOM_FFIEC" hidden="1">"c12926"</definedName>
    <definedName name="IQ_LOANS_SECURED_NON_US_FDIC" hidden="1">"c6380"</definedName>
    <definedName name="IQ_LOANS_SECURED_RE_DOM_QUARTERLY_AVG_FFIEC" hidden="1">"c13083"</definedName>
    <definedName name="IQ_LOANS_SECURED_RE_FFIEC" hidden="1">"c12820"</definedName>
    <definedName name="IQ_LOANS_SECURED_RE_LL_REC_FFIEC" hidden="1">"c12883"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ANS_US_INST_CHARGE_OFFS_FFIEC" hidden="1">"c13175"</definedName>
    <definedName name="IQ_LOANS_US_INST_RECOV_FFIEC" hidden="1">"c13197"</definedName>
    <definedName name="IQ_LONG_TERM_ASSETS_FDIC" hidden="1">"c6361"</definedName>
    <definedName name="IQ_LONG_TERM_DEBT" hidden="1">"c674"</definedName>
    <definedName name="IQ_LONG_TERM_DEBT_OVER_TOTAL_CAP" hidden="1">"c677"</definedName>
    <definedName name="IQ_LONG_TERM_GROWTH" hidden="1">"c671"</definedName>
    <definedName name="IQ_LONG_TERM_INV" hidden="1">"c697"</definedName>
    <definedName name="IQ_LOSS_ALLOWANCE_LOANS_FDIC" hidden="1">"c6739"</definedName>
    <definedName name="IQ_LOSS_AVAIL_SALE_EQUITY_SEC_T1_FFIEC" hidden="1">"c13132"</definedName>
    <definedName name="IQ_LOSS_LOSS_EXP" hidden="1">"c672"</definedName>
    <definedName name="IQ_LOSS_TO_NET_EARNED" hidden="1">"c2751"</definedName>
    <definedName name="IQ_LOW_TARGET_PRICE" hidden="1">"c1652"</definedName>
    <definedName name="IQ_LOW_TARGET_PRICE_CIQ" hidden="1">"c4660"</definedName>
    <definedName name="IQ_LOWPRICE" hidden="1">"c673"</definedName>
    <definedName name="IQ_LT_ASSETS_AP" hidden="1">"c8882"</definedName>
    <definedName name="IQ_LT_ASSETS_AP_ABS" hidden="1">"c8901"</definedName>
    <definedName name="IQ_LT_ASSETS_NAME_AP" hidden="1">"c8920"</definedName>
    <definedName name="IQ_LT_ASSETS_NAME_AP_ABS" hidden="1">"c8939"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" hidden="1">"c6231"</definedName>
    <definedName name="IQ_LT_DEBT_ISSUED_REIT" hidden="1">"c686"</definedName>
    <definedName name="IQ_LT_DEBT_ISSUED_UTI" hidden="1">"c687"</definedName>
    <definedName name="IQ_LT_DEBT_MATURING_1YR_INT_SENSITIVITY_FFIEC" hidden="1">"c13097"</definedName>
    <definedName name="IQ_LT_DEBT_RE" hidden="1">"c6232"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" hidden="1">"c6233"</definedName>
    <definedName name="IQ_LT_DEBT_REPAID_REIT" hidden="1">"c694"</definedName>
    <definedName name="IQ_LT_DEBT_REPAID_UTI" hidden="1">"c695"</definedName>
    <definedName name="IQ_LT_DEBT_REPRICE_ASSETS_TOT_FFIEC" hidden="1">"c13453"</definedName>
    <definedName name="IQ_LT_DEBT_REPRICING_WITHIN_1_YR_INT_SENSITIVITY_FFIEC" hidden="1">"c13095"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" hidden="1">"c6234"</definedName>
    <definedName name="IQ_LT_INVEST_REIT" hidden="1">"c700"</definedName>
    <definedName name="IQ_LT_INVEST_UTI" hidden="1">"c701"</definedName>
    <definedName name="IQ_LT_LIAB_AP" hidden="1">"c8885"</definedName>
    <definedName name="IQ_LT_LIAB_AP_ABS" hidden="1">"c8904"</definedName>
    <definedName name="IQ_LT_LIAB_NAME_AP" hidden="1">"c8923"</definedName>
    <definedName name="IQ_LT_LIAB_NAME_AP_ABS" hidden="1">"c8942"</definedName>
    <definedName name="IQ_LT_NOTE_RECEIV" hidden="1">"c1602"</definedName>
    <definedName name="IQ_LT_SENIOR_DEBT" hidden="1">"c702"</definedName>
    <definedName name="IQ_LT_SUB_DEBT" hidden="1">"c703"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DATE" hidden="1">"IQ_LTM_DATE"</definedName>
    <definedName name="IQ_LTM_REVENUE_OVER_EMPLOYEES" hidden="1">"c1304"</definedName>
    <definedName name="IQ_LTMMONTH" hidden="1">120000</definedName>
    <definedName name="IQ_M1" hidden="1">"c6906"</definedName>
    <definedName name="IQ_M1_APR" hidden="1">"c7566"</definedName>
    <definedName name="IQ_M1_APR_FC" hidden="1">"c8446"</definedName>
    <definedName name="IQ_M1_FC" hidden="1">"c7786"</definedName>
    <definedName name="IQ_M1_POP" hidden="1">"c7126"</definedName>
    <definedName name="IQ_M1_POP_FC" hidden="1">"c8006"</definedName>
    <definedName name="IQ_M1_YOY" hidden="1">"c7346"</definedName>
    <definedName name="IQ_M1_YOY_FC" hidden="1">"c8226"</definedName>
    <definedName name="IQ_M2" hidden="1">"c6907"</definedName>
    <definedName name="IQ_M2_APR" hidden="1">"c7567"</definedName>
    <definedName name="IQ_M2_APR_FC" hidden="1">"c8447"</definedName>
    <definedName name="IQ_M2_FC" hidden="1">"c7787"</definedName>
    <definedName name="IQ_M2_POP" hidden="1">"c7127"</definedName>
    <definedName name="IQ_M2_POP_FC" hidden="1">"c8007"</definedName>
    <definedName name="IQ_M2_YOY" hidden="1">"c7347"</definedName>
    <definedName name="IQ_M2_YOY_FC" hidden="1">"c8227"</definedName>
    <definedName name="IQ_M3" hidden="1">"c6908"</definedName>
    <definedName name="IQ_M3_APR" hidden="1">"c7568"</definedName>
    <definedName name="IQ_M3_APR_FC" hidden="1">"c8448"</definedName>
    <definedName name="IQ_M3_FC" hidden="1">"c7788"</definedName>
    <definedName name="IQ_M3_POP" hidden="1">"c7128"</definedName>
    <definedName name="IQ_M3_POP_FC" hidden="1">"c8008"</definedName>
    <definedName name="IQ_M3_YOY" hidden="1">"c7348"</definedName>
    <definedName name="IQ_M3_YOY_FC" hidden="1">"c8228"</definedName>
    <definedName name="IQ_MACHINERY" hidden="1">"c711"</definedName>
    <definedName name="IQ_MAINT_CAPEX" hidden="1">"c2947"</definedName>
    <definedName name="IQ_MAINT_CAPEX_ACT_OR_EST" hidden="1">"c4458"</definedName>
    <definedName name="IQ_MAINT_CAPEX_ACT_OR_EST_CIQ" hidden="1">"c4987"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N_INVENTORIES" hidden="1">"c6913"</definedName>
    <definedName name="IQ_MAN_INVENTORIES_APR" hidden="1">"c7573"</definedName>
    <definedName name="IQ_MAN_INVENTORIES_APR_FC" hidden="1">"c8453"</definedName>
    <definedName name="IQ_MAN_INVENTORIES_FC" hidden="1">"c7793"</definedName>
    <definedName name="IQ_MAN_INVENTORIES_POP" hidden="1">"c7133"</definedName>
    <definedName name="IQ_MAN_INVENTORIES_POP_FC" hidden="1">"c8013"</definedName>
    <definedName name="IQ_MAN_INVENTORIES_YOY" hidden="1">"c7353"</definedName>
    <definedName name="IQ_MAN_INVENTORIES_YOY_FC" hidden="1">"c8233"</definedName>
    <definedName name="IQ_MAN_IS_RATIO" hidden="1">"c6912"</definedName>
    <definedName name="IQ_MAN_IS_RATIO_APR" hidden="1">"c7572"</definedName>
    <definedName name="IQ_MAN_IS_RATIO_APR_FC" hidden="1">"c8452"</definedName>
    <definedName name="IQ_MAN_IS_RATIO_FC" hidden="1">"c7792"</definedName>
    <definedName name="IQ_MAN_IS_RATIO_POP" hidden="1">"c7132"</definedName>
    <definedName name="IQ_MAN_IS_RATIO_POP_FC" hidden="1">"c8012"</definedName>
    <definedName name="IQ_MAN_IS_RATIO_YOY" hidden="1">"c7352"</definedName>
    <definedName name="IQ_MAN_IS_RATIO_YOY_FC" hidden="1">"c8232"</definedName>
    <definedName name="IQ_MAN_ORDERS" hidden="1">"c6914"</definedName>
    <definedName name="IQ_MAN_ORDERS_APR" hidden="1">"c7574"</definedName>
    <definedName name="IQ_MAN_ORDERS_APR_FC" hidden="1">"c8454"</definedName>
    <definedName name="IQ_MAN_ORDERS_FC" hidden="1">"c7794"</definedName>
    <definedName name="IQ_MAN_ORDERS_POP" hidden="1">"c7134"</definedName>
    <definedName name="IQ_MAN_ORDERS_POP_FC" hidden="1">"c8014"</definedName>
    <definedName name="IQ_MAN_ORDERS_YOY" hidden="1">"c7354"</definedName>
    <definedName name="IQ_MAN_ORDERS_YOY_FC" hidden="1">"c8234"</definedName>
    <definedName name="IQ_MAN_OUTPUT_HR" hidden="1">"c6915"</definedName>
    <definedName name="IQ_MAN_OUTPUT_HR_APR" hidden="1">"c7575"</definedName>
    <definedName name="IQ_MAN_OUTPUT_HR_APR_FC" hidden="1">"c8455"</definedName>
    <definedName name="IQ_MAN_OUTPUT_HR_FC" hidden="1">"c7795"</definedName>
    <definedName name="IQ_MAN_OUTPUT_HR_POP" hidden="1">"c7135"</definedName>
    <definedName name="IQ_MAN_OUTPUT_HR_POP_FC" hidden="1">"c8015"</definedName>
    <definedName name="IQ_MAN_OUTPUT_HR_YOY" hidden="1">"c7355"</definedName>
    <definedName name="IQ_MAN_OUTPUT_HR_YOY_FC" hidden="1">"c8235"</definedName>
    <definedName name="IQ_MAN_PAYROLLS" hidden="1">"c6916"</definedName>
    <definedName name="IQ_MAN_PAYROLLS_APR" hidden="1">"c7576"</definedName>
    <definedName name="IQ_MAN_PAYROLLS_APR_FC" hidden="1">"c8456"</definedName>
    <definedName name="IQ_MAN_PAYROLLS_FC" hidden="1">"c7796"</definedName>
    <definedName name="IQ_MAN_PAYROLLS_POP" hidden="1">"c7136"</definedName>
    <definedName name="IQ_MAN_PAYROLLS_POP_FC" hidden="1">"c8016"</definedName>
    <definedName name="IQ_MAN_PAYROLLS_YOY" hidden="1">"c7356"</definedName>
    <definedName name="IQ_MAN_PAYROLLS_YOY_FC" hidden="1">"c8236"</definedName>
    <definedName name="IQ_MAN_SHIPMENTS" hidden="1">"c6917"</definedName>
    <definedName name="IQ_MAN_SHIPMENTS_APR" hidden="1">"c7577"</definedName>
    <definedName name="IQ_MAN_SHIPMENTS_APR_FC" hidden="1">"c8457"</definedName>
    <definedName name="IQ_MAN_SHIPMENTS_FC" hidden="1">"c7797"</definedName>
    <definedName name="IQ_MAN_SHIPMENTS_POP" hidden="1">"c7137"</definedName>
    <definedName name="IQ_MAN_SHIPMENTS_POP_FC" hidden="1">"c8017"</definedName>
    <definedName name="IQ_MAN_SHIPMENTS_YOY" hidden="1">"c7357"</definedName>
    <definedName name="IQ_MAN_SHIPMENTS_YOY_FC" hidden="1">"c8237"</definedName>
    <definedName name="IQ_MAN_TOTAL_HR" hidden="1">"c6918"</definedName>
    <definedName name="IQ_MAN_TOTAL_HR_APR" hidden="1">"c7578"</definedName>
    <definedName name="IQ_MAN_TOTAL_HR_APR_FC" hidden="1">"c8458"</definedName>
    <definedName name="IQ_MAN_TOTAL_HR_FC" hidden="1">"c7798"</definedName>
    <definedName name="IQ_MAN_TOTAL_HR_POP" hidden="1">"c7138"</definedName>
    <definedName name="IQ_MAN_TOTAL_HR_POP_FC" hidden="1">"c8018"</definedName>
    <definedName name="IQ_MAN_TOTAL_HR_YOY" hidden="1">"c7358"</definedName>
    <definedName name="IQ_MAN_TOTAL_HR_YOY_FC" hidden="1">"c8238"</definedName>
    <definedName name="IQ_MAN_TRADE_INVENTORIES" hidden="1">"c6910"</definedName>
    <definedName name="IQ_MAN_TRADE_INVENTORIES_APR" hidden="1">"c7570"</definedName>
    <definedName name="IQ_MAN_TRADE_INVENTORIES_APR_FC" hidden="1">"c8450"</definedName>
    <definedName name="IQ_MAN_TRADE_INVENTORIES_FC" hidden="1">"c7790"</definedName>
    <definedName name="IQ_MAN_TRADE_INVENTORIES_POP" hidden="1">"c7130"</definedName>
    <definedName name="IQ_MAN_TRADE_INVENTORIES_POP_FC" hidden="1">"c8010"</definedName>
    <definedName name="IQ_MAN_TRADE_INVENTORIES_YOY" hidden="1">"c7350"</definedName>
    <definedName name="IQ_MAN_TRADE_INVENTORIES_YOY_FC" hidden="1">"c8230"</definedName>
    <definedName name="IQ_MAN_TRADE_IS_RATIO" hidden="1">"c6909"</definedName>
    <definedName name="IQ_MAN_TRADE_IS_RATIO_FC" hidden="1">"c7789"</definedName>
    <definedName name="IQ_MAN_TRADE_IS_RATIO_POP" hidden="1">"c7129"</definedName>
    <definedName name="IQ_MAN_TRADE_IS_RATIO_POP_FC" hidden="1">"c8009"</definedName>
    <definedName name="IQ_MAN_TRADE_IS_RATIO_YOY" hidden="1">"c7349"</definedName>
    <definedName name="IQ_MAN_TRADE_IS_RATIO_YOY_FC" hidden="1">"c8229"</definedName>
    <definedName name="IQ_MAN_TRADE_SALES" hidden="1">"c6911"</definedName>
    <definedName name="IQ_MAN_TRADE_SALES_APR" hidden="1">"c7571"</definedName>
    <definedName name="IQ_MAN_TRADE_SALES_APR_FC" hidden="1">"c8451"</definedName>
    <definedName name="IQ_MAN_TRADE_SALES_FC" hidden="1">"c7791"</definedName>
    <definedName name="IQ_MAN_TRADE_SALES_POP" hidden="1">"c7131"</definedName>
    <definedName name="IQ_MAN_TRADE_SALES_POP_FC" hidden="1">"c8011"</definedName>
    <definedName name="IQ_MAN_TRADE_SALES_YOY" hidden="1">"c7351"</definedName>
    <definedName name="IQ_MAN_TRADE_SALES_YOY_FC" hidden="1">"c8231"</definedName>
    <definedName name="IQ_MAN_WAGES" hidden="1">"c6919"</definedName>
    <definedName name="IQ_MAN_WAGES_APR" hidden="1">"c7579"</definedName>
    <definedName name="IQ_MAN_WAGES_APR_FC" hidden="1">"c8459"</definedName>
    <definedName name="IQ_MAN_WAGES_FC" hidden="1">"c7799"</definedName>
    <definedName name="IQ_MAN_WAGES_POP" hidden="1">"c7139"</definedName>
    <definedName name="IQ_MAN_WAGES_POP_FC" hidden="1">"c8019"</definedName>
    <definedName name="IQ_MAN_WAGES_YOY" hidden="1">"c7359"</definedName>
    <definedName name="IQ_MAN_WAGES_YOY_FC" hidden="1">"c8239"</definedName>
    <definedName name="IQ_MANAGED_PROP" hidden="1">"c8763"</definedName>
    <definedName name="IQ_MANAGED_SQ_FT" hidden="1">"c8779"</definedName>
    <definedName name="IQ_MANAGED_UNITS" hidden="1">"c8771"</definedName>
    <definedName name="IQ_MARGIN_ANNUAL_PREMIUM_EQUIVALENT_NEW_BUSINESS" hidden="1">"c9970"</definedName>
    <definedName name="IQ_MARGIN_PV_PREMIUMS_NEW_BUSINESS" hidden="1">"c9971"</definedName>
    <definedName name="IQ_MARKET_CAP_LFCF" hidden="1">"c2209"</definedName>
    <definedName name="IQ_MARKETCAP" hidden="1">"c712"</definedName>
    <definedName name="IQ_MARKETING" hidden="1">"c2239"</definedName>
    <definedName name="IQ_MARKTCAP" hidden="1">"c258"</definedName>
    <definedName name="IQ_MATURITY_DATE" hidden="1">"c2146"</definedName>
    <definedName name="IQ_MATURITY_ONE_YEAR_LESS_FDIC" hidden="1">"c6425"</definedName>
    <definedName name="IQ_MBS_INVEST_SECURITIES_FFIEC" hidden="1">"c13460"</definedName>
    <definedName name="IQ_MBS_OTHER_ISSUED_FNMA_OTHERS_AVAIL_SALE_FFIEC" hidden="1">"c12799"</definedName>
    <definedName name="IQ_MBS_OTHER_ISSUED_FNMA_OTHERS_FFIEC" hidden="1">"c12785"</definedName>
    <definedName name="IQ_MBS_PASS_THROUGH_FNMA_AVAIL_SALE_FFIEC" hidden="1">"c12797"</definedName>
    <definedName name="IQ_MBS_PASS_THROUGH_FNMA_FFIEC" hidden="1">"c12783"</definedName>
    <definedName name="IQ_MBS_PASS_THROUGH_GNMA_AVAIL_SALE_FFIEC" hidden="1">"c12796"</definedName>
    <definedName name="IQ_MBS_PASS_THROUGH_GNMA_FFIEC" hidden="1">"c12782"</definedName>
    <definedName name="IQ_MBS_PASS_THROUGH_ISSUED_FNMA_GNMA_TRADING_DOM_FFIEC" hidden="1">"c12921"</definedName>
    <definedName name="IQ_MBS_PASS_THROUGH_OTHER_AVAIL_SALE_FFIEC" hidden="1">"c12798"</definedName>
    <definedName name="IQ_MBS_PASS_THROUGH_OTHER_FFIEC" hidden="1">"c12784"</definedName>
    <definedName name="IQ_MBS_QUARTERLY_AVG_FFIEC" hidden="1">"c15471"</definedName>
    <definedName name="IQ_MC_ASO_COVERED_LIVES" hidden="1">"c9918"</definedName>
    <definedName name="IQ_MC_ASO_MEMBERSHIP" hidden="1">"c9921"</definedName>
    <definedName name="IQ_MC_CLAIMS_RESERVES" hidden="1">"c9941"</definedName>
    <definedName name="IQ_MC_COMBINED_RATIO" hidden="1">"c9933"</definedName>
    <definedName name="IQ_MC_DAYS_CLAIMS_PAYABLE" hidden="1">"c9937"</definedName>
    <definedName name="IQ_MC_DAYS_CLAIMS_PAYABLE_EXCL_CAPITATION" hidden="1">"c9938"</definedName>
    <definedName name="IQ_MC_MEDICAL_COSTS_PMPM" hidden="1">"c9925"</definedName>
    <definedName name="IQ_MC_PARENT_CASH" hidden="1">"c9942"</definedName>
    <definedName name="IQ_MC_PREMIUMS_PMPM" hidden="1">"c9924"</definedName>
    <definedName name="IQ_MC_RATIO" hidden="1">"c2783"</definedName>
    <definedName name="IQ_MC_RECEIPT_CYCLE_TIME_DAYS" hidden="1">"c9939"</definedName>
    <definedName name="IQ_MC_RECEIPT_CYCLE_TIME_MONTHS" hidden="1">"c9940"</definedName>
    <definedName name="IQ_MC_RISK_COVERED_LIVES" hidden="1">"c9917"</definedName>
    <definedName name="IQ_MC_RISK_MEMBERSHIP" hidden="1">"c9920"</definedName>
    <definedName name="IQ_MC_SELLILNG_COSTS_RATIO" hidden="1">"c9928"</definedName>
    <definedName name="IQ_MC_SGA_PMPM" hidden="1">"c9926"</definedName>
    <definedName name="IQ_MC_STATUTORY_SURPLUS" hidden="1">"c2772"</definedName>
    <definedName name="IQ_MC_TOTAL_COVERED_LIVES" hidden="1">"c9919"</definedName>
    <definedName name="IQ_MC_TOTAL_MEMBERSHIP" hidden="1">"c9922"</definedName>
    <definedName name="IQ_MC_TOTAL_MEMBERSHIP_CAPITATION" hidden="1">"c9923"</definedName>
    <definedName name="IQ_MC_UNPROCESSED_CLAIMS_INVENTORY_DAYS" hidden="1">"c9936"</definedName>
    <definedName name="IQ_MC_UNPROCESSED_CLAIMS_INVENTORY_NUMBER" hidden="1">"c9934"</definedName>
    <definedName name="IQ_MC_UNPROCESSED_CLAIMS_INVENTORY_VALUE" hidden="1">"c9935"</definedName>
    <definedName name="IQ_MEASURED_ATTRIB_ORE_RESOURCES_ALUM" hidden="1">"c9237"</definedName>
    <definedName name="IQ_MEASURED_ATTRIB_ORE_RESOURCES_COP" hidden="1">"c9181"</definedName>
    <definedName name="IQ_MEASURED_ATTRIB_ORE_RESOURCES_DIAM" hidden="1">"c9661"</definedName>
    <definedName name="IQ_MEASURED_ATTRIB_ORE_RESOURCES_GOLD" hidden="1">"c9022"</definedName>
    <definedName name="IQ_MEASURED_ATTRIB_ORE_RESOURCES_IRON" hidden="1">"c9396"</definedName>
    <definedName name="IQ_MEASURED_ATTRIB_ORE_RESOURCES_LEAD" hidden="1">"c9449"</definedName>
    <definedName name="IQ_MEASURED_ATTRIB_ORE_RESOURCES_MANG" hidden="1">"c9502"</definedName>
    <definedName name="IQ_MEASURED_ATTRIB_ORE_RESOURCES_MOLYB" hidden="1">"c9714"</definedName>
    <definedName name="IQ_MEASURED_ATTRIB_ORE_RESOURCES_NICK" hidden="1">"c9290"</definedName>
    <definedName name="IQ_MEASURED_ATTRIB_ORE_RESOURCES_PLAT" hidden="1">"c9128"</definedName>
    <definedName name="IQ_MEASURED_ATTRIB_ORE_RESOURCES_SILVER" hidden="1">"c9075"</definedName>
    <definedName name="IQ_MEASURED_ATTRIB_ORE_RESOURCES_TITAN" hidden="1">"c9555"</definedName>
    <definedName name="IQ_MEASURED_ATTRIB_ORE_RESOURCES_URAN" hidden="1">"c9608"</definedName>
    <definedName name="IQ_MEASURED_ATTRIB_ORE_RESOURCES_ZINC" hidden="1">"c9343"</definedName>
    <definedName name="IQ_MEASURED_INDICATED_ATTRIB_ORE_RESOURCES_ALUM" hidden="1">"c9239"</definedName>
    <definedName name="IQ_MEASURED_INDICATED_ATTRIB_ORE_RESOURCES_COP" hidden="1">"c9183"</definedName>
    <definedName name="IQ_MEASURED_INDICATED_ATTRIB_ORE_RESOURCES_DIAM" hidden="1">"c9663"</definedName>
    <definedName name="IQ_MEASURED_INDICATED_ATTRIB_ORE_RESOURCES_GOLD" hidden="1">"c9024"</definedName>
    <definedName name="IQ_MEASURED_INDICATED_ATTRIB_ORE_RESOURCES_IRON" hidden="1">"c9398"</definedName>
    <definedName name="IQ_MEASURED_INDICATED_ATTRIB_ORE_RESOURCES_LEAD" hidden="1">"c9451"</definedName>
    <definedName name="IQ_MEASURED_INDICATED_ATTRIB_ORE_RESOURCES_MANG" hidden="1">"c9504"</definedName>
    <definedName name="IQ_MEASURED_INDICATED_ATTRIB_ORE_RESOURCES_MOLYB" hidden="1">"c9716"</definedName>
    <definedName name="IQ_MEASURED_INDICATED_ATTRIB_ORE_RESOURCES_NICK" hidden="1">"c9292"</definedName>
    <definedName name="IQ_MEASURED_INDICATED_ATTRIB_ORE_RESOURCES_PLAT" hidden="1">"c9130"</definedName>
    <definedName name="IQ_MEASURED_INDICATED_ATTRIB_ORE_RESOURCES_SILVER" hidden="1">"c9077"</definedName>
    <definedName name="IQ_MEASURED_INDICATED_ATTRIB_ORE_RESOURCES_TITAN" hidden="1">"c9557"</definedName>
    <definedName name="IQ_MEASURED_INDICATED_ATTRIB_ORE_RESOURCES_URAN" hidden="1">"c9610"</definedName>
    <definedName name="IQ_MEASURED_INDICATED_ATTRIB_ORE_RESOURCES_ZINC" hidden="1">"c9345"</definedName>
    <definedName name="IQ_MEASURED_INDICATED_ORE_RESOURCES_ALUM" hidden="1">"c9226"</definedName>
    <definedName name="IQ_MEASURED_INDICATED_ORE_RESOURCES_COP" hidden="1">"c9170"</definedName>
    <definedName name="IQ_MEASURED_INDICATED_ORE_RESOURCES_DIAM" hidden="1">"c9650"</definedName>
    <definedName name="IQ_MEASURED_INDICATED_ORE_RESOURCES_GOLD" hidden="1">"c9011"</definedName>
    <definedName name="IQ_MEASURED_INDICATED_ORE_RESOURCES_IRON" hidden="1">"c9385"</definedName>
    <definedName name="IQ_MEASURED_INDICATED_ORE_RESOURCES_LEAD" hidden="1">"c9438"</definedName>
    <definedName name="IQ_MEASURED_INDICATED_ORE_RESOURCES_MANG" hidden="1">"c9491"</definedName>
    <definedName name="IQ_MEASURED_INDICATED_ORE_RESOURCES_MOLYB" hidden="1">"c9703"</definedName>
    <definedName name="IQ_MEASURED_INDICATED_ORE_RESOURCES_NICK" hidden="1">"c9279"</definedName>
    <definedName name="IQ_MEASURED_INDICATED_ORE_RESOURCES_PLAT" hidden="1">"c9117"</definedName>
    <definedName name="IQ_MEASURED_INDICATED_ORE_RESOURCES_SILVER" hidden="1">"c9064"</definedName>
    <definedName name="IQ_MEASURED_INDICATED_ORE_RESOURCES_TITAN" hidden="1">"c9544"</definedName>
    <definedName name="IQ_MEASURED_INDICATED_ORE_RESOURCES_URAN" hidden="1">"c9597"</definedName>
    <definedName name="IQ_MEASURED_INDICATED_ORE_RESOURCES_ZINC" hidden="1">"c9332"</definedName>
    <definedName name="IQ_MEASURED_INDICATED_RECOV_RESOURCES_ALUM" hidden="1">"c9234"</definedName>
    <definedName name="IQ_MEASURED_INDICATED_RECOV_RESOURCES_COAL" hidden="1">"c9813"</definedName>
    <definedName name="IQ_MEASURED_INDICATED_RECOV_RESOURCES_COP" hidden="1">"c9178"</definedName>
    <definedName name="IQ_MEASURED_INDICATED_RECOV_RESOURCES_DIAM" hidden="1">"c9658"</definedName>
    <definedName name="IQ_MEASURED_INDICATED_RECOV_RESOURCES_GOLD" hidden="1">"c9019"</definedName>
    <definedName name="IQ_MEASURED_INDICATED_RECOV_RESOURCES_IRON" hidden="1">"c9393"</definedName>
    <definedName name="IQ_MEASURED_INDICATED_RECOV_RESOURCES_LEAD" hidden="1">"c9446"</definedName>
    <definedName name="IQ_MEASURED_INDICATED_RECOV_RESOURCES_MANG" hidden="1">"c9499"</definedName>
    <definedName name="IQ_MEASURED_INDICATED_RECOV_RESOURCES_MET_COAL" hidden="1">"c9753"</definedName>
    <definedName name="IQ_MEASURED_INDICATED_RECOV_RESOURCES_MOLYB" hidden="1">"c9711"</definedName>
    <definedName name="IQ_MEASURED_INDICATED_RECOV_RESOURCES_NICK" hidden="1">"c9287"</definedName>
    <definedName name="IQ_MEASURED_INDICATED_RECOV_RESOURCES_PLAT" hidden="1">"c9125"</definedName>
    <definedName name="IQ_MEASURED_INDICATED_RECOV_RESOURCES_SILVER" hidden="1">"c9072"</definedName>
    <definedName name="IQ_MEASURED_INDICATED_RECOV_RESOURCES_STEAM" hidden="1">"c9783"</definedName>
    <definedName name="IQ_MEASURED_INDICATED_RECOV_RESOURCES_TITAN" hidden="1">"c9552"</definedName>
    <definedName name="IQ_MEASURED_INDICATED_RECOV_RESOURCES_URAN" hidden="1">"c9605"</definedName>
    <definedName name="IQ_MEASURED_INDICATED_RECOV_RESOURCES_ZINC" hidden="1">"c9340"</definedName>
    <definedName name="IQ_MEASURED_INDICATED_RESOURCES_GRADE_ALUM" hidden="1">"c9227"</definedName>
    <definedName name="IQ_MEASURED_INDICATED_RESOURCES_GRADE_COP" hidden="1">"c9171"</definedName>
    <definedName name="IQ_MEASURED_INDICATED_RESOURCES_GRADE_DIAM" hidden="1">"c9651"</definedName>
    <definedName name="IQ_MEASURED_INDICATED_RESOURCES_GRADE_GOLD" hidden="1">"c9012"</definedName>
    <definedName name="IQ_MEASURED_INDICATED_RESOURCES_GRADE_IRON" hidden="1">"c9386"</definedName>
    <definedName name="IQ_MEASURED_INDICATED_RESOURCES_GRADE_LEAD" hidden="1">"c9439"</definedName>
    <definedName name="IQ_MEASURED_INDICATED_RESOURCES_GRADE_MANG" hidden="1">"c9492"</definedName>
    <definedName name="IQ_MEASURED_INDICATED_RESOURCES_GRADE_MOLYB" hidden="1">"c9704"</definedName>
    <definedName name="IQ_MEASURED_INDICATED_RESOURCES_GRADE_NICK" hidden="1">"c9280"</definedName>
    <definedName name="IQ_MEASURED_INDICATED_RESOURCES_GRADE_PLAT" hidden="1">"c9118"</definedName>
    <definedName name="IQ_MEASURED_INDICATED_RESOURCES_GRADE_SILVER" hidden="1">"c9065"</definedName>
    <definedName name="IQ_MEASURED_INDICATED_RESOURCES_GRADE_TITAN" hidden="1">"c9545"</definedName>
    <definedName name="IQ_MEASURED_INDICATED_RESOURCES_GRADE_URAN" hidden="1">"c9598"</definedName>
    <definedName name="IQ_MEASURED_INDICATED_RESOURCES_GRADE_ZINC" hidden="1">"c9333"</definedName>
    <definedName name="IQ_MEASURED_ORE_RESOURCES_ALUM" hidden="1">"c9222"</definedName>
    <definedName name="IQ_MEASURED_ORE_RESOURCES_COP" hidden="1">"c9166"</definedName>
    <definedName name="IQ_MEASURED_ORE_RESOURCES_DIAM" hidden="1">"c9646"</definedName>
    <definedName name="IQ_MEASURED_ORE_RESOURCES_GOLD" hidden="1">"c9007"</definedName>
    <definedName name="IQ_MEASURED_ORE_RESOURCES_IRON" hidden="1">"c9381"</definedName>
    <definedName name="IQ_MEASURED_ORE_RESOURCES_LEAD" hidden="1">"c9434"</definedName>
    <definedName name="IQ_MEASURED_ORE_RESOURCES_MANG" hidden="1">"c9487"</definedName>
    <definedName name="IQ_MEASURED_ORE_RESOURCES_MOLYB" hidden="1">"c9699"</definedName>
    <definedName name="IQ_MEASURED_ORE_RESOURCES_NICK" hidden="1">"c9275"</definedName>
    <definedName name="IQ_MEASURED_ORE_RESOURCES_PLAT" hidden="1">"c9113"</definedName>
    <definedName name="IQ_MEASURED_ORE_RESOURCES_SILVER" hidden="1">"c9060"</definedName>
    <definedName name="IQ_MEASURED_ORE_RESOURCES_TITAN" hidden="1">"c9540"</definedName>
    <definedName name="IQ_MEASURED_ORE_RESOURCES_URAN" hidden="1">"c9593"</definedName>
    <definedName name="IQ_MEASURED_ORE_RESOURCES_ZINC" hidden="1">"c9328"</definedName>
    <definedName name="IQ_MEASURED_RECOV_ATTRIB_RESOURCES_ALUM" hidden="1">"c9242"</definedName>
    <definedName name="IQ_MEASURED_RECOV_ATTRIB_RESOURCES_COAL" hidden="1">"c9816"</definedName>
    <definedName name="IQ_MEASURED_RECOV_ATTRIB_RESOURCES_COP" hidden="1">"c9186"</definedName>
    <definedName name="IQ_MEASURED_RECOV_ATTRIB_RESOURCES_DIAM" hidden="1">"c9666"</definedName>
    <definedName name="IQ_MEASURED_RECOV_ATTRIB_RESOURCES_GOLD" hidden="1">"c9027"</definedName>
    <definedName name="IQ_MEASURED_RECOV_ATTRIB_RESOURCES_IRON" hidden="1">"c9401"</definedName>
    <definedName name="IQ_MEASURED_RECOV_ATTRIB_RESOURCES_LEAD" hidden="1">"c9454"</definedName>
    <definedName name="IQ_MEASURED_RECOV_ATTRIB_RESOURCES_MANG" hidden="1">"c9507"</definedName>
    <definedName name="IQ_MEASURED_RECOV_ATTRIB_RESOURCES_MET_COAL" hidden="1">"c9756"</definedName>
    <definedName name="IQ_MEASURED_RECOV_ATTRIB_RESOURCES_MOLYB" hidden="1">"c9719"</definedName>
    <definedName name="IQ_MEASURED_RECOV_ATTRIB_RESOURCES_NICK" hidden="1">"c9295"</definedName>
    <definedName name="IQ_MEASURED_RECOV_ATTRIB_RESOURCES_PLAT" hidden="1">"c9133"</definedName>
    <definedName name="IQ_MEASURED_RECOV_ATTRIB_RESOURCES_SILVER" hidden="1">"c9080"</definedName>
    <definedName name="IQ_MEASURED_RECOV_ATTRIB_RESOURCES_STEAM" hidden="1">"c9786"</definedName>
    <definedName name="IQ_MEASURED_RECOV_ATTRIB_RESOURCES_TITAN" hidden="1">"c9560"</definedName>
    <definedName name="IQ_MEASURED_RECOV_ATTRIB_RESOURCES_URAN" hidden="1">"c9613"</definedName>
    <definedName name="IQ_MEASURED_RECOV_ATTRIB_RESOURCES_ZINC" hidden="1">"c9348"</definedName>
    <definedName name="IQ_MEASURED_RECOV_RESOURCES_ALUM" hidden="1">"c9232"</definedName>
    <definedName name="IQ_MEASURED_RECOV_RESOURCES_COAL" hidden="1">"c9811"</definedName>
    <definedName name="IQ_MEASURED_RECOV_RESOURCES_COP" hidden="1">"c9176"</definedName>
    <definedName name="IQ_MEASURED_RECOV_RESOURCES_DIAM" hidden="1">"c9656"</definedName>
    <definedName name="IQ_MEASURED_RECOV_RESOURCES_GOLD" hidden="1">"c9017"</definedName>
    <definedName name="IQ_MEASURED_RECOV_RESOURCES_IRON" hidden="1">"c9391"</definedName>
    <definedName name="IQ_MEASURED_RECOV_RESOURCES_LEAD" hidden="1">"c9444"</definedName>
    <definedName name="IQ_MEASURED_RECOV_RESOURCES_MANG" hidden="1">"c9497"</definedName>
    <definedName name="IQ_MEASURED_RECOV_RESOURCES_MET_COAL" hidden="1">"c9751"</definedName>
    <definedName name="IQ_MEASURED_RECOV_RESOURCES_MOLYB" hidden="1">"c9709"</definedName>
    <definedName name="IQ_MEASURED_RECOV_RESOURCES_NICK" hidden="1">"c9285"</definedName>
    <definedName name="IQ_MEASURED_RECOV_RESOURCES_PLAT" hidden="1">"c9123"</definedName>
    <definedName name="IQ_MEASURED_RECOV_RESOURCES_SILVER" hidden="1">"c9070"</definedName>
    <definedName name="IQ_MEASURED_RECOV_RESOURCES_STEAM" hidden="1">"c9781"</definedName>
    <definedName name="IQ_MEASURED_RECOV_RESOURCES_TITAN" hidden="1">"c9550"</definedName>
    <definedName name="IQ_MEASURED_RECOV_RESOURCES_URAN" hidden="1">"c9603"</definedName>
    <definedName name="IQ_MEASURED_RECOV_RESOURCES_ZINC" hidden="1">"c9338"</definedName>
    <definedName name="IQ_MEASURED_RESOURCES_CALORIFIC_VALUE_COAL" hidden="1">"c9806"</definedName>
    <definedName name="IQ_MEASURED_RESOURCES_CALORIFIC_VALUE_MET_COAL" hidden="1">"c9746"</definedName>
    <definedName name="IQ_MEASURED_RESOURCES_CALORIFIC_VALUE_STEAM" hidden="1">"c9776"</definedName>
    <definedName name="IQ_MEASURED_RESOURCES_GRADE_ALUM" hidden="1">"c9223"</definedName>
    <definedName name="IQ_MEASURED_RESOURCES_GRADE_COP" hidden="1">"c9167"</definedName>
    <definedName name="IQ_MEASURED_RESOURCES_GRADE_DIAM" hidden="1">"c9647"</definedName>
    <definedName name="IQ_MEASURED_RESOURCES_GRADE_GOLD" hidden="1">"c9008"</definedName>
    <definedName name="IQ_MEASURED_RESOURCES_GRADE_IRON" hidden="1">"c9382"</definedName>
    <definedName name="IQ_MEASURED_RESOURCES_GRADE_LEAD" hidden="1">"c9435"</definedName>
    <definedName name="IQ_MEASURED_RESOURCES_GRADE_MANG" hidden="1">"c9488"</definedName>
    <definedName name="IQ_MEASURED_RESOURCES_GRADE_MOLYB" hidden="1">"c9700"</definedName>
    <definedName name="IQ_MEASURED_RESOURCES_GRADE_NICK" hidden="1">"c9276"</definedName>
    <definedName name="IQ_MEASURED_RESOURCES_GRADE_PLAT" hidden="1">"c9114"</definedName>
    <definedName name="IQ_MEASURED_RESOURCES_GRADE_SILVER" hidden="1">"c9061"</definedName>
    <definedName name="IQ_MEASURED_RESOURCES_GRADE_TITAN" hidden="1">"c9541"</definedName>
    <definedName name="IQ_MEASURED_RESOURCES_GRADE_URAN" hidden="1">"c9594"</definedName>
    <definedName name="IQ_MEASURED_RESOURCES_GRADE_ZINC" hidden="1">"c9329"</definedName>
    <definedName name="IQ_MEDIAN_NEW_HOME_SALES_APR_FC_UNUSED" hidden="1">"c8460"</definedName>
    <definedName name="IQ_MEDIAN_NEW_HOME_SALES_APR_FC_UNUSED_UNUSED_UNUSED" hidden="1">"c8460"</definedName>
    <definedName name="IQ_MEDIAN_NEW_HOME_SALES_APR_UNUSED" hidden="1">"c7580"</definedName>
    <definedName name="IQ_MEDIAN_NEW_HOME_SALES_APR_UNUSED_UNUSED_UNUSED" hidden="1">"c7580"</definedName>
    <definedName name="IQ_MEDIAN_NEW_HOME_SALES_FC_UNUSED" hidden="1">"c7800"</definedName>
    <definedName name="IQ_MEDIAN_NEW_HOME_SALES_FC_UNUSED_UNUSED_UNUSED" hidden="1">"c7800"</definedName>
    <definedName name="IQ_MEDIAN_NEW_HOME_SALES_POP_FC_UNUSED" hidden="1">"c8020"</definedName>
    <definedName name="IQ_MEDIAN_NEW_HOME_SALES_POP_FC_UNUSED_UNUSED_UNUSED" hidden="1">"c8020"</definedName>
    <definedName name="IQ_MEDIAN_NEW_HOME_SALES_POP_UNUSED" hidden="1">"c7140"</definedName>
    <definedName name="IQ_MEDIAN_NEW_HOME_SALES_POP_UNUSED_UNUSED_UNUSED" hidden="1">"c7140"</definedName>
    <definedName name="IQ_MEDIAN_NEW_HOME_SALES_UNUSED" hidden="1">"c6920"</definedName>
    <definedName name="IQ_MEDIAN_NEW_HOME_SALES_UNUSED_UNUSED_UNUSED" hidden="1">"c6920"</definedName>
    <definedName name="IQ_MEDIAN_NEW_HOME_SALES_YOY_FC_UNUSED" hidden="1">"c8240"</definedName>
    <definedName name="IQ_MEDIAN_NEW_HOME_SALES_YOY_FC_UNUSED_UNUSED_UNUSED" hidden="1">"c8240"</definedName>
    <definedName name="IQ_MEDIAN_NEW_HOME_SALES_YOY_UNUSED" hidden="1">"c7360"</definedName>
    <definedName name="IQ_MEDIAN_NEW_HOME_SALES_YOY_UNUSED_UNUSED_UNUSED" hidden="1">"c7360"</definedName>
    <definedName name="IQ_MEDIAN_TARGET_PRICE" hidden="1">"c1650"</definedName>
    <definedName name="IQ_MEDIAN_TARGET_PRICE_CIQ" hidden="1">"c4658"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" hidden="1">"c6235"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" hidden="1">"c6236"</definedName>
    <definedName name="IQ_MERGER_RESTRUCTURE_REIT" hidden="1">"c724"</definedName>
    <definedName name="IQ_MERGER_RESTRUCTURE_UTI" hidden="1">"c725"</definedName>
    <definedName name="IQ_MERGER_SUPPLE" hidden="1">"c13810"</definedName>
    <definedName name="IQ_MERGER_UTI" hidden="1">"c726"</definedName>
    <definedName name="IQ_MI_RECOV_ATTRIB_RESOURCES_ALUM" hidden="1">"c9244"</definedName>
    <definedName name="IQ_MI_RECOV_ATTRIB_RESOURCES_COAL" hidden="1">"c9818"</definedName>
    <definedName name="IQ_MI_RECOV_ATTRIB_RESOURCES_COP" hidden="1">"c9188"</definedName>
    <definedName name="IQ_MI_RECOV_ATTRIB_RESOURCES_DIAM" hidden="1">"c9668"</definedName>
    <definedName name="IQ_MI_RECOV_ATTRIB_RESOURCES_GOLD" hidden="1">"c9029"</definedName>
    <definedName name="IQ_MI_RECOV_ATTRIB_RESOURCES_IRON" hidden="1">"c9403"</definedName>
    <definedName name="IQ_MI_RECOV_ATTRIB_RESOURCES_LEAD" hidden="1">"c9456"</definedName>
    <definedName name="IQ_MI_RECOV_ATTRIB_RESOURCES_MANG" hidden="1">"c9509"</definedName>
    <definedName name="IQ_MI_RECOV_ATTRIB_RESOURCES_MET_COAL" hidden="1">"c9758"</definedName>
    <definedName name="IQ_MI_RECOV_ATTRIB_RESOURCES_MOLYB" hidden="1">"c9721"</definedName>
    <definedName name="IQ_MI_RECOV_ATTRIB_RESOURCES_NICK" hidden="1">"c9297"</definedName>
    <definedName name="IQ_MI_RECOV_ATTRIB_RESOURCES_PLAT" hidden="1">"c9135"</definedName>
    <definedName name="IQ_MI_RECOV_ATTRIB_RESOURCES_SILVER" hidden="1">"c9082"</definedName>
    <definedName name="IQ_MI_RECOV_ATTRIB_RESOURCES_STEAM" hidden="1">"c9788"</definedName>
    <definedName name="IQ_MI_RECOV_ATTRIB_RESOURCES_TITAN" hidden="1">"c9562"</definedName>
    <definedName name="IQ_MI_RECOV_ATTRIB_RESOURCES_URAN" hidden="1">"c9615"</definedName>
    <definedName name="IQ_MI_RECOV_ATTRIB_RESOURCES_ZINC" hidden="1">"c9350"</definedName>
    <definedName name="IQ_MI_RESOURCES_CALORIFIC_VALUE_COAL" hidden="1">"c9808"</definedName>
    <definedName name="IQ_MI_RESOURCES_CALORIFIC_VALUE_MET_COAL" hidden="1">"c9748"</definedName>
    <definedName name="IQ_MI_RESOURCES_CALORIFIC_VALUE_STEAM" hidden="1">"c9778"</definedName>
    <definedName name="IQ_MINORITY_INT_AVG_ASSETS_FFIEC" hidden="1">"c13367"</definedName>
    <definedName name="IQ_MINORITY_INT_BS_FFIEC" hidden="1">"c12874"</definedName>
    <definedName name="IQ_MINORITY_INT_FFIEC" hidden="1">"c13031"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" hidden="1">"c6237"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CIQ" hidden="1">"c4041"</definedName>
    <definedName name="IQ_MM_ACCOUNT" hidden="1">"c743"</definedName>
    <definedName name="IQ_MM_ACCRETION_EXPENSE" hidden="1">"c9845"</definedName>
    <definedName name="IQ_MM_ARO_BEG" hidden="1">"c9842"</definedName>
    <definedName name="IQ_MM_ARO_TOTAL" hidden="1">"c9850"</definedName>
    <definedName name="IQ_MM_CURRENT_PORT_ARO" hidden="1">"c9851"</definedName>
    <definedName name="IQ_MM_DEVELOPED_ACREAGE" hidden="1">"c9832"</definedName>
    <definedName name="IQ_MM_DEVELOPED_SQ_KMS" hidden="1">"c9831"</definedName>
    <definedName name="IQ_MM_DEVELOPED_SQ_MILES" hidden="1">"c9833"</definedName>
    <definedName name="IQ_MM_EXPLORATION_EXPENDITURE_TOT" hidden="1">"c9840"</definedName>
    <definedName name="IQ_MM_FX_ADJUSTMENT" hidden="1">"c9847"</definedName>
    <definedName name="IQ_MM_LIABILITIES_INCURRED_ACQUIRED" hidden="1">"c9843"</definedName>
    <definedName name="IQ_MM_LIABILITIES_REL_SPIN_OFFS" hidden="1">"c9848"</definedName>
    <definedName name="IQ_MM_LIABILITIES_SETTLED_DISPOSED" hidden="1">"c9844"</definedName>
    <definedName name="IQ_MM_NON_CURRENT_PORT_ARO" hidden="1">"c9852"</definedName>
    <definedName name="IQ_MM_NUMBER_MINES" hidden="1">"c9839"</definedName>
    <definedName name="IQ_MM_OTHER_ADJUSTMENTS_ARO" hidden="1">"c9849"</definedName>
    <definedName name="IQ_MM_REMAINING_MINE_LIFE" hidden="1">"c9838"</definedName>
    <definedName name="IQ_MM_RESOURCES_INCL_EXCL_RESERVES" hidden="1">"c9841"</definedName>
    <definedName name="IQ_MM_REVISIONS_ESTIMATE" hidden="1">"c9846"</definedName>
    <definedName name="IQ_MM_STRIPPING_RATIO" hidden="1">"c9837"</definedName>
    <definedName name="IQ_MM_UNDEVELOPED_ACREAGE" hidden="1">"c9835"</definedName>
    <definedName name="IQ_MM_UNDEVELOPED_SQ_KMS" hidden="1">"c9834"</definedName>
    <definedName name="IQ_MM_UNDEVELOPED_SQ_MILES" hidden="1">"c9836"</definedName>
    <definedName name="IQ_MMDA_NON_TRANS_ACCTS_FFIEC" hidden="1">"c15330"</definedName>
    <definedName name="IQ_MMDA_SAVINGS_TOT_DEPOSITS_FFIEC" hidden="1">"c13905"</definedName>
    <definedName name="IQ_MONEY_MARKET_ACCOUNTS_COMMERCIAL_BANK_SUBS_FFIEC" hidden="1">"c12947"</definedName>
    <definedName name="IQ_MONEY_MARKET_ACCOUNTS_OTHER_INSTITUTIONS_FFIEC" hidden="1">"c12952"</definedName>
    <definedName name="IQ_MONEY_MARKET_DEPOSIT_ACCOUNTS_FDIC" hidden="1">"c6553"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 hidden="1">"c6402"</definedName>
    <definedName name="IQ_MORTGAGE_DEBT_UNDER_CAPITAL_LEASES_FFIEC" hidden="1">"c15276"</definedName>
    <definedName name="IQ_MORTGAGE_SERV_RIGHTS" hidden="1">"c2242"</definedName>
    <definedName name="IQ_MORTGAGE_SERVICING_ASSETS_FFIEC" hidden="1">"c12838"</definedName>
    <definedName name="IQ_MORTGAGE_SERVICING_FDIC" hidden="1">"c6335"</definedName>
    <definedName name="IQ_MTD" hidden="1">800000</definedName>
    <definedName name="IQ_MULTI_RES_PROPERTIES_TRADING_DOM_FFIEC" hidden="1">"c12930"</definedName>
    <definedName name="IQ_MULTIFAM_5_LOANS_TOT_LOANS_FFIEC" hidden="1">"c13869"</definedName>
    <definedName name="IQ_MULTIFAMILY_LOANS_GROSS_LOANS_FFIEC" hidden="1">"c13404"</definedName>
    <definedName name="IQ_MULTIFAMILY_LOANS_RISK_BASED_FFIEC" hidden="1">"c13425"</definedName>
    <definedName name="IQ_MULTIFAMILY_RES_DOM_FFIEC" hidden="1">"c15270"</definedName>
    <definedName name="IQ_MULTIFAMILY_RESIDENTIAL_LOANS_FDIC" hidden="1">"c6311"</definedName>
    <definedName name="IQ_MUNI_ADVALOREM_TAX" hidden="1">"c15144"</definedName>
    <definedName name="IQ_MUNI_AMT_TAX" hidden="1">"c15146"</definedName>
    <definedName name="IQ_MUNI_BANK_QUALIFIED" hidden="1">"c15148"</definedName>
    <definedName name="IQ_MUNI_DEP_TRUST_ELIGIBLE" hidden="1">"c15149"</definedName>
    <definedName name="IQ_MUNI_ECONOMIC_DEFEASANCE" hidden="1">"c15151"</definedName>
    <definedName name="IQ_MUNI_ESCROW" hidden="1">"c15228"</definedName>
    <definedName name="IQ_MUNI_FED_TAX" hidden="1">"c15147"</definedName>
    <definedName name="IQ_MUNI_LEGAL_DEFEASANCE" hidden="1">"c15150"</definedName>
    <definedName name="IQ_MUNI_OFFERING_TYPE" hidden="1">"c15143"</definedName>
    <definedName name="IQ_MUNI_OPTIONAL_REDEMPTION_DEFEASANCE" hidden="1">"c15152"</definedName>
    <definedName name="IQ_MUNI_PRE_REFUNDED_DATE" hidden="1">"c15154"</definedName>
    <definedName name="IQ_MUNI_PRE_REFUNDED_DATED_DATE" hidden="1">"c15156"</definedName>
    <definedName name="IQ_MUNI_PRE_REFUNDED_PRICE" hidden="1">"c15155"</definedName>
    <definedName name="IQ_MUNI_PRE_REFUNDED_TYPE" hidden="1">"c15153"</definedName>
    <definedName name="IQ_MUNI_PURPOSE" hidden="1">"c15226"</definedName>
    <definedName name="IQ_MUNI_STATE_TAX" hidden="1">"c15145"</definedName>
    <definedName name="IQ_MUNI_TERRITORY" hidden="1">"c15142"</definedName>
    <definedName name="IQ_MUNI_TYPE" hidden="1">"c15227"</definedName>
    <definedName name="IQ_MUNICIPAL_INVEST_SECURITIES_FFIEC" hidden="1">"c13459"</definedName>
    <definedName name="IQ_NAMES_REVISION_DATE_" hidden="1">42270.4591319444</definedName>
    <definedName name="IQ_NAMES_REVISION_DATE__1" hidden="1">40077.5377546296</definedName>
    <definedName name="IQ_NAPM_BUS_CONDITIONS" hidden="1">"c6921"</definedName>
    <definedName name="IQ_NAPM_BUS_CONDITIONS_APR" hidden="1">"c7581"</definedName>
    <definedName name="IQ_NAPM_BUS_CONDITIONS_APR_FC" hidden="1">"c8461"</definedName>
    <definedName name="IQ_NAPM_BUS_CONDITIONS_FC" hidden="1">"c7801"</definedName>
    <definedName name="IQ_NAPM_BUS_CONDITIONS_POP" hidden="1">"c7141"</definedName>
    <definedName name="IQ_NAPM_BUS_CONDITIONS_POP_FC" hidden="1">"c8021"</definedName>
    <definedName name="IQ_NAPM_BUS_CONDITIONS_YOY" hidden="1">"c7361"</definedName>
    <definedName name="IQ_NAPM_BUS_CONDITIONS_YOY_FC" hidden="1">"c8241"</definedName>
    <definedName name="IQ_NATIVE_COMPANY_NAME" hidden="1">"c13822"</definedName>
    <definedName name="IQ_NAV_ACT_OR_EST" hidden="1">"c2225"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STDDEV_EST" hidden="1">"c1756"</definedName>
    <definedName name="IQ_NCLS_CLOSED_END_1_4_FAM_LOANS_TOT_LOANS_FFIEC" hidden="1">"c13891"</definedName>
    <definedName name="IQ_NCLS_COMM_IND_LOANS_TOT_LOANS_FFIEC" hidden="1">"c13898"</definedName>
    <definedName name="IQ_NCLS_COMM_RE_FARM_LOANS_TOT_LOANS_FFIEC" hidden="1">"c13897"</definedName>
    <definedName name="IQ_NCLS_COMM_RE_NONFARM_NONRES_TOT_LOANS_FFIEC" hidden="1">"c13896"</definedName>
    <definedName name="IQ_NCLS_CONST_LAND_DEV_LOANS_TOT_LOANS_FFIEC" hidden="1">"c13890"</definedName>
    <definedName name="IQ_NCLS_CONSUMER_LOANS_TOT_LOANS_FFIEC" hidden="1">"c13899"</definedName>
    <definedName name="IQ_NCLS_FARM_LOANS_TOT_LOANS_FFIEC" hidden="1">"c13895"</definedName>
    <definedName name="IQ_NCLS_HOME_EQUITY_LOANS_TOT_LOANS_FFIEC" hidden="1">"c13892"</definedName>
    <definedName name="IQ_NCLS_MULTIFAM_5_LOANS_TOT_LOANS_FFIEC" hidden="1">"c13894"</definedName>
    <definedName name="IQ_NCLS_TOT_1_4_FAM_LOANS_TOT_LOANS_FFIEC" hidden="1">"c13893"</definedName>
    <definedName name="IQ_NCLS_TOT_LEASES_TOT_LOANS_FFIEC" hidden="1">"c13900"</definedName>
    <definedName name="IQ_NCLS_TOT_LOANS_TOT_LOANS_FFIEC" hidden="1">"c13901"</definedName>
    <definedName name="IQ_NCOS_CLOSED_END_1_4_FAM_LOANS_TOT_LOANS_FFIEC" hidden="1">"c13879"</definedName>
    <definedName name="IQ_NCOS_COMM_IND_LOANS_TOT_LOANS_FFIEC" hidden="1">"c13886"</definedName>
    <definedName name="IQ_NCOS_COMM_RE_FARM_LOANS_TOT_LOANS_FFIEC" hidden="1">"c13885"</definedName>
    <definedName name="IQ_NCOS_COMM_RE_NONFARM_NONRES_TOT_LOANS_FFIEC" hidden="1">"c13884"</definedName>
    <definedName name="IQ_NCOS_CONST_LAND_DEV_LOANS_TOT_LOANS_FFIEC" hidden="1">"c13878"</definedName>
    <definedName name="IQ_NCOS_CONSUMER_LOANS_TOT_LOANS_FFIEC" hidden="1">"c13887"</definedName>
    <definedName name="IQ_NCOS_FARM_LOANS_TOT_LOANS_FFIEC" hidden="1">"c13883"</definedName>
    <definedName name="IQ_NCOS_HOME_EQUITY_LOANS_TOT_LOANS_FFIEC" hidden="1">"c13880"</definedName>
    <definedName name="IQ_NCOS_MULTIFAM_5_LOANS_TOT_LOANS_FFIEC" hidden="1">"c13882"</definedName>
    <definedName name="IQ_NCOS_TOT_1_4_FAM_LOANS_TOT_LOANS_FFIEC" hidden="1">"c13881"</definedName>
    <definedName name="IQ_NCOS_TOT_LEASES_TOT_LOANS_FFIEC" hidden="1">"c13888"</definedName>
    <definedName name="IQ_NCOS_TOT_LOANS_TOT_LOANS_FFIEC" hidden="1">"c13889"</definedName>
    <definedName name="IQ_NEGATIVE_FAIR_VALUE_DERIVATIVES_BENEFICIARY_FFIEC" hidden="1">"c13124"</definedName>
    <definedName name="IQ_NEGATIVE_FAIR_VALUE_DERIVATIVES_GUARANTOR_FFIEC" hidden="1">"c13117"</definedName>
    <definedName name="IQ_NET_BOOKING_LOCATION_ADJUSTMENT_FOREIGN_FFIEC" hidden="1">"c15385"</definedName>
    <definedName name="IQ_NET_CHANGE" hidden="1">"c749"</definedName>
    <definedName name="IQ_NET_CHARGE_OFFS_FDIC" hidden="1">"c6641"</definedName>
    <definedName name="IQ_NET_CHARGE_OFFS_LOANS_FDIC" hidden="1">"c6751"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EBITDA" hidden="1">"c750"</definedName>
    <definedName name="IQ_NET_DEBT_EBITDA_CAPEX" hidden="1">"c2949"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" hidden="1">"c6238"</definedName>
    <definedName name="IQ_NET_DEBT_ISSUED_REIT" hidden="1">"c756"</definedName>
    <definedName name="IQ_NET_DEBT_ISSUED_UTI" hidden="1">"c757"</definedName>
    <definedName name="IQ_NET_EARNED" hidden="1">"c2734"</definedName>
    <definedName name="IQ_NET_FUNDS_PURCHASED_ASSETS_TOT_FFIEC" hidden="1">"c13448"</definedName>
    <definedName name="IQ_NET_GAIN_LOSS_OREO_EXP_FFIEC" hidden="1">"c15370"</definedName>
    <definedName name="IQ_NET_GAIN_LOSS_OREO_INC_FFIEC" hidden="1">"c15367"</definedName>
    <definedName name="IQ_NET_GAIN_LOSS_SALES_LOANS_EXP_FFIEC" hidden="1">"c15371"</definedName>
    <definedName name="IQ_NET_GAIN_LOSS_SALES_LOANS_INC_FFIEC" hidden="1">"c15368"</definedName>
    <definedName name="IQ_NET_GAIN_SALE_PREMISES_FIXED_ASSETS_EXP_FFIEC" hidden="1">"c15372"</definedName>
    <definedName name="IQ_NET_GAIN_SALE_PREMISES_FIXED_ASSETS_INC_FFIEC" hidden="1">"c15369"</definedName>
    <definedName name="IQ_NET_INC" hidden="1">"c781"</definedName>
    <definedName name="IQ_NET_INC_10K" hidden="1">"IQ_NET_INC_10K"</definedName>
    <definedName name="IQ_NET_INC_10Q" hidden="1">"IQ_NET_INC_10Q"</definedName>
    <definedName name="IQ_NET_INC_10Q1" hidden="1">"IQ_NET_INC_10Q1"</definedName>
    <definedName name="IQ_NET_INC_BEFORE" hidden="1">"c344"</definedName>
    <definedName name="IQ_NET_INC_CF" hidden="1">"c793"</definedName>
    <definedName name="IQ_NET_INC_GROWTH_1" hidden="1">"IQ_NET_INC_GROWTH_1"</definedName>
    <definedName name="IQ_NET_INC_GROWTH_2" hidden="1">"IQ_NET_INC_GROWTH_2"</definedName>
    <definedName name="IQ_NET_INC_MARGIN" hidden="1">"c794"</definedName>
    <definedName name="IQ_NET_INCOME_FDIC" hidden="1">"c6587"</definedName>
    <definedName name="IQ_NET_INCOME_LH_FFIEC" hidden="1">"c13110"</definedName>
    <definedName name="IQ_NET_INCOME_PC_FFIEC" hidden="1">"c13103"</definedName>
    <definedName name="IQ_NET_INCOME_SHE_FFIEC" hidden="1">"c12960"</definedName>
    <definedName name="IQ_NET_INT_INC_10YR_ANN_CAGR" hidden="1">"c6100"</definedName>
    <definedName name="IQ_NET_INT_INC_10YR_ANN_GROWTH" hidden="1">"c758"</definedName>
    <definedName name="IQ_NET_INT_INC_1YR_ANN_GROWTH" hidden="1">"c759"</definedName>
    <definedName name="IQ_NET_INT_INC_2YR_ANN_CAGR" hidden="1">"c6101"</definedName>
    <definedName name="IQ_NET_INT_INC_2YR_ANN_GROWTH" hidden="1">"c760"</definedName>
    <definedName name="IQ_NET_INT_INC_3YR_ANN_CAGR" hidden="1">"c6102"</definedName>
    <definedName name="IQ_NET_INT_INC_3YR_ANN_GROWTH" hidden="1">"c761"</definedName>
    <definedName name="IQ_NET_INT_INC_5YR_ANN_CAGR" hidden="1">"c6103"</definedName>
    <definedName name="IQ_NET_INT_INC_5YR_ANN_GROWTH" hidden="1">"c762"</definedName>
    <definedName name="IQ_NET_INT_INC_7YR_ANN_CAGR" hidden="1">"c6104"</definedName>
    <definedName name="IQ_NET_INT_INC_7YR_ANN_GROWTH" hidden="1">"c763"</definedName>
    <definedName name="IQ_NET_INT_INC_AFTER_LL_BNK_SUBTOTAL_AP" hidden="1">"c8979"</definedName>
    <definedName name="IQ_NET_INT_INC_BNK" hidden="1">"c764"</definedName>
    <definedName name="IQ_NET_INT_INC_BNK_AP" hidden="1">"c8874"</definedName>
    <definedName name="IQ_NET_INT_INC_BNK_AP_ABS" hidden="1">"c8893"</definedName>
    <definedName name="IQ_NET_INT_INC_BNK_FDIC" hidden="1">"c6570"</definedName>
    <definedName name="IQ_NET_INT_INC_BNK_NAME_AP" hidden="1">"c8912"</definedName>
    <definedName name="IQ_NET_INT_INC_BNK_NAME_AP_ABS" hidden="1">"c8931"</definedName>
    <definedName name="IQ_NET_INT_INC_BNK_SUBTOTAL_AP" hidden="1">"c8978"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INCOME_FFIEC" hidden="1">"c13001"</definedName>
    <definedName name="IQ_NET_INT_INCOME_FTE_FFIEC" hidden="1">"c13036"</definedName>
    <definedName name="IQ_NET_INT_MARGIN" hidden="1">"c768"</definedName>
    <definedName name="IQ_NET_INTEREST_EXP" hidden="1">"c769"</definedName>
    <definedName name="IQ_NET_INTEREST_EXP_RE" hidden="1">"c6239"</definedName>
    <definedName name="IQ_NET_INTEREST_EXP_REIT" hidden="1">"c770"</definedName>
    <definedName name="IQ_NET_INTEREST_EXP_UTI" hidden="1">"c771"</definedName>
    <definedName name="IQ_NET_INTEREST_INC" hidden="1">"c764"</definedName>
    <definedName name="IQ_NET_INTEREST_INC_AFTER_LL" hidden="1">"c1604"</definedName>
    <definedName name="IQ_NET_INTEREST_INC_INTERNATIONAL_OPS_FFIEC" hidden="1">"c15375"</definedName>
    <definedName name="IQ_NET_INTEREST_MARGIN_FDIC" hidden="1">"c6726"</definedName>
    <definedName name="IQ_NET_LIFE_INS_IN_FORCE" hidden="1">"c2769"</definedName>
    <definedName name="IQ_NET_LOANS" hidden="1">"c772"</definedName>
    <definedName name="IQ_NET_LOANS_10YR_ANN_CAGR" hidden="1">"c6105"</definedName>
    <definedName name="IQ_NET_LOANS_10YR_ANN_GROWTH" hidden="1">"c773"</definedName>
    <definedName name="IQ_NET_LOANS_1YR_ANN_GROWTH" hidden="1">"c774"</definedName>
    <definedName name="IQ_NET_LOANS_2YR_ANN_CAGR" hidden="1">"c6106"</definedName>
    <definedName name="IQ_NET_LOANS_2YR_ANN_GROWTH" hidden="1">"c775"</definedName>
    <definedName name="IQ_NET_LOANS_3YR_ANN_CAGR" hidden="1">"c6107"</definedName>
    <definedName name="IQ_NET_LOANS_3YR_ANN_GROWTH" hidden="1">"c776"</definedName>
    <definedName name="IQ_NET_LOANS_5YR_ANN_CAGR" hidden="1">"c6108"</definedName>
    <definedName name="IQ_NET_LOANS_5YR_ANN_GROWTH" hidden="1">"c777"</definedName>
    <definedName name="IQ_NET_LOANS_7YR_ANN_CAGR" hidden="1">"c6109"</definedName>
    <definedName name="IQ_NET_LOANS_7YR_ANN_GROWTH" hidden="1">"c778"</definedName>
    <definedName name="IQ_NET_LOANS_CORE_DEPOSITS_FFIEC" hidden="1">"c13341"</definedName>
    <definedName name="IQ_NET_LOANS_DEPOSITS_FFIEC" hidden="1">"c13340"</definedName>
    <definedName name="IQ_NET_LOANS_EQUITY_FFIEC" hidden="1">"c13347"</definedName>
    <definedName name="IQ_NET_LOANS_LEASES_CORE_DEPOSITS_FDIC" hidden="1">"c6743"</definedName>
    <definedName name="IQ_NET_LOANS_LEASES_DEPOSITS_FDIC" hidden="1">"c6742"</definedName>
    <definedName name="IQ_NET_LOANS_TOTAL_DEPOSITS" hidden="1">"c779"</definedName>
    <definedName name="IQ_NET_NONINTEREST_INC_EXP_INTERNATIONAL_OPS_FFIEC" hidden="1">"c15387"</definedName>
    <definedName name="IQ_NET_OPERATING_INCOME_ASSETS_FDIC" hidden="1">"c6729"</definedName>
    <definedName name="IQ_NET_RENTAL_EXP_FN" hidden="1">"c780"</definedName>
    <definedName name="IQ_NET_SECURITIZATION_INC_FOREIGN_FFIEC" hidden="1">"c15379"</definedName>
    <definedName name="IQ_NET_SECURITIZATION_INCOME_FDIC" hidden="1">"c6669"</definedName>
    <definedName name="IQ_NET_SERVICING_FEES_FDIC" hidden="1">"c6668"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WS" hidden="1">"c13743"</definedName>
    <definedName name="IQ_NEWS_DATE" hidden="1">"c13746"</definedName>
    <definedName name="IQ_NEWS_SOURCE" hidden="1">"c13745"</definedName>
    <definedName name="IQ_NEWS_TIME" hidden="1">"c13759"</definedName>
    <definedName name="IQ_NEWS_URL" hidden="1">"c13744"</definedName>
    <definedName name="IQ_NEXT_CALL_DATE" hidden="1">"c2198"</definedName>
    <definedName name="IQ_NEXT_CALL_PRICE" hidden="1">"c2199"</definedName>
    <definedName name="IQ_NEXT_EARNINGS_DATE" hidden="1">"c13592"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EXT_YR_PROD_EST_MAX_ALUM" hidden="1">"c9251"</definedName>
    <definedName name="IQ_NEXT_YR_PROD_EST_MAX_CATHODE_COP" hidden="1">"c9198"</definedName>
    <definedName name="IQ_NEXT_YR_PROD_EST_MAX_COP" hidden="1">"c9196"</definedName>
    <definedName name="IQ_NEXT_YR_PROD_EST_MAX_DIAM" hidden="1">"c9675"</definedName>
    <definedName name="IQ_NEXT_YR_PROD_EST_MAX_GOLD" hidden="1">"c9036"</definedName>
    <definedName name="IQ_NEXT_YR_PROD_EST_MAX_IRON" hidden="1">"c9410"</definedName>
    <definedName name="IQ_NEXT_YR_PROD_EST_MAX_LEAD" hidden="1">"c9463"</definedName>
    <definedName name="IQ_NEXT_YR_PROD_EST_MAX_MANG" hidden="1">"c9516"</definedName>
    <definedName name="IQ_NEXT_YR_PROD_EST_MAX_MOLYB" hidden="1">"c9728"</definedName>
    <definedName name="IQ_NEXT_YR_PROD_EST_MAX_NICK" hidden="1">"c9304"</definedName>
    <definedName name="IQ_NEXT_YR_PROD_EST_MAX_PLAT" hidden="1">"c9142"</definedName>
    <definedName name="IQ_NEXT_YR_PROD_EST_MAX_SILVER" hidden="1">"c9089"</definedName>
    <definedName name="IQ_NEXT_YR_PROD_EST_MAX_TITAN" hidden="1">"c9569"</definedName>
    <definedName name="IQ_NEXT_YR_PROD_EST_MAX_URAN" hidden="1">"c9622"</definedName>
    <definedName name="IQ_NEXT_YR_PROD_EST_MAX_ZINC" hidden="1">"c9357"</definedName>
    <definedName name="IQ_NEXT_YR_PROD_EST_MIN_ALUM" hidden="1">"c9250"</definedName>
    <definedName name="IQ_NEXT_YR_PROD_EST_MIN_CATHODE_COP" hidden="1">"c9197"</definedName>
    <definedName name="IQ_NEXT_YR_PROD_EST_MIN_COP" hidden="1">"c9195"</definedName>
    <definedName name="IQ_NEXT_YR_PROD_EST_MIN_DIAM" hidden="1">"c9674"</definedName>
    <definedName name="IQ_NEXT_YR_PROD_EST_MIN_GOLD" hidden="1">"c9035"</definedName>
    <definedName name="IQ_NEXT_YR_PROD_EST_MIN_IRON" hidden="1">"c9409"</definedName>
    <definedName name="IQ_NEXT_YR_PROD_EST_MIN_LEAD" hidden="1">"c9462"</definedName>
    <definedName name="IQ_NEXT_YR_PROD_EST_MIN_MANG" hidden="1">"c9515"</definedName>
    <definedName name="IQ_NEXT_YR_PROD_EST_MIN_MOLYB" hidden="1">"c9727"</definedName>
    <definedName name="IQ_NEXT_YR_PROD_EST_MIN_NICK" hidden="1">"c9303"</definedName>
    <definedName name="IQ_NEXT_YR_PROD_EST_MIN_PLAT" hidden="1">"c9141"</definedName>
    <definedName name="IQ_NEXT_YR_PROD_EST_MIN_SILVER" hidden="1">"c9088"</definedName>
    <definedName name="IQ_NEXT_YR_PROD_EST_MIN_TITAN" hidden="1">"c9568"</definedName>
    <definedName name="IQ_NEXT_YR_PROD_EST_MIN_URAN" hidden="1">"c9621"</definedName>
    <definedName name="IQ_NEXT_YR_PROD_EST_MIN_ZINC" hidden="1">"c9356"</definedName>
    <definedName name="IQ_NI" hidden="1">"c781"</definedName>
    <definedName name="IQ_NI_10YR_ANN_CAGR" hidden="1">"c6110"</definedName>
    <definedName name="IQ_NI_10YR_ANN_GROWTH" hidden="1">"c782"</definedName>
    <definedName name="IQ_NI_1YR_ANN_GROWTH" hidden="1">"c783"</definedName>
    <definedName name="IQ_NI_2YR_ANN_CAGR" hidden="1">"c6111"</definedName>
    <definedName name="IQ_NI_2YR_ANN_GROWTH" hidden="1">"c784"</definedName>
    <definedName name="IQ_NI_3YR_ANN_CAGR" hidden="1">"c6112"</definedName>
    <definedName name="IQ_NI_3YR_ANN_GROWTH" hidden="1">"c785"</definedName>
    <definedName name="IQ_NI_5YR_ANN_CAGR" hidden="1">"c6113"</definedName>
    <definedName name="IQ_NI_5YR_ANN_GROWTH" hidden="1">"c786"</definedName>
    <definedName name="IQ_NI_7YR_ANN_CAGR" hidden="1">"c6114"</definedName>
    <definedName name="IQ_NI_7YR_ANN_GROWTH" hidden="1">"c787"</definedName>
    <definedName name="IQ_NI_ACT_OR_EST" hidden="1">"c2222"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AVAIL_SUBTOTAL_AP" hidden="1">"c8984"</definedName>
    <definedName name="IQ_NI_AVG_ASSETS_FFIEC" hidden="1">"c13370"</definedName>
    <definedName name="IQ_NI_BANK_AND_NONCONTROLLING_INTEREST_FFIEC" hidden="1">"c15365"</definedName>
    <definedName name="IQ_NI_BEFORE_CAPITALIZED" hidden="1">"c792"</definedName>
    <definedName name="IQ_NI_BEFORE_INTERNAL_ALLOCATIONS_FOREIGN_FFIEC" hidden="1">"c15393"</definedName>
    <definedName name="IQ_NI_CF" hidden="1">"c793"</definedName>
    <definedName name="IQ_NI_CHARGES_AP" hidden="1">"c8879"</definedName>
    <definedName name="IQ_NI_CHARGES_AP_ABS" hidden="1">"c8898"</definedName>
    <definedName name="IQ_NI_CHARGES_NAME_AP" hidden="1">"c8917"</definedName>
    <definedName name="IQ_NI_CHARGES_NAME_AP_ABS" hidden="1">"c8936"</definedName>
    <definedName name="IQ_NI_EST" hidden="1">"c1716"</definedName>
    <definedName name="IQ_NI_FFIEC" hidden="1">"c13034"</definedName>
    <definedName name="IQ_NI_GW_EST" hidden="1">"c1723"</definedName>
    <definedName name="IQ_NI_GW_HIGH_EST" hidden="1">"c1725"</definedName>
    <definedName name="IQ_NI_GW_LOW_EST" hidden="1">"c1726"</definedName>
    <definedName name="IQ_NI_GW_MEDIAN_EST" hidden="1">"c1724"</definedName>
    <definedName name="IQ_NI_GW_NUM_EST" hidden="1">"c1727"</definedName>
    <definedName name="IQ_NI_GW_STDDEV_EST" hidden="1">"c1728"</definedName>
    <definedName name="IQ_NI_HIGH_EST" hidden="1">"c1718"</definedName>
    <definedName name="IQ_NI_LOW_EST" hidden="1">"c1719"</definedName>
    <definedName name="IQ_NI_MARGIN" hidden="1">"c794"</definedName>
    <definedName name="IQ_NI_MEDIAN_EST" hidden="1">"c1717"</definedName>
    <definedName name="IQ_NI_NON_CONTROLLING_INTERESTS_FFIEC" hidden="1">"c15366"</definedName>
    <definedName name="IQ_NI_NORM" hidden="1">"c1901"</definedName>
    <definedName name="IQ_NI_NORM_10YR_ANN_CAGR" hidden="1">"c6189"</definedName>
    <definedName name="IQ_NI_NORM_10YR_ANN_GROWTH" hidden="1">"c1960"</definedName>
    <definedName name="IQ_NI_NORM_1YR_ANN_GROWTH" hidden="1">"c1955"</definedName>
    <definedName name="IQ_NI_NORM_2YR_ANN_CAGR" hidden="1">"c6185"</definedName>
    <definedName name="IQ_NI_NORM_2YR_ANN_GROWTH" hidden="1">"c1956"</definedName>
    <definedName name="IQ_NI_NORM_3YR_ANN_CAGR" hidden="1">"c6186"</definedName>
    <definedName name="IQ_NI_NORM_3YR_ANN_GROWTH" hidden="1">"c1957"</definedName>
    <definedName name="IQ_NI_NORM_5YR_ANN_CAGR" hidden="1">"c6187"</definedName>
    <definedName name="IQ_NI_NORM_5YR_ANN_GROWTH" hidden="1">"c1958"</definedName>
    <definedName name="IQ_NI_NORM_7YR_ANN_CAGR" hidden="1">"c6188"</definedName>
    <definedName name="IQ_NI_NORM_7YR_ANN_GROWTH" hidden="1">"c1959"</definedName>
    <definedName name="IQ_NI_NORM_MARGIN" hidden="1">"c1964"</definedName>
    <definedName name="IQ_NI_NUM_EST" hidden="1">"c1720"</definedName>
    <definedName name="IQ_NI_REPORTED_EST" hidden="1">"c1730"</definedName>
    <definedName name="IQ_NI_REPORTED_HIGH_EST" hidden="1">"c1732"</definedName>
    <definedName name="IQ_NI_REPORTED_LOW_EST" hidden="1">"c1733"</definedName>
    <definedName name="IQ_NI_REPORTED_MEDIAN_EST" hidden="1">"c1731"</definedName>
    <definedName name="IQ_NI_REPORTED_NUM_EST" hidden="1">"c1734"</definedName>
    <definedName name="IQ_NI_REPORTED_STDDEV_EST" hidden="1">"c1735"</definedName>
    <definedName name="IQ_NI_SBC_ACT_OR_EST_CIQ" hidden="1">"c5012"</definedName>
    <definedName name="IQ_NI_SBC_GW_ACT_OR_EST_CIQ" hidden="1">"c5016"</definedName>
    <definedName name="IQ_NI_SFAS" hidden="1">"c795"</definedName>
    <definedName name="IQ_NI_STDDEV_EST" hidden="1">"c1721"</definedName>
    <definedName name="IQ_NI_SUBTOTAL_AP" hidden="1">"c8983"</definedName>
    <definedName name="IQ_NLA_PCT_LEASED_CONSOL" hidden="1">"c8815"</definedName>
    <definedName name="IQ_NLA_PCT_LEASED_MANAGED" hidden="1">"c8817"</definedName>
    <definedName name="IQ_NLA_PCT_LEASED_OTHER" hidden="1">"c8818"</definedName>
    <definedName name="IQ_NLA_PCT_LEASED_TOTAL" hidden="1">"c8819"</definedName>
    <definedName name="IQ_NLA_PCT_LEASED_UNCONSOL" hidden="1">"c8816"</definedName>
    <definedName name="IQ_NLA_SQ_FT_CONSOL" hidden="1">"c8800"</definedName>
    <definedName name="IQ_NLA_SQ_FT_MANAGED" hidden="1">"c8802"</definedName>
    <definedName name="IQ_NLA_SQ_FT_OTHER" hidden="1">"c8803"</definedName>
    <definedName name="IQ_NLA_SQ_FT_TOTAL" hidden="1">"c8804"</definedName>
    <definedName name="IQ_NLA_SQ_FT_UNCONSOL" hidden="1">"c8801"</definedName>
    <definedName name="IQ_NLA_SQ_METER_CONSOL" hidden="1">"c8805"</definedName>
    <definedName name="IQ_NLA_SQ_METER_MANAGED" hidden="1">"c8807"</definedName>
    <definedName name="IQ_NLA_SQ_METER_OTHER" hidden="1">"c8808"</definedName>
    <definedName name="IQ_NLA_SQ_METER_TOTAL" hidden="1">"c8809"</definedName>
    <definedName name="IQ_NLA_SQ_METER_UNCONSOL" hidden="1">"c8806"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_ALLOW_RECEIVABLES_FFIEC" hidden="1">"c13353"</definedName>
    <definedName name="IQ_NON_ACCRUAL_ASSET_SOLD_DURING_QTR_FFIEC" hidden="1">"c15350"</definedName>
    <definedName name="IQ_NON_ACCRUAL_LOANS" hidden="1">"c796"</definedName>
    <definedName name="IQ_NON_CASH" hidden="1">"c797"</definedName>
    <definedName name="IQ_NON_CASH_ITEMS" hidden="1">"c797"</definedName>
    <definedName name="IQ_NON_CURRENT_LOANS_FFIEC" hidden="1">"c13860"</definedName>
    <definedName name="IQ_NON_FARM_NONRES_PROPERTIES_TRADING_DOM_FFIEC" hidden="1">"c12931"</definedName>
    <definedName name="IQ_NON_INS_EXP" hidden="1">"c798"</definedName>
    <definedName name="IQ_NON_INS_REV" hidden="1">"c799"</definedName>
    <definedName name="IQ_NON_INT_BAL_OTHER_INSTITUTIONS_FFIEC" hidden="1">"c12950"</definedName>
    <definedName name="IQ_NON_INT_BEAR_CD" hidden="1">"c800"</definedName>
    <definedName name="IQ_NON_INT_BEARING_DEPOSITS" hidden="1">"c800"</definedName>
    <definedName name="IQ_NON_INT_DEPOSITS_DOM_FFIEC" hidden="1">"c12851"</definedName>
    <definedName name="IQ_NON_INT_DEPOSITS_FOREIGN_FFIEC" hidden="1">"c12854"</definedName>
    <definedName name="IQ_NON_INT_EXP" hidden="1">"c801"</definedName>
    <definedName name="IQ_NON_INT_EXP_BNK_AP" hidden="1">"c8877"</definedName>
    <definedName name="IQ_NON_INT_EXP_BNK_AP_ABS" hidden="1">"c8896"</definedName>
    <definedName name="IQ_NON_INT_EXP_BNK_NAME_AP" hidden="1">"c8915"</definedName>
    <definedName name="IQ_NON_INT_EXP_BNK_NAME_AP_ABS" hidden="1">"c8934"</definedName>
    <definedName name="IQ_NON_INT_EXP_BNK_SUBTOTAL_AP" hidden="1">"c8981"</definedName>
    <definedName name="IQ_NON_INT_EXP_FDIC" hidden="1">"c6579"</definedName>
    <definedName name="IQ_NON_INT_EXPENSE_FFIEC" hidden="1">"c13028"</definedName>
    <definedName name="IQ_NON_INT_INC" hidden="1">"c802"</definedName>
    <definedName name="IQ_NON_INT_INC_10YR_ANN_CAGR" hidden="1">"c6115"</definedName>
    <definedName name="IQ_NON_INT_INC_10YR_ANN_GROWTH" hidden="1">"c803"</definedName>
    <definedName name="IQ_NON_INT_INC_1YR_ANN_GROWTH" hidden="1">"c804"</definedName>
    <definedName name="IQ_NON_INT_INC_2YR_ANN_CAGR" hidden="1">"c6116"</definedName>
    <definedName name="IQ_NON_INT_INC_2YR_ANN_GROWTH" hidden="1">"c805"</definedName>
    <definedName name="IQ_NON_INT_INC_3YR_ANN_CAGR" hidden="1">"c6117"</definedName>
    <definedName name="IQ_NON_INT_INC_3YR_ANN_GROWTH" hidden="1">"c806"</definedName>
    <definedName name="IQ_NON_INT_INC_5YR_ANN_CAGR" hidden="1">"c6118"</definedName>
    <definedName name="IQ_NON_INT_INC_5YR_ANN_GROWTH" hidden="1">"c807"</definedName>
    <definedName name="IQ_NON_INT_INC_7YR_ANN_CAGR" hidden="1">"c6119"</definedName>
    <definedName name="IQ_NON_INT_INC_7YR_ANN_GROWTH" hidden="1">"c808"</definedName>
    <definedName name="IQ_NON_INT_INC_AVG_ASSETS_FFIEC" hidden="1">"c13359"</definedName>
    <definedName name="IQ_NON_INT_INC_BNK_AP" hidden="1">"c8876"</definedName>
    <definedName name="IQ_NON_INT_INC_BNK_AP_ABS" hidden="1">"c8895"</definedName>
    <definedName name="IQ_NON_INT_INC_BNK_NAME_AP" hidden="1">"c8914"</definedName>
    <definedName name="IQ_NON_INT_INC_BNK_NAME_AP_ABS" hidden="1">"c8933"</definedName>
    <definedName name="IQ_NON_INT_INC_BNK_SUBTOTAL_AP" hidden="1">"c8980"</definedName>
    <definedName name="IQ_NON_INT_INC_FDIC" hidden="1">"c6575"</definedName>
    <definedName name="IQ_NON_INT_INC_OPERATING_INC_FFIEC" hidden="1">"c13382"</definedName>
    <definedName name="IQ_NON_INT_INCOME_FFIEC" hidden="1">"c13017"</definedName>
    <definedName name="IQ_NON_INTEREST_EXP" hidden="1">"c801"</definedName>
    <definedName name="IQ_NON_INTEREST_INC" hidden="1">"c802"</definedName>
    <definedName name="IQ_NON_OPER_EXP" hidden="1">"c809"</definedName>
    <definedName name="IQ_NON_OPER_INC" hidden="1">"c810"</definedName>
    <definedName name="IQ_NON_PERF_ASSETS_10YR_ANN_CAGR" hidden="1">"c6120"</definedName>
    <definedName name="IQ_NON_PERF_ASSETS_10YR_ANN_GROWTH" hidden="1">"c811"</definedName>
    <definedName name="IQ_NON_PERF_ASSETS_1YR_ANN_GROWTH" hidden="1">"c812"</definedName>
    <definedName name="IQ_NON_PERF_ASSETS_2YR_ANN_CAGR" hidden="1">"c6121"</definedName>
    <definedName name="IQ_NON_PERF_ASSETS_2YR_ANN_GROWTH" hidden="1">"c813"</definedName>
    <definedName name="IQ_NON_PERF_ASSETS_3YR_ANN_CAGR" hidden="1">"c6122"</definedName>
    <definedName name="IQ_NON_PERF_ASSETS_3YR_ANN_GROWTH" hidden="1">"c814"</definedName>
    <definedName name="IQ_NON_PERF_ASSETS_5YR_ANN_CAGR" hidden="1">"c6123"</definedName>
    <definedName name="IQ_NON_PERF_ASSETS_5YR_ANN_GROWTH" hidden="1">"c815"</definedName>
    <definedName name="IQ_NON_PERF_ASSETS_7YR_ANN_CAGR" hidden="1">"c6124"</definedName>
    <definedName name="IQ_NON_PERF_ASSETS_7YR_ANN_GROWTH" hidden="1">"c816"</definedName>
    <definedName name="IQ_NON_PERF_ASSETS_TOTAL_ASSETS" hidden="1">"c817"</definedName>
    <definedName name="IQ_NON_PERF_LOANS_10YR_ANN_CAGR" hidden="1">"c6125"</definedName>
    <definedName name="IQ_NON_PERF_LOANS_10YR_ANN_GROWTH" hidden="1">"c818"</definedName>
    <definedName name="IQ_NON_PERF_LOANS_1YR_ANN_GROWTH" hidden="1">"c819"</definedName>
    <definedName name="IQ_NON_PERF_LOANS_2YR_ANN_CAGR" hidden="1">"c6126"</definedName>
    <definedName name="IQ_NON_PERF_LOANS_2YR_ANN_GROWTH" hidden="1">"c820"</definedName>
    <definedName name="IQ_NON_PERF_LOANS_3YR_ANN_CAGR" hidden="1">"c6127"</definedName>
    <definedName name="IQ_NON_PERF_LOANS_3YR_ANN_GROWTH" hidden="1">"c821"</definedName>
    <definedName name="IQ_NON_PERF_LOANS_5YR_ANN_CAGR" hidden="1">"c6128"</definedName>
    <definedName name="IQ_NON_PERF_LOANS_5YR_ANN_GROWTH" hidden="1">"c822"</definedName>
    <definedName name="IQ_NON_PERF_LOANS_7YR_ANN_CAGR" hidden="1">"c6129"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ASSETS_FFIEC" hidden="1">"c13859"</definedName>
    <definedName name="IQ_NON_PERFORMING_LOANS" hidden="1">"c827"</definedName>
    <definedName name="IQ_NON_PERFORMING_LOANS_FFIEC" hidden="1">"c13861"</definedName>
    <definedName name="IQ_NON_US_ADDRESS_LEASE_FIN_REC_FFIEC" hidden="1">"c13625"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ASH_INCOME_AMORT_CLOSED_END_LOANS_FFIEC" hidden="1">"c13078"</definedName>
    <definedName name="IQ_NONCASH_PENSION_EXP" hidden="1">"c3000"</definedName>
    <definedName name="IQ_NONCORE_ASSETS_TOT_FFIEC" hidden="1">"c13443"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DEF_CAPITAL_GOODS_ORDERS" hidden="1">"c6932"</definedName>
    <definedName name="IQ_NONDEF_CAPITAL_GOODS_ORDERS_APR" hidden="1">"c7592"</definedName>
    <definedName name="IQ_NONDEF_CAPITAL_GOODS_ORDERS_APR_FC" hidden="1">"c8472"</definedName>
    <definedName name="IQ_NONDEF_CAPITAL_GOODS_ORDERS_FC" hidden="1">"c7812"</definedName>
    <definedName name="IQ_NONDEF_CAPITAL_GOODS_ORDERS_POP" hidden="1">"c7152"</definedName>
    <definedName name="IQ_NONDEF_CAPITAL_GOODS_ORDERS_POP_FC" hidden="1">"c8032"</definedName>
    <definedName name="IQ_NONDEF_CAPITAL_GOODS_ORDERS_YOY" hidden="1">"c7372"</definedName>
    <definedName name="IQ_NONDEF_CAPITAL_GOODS_ORDERS_YOY_FC" hidden="1">"c8252"</definedName>
    <definedName name="IQ_NONDEF_CAPITAL_GOODS_SHIPMENTS" hidden="1">"c6933"</definedName>
    <definedName name="IQ_NONDEF_CAPITAL_GOODS_SHIPMENTS_APR" hidden="1">"c7593"</definedName>
    <definedName name="IQ_NONDEF_CAPITAL_GOODS_SHIPMENTS_APR_FC" hidden="1">"c8473"</definedName>
    <definedName name="IQ_NONDEF_CAPITAL_GOODS_SHIPMENTS_FC" hidden="1">"c7813"</definedName>
    <definedName name="IQ_NONDEF_CAPITAL_GOODS_SHIPMENTS_POP" hidden="1">"c7153"</definedName>
    <definedName name="IQ_NONDEF_CAPITAL_GOODS_SHIPMENTS_POP_FC" hidden="1">"c8033"</definedName>
    <definedName name="IQ_NONDEF_CAPITAL_GOODS_SHIPMENTS_YOY" hidden="1">"c7373"</definedName>
    <definedName name="IQ_NONDEF_CAPITAL_GOODS_SHIPMENTS_YOY_FC" hidden="1">"c8253"</definedName>
    <definedName name="IQ_NONDEF_SPENDING_SAAR" hidden="1">"c6934"</definedName>
    <definedName name="IQ_NONDEF_SPENDING_SAAR_APR" hidden="1">"c7594"</definedName>
    <definedName name="IQ_NONDEF_SPENDING_SAAR_APR_FC" hidden="1">"c8474"</definedName>
    <definedName name="IQ_NONDEF_SPENDING_SAAR_FC" hidden="1">"c7814"</definedName>
    <definedName name="IQ_NONDEF_SPENDING_SAAR_POP" hidden="1">"c7154"</definedName>
    <definedName name="IQ_NONDEF_SPENDING_SAAR_POP_FC" hidden="1">"c8034"</definedName>
    <definedName name="IQ_NONDEF_SPENDING_SAAR_YOY" hidden="1">"c7374"</definedName>
    <definedName name="IQ_NONDEF_SPENDING_SAAR_YOY_FC" hidden="1">"c8254"</definedName>
    <definedName name="IQ_NONFARM_EMP_HRS_PCT_CHANGE" hidden="1">"c6935"</definedName>
    <definedName name="IQ_NONFARM_EMP_HRS_PCT_CHANGE_FC" hidden="1">"c7815"</definedName>
    <definedName name="IQ_NONFARM_EMP_HRS_PCT_CHANGE_POP" hidden="1">"c7155"</definedName>
    <definedName name="IQ_NONFARM_EMP_HRS_PCT_CHANGE_POP_FC" hidden="1">"c8035"</definedName>
    <definedName name="IQ_NONFARM_EMP_HRS_PCT_CHANGE_YOY" hidden="1">"c7375"</definedName>
    <definedName name="IQ_NONFARM_EMP_HRS_PCT_CHANGE_YOY_FC" hidden="1">"c8255"</definedName>
    <definedName name="IQ_NONFARM_NONRES_DOM_FFIEC" hidden="1">"c15271"</definedName>
    <definedName name="IQ_NONFARM_NONRES_GROSS_LOANS_FFIEC" hidden="1">"c13405"</definedName>
    <definedName name="IQ_NONFARM_NONRES_LL_REC_DOM_FFIEC" hidden="1">"c13626"</definedName>
    <definedName name="IQ_NONFARM_NONRES_RISK_BASED_FFIEC" hidden="1">"c13426"</definedName>
    <definedName name="IQ_NONFARM_OUTPUT_PER_HR" hidden="1">"c6936"</definedName>
    <definedName name="IQ_NONFARM_OUTPUT_PER_HR_APR" hidden="1">"c7596"</definedName>
    <definedName name="IQ_NONFARM_OUTPUT_PER_HR_APR_FC" hidden="1">"c8476"</definedName>
    <definedName name="IQ_NONFARM_OUTPUT_PER_HR_FC" hidden="1">"c7816"</definedName>
    <definedName name="IQ_NONFARM_OUTPUT_PER_HR_POP" hidden="1">"c7156"</definedName>
    <definedName name="IQ_NONFARM_OUTPUT_PER_HR_POP_FC" hidden="1">"c8036"</definedName>
    <definedName name="IQ_NONFARM_OUTPUT_PER_HR_YOY" hidden="1">"c7376"</definedName>
    <definedName name="IQ_NONFARM_OUTPUT_PER_HR_YOY_FC" hidden="1">"c8256"</definedName>
    <definedName name="IQ_NONFARM_PAYROLLS" hidden="1">"c6926"</definedName>
    <definedName name="IQ_NONFARM_PAYROLLS_APR" hidden="1">"c7586"</definedName>
    <definedName name="IQ_NONFARM_PAYROLLS_APR_FC" hidden="1">"c8466"</definedName>
    <definedName name="IQ_NONFARM_PAYROLLS_FC" hidden="1">"c7806"</definedName>
    <definedName name="IQ_NONFARM_PAYROLLS_POP" hidden="1">"c7146"</definedName>
    <definedName name="IQ_NONFARM_PAYROLLS_POP_FC" hidden="1">"c8026"</definedName>
    <definedName name="IQ_NONFARM_PAYROLLS_YOY" hidden="1">"c7366"</definedName>
    <definedName name="IQ_NONFARM_PAYROLLS_YOY_FC" hidden="1">"c8246"</definedName>
    <definedName name="IQ_NONFARM_TOTAL_HR_INDEX" hidden="1">"c6937"</definedName>
    <definedName name="IQ_NONFARM_TOTAL_HR_INDEX_APR" hidden="1">"c7597"</definedName>
    <definedName name="IQ_NONFARM_TOTAL_HR_INDEX_APR_FC" hidden="1">"c8477"</definedName>
    <definedName name="IQ_NONFARM_TOTAL_HR_INDEX_FC" hidden="1">"c7817"</definedName>
    <definedName name="IQ_NONFARM_TOTAL_HR_INDEX_POP" hidden="1">"c7157"</definedName>
    <definedName name="IQ_NONFARM_TOTAL_HR_INDEX_POP_FC" hidden="1">"c8037"</definedName>
    <definedName name="IQ_NONFARM_TOTAL_HR_INDEX_YOY" hidden="1">"c7377"</definedName>
    <definedName name="IQ_NONFARM_TOTAL_HR_INDEX_YOY_FC" hidden="1">"c8257"</definedName>
    <definedName name="IQ_NONFARM_WAGES" hidden="1">"c6938"</definedName>
    <definedName name="IQ_NONFARM_WAGES_APR" hidden="1">"c7598"</definedName>
    <definedName name="IQ_NONFARM_WAGES_APR_FC" hidden="1">"c8478"</definedName>
    <definedName name="IQ_NONFARM_WAGES_FC" hidden="1">"c7818"</definedName>
    <definedName name="IQ_NONFARM_WAGES_INDEX" hidden="1">"c6939"</definedName>
    <definedName name="IQ_NONFARM_WAGES_INDEX_APR" hidden="1">"c7599"</definedName>
    <definedName name="IQ_NONFARM_WAGES_INDEX_APR_FC" hidden="1">"c8479"</definedName>
    <definedName name="IQ_NONFARM_WAGES_INDEX_FC" hidden="1">"c7819"</definedName>
    <definedName name="IQ_NONFARM_WAGES_INDEX_POP" hidden="1">"c7159"</definedName>
    <definedName name="IQ_NONFARM_WAGES_INDEX_POP_FC" hidden="1">"c8039"</definedName>
    <definedName name="IQ_NONFARM_WAGES_INDEX_YOY" hidden="1">"c7379"</definedName>
    <definedName name="IQ_NONFARM_WAGES_INDEX_YOY_FC" hidden="1">"c8259"</definedName>
    <definedName name="IQ_NONFARM_WAGES_POP" hidden="1">"c7158"</definedName>
    <definedName name="IQ_NONFARM_WAGES_POP_FC" hidden="1">"c8038"</definedName>
    <definedName name="IQ_NONFARM_WAGES_YOY" hidden="1">"c7378"</definedName>
    <definedName name="IQ_NONFARM_WAGES_YOY_FC" hidden="1">"c8258"</definedName>
    <definedName name="IQ_NONINTEREST_BEARING_BALANCES_FDIC" hidden="1">"c6394"</definedName>
    <definedName name="IQ_NONINTEREST_BEARING_CASH_FFIEC" hidden="1">"c12774"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_FOREIGN_FFIEC" hidden="1">"c15376"</definedName>
    <definedName name="IQ_NONINTEREST_INCOME_EARNING_ASSETS_FDIC" hidden="1">"c6727"</definedName>
    <definedName name="IQ_NONMORTGAGE_SERVICING_FDIC" hidden="1">"c6336"</definedName>
    <definedName name="IQ_NONQUALIFYING_PREFERRED_T1_FFIEC" hidden="1">"c13134"</definedName>
    <definedName name="IQ_NONRECOURSE_DEBT" hidden="1">"c2550"</definedName>
    <definedName name="IQ_NONRECOURSE_DEBT_PCT" hidden="1">"c2551"</definedName>
    <definedName name="IQ_NONRES_FIXED_INVEST" hidden="1">"c6931"</definedName>
    <definedName name="IQ_NONRES_FIXED_INVEST_APR" hidden="1">"c7591"</definedName>
    <definedName name="IQ_NONRES_FIXED_INVEST_POP" hidden="1">"c7151"</definedName>
    <definedName name="IQ_NONRES_FIXED_INVEST_PRIV_APR_FC_UNUSED" hidden="1">"c8468"</definedName>
    <definedName name="IQ_NONRES_FIXED_INVEST_PRIV_APR_FC_UNUSED_UNUSED_UNUSED" hidden="1">"c8468"</definedName>
    <definedName name="IQ_NONRES_FIXED_INVEST_PRIV_APR_UNUSED" hidden="1">"c7588"</definedName>
    <definedName name="IQ_NONRES_FIXED_INVEST_PRIV_APR_UNUSED_UNUSED_UNUSED" hidden="1">"c7588"</definedName>
    <definedName name="IQ_NONRES_FIXED_INVEST_PRIV_FC_UNUSED" hidden="1">"c7808"</definedName>
    <definedName name="IQ_NONRES_FIXED_INVEST_PRIV_FC_UNUSED_UNUSED_UNUSED" hidden="1">"c7808"</definedName>
    <definedName name="IQ_NONRES_FIXED_INVEST_PRIV_POP_FC_UNUSED" hidden="1">"c8028"</definedName>
    <definedName name="IQ_NONRES_FIXED_INVEST_PRIV_POP_FC_UNUSED_UNUSED_UNUSED" hidden="1">"c8028"</definedName>
    <definedName name="IQ_NONRES_FIXED_INVEST_PRIV_POP_UNUSED" hidden="1">"c7148"</definedName>
    <definedName name="IQ_NONRES_FIXED_INVEST_PRIV_POP_UNUSED_UNUSED_UNUSED" hidden="1">"c7148"</definedName>
    <definedName name="IQ_NONRES_FIXED_INVEST_PRIV_REAL" hidden="1">"c6989"</definedName>
    <definedName name="IQ_NONRES_FIXED_INVEST_PRIV_REAL_APR" hidden="1">"c7649"</definedName>
    <definedName name="IQ_NONRES_FIXED_INVEST_PRIV_REAL_APR_FC" hidden="1">"c8529"</definedName>
    <definedName name="IQ_NONRES_FIXED_INVEST_PRIV_REAL_FC" hidden="1">"c7869"</definedName>
    <definedName name="IQ_NONRES_FIXED_INVEST_PRIV_REAL_POP" hidden="1">"c7209"</definedName>
    <definedName name="IQ_NONRES_FIXED_INVEST_PRIV_REAL_POP_FC" hidden="1">"c8089"</definedName>
    <definedName name="IQ_NONRES_FIXED_INVEST_PRIV_REAL_SAAR" hidden="1">"c6990"</definedName>
    <definedName name="IQ_NONRES_FIXED_INVEST_PRIV_REAL_SAAR_APR" hidden="1">"c7650"</definedName>
    <definedName name="IQ_NONRES_FIXED_INVEST_PRIV_REAL_SAAR_APR_FC" hidden="1">"c8530"</definedName>
    <definedName name="IQ_NONRES_FIXED_INVEST_PRIV_REAL_SAAR_FC" hidden="1">"c7870"</definedName>
    <definedName name="IQ_NONRES_FIXED_INVEST_PRIV_REAL_SAAR_POP" hidden="1">"c7210"</definedName>
    <definedName name="IQ_NONRES_FIXED_INVEST_PRIV_REAL_SAAR_POP_FC" hidden="1">"c8090"</definedName>
    <definedName name="IQ_NONRES_FIXED_INVEST_PRIV_REAL_SAAR_USD_APR_FC" hidden="1">"c11981"</definedName>
    <definedName name="IQ_NONRES_FIXED_INVEST_PRIV_REAL_SAAR_USD_FC" hidden="1">"c11978"</definedName>
    <definedName name="IQ_NONRES_FIXED_INVEST_PRIV_REAL_SAAR_USD_POP_FC" hidden="1">"c11979"</definedName>
    <definedName name="IQ_NONRES_FIXED_INVEST_PRIV_REAL_SAAR_USD_YOY_FC" hidden="1">"c11980"</definedName>
    <definedName name="IQ_NONRES_FIXED_INVEST_PRIV_REAL_SAAR_YOY" hidden="1">"c7430"</definedName>
    <definedName name="IQ_NONRES_FIXED_INVEST_PRIV_REAL_SAAR_YOY_FC" hidden="1">"c8310"</definedName>
    <definedName name="IQ_NONRES_FIXED_INVEST_PRIV_REAL_USD_APR_FC" hidden="1">"c11977"</definedName>
    <definedName name="IQ_NONRES_FIXED_INVEST_PRIV_REAL_USD_FC" hidden="1">"c11974"</definedName>
    <definedName name="IQ_NONRES_FIXED_INVEST_PRIV_REAL_USD_POP_FC" hidden="1">"c11975"</definedName>
    <definedName name="IQ_NONRES_FIXED_INVEST_PRIV_REAL_USD_YOY_FC" hidden="1">"c11976"</definedName>
    <definedName name="IQ_NONRES_FIXED_INVEST_PRIV_REAL_YOY" hidden="1">"c7429"</definedName>
    <definedName name="IQ_NONRES_FIXED_INVEST_PRIV_REAL_YOY_FC" hidden="1">"c8309"</definedName>
    <definedName name="IQ_NONRES_FIXED_INVEST_PRIV_SAAR" hidden="1">"c6929"</definedName>
    <definedName name="IQ_NONRES_FIXED_INVEST_PRIV_SAAR_APR" hidden="1">"c7589"</definedName>
    <definedName name="IQ_NONRES_FIXED_INVEST_PRIV_SAAR_APR_FC" hidden="1">"c8469"</definedName>
    <definedName name="IQ_NONRES_FIXED_INVEST_PRIV_SAAR_FC" hidden="1">"c7809"</definedName>
    <definedName name="IQ_NONRES_FIXED_INVEST_PRIV_SAAR_POP" hidden="1">"c7149"</definedName>
    <definedName name="IQ_NONRES_FIXED_INVEST_PRIV_SAAR_POP_FC" hidden="1">"c8029"</definedName>
    <definedName name="IQ_NONRES_FIXED_INVEST_PRIV_SAAR_USD_APR_FC" hidden="1">"c11877"</definedName>
    <definedName name="IQ_NONRES_FIXED_INVEST_PRIV_SAAR_USD_FC" hidden="1">"c11874"</definedName>
    <definedName name="IQ_NONRES_FIXED_INVEST_PRIV_SAAR_USD_POP_FC" hidden="1">"c11875"</definedName>
    <definedName name="IQ_NONRES_FIXED_INVEST_PRIV_SAAR_USD_YOY_FC" hidden="1">"c11876"</definedName>
    <definedName name="IQ_NONRES_FIXED_INVEST_PRIV_SAAR_YOY" hidden="1">"c7369"</definedName>
    <definedName name="IQ_NONRES_FIXED_INVEST_PRIV_SAAR_YOY_FC" hidden="1">"c8249"</definedName>
    <definedName name="IQ_NONRES_FIXED_INVEST_PRIV_UNUSED" hidden="1">"c6928"</definedName>
    <definedName name="IQ_NONRES_FIXED_INVEST_PRIV_UNUSED_UNUSED_UNUSED" hidden="1">"c6928"</definedName>
    <definedName name="IQ_NONRES_FIXED_INVEST_PRIV_USD_APR_FC" hidden="1">"c11873"</definedName>
    <definedName name="IQ_NONRES_FIXED_INVEST_PRIV_USD_FC" hidden="1">"c11870"</definedName>
    <definedName name="IQ_NONRES_FIXED_INVEST_PRIV_USD_POP_FC" hidden="1">"c11871"</definedName>
    <definedName name="IQ_NONRES_FIXED_INVEST_PRIV_USD_YOY_FC" hidden="1">"c11872"</definedName>
    <definedName name="IQ_NONRES_FIXED_INVEST_PRIV_YOY_FC_UNUSED" hidden="1">"c8248"</definedName>
    <definedName name="IQ_NONRES_FIXED_INVEST_PRIV_YOY_FC_UNUSED_UNUSED_UNUSED" hidden="1">"c8248"</definedName>
    <definedName name="IQ_NONRES_FIXED_INVEST_PRIV_YOY_UNUSED" hidden="1">"c7368"</definedName>
    <definedName name="IQ_NONRES_FIXED_INVEST_PRIV_YOY_UNUSED_UNUSED_UNUSED" hidden="1">"c7368"</definedName>
    <definedName name="IQ_NONRES_FIXED_INVEST_REAL" hidden="1">"c6993"</definedName>
    <definedName name="IQ_NONRES_FIXED_INVEST_REAL_APR" hidden="1">"c7653"</definedName>
    <definedName name="IQ_NONRES_FIXED_INVEST_REAL_POP" hidden="1">"c7213"</definedName>
    <definedName name="IQ_NONRES_FIXED_INVEST_REAL_SAAR" hidden="1">"c6987"</definedName>
    <definedName name="IQ_NONRES_FIXED_INVEST_REAL_SAAR_APR" hidden="1">"c7647"</definedName>
    <definedName name="IQ_NONRES_FIXED_INVEST_REAL_SAAR_APR_FC" hidden="1">"c8527"</definedName>
    <definedName name="IQ_NONRES_FIXED_INVEST_REAL_SAAR_FC" hidden="1">"c7867"</definedName>
    <definedName name="IQ_NONRES_FIXED_INVEST_REAL_SAAR_POP" hidden="1">"c7207"</definedName>
    <definedName name="IQ_NONRES_FIXED_INVEST_REAL_SAAR_POP_FC" hidden="1">"c8087"</definedName>
    <definedName name="IQ_NONRES_FIXED_INVEST_REAL_SAAR_YOY" hidden="1">"c7427"</definedName>
    <definedName name="IQ_NONRES_FIXED_INVEST_REAL_SAAR_YOY_FC" hidden="1">"c8307"</definedName>
    <definedName name="IQ_NONRES_FIXED_INVEST_REAL_USD_APR_FC" hidden="1">"c11973"</definedName>
    <definedName name="IQ_NONRES_FIXED_INVEST_REAL_USD_FC" hidden="1">"c11970"</definedName>
    <definedName name="IQ_NONRES_FIXED_INVEST_REAL_USD_POP_FC" hidden="1">"c11971"</definedName>
    <definedName name="IQ_NONRES_FIXED_INVEST_REAL_USD_YOY_FC" hidden="1">"c11972"</definedName>
    <definedName name="IQ_NONRES_FIXED_INVEST_REAL_YOY" hidden="1">"c7433"</definedName>
    <definedName name="IQ_NONRES_FIXED_INVEST_STRUCT" hidden="1">"c6930"</definedName>
    <definedName name="IQ_NONRES_FIXED_INVEST_STRUCT_APR" hidden="1">"c7590"</definedName>
    <definedName name="IQ_NONRES_FIXED_INVEST_STRUCT_APR_FC" hidden="1">"c8470"</definedName>
    <definedName name="IQ_NONRES_FIXED_INVEST_STRUCT_FC" hidden="1">"c7810"</definedName>
    <definedName name="IQ_NONRES_FIXED_INVEST_STRUCT_POP" hidden="1">"c7150"</definedName>
    <definedName name="IQ_NONRES_FIXED_INVEST_STRUCT_POP_FC" hidden="1">"c8030"</definedName>
    <definedName name="IQ_NONRES_FIXED_INVEST_STRUCT_REAL" hidden="1">"c6992"</definedName>
    <definedName name="IQ_NONRES_FIXED_INVEST_STRUCT_REAL_APR" hidden="1">"c7652"</definedName>
    <definedName name="IQ_NONRES_FIXED_INVEST_STRUCT_REAL_APR_FC" hidden="1">"c8532"</definedName>
    <definedName name="IQ_NONRES_FIXED_INVEST_STRUCT_REAL_FC" hidden="1">"c7872"</definedName>
    <definedName name="IQ_NONRES_FIXED_INVEST_STRUCT_REAL_POP" hidden="1">"c7212"</definedName>
    <definedName name="IQ_NONRES_FIXED_INVEST_STRUCT_REAL_POP_FC" hidden="1">"c8092"</definedName>
    <definedName name="IQ_NONRES_FIXED_INVEST_STRUCT_REAL_SAAR" hidden="1">"c6991"</definedName>
    <definedName name="IQ_NONRES_FIXED_INVEST_STRUCT_REAL_SAAR_APR" hidden="1">"c7651"</definedName>
    <definedName name="IQ_NONRES_FIXED_INVEST_STRUCT_REAL_SAAR_APR_FC" hidden="1">"c8531"</definedName>
    <definedName name="IQ_NONRES_FIXED_INVEST_STRUCT_REAL_SAAR_FC" hidden="1">"c7871"</definedName>
    <definedName name="IQ_NONRES_FIXED_INVEST_STRUCT_REAL_SAAR_POP" hidden="1">"c7211"</definedName>
    <definedName name="IQ_NONRES_FIXED_INVEST_STRUCT_REAL_SAAR_POP_FC" hidden="1">"c8091"</definedName>
    <definedName name="IQ_NONRES_FIXED_INVEST_STRUCT_REAL_SAAR_YOY" hidden="1">"c7431"</definedName>
    <definedName name="IQ_NONRES_FIXED_INVEST_STRUCT_REAL_SAAR_YOY_FC" hidden="1">"c8311"</definedName>
    <definedName name="IQ_NONRES_FIXED_INVEST_STRUCT_REAL_USD_APR_FC" hidden="1">"c11985"</definedName>
    <definedName name="IQ_NONRES_FIXED_INVEST_STRUCT_REAL_USD_FC" hidden="1">"c11982"</definedName>
    <definedName name="IQ_NONRES_FIXED_INVEST_STRUCT_REAL_USD_POP_FC" hidden="1">"c11983"</definedName>
    <definedName name="IQ_NONRES_FIXED_INVEST_STRUCT_REAL_USD_YOY_FC" hidden="1">"c11984"</definedName>
    <definedName name="IQ_NONRES_FIXED_INVEST_STRUCT_REAL_YOY" hidden="1">"c7432"</definedName>
    <definedName name="IQ_NONRES_FIXED_INVEST_STRUCT_REAL_YOY_FC" hidden="1">"c8312"</definedName>
    <definedName name="IQ_NONRES_FIXED_INVEST_STRUCT_USD_APR_FC" hidden="1">"c11881"</definedName>
    <definedName name="IQ_NONRES_FIXED_INVEST_STRUCT_USD_FC" hidden="1">"c11878"</definedName>
    <definedName name="IQ_NONRES_FIXED_INVEST_STRUCT_USD_POP_FC" hidden="1">"c11879"</definedName>
    <definedName name="IQ_NONRES_FIXED_INVEST_STRUCT_USD_YOY_FC" hidden="1">"c11880"</definedName>
    <definedName name="IQ_NONRES_FIXED_INVEST_STRUCT_YOY" hidden="1">"c7370"</definedName>
    <definedName name="IQ_NONRES_FIXED_INVEST_STRUCT_YOY_FC" hidden="1">"c8250"</definedName>
    <definedName name="IQ_NONRES_FIXED_INVEST_USD_APR_FC" hidden="1">"c11869"</definedName>
    <definedName name="IQ_NONRES_FIXED_INVEST_USD_FC" hidden="1">"c11866"</definedName>
    <definedName name="IQ_NONRES_FIXED_INVEST_USD_POP_FC" hidden="1">"c11867"</definedName>
    <definedName name="IQ_NONRES_FIXED_INVEST_USD_YOY_FC" hidden="1">"c11868"</definedName>
    <definedName name="IQ_NONRES_FIXED_INVEST_YOY" hidden="1">"c7371"</definedName>
    <definedName name="IQ_NONTRADING_SECURITIES_FAIR_VALUE_TOT_FFIEC" hidden="1">"c13211"</definedName>
    <definedName name="IQ_NONTRADING_SECURITIES_LEVEL_1_FFIEC" hidden="1">"c13219"</definedName>
    <definedName name="IQ_NONTRADING_SECURITIES_LEVEL_2_FFIEC" hidden="1">"c13227"</definedName>
    <definedName name="IQ_NONTRADING_SECURITIES_LEVEL_3_FFIEC" hidden="1">"c13235"</definedName>
    <definedName name="IQ_NONTRANSACTION_ACCOUNTS_FDIC" hidden="1">"c6552"</definedName>
    <definedName name="IQ_NONUTIL_REV" hidden="1">"c2089"</definedName>
    <definedName name="IQ_NORM_EPS_ACT_OR_EST" hidden="1">"c2249"</definedName>
    <definedName name="IQ_NORM_EPS_ACT_OR_EST_CIQ" hidden="1">"c5069"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"c1176"</definedName>
    <definedName name="IQ_NOTIONAL_AMOUNT_CREDIT_DERIVATIVES_FDIC" hidden="1">"c6507"</definedName>
    <definedName name="IQ_NOTIONAL_AMT_DERIVATIVES_BENEFICIARY_FFIEC" hidden="1">"c13118"</definedName>
    <definedName name="IQ_NOTIONAL_AMT_DERIVATIVES_GUARANTOR_FFIEC" hidden="1">"c13111"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OW_ATS_ACCOUNTS_COMMERCIAL_BANK_SUBS_FFIEC" hidden="1">"c12946"</definedName>
    <definedName name="IQ_NOW_ATS_ACCOUNTS_OTHER_INSTITUTIONS_FFIEC" hidden="1">"c12951"</definedName>
    <definedName name="IQ_NOW_OTHER_TRANS_ACCTS_TOT_DEPOSITS_FFIEC" hidden="1">"c13903"</definedName>
    <definedName name="IQ_NPPE" hidden="1">"c829"</definedName>
    <definedName name="IQ_NPPE_10YR_ANN_CAGR" hidden="1">"c6130"</definedName>
    <definedName name="IQ_NPPE_10YR_ANN_GROWTH" hidden="1">"c830"</definedName>
    <definedName name="IQ_NPPE_1YR_ANN_GROWTH" hidden="1">"c831"</definedName>
    <definedName name="IQ_NPPE_2YR_ANN_CAGR" hidden="1">"c6131"</definedName>
    <definedName name="IQ_NPPE_2YR_ANN_GROWTH" hidden="1">"c832"</definedName>
    <definedName name="IQ_NPPE_3YR_ANN_CAGR" hidden="1">"c6132"</definedName>
    <definedName name="IQ_NPPE_3YR_ANN_GROWTH" hidden="1">"c833"</definedName>
    <definedName name="IQ_NPPE_5YR_ANN_CAGR" hidden="1">"c6133"</definedName>
    <definedName name="IQ_NPPE_5YR_ANN_GROWTH" hidden="1">"c834"</definedName>
    <definedName name="IQ_NPPE_7YR_ANN_CAGR" hidden="1">"c6134"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_CONTRIBUTORS" hidden="1">"c13739"</definedName>
    <definedName name="IQ_NUM_OFFICES" hidden="1">"c2088"</definedName>
    <definedName name="IQ_NUMBER_ADRHOLDERS" hidden="1">"c1970"</definedName>
    <definedName name="IQ_NUMBER_DAYS" hidden="1">"c1904"</definedName>
    <definedName name="IQ_NUMBER_DEPOSITS_LESS_THAN_100K_FDIC" hidden="1">"c6495"</definedName>
    <definedName name="IQ_NUMBER_DEPOSITS_MORE_THAN_100K_FDIC" hidden="1">"c6493"</definedName>
    <definedName name="IQ_NUMBER_MINES_ALUM" hidden="1">"c9248"</definedName>
    <definedName name="IQ_NUMBER_MINES_COAL" hidden="1">"c9822"</definedName>
    <definedName name="IQ_NUMBER_MINES_COP" hidden="1">"c9193"</definedName>
    <definedName name="IQ_NUMBER_MINES_DIAM" hidden="1">"c9672"</definedName>
    <definedName name="IQ_NUMBER_MINES_GOLD" hidden="1">"c9033"</definedName>
    <definedName name="IQ_NUMBER_MINES_IRON" hidden="1">"c9407"</definedName>
    <definedName name="IQ_NUMBER_MINES_LEAD" hidden="1">"c9460"</definedName>
    <definedName name="IQ_NUMBER_MINES_MANG" hidden="1">"c9513"</definedName>
    <definedName name="IQ_NUMBER_MINES_MOLYB" hidden="1">"c9725"</definedName>
    <definedName name="IQ_NUMBER_MINES_NICK" hidden="1">"c9301"</definedName>
    <definedName name="IQ_NUMBER_MINES_PLAT" hidden="1">"c9139"</definedName>
    <definedName name="IQ_NUMBER_MINES_SILVER" hidden="1">"c9086"</definedName>
    <definedName name="IQ_NUMBER_MINES_TITAN" hidden="1">"c9566"</definedName>
    <definedName name="IQ_NUMBER_MINES_URAN" hidden="1">"c9619"</definedName>
    <definedName name="IQ_NUMBER_MINES_ZINC" hidden="1">"c9354"</definedName>
    <definedName name="IQ_NUMBER_SHAREHOLDERS" hidden="1">"c1967"</definedName>
    <definedName name="IQ_NUMBER_SHAREHOLDERS_CLASSA" hidden="1">"c1968"</definedName>
    <definedName name="IQ_NUMBER_SHAREHOLDERS_CLASSB" hidden="1">"c1969"</definedName>
    <definedName name="IQ_NUMBER_SHAREHOLDERS_OTHER" hidden="1">"c1969"</definedName>
    <definedName name="IQ_OBLIGATION_STATES_POLI_SUBD_US_LL_REC_DOM_FFIEC" hidden="1">"c15295"</definedName>
    <definedName name="IQ_OBLIGATION_STATES_POLI_SUBD_US_LL_REC_FFIEC" hidden="1">"c15294"</definedName>
    <definedName name="IQ_OBLIGATIONS_OF_STATES_TOTAL_LOANS_FOREIGN_FDIC" hidden="1">"c6447"</definedName>
    <definedName name="IQ_OBLIGATIONS_STATES_FDIC" hidden="1">"c6431"</definedName>
    <definedName name="IQ_OCCUPANCY_CONSOL" hidden="1">"c8840"</definedName>
    <definedName name="IQ_OCCUPANCY_EXP_AVG_ASSETS_FFIEC" hidden="1">"c13372"</definedName>
    <definedName name="IQ_OCCUPANCY_EXP_OPERATING_INC_FFIEC" hidden="1">"c13380"</definedName>
    <definedName name="IQ_OCCUPANCY_MANAGED" hidden="1">"c8842"</definedName>
    <definedName name="IQ_OCCUPANCY_OTHER" hidden="1">"c8843"</definedName>
    <definedName name="IQ_OCCUPANCY_SAME_PROP" hidden="1">"c8845"</definedName>
    <definedName name="IQ_OCCUPANCY_TOTAL" hidden="1">"c8844"</definedName>
    <definedName name="IQ_OCCUPANCY_UNCONSOL" hidden="1">"c8841"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GAS_EQUIV_PRODUCTION_MMCFE" hidden="1">"c10061"</definedName>
    <definedName name="IQ_OG_AVG_DAILY_OIL_EQUIV_PRODUCTION_KBOE" hidden="1">"c10060"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AVG_DAILY_PRODUCTION_GAS_MMCM" hidden="1">"c10059"</definedName>
    <definedName name="IQ_OG_AVG_DAILY_SALES_VOL_EQ_INC_GAS" hidden="1">"c5797"</definedName>
    <definedName name="IQ_OG_AVG_DAILY_SALES_VOL_EQ_INC_NGL" hidden="1">"c5798"</definedName>
    <definedName name="IQ_OG_AVG_DAILY_SALES_VOL_EQ_INC_OIL" hidden="1">"c5796"</definedName>
    <definedName name="IQ_OG_AVG_GAS_PRICE_CBM_HEDGED" hidden="1">"c10054"</definedName>
    <definedName name="IQ_OG_AVG_GAS_PRICE_CBM_UNHEDGED" hidden="1">"c10055"</definedName>
    <definedName name="IQ_OG_AVG_PRODUCTION_COST_BBL" hidden="1">"c10062"</definedName>
    <definedName name="IQ_OG_AVG_PRODUCTION_COST_BOE" hidden="1">"c10064"</definedName>
    <definedName name="IQ_OG_AVG_PRODUCTION_COST_MCF" hidden="1">"c10063"</definedName>
    <definedName name="IQ_OG_AVG_PRODUCTION_COST_MCFE" hidden="1">"c10065"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AILY_PRDUCTION_GROWTH_GAS" hidden="1">"c12732"</definedName>
    <definedName name="IQ_OG_DAILY_PRDUCTION_GROWTH_GAS_EQUIVALENT" hidden="1">"c12733"</definedName>
    <definedName name="IQ_OG_DAILY_PRDUCTION_GROWTH_NGL" hidden="1">"c12734"</definedName>
    <definedName name="IQ_OG_DAILY_PRDUCTION_GROWTH_OIL" hidden="1">"c12735"</definedName>
    <definedName name="IQ_OG_DAILY_PRDUCTION_GROWTH_OIL_EQUIVALENT" hidden="1">"c12736"</definedName>
    <definedName name="IQ_OG_DAILY_PRODUCTION_GROWTH_GAS" hidden="1">"c10073"</definedName>
    <definedName name="IQ_OG_DAILY_PRODUCTION_GROWTH_GAS_EQUIVALENT" hidden="1">"c10076"</definedName>
    <definedName name="IQ_OG_DAILY_PRODUCTION_GROWTH_NGL" hidden="1">"c10074"</definedName>
    <definedName name="IQ_OG_DAILY_PRODUCTION_GROWTH_OIL" hidden="1">"c10072"</definedName>
    <definedName name="IQ_OG_DAILY_PRODUCTION_GROWTH_OIL_EQUIVALENT" hidden="1">"c10075"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ACRE_GROSS_EQ_INC" hidden="1">"c5802"</definedName>
    <definedName name="IQ_OG_DEVELOPED_ACRE_NET_EQ_INC" hidden="1">"c5803"</definedName>
    <definedName name="IQ_OG_DEVELOPED_RESERVES_GAS" hidden="1">"c2053"</definedName>
    <definedName name="IQ_OG_DEVELOPED_RESERVES_GAS_BCM" hidden="1">"c10045"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AFFILIATES_RESERVES_GAS_BCM" hidden="1">"c10047"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PLORATION_DEVELOPMENT_COST" hidden="1">"c10081"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GROSS_DEVELOPED_AREA_SQ_KM" hidden="1">"c10079"</definedName>
    <definedName name="IQ_OG_GROSS_DEVELOPMENT_DRY_WELLS_DRILLED" hidden="1">"c10098"</definedName>
    <definedName name="IQ_OG_GROSS_DEVELOPMENT_PRODUCTIVE_WELLS_DRILLED" hidden="1">"c10097"</definedName>
    <definedName name="IQ_OG_GROSS_DEVELOPMENT_TOTAL_WELLS_DRILLED" hidden="1">"c10099"</definedName>
    <definedName name="IQ_OG_GROSS_EXPLORATORY_DRY_WELLS_DRILLED" hidden="1">"c10095"</definedName>
    <definedName name="IQ_OG_GROSS_EXPLORATORY_PRODUCTIVE_WELLS_DRILLED" hidden="1">"c10094"</definedName>
    <definedName name="IQ_OG_GROSS_EXPLORATORY_TOTAL_WELLS_DRILLED" hidden="1">"c10096"</definedName>
    <definedName name="IQ_OG_GROSS_OPERATED_WELLS" hidden="1">"c10092"</definedName>
    <definedName name="IQ_OG_GROSS_PRODUCTIVE_WELLS_GAS" hidden="1">"c10087"</definedName>
    <definedName name="IQ_OG_GROSS_PRODUCTIVE_WELLS_OIL" hidden="1">"c10086"</definedName>
    <definedName name="IQ_OG_GROSS_PRODUCTIVE_WELLS_TOTAL" hidden="1">"c10088"</definedName>
    <definedName name="IQ_OG_GROSS_TOTAL_WELLS_DRILLED" hidden="1">"c10100"</definedName>
    <definedName name="IQ_OG_GROSS_UNDEVELOPED_AREA_SQ_KM" hidden="1">"c10077"</definedName>
    <definedName name="IQ_OG_GROSS_WELLS_DRILLING" hidden="1">"c10108"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DEVELOPED_AREA_SQ_KM" hidden="1">"c10080"</definedName>
    <definedName name="IQ_OG_NET_DEVELOPMENT_DRY_WELLS_DRILLED" hidden="1">"c10105"</definedName>
    <definedName name="IQ_OG_NET_DEVELOPMENT_PRODUCTIVE_WELLS_DRILLED" hidden="1">"c10104"</definedName>
    <definedName name="IQ_OG_NET_DEVELOPMENT_TOTAL_WELLS_DRILLED" hidden="1">"c10106"</definedName>
    <definedName name="IQ_OG_NET_EXPLORATORY_DRY_WELLS_DRILLED" hidden="1">"c10102"</definedName>
    <definedName name="IQ_OG_NET_EXPLORATORY_PRODUCTIVE_WELLS_DRILLED" hidden="1">"c10101"</definedName>
    <definedName name="IQ_OG_NET_EXPLORATORY_TOTAL_WELLS_DRILLED" hidden="1">"c10103"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NET_OPERATED_WELLS" hidden="1">"c10093"</definedName>
    <definedName name="IQ_OG_NET_PRODUCTIVE_WELLS_GAS" hidden="1">"c10090"</definedName>
    <definedName name="IQ_OG_NET_PRODUCTIVE_WELLS_OIL" hidden="1">"c10089"</definedName>
    <definedName name="IQ_OG_NET_PRODUCTIVE_WELLS_TOTAL" hidden="1">"c10091"</definedName>
    <definedName name="IQ_OG_NET_TOTAL_WELLS_DRILLED" hidden="1">"c10107"</definedName>
    <definedName name="IQ_OG_NET_UNDEVELOPED_AREA_SQ_KM" hidden="1">"c10078"</definedName>
    <definedName name="IQ_OG_NET_WELLS_DRILLING" hidden="1">"c10109"</definedName>
    <definedName name="IQ_OG_NUMBER_WELLS_NEW" hidden="1">"c10085"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" hidden="1">"c1999"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DUCTION_GROWTH_GAS" hidden="1">"c12737"</definedName>
    <definedName name="IQ_OG_PRDUCTION_GROWTH_GAS_EQUIVALENT" hidden="1">"c12738"</definedName>
    <definedName name="IQ_OG_PRDUCTION_GROWTH_NGL" hidden="1">"c12739"</definedName>
    <definedName name="IQ_OG_PRDUCTION_GROWTH_OIL" hidden="1">"c12740"</definedName>
    <definedName name="IQ_OG_PRDUCTION_GROWTH_OIL_EQUIVALENT" hidden="1">"c12741"</definedName>
    <definedName name="IQ_OG_PRDUCTION_GROWTH_TOAL" hidden="1">"c12742"</definedName>
    <definedName name="IQ_OG_PRODUCTION_GAS" hidden="1">"c2047"</definedName>
    <definedName name="IQ_OG_PRODUCTION_GROWTH_GAS" hidden="1">"c10067"</definedName>
    <definedName name="IQ_OG_PRODUCTION_GROWTH_GAS_EQUIVALENT" hidden="1">"c10070"</definedName>
    <definedName name="IQ_OG_PRODUCTION_GROWTH_NGL" hidden="1">"c10068"</definedName>
    <definedName name="IQ_OG_PRODUCTION_GROWTH_OIL" hidden="1">"c10066"</definedName>
    <definedName name="IQ_OG_PRODUCTION_GROWTH_OIL_EQUIVALENT" hidden="1">"c10069"</definedName>
    <definedName name="IQ_OG_PRODUCTION_GROWTH_TOTAL" hidden="1">"c10071"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SERVE_REPLACEMENT_RATIO" hidden="1">"c5799"</definedName>
    <definedName name="IQ_OG_REVISIONS_GAS" hidden="1">"c2042"</definedName>
    <definedName name="IQ_OG_REVISIONS_NGL" hidden="1">"c2913"</definedName>
    <definedName name="IQ_OG_REVISIONS_OIL" hidden="1">"c2030"</definedName>
    <definedName name="IQ_OG_RIGS_NON_OPERATED" hidden="1">"c10083"</definedName>
    <definedName name="IQ_OG_RIGS_OPERATED" hidden="1">"c10082"</definedName>
    <definedName name="IQ_OG_RIGS_TOTAL" hidden="1">"c10084"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ALES_VOL_EQ_INC_GAS" hidden="1">"c5794"</definedName>
    <definedName name="IQ_OG_SALES_VOL_EQ_INC_NGL" hidden="1">"c5795"</definedName>
    <definedName name="IQ_OG_SALES_VOL_EQ_INC_OIL" hidden="1">"c5793"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EQUIV_PRODUCTION_BCFE" hidden="1">"c10058"</definedName>
    <definedName name="IQ_OG_TOTAL_GAS_PRODUCTION" hidden="1">"c2060"</definedName>
    <definedName name="IQ_OG_TOTAL_LIQUID_GAS_PRODUCTION" hidden="1">"c2235"</definedName>
    <definedName name="IQ_OG_TOTAL_OIL_EQUIV_PRODUCTION_MMBOE" hidden="1">"c10057"</definedName>
    <definedName name="IQ_OG_TOTAL_OIL_PRODUCTION" hidden="1">"c2059"</definedName>
    <definedName name="IQ_OG_TOTAL_OIL_PRODUCTON" hidden="1">"c2059"</definedName>
    <definedName name="IQ_OG_TOTAL_POSSIBLE_RESERVES_GAS_BCF" hidden="1">"c10050"</definedName>
    <definedName name="IQ_OG_TOTAL_POSSIBLE_RESERVES_GAS_BCM" hidden="1">"c10051"</definedName>
    <definedName name="IQ_OG_TOTAL_POSSIBLE_RESERVES_OIL_MMBBLS" hidden="1">"c10053"</definedName>
    <definedName name="IQ_OG_TOTAL_PROBABLE_RESERVES_GAS_BCF" hidden="1">"c10048"</definedName>
    <definedName name="IQ_OG_TOTAL_PROBABLE_RESERVES_GAS_BCM" hidden="1">"c10049"</definedName>
    <definedName name="IQ_OG_TOTAL_PROBABLE_RESERVES_OIL_MMBBLS" hidden="1">"c10052"</definedName>
    <definedName name="IQ_OG_TOTAL_PRODUCTION_GAS_BCM" hidden="1">"c10056"</definedName>
    <definedName name="IQ_OG_TOTAL_PROVED_RESERVES_GAS_BCM" hidden="1">"c10046"</definedName>
    <definedName name="IQ_OG_UNDEVELOPED_ACRE_GROSS_EQ_INC" hidden="1">"c5800"</definedName>
    <definedName name="IQ_OG_UNDEVELOPED_ACRE_NET_EQ_INC" hidden="1">"c5801"</definedName>
    <definedName name="IQ_OG_UNDEVELOPED_RESERVES_GAS" hidden="1">"c2051"</definedName>
    <definedName name="IQ_OG_UNDEVELOPED_RESERVES_GAS_BCM" hidden="1">"c10044"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CT_NEXT" hidden="1">"c5774"</definedName>
    <definedName name="IQ_OPEB_ACT_NEXT_DOM" hidden="1">"c5772"</definedName>
    <definedName name="IQ_OPEB_ACT_NEXT_FOREIGN" hidden="1">"c5773"</definedName>
    <definedName name="IQ_OPEB_AMT_RECOG_NEXT" hidden="1">"c5783"</definedName>
    <definedName name="IQ_OPEB_AMT_RECOG_NEXT_DOM" hidden="1">"c5781"</definedName>
    <definedName name="IQ_OPEB_AMT_RECOG_NEXT_FOREIGN" hidden="1">"c5782"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CI_ACT" hidden="1">"c5759"</definedName>
    <definedName name="IQ_OPEB_CI_ACT_DOM" hidden="1">"c5757"</definedName>
    <definedName name="IQ_OPEB_CI_ACT_FOREIGN" hidden="1">"c5758"</definedName>
    <definedName name="IQ_OPEB_CI_NET_AMT_RECOG" hidden="1">"c5771"</definedName>
    <definedName name="IQ_OPEB_CI_NET_AMT_RECOG_DOM" hidden="1">"c5769"</definedName>
    <definedName name="IQ_OPEB_CI_NET_AMT_RECOG_FOREIGN" hidden="1">"c5770"</definedName>
    <definedName name="IQ_OPEB_CI_OTHER_MISC_ADJ" hidden="1">"c5768"</definedName>
    <definedName name="IQ_OPEB_CI_OTHER_MISC_ADJ_DOM" hidden="1">"c5766"</definedName>
    <definedName name="IQ_OPEB_CI_OTHER_MISC_ADJ_FOREIGN" hidden="1">"c5767"</definedName>
    <definedName name="IQ_OPEB_CI_PRIOR_SERVICE" hidden="1">"c5762"</definedName>
    <definedName name="IQ_OPEB_CI_PRIOR_SERVICE_DOM" hidden="1">"c5760"</definedName>
    <definedName name="IQ_OPEB_CI_PRIOR_SERVICE_FOREIGN" hidden="1">"c5761"</definedName>
    <definedName name="IQ_OPEB_CI_TRANSITION" hidden="1">"c5765"</definedName>
    <definedName name="IQ_OPEB_CI_TRANSITION_DOM" hidden="1">"c5763"</definedName>
    <definedName name="IQ_OPEB_CI_TRANSITION_FOREIGN" hidden="1">"c5764"</definedName>
    <definedName name="IQ_OPEB_CL" hidden="1">"c5789"</definedName>
    <definedName name="IQ_OPEB_CL_DOM" hidden="1">"c5787"</definedName>
    <definedName name="IQ_OPEB_CL_FOREIGN" hidden="1">"c5788"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LT_ASSETS" hidden="1">"c5786"</definedName>
    <definedName name="IQ_OPEB_LT_ASSETS_DOM" hidden="1">"c5784"</definedName>
    <definedName name="IQ_OPEB_LT_ASSETS_FOREIGN" hidden="1">"c5785"</definedName>
    <definedName name="IQ_OPEB_LT_LIAB" hidden="1">"c5792"</definedName>
    <definedName name="IQ_OPEB_LT_LIAB_DOM" hidden="1">"c5790"</definedName>
    <definedName name="IQ_OPEB_LT_LIAB_FOREIGN" hidden="1">"c5791"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PRIOR_SERVICE_NEXT" hidden="1">"c5777"</definedName>
    <definedName name="IQ_OPEB_PRIOR_SERVICE_NEXT_DOM" hidden="1">"c5775"</definedName>
    <definedName name="IQ_OPEB_PRIOR_SERVICE_NEXT_FOREIGN" hidden="1">"c5776"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TRANSITION_NEXT" hidden="1">"c5780"</definedName>
    <definedName name="IQ_OPEB_TRANSITION_NEXT_DOM" hidden="1">"c5778"</definedName>
    <definedName name="IQ_OPEB_TRANSITION_NEXT_FOREIGN" hidden="1">"c5779"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ED55" hidden="1">1</definedName>
    <definedName name="IQ_OPENPRICE" hidden="1">"c848"</definedName>
    <definedName name="IQ_OPER_INC" hidden="1">"c849"</definedName>
    <definedName name="IQ_OPER_INC_ACT_OR_EST" hidden="1">"c2220"</definedName>
    <definedName name="IQ_OPER_INC_BR" hidden="1">"c850"</definedName>
    <definedName name="IQ_OPER_INC_EST" hidden="1">"c1688"</definedName>
    <definedName name="IQ_OPER_INC_FIN" hidden="1">"c851"</definedName>
    <definedName name="IQ_OPER_INC_HIGH_EST" hidden="1">"c1690"</definedName>
    <definedName name="IQ_OPER_INC_INS" hidden="1">"c852"</definedName>
    <definedName name="IQ_OPER_INC_LOW_EST" hidden="1">"c1691"</definedName>
    <definedName name="IQ_OPER_INC_MARGIN" hidden="1">"c362"</definedName>
    <definedName name="IQ_OPER_INC_MEDIAN_EST" hidden="1">"c1689"</definedName>
    <definedName name="IQ_OPER_INC_NUM_EST" hidden="1">"c1692"</definedName>
    <definedName name="IQ_OPER_INC_RE" hidden="1">"c6240"</definedName>
    <definedName name="IQ_OPER_INC_REIT" hidden="1">"c853"</definedName>
    <definedName name="IQ_OPER_INC_STDDEV_EST" hidden="1">"c1693"</definedName>
    <definedName name="IQ_OPER_INC_UTI" hidden="1">"c854"</definedName>
    <definedName name="IQ_OPERATING_EXP_AVG_ASSETS_FFIEC" hidden="1">"c13373"</definedName>
    <definedName name="IQ_OPERATING_INC_AVG_ASSETS_FFIEC" hidden="1">"c13368"</definedName>
    <definedName name="IQ_OPERATING_INC_TE_AVG_ASSETS_FFIEC" hidden="1">"c13360"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CERCISED" hidden="1">"c2116"</definedName>
    <definedName name="IQ_OPTIONS_EXERCISABLE_END_OS" hidden="1">"c5804"</definedName>
    <definedName name="IQ_OPTIONS_EXERCISED" hidden="1">"c2116"</definedName>
    <definedName name="IQ_OPTIONS_GRANTED" hidden="1">"c2673"</definedName>
    <definedName name="IQ_OPTIONS_ISSUED" hidden="1">"c857"</definedName>
    <definedName name="IQ_OPTIONS_OS" hidden="1">"c858"</definedName>
    <definedName name="IQ_OPTIONS_STRIKE_PRICE_BEG_OS" hidden="1">"c5805"</definedName>
    <definedName name="IQ_OPTIONS_STRIKE_PRICE_CANCELLED" hidden="1">"c5807"</definedName>
    <definedName name="IQ_OPTIONS_STRIKE_PRICE_EXERCISABLE" hidden="1">"c5808"</definedName>
    <definedName name="IQ_OPTIONS_STRIKE_PRICE_EXERCISED" hidden="1">"c5806"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FIEC" hidden="1">"c12831"</definedName>
    <definedName name="IQ_OREO_FOREIGN_FDIC" hidden="1">"c6460"</definedName>
    <definedName name="IQ_OREO_FOREIGN_FFIEC" hidden="1">"c15273"</definedName>
    <definedName name="IQ_OREO_MULTI_FAMILY_RESIDENTIAL_FDIC" hidden="1">"c6455"</definedName>
    <definedName name="IQ_OREO_OTHER_FFIEC" hidden="1">"c12833"</definedName>
    <definedName name="IQ_OTHER_ADDITIONS_T1_FFIEC" hidden="1">"c13142"</definedName>
    <definedName name="IQ_OTHER_ADDITIONS_T2_FFIEC" hidden="1">"c13148"</definedName>
    <definedName name="IQ_OTHER_ADJUST_GROSS_LOANS" hidden="1">"c859"</definedName>
    <definedName name="IQ_OTHER_ADJUSTMENTS_COVERED" hidden="1">"c9961"</definedName>
    <definedName name="IQ_OTHER_ADJUSTMENTS_FFIEC" hidden="1">"c12972"</definedName>
    <definedName name="IQ_OTHER_ADJUSTMENTS_GROUP" hidden="1">"c9947"</definedName>
    <definedName name="IQ_OTHER_AMORT" hidden="1">"c5563"</definedName>
    <definedName name="IQ_OTHER_AMORT_BNK" hidden="1">"c5565"</definedName>
    <definedName name="IQ_OTHER_AMORT_BR" hidden="1">"c5566"</definedName>
    <definedName name="IQ_OTHER_AMORT_FIN" hidden="1">"c5567"</definedName>
    <definedName name="IQ_OTHER_AMORT_INS" hidden="1">"c5568"</definedName>
    <definedName name="IQ_OTHER_AMORT_RE" hidden="1">"c6287"</definedName>
    <definedName name="IQ_OTHER_AMORT_REIT" hidden="1">"c5569"</definedName>
    <definedName name="IQ_OTHER_AMORT_UTI" hidden="1">"c5570"</definedName>
    <definedName name="IQ_OTHER_ASSETS" hidden="1">"c860"</definedName>
    <definedName name="IQ_OTHER_ASSETS_BNK" hidden="1">"c861"</definedName>
    <definedName name="IQ_OTHER_ASSETS_BR" hidden="1">"c862"</definedName>
    <definedName name="IQ_OTHER_ASSETS_FDIC" hidden="1">"c6338"</definedName>
    <definedName name="IQ_OTHER_ASSETS_FFIEC" hidden="1">"c12848"</definedName>
    <definedName name="IQ_OTHER_ASSETS_FIN" hidden="1">"c863"</definedName>
    <definedName name="IQ_OTHER_ASSETS_INS" hidden="1">"c864"</definedName>
    <definedName name="IQ_OTHER_ASSETS_RE" hidden="1">"c6241"</definedName>
    <definedName name="IQ_OTHER_ASSETS_REIT" hidden="1">"c865"</definedName>
    <definedName name="IQ_OTHER_ASSETS_SERV_RIGHTS" hidden="1">"c2243"</definedName>
    <definedName name="IQ_OTHER_ASSETS_TOTAL_FFIEC" hidden="1">"c12841"</definedName>
    <definedName name="IQ_OTHER_ASSETS_UTI" hidden="1">"c866"</definedName>
    <definedName name="IQ_OTHER_BEARING_LIAB" hidden="1">"c1608"</definedName>
    <definedName name="IQ_OTHER_BEDS" hidden="1">"c8784"</definedName>
    <definedName name="IQ_OTHER_BENEFITS_OBLIGATION" hidden="1">"c867"</definedName>
    <definedName name="IQ_OTHER_BORROWED_FUNDS_FDIC" hidden="1">"c6345"</definedName>
    <definedName name="IQ_OTHER_BORROWED_MONEY_FAIR_VALUE_TOT_FFIEC" hidden="1">"c15409"</definedName>
    <definedName name="IQ_OTHER_BORROWED_MONEY_FFIEC" hidden="1">"c12862"</definedName>
    <definedName name="IQ_OTHER_BORROWED_MONEY_LEVEL_1_FFIEC" hidden="1">"c15431"</definedName>
    <definedName name="IQ_OTHER_BORROWED_MONEY_LEVEL_2_FFIEC" hidden="1">"c15444"</definedName>
    <definedName name="IQ_OTHER_BORROWED_MONEY_LEVEL_3_FFIEC" hidden="1">"c15457"</definedName>
    <definedName name="IQ_OTHER_BORROWED_MONEY_LT_FFIEC" hidden="1">"c12865"</definedName>
    <definedName name="IQ_OTHER_BORROWED_MONEY_ST_FFIEC" hidden="1">"c12864"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" hidden="1">"c6242"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INS" hidden="1">"c6021"</definedName>
    <definedName name="IQ_OTHER_CL_SUPPL_RE" hidden="1">"c6243"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 hidden="1">"c6503"</definedName>
    <definedName name="IQ_OTHER_COMPREHENSIVE_INCOME_FFIEC" hidden="1">"c12970"</definedName>
    <definedName name="IQ_OTHER_CONSTRUCTION_GROSS_LOANS_FFIEC" hidden="1">"c13403"</definedName>
    <definedName name="IQ_OTHER_CONSTRUCTION_LOANS_DUE_30_89_FFIEC" hidden="1">"c13258"</definedName>
    <definedName name="IQ_OTHER_CONSTRUCTION_LOANS_DUE_90_FFIEC" hidden="1">"c13286"</definedName>
    <definedName name="IQ_OTHER_CONSTRUCTION_LOANS_NON_ACCRUAL_FFIEC" hidden="1">"c13312"</definedName>
    <definedName name="IQ_OTHER_CONSTRUCTION_LOANS_UNUSED_FFIEC" hidden="1">"c13245"</definedName>
    <definedName name="IQ_OTHER_CONSTRUCTION_RISK_BASED_FFIEC" hidden="1">"c13424"</definedName>
    <definedName name="IQ_OTHER_CONSUMER_LL_REC_FFIEC" hidden="1">"c12891"</definedName>
    <definedName name="IQ_OTHER_CONSUMER_LOANS_FFIEC" hidden="1">"c12824"</definedName>
    <definedName name="IQ_OTHER_CONSUMER_LOANS_TRADING_DOM_FFIEC" hidden="1">"c12935"</definedName>
    <definedName name="IQ_OTHER_CURRENT_ASSETS" hidden="1">"c868"</definedName>
    <definedName name="IQ_OTHER_CURRENT_LIAB" hidden="1">"c877"</definedName>
    <definedName name="IQ_OTHER_DEBT" hidden="1">"c2507"</definedName>
    <definedName name="IQ_OTHER_DEBT_PCT" hidden="1">"c2508"</definedName>
    <definedName name="IQ_OTHER_DEBT_SEC_DOM_AVAIL_SALE_FFIEC" hidden="1">"c12803"</definedName>
    <definedName name="IQ_OTHER_DEBT_SEC_FOREIGN_AVAIL_SALE_FFIEC" hidden="1">"c12804"</definedName>
    <definedName name="IQ_OTHER_DEBT_SEC_INVEST_SECURITIES_FFIEC" hidden="1">"c13462"</definedName>
    <definedName name="IQ_OTHER_DEBT_SEC_TRADING_DOM_FFIEC" hidden="1">"c12924"</definedName>
    <definedName name="IQ_OTHER_DEBT_SEC_TRADING_FFIEC" hidden="1">"c12819"</definedName>
    <definedName name="IQ_OTHER_DEBT_SECURITIES_DOM_FFIEC" hidden="1">"c12789"</definedName>
    <definedName name="IQ_OTHER_DEBT_SECURITIES_FOREIGN_FFIEC" hidden="1">"c12790"</definedName>
    <definedName name="IQ_OTHER_DEBT_SECURITIES_QUARTERLY_AVG_FFIEC" hidden="1">"c15473"</definedName>
    <definedName name="IQ_OTHER_DEDUCTIONS_LEVERAGE_RATIO_FFIEC" hidden="1">"c13158"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EPOSITS_FFIEC" hidden="1">"c12994"</definedName>
    <definedName name="IQ_OTHER_DERIVATIVES_BENEFICIARY_FFIEC" hidden="1">"c13122"</definedName>
    <definedName name="IQ_OTHER_DERIVATIVES_GUARANTOR_FFIEC" hidden="1">"c13115"</definedName>
    <definedName name="IQ_OTHER_DOMESTIC_DEBT_SECURITIES_FDIC" hidden="1">"c6302"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CAPITAL_COMPS_FFIEC" hidden="1">"c12880"</definedName>
    <definedName name="IQ_OTHER_EQUITY_FFIEC" hidden="1">"c12879"</definedName>
    <definedName name="IQ_OTHER_EQUITY_FIN" hidden="1">"c889"</definedName>
    <definedName name="IQ_OTHER_EQUITY_INS" hidden="1">"c890"</definedName>
    <definedName name="IQ_OTHER_EQUITY_RE" hidden="1">"c6244"</definedName>
    <definedName name="IQ_OTHER_EQUITY_REIT" hidden="1">"c891"</definedName>
    <definedName name="IQ_OTHER_EQUITY_UTI" hidden="1">"c892"</definedName>
    <definedName name="IQ_OTHER_EXP_OPERATING_INC_FFIEC" hidden="1">"c13381"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" hidden="1">"c6245"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" hidden="1">"c6246"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FOREIGN_LOANS_FOREIGN_FFIEC" hidden="1">"c13482"</definedName>
    <definedName name="IQ_OTHER_IBF_DEPOSIT_LIABILITIES_FFIEC" hidden="1">"c15301"</definedName>
    <definedName name="IQ_OTHER_INDIVIDUAL_FAMILY_DOM_QUARTERLY_AVG_FFIEC" hidden="1">"c15481"</definedName>
    <definedName name="IQ_OTHER_INSURANCE_FEES_FDIC" hidden="1">"c6672"</definedName>
    <definedName name="IQ_OTHER_INSURANCE_PREMIUMS_FFIEC" hidden="1">"c13071"</definedName>
    <definedName name="IQ_OTHER_INT_EXPENSE_FFIEC" hidden="1">"c12999"</definedName>
    <definedName name="IQ_OTHER_INT_INCOME_FFIEC" hidden="1">"c12988"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" hidden="1">"c6247"</definedName>
    <definedName name="IQ_OTHER_INTAN_REIT" hidden="1">"c912"</definedName>
    <definedName name="IQ_OTHER_INTAN_UTI" hidden="1">"c913"</definedName>
    <definedName name="IQ_OTHER_INTANGIBLE_ASSETS_FFIEC" hidden="1">"c12837"</definedName>
    <definedName name="IQ_OTHER_INTANGIBLE_ASSETS_TOT_FFIEC" hidden="1">"c12840"</definedName>
    <definedName name="IQ_OTHER_INTANGIBLE_FDIC" hidden="1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" hidden="1">"c6248"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" hidden="1">"c6249"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"c916"</definedName>
    <definedName name="IQ_OTHER_LEASES_DUE_30_89_FFIEC" hidden="1">"c13278"</definedName>
    <definedName name="IQ_OTHER_LEASES_DUE_90_FFIEC" hidden="1">"c13304"</definedName>
    <definedName name="IQ_OTHER_LEASES_LL_REC_FFIEC" hidden="1">"c12896"</definedName>
    <definedName name="IQ_OTHER_LEASES_NON_ACCRUAL_FFIEC" hidden="1">"c13330"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" hidden="1">"c6250"</definedName>
    <definedName name="IQ_OTHER_LIAB_LT_REIT" hidden="1">"c940"</definedName>
    <definedName name="IQ_OTHER_LIAB_LT_UTI" hidden="1">"c941"</definedName>
    <definedName name="IQ_OTHER_LIAB_RE" hidden="1">"c6251"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FDIC" hidden="1">"c6347"</definedName>
    <definedName name="IQ_OTHER_LIABILITIES_FFIEC" hidden="1">"c12872"</definedName>
    <definedName name="IQ_OTHER_LIABILITIES_TOTAL_FFIEC" hidden="1">"c12869"</definedName>
    <definedName name="IQ_OTHER_LL_REC_FFIEC" hidden="1">"c12894"</definedName>
    <definedName name="IQ_OTHER_LOANS" hidden="1">"c945"</definedName>
    <definedName name="IQ_OTHER_LOANS_CHARGE_OFFS_FDIC" hidden="1">"c6601"</definedName>
    <definedName name="IQ_OTHER_LOANS_DUE_30_89_FFIEC" hidden="1">"c13275"</definedName>
    <definedName name="IQ_OTHER_LOANS_DUE_90_FFIEC" hidden="1">"c13301"</definedName>
    <definedName name="IQ_OTHER_LOANS_FFIEC" hidden="1">"c12825"</definedName>
    <definedName name="IQ_OTHER_LOANS_FOREIGN_FDIC" hidden="1">"c6446"</definedName>
    <definedName name="IQ_OTHER_LOANS_GROSS_LOANS_FFIEC" hidden="1">"c13414"</definedName>
    <definedName name="IQ_OTHER_LOANS_INDIVIDUALS_CHARGE_OFFS_FFIEC" hidden="1">"c13181"</definedName>
    <definedName name="IQ_OTHER_LOANS_INDIVIDUALS_DUE_30_89_FFIEC" hidden="1">"c13273"</definedName>
    <definedName name="IQ_OTHER_LOANS_INDIVIDUALS_DUE_90_FFIEC" hidden="1">"c13299"</definedName>
    <definedName name="IQ_OTHER_LOANS_INDIVIDUALS_NON_ACCRUAL_FFIEC" hidden="1">"c13325"</definedName>
    <definedName name="IQ_OTHER_LOANS_INDIVIDUALS_RECOV_FFIEC" hidden="1">"c13203"</definedName>
    <definedName name="IQ_OTHER_LOANS_LEASES_FDIC" hidden="1">"c6322"</definedName>
    <definedName name="IQ_OTHER_LOANS_LL_REC_DOM_FFIEC" hidden="1">"c12914"</definedName>
    <definedName name="IQ_OTHER_LOANS_NET_CHARGE_OFFS_FDIC" hidden="1">"c6639"</definedName>
    <definedName name="IQ_OTHER_LOANS_NON_ACCRUAL_FFIEC" hidden="1">"c13327"</definedName>
    <definedName name="IQ_OTHER_LOANS_RECOVERIES_FDIC" hidden="1">"c6620"</definedName>
    <definedName name="IQ_OTHER_LOANS_RISK_BASED_FFIEC" hidden="1">"c13435"</definedName>
    <definedName name="IQ_OTHER_LOANS_TOTAL_FDIC" hidden="1">"c6432"</definedName>
    <definedName name="IQ_OTHER_LOANS_TRADING_DOM_FFIEC" hidden="1">"c12936"</definedName>
    <definedName name="IQ_OTHER_LONG_TERM" hidden="1">"c946"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" hidden="1">"c6252"</definedName>
    <definedName name="IQ_OTHER_LT_ASSETS_REIT" hidden="1">"c951"</definedName>
    <definedName name="IQ_OTHER_LT_ASSETS_UTI" hidden="1">"c952"</definedName>
    <definedName name="IQ_OTHER_MBS_AVAIL_SALE_FFIEC" hidden="1">"c12801"</definedName>
    <definedName name="IQ_OTHER_MBS_FFIEC" hidden="1">"c12787"</definedName>
    <definedName name="IQ_OTHER_MBS_ISSUED_FNMA_GNMA_TRADING_DOM_FFIEC" hidden="1">"c12922"</definedName>
    <definedName name="IQ_OTHER_MBS_ISSUED_FNMA_GNMA_TRADING_FFIEC" hidden="1">"c12817"</definedName>
    <definedName name="IQ_OTHER_MBS_TRADING_DOM_FFIEC" hidden="1">"c12923"</definedName>
    <definedName name="IQ_OTHER_MBS_TRADING_FFIEC" hidden="1">"c12818"</definedName>
    <definedName name="IQ_OTHER_NET" hidden="1">"c959"</definedName>
    <definedName name="IQ_OTHER_NON_INT_ALLOCATIONS_FFIEC" hidden="1">"c13065"</definedName>
    <definedName name="IQ_OTHER_NON_INT_EXP" hidden="1">"c953"</definedName>
    <definedName name="IQ_OTHER_NON_INT_EXP_FDIC" hidden="1">"c6578"</definedName>
    <definedName name="IQ_OTHER_NON_INT_EXP_FFIEC" hidden="1">"c13027"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INT_INC_OPERATING_INC_FFIEC" hidden="1">"c13392"</definedName>
    <definedName name="IQ_OTHER_NON_INT_INCOME_FFIEC" hidden="1">"c13016"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" hidden="1">"c6253"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" hidden="1">"c6254"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NONFARM_NONRES_GROSS_LOANS_FFIEC" hidden="1">"c13407"</definedName>
    <definedName name="IQ_OTHER_NONFARM_NONRES_LL_REC_DOM_FFIEC" hidden="1">"c12907"</definedName>
    <definedName name="IQ_OTHER_NONFARM_NONRES_RISK_BASED_FFIEC" hidden="1">"c13428"</definedName>
    <definedName name="IQ_OTHER_NONINTEREST_INC_FOREIGN_FFIEC" hidden="1">"c15380"</definedName>
    <definedName name="IQ_OTHER_OFF_BS_ITEMS_FFIEC" hidden="1">"c13126"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" hidden="1">"c6255"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" hidden="1">"c6256"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" hidden="1">"c6257"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" hidden="1">"c6258"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ABLE_END_OS" hidden="1">"c5814"</definedName>
    <definedName name="IQ_OTHER_OPTIONS_EXERCISED" hidden="1">"c2688"</definedName>
    <definedName name="IQ_OTHER_OPTIONS_GRANTED" hidden="1">"c2687"</definedName>
    <definedName name="IQ_OTHER_OPTIONS_STRIKE_PRICE_BEG_OS" hidden="1">"c5815"</definedName>
    <definedName name="IQ_OTHER_OPTIONS_STRIKE_PRICE_CANCELLED" hidden="1">"c5817"</definedName>
    <definedName name="IQ_OTHER_OPTIONS_STRIKE_PRICE_EXERCISABLE" hidden="1">"c5818"</definedName>
    <definedName name="IQ_OTHER_OPTIONS_STRIKE_PRICE_EXERCISED" hidden="1">"c5816"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OVER_TOTAL" hidden="1">"c13770"</definedName>
    <definedName name="IQ_OTHER_PC_WRITTEN" hidden="1">"c1006"</definedName>
    <definedName name="IQ_OTHER_PROP" hidden="1">"c8764"</definedName>
    <definedName name="IQ_OTHER_RE_OWNED_FDIC" hidden="1">"c6330"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" hidden="1">"c6259"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" hidden="1">"c6260"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"c1010"</definedName>
    <definedName name="IQ_OTHER_REVOL_CREDIT_CONSUMER_LOANS_FFIEC" hidden="1">"c12823"</definedName>
    <definedName name="IQ_OTHER_REVOLVING_CREDIT_LL_REC_FFIEC" hidden="1">"c12890"</definedName>
    <definedName name="IQ_OTHER_REVOLVING_CREDIT_LOANS_TRADING_DOM_FFIEC" hidden="1">"c12934"</definedName>
    <definedName name="IQ_OTHER_ROOMS" hidden="1">"c8788"</definedName>
    <definedName name="IQ_OTHER_SAVINGS_DEPOSITS_FDIC" hidden="1">"c6554"</definedName>
    <definedName name="IQ_OTHER_SAVINGS_DEPOSITS_NON_TRANS_ACCTS_FFIEC" hidden="1">"c15331"</definedName>
    <definedName name="IQ_OTHER_SECURITIES_QUARTERLY_AVG_FFIEC" hidden="1">"c15472"</definedName>
    <definedName name="IQ_OTHER_SQ_FT" hidden="1">"c8780"</definedName>
    <definedName name="IQ_OTHER_STRIKE_PRICE_GRANTED" hidden="1">"c2692"</definedName>
    <definedName name="IQ_OTHER_TAX_EQUIVALENT_ADJUSTMENTS_FFIEC" hidden="1">"c13855"</definedName>
    <definedName name="IQ_OTHER_TRADING_ASSETS_FAIR_VALUE_TOT_FFIEC" hidden="1">"c15404"</definedName>
    <definedName name="IQ_OTHER_TRADING_ASSETS_FFIEC" hidden="1">"c12826"</definedName>
    <definedName name="IQ_OTHER_TRADING_ASSETS_LEVEL_1_FFIEC" hidden="1">"c15426"</definedName>
    <definedName name="IQ_OTHER_TRADING_ASSETS_LEVEL_2_FFIEC" hidden="1">"c15439"</definedName>
    <definedName name="IQ_OTHER_TRADING_ASSETS_LEVEL_3_FFIEC" hidden="1">"c15452"</definedName>
    <definedName name="IQ_OTHER_TRADING_ASSETS_TOTAL_FFIEC" hidden="1">"c12937"</definedName>
    <definedName name="IQ_OTHER_TRADING_LIABILITIES_FAIR_VALUE_TOT_FFIEC" hidden="1">"c15408"</definedName>
    <definedName name="IQ_OTHER_TRADING_LIABILITIES_FFIEC" hidden="1">"c12860"</definedName>
    <definedName name="IQ_OTHER_TRADING_LIABILITIES_LEVEL_1_FFIEC" hidden="1">"c15430"</definedName>
    <definedName name="IQ_OTHER_TRADING_LIABILITIES_LEVEL_2_FFIEC" hidden="1">"c15443"</definedName>
    <definedName name="IQ_OTHER_TRADING_LIABILITIES_LEVEL_3_FFIEC" hidden="1">"c15456"</definedName>
    <definedName name="IQ_OTHER_TRANSACTIONS_FDIC" hidden="1">"c6504"</definedName>
    <definedName name="IQ_OTHER_UNDRAWN" hidden="1">"c2522"</definedName>
    <definedName name="IQ_OTHER_UNITS" hidden="1">"c8772"</definedName>
    <definedName name="IQ_OTHER_UNUSED_COMMITMENTS_FDIC" hidden="1">"c6530"</definedName>
    <definedName name="IQ_OTHER_UNUSED_FFIEC" hidden="1">"c13248"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" hidden="1">"c6282"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" hidden="1">"c6281"</definedName>
    <definedName name="IQ_OTHER_UNUSUAL_SUPPL_REIT" hidden="1">"c1499"</definedName>
    <definedName name="IQ_OTHER_UNUSUAL_SUPPL_UTI" hidden="1">"c1500"</definedName>
    <definedName name="IQ_OTHER_UNUSUAL_SUPPLE" hidden="1">"c13816"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"c1022"</definedName>
    <definedName name="IQ_OUTSTANDING_FILING_DATE" hidden="1">"c1023"</definedName>
    <definedName name="IQ_OUTSTANDING_FILING_DATE_TOTAL" hidden="1">"c2107"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OVERHEAD_EXP_AVG_ASSETS_FFIEC" hidden="1">"c13361"</definedName>
    <definedName name="IQ_OVERHEAD_EXP_REV_FFIEC" hidden="1">"c13494"</definedName>
    <definedName name="IQ_OVERHEAD_NON_INT_INC_AVG_ASSETS_FFIEC" hidden="1">"c13374"</definedName>
    <definedName name="IQ_OVERHEAD_NON_INT_OPERATING_INC_FFIEC" hidden="1">"c13393"</definedName>
    <definedName name="IQ_OVERHEAD_OPERATING_INC_FFIEC" hidden="1">"c13378"</definedName>
    <definedName name="IQ_OWNER_OCCUPIED_GROSS_LOANS_FFIEC" hidden="1">"c13406"</definedName>
    <definedName name="IQ_OWNER_OCCUPIED_LOANS_RISK_BASED_FFIEC" hidden="1">"c13427"</definedName>
    <definedName name="IQ_OWNER_OCCUPIED_NONFARM_NONRES_LL_REC_DOM_FFIEC" hidden="1">"c12906"</definedName>
    <definedName name="IQ_OWNERSHIP" hidden="1">"c2160"</definedName>
    <definedName name="IQ_PART_TIME" hidden="1">"c1024"</definedName>
    <definedName name="IQ_PARTICIPATION_POOLS_RESIDENTIAL_MORTGAGES_FDIC" hidden="1">"c6403"</definedName>
    <definedName name="IQ_PARTICIPATIONS_ACCEPTANCES_FFIEC" hidden="1">"c13254"</definedName>
    <definedName name="IQ_PARTNERSHIP_INC_RE" hidden="1">"c12039"</definedName>
    <definedName name="IQ_PASS_THROUGH_FNMA_GNMA_TRADING_FFIEC" hidden="1">"c12816"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ST_DUE_ALLOW_GROSS_LOANS_FFIEC" hidden="1">"c13416"</definedName>
    <definedName name="IQ_PAY_ACCRUED" hidden="1">"c8"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CIQ" hidden="1">"c4042"</definedName>
    <definedName name="IQ_PE_NORMALIZED" hidden="1">"c2207"</definedName>
    <definedName name="IQ_PE_RATIO" hidden="1">"c1610"</definedName>
    <definedName name="IQ_PEG_FWD" hidden="1">"c1863"</definedName>
    <definedName name="IQ_PEG_FWD_CIQ" hidden="1">"c4045"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CT_NEXT" hidden="1">"c5738"</definedName>
    <definedName name="IQ_PENSION_ACT_NEXT_DOM" hidden="1">"c5736"</definedName>
    <definedName name="IQ_PENSION_ACT_NEXT_FOREIGN" hidden="1">"c5737"</definedName>
    <definedName name="IQ_PENSION_AMT_RECOG_NEXT_DOM" hidden="1">"c5745"</definedName>
    <definedName name="IQ_PENSION_AMT_RECOG_NEXT_FOREIGN" hidden="1">"c5746"</definedName>
    <definedName name="IQ_PENSION_AMT_RECOG_PERIOD" hidden="1">"c5747"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I_ACT" hidden="1">"c5723"</definedName>
    <definedName name="IQ_PENSION_CI_ACT_DOM" hidden="1">"c5721"</definedName>
    <definedName name="IQ_PENSION_CI_ACT_FOREIGN" hidden="1">"c5722"</definedName>
    <definedName name="IQ_PENSION_CI_NET_AMT_RECOG" hidden="1">"c5735"</definedName>
    <definedName name="IQ_PENSION_CI_NET_AMT_RECOG_DOM" hidden="1">"c5733"</definedName>
    <definedName name="IQ_PENSION_CI_NET_AMT_RECOG_FOREIGN" hidden="1">"c5734"</definedName>
    <definedName name="IQ_PENSION_CI_OTHER_MISC_ADJ" hidden="1">"c5732"</definedName>
    <definedName name="IQ_PENSION_CI_OTHER_MISC_ADJ_DOM" hidden="1">"c5730"</definedName>
    <definedName name="IQ_PENSION_CI_OTHER_MISC_ADJ_FOREIGN" hidden="1">"c5731"</definedName>
    <definedName name="IQ_PENSION_CI_PRIOR_SERVICE" hidden="1">"c5726"</definedName>
    <definedName name="IQ_PENSION_CI_PRIOR_SERVICE_DOM" hidden="1">"c5724"</definedName>
    <definedName name="IQ_PENSION_CI_PRIOR_SERVICE_FOREIGN" hidden="1">"c5725"</definedName>
    <definedName name="IQ_PENSION_CI_TRANSITION" hidden="1">"c5729"</definedName>
    <definedName name="IQ_PENSION_CI_TRANSITION_DOM" hidden="1">"c5727"</definedName>
    <definedName name="IQ_PENSION_CI_TRANSITION_FOREIGN" hidden="1">"c5728"</definedName>
    <definedName name="IQ_PENSION_CL" hidden="1">"c5753"</definedName>
    <definedName name="IQ_PENSION_CL_DOM" hidden="1">"c5751"</definedName>
    <definedName name="IQ_PENSION_CL_FOREIGN" hidden="1">"c5752"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LT_ASSETS" hidden="1">"c5750"</definedName>
    <definedName name="IQ_PENSION_LT_ASSETS_DOM" hidden="1">"c5748"</definedName>
    <definedName name="IQ_PENSION_LT_ASSETS_FOREIGN" hidden="1">"c5749"</definedName>
    <definedName name="IQ_PENSION_LT_LIAB" hidden="1">"c5756"</definedName>
    <definedName name="IQ_PENSION_LT_LIAB_DOM" hidden="1">"c5754"</definedName>
    <definedName name="IQ_PENSION_LT_LIAB_FOREIGN" hidden="1">"c5755"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IOR_SERVICE_NEXT" hidden="1">"c5741"</definedName>
    <definedName name="IQ_PENSION_PRIOR_SERVICE_NEXT_DOM" hidden="1">"c5739"</definedName>
    <definedName name="IQ_PENSION_PRIOR_SERVICE_NEXT_FOREIGN" hidden="1">"c5740"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TRANSITION_NEXT" hidden="1">"c5744"</definedName>
    <definedName name="IQ_PENSION_TRANSITION_NEXT_DOM" hidden="1">"c5742"</definedName>
    <definedName name="IQ_PENSION_TRANSITION_NEXT_FOREIGN" hidden="1">"c5743"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CENT_CHANGE_EST_5YR_GROWTH_RATE_12MONTHS" hidden="1">"c1852"</definedName>
    <definedName name="IQ_PERCENT_CHANGE_EST_5YR_GROWTH_RATE_12MONTHS_CIQ" hidden="1">"c3790"</definedName>
    <definedName name="IQ_PERCENT_CHANGE_EST_5YR_GROWTH_RATE_18MONTHS" hidden="1">"c1853"</definedName>
    <definedName name="IQ_PERCENT_CHANGE_EST_5YR_GROWTH_RATE_18MONTHS_CIQ" hidden="1">"c3791"</definedName>
    <definedName name="IQ_PERCENT_CHANGE_EST_5YR_GROWTH_RATE_3MONTHS" hidden="1">"c1849"</definedName>
    <definedName name="IQ_PERCENT_CHANGE_EST_5YR_GROWTH_RATE_3MONTHS_CIQ" hidden="1">"c3787"</definedName>
    <definedName name="IQ_PERCENT_CHANGE_EST_5YR_GROWTH_RATE_6MONTHS" hidden="1">"c1850"</definedName>
    <definedName name="IQ_PERCENT_CHANGE_EST_5YR_GROWTH_RATE_6MONTHS_CIQ" hidden="1">"c3788"</definedName>
    <definedName name="IQ_PERCENT_CHANGE_EST_5YR_GROWTH_RATE_9MONTHS" hidden="1">"c1851"</definedName>
    <definedName name="IQ_PERCENT_CHANGE_EST_5YR_GROWTH_RATE_9MONTHS_CIQ" hidden="1">"c3789"</definedName>
    <definedName name="IQ_PERCENT_CHANGE_EST_5YR_GROWTH_RATE_DAY" hidden="1">"c1846"</definedName>
    <definedName name="IQ_PERCENT_CHANGE_EST_5YR_GROWTH_RATE_DAY_CIQ" hidden="1">"c3785"</definedName>
    <definedName name="IQ_PERCENT_CHANGE_EST_5YR_GROWTH_RATE_MONTH" hidden="1">"c1848"</definedName>
    <definedName name="IQ_PERCENT_CHANGE_EST_5YR_GROWTH_RATE_MONTH_CIQ" hidden="1">"c3786"</definedName>
    <definedName name="IQ_PERCENT_CHANGE_EST_5YR_GROWTH_RATE_WEEK" hidden="1">"c1847"</definedName>
    <definedName name="IQ_PERCENT_CHANGE_EST_5YR_GROWTH_RATE_WEEK_CIQ" hidden="1">"c3797"</definedName>
    <definedName name="IQ_PERCENT_CHANGE_EST_CFPS_12MONTHS" hidden="1">"c1812"</definedName>
    <definedName name="IQ_PERCENT_CHANGE_EST_CFPS_18MONTHS" hidden="1">"c1813"</definedName>
    <definedName name="IQ_PERCENT_CHANGE_EST_CFPS_3MONTHS" hidden="1">"c1809"</definedName>
    <definedName name="IQ_PERCENT_CHANGE_EST_CFPS_6MONTHS" hidden="1">"c1810"</definedName>
    <definedName name="IQ_PERCENT_CHANGE_EST_CFPS_9MONTHS" hidden="1">"c1811"</definedName>
    <definedName name="IQ_PERCENT_CHANGE_EST_CFPS_DAY" hidden="1">"c1806"</definedName>
    <definedName name="IQ_PERCENT_CHANGE_EST_CFPS_MONTH" hidden="1">"c1808"</definedName>
    <definedName name="IQ_PERCENT_CHANGE_EST_CFPS_WEEK" hidden="1">"c1807"</definedName>
    <definedName name="IQ_PERCENT_CHANGE_EST_DPS_12MONTHS" hidden="1">"c1820"</definedName>
    <definedName name="IQ_PERCENT_CHANGE_EST_DPS_18MONTHS" hidden="1">"c1821"</definedName>
    <definedName name="IQ_PERCENT_CHANGE_EST_DPS_3MONTHS" hidden="1">"c1817"</definedName>
    <definedName name="IQ_PERCENT_CHANGE_EST_DPS_6MONTHS" hidden="1">"c1818"</definedName>
    <definedName name="IQ_PERCENT_CHANGE_EST_DPS_9MONTHS" hidden="1">"c1819"</definedName>
    <definedName name="IQ_PERCENT_CHANGE_EST_DPS_DAY" hidden="1">"c1814"</definedName>
    <definedName name="IQ_PERCENT_CHANGE_EST_DPS_MONTH" hidden="1">"c1816"</definedName>
    <definedName name="IQ_PERCENT_CHANGE_EST_DPS_WEEK" hidden="1">"c1815"</definedName>
    <definedName name="IQ_PERCENT_CHANGE_EST_EBITDA_12MONTHS" hidden="1">"c1804"</definedName>
    <definedName name="IQ_PERCENT_CHANGE_EST_EBITDA_12MONTHS_CIQ" hidden="1">"c3748"</definedName>
    <definedName name="IQ_PERCENT_CHANGE_EST_EBITDA_18MONTHS" hidden="1">"c1805"</definedName>
    <definedName name="IQ_PERCENT_CHANGE_EST_EBITDA_18MONTHS_CIQ" hidden="1">"c3749"</definedName>
    <definedName name="IQ_PERCENT_CHANGE_EST_EBITDA_3MONTHS" hidden="1">"c1801"</definedName>
    <definedName name="IQ_PERCENT_CHANGE_EST_EBITDA_3MONTHS_CIQ" hidden="1">"c3745"</definedName>
    <definedName name="IQ_PERCENT_CHANGE_EST_EBITDA_6MONTHS" hidden="1">"c1802"</definedName>
    <definedName name="IQ_PERCENT_CHANGE_EST_EBITDA_6MONTHS_CIQ" hidden="1">"c3746"</definedName>
    <definedName name="IQ_PERCENT_CHANGE_EST_EBITDA_9MONTHS" hidden="1">"c1803"</definedName>
    <definedName name="IQ_PERCENT_CHANGE_EST_EBITDA_9MONTHS_CIQ" hidden="1">"c3747"</definedName>
    <definedName name="IQ_PERCENT_CHANGE_EST_EBITDA_DAY" hidden="1">"c1798"</definedName>
    <definedName name="IQ_PERCENT_CHANGE_EST_EBITDA_DAY_CIQ" hidden="1">"c3743"</definedName>
    <definedName name="IQ_PERCENT_CHANGE_EST_EBITDA_MONTH" hidden="1">"c1800"</definedName>
    <definedName name="IQ_PERCENT_CHANGE_EST_EBITDA_MONTH_CIQ" hidden="1">"c3744"</definedName>
    <definedName name="IQ_PERCENT_CHANGE_EST_EBITDA_WEEK" hidden="1">"c1799"</definedName>
    <definedName name="IQ_PERCENT_CHANGE_EST_EBITDA_WEEK_CIQ" hidden="1">"c3792"</definedName>
    <definedName name="IQ_PERCENT_CHANGE_EST_EPS_12MONTHS" hidden="1">"c1788"</definedName>
    <definedName name="IQ_PERCENT_CHANGE_EST_EPS_12MONTHS_CIQ" hidden="1">"c3733"</definedName>
    <definedName name="IQ_PERCENT_CHANGE_EST_EPS_18MONTHS" hidden="1">"c1789"</definedName>
    <definedName name="IQ_PERCENT_CHANGE_EST_EPS_18MONTHS_CIQ" hidden="1">"c3734"</definedName>
    <definedName name="IQ_PERCENT_CHANGE_EST_EPS_3MONTHS" hidden="1">"c1785"</definedName>
    <definedName name="IQ_PERCENT_CHANGE_EST_EPS_3MONTHS_CIQ" hidden="1">"c3730"</definedName>
    <definedName name="IQ_PERCENT_CHANGE_EST_EPS_6MONTHS" hidden="1">"c1786"</definedName>
    <definedName name="IQ_PERCENT_CHANGE_EST_EPS_6MONTHS_CIQ" hidden="1">"c3731"</definedName>
    <definedName name="IQ_PERCENT_CHANGE_EST_EPS_9MONTHS" hidden="1">"c1787"</definedName>
    <definedName name="IQ_PERCENT_CHANGE_EST_EPS_9MONTHS_CIQ" hidden="1">"c3732"</definedName>
    <definedName name="IQ_PERCENT_CHANGE_EST_EPS_DAY" hidden="1">"c1782"</definedName>
    <definedName name="IQ_PERCENT_CHANGE_EST_EPS_DAY_CIQ" hidden="1">"c3727"</definedName>
    <definedName name="IQ_PERCENT_CHANGE_EST_EPS_MONTH" hidden="1">"c1784"</definedName>
    <definedName name="IQ_PERCENT_CHANGE_EST_EPS_MONTH_CIQ" hidden="1">"c3729"</definedName>
    <definedName name="IQ_PERCENT_CHANGE_EST_EPS_WEEK" hidden="1">"c1783"</definedName>
    <definedName name="IQ_PERCENT_CHANGE_EST_EPS_WEEK_CIQ" hidden="1">"c3728"</definedName>
    <definedName name="IQ_PERCENT_CHANGE_EST_FFO_12MONTHS" hidden="1">"c1828"</definedName>
    <definedName name="IQ_PERCENT_CHANGE_EST_FFO_12MONTHS_CIQ" hidden="1">"c3769"</definedName>
    <definedName name="IQ_PERCENT_CHANGE_EST_FFO_18MONTHS" hidden="1">"c1829"</definedName>
    <definedName name="IQ_PERCENT_CHANGE_EST_FFO_18MONTHS_CIQ" hidden="1">"c3770"</definedName>
    <definedName name="IQ_PERCENT_CHANGE_EST_FFO_3MONTHS" hidden="1">"c1825"</definedName>
    <definedName name="IQ_PERCENT_CHANGE_EST_FFO_3MONTHS_CIQ" hidden="1">"c3766"</definedName>
    <definedName name="IQ_PERCENT_CHANGE_EST_FFO_6MONTHS" hidden="1">"c1826"</definedName>
    <definedName name="IQ_PERCENT_CHANGE_EST_FFO_6MONTHS_CIQ" hidden="1">"c3767"</definedName>
    <definedName name="IQ_PERCENT_CHANGE_EST_FFO_9MONTHS" hidden="1">"c1827"</definedName>
    <definedName name="IQ_PERCENT_CHANGE_EST_FFO_9MONTHS_CIQ" hidden="1">"c3768"</definedName>
    <definedName name="IQ_PERCENT_CHANGE_EST_FFO_DAY" hidden="1">"c1822"</definedName>
    <definedName name="IQ_PERCENT_CHANGE_EST_FFO_DAY_CIQ" hidden="1">"c3764"</definedName>
    <definedName name="IQ_PERCENT_CHANGE_EST_FFO_MONTH" hidden="1">"c1824"</definedName>
    <definedName name="IQ_PERCENT_CHANGE_EST_FFO_MONTH_CIQ" hidden="1">"c3765"</definedName>
    <definedName name="IQ_PERCENT_CHANGE_EST_FFO_SHARE_SHARE_12MONTHS" hidden="1">"c1828"</definedName>
    <definedName name="IQ_PERCENT_CHANGE_EST_FFO_SHARE_SHARE_12MONTHS_CIQ" hidden="1">"c3769"</definedName>
    <definedName name="IQ_PERCENT_CHANGE_EST_FFO_SHARE_SHARE_18MONTHS" hidden="1">"c1829"</definedName>
    <definedName name="IQ_PERCENT_CHANGE_EST_FFO_SHARE_SHARE_18MONTHS_CIQ" hidden="1">"c3770"</definedName>
    <definedName name="IQ_PERCENT_CHANGE_EST_FFO_SHARE_SHARE_3MONTHS" hidden="1">"c1825"</definedName>
    <definedName name="IQ_PERCENT_CHANGE_EST_FFO_SHARE_SHARE_3MONTHS_CIQ" hidden="1">"c3766"</definedName>
    <definedName name="IQ_PERCENT_CHANGE_EST_FFO_SHARE_SHARE_6MONTHS" hidden="1">"c1826"</definedName>
    <definedName name="IQ_PERCENT_CHANGE_EST_FFO_SHARE_SHARE_6MONTHS_CIQ" hidden="1">"c3767"</definedName>
    <definedName name="IQ_PERCENT_CHANGE_EST_FFO_SHARE_SHARE_9MONTHS" hidden="1">"c1827"</definedName>
    <definedName name="IQ_PERCENT_CHANGE_EST_FFO_SHARE_SHARE_9MONTHS_CIQ" hidden="1">"c3768"</definedName>
    <definedName name="IQ_PERCENT_CHANGE_EST_FFO_SHARE_SHARE_DAY" hidden="1">"c1822"</definedName>
    <definedName name="IQ_PERCENT_CHANGE_EST_FFO_SHARE_SHARE_DAY_CIQ" hidden="1">"c3764"</definedName>
    <definedName name="IQ_PERCENT_CHANGE_EST_FFO_SHARE_SHARE_MONTH" hidden="1">"c1824"</definedName>
    <definedName name="IQ_PERCENT_CHANGE_EST_FFO_SHARE_SHARE_MONTH_CIQ" hidden="1">"c3765"</definedName>
    <definedName name="IQ_PERCENT_CHANGE_EST_FFO_SHARE_SHARE_WEEK" hidden="1">"c1823"</definedName>
    <definedName name="IQ_PERCENT_CHANGE_EST_FFO_SHARE_SHARE_WEEK_CIQ" hidden="1">"c3795"</definedName>
    <definedName name="IQ_PERCENT_CHANGE_EST_FFO_WEEK" hidden="1">"c1823"</definedName>
    <definedName name="IQ_PERCENT_CHANGE_EST_FFO_WEEK_CIQ" hidden="1">"c3795"</definedName>
    <definedName name="IQ_PERCENT_CHANGE_EST_PRICE_TARGET_12MONTHS" hidden="1">"c1844"</definedName>
    <definedName name="IQ_PERCENT_CHANGE_EST_PRICE_TARGET_12MONTHS_CIQ" hidden="1">"c3783"</definedName>
    <definedName name="IQ_PERCENT_CHANGE_EST_PRICE_TARGET_18MONTHS" hidden="1">"c1845"</definedName>
    <definedName name="IQ_PERCENT_CHANGE_EST_PRICE_TARGET_18MONTHS_CIQ" hidden="1">"c3784"</definedName>
    <definedName name="IQ_PERCENT_CHANGE_EST_PRICE_TARGET_3MONTHS" hidden="1">"c1841"</definedName>
    <definedName name="IQ_PERCENT_CHANGE_EST_PRICE_TARGET_3MONTHS_CIQ" hidden="1">"c3780"</definedName>
    <definedName name="IQ_PERCENT_CHANGE_EST_PRICE_TARGET_6MONTHS" hidden="1">"c1842"</definedName>
    <definedName name="IQ_PERCENT_CHANGE_EST_PRICE_TARGET_6MONTHS_CIQ" hidden="1">"c3781"</definedName>
    <definedName name="IQ_PERCENT_CHANGE_EST_PRICE_TARGET_9MONTHS" hidden="1">"c1843"</definedName>
    <definedName name="IQ_PERCENT_CHANGE_EST_PRICE_TARGET_9MONTHS_CIQ" hidden="1">"c3782"</definedName>
    <definedName name="IQ_PERCENT_CHANGE_EST_PRICE_TARGET_DAY" hidden="1">"c1838"</definedName>
    <definedName name="IQ_PERCENT_CHANGE_EST_PRICE_TARGET_DAY_CIQ" hidden="1">"c3778"</definedName>
    <definedName name="IQ_PERCENT_CHANGE_EST_PRICE_TARGET_MONTH" hidden="1">"c1840"</definedName>
    <definedName name="IQ_PERCENT_CHANGE_EST_PRICE_TARGET_MONTH_CIQ" hidden="1">"c3779"</definedName>
    <definedName name="IQ_PERCENT_CHANGE_EST_PRICE_TARGET_WEEK" hidden="1">"c1839"</definedName>
    <definedName name="IQ_PERCENT_CHANGE_EST_PRICE_TARGET_WEEK_CIQ" hidden="1">"c3798"</definedName>
    <definedName name="IQ_PERCENT_CHANGE_EST_RECO_12MONTHS" hidden="1">"c1836"</definedName>
    <definedName name="IQ_PERCENT_CHANGE_EST_RECO_12MONTHS_CIQ" hidden="1">"c3776"</definedName>
    <definedName name="IQ_PERCENT_CHANGE_EST_RECO_18MONTHS" hidden="1">"c1837"</definedName>
    <definedName name="IQ_PERCENT_CHANGE_EST_RECO_18MONTHS_CIQ" hidden="1">"c3777"</definedName>
    <definedName name="IQ_PERCENT_CHANGE_EST_RECO_3MONTHS" hidden="1">"c1833"</definedName>
    <definedName name="IQ_PERCENT_CHANGE_EST_RECO_3MONTHS_CIQ" hidden="1">"c3773"</definedName>
    <definedName name="IQ_PERCENT_CHANGE_EST_RECO_6MONTHS" hidden="1">"c1834"</definedName>
    <definedName name="IQ_PERCENT_CHANGE_EST_RECO_6MONTHS_CIQ" hidden="1">"c3774"</definedName>
    <definedName name="IQ_PERCENT_CHANGE_EST_RECO_9MONTHS" hidden="1">"c1835"</definedName>
    <definedName name="IQ_PERCENT_CHANGE_EST_RECO_9MONTHS_CIQ" hidden="1">"c3775"</definedName>
    <definedName name="IQ_PERCENT_CHANGE_EST_RECO_DAY" hidden="1">"c1830"</definedName>
    <definedName name="IQ_PERCENT_CHANGE_EST_RECO_DAY_CIQ" hidden="1">"c3771"</definedName>
    <definedName name="IQ_PERCENT_CHANGE_EST_RECO_MONTH" hidden="1">"c1832"</definedName>
    <definedName name="IQ_PERCENT_CHANGE_EST_RECO_MONTH_CIQ" hidden="1">"c3772"</definedName>
    <definedName name="IQ_PERCENT_CHANGE_EST_RECO_WEEK" hidden="1">"c1831"</definedName>
    <definedName name="IQ_PERCENT_CHANGE_EST_RECO_WEEK_CIQ" hidden="1">"c3796"</definedName>
    <definedName name="IQ_PERCENT_CHANGE_EST_REV_12MONTHS" hidden="1">"c1796"</definedName>
    <definedName name="IQ_PERCENT_CHANGE_EST_REV_12MONTHS_CIQ" hidden="1">"c3741"</definedName>
    <definedName name="IQ_PERCENT_CHANGE_EST_REV_18MONTHS" hidden="1">"c1797"</definedName>
    <definedName name="IQ_PERCENT_CHANGE_EST_REV_18MONTHS_CIQ" hidden="1">"c3742"</definedName>
    <definedName name="IQ_PERCENT_CHANGE_EST_REV_3MONTHS" hidden="1">"c1793"</definedName>
    <definedName name="IQ_PERCENT_CHANGE_EST_REV_3MONTHS_CIQ" hidden="1">"c3738"</definedName>
    <definedName name="IQ_PERCENT_CHANGE_EST_REV_6MONTHS" hidden="1">"c1794"</definedName>
    <definedName name="IQ_PERCENT_CHANGE_EST_REV_6MONTHS_CIQ" hidden="1">"c3739"</definedName>
    <definedName name="IQ_PERCENT_CHANGE_EST_REV_9MONTHS" hidden="1">"c1795"</definedName>
    <definedName name="IQ_PERCENT_CHANGE_EST_REV_9MONTHS_CIQ" hidden="1">"c3740"</definedName>
    <definedName name="IQ_PERCENT_CHANGE_EST_REV_DAY" hidden="1">"c1790"</definedName>
    <definedName name="IQ_PERCENT_CHANGE_EST_REV_DAY_CIQ" hidden="1">"c3735"</definedName>
    <definedName name="IQ_PERCENT_CHANGE_EST_REV_MONTH" hidden="1">"c1792"</definedName>
    <definedName name="IQ_PERCENT_CHANGE_EST_REV_MONTH_CIQ" hidden="1">"c3737"</definedName>
    <definedName name="IQ_PERCENT_CHANGE_EST_REV_WEEK" hidden="1">"c1791"</definedName>
    <definedName name="IQ_PERCENT_CHANGE_EST_REV_WEEK_CIQ" hidden="1">"c3736"</definedName>
    <definedName name="IQ_PERCENT_FLOAT" hidden="1">"c227"</definedName>
    <definedName name="IQ_PERCENT_INSURED_FDIC" hidden="1">"c6374"</definedName>
    <definedName name="IQ_PERFORMANCE_LOC_FOREIGN_GUARANTEES_FFIEC" hidden="1">"c13251"</definedName>
    <definedName name="IQ_PERIODDATE" hidden="1">"c1034"</definedName>
    <definedName name="IQ_PERIODDATE_AP" hidden="1">"c11745"</definedName>
    <definedName name="IQ_PERIODDATE_BS" hidden="1">"c1032"</definedName>
    <definedName name="IQ_PERIODDATE_CF" hidden="1">"c1033"</definedName>
    <definedName name="IQ_PERIODDATE_FDIC" hidden="1">"c13646"</definedName>
    <definedName name="IQ_PERIODDATE_FFIEC" hidden="1">"c13645"</definedName>
    <definedName name="IQ_PERIODDATE_IS" hidden="1">"c1034"</definedName>
    <definedName name="IQ_PERIODLENGTH_AP" hidden="1">"c11746"</definedName>
    <definedName name="IQ_PERIODLENGTH_CF" hidden="1">"c1502"</definedName>
    <definedName name="IQ_PERIODLENGTH_IS" hidden="1">"c1503"</definedName>
    <definedName name="IQ_PERSONAL_CONSUMER_SPENDING_DURABLE" hidden="1">"c6942"</definedName>
    <definedName name="IQ_PERSONAL_CONSUMER_SPENDING_DURABLE_APR" hidden="1">"c7602"</definedName>
    <definedName name="IQ_PERSONAL_CONSUMER_SPENDING_DURABLE_APR_FC" hidden="1">"c8482"</definedName>
    <definedName name="IQ_PERSONAL_CONSUMER_SPENDING_DURABLE_FC" hidden="1">"c7822"</definedName>
    <definedName name="IQ_PERSONAL_CONSUMER_SPENDING_DURABLE_POP" hidden="1">"c7162"</definedName>
    <definedName name="IQ_PERSONAL_CONSUMER_SPENDING_DURABLE_POP_FC" hidden="1">"c8042"</definedName>
    <definedName name="IQ_PERSONAL_CONSUMER_SPENDING_DURABLE_YOY" hidden="1">"c7382"</definedName>
    <definedName name="IQ_PERSONAL_CONSUMER_SPENDING_DURABLE_YOY_FC" hidden="1">"c8262"</definedName>
    <definedName name="IQ_PERSONAL_CONSUMER_SPENDING_NONDURABLE" hidden="1">"c6940"</definedName>
    <definedName name="IQ_PERSONAL_CONSUMER_SPENDING_NONDURABLE_APR" hidden="1">"c7600"</definedName>
    <definedName name="IQ_PERSONAL_CONSUMER_SPENDING_NONDURABLE_APR_FC" hidden="1">"c8480"</definedName>
    <definedName name="IQ_PERSONAL_CONSUMER_SPENDING_NONDURABLE_FC" hidden="1">"c7820"</definedName>
    <definedName name="IQ_PERSONAL_CONSUMER_SPENDING_NONDURABLE_POP" hidden="1">"c7160"</definedName>
    <definedName name="IQ_PERSONAL_CONSUMER_SPENDING_NONDURABLE_POP_FC" hidden="1">"c8040"</definedName>
    <definedName name="IQ_PERSONAL_CONSUMER_SPENDING_NONDURABLE_YOY" hidden="1">"c7380"</definedName>
    <definedName name="IQ_PERSONAL_CONSUMER_SPENDING_NONDURABLE_YOY_FC" hidden="1">"c8260"</definedName>
    <definedName name="IQ_PERSONAL_CONSUMER_SPENDING_REAL" hidden="1">"c6994"</definedName>
    <definedName name="IQ_PERSONAL_CONSUMER_SPENDING_REAL_APR" hidden="1">"c7654"</definedName>
    <definedName name="IQ_PERSONAL_CONSUMER_SPENDING_REAL_APR_FC" hidden="1">"c8534"</definedName>
    <definedName name="IQ_PERSONAL_CONSUMER_SPENDING_REAL_FC" hidden="1">"c7874"</definedName>
    <definedName name="IQ_PERSONAL_CONSUMER_SPENDING_REAL_POP" hidden="1">"c7214"</definedName>
    <definedName name="IQ_PERSONAL_CONSUMER_SPENDING_REAL_POP_FC" hidden="1">"c8094"</definedName>
    <definedName name="IQ_PERSONAL_CONSUMER_SPENDING_REAL_YOY" hidden="1">"c7434"</definedName>
    <definedName name="IQ_PERSONAL_CONSUMER_SPENDING_REAL_YOY_FC" hidden="1">"c8314"</definedName>
    <definedName name="IQ_PERSONAL_CONSUMER_SPENDING_SERVICES" hidden="1">"c6941"</definedName>
    <definedName name="IQ_PERSONAL_CONSUMER_SPENDING_SERVICES_APR" hidden="1">"c7601"</definedName>
    <definedName name="IQ_PERSONAL_CONSUMER_SPENDING_SERVICES_APR_FC" hidden="1">"c8481"</definedName>
    <definedName name="IQ_PERSONAL_CONSUMER_SPENDING_SERVICES_FC" hidden="1">"c7821"</definedName>
    <definedName name="IQ_PERSONAL_CONSUMER_SPENDING_SERVICES_POP" hidden="1">"c7161"</definedName>
    <definedName name="IQ_PERSONAL_CONSUMER_SPENDING_SERVICES_POP_FC" hidden="1">"c8041"</definedName>
    <definedName name="IQ_PERSONAL_CONSUMER_SPENDING_SERVICES_YOY" hidden="1">"c7381"</definedName>
    <definedName name="IQ_PERSONAL_CONSUMER_SPENDING_SERVICES_YOY_FC" hidden="1">"c8261"</definedName>
    <definedName name="IQ_PERSONAL_INCOME" hidden="1">"c6943"</definedName>
    <definedName name="IQ_PERSONAL_INCOME_APR" hidden="1">"c7603"</definedName>
    <definedName name="IQ_PERSONAL_INCOME_APR_FC" hidden="1">"c8483"</definedName>
    <definedName name="IQ_PERSONAL_INCOME_FC" hidden="1">"c7823"</definedName>
    <definedName name="IQ_PERSONAL_INCOME_POP" hidden="1">"c7163"</definedName>
    <definedName name="IQ_PERSONAL_INCOME_POP_FC" hidden="1">"c8043"</definedName>
    <definedName name="IQ_PERSONAL_INCOME_SAAR" hidden="1">"c6944"</definedName>
    <definedName name="IQ_PERSONAL_INCOME_SAAR_APR" hidden="1">"c7604"</definedName>
    <definedName name="IQ_PERSONAL_INCOME_SAAR_APR_FC" hidden="1">"c8484"</definedName>
    <definedName name="IQ_PERSONAL_INCOME_SAAR_FC" hidden="1">"c7824"</definedName>
    <definedName name="IQ_PERSONAL_INCOME_SAAR_POP" hidden="1">"c7164"</definedName>
    <definedName name="IQ_PERSONAL_INCOME_SAAR_POP_FC" hidden="1">"c8044"</definedName>
    <definedName name="IQ_PERSONAL_INCOME_SAAR_YOY" hidden="1">"c7384"</definedName>
    <definedName name="IQ_PERSONAL_INCOME_SAAR_YOY_FC" hidden="1">"c8264"</definedName>
    <definedName name="IQ_PERSONAL_INCOME_USD_APR_FC" hidden="1">"c11885"</definedName>
    <definedName name="IQ_PERSONAL_INCOME_USD_FC" hidden="1">"c11882"</definedName>
    <definedName name="IQ_PERSONAL_INCOME_USD_POP_FC" hidden="1">"c11883"</definedName>
    <definedName name="IQ_PERSONAL_INCOME_USD_YOY_FC" hidden="1">"c11884"</definedName>
    <definedName name="IQ_PERSONAL_INCOME_YOY" hidden="1">"c7383"</definedName>
    <definedName name="IQ_PERSONAL_INCOME_YOY_FC" hidden="1">"c8263"</definedName>
    <definedName name="IQ_PERSONNEL_EXP_AVG_ASSETS_FFIEC" hidden="1">"c13371"</definedName>
    <definedName name="IQ_PERSONNEL_EXP_OPERATING_INC_FFIEC" hidden="1">"c13379"</definedName>
    <definedName name="IQ_PERTYPE" hidden="1">"c1611"</definedName>
    <definedName name="IQ_PHARMBIO_NUMBER_LICENSED_PATENT_APP" hidden="1">"c10018"</definedName>
    <definedName name="IQ_PHARMBIO_NUMBER_LICENSED_PATENTS" hidden="1">"c10017"</definedName>
    <definedName name="IQ_PHARMBIO_NUMBER_PATENTS" hidden="1">"c10015"</definedName>
    <definedName name="IQ_PHARMBIO_NUMBER_PROD__APPROVED_DURING_PERIOD" hidden="1">"c12750"</definedName>
    <definedName name="IQ_PHARMBIO_NUMBER_PROD__CLINICAL_DEV" hidden="1">"c12745"</definedName>
    <definedName name="IQ_PHARMBIO_NUMBER_PROD__LAUNCHED_DURING_PERIOD" hidden="1">"c12751"</definedName>
    <definedName name="IQ_PHARMBIO_NUMBER_PROD__PHASE_I" hidden="1">"c12746"</definedName>
    <definedName name="IQ_PHARMBIO_NUMBER_PROD__PHASE_II" hidden="1">"c12747"</definedName>
    <definedName name="IQ_PHARMBIO_NUMBER_PROD__PHASE_III" hidden="1">"c12748"</definedName>
    <definedName name="IQ_PHARMBIO_NUMBER_PROD__PRE_CLINICAL_TRIALS" hidden="1">"c12744"</definedName>
    <definedName name="IQ_PHARMBIO_NUMBER_PROD__PRE_REGISTRATION" hidden="1">"c12749"</definedName>
    <definedName name="IQ_PHARMBIO_NUMBER_PROD__RESEARCH_DEV" hidden="1">"c12743"</definedName>
    <definedName name="IQ_PHARMBIO_NUMBER_PROD_APPROVED_DURING_PERIOD" hidden="1">"c10027"</definedName>
    <definedName name="IQ_PHARMBIO_NUMBER_PROD_CLINICAL_DEV" hidden="1">"c10022"</definedName>
    <definedName name="IQ_PHARMBIO_NUMBER_PROD_DISCOVERY_RESEARCH" hidden="1">"c10019"</definedName>
    <definedName name="IQ_PHARMBIO_NUMBER_PROD_LAUNCHED_DURING_PERIOD" hidden="1">"c10028"</definedName>
    <definedName name="IQ_PHARMBIO_NUMBER_PROD_PHASE_I" hidden="1">"c10023"</definedName>
    <definedName name="IQ_PHARMBIO_NUMBER_PROD_PHASE_II" hidden="1">"c10024"</definedName>
    <definedName name="IQ_PHARMBIO_NUMBER_PROD_PHASE_III" hidden="1">"c10025"</definedName>
    <definedName name="IQ_PHARMBIO_NUMBER_PROD_PRE_CLINICAL_TRIALS" hidden="1">"c10021"</definedName>
    <definedName name="IQ_PHARMBIO_NUMBER_PROD_PRE_REGISTRATION" hidden="1">"c10026"</definedName>
    <definedName name="IQ_PHARMBIO_NUMBER_PROD_RESEARCH_DEV" hidden="1">"c10020"</definedName>
    <definedName name="IQ_PHARMBIO_PATENT_APP" hidden="1">"c10016"</definedName>
    <definedName name="IQ_PHILADELPHIA_FED_DIFFUSION_INDEX" hidden="1">"c6945"</definedName>
    <definedName name="IQ_PHILADELPHIA_FED_DIFFUSION_INDEX_APR" hidden="1">"c7605"</definedName>
    <definedName name="IQ_PHILADELPHIA_FED_DIFFUSION_INDEX_APR_FC" hidden="1">"c8485"</definedName>
    <definedName name="IQ_PHILADELPHIA_FED_DIFFUSION_INDEX_FC" hidden="1">"c7825"</definedName>
    <definedName name="IQ_PHILADELPHIA_FED_DIFFUSION_INDEX_POP" hidden="1">"c7165"</definedName>
    <definedName name="IQ_PHILADELPHIA_FED_DIFFUSION_INDEX_POP_FC" hidden="1">"c8045"</definedName>
    <definedName name="IQ_PHILADELPHIA_FED_DIFFUSION_INDEX_YOY" hidden="1">"c7385"</definedName>
    <definedName name="IQ_PHILADELPHIA_FED_DIFFUSION_INDEX_YOY_FC" hidden="1">"c8265"</definedName>
    <definedName name="IQ_PLEDGED_SEC_INVEST_SECURITIES_FFIEC" hidden="1">"c13467"</definedName>
    <definedName name="IQ_PLEDGED_SECURITIES_FDIC" hidden="1">"c6401"</definedName>
    <definedName name="IQ_PLL" hidden="1">"c2114"</definedName>
    <definedName name="IQ_PMAC_DIFFUSION_INDEX" hidden="1">"c6946"</definedName>
    <definedName name="IQ_PMAC_DIFFUSION_INDEX_APR" hidden="1">"c7606"</definedName>
    <definedName name="IQ_PMAC_DIFFUSION_INDEX_APR_FC" hidden="1">"c8486"</definedName>
    <definedName name="IQ_PMAC_DIFFUSION_INDEX_FC" hidden="1">"c7826"</definedName>
    <definedName name="IQ_PMAC_DIFFUSION_INDEX_POP" hidden="1">"c7166"</definedName>
    <definedName name="IQ_PMAC_DIFFUSION_INDEX_POP_FC" hidden="1">"c8046"</definedName>
    <definedName name="IQ_PMAC_DIFFUSION_INDEX_YOY" hidden="1">"c7386"</definedName>
    <definedName name="IQ_PMAC_DIFFUSION_INDEX_YOY_FC" hidden="1">"c8266"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LICYHOLDER_BENEFITS_LH_FFIEC" hidden="1">"c13107"</definedName>
    <definedName name="IQ_POOL_AMT_ORIGINAL" hidden="1">"c8970"</definedName>
    <definedName name="IQ_POOL_NAME" hidden="1">"c8967"</definedName>
    <definedName name="IQ_POOL_NUMBER" hidden="1">"c8968"</definedName>
    <definedName name="IQ_POOL_TYPE" hidden="1">"c8969"</definedName>
    <definedName name="IQ_POSITIVE_FAIR_VALUE_DERIVATIVES_BENEFICIARY_FFIEC" hidden="1">"c13123"</definedName>
    <definedName name="IQ_POSITIVE_FAIR_VALUE_DERIVATIVES_GUARANTOR_FFIEC" hidden="1">"c13116"</definedName>
    <definedName name="IQ_POST_RETIRE_EXP" hidden="1">"c1039"</definedName>
    <definedName name="IQ_POSTAGE_FFIEC" hidden="1">"c13051"</definedName>
    <definedName name="IQ_POSTPAID_CHURN" hidden="1">"c2121"</definedName>
    <definedName name="IQ_POSTPAID_SUBS" hidden="1">"c2118"</definedName>
    <definedName name="IQ_POTENTIAL_UPSIDE" hidden="1">"c1855"</definedName>
    <definedName name="IQ_POTENTIAL_UPSIDE_CIQ" hidden="1">"c3799"</definedName>
    <definedName name="IQ_PP_ATTRIB_ORE_RESERVES_ALUM" hidden="1">"c9218"</definedName>
    <definedName name="IQ_PP_ATTRIB_ORE_RESERVES_COP" hidden="1">"c9162"</definedName>
    <definedName name="IQ_PP_ATTRIB_ORE_RESERVES_DIAM" hidden="1">"c9642"</definedName>
    <definedName name="IQ_PP_ATTRIB_ORE_RESERVES_GOLD" hidden="1">"c9003"</definedName>
    <definedName name="IQ_PP_ATTRIB_ORE_RESERVES_IRON" hidden="1">"c9377"</definedName>
    <definedName name="IQ_PP_ATTRIB_ORE_RESERVES_LEAD" hidden="1">"c9430"</definedName>
    <definedName name="IQ_PP_ATTRIB_ORE_RESERVES_MANG" hidden="1">"c9483"</definedName>
    <definedName name="IQ_PP_ATTRIB_ORE_RESERVES_MOLYB" hidden="1">"c9695"</definedName>
    <definedName name="IQ_PP_ATTRIB_ORE_RESERVES_NICK" hidden="1">"c9271"</definedName>
    <definedName name="IQ_PP_ATTRIB_ORE_RESERVES_PLAT" hidden="1">"c9109"</definedName>
    <definedName name="IQ_PP_ATTRIB_ORE_RESERVES_SILVER" hidden="1">"c9056"</definedName>
    <definedName name="IQ_PP_ATTRIB_ORE_RESERVES_TITAN" hidden="1">"c9536"</definedName>
    <definedName name="IQ_PP_ATTRIB_ORE_RESERVES_URAN" hidden="1">"c9589"</definedName>
    <definedName name="IQ_PP_ATTRIB_ORE_RESERVES_ZINC" hidden="1">"c9324"</definedName>
    <definedName name="IQ_PP_ORE_RESERVES_ALUM" hidden="1">"c9211"</definedName>
    <definedName name="IQ_PP_ORE_RESERVES_COP" hidden="1">"c9155"</definedName>
    <definedName name="IQ_PP_ORE_RESERVES_DIAM" hidden="1">"c9635"</definedName>
    <definedName name="IQ_PP_ORE_RESERVES_GOLD" hidden="1">"c8996"</definedName>
    <definedName name="IQ_PP_ORE_RESERVES_IRON" hidden="1">"c9370"</definedName>
    <definedName name="IQ_PP_ORE_RESERVES_LEAD" hidden="1">"c9423"</definedName>
    <definedName name="IQ_PP_ORE_RESERVES_MANG" hidden="1">"c9476"</definedName>
    <definedName name="IQ_PP_ORE_RESERVES_MOLYB" hidden="1">"c9688"</definedName>
    <definedName name="IQ_PP_ORE_RESERVES_NICK" hidden="1">"c9264"</definedName>
    <definedName name="IQ_PP_ORE_RESERVES_PLAT" hidden="1">"c9102"</definedName>
    <definedName name="IQ_PP_ORE_RESERVES_SILVER" hidden="1">"c9049"</definedName>
    <definedName name="IQ_PP_ORE_RESERVES_TITAN" hidden="1">"c9529"</definedName>
    <definedName name="IQ_PP_ORE_RESERVES_URAN" hidden="1">"c9582"</definedName>
    <definedName name="IQ_PP_ORE_RESERVES_ZINC" hidden="1">"c9317"</definedName>
    <definedName name="IQ_PP_RECOV_ATTRIB_RESERVES_ALUM" hidden="1">"c9221"</definedName>
    <definedName name="IQ_PP_RECOV_ATTRIB_RESERVES_COAL" hidden="1">"c9805"</definedName>
    <definedName name="IQ_PP_RECOV_ATTRIB_RESERVES_COP" hidden="1">"c9165"</definedName>
    <definedName name="IQ_PP_RECOV_ATTRIB_RESERVES_DIAM" hidden="1">"c9645"</definedName>
    <definedName name="IQ_PP_RECOV_ATTRIB_RESERVES_GOLD" hidden="1">"c9006"</definedName>
    <definedName name="IQ_PP_RECOV_ATTRIB_RESERVES_IRON" hidden="1">"c9380"</definedName>
    <definedName name="IQ_PP_RECOV_ATTRIB_RESERVES_LEAD" hidden="1">"c9433"</definedName>
    <definedName name="IQ_PP_RECOV_ATTRIB_RESERVES_MANG" hidden="1">"c9486"</definedName>
    <definedName name="IQ_PP_RECOV_ATTRIB_RESERVES_MET_COAL" hidden="1">"c9745"</definedName>
    <definedName name="IQ_PP_RECOV_ATTRIB_RESERVES_MOLYB" hidden="1">"c9698"</definedName>
    <definedName name="IQ_PP_RECOV_ATTRIB_RESERVES_NICK" hidden="1">"c9274"</definedName>
    <definedName name="IQ_PP_RECOV_ATTRIB_RESERVES_PLAT" hidden="1">"c9112"</definedName>
    <definedName name="IQ_PP_RECOV_ATTRIB_RESERVES_SILVER" hidden="1">"c9059"</definedName>
    <definedName name="IQ_PP_RECOV_ATTRIB_RESERVES_STEAM" hidden="1">"c9775"</definedName>
    <definedName name="IQ_PP_RECOV_ATTRIB_RESERVES_TITAN" hidden="1">"c9539"</definedName>
    <definedName name="IQ_PP_RECOV_ATTRIB_RESERVES_URAN" hidden="1">"c9592"</definedName>
    <definedName name="IQ_PP_RECOV_ATTRIB_RESERVES_ZINC" hidden="1">"c9327"</definedName>
    <definedName name="IQ_PP_RECOV_RESERVES_ALUM" hidden="1">"c9215"</definedName>
    <definedName name="IQ_PP_RECOV_RESERVES_COAL" hidden="1">"c9802"</definedName>
    <definedName name="IQ_PP_RECOV_RESERVES_COP" hidden="1">"c9159"</definedName>
    <definedName name="IQ_PP_RECOV_RESERVES_DIAM" hidden="1">"c9639"</definedName>
    <definedName name="IQ_PP_RECOV_RESERVES_GOLD" hidden="1">"c9000"</definedName>
    <definedName name="IQ_PP_RECOV_RESERVES_IRON" hidden="1">"c9374"</definedName>
    <definedName name="IQ_PP_RECOV_RESERVES_LEAD" hidden="1">"c9427"</definedName>
    <definedName name="IQ_PP_RECOV_RESERVES_MANG" hidden="1">"c9480"</definedName>
    <definedName name="IQ_PP_RECOV_RESERVES_MET_COAL" hidden="1">"c9742"</definedName>
    <definedName name="IQ_PP_RECOV_RESERVES_MOLYB" hidden="1">"c9692"</definedName>
    <definedName name="IQ_PP_RECOV_RESERVES_NICK" hidden="1">"c9268"</definedName>
    <definedName name="IQ_PP_RECOV_RESERVES_PLAT" hidden="1">"c9106"</definedName>
    <definedName name="IQ_PP_RECOV_RESERVES_SILVER" hidden="1">"c9053"</definedName>
    <definedName name="IQ_PP_RECOV_RESERVES_STEAM" hidden="1">"c9772"</definedName>
    <definedName name="IQ_PP_RECOV_RESERVES_TITAN" hidden="1">"c9533"</definedName>
    <definedName name="IQ_PP_RECOV_RESERVES_URAN" hidden="1">"c9586"</definedName>
    <definedName name="IQ_PP_RECOV_RESERVES_ZINC" hidden="1">"c9321"</definedName>
    <definedName name="IQ_PP_RESERVES_CALORIFIC_VALUE_COAL" hidden="1">"c9799"</definedName>
    <definedName name="IQ_PP_RESERVES_CALORIFIC_VALUE_MET_COAL" hidden="1">"c9739"</definedName>
    <definedName name="IQ_PP_RESERVES_CALORIFIC_VALUE_STEAM" hidden="1">"c9769"</definedName>
    <definedName name="IQ_PP_RESERVES_GRADE_ALUM" hidden="1">"c9212"</definedName>
    <definedName name="IQ_PP_RESERVES_GRADE_COP" hidden="1">"c9156"</definedName>
    <definedName name="IQ_PP_RESERVES_GRADE_DIAM" hidden="1">"c9636"</definedName>
    <definedName name="IQ_PP_RESERVES_GRADE_GOLD" hidden="1">"c8997"</definedName>
    <definedName name="IQ_PP_RESERVES_GRADE_IRON" hidden="1">"c9371"</definedName>
    <definedName name="IQ_PP_RESERVES_GRADE_LEAD" hidden="1">"c9424"</definedName>
    <definedName name="IQ_PP_RESERVES_GRADE_MANG" hidden="1">"c9477"</definedName>
    <definedName name="IQ_PP_RESERVES_GRADE_MOLYB" hidden="1">"c9689"</definedName>
    <definedName name="IQ_PP_RESERVES_GRADE_NICK" hidden="1">"c9265"</definedName>
    <definedName name="IQ_PP_RESERVES_GRADE_PLAT" hidden="1">"c9103"</definedName>
    <definedName name="IQ_PP_RESERVES_GRADE_SILVER" hidden="1">"c9050"</definedName>
    <definedName name="IQ_PP_RESERVES_GRADE_TITAN" hidden="1">"c9530"</definedName>
    <definedName name="IQ_PP_RESERVES_GRADE_URAN" hidden="1">"c9583"</definedName>
    <definedName name="IQ_PP_RESERVES_GRADE_ZINC" hidden="1">"c9318"</definedName>
    <definedName name="IQ_PPI" hidden="1">"c6810"</definedName>
    <definedName name="IQ_PPI_APR" hidden="1">"c7470"</definedName>
    <definedName name="IQ_PPI_APR_FC" hidden="1">"c8350"</definedName>
    <definedName name="IQ_PPI_CORE" hidden="1">"c6840"</definedName>
    <definedName name="IQ_PPI_CORE_APR" hidden="1">"c7500"</definedName>
    <definedName name="IQ_PPI_CORE_APR_FC" hidden="1">"c8380"</definedName>
    <definedName name="IQ_PPI_CORE_FC" hidden="1">"c7720"</definedName>
    <definedName name="IQ_PPI_CORE_POP" hidden="1">"c7060"</definedName>
    <definedName name="IQ_PPI_CORE_POP_FC" hidden="1">"c7940"</definedName>
    <definedName name="IQ_PPI_CORE_YOY" hidden="1">"c7280"</definedName>
    <definedName name="IQ_PPI_CORE_YOY_FC" hidden="1">"c8160"</definedName>
    <definedName name="IQ_PPI_FC" hidden="1">"c7690"</definedName>
    <definedName name="IQ_PPI_POP" hidden="1">"c7030"</definedName>
    <definedName name="IQ_PPI_POP_FC" hidden="1">"c7910"</definedName>
    <definedName name="IQ_PPI_YOY" hidden="1">"c7250"</definedName>
    <definedName name="IQ_PPI_YOY_FC" hidden="1">"c8130"</definedName>
    <definedName name="IQ_PRE_OPEN_COST" hidden="1">"c1040"</definedName>
    <definedName name="IQ_PRE_TAX_ACT_OR_EST" hidden="1">"c2221"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" hidden="1">"c6261"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" hidden="1">"c6262"</definedName>
    <definedName name="IQ_PREF_OTHER_REIT" hidden="1">"c1058"</definedName>
    <definedName name="IQ_PREF_OTHER_UTI" hidden="1">"c6022"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" hidden="1">"c6263"</definedName>
    <definedName name="IQ_PREF_REP_REIT" hidden="1">"c1065"</definedName>
    <definedName name="IQ_PREF_REP_UTI" hidden="1">"c1066"</definedName>
    <definedName name="IQ_PREF_STOCK" hidden="1">"c1052"</definedName>
    <definedName name="IQ_PREF_STOCK_FFIEC" hidden="1">"c12875"</definedName>
    <definedName name="IQ_PREF_TOT" hidden="1">"c1044"</definedName>
    <definedName name="IQ_PREFERRED_DEPOSITS_FFIEC" hidden="1">"c15312"</definedName>
    <definedName name="IQ_PREFERRED_FDIC" hidden="1">"c6349"</definedName>
    <definedName name="IQ_PREFERRED_LIST" hidden="1">"c13506"</definedName>
    <definedName name="IQ_PREMISES_EQUIPMENT_FDIC" hidden="1">"c6577"</definedName>
    <definedName name="IQ_PREMISES_FIXED_ASSETS_CAP_LEASES_FFIEC" hidden="1">"c12830"</definedName>
    <definedName name="IQ_PREMIUM_INSURANCE_CREDIT_FFIEC" hidden="1">"c13070"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"c1068"</definedName>
    <definedName name="IQ_PREPAID_SUBS" hidden="1">"c2117"</definedName>
    <definedName name="IQ_PRESIDENT_ID" hidden="1">"c15216"</definedName>
    <definedName name="IQ_PRESIDENT_NAME" hidden="1">"c15215"</definedName>
    <definedName name="IQ_PRETAX_GW_INC_EST" hidden="1">"c1702"</definedName>
    <definedName name="IQ_PRETAX_GW_INC_HIGH_EST" hidden="1">"c1704"</definedName>
    <definedName name="IQ_PRETAX_GW_INC_LOW_EST" hidden="1">"c1705"</definedName>
    <definedName name="IQ_PRETAX_GW_INC_MEDIAN_EST" hidden="1">"c1703"</definedName>
    <definedName name="IQ_PRETAX_GW_INC_NUM_EST" hidden="1">"c1706"</definedName>
    <definedName name="IQ_PRETAX_GW_INC_STDDEV_EST" hidden="1">"c1707"</definedName>
    <definedName name="IQ_PRETAX_INC" hidden="1">"IQ_PRETAX_INC"</definedName>
    <definedName name="IQ_PRETAX_INC_10K" hidden="1">"IQ_PRETAX_INC_10K"</definedName>
    <definedName name="IQ_PRETAX_INC_10Q" hidden="1">"IQ_PRETAX_INC_10Q"</definedName>
    <definedName name="IQ_PRETAX_INC_10Q1" hidden="1">"IQ_PRETAX_INC_10Q1"</definedName>
    <definedName name="IQ_PRETAX_INC_AFTER_CAP_ALLOCATION_FOREIGN_FFIEC" hidden="1">"c15390"</definedName>
    <definedName name="IQ_PRETAX_INC_BEFORE_CAP_ALLOCATION_FOREIGN_FFIEC" hidden="1">"c15388"</definedName>
    <definedName name="IQ_PRETAX_INC_EST" hidden="1">"c1695"</definedName>
    <definedName name="IQ_PRETAX_INC_HIGH_EST" hidden="1">"c1697"</definedName>
    <definedName name="IQ_PRETAX_INC_LOW_EST" hidden="1">"c1698"</definedName>
    <definedName name="IQ_PRETAX_INC_MEDIAN_EST" hidden="1">"c1696"</definedName>
    <definedName name="IQ_PRETAX_INC_NUM_EST" hidden="1">"c1699"</definedName>
    <definedName name="IQ_PRETAX_INC_STDDEV_EST" hidden="1">"c1700"</definedName>
    <definedName name="IQ_PRETAX_OPERATING_INC_AVG_ASSETS_FFIEC" hidden="1">"c13365"</definedName>
    <definedName name="IQ_PRETAX_REPORT_INC_EST" hidden="1">"c1709"</definedName>
    <definedName name="IQ_PRETAX_REPORT_INC_HIGH_EST" hidden="1">"c1711"</definedName>
    <definedName name="IQ_PRETAX_REPORT_INC_LOW_EST" hidden="1">"c1712"</definedName>
    <definedName name="IQ_PRETAX_REPORT_INC_MEDIAN_EST" hidden="1">"c1710"</definedName>
    <definedName name="IQ_PRETAX_REPORT_INC_NUM_EST" hidden="1">"c1713"</definedName>
    <definedName name="IQ_PRETAX_REPORT_INC_STDDEV_EST" hidden="1">"c1714"</definedName>
    <definedName name="IQ_PRETAX_RETURN_ASSETS_FDIC" hidden="1">"c6731"</definedName>
    <definedName name="IQ_PREV_MONTHLY_FACTOR" hidden="1">"c8973"</definedName>
    <definedName name="IQ_PREV_MONTHLY_FACTOR_DATE" hidden="1">"c8974"</definedName>
    <definedName name="IQ_PRICE_CFPS_FWD" hidden="1">"c2237"</definedName>
    <definedName name="IQ_PRICE_OVER_BVPS" hidden="1">"c1026"</definedName>
    <definedName name="IQ_PRICE_OVER_EPS_EST" hidden="1">"IQ_PRICE_OVER_EPS_EST"</definedName>
    <definedName name="IQ_PRICE_OVER_EPS_EST_1" hidden="1">"IQ_PRICE_OVER_EPS_EST_1"</definedName>
    <definedName name="IQ_PRICE_OVER_LTM_EPS" hidden="1">"c1029"</definedName>
    <definedName name="IQ_PRICE_PAID_FARM_INDEX" hidden="1">"c6948"</definedName>
    <definedName name="IQ_PRICE_PAID_FARM_INDEX_APR" hidden="1">"c7608"</definedName>
    <definedName name="IQ_PRICE_PAID_FARM_INDEX_APR_FC" hidden="1">"c8488"</definedName>
    <definedName name="IQ_PRICE_PAID_FARM_INDEX_FC" hidden="1">"c7828"</definedName>
    <definedName name="IQ_PRICE_PAID_FARM_INDEX_POP" hidden="1">"c7168"</definedName>
    <definedName name="IQ_PRICE_PAID_FARM_INDEX_POP_FC" hidden="1">"c8048"</definedName>
    <definedName name="IQ_PRICE_PAID_FARM_INDEX_YOY" hidden="1">"c7388"</definedName>
    <definedName name="IQ_PRICE_PAID_FARM_INDEX_YOY_FC" hidden="1">"c8268"</definedName>
    <definedName name="IQ_PRICE_TARGET" hidden="1">"c82"</definedName>
    <definedName name="IQ_PRICE_TARGET_BOTTOM_UP_CIQ" hidden="1">"c12023"</definedName>
    <definedName name="IQ_PRICE_TARGET_CIQ" hidden="1">"c3613"</definedName>
    <definedName name="IQ_PRICEDATE" hidden="1">"c1069"</definedName>
    <definedName name="IQ_PRICEDATETIME" hidden="1">"IQ_PRICEDATETIME"</definedName>
    <definedName name="IQ_PRICING_DATE" hidden="1">"c1613"</definedName>
    <definedName name="IQ_PRIMARY_INDUSTRY" hidden="1">"c1070"</definedName>
    <definedName name="IQ_PRINCIPAL_AMT" hidden="1">"c2157"</definedName>
    <definedName name="IQ_PRIVATE_CONST_TOTAL_APR_FC_UNUSED" hidden="1">"c8559"</definedName>
    <definedName name="IQ_PRIVATE_CONST_TOTAL_APR_FC_UNUSED_UNUSED_UNUSED" hidden="1">"c8559"</definedName>
    <definedName name="IQ_PRIVATE_CONST_TOTAL_APR_UNUSED" hidden="1">"c7679"</definedName>
    <definedName name="IQ_PRIVATE_CONST_TOTAL_APR_UNUSED_UNUSED_UNUSED" hidden="1">"c7679"</definedName>
    <definedName name="IQ_PRIVATE_CONST_TOTAL_FC_UNUSED" hidden="1">"c7899"</definedName>
    <definedName name="IQ_PRIVATE_CONST_TOTAL_FC_UNUSED_UNUSED_UNUSED" hidden="1">"c7899"</definedName>
    <definedName name="IQ_PRIVATE_CONST_TOTAL_POP_FC_UNUSED" hidden="1">"c8119"</definedName>
    <definedName name="IQ_PRIVATE_CONST_TOTAL_POP_FC_UNUSED_UNUSED_UNUSED" hidden="1">"c8119"</definedName>
    <definedName name="IQ_PRIVATE_CONST_TOTAL_POP_UNUSED" hidden="1">"c7239"</definedName>
    <definedName name="IQ_PRIVATE_CONST_TOTAL_POP_UNUSED_UNUSED_UNUSED" hidden="1">"c7239"</definedName>
    <definedName name="IQ_PRIVATE_CONST_TOTAL_UNUSED" hidden="1">"c7019"</definedName>
    <definedName name="IQ_PRIVATE_CONST_TOTAL_UNUSED_UNUSED_UNUSED" hidden="1">"c7019"</definedName>
    <definedName name="IQ_PRIVATE_CONST_TOTAL_YOY_FC_UNUSED" hidden="1">"c8339"</definedName>
    <definedName name="IQ_PRIVATE_CONST_TOTAL_YOY_FC_UNUSED_UNUSED_UNUSED" hidden="1">"c8339"</definedName>
    <definedName name="IQ_PRIVATE_CONST_TOTAL_YOY_UNUSED" hidden="1">"c7459"</definedName>
    <definedName name="IQ_PRIVATE_CONST_TOTAL_YOY_UNUSED_UNUSED_UNUSED" hidden="1">"c7459"</definedName>
    <definedName name="IQ_PRIVATE_FIXED_INVEST_TOTAL" hidden="1">"c12006"</definedName>
    <definedName name="IQ_PRIVATE_FIXED_INVEST_TOTAL_APR" hidden="1">"c12009"</definedName>
    <definedName name="IQ_PRIVATE_FIXED_INVEST_TOTAL_POP" hidden="1">"c12007"</definedName>
    <definedName name="IQ_PRIVATE_FIXED_INVEST_TOTAL_YOY" hidden="1">"c12008"</definedName>
    <definedName name="IQ_PRIVATE_NONRES_CONST_IMPROV" hidden="1">"c6949"</definedName>
    <definedName name="IQ_PRIVATE_NONRES_CONST_IMPROV_APR" hidden="1">"c7609"</definedName>
    <definedName name="IQ_PRIVATE_NONRES_CONST_IMPROV_APR_FC" hidden="1">"c8489"</definedName>
    <definedName name="IQ_PRIVATE_NONRES_CONST_IMPROV_FC" hidden="1">"c7829"</definedName>
    <definedName name="IQ_PRIVATE_NONRES_CONST_IMPROV_POP" hidden="1">"c7169"</definedName>
    <definedName name="IQ_PRIVATE_NONRES_CONST_IMPROV_POP_FC" hidden="1">"c8049"</definedName>
    <definedName name="IQ_PRIVATE_NONRES_CONST_IMPROV_YOY" hidden="1">"c7389"</definedName>
    <definedName name="IQ_PRIVATE_NONRES_CONST_IMPROV_YOY_FC" hidden="1">"c8269"</definedName>
    <definedName name="IQ_PRIVATE_RES_CONST_IMPROV" hidden="1">"c6950"</definedName>
    <definedName name="IQ_PRIVATE_RES_CONST_IMPROV_APR" hidden="1">"c7610"</definedName>
    <definedName name="IQ_PRIVATE_RES_CONST_IMPROV_APR_FC" hidden="1">"c8490"</definedName>
    <definedName name="IQ_PRIVATE_RES_CONST_IMPROV_FC" hidden="1">"c7830"</definedName>
    <definedName name="IQ_PRIVATE_RES_CONST_IMPROV_POP" hidden="1">"c7170"</definedName>
    <definedName name="IQ_PRIVATE_RES_CONST_IMPROV_POP_FC" hidden="1">"c8050"</definedName>
    <definedName name="IQ_PRIVATE_RES_CONST_IMPROV_YOY" hidden="1">"c7390"</definedName>
    <definedName name="IQ_PRIVATE_RES_CONST_IMPROV_YOY_FC" hidden="1">"c8270"</definedName>
    <definedName name="IQ_PRIVATE_RES_CONST_REAL_APR_FC_UNUSED" hidden="1">"c8535"</definedName>
    <definedName name="IQ_PRIVATE_RES_CONST_REAL_APR_FC_UNUSED_UNUSED_UNUSED" hidden="1">"c8535"</definedName>
    <definedName name="IQ_PRIVATE_RES_CONST_REAL_APR_UNUSED" hidden="1">"c7655"</definedName>
    <definedName name="IQ_PRIVATE_RES_CONST_REAL_APR_UNUSED_UNUSED_UNUSED" hidden="1">"c7655"</definedName>
    <definedName name="IQ_PRIVATE_RES_CONST_REAL_FC_UNUSED" hidden="1">"c7875"</definedName>
    <definedName name="IQ_PRIVATE_RES_CONST_REAL_FC_UNUSED_UNUSED_UNUSED" hidden="1">"c7875"</definedName>
    <definedName name="IQ_PRIVATE_RES_CONST_REAL_POP_FC_UNUSED" hidden="1">"c8095"</definedName>
    <definedName name="IQ_PRIVATE_RES_CONST_REAL_POP_FC_UNUSED_UNUSED_UNUSED" hidden="1">"c8095"</definedName>
    <definedName name="IQ_PRIVATE_RES_CONST_REAL_POP_UNUSED" hidden="1">"c7215"</definedName>
    <definedName name="IQ_PRIVATE_RES_CONST_REAL_POP_UNUSED_UNUSED_UNUSED" hidden="1">"c7215"</definedName>
    <definedName name="IQ_PRIVATE_RES_CONST_REAL_UNUSED" hidden="1">"c6995"</definedName>
    <definedName name="IQ_PRIVATE_RES_CONST_REAL_UNUSED_UNUSED_UNUSED" hidden="1">"c6995"</definedName>
    <definedName name="IQ_PRIVATE_RES_CONST_REAL_YOY_FC_UNUSED" hidden="1">"c8315"</definedName>
    <definedName name="IQ_PRIVATE_RES_CONST_REAL_YOY_FC_UNUSED_UNUSED_UNUSED" hidden="1">"c8315"</definedName>
    <definedName name="IQ_PRIVATE_RES_CONST_REAL_YOY_UNUSED" hidden="1">"c7435"</definedName>
    <definedName name="IQ_PRIVATE_RES_CONST_REAL_YOY_UNUSED_UNUSED_UNUSED" hidden="1">"c7435"</definedName>
    <definedName name="IQ_PRIVATE_RES_FIXED_INVEST_REAL" hidden="1">"c11986"</definedName>
    <definedName name="IQ_PRIVATE_RES_FIXED_INVEST_REAL_APR" hidden="1">"c11989"</definedName>
    <definedName name="IQ_PRIVATE_RES_FIXED_INVEST_REAL_POP" hidden="1">"c11987"</definedName>
    <definedName name="IQ_PRIVATE_RES_FIXED_INVEST_REAL_YOY" hidden="1">"c11988"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hidden="1">"c795"</definedName>
    <definedName name="IQ_PROBABLE_ATTRIB_ORE_RESERVES_ALUM" hidden="1">"c9217"</definedName>
    <definedName name="IQ_PROBABLE_ATTRIB_ORE_RESERVES_COP" hidden="1">"c9161"</definedName>
    <definedName name="IQ_PROBABLE_ATTRIB_ORE_RESERVES_DIAM" hidden="1">"c9641"</definedName>
    <definedName name="IQ_PROBABLE_ATTRIB_ORE_RESERVES_GOLD" hidden="1">"c9002"</definedName>
    <definedName name="IQ_PROBABLE_ATTRIB_ORE_RESERVES_IRON" hidden="1">"c9376"</definedName>
    <definedName name="IQ_PROBABLE_ATTRIB_ORE_RESERVES_LEAD" hidden="1">"c9429"</definedName>
    <definedName name="IQ_PROBABLE_ATTRIB_ORE_RESERVES_MANG" hidden="1">"c9482"</definedName>
    <definedName name="IQ_PROBABLE_ATTRIB_ORE_RESERVES_MOLYB" hidden="1">"c9694"</definedName>
    <definedName name="IQ_PROBABLE_ATTRIB_ORE_RESERVES_NICK" hidden="1">"c9270"</definedName>
    <definedName name="IQ_PROBABLE_ATTRIB_ORE_RESERVES_PLAT" hidden="1">"c9108"</definedName>
    <definedName name="IQ_PROBABLE_ATTRIB_ORE_RESERVES_SILVER" hidden="1">"c9055"</definedName>
    <definedName name="IQ_PROBABLE_ATTRIB_ORE_RESERVES_TITAN" hidden="1">"c9535"</definedName>
    <definedName name="IQ_PROBABLE_ATTRIB_ORE_RESERVES_URAN" hidden="1">"c9588"</definedName>
    <definedName name="IQ_PROBABLE_ATTRIB_ORE_RESERVES_ZINC" hidden="1">"c9323"</definedName>
    <definedName name="IQ_PROBABLE_ORE_RESERVES_ALUM" hidden="1">"c9209"</definedName>
    <definedName name="IQ_PROBABLE_ORE_RESERVES_COP" hidden="1">"c9153"</definedName>
    <definedName name="IQ_PROBABLE_ORE_RESERVES_DIAM" hidden="1">"c9633"</definedName>
    <definedName name="IQ_PROBABLE_ORE_RESERVES_GOLD" hidden="1">"c8994"</definedName>
    <definedName name="IQ_PROBABLE_ORE_RESERVES_IRON" hidden="1">"c9368"</definedName>
    <definedName name="IQ_PROBABLE_ORE_RESERVES_LEAD" hidden="1">"c9421"</definedName>
    <definedName name="IQ_PROBABLE_ORE_RESERVES_MANG" hidden="1">"c9474"</definedName>
    <definedName name="IQ_PROBABLE_ORE_RESERVES_MOLYB" hidden="1">"c9686"</definedName>
    <definedName name="IQ_PROBABLE_ORE_RESERVES_NICK" hidden="1">"c9262"</definedName>
    <definedName name="IQ_PROBABLE_ORE_RESERVES_PLAT" hidden="1">"c9100"</definedName>
    <definedName name="IQ_PROBABLE_ORE_RESERVES_SILVER" hidden="1">"c9047"</definedName>
    <definedName name="IQ_PROBABLE_ORE_RESERVES_TITAN" hidden="1">"c9527"</definedName>
    <definedName name="IQ_PROBABLE_ORE_RESERVES_URAN" hidden="1">"c9580"</definedName>
    <definedName name="IQ_PROBABLE_ORE_RESERVES_ZINC" hidden="1">"c9315"</definedName>
    <definedName name="IQ_PROBABLE_RECOV_ATTRIB_RESERVES_ALUM" hidden="1">"c9220"</definedName>
    <definedName name="IQ_PROBABLE_RECOV_ATTRIB_RESERVES_COAL" hidden="1">"c9804"</definedName>
    <definedName name="IQ_PROBABLE_RECOV_ATTRIB_RESERVES_COP" hidden="1">"c9164"</definedName>
    <definedName name="IQ_PROBABLE_RECOV_ATTRIB_RESERVES_DIAM" hidden="1">"c9644"</definedName>
    <definedName name="IQ_PROBABLE_RECOV_ATTRIB_RESERVES_GOLD" hidden="1">"c9005"</definedName>
    <definedName name="IQ_PROBABLE_RECOV_ATTRIB_RESERVES_IRON" hidden="1">"c9379"</definedName>
    <definedName name="IQ_PROBABLE_RECOV_ATTRIB_RESERVES_LEAD" hidden="1">"c9432"</definedName>
    <definedName name="IQ_PROBABLE_RECOV_ATTRIB_RESERVES_MANG" hidden="1">"c9485"</definedName>
    <definedName name="IQ_PROBABLE_RECOV_ATTRIB_RESERVES_MET_COAL" hidden="1">"c9744"</definedName>
    <definedName name="IQ_PROBABLE_RECOV_ATTRIB_RESERVES_MOLYB" hidden="1">"c9697"</definedName>
    <definedName name="IQ_PROBABLE_RECOV_ATTRIB_RESERVES_NICK" hidden="1">"c9273"</definedName>
    <definedName name="IQ_PROBABLE_RECOV_ATTRIB_RESERVES_PLAT" hidden="1">"c9111"</definedName>
    <definedName name="IQ_PROBABLE_RECOV_ATTRIB_RESERVES_SILVER" hidden="1">"c9058"</definedName>
    <definedName name="IQ_PROBABLE_RECOV_ATTRIB_RESERVES_STEAM" hidden="1">"c9774"</definedName>
    <definedName name="IQ_PROBABLE_RECOV_ATTRIB_RESERVES_TITAN" hidden="1">"c9538"</definedName>
    <definedName name="IQ_PROBABLE_RECOV_ATTRIB_RESERVES_URAN" hidden="1">"c9591"</definedName>
    <definedName name="IQ_PROBABLE_RECOV_ATTRIB_RESERVES_ZINC" hidden="1">"c9326"</definedName>
    <definedName name="IQ_PROBABLE_RECOV_RESERVES_ALUM" hidden="1">"c9214"</definedName>
    <definedName name="IQ_PROBABLE_RECOV_RESERVES_COAL" hidden="1">"c9801"</definedName>
    <definedName name="IQ_PROBABLE_RECOV_RESERVES_COP" hidden="1">"c9158"</definedName>
    <definedName name="IQ_PROBABLE_RECOV_RESERVES_DIAM" hidden="1">"c9638"</definedName>
    <definedName name="IQ_PROBABLE_RECOV_RESERVES_GOLD" hidden="1">"c8999"</definedName>
    <definedName name="IQ_PROBABLE_RECOV_RESERVES_IRON" hidden="1">"c9373"</definedName>
    <definedName name="IQ_PROBABLE_RECOV_RESERVES_LEAD" hidden="1">"c9426"</definedName>
    <definedName name="IQ_PROBABLE_RECOV_RESERVES_MANG" hidden="1">"c9479"</definedName>
    <definedName name="IQ_PROBABLE_RECOV_RESERVES_MET_COAL" hidden="1">"c9741"</definedName>
    <definedName name="IQ_PROBABLE_RECOV_RESERVES_MOLYB" hidden="1">"c9691"</definedName>
    <definedName name="IQ_PROBABLE_RECOV_RESERVES_NICK" hidden="1">"c9267"</definedName>
    <definedName name="IQ_PROBABLE_RECOV_RESERVES_PLAT" hidden="1">"c9105"</definedName>
    <definedName name="IQ_PROBABLE_RECOV_RESERVES_SILVER" hidden="1">"c9052"</definedName>
    <definedName name="IQ_PROBABLE_RECOV_RESERVES_STEAM" hidden="1">"c9771"</definedName>
    <definedName name="IQ_PROBABLE_RECOV_RESERVES_TITAN" hidden="1">"c9532"</definedName>
    <definedName name="IQ_PROBABLE_RECOV_RESERVES_URAN" hidden="1">"c9585"</definedName>
    <definedName name="IQ_PROBABLE_RECOV_RESERVES_ZINC" hidden="1">"c9320"</definedName>
    <definedName name="IQ_PROBABLE_RESERVES_CALORIFIC_VALUE_COAL" hidden="1">"c9798"</definedName>
    <definedName name="IQ_PROBABLE_RESERVES_CALORIFIC_VALUE_MET_COAL" hidden="1">"c9738"</definedName>
    <definedName name="IQ_PROBABLE_RESERVES_CALORIFIC_VALUE_STEAM" hidden="1">"c9768"</definedName>
    <definedName name="IQ_PROBABLE_RESERVES_GRADE_ALUM" hidden="1">"c9210"</definedName>
    <definedName name="IQ_PROBABLE_RESERVES_GRADE_COP" hidden="1">"c9154"</definedName>
    <definedName name="IQ_PROBABLE_RESERVES_GRADE_DIAM" hidden="1">"c9634"</definedName>
    <definedName name="IQ_PROBABLE_RESERVES_GRADE_GOLD" hidden="1">"c8995"</definedName>
    <definedName name="IQ_PROBABLE_RESERVES_GRADE_IRON" hidden="1">"c9369"</definedName>
    <definedName name="IQ_PROBABLE_RESERVES_GRADE_LEAD" hidden="1">"c9422"</definedName>
    <definedName name="IQ_PROBABLE_RESERVES_GRADE_MANG" hidden="1">"c9475"</definedName>
    <definedName name="IQ_PROBABLE_RESERVES_GRADE_MOLYB" hidden="1">"c9687"</definedName>
    <definedName name="IQ_PROBABLE_RESERVES_GRADE_NICK" hidden="1">"c9263"</definedName>
    <definedName name="IQ_PROBABLE_RESERVES_GRADE_PLAT" hidden="1">"c9101"</definedName>
    <definedName name="IQ_PROBABLE_RESERVES_GRADE_SILVER" hidden="1">"c9048"</definedName>
    <definedName name="IQ_PROBABLE_RESERVES_GRADE_TITAN" hidden="1">"c9528"</definedName>
    <definedName name="IQ_PROBABLE_RESERVES_GRADE_URAN" hidden="1">"c9581"</definedName>
    <definedName name="IQ_PROBABLE_RESERVES_GRADE_ZINC" hidden="1">"c9316"</definedName>
    <definedName name="IQ_PRODUCTION_COST_ALUM" hidden="1">"c9253"</definedName>
    <definedName name="IQ_PRODUCTION_COST_COAL" hidden="1">"c9826"</definedName>
    <definedName name="IQ_PRODUCTION_COST_COP" hidden="1">"c9200"</definedName>
    <definedName name="IQ_PRODUCTION_COST_DIAM" hidden="1">"c9677"</definedName>
    <definedName name="IQ_PRODUCTION_COST_GOLD" hidden="1">"c9038"</definedName>
    <definedName name="IQ_PRODUCTION_COST_IRON" hidden="1">"c9412"</definedName>
    <definedName name="IQ_PRODUCTION_COST_LEAD" hidden="1">"c9465"</definedName>
    <definedName name="IQ_PRODUCTION_COST_MANG" hidden="1">"c9518"</definedName>
    <definedName name="IQ_PRODUCTION_COST_MET_COAL" hidden="1">"c9763"</definedName>
    <definedName name="IQ_PRODUCTION_COST_MOLYB" hidden="1">"c9730"</definedName>
    <definedName name="IQ_PRODUCTION_COST_NICK" hidden="1">"c9306"</definedName>
    <definedName name="IQ_PRODUCTION_COST_PLAT" hidden="1">"c9144"</definedName>
    <definedName name="IQ_PRODUCTION_COST_SILVER" hidden="1">"c9091"</definedName>
    <definedName name="IQ_PRODUCTION_COST_STEAM" hidden="1">"c9793"</definedName>
    <definedName name="IQ_PRODUCTION_COST_TITAN" hidden="1">"c9571"</definedName>
    <definedName name="IQ_PRODUCTION_COST_URAN" hidden="1">"c9624"</definedName>
    <definedName name="IQ_PRODUCTION_COST_ZINC" hidden="1">"c9359"</definedName>
    <definedName name="IQ_PROFESSIONAL" hidden="1">"c1071"</definedName>
    <definedName name="IQ_PROFESSIONAL_ASSISTANT_EMAIL" hidden="1">"c15169"</definedName>
    <definedName name="IQ_PROFESSIONAL_ASSISTANT_FAX" hidden="1">"c15171"</definedName>
    <definedName name="IQ_PROFESSIONAL_ASSISTANT_NAME" hidden="1">"c15168"</definedName>
    <definedName name="IQ_PROFESSIONAL_ASSISTANT_PHONE" hidden="1">"c15170"</definedName>
    <definedName name="IQ_PROFESSIONAL_BACKGROUND" hidden="1">"c15161"</definedName>
    <definedName name="IQ_PROFESSIONAL_DIRECT_FAX" hidden="1">"c15166"</definedName>
    <definedName name="IQ_PROFESSIONAL_DIRECT_PHONE" hidden="1">"c15165"</definedName>
    <definedName name="IQ_PROFESSIONAL_EMAIL" hidden="1">"c15167"</definedName>
    <definedName name="IQ_PROFESSIONAL_ID" hidden="1">"c13755"</definedName>
    <definedName name="IQ_PROFESSIONAL_MAIN_FAX" hidden="1">"c15164"</definedName>
    <definedName name="IQ_PROFESSIONAL_MAIN_PHONE" hidden="1">"c15163"</definedName>
    <definedName name="IQ_PROFESSIONAL_OFFICE_ADDRESS" hidden="1">"c15162"</definedName>
    <definedName name="IQ_PROFESSIONAL_TITLE" hidden="1">"c1072"</definedName>
    <definedName name="IQ_PROFIT_AFTER_COST_CAPITAL_NEW_BUSINESS" hidden="1">"c9969"</definedName>
    <definedName name="IQ_PROFIT_BEFORE_COST_CAPITAL_NEW_BUSINESS" hidden="1">"c9967"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"c518"</definedName>
    <definedName name="IQ_PROPERTY_MGMT_FEE" hidden="1">"c1074"</definedName>
    <definedName name="IQ_PROPERTY_NET" hidden="1">"c829"</definedName>
    <definedName name="IQ_PROV_BAD_DEBTS" hidden="1">"c1075"</definedName>
    <definedName name="IQ_PROV_BAD_DEBTS_CF" hidden="1">"c1076"</definedName>
    <definedName name="IQ_PROVED_ATTRIB_ORE_RESERVES_ALUM" hidden="1">"c9216"</definedName>
    <definedName name="IQ_PROVED_ATTRIB_ORE_RESERVES_COP" hidden="1">"c9160"</definedName>
    <definedName name="IQ_PROVED_ATTRIB_ORE_RESERVES_DIAM" hidden="1">"c9640"</definedName>
    <definedName name="IQ_PROVED_ATTRIB_ORE_RESERVES_GOLD" hidden="1">"c9001"</definedName>
    <definedName name="IQ_PROVED_ATTRIB_ORE_RESERVES_IRON" hidden="1">"c9375"</definedName>
    <definedName name="IQ_PROVED_ATTRIB_ORE_RESERVES_LEAD" hidden="1">"c9428"</definedName>
    <definedName name="IQ_PROVED_ATTRIB_ORE_RESERVES_MANG" hidden="1">"c9481"</definedName>
    <definedName name="IQ_PROVED_ATTRIB_ORE_RESERVES_MOLYB" hidden="1">"c9693"</definedName>
    <definedName name="IQ_PROVED_ATTRIB_ORE_RESERVES_NICK" hidden="1">"c9269"</definedName>
    <definedName name="IQ_PROVED_ATTRIB_ORE_RESERVES_PLAT" hidden="1">"c9107"</definedName>
    <definedName name="IQ_PROVED_ATTRIB_ORE_RESERVES_SILVER" hidden="1">"c9054"</definedName>
    <definedName name="IQ_PROVED_ATTRIB_ORE_RESERVES_TITAN" hidden="1">"c9534"</definedName>
    <definedName name="IQ_PROVED_ATTRIB_ORE_RESERVES_URAN" hidden="1">"c9587"</definedName>
    <definedName name="IQ_PROVED_ATTRIB_ORE_RESERVES_ZINC" hidden="1">"c9322"</definedName>
    <definedName name="IQ_PROVED_ORE_RESERVES_ALUM" hidden="1">"c9207"</definedName>
    <definedName name="IQ_PROVED_ORE_RESERVES_COP" hidden="1">"c9151"</definedName>
    <definedName name="IQ_PROVED_ORE_RESERVES_DIAM" hidden="1">"c9631"</definedName>
    <definedName name="IQ_PROVED_ORE_RESERVES_GOLD" hidden="1">"c8992"</definedName>
    <definedName name="IQ_PROVED_ORE_RESERVES_IRON" hidden="1">"c9366"</definedName>
    <definedName name="IQ_PROVED_ORE_RESERVES_LEAD" hidden="1">"c9419"</definedName>
    <definedName name="IQ_PROVED_ORE_RESERVES_MANG" hidden="1">"c9472"</definedName>
    <definedName name="IQ_PROVED_ORE_RESERVES_MOLYB" hidden="1">"c9684"</definedName>
    <definedName name="IQ_PROVED_ORE_RESERVES_NICK" hidden="1">"c9260"</definedName>
    <definedName name="IQ_PROVED_ORE_RESERVES_PLAT" hidden="1">"c9098"</definedName>
    <definedName name="IQ_PROVED_ORE_RESERVES_SILVER" hidden="1">"c9045"</definedName>
    <definedName name="IQ_PROVED_ORE_RESERVES_TITAN" hidden="1">"c9525"</definedName>
    <definedName name="IQ_PROVED_ORE_RESERVES_URAN" hidden="1">"c9578"</definedName>
    <definedName name="IQ_PROVED_ORE_RESERVES_ZINC" hidden="1">"c9313"</definedName>
    <definedName name="IQ_PROVED_RECOV_ATTRIB_RESERVES_ALUM" hidden="1">"c9219"</definedName>
    <definedName name="IQ_PROVED_RECOV_ATTRIB_RESERVES_COAL" hidden="1">"c9803"</definedName>
    <definedName name="IQ_PROVED_RECOV_ATTRIB_RESERVES_COP" hidden="1">"c9163"</definedName>
    <definedName name="IQ_PROVED_RECOV_ATTRIB_RESERVES_DIAM" hidden="1">"c9643"</definedName>
    <definedName name="IQ_PROVED_RECOV_ATTRIB_RESERVES_GOLD" hidden="1">"c9004"</definedName>
    <definedName name="IQ_PROVED_RECOV_ATTRIB_RESERVES_IRON" hidden="1">"c9378"</definedName>
    <definedName name="IQ_PROVED_RECOV_ATTRIB_RESERVES_LEAD" hidden="1">"c9431"</definedName>
    <definedName name="IQ_PROVED_RECOV_ATTRIB_RESERVES_MANG" hidden="1">"c9484"</definedName>
    <definedName name="IQ_PROVED_RECOV_ATTRIB_RESERVES_MET_COAL" hidden="1">"c9743"</definedName>
    <definedName name="IQ_PROVED_RECOV_ATTRIB_RESERVES_MOLYB" hidden="1">"c9696"</definedName>
    <definedName name="IQ_PROVED_RECOV_ATTRIB_RESERVES_NICK" hidden="1">"c9272"</definedName>
    <definedName name="IQ_PROVED_RECOV_ATTRIB_RESERVES_PLAT" hidden="1">"c9110"</definedName>
    <definedName name="IQ_PROVED_RECOV_ATTRIB_RESERVES_SILVER" hidden="1">"c9057"</definedName>
    <definedName name="IQ_PROVED_RECOV_ATTRIB_RESERVES_STEAM" hidden="1">"c9773"</definedName>
    <definedName name="IQ_PROVED_RECOV_ATTRIB_RESERVES_TITAN" hidden="1">"c9537"</definedName>
    <definedName name="IQ_PROVED_RECOV_ATTRIB_RESERVES_URAN" hidden="1">"c9590"</definedName>
    <definedName name="IQ_PROVED_RECOV_ATTRIB_RESERVES_ZINC" hidden="1">"c9325"</definedName>
    <definedName name="IQ_PROVED_RECOV_RESERVES_ALUM" hidden="1">"c9213"</definedName>
    <definedName name="IQ_PROVED_RECOV_RESERVES_COAL" hidden="1">"c9800"</definedName>
    <definedName name="IQ_PROVED_RECOV_RESERVES_COP" hidden="1">"c9157"</definedName>
    <definedName name="IQ_PROVED_RECOV_RESERVES_DIAM" hidden="1">"c9637"</definedName>
    <definedName name="IQ_PROVED_RECOV_RESERVES_GOLD" hidden="1">"c8998"</definedName>
    <definedName name="IQ_PROVED_RECOV_RESERVES_IRON" hidden="1">"c9372"</definedName>
    <definedName name="IQ_PROVED_RECOV_RESERVES_LEAD" hidden="1">"c9425"</definedName>
    <definedName name="IQ_PROVED_RECOV_RESERVES_MANG" hidden="1">"c9478"</definedName>
    <definedName name="IQ_PROVED_RECOV_RESERVES_MET_COAL" hidden="1">"c9740"</definedName>
    <definedName name="IQ_PROVED_RECOV_RESERVES_MOLYB" hidden="1">"c9690"</definedName>
    <definedName name="IQ_PROVED_RECOV_RESERVES_NICK" hidden="1">"c9266"</definedName>
    <definedName name="IQ_PROVED_RECOV_RESERVES_PLAT" hidden="1">"c9104"</definedName>
    <definedName name="IQ_PROVED_RECOV_RESERVES_SILVER" hidden="1">"c9051"</definedName>
    <definedName name="IQ_PROVED_RECOV_RESERVES_STEAM" hidden="1">"c9770"</definedName>
    <definedName name="IQ_PROVED_RECOV_RESERVES_TITAN" hidden="1">"c9531"</definedName>
    <definedName name="IQ_PROVED_RECOV_RESERVES_URAN" hidden="1">"c9584"</definedName>
    <definedName name="IQ_PROVED_RECOV_RESERVES_ZINC" hidden="1">"c9319"</definedName>
    <definedName name="IQ_PROVED_RESERVES_CALORIFIC_VALUE_COAL" hidden="1">"c9797"</definedName>
    <definedName name="IQ_PROVED_RESERVES_CALORIFIC_VALUE_MET_COAL" hidden="1">"c9737"</definedName>
    <definedName name="IQ_PROVED_RESERVES_CALORIFIC_VALUE_STEAM" hidden="1">"c9767"</definedName>
    <definedName name="IQ_PROVED_RESERVES_GRADE_ALUM" hidden="1">"c9208"</definedName>
    <definedName name="IQ_PROVED_RESERVES_GRADE_COP" hidden="1">"c9152"</definedName>
    <definedName name="IQ_PROVED_RESERVES_GRADE_DIAM" hidden="1">"c9632"</definedName>
    <definedName name="IQ_PROVED_RESERVES_GRADE_GOLD" hidden="1">"c8993"</definedName>
    <definedName name="IQ_PROVED_RESERVES_GRADE_IRON" hidden="1">"c9367"</definedName>
    <definedName name="IQ_PROVED_RESERVES_GRADE_LEAD" hidden="1">"c9420"</definedName>
    <definedName name="IQ_PROVED_RESERVES_GRADE_MANG" hidden="1">"c9473"</definedName>
    <definedName name="IQ_PROVED_RESERVES_GRADE_MOLYB" hidden="1">"c9685"</definedName>
    <definedName name="IQ_PROVED_RESERVES_GRADE_NICK" hidden="1">"c9261"</definedName>
    <definedName name="IQ_PROVED_RESERVES_GRADE_PLAT" hidden="1">"c9099"</definedName>
    <definedName name="IQ_PROVED_RESERVES_GRADE_SILVER" hidden="1">"c9046"</definedName>
    <definedName name="IQ_PROVED_RESERVES_GRADE_TITAN" hidden="1">"c9526"</definedName>
    <definedName name="IQ_PROVED_RESERVES_GRADE_URAN" hidden="1">"c9579"</definedName>
    <definedName name="IQ_PROVED_RESERVES_GRADE_ZINC" hidden="1">"c9314"</definedName>
    <definedName name="IQ_PROVISION_10YR_ANN_CAGR" hidden="1">"c6135"</definedName>
    <definedName name="IQ_PROVISION_10YR_ANN_GROWTH" hidden="1">"c1077"</definedName>
    <definedName name="IQ_PROVISION_1YR_ANN_GROWTH" hidden="1">"c1078"</definedName>
    <definedName name="IQ_PROVISION_2YR_ANN_CAGR" hidden="1">"c6136"</definedName>
    <definedName name="IQ_PROVISION_2YR_ANN_GROWTH" hidden="1">"c1079"</definedName>
    <definedName name="IQ_PROVISION_3YR_ANN_CAGR" hidden="1">"c6137"</definedName>
    <definedName name="IQ_PROVISION_3YR_ANN_GROWTH" hidden="1">"c1080"</definedName>
    <definedName name="IQ_PROVISION_5YR_ANN_CAGR" hidden="1">"c6138"</definedName>
    <definedName name="IQ_PROVISION_5YR_ANN_GROWTH" hidden="1">"c1081"</definedName>
    <definedName name="IQ_PROVISION_7YR_ANN_CAGR" hidden="1">"c6139"</definedName>
    <definedName name="IQ_PROVISION_7YR_ANN_GROWTH" hidden="1">"c1082"</definedName>
    <definedName name="IQ_PROVISION_CHARGE_OFFS" hidden="1">"c1083"</definedName>
    <definedName name="IQ_PROVISION_LL_FFIEC" hidden="1">"c13019"</definedName>
    <definedName name="IQ_PROVISION_LOSSES_AVG_ASSETS_FFIEC" hidden="1">"c13362"</definedName>
    <definedName name="IQ_PROVISION_LOSSES_AVG_LOANS_FFIEC" hidden="1">"c13470"</definedName>
    <definedName name="IQ_PROVISION_LOSSES_NET_LOSSES_FFIEC" hidden="1">"c13471"</definedName>
    <definedName name="IQ_PTBV" hidden="1">"c1084"</definedName>
    <definedName name="IQ_PTBV_AVG" hidden="1">"c1085"</definedName>
    <definedName name="IQ_PURCHASE_FOREIGN_CURRENCIES_FDIC" hidden="1">"c6513"</definedName>
    <definedName name="IQ_PURCHASE_TREASURY_FFIEC" hidden="1">"c12966"</definedName>
    <definedName name="IQ_PURCHASED_CREDIT_RELS_SERVICING_ASSETS_FFIEC" hidden="1">"c12839"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S_EQUIP_NONRES_SAAR_APR_FC_UNUSED" hidden="1">"c8491"</definedName>
    <definedName name="IQ_PURCHASES_EQUIP_NONRES_SAAR_APR_FC_UNUSED_UNUSED_UNUSED" hidden="1">"c8491"</definedName>
    <definedName name="IQ_PURCHASES_EQUIP_NONRES_SAAR_APR_UNUSED" hidden="1">"c7611"</definedName>
    <definedName name="IQ_PURCHASES_EQUIP_NONRES_SAAR_APR_UNUSED_UNUSED_UNUSED" hidden="1">"c7611"</definedName>
    <definedName name="IQ_PURCHASES_EQUIP_NONRES_SAAR_FC_UNUSED" hidden="1">"c7831"</definedName>
    <definedName name="IQ_PURCHASES_EQUIP_NONRES_SAAR_FC_UNUSED_UNUSED_UNUSED" hidden="1">"c7831"</definedName>
    <definedName name="IQ_PURCHASES_EQUIP_NONRES_SAAR_POP_FC_UNUSED" hidden="1">"c8051"</definedName>
    <definedName name="IQ_PURCHASES_EQUIP_NONRES_SAAR_POP_FC_UNUSED_UNUSED_UNUSED" hidden="1">"c8051"</definedName>
    <definedName name="IQ_PURCHASES_EQUIP_NONRES_SAAR_POP_UNUSED" hidden="1">"c7171"</definedName>
    <definedName name="IQ_PURCHASES_EQUIP_NONRES_SAAR_POP_UNUSED_UNUSED_UNUSED" hidden="1">"c7171"</definedName>
    <definedName name="IQ_PURCHASES_EQUIP_NONRES_SAAR_UNUSED" hidden="1">"c6951"</definedName>
    <definedName name="IQ_PURCHASES_EQUIP_NONRES_SAAR_UNUSED_UNUSED_UNUSED" hidden="1">"c6951"</definedName>
    <definedName name="IQ_PURCHASES_EQUIP_NONRES_SAAR_YOY_FC_UNUSED" hidden="1">"c8271"</definedName>
    <definedName name="IQ_PURCHASES_EQUIP_NONRES_SAAR_YOY_FC_UNUSED_UNUSED_UNUSED" hidden="1">"c8271"</definedName>
    <definedName name="IQ_PURCHASES_EQUIP_NONRES_SAAR_YOY_UNUSED" hidden="1">"c7391"</definedName>
    <definedName name="IQ_PURCHASES_EQUIP_NONRES_SAAR_YOY_UNUSED_UNUSED_UNUSED" hidden="1">"c7391"</definedName>
    <definedName name="IQ_PURCHASING_SECURITIES_LL_REC_FFIEC" hidden="1">"c12893"</definedName>
    <definedName name="IQ_PUT_DATE_SCHEDULE" hidden="1">"c2483"</definedName>
    <definedName name="IQ_PUT_NOTIFICATION" hidden="1">"c2485"</definedName>
    <definedName name="IQ_PUT_PRICE_SCHEDULE" hidden="1">"c2484"</definedName>
    <definedName name="IQ_PV_PREMIUMS_NEW_BUSINESS" hidden="1">"c9973"</definedName>
    <definedName name="IQ_QTD" hidden="1">750000</definedName>
    <definedName name="IQ_QUALIFYING_MINORITY_INT_T1_FFIEC" hidden="1">"c13135"</definedName>
    <definedName name="IQ_QUALIFYING_SUB_DEBT_REDEEM_PREF_T2_FFIEC" hidden="1">"c13144"</definedName>
    <definedName name="IQ_QUALIFYING_TRUST_PREFERRED_T1_FFIEC" hidden="1">"c13136"</definedName>
    <definedName name="IQ_QUICK_COMP" hidden="1">"c13750"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_1_4_RISK_BASED_FFIEC" hidden="1">"c13418"</definedName>
    <definedName name="IQ_RE_ACQ_SATISFACTION_DEBTS_FFIEC" hidden="1">"c12832"</definedName>
    <definedName name="IQ_RE_DEPR_AMORT" hidden="1">"c8750"</definedName>
    <definedName name="IQ_RE_FARMLAND_GROSS_LOANS_FFIEC" hidden="1">"c13408"</definedName>
    <definedName name="IQ_RE_FARMLAND_RISK_BASED_FFIEC" hidden="1">"c13429"</definedName>
    <definedName name="IQ_RE_FCCR" hidden="1">"c8858"</definedName>
    <definedName name="IQ_RE_FCCR_CONT_OPS" hidden="1">"c8859"</definedName>
    <definedName name="IQ_RE_FCCR_INCL_DISC_OPS" hidden="1">"c8860"</definedName>
    <definedName name="IQ_RE_FCCR_INCL_PREF_DIV" hidden="1">"c8861"</definedName>
    <definedName name="IQ_RE_FCCR_INCL_PREF_DIV_CONT_OPS" hidden="1">"c8862"</definedName>
    <definedName name="IQ_RE_FCCR_INCL_PREF_DIV_INCL_DISC_OPS" hidden="1">"c8863"</definedName>
    <definedName name="IQ_RE_FIXED_CHARGES" hidden="1">"c8856"</definedName>
    <definedName name="IQ_RE_FIXED_CHARGES_INCL_PREF_DIV" hidden="1">"c8857"</definedName>
    <definedName name="IQ_RE_FORECLOSURE_FDIC" hidden="1">"c6332"</definedName>
    <definedName name="IQ_RE_FOREIGN_FFIEC" hidden="1">"c13479"</definedName>
    <definedName name="IQ_RE_GAIN_LOSS_SALE_ASSETS" hidden="1">"c8751"</definedName>
    <definedName name="IQ_RE_INVEST_FDIC" hidden="1">"c6331"</definedName>
    <definedName name="IQ_RE_LOANS_1_4_GROSS_LOANS_FFIEC" hidden="1">"c13397"</definedName>
    <definedName name="IQ_RE_LOANS_DOM_QUARTERLY_AVG_FFIEC" hidden="1">"c15476"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_LOANS_GROSS_LOANS_FFIEC" hidden="1">"c13396"</definedName>
    <definedName name="IQ_RE_MAINT_CAPEX" hidden="1">"c8755"</definedName>
    <definedName name="IQ_RE_MINORITY_INTEREST" hidden="1">"c8752"</definedName>
    <definedName name="IQ_RE_NET_INCOME" hidden="1">"c8749"</definedName>
    <definedName name="IQ_RE_NOI" hidden="1">"c8864"</definedName>
    <definedName name="IQ_RE_NOI_GROWTH_SAME_PROP" hidden="1">"c8866"</definedName>
    <definedName name="IQ_RE_NOI_SAME_PROP" hidden="1">"c8865"</definedName>
    <definedName name="IQ_RE_OTHER_ITEMS" hidden="1">"c8753"</definedName>
    <definedName name="IQ_RE_RISK_BASED_FFIEC" hidden="1">"c13417"</definedName>
    <definedName name="IQ_REAL_ESTATE" hidden="1">"c1093"</definedName>
    <definedName name="IQ_REAL_ESTATE_ASSETS" hidden="1">"c1094"</definedName>
    <definedName name="IQ_REALIZED_GAINS_AVAIL_SALE_SEC_FFIEC" hidden="1">"c13022"</definedName>
    <definedName name="IQ_REALIZED_GAINS_HELD_MATURITY_SEC_FFIEC" hidden="1">"c13021"</definedName>
    <definedName name="IQ_REALIZED_GAINS_SEC_TOT_FFIEC" hidden="1">"c13517"</definedName>
    <definedName name="IQ_RECOVERIES_1_4_FAMILY_LOANS_FDIC" hidden="1">"c6707"</definedName>
    <definedName name="IQ_RECOVERIES_AUTO_LOANS_FDIC" hidden="1">"c6701"</definedName>
    <definedName name="IQ_RECOVERIES_AVG_LOANS_FFIEC" hidden="1">"c13476"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CURRING_PROFIT_ACT_OR_EST_CIQ" hidden="1">"c5045"</definedName>
    <definedName name="IQ_RECURRING_PROFIT_SHARE_ACT_OR_EST_CIQ" hidden="1">"c5046"</definedName>
    <definedName name="IQ_REDEEM_PREF_STOCK" hidden="1">"c1059"</definedName>
    <definedName name="IQ_REF_ENTITY" hidden="1">"c6033"</definedName>
    <definedName name="IQ_REF_ENTITY_CIQID" hidden="1">"c6024"</definedName>
    <definedName name="IQ_REF_ENTITY_TICKER" hidden="1">"c6023"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INSURANCE_RECOVERABLE_ASSETS_LH_FFIEC" hidden="1">"c13104"</definedName>
    <definedName name="IQ_REINSURANCE_RECOVERABLE_ASSETS_PC_FFIEC" hidden="1">"c13098"</definedName>
    <definedName name="IQ_RELATED_PLANS_FDIC" hidden="1">"c6320"</definedName>
    <definedName name="IQ_RENT_OTHER_INC_FROM_OREO_FFIEC" hidden="1">"c13043"</definedName>
    <definedName name="IQ_RENT_PER_SQ_FT_AVG_CONSOL" hidden="1">"c8846"</definedName>
    <definedName name="IQ_RENT_PER_SQ_FT_AVG_MANAGED" hidden="1">"c8848"</definedName>
    <definedName name="IQ_RENT_PER_SQ_FT_AVG_OTHER" hidden="1">"c8849"</definedName>
    <definedName name="IQ_RENT_PER_SQ_FT_AVG_TOTAL" hidden="1">"c8850"</definedName>
    <definedName name="IQ_RENT_PER_SQ_FT_AVG_UNCONSOL" hidden="1">"c8847"</definedName>
    <definedName name="IQ_RENT_PER_SQ_METER_AVG_CONSOL" hidden="1">"c8851"</definedName>
    <definedName name="IQ_RENT_PER_SQ_METER_AVG_MANAGED" hidden="1">"c8853"</definedName>
    <definedName name="IQ_RENT_PER_SQ_METER_AVG_OTHER" hidden="1">"c8854"</definedName>
    <definedName name="IQ_RENT_PER_SQ_METER_AVG_TOTAL" hidden="1">"c8855"</definedName>
    <definedName name="IQ_RENT_PER_SQ_METER_AVG_UNCONSOL" hidden="1">"c8852"</definedName>
    <definedName name="IQ_RENT_SAFE_DEPOSIT_FFIEC" hidden="1">"c13044"</definedName>
    <definedName name="IQ_RENTAL_REV" hidden="1">"c1101"</definedName>
    <definedName name="IQ_REPRICEABLE_EARNING_ASSETS_INT_SENSITIVITY_FFIEC" hidden="1">"c13093"</definedName>
    <definedName name="IQ_REPRICEABLE_INT_DEPOSITS_INT_SENSITIVITY_FFIEC" hidden="1">"c13094"</definedName>
    <definedName name="IQ_REPURCHASED_REBOOKED_GNMA_DUE_30_89_FFIEC" hidden="1">"c13283"</definedName>
    <definedName name="IQ_REPURCHASED_REBOOKED_GNMA_DUE_90_FFIEC" hidden="1">"c13309"</definedName>
    <definedName name="IQ_REPURCHASED_REBOOKED_GNMA_NON_ACCRUAL_FFIEC" hidden="1">"c13334"</definedName>
    <definedName name="IQ_RES_CONST_REAL_APR_FC_UNUSED" hidden="1">"c8536"</definedName>
    <definedName name="IQ_RES_CONST_REAL_APR_FC_UNUSED_UNUSED_UNUSED" hidden="1">"c8536"</definedName>
    <definedName name="IQ_RES_CONST_REAL_APR_UNUSED" hidden="1">"c7656"</definedName>
    <definedName name="IQ_RES_CONST_REAL_APR_UNUSED_UNUSED_UNUSED" hidden="1">"c7656"</definedName>
    <definedName name="IQ_RES_CONST_REAL_FC_UNUSED" hidden="1">"c7876"</definedName>
    <definedName name="IQ_RES_CONST_REAL_FC_UNUSED_UNUSED_UNUSED" hidden="1">"c7876"</definedName>
    <definedName name="IQ_RES_CONST_REAL_POP_FC_UNUSED" hidden="1">"c8096"</definedName>
    <definedName name="IQ_RES_CONST_REAL_POP_FC_UNUSED_UNUSED_UNUSED" hidden="1">"c8096"</definedName>
    <definedName name="IQ_RES_CONST_REAL_POP_UNUSED" hidden="1">"c7216"</definedName>
    <definedName name="IQ_RES_CONST_REAL_POP_UNUSED_UNUSED_UNUSED" hidden="1">"c7216"</definedName>
    <definedName name="IQ_RES_CONST_REAL_SAAR_APR_FC_UNUSED" hidden="1">"c8537"</definedName>
    <definedName name="IQ_RES_CONST_REAL_SAAR_APR_FC_UNUSED_UNUSED_UNUSED" hidden="1">"c8537"</definedName>
    <definedName name="IQ_RES_CONST_REAL_SAAR_APR_UNUSED" hidden="1">"c7657"</definedName>
    <definedName name="IQ_RES_CONST_REAL_SAAR_APR_UNUSED_UNUSED_UNUSED" hidden="1">"c7657"</definedName>
    <definedName name="IQ_RES_CONST_REAL_SAAR_FC_UNUSED" hidden="1">"c7877"</definedName>
    <definedName name="IQ_RES_CONST_REAL_SAAR_FC_UNUSED_UNUSED_UNUSED" hidden="1">"c7877"</definedName>
    <definedName name="IQ_RES_CONST_REAL_SAAR_POP_FC_UNUSED" hidden="1">"c8097"</definedName>
    <definedName name="IQ_RES_CONST_REAL_SAAR_POP_FC_UNUSED_UNUSED_UNUSED" hidden="1">"c8097"</definedName>
    <definedName name="IQ_RES_CONST_REAL_SAAR_POP_UNUSED" hidden="1">"c7217"</definedName>
    <definedName name="IQ_RES_CONST_REAL_SAAR_POP_UNUSED_UNUSED_UNUSED" hidden="1">"c7217"</definedName>
    <definedName name="IQ_RES_CONST_REAL_SAAR_UNUSED" hidden="1">"c6997"</definedName>
    <definedName name="IQ_RES_CONST_REAL_SAAR_UNUSED_UNUSED_UNUSED" hidden="1">"c6997"</definedName>
    <definedName name="IQ_RES_CONST_REAL_SAAR_YOY_FC_UNUSED" hidden="1">"c8317"</definedName>
    <definedName name="IQ_RES_CONST_REAL_SAAR_YOY_FC_UNUSED_UNUSED_UNUSED" hidden="1">"c8317"</definedName>
    <definedName name="IQ_RES_CONST_REAL_SAAR_YOY_UNUSED" hidden="1">"c7437"</definedName>
    <definedName name="IQ_RES_CONST_REAL_SAAR_YOY_UNUSED_UNUSED_UNUSED" hidden="1">"c7437"</definedName>
    <definedName name="IQ_RES_CONST_REAL_UNUSED" hidden="1">"c6996"</definedName>
    <definedName name="IQ_RES_CONST_REAL_UNUSED_UNUSED_UNUSED" hidden="1">"c6996"</definedName>
    <definedName name="IQ_RES_CONST_REAL_YOY_FC_UNUSED" hidden="1">"c8316"</definedName>
    <definedName name="IQ_RES_CONST_REAL_YOY_FC_UNUSED_UNUSED_UNUSED" hidden="1">"c8316"</definedName>
    <definedName name="IQ_RES_CONST_REAL_YOY_UNUSED" hidden="1">"c7436"</definedName>
    <definedName name="IQ_RES_CONST_REAL_YOY_UNUSED_UNUSED_UNUSED" hidden="1">"c7436"</definedName>
    <definedName name="IQ_RES_CONST_SAAR_APR_FC_UNUSED" hidden="1">"c8540"</definedName>
    <definedName name="IQ_RES_CONST_SAAR_APR_FC_UNUSED_UNUSED_UNUSED" hidden="1">"c8540"</definedName>
    <definedName name="IQ_RES_CONST_SAAR_APR_UNUSED" hidden="1">"c7660"</definedName>
    <definedName name="IQ_RES_CONST_SAAR_APR_UNUSED_UNUSED_UNUSED" hidden="1">"c7660"</definedName>
    <definedName name="IQ_RES_CONST_SAAR_FC_UNUSED" hidden="1">"c7880"</definedName>
    <definedName name="IQ_RES_CONST_SAAR_FC_UNUSED_UNUSED_UNUSED" hidden="1">"c7880"</definedName>
    <definedName name="IQ_RES_CONST_SAAR_POP_FC_UNUSED" hidden="1">"c8100"</definedName>
    <definedName name="IQ_RES_CONST_SAAR_POP_FC_UNUSED_UNUSED_UNUSED" hidden="1">"c8100"</definedName>
    <definedName name="IQ_RES_CONST_SAAR_POP_UNUSED" hidden="1">"c7220"</definedName>
    <definedName name="IQ_RES_CONST_SAAR_POP_UNUSED_UNUSED_UNUSED" hidden="1">"c7220"</definedName>
    <definedName name="IQ_RES_CONST_SAAR_UNUSED" hidden="1">"c7000"</definedName>
    <definedName name="IQ_RES_CONST_SAAR_UNUSED_UNUSED_UNUSED" hidden="1">"c7000"</definedName>
    <definedName name="IQ_RES_CONST_SAAR_YOY_FC_UNUSED" hidden="1">"c8320"</definedName>
    <definedName name="IQ_RES_CONST_SAAR_YOY_FC_UNUSED_UNUSED_UNUSED" hidden="1">"c8320"</definedName>
    <definedName name="IQ_RES_CONST_SAAR_YOY_UNUSED" hidden="1">"c7440"</definedName>
    <definedName name="IQ_RES_CONST_SAAR_YOY_UNUSED_UNUSED_UNUSED" hidden="1">"c7440"</definedName>
    <definedName name="IQ_RES_FIXED_INVEST" hidden="1">"c7001"</definedName>
    <definedName name="IQ_RES_FIXED_INVEST_APR" hidden="1">"c7661"</definedName>
    <definedName name="IQ_RES_FIXED_INVEST_APR_FC" hidden="1">"c8541"</definedName>
    <definedName name="IQ_RES_FIXED_INVEST_FC" hidden="1">"c7881"</definedName>
    <definedName name="IQ_RES_FIXED_INVEST_POP" hidden="1">"c7221"</definedName>
    <definedName name="IQ_RES_FIXED_INVEST_POP_FC" hidden="1">"c8101"</definedName>
    <definedName name="IQ_RES_FIXED_INVEST_REAL" hidden="1">"c6998"</definedName>
    <definedName name="IQ_RES_FIXED_INVEST_REAL_APR" hidden="1">"c7658"</definedName>
    <definedName name="IQ_RES_FIXED_INVEST_REAL_APR_FC" hidden="1">"c8538"</definedName>
    <definedName name="IQ_RES_FIXED_INVEST_REAL_FC" hidden="1">"c7878"</definedName>
    <definedName name="IQ_RES_FIXED_INVEST_REAL_POP" hidden="1">"c7218"</definedName>
    <definedName name="IQ_RES_FIXED_INVEST_REAL_POP_FC" hidden="1">"c8098"</definedName>
    <definedName name="IQ_RES_FIXED_INVEST_REAL_YOY" hidden="1">"c7438"</definedName>
    <definedName name="IQ_RES_FIXED_INVEST_REAL_YOY_FC" hidden="1">"c8318"</definedName>
    <definedName name="IQ_RES_FIXED_INVEST_SAAR" hidden="1">"c11994"</definedName>
    <definedName name="IQ_RES_FIXED_INVEST_SAAR_APR" hidden="1">"c11997"</definedName>
    <definedName name="IQ_RES_FIXED_INVEST_SAAR_POP" hidden="1">"c11995"</definedName>
    <definedName name="IQ_RES_FIXED_INVEST_SAAR_REAL" hidden="1">"c11990"</definedName>
    <definedName name="IQ_RES_FIXED_INVEST_SAAR_REAL_APR" hidden="1">"c11993"</definedName>
    <definedName name="IQ_RES_FIXED_INVEST_SAAR_REAL_POP" hidden="1">"c11991"</definedName>
    <definedName name="IQ_RES_FIXED_INVEST_SAAR_REAL_YOY" hidden="1">"c11992"</definedName>
    <definedName name="IQ_RES_FIXED_INVEST_SAAR_YOY" hidden="1">"c11996"</definedName>
    <definedName name="IQ_RES_FIXED_INVEST_YOY" hidden="1">"c7441"</definedName>
    <definedName name="IQ_RES_FIXED_INVEST_YOY_FC" hidden="1">"c8321"</definedName>
    <definedName name="IQ_RESEARCH_DEV" hidden="1">"c1090"</definedName>
    <definedName name="IQ_RESIDENTIAL_LOANS" hidden="1">"c1102"</definedName>
    <definedName name="IQ_REST_ACQUIRED_AFFILIATED_OTHER_RESTAURANTS" hidden="1">"c9873"</definedName>
    <definedName name="IQ_REST_ACQUIRED_FRANCHISE_RESTAURANTS" hidden="1">"c9867"</definedName>
    <definedName name="IQ_REST_ACQUIRED_OWNED_RESTAURANTS" hidden="1">"c9861"</definedName>
    <definedName name="IQ_REST_ACQUIRED_RESTAURANTS" hidden="1">"c9855"</definedName>
    <definedName name="IQ_REST_AFFILIATED_OTHER_RESTAURANTS_BEG" hidden="1">"c9871"</definedName>
    <definedName name="IQ_REST_AVG_VALUE_TRANSACTION" hidden="1">"c9887"</definedName>
    <definedName name="IQ_REST_AVG_VALUE_TRANSACTION_GROWTH" hidden="1">"c9888"</definedName>
    <definedName name="IQ_REST_AVG_WEEKLY_SALES" hidden="1">"c9879"</definedName>
    <definedName name="IQ_REST_AVG_WEEKLY_SALES_FRANCHISE" hidden="1">"c9877"</definedName>
    <definedName name="IQ_REST_AVG_WEEKLY_SALES_OWNED" hidden="1">"c9878"</definedName>
    <definedName name="IQ_REST_CLOSED_AFFILIATED_OTHER_RESTAURANTS" hidden="1">"c9874"</definedName>
    <definedName name="IQ_REST_CLOSED_FRANCHISE_RESTAURANTS" hidden="1">"c9868"</definedName>
    <definedName name="IQ_REST_CLOSED_OWNED_RESTAURANTS" hidden="1">"c9862"</definedName>
    <definedName name="IQ_REST_CLOSED_RESTAURANTS" hidden="1">"c9856"</definedName>
    <definedName name="IQ_REST_FRANCHISE_RESTAURANTS_BEG" hidden="1">"c9865"</definedName>
    <definedName name="IQ_REST_GUEST_COUNT_GROWTH" hidden="1">"c9889"</definedName>
    <definedName name="IQ_REST_OPENED_AFFILIATED_OTHER_RESTAURANTS" hidden="1">"c9872"</definedName>
    <definedName name="IQ_REST_OPENED_FRANCHISE_RESTAURANTS" hidden="1">"c9866"</definedName>
    <definedName name="IQ_REST_OPENED_OWNED_RESTAURANTS" hidden="1">"c9860"</definedName>
    <definedName name="IQ_REST_OPENED_RESTAURANTS" hidden="1">"c9854"</definedName>
    <definedName name="IQ_REST_OPERATING_MARGIN" hidden="1">"c9886"</definedName>
    <definedName name="IQ_REST_OWNED_RESTAURANTS_BEG" hidden="1">"c9859"</definedName>
    <definedName name="IQ_REST_RESTAURANTS_BEG" hidden="1">"c9853"</definedName>
    <definedName name="IQ_REST_SAME_RESTAURANT_SALES" hidden="1">"c9885"</definedName>
    <definedName name="IQ_REST_SAME_RESTAURANT_SALES_FRANCHISE" hidden="1">"c9883"</definedName>
    <definedName name="IQ_REST_SAME_RESTAURANT_SALES_GROWTH" hidden="1">"c9882"</definedName>
    <definedName name="IQ_REST_SAME_RESTAURANT_SALES_GROWTH_FRANCHISE" hidden="1">"c9880"</definedName>
    <definedName name="IQ_REST_SAME_RESTAURANT_SALES_GROWTH_OWNED" hidden="1">"c9881"</definedName>
    <definedName name="IQ_REST_SAME_RESTAURANT_SALES_OWNED" hidden="1">"c9884"</definedName>
    <definedName name="IQ_REST_SOLD_AFFILIATED_OTHER_RESTAURANTS" hidden="1">"c9875"</definedName>
    <definedName name="IQ_REST_SOLD_FRANCHISE_RESTAURANTS" hidden="1">"c9869"</definedName>
    <definedName name="IQ_REST_SOLD_OWNED_RESTAURANTS" hidden="1">"c9863"</definedName>
    <definedName name="IQ_REST_SOLD_RESTAURANTS" hidden="1">"c9857"</definedName>
    <definedName name="IQ_REST_TOTAL_AFFILIATED_OTHER_RESTAURANTS" hidden="1">"c9876"</definedName>
    <definedName name="IQ_REST_TOTAL_FRANCHISE_RESTAURANTS" hidden="1">"c9870"</definedName>
    <definedName name="IQ_REST_TOTAL_OWNED_RESTAURANTS" hidden="1">"c9864"</definedName>
    <definedName name="IQ_REST_TOTAL_RESTAURANTS" hidden="1">"c9858"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FFIEC" hidden="1">"c12958"</definedName>
    <definedName name="IQ_RESTATEMENTS_NET_FDIC" hidden="1">"c6500"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ICTED_CASH_NON_CURRENT" hidden="1">"c6192"</definedName>
    <definedName name="IQ_RESTRICTED_CASH_TOTAL" hidden="1">"c6193"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" hidden="1">"c6264"</definedName>
    <definedName name="IQ_RESTRUCTURE_REIT" hidden="1">"c1110"</definedName>
    <definedName name="IQ_RESTRUCTURE_SUPPLE" hidden="1">"c13809"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CQUIRED_AFFILIATED_OTHER_STORES" hidden="1">"c9892"</definedName>
    <definedName name="IQ_RETAIL_ACQUIRED_FRANCHISE_STORES" hidden="1">"c2895"</definedName>
    <definedName name="IQ_RETAIL_ACQUIRED_OWNED_STORES" hidden="1">"c2903"</definedName>
    <definedName name="IQ_RETAIL_ACQUIRED_STORES" hidden="1">"c2887"</definedName>
    <definedName name="IQ_RETAIL_AFFILIATED_OTHER_STORES_BEG" hidden="1">"c9890"</definedName>
    <definedName name="IQ_RETAIL_AVG_SQ_METERS_GROSS" hidden="1">"c9908"</definedName>
    <definedName name="IQ_RETAIL_AVG_SQ_METERS_NET" hidden="1">"c9907"</definedName>
    <definedName name="IQ_RETAIL_AVG_STORE_SIZE_GROSS" hidden="1">"c2066"</definedName>
    <definedName name="IQ_RETAIL_AVG_STORE_SIZE_NET" hidden="1">"c2067"</definedName>
    <definedName name="IQ_RETAIL_AVG_VALUE_TRANSACTION" hidden="1">"c9915"</definedName>
    <definedName name="IQ_RETAIL_AVG_VALUE_TRANSACTION_GROWTH" hidden="1">"c9916"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AFFILIATED_OTHER_STORES" hidden="1">"c9893"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DEPOSITS_FDIC" hidden="1">"c6488"</definedName>
    <definedName name="IQ_RETAIL_FRANCHISE_STORES_BEG" hidden="1">"c2893"</definedName>
    <definedName name="IQ_RETAIL_GROSS_MARGIN" hidden="1">"c9899"</definedName>
    <definedName name="IQ_RETAIL_IS_RATIO" hidden="1">"c7002"</definedName>
    <definedName name="IQ_RETAIL_IS_RATIO_FC" hidden="1">"c7882"</definedName>
    <definedName name="IQ_RETAIL_IS_RATIO_POP" hidden="1">"c7222"</definedName>
    <definedName name="IQ_RETAIL_IS_RATIO_POP_FC" hidden="1">"c8102"</definedName>
    <definedName name="IQ_RETAIL_IS_RATIO_YOY" hidden="1">"c7442"</definedName>
    <definedName name="IQ_RETAIL_IS_RATIO_YOY_FC" hidden="1">"c8322"</definedName>
    <definedName name="IQ_RETAIL_MERCHANDISE_MARGIN" hidden="1">"c9901"</definedName>
    <definedName name="IQ_RETAIL_OPENED_AFFILIATED_OTHER_STORES" hidden="1">"c9891"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PERATING_MARGIN" hidden="1">"c9900"</definedName>
    <definedName name="IQ_RETAIL_OWNED_STORES_BEG" hidden="1">"c2901"</definedName>
    <definedName name="IQ_RETAIL_SALES" hidden="1">"c7003"</definedName>
    <definedName name="IQ_RETAIL_SALES_APR" hidden="1">"c7663"</definedName>
    <definedName name="IQ_RETAIL_SALES_APR_FC" hidden="1">"c8543"</definedName>
    <definedName name="IQ_RETAIL_SALES_CATALOG" hidden="1">"c9903"</definedName>
    <definedName name="IQ_RETAIL_SALES_FC" hidden="1">"c7883"</definedName>
    <definedName name="IQ_RETAIL_SALES_FOOD" hidden="1">"c7004"</definedName>
    <definedName name="IQ_RETAIL_SALES_FOOD_APR" hidden="1">"c7664"</definedName>
    <definedName name="IQ_RETAIL_SALES_FOOD_APR_FC" hidden="1">"c8544"</definedName>
    <definedName name="IQ_RETAIL_SALES_FOOD_EXCL_VEHICLE" hidden="1">"c7005"</definedName>
    <definedName name="IQ_RETAIL_SALES_FOOD_EXCL_VEHICLE_APR" hidden="1">"c7665"</definedName>
    <definedName name="IQ_RETAIL_SALES_FOOD_EXCL_VEHICLE_APR_FC" hidden="1">"c8545"</definedName>
    <definedName name="IQ_RETAIL_SALES_FOOD_EXCL_VEHICLE_FC" hidden="1">"c7885"</definedName>
    <definedName name="IQ_RETAIL_SALES_FOOD_EXCL_VEHICLE_POP" hidden="1">"c7225"</definedName>
    <definedName name="IQ_RETAIL_SALES_FOOD_EXCL_VEHICLE_POP_FC" hidden="1">"c8105"</definedName>
    <definedName name="IQ_RETAIL_SALES_FOOD_EXCL_VEHICLE_YOY" hidden="1">"c7445"</definedName>
    <definedName name="IQ_RETAIL_SALES_FOOD_EXCL_VEHICLE_YOY_FC" hidden="1">"c8325"</definedName>
    <definedName name="IQ_RETAIL_SALES_FOOD_FC" hidden="1">"c7884"</definedName>
    <definedName name="IQ_RETAIL_SALES_FOOD_POP" hidden="1">"c7224"</definedName>
    <definedName name="IQ_RETAIL_SALES_FOOD_POP_FC" hidden="1">"c8104"</definedName>
    <definedName name="IQ_RETAIL_SALES_FOOD_YOY" hidden="1">"c7444"</definedName>
    <definedName name="IQ_RETAIL_SALES_FOOD_YOY_FC" hidden="1">"c8324"</definedName>
    <definedName name="IQ_RETAIL_SALES_ONLINE" hidden="1">"c9904"</definedName>
    <definedName name="IQ_RETAIL_SALES_POP" hidden="1">"c7223"</definedName>
    <definedName name="IQ_RETAIL_SALES_POP_FC" hidden="1">"c8103"</definedName>
    <definedName name="IQ_RETAIL_SALES_RETAIL" hidden="1">"c9902"</definedName>
    <definedName name="IQ_RETAIL_SALES_SAAR" hidden="1">"c7009"</definedName>
    <definedName name="IQ_RETAIL_SALES_SAAR_APR" hidden="1">"c7669"</definedName>
    <definedName name="IQ_RETAIL_SALES_SAAR_APR_FC" hidden="1">"c8549"</definedName>
    <definedName name="IQ_RETAIL_SALES_SAAR_FC" hidden="1">"c7889"</definedName>
    <definedName name="IQ_RETAIL_SALES_SAAR_POP" hidden="1">"c7229"</definedName>
    <definedName name="IQ_RETAIL_SALES_SAAR_POP_FC" hidden="1">"c8109"</definedName>
    <definedName name="IQ_RETAIL_SALES_SAAR_YOY" hidden="1">"c7449"</definedName>
    <definedName name="IQ_RETAIL_SALES_SAAR_YOY_FC" hidden="1">"c8329"</definedName>
    <definedName name="IQ_RETAIL_SALES_SQ_METER_COMPARABLE_GROSS" hidden="1">"c9914"</definedName>
    <definedName name="IQ_RETAIL_SALES_SQ_METER_COMPARABLE_NET" hidden="1">"c9913"</definedName>
    <definedName name="IQ_RETAIL_SALES_SQ_METER_GROSS" hidden="1">"c9910"</definedName>
    <definedName name="IQ_RETAIL_SALES_SQ_METER_NET" hidden="1">"c9909"</definedName>
    <definedName name="IQ_RETAIL_SALES_SQ_METER_OWNED_GROSS" hidden="1">"c9912"</definedName>
    <definedName name="IQ_RETAIL_SALES_SQ_METER_OWNED_NET" hidden="1">"c9911"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ALES_VALUE_INDEX" hidden="1">"c7006"</definedName>
    <definedName name="IQ_RETAIL_SALES_VALUE_INDEX_APR" hidden="1">"c7666"</definedName>
    <definedName name="IQ_RETAIL_SALES_VALUE_INDEX_APR_FC" hidden="1">"c8546"</definedName>
    <definedName name="IQ_RETAIL_SALES_VALUE_INDEX_FC" hidden="1">"c7886"</definedName>
    <definedName name="IQ_RETAIL_SALES_VALUE_INDEX_POP" hidden="1">"c7226"</definedName>
    <definedName name="IQ_RETAIL_SALES_VALUE_INDEX_POP_FC" hidden="1">"c8106"</definedName>
    <definedName name="IQ_RETAIL_SALES_VALUE_INDEX_YOY" hidden="1">"c7446"</definedName>
    <definedName name="IQ_RETAIL_SALES_VALUE_INDEX_YOY_FC" hidden="1">"c8326"</definedName>
    <definedName name="IQ_RETAIL_SALES_VOL_INDEX" hidden="1">"c7007"</definedName>
    <definedName name="IQ_RETAIL_SALES_VOL_INDEX_APR" hidden="1">"c7667"</definedName>
    <definedName name="IQ_RETAIL_SALES_VOL_INDEX_APR_FC" hidden="1">"c8547"</definedName>
    <definedName name="IQ_RETAIL_SALES_VOL_INDEX_EXCL_MOTOR" hidden="1">"c7008"</definedName>
    <definedName name="IQ_RETAIL_SALES_VOL_INDEX_EXCL_MOTOR_APR" hidden="1">"c7668"</definedName>
    <definedName name="IQ_RETAIL_SALES_VOL_INDEX_EXCL_MOTOR_APR_FC" hidden="1">"c8548"</definedName>
    <definedName name="IQ_RETAIL_SALES_VOL_INDEX_EXCL_MOTOR_FC" hidden="1">"c7888"</definedName>
    <definedName name="IQ_RETAIL_SALES_VOL_INDEX_EXCL_MOTOR_POP" hidden="1">"c7228"</definedName>
    <definedName name="IQ_RETAIL_SALES_VOL_INDEX_EXCL_MOTOR_POP_FC" hidden="1">"c8108"</definedName>
    <definedName name="IQ_RETAIL_SALES_VOL_INDEX_EXCL_MOTOR_YOY" hidden="1">"c7448"</definedName>
    <definedName name="IQ_RETAIL_SALES_VOL_INDEX_EXCL_MOTOR_YOY_FC" hidden="1">"c8328"</definedName>
    <definedName name="IQ_RETAIL_SALES_VOL_INDEX_FC" hidden="1">"c7887"</definedName>
    <definedName name="IQ_RETAIL_SALES_VOL_INDEX_POP" hidden="1">"c7227"</definedName>
    <definedName name="IQ_RETAIL_SALES_VOL_INDEX_POP_FC" hidden="1">"c8107"</definedName>
    <definedName name="IQ_RETAIL_SALES_VOL_INDEX_YOY" hidden="1">"c7447"</definedName>
    <definedName name="IQ_RETAIL_SALES_VOL_INDEX_YOY_FC" hidden="1">"c8327"</definedName>
    <definedName name="IQ_RETAIL_SALES_YOY" hidden="1">"c7443"</definedName>
    <definedName name="IQ_RETAIL_SALES_YOY_FC" hidden="1">"c8323"</definedName>
    <definedName name="IQ_RETAIL_SAME_STORE_SALES" hidden="1">"c9898"</definedName>
    <definedName name="IQ_RETAIL_SAME_STORE_SALES_FRANCHISE" hidden="1">"c9896"</definedName>
    <definedName name="IQ_RETAIL_SAME_STORE_SALES_OWNED" hidden="1">"c9897"</definedName>
    <definedName name="IQ_RETAIL_SOLD_AFFILIATED_OTHER_STORES" hidden="1">"c9894"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AFFILIATED_OTHER_STORES" hidden="1">"c9895"</definedName>
    <definedName name="IQ_RETAIL_TOTAL_FRANCHISE_STORES" hidden="1">"c2898"</definedName>
    <definedName name="IQ_RETAIL_TOTAL_OWNED_STORES" hidden="1">"c2906"</definedName>
    <definedName name="IQ_RETAIL_TOTAL_SQ_METERS_GROSS" hidden="1">"c9906"</definedName>
    <definedName name="IQ_RETAIL_TOTAL_SQ_METERS_NET" hidden="1">"c9905"</definedName>
    <definedName name="IQ_RETAIL_TOTAL_STORES" hidden="1">"c2061"</definedName>
    <definedName name="IQ_RETAINED_EARN" hidden="1">"c1092"</definedName>
    <definedName name="IQ_RETAINED_EARNINGS_AVERAGE_EQUITY_FDIC" hidden="1">"c6733"</definedName>
    <definedName name="IQ_RETAINED_EARNINGS_EQUITY_FFIEC" hidden="1">"c13348"</definedName>
    <definedName name="IQ_RETAINED_EARNINGS_FFIEC" hidden="1">"c12878"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DIC" hidden="1">"c6730"</definedName>
    <definedName name="IQ_RETURN_ASSETS_FS" hidden="1">"c1116"</definedName>
    <definedName name="IQ_RETURN_CAPITAL" hidden="1">"c1117"</definedName>
    <definedName name="IQ_RETURN_COMMON_EQUITY" hidden="1">"c13838"</definedName>
    <definedName name="IQ_RETURN_EMBEDDED_VALUE" hidden="1">"c9974"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DIC" hidden="1">"c6732"</definedName>
    <definedName name="IQ_RETURN_EQUITY_FS" hidden="1">"c1121"</definedName>
    <definedName name="IQ_RETURN_INVESTMENT" hidden="1">"c1117"</definedName>
    <definedName name="IQ_REV" hidden="1">"c1122"</definedName>
    <definedName name="IQ_REV_AP" hidden="1">"c8873"</definedName>
    <definedName name="IQ_REV_AP_ABS" hidden="1">"c8892"</definedName>
    <definedName name="IQ_REV_BEFORE_LL" hidden="1">"c1123"</definedName>
    <definedName name="IQ_REV_BEFORE_LOAN_LOSS_FOREIGN_FFIEC" hidden="1">"c15381"</definedName>
    <definedName name="IQ_REV_NAME_AP" hidden="1">"c8911"</definedName>
    <definedName name="IQ_REV_NAME_AP_ABS" hidden="1">"c8930"</definedName>
    <definedName name="IQ_REV_STDDEV_EST" hidden="1">"c1124"</definedName>
    <definedName name="IQ_REV_STDDEV_EST_CIQ" hidden="1">"c3621"</definedName>
    <definedName name="IQ_REV_UTI" hidden="1">"c1125"</definedName>
    <definedName name="IQ_REVALUATION_GAINS_DERIVATIVE_DOM_FFIEC" hidden="1">"c12828"</definedName>
    <definedName name="IQ_REVALUATION_GAINS_DERIVATIVE_FOREIGN_FFIEC" hidden="1">"c12829"</definedName>
    <definedName name="IQ_REVALUATION_GAINS_FDIC" hidden="1">"c6428"</definedName>
    <definedName name="IQ_REVALUATION_LOSSES_FDIC" hidden="1">"c6429"</definedName>
    <definedName name="IQ_REVENUE" hidden="1">"c1122"</definedName>
    <definedName name="IQ_REVENUE_10K" hidden="1">"IQ_REVENUE_10K"</definedName>
    <definedName name="IQ_REVENUE_10Q" hidden="1">"IQ_REVENUE_10Q"</definedName>
    <definedName name="IQ_REVENUE_10Q1" hidden="1">"IQ_REVENUE_10Q1"</definedName>
    <definedName name="IQ_REVENUE_ACT_OR_EST" hidden="1">"c2214"</definedName>
    <definedName name="IQ_REVENUE_ACT_OR_EST_CIQ" hidden="1">"c5059"</definedName>
    <definedName name="IQ_REVENUE_BEFORE_LL_FFIEC" hidden="1">"c13018"</definedName>
    <definedName name="IQ_REVENUE_EST" hidden="1">"IQ_REVENUE_EST"</definedName>
    <definedName name="IQ_REVENUE_EST_1" hidden="1">"IQ_REVENUE_EST_1"</definedName>
    <definedName name="IQ_REVENUE_EST_BOTTOM_UP_CIQ" hidden="1">"c12025"</definedName>
    <definedName name="IQ_REVENUE_EST_CIQ" hidden="1">"c3616"</definedName>
    <definedName name="IQ_REVENUE_GROWTH_1" hidden="1">"IQ_REVENUE_GROWTH_1"</definedName>
    <definedName name="IQ_REVENUE_GROWTH_2" hidden="1">"IQ_REVENUE_GROWTH_2"</definedName>
    <definedName name="IQ_REVENUE_HIGH_EST" hidden="1">"c1127"</definedName>
    <definedName name="IQ_REVENUE_HIGH_EST_CIQ" hidden="1">"c3618"</definedName>
    <definedName name="IQ_REVENUE_LOW_EST" hidden="1">"c1128"</definedName>
    <definedName name="IQ_REVENUE_LOW_EST_CIQ" hidden="1">"c3619"</definedName>
    <definedName name="IQ_REVENUE_MEDIAN_EST" hidden="1">"c1662"</definedName>
    <definedName name="IQ_REVENUE_MEDIAN_EST_CIQ" hidden="1">"c3617"</definedName>
    <definedName name="IQ_REVENUE_NO_EST" hidden="1">"c263"</definedName>
    <definedName name="IQ_REVENUE_NUM_EST" hidden="1">"c1129"</definedName>
    <definedName name="IQ_REVENUE_NUM_EST_CIQ" hidden="1">"c3620"</definedName>
    <definedName name="IQ_REVISION_DATE_" hidden="1">39939.5130787037</definedName>
    <definedName name="IQ_REVOLV_OPEN_SECURED_1_4_LL_REC_DOM_FFIEC" hidden="1">"c12902"</definedName>
    <definedName name="IQ_REVOLVING_HOME_EQUITY_LINES_UNUSED_FFIEC" hidden="1">"c13241"</definedName>
    <definedName name="IQ_REVOLVING_LOANS_GROSS_LOANS_FFIEC" hidden="1">"c13398"</definedName>
    <definedName name="IQ_REVOLVING_LOANS_RISK_BASED_FFIEC" hidden="1">"c13419"</definedName>
    <definedName name="IQ_REVOLVING_LOANS_SEC_1_4_DOM_CHARGE_OFFS_FFIEC" hidden="1">"c13168"</definedName>
    <definedName name="IQ_REVOLVING_LOANS_SEC_1_4_DOM_RECOV_FFIEC" hidden="1">"c13190"</definedName>
    <definedName name="IQ_REVOLVING_OPEN_END_1_4_TRADING_DOM_FFIEC" hidden="1">"c12927"</definedName>
    <definedName name="IQ_REVOLVING_SECURED_1_4_DUE_30_89_FFIEC" hidden="1">"c13260"</definedName>
    <definedName name="IQ_REVOLVING_SECURED_1_4_DUE_90_FFIEC" hidden="1">"c13288"</definedName>
    <definedName name="IQ_REVOLVING_SECURED_1_4_NON_ACCRUAL_FFIEC" hidden="1">"c13314"</definedName>
    <definedName name="IQ_RISK_ADJ_BANK_ASSETS" hidden="1">"c2670"</definedName>
    <definedName name="IQ_RISK_WEIGHTED_ASSETS_FDIC" hidden="1">"c6370"</definedName>
    <definedName name="IQ_RSI" hidden="1">"c12704"</definedName>
    <definedName name="IQ_RSI_ADJ" hidden="1">"c12705"</definedName>
    <definedName name="IQ_SALARIED_WORKFORCE" hidden="1">"c7010"</definedName>
    <definedName name="IQ_SALARIED_WORKFORCE_APR" hidden="1">"c7670"</definedName>
    <definedName name="IQ_SALARIED_WORKFORCE_APR_FC" hidden="1">"c8550"</definedName>
    <definedName name="IQ_SALARIED_WORKFORCE_FC" hidden="1">"c7890"</definedName>
    <definedName name="IQ_SALARIED_WORKFORCE_POP" hidden="1">"c7230"</definedName>
    <definedName name="IQ_SALARIED_WORKFORCE_POP_FC" hidden="1">"c8110"</definedName>
    <definedName name="IQ_SALARIED_WORKFORCE_YOY" hidden="1">"c7450"</definedName>
    <definedName name="IQ_SALARIED_WORKFORCE_YOY_FC" hidden="1">"c8330"</definedName>
    <definedName name="IQ_SALARIES_EMPLOYEE_BENEFITS_FFIEC" hidden="1">"c13023"</definedName>
    <definedName name="IQ_SALARY" hidden="1">"c1130"</definedName>
    <definedName name="IQ_SALARY_FDIC" hidden="1">"c6576"</definedName>
    <definedName name="IQ_SALE_COMMON_GROSS_FFIEC" hidden="1">"c12963"</definedName>
    <definedName name="IQ_SALE_CONVERSION_ACQUISITION_NET_COMMON_FFIEC" hidden="1">"c15351"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" hidden="1">"c6284"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PREF_FFIEC" hidden="1">"c12961"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_TREASURY_FFIEC" hidden="1">"c12965"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AVINGS_DEPOSITS_NON_TRANS_ACCTS_FFIEC" hidden="1">"c15329"</definedName>
    <definedName name="IQ_SAVINGS_DEPOSITS_QUARTERLY_AVG_FFIEC" hidden="1">"c15485"</definedName>
    <definedName name="IQ_SAVINGS_RATE_DISP_INC_PCT" hidden="1">"c7011"</definedName>
    <definedName name="IQ_SAVINGS_RATE_DISP_INC_PCT_FC" hidden="1">"c7891"</definedName>
    <definedName name="IQ_SAVINGS_RATE_DISP_INC_PCT_POP" hidden="1">"c7231"</definedName>
    <definedName name="IQ_SAVINGS_RATE_DISP_INC_PCT_POP_FC" hidden="1">"c8111"</definedName>
    <definedName name="IQ_SAVINGS_RATE_DISP_INC_PCT_YOY" hidden="1">"c7451"</definedName>
    <definedName name="IQ_SAVINGS_RATE_DISP_INC_PCT_YOY_FC" hidden="1">"c8331"</definedName>
    <definedName name="IQ_SAVINGS_RATE_GDP_PCT" hidden="1">"c7012"</definedName>
    <definedName name="IQ_SAVINGS_RATE_GDP_PCT_FC" hidden="1">"c7892"</definedName>
    <definedName name="IQ_SAVINGS_RATE_GDP_PCT_POP" hidden="1">"c7232"</definedName>
    <definedName name="IQ_SAVINGS_RATE_GDP_PCT_POP_FC" hidden="1">"c8112"</definedName>
    <definedName name="IQ_SAVINGS_RATE_GDP_PCT_YOY" hidden="1">"c7452"</definedName>
    <definedName name="IQ_SAVINGS_RATE_GDP_PCT_YOY_FC" hidden="1">"c8332"</definedName>
    <definedName name="IQ_SAVINGS_RATE_PERSONAL_INC_PCT" hidden="1">"c7013"</definedName>
    <definedName name="IQ_SAVINGS_RATE_PERSONAL_INC_PCT_FC" hidden="1">"c7893"</definedName>
    <definedName name="IQ_SAVINGS_RATE_PERSONAL_INC_PCT_POP" hidden="1">"c7233"</definedName>
    <definedName name="IQ_SAVINGS_RATE_PERSONAL_INC_PCT_POP_FC" hidden="1">"c8113"</definedName>
    <definedName name="IQ_SAVINGS_RATE_PERSONAL_INC_PCT_YOY" hidden="1">"c7453"</definedName>
    <definedName name="IQ_SAVINGS_RATE_PERSONAL_INC_PCT_YOY_FC" hidden="1">"c8333"</definedName>
    <definedName name="IQ_SBC_EXPENSE_FFIEC" hidden="1">"c13077"</definedName>
    <definedName name="IQ_SEC_1_4_CONSTRUCTION_DOM_CHARGE_OFFS_FFIEC" hidden="1">"c13165"</definedName>
    <definedName name="IQ_SEC_1_4_CONSTRUCTION_DOM_RECOV_FFIEC" hidden="1">"c13187"</definedName>
    <definedName name="IQ_SEC_BORROWED_OFF_BS_FFIEC" hidden="1">"c13127"</definedName>
    <definedName name="IQ_SEC_FARMLAND_DOM_CHARGE_OFFS_FFIEC" hidden="1">"c13167"</definedName>
    <definedName name="IQ_SEC_FARMLAND_DOM_RECOV_FFIEC" hidden="1">"c13189"</definedName>
    <definedName name="IQ_SEC_FUNDS_PURCHASED_ASSETS_TOT_FFIEC" hidden="1">"c13447"</definedName>
    <definedName name="IQ_SEC_ISSUED_US_AVAIL_SALE_FFIEC" hidden="1">"c12795"</definedName>
    <definedName name="IQ_SEC_ISSUED_US_TRADING_DOM_FFIEC" hidden="1">"c12920"</definedName>
    <definedName name="IQ_SEC_ISSUED_US_TRADING_FFIEC" hidden="1">"c12815"</definedName>
    <definedName name="IQ_SEC_MULTIFAM_DOM_CHARGE_OFFS_FFIEC" hidden="1">"c13171"</definedName>
    <definedName name="IQ_SEC_MULTIFAM_DOM_DUE_30_89_FFIEC" hidden="1">"c13263"</definedName>
    <definedName name="IQ_SEC_MULTIFAM_DOM_DUE_90_FFIEC" hidden="1">"c13291"</definedName>
    <definedName name="IQ_SEC_MULTIFAM_DOM_NON_ACCRUAL_FFIEC" hidden="1">"c13317"</definedName>
    <definedName name="IQ_SEC_MULTIFAM_DOM_RECOV_FFIEC" hidden="1">"c13193"</definedName>
    <definedName name="IQ_SEC_NONFARM_NONRES_CHARGE_OFFS_FFIEC" hidden="1">"c13629"</definedName>
    <definedName name="IQ_SEC_NONFARM_NONRES_DOM_OFFICES_DUE_30_89_FFIEC" hidden="1">"c13264"</definedName>
    <definedName name="IQ_SEC_NONFARM_NONRES_DOM_OFFICES_DUE_90_FFIEC" hidden="1">"c13292"</definedName>
    <definedName name="IQ_SEC_NONFARM_NONRES_DOM_OFFICES_NON_ACCRUAL_FFIEC" hidden="1">"c13318"</definedName>
    <definedName name="IQ_SEC_NONFARM_NONRES_RECOV_FFIEC" hidden="1">"c13633"</definedName>
    <definedName name="IQ_SEC_OTHER_CONSTRUCTION_DOM_CHARGE_OFFS_FFIEC" hidden="1">"c13166"</definedName>
    <definedName name="IQ_SEC_OTHER_CONSTRUCTION_DOM_RECOV_FFIEC" hidden="1">"c13188"</definedName>
    <definedName name="IQ_SEC_OTHER_NONFARM_NONRES_CHARGE_OFFS_FFIEC" hidden="1">"c13173"</definedName>
    <definedName name="IQ_SEC_OTHER_NONFARM_NONRES_DUE_30_89_FFIEC" hidden="1">"c13266"</definedName>
    <definedName name="IQ_SEC_OTHER_NONFARM_NONRES_DUE_90_FFIEC" hidden="1">"c13637"</definedName>
    <definedName name="IQ_SEC_OTHER_NONFARM_NONRES_NON_ACCRUAL_FFIEC" hidden="1">"c15462"</definedName>
    <definedName name="IQ_SEC_OTHER_NONFARM_NONRES_RECOV_FFIEC" hidden="1">"c13195"</definedName>
    <definedName name="IQ_SEC_OWNER_NONFARM_NONRES_CHARGE_OFFS_FFIEC" hidden="1">"c13172"</definedName>
    <definedName name="IQ_SEC_OWNER_NONFARM_NONRES_DUE_30_89_FFIEC" hidden="1">"c13265"</definedName>
    <definedName name="IQ_SEC_OWNER_NONFARM_NONRES_DUE_90_FFIEC" hidden="1">"c13636"</definedName>
    <definedName name="IQ_SEC_OWNER_NONFARM_NONRES_NON_ACCRUAL_FFIEC" hidden="1">"c15461"</definedName>
    <definedName name="IQ_SEC_OWNER_NONFARM_NONRES_RECOV_FFIEC" hidden="1">"c13194"</definedName>
    <definedName name="IQ_SEC_PURCHASED_RESELL" hidden="1">"c5513"</definedName>
    <definedName name="IQ_SEC_PURCHASED_RESELL_FFIEC" hidden="1">"c12807"</definedName>
    <definedName name="IQ_SEC_RE_FOREIGN_DUE_30_89_FFIEC" hidden="1">"c13267"</definedName>
    <definedName name="IQ_SEC_RE_FOREIGN_DUE_90_FFIEC" hidden="1">"c13293"</definedName>
    <definedName name="IQ_SEC_RE_FOREIGN_NON_ACCRUAL_FFIEC" hidden="1">"c13319"</definedName>
    <definedName name="IQ_SEC_SOLD_REPURCHASE_FFIEC" hidden="1">"c12857"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DEBT" hidden="1">"c2546"</definedName>
    <definedName name="IQ_SECURED_DEBT_PCT" hidden="1">"c2547"</definedName>
    <definedName name="IQ_SECURED_FARMLAND_CHARGE_OFFS_FDIC" hidden="1">"c6593"</definedName>
    <definedName name="IQ_SECURED_FARMLAND_DOM_DUE_30_89_FFIEC" hidden="1">"c13259"</definedName>
    <definedName name="IQ_SECURED_FARMLAND_DOM_DUE_90_FFIEC" hidden="1">"c13287"</definedName>
    <definedName name="IQ_SECURED_FARMLAND_DOM_NON_ACCRUAL_FFIEC" hidden="1">"c13313"</definedName>
    <definedName name="IQ_SECURED_FARMLAND_LL_REC_DOM_FFIEC" hidden="1">"c12901"</definedName>
    <definedName name="IQ_SECURED_FARMLAND_NET_CHARGE_OFFS_FDIC" hidden="1">"c6631"</definedName>
    <definedName name="IQ_SECURED_FARMLAND_RECOVERIES_FDIC" hidden="1">"c6612"</definedName>
    <definedName name="IQ_SECURED_MULTI_RES_LL_REC_DOM_FFIEC" hidden="1">"c12905"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HELD_MATURITY_FFIEC" hidden="1">"c12777"</definedName>
    <definedName name="IQ_SECURITIES_ISSUED_STATES_FDIC" hidden="1">"c6300"</definedName>
    <definedName name="IQ_SECURITIES_ISSUED_US_FFIEC" hidden="1">"c12781"</definedName>
    <definedName name="IQ_SECURITIES_LENT_FDIC" hidden="1">"c6532"</definedName>
    <definedName name="IQ_SECURITIES_LENT_FFIEC" hidden="1">"c13255"</definedName>
    <definedName name="IQ_SECURITIES_QUARTERLY_AVG_FFIEC" hidden="1">"c13079"</definedName>
    <definedName name="IQ_SECURITIES_STATE_POLI_SUBD_QUARTERLY_AVG_FFIEC" hidden="1">"c15470"</definedName>
    <definedName name="IQ_SECURITIES_UNDERWRITING_FDIC" hidden="1">"c6529"</definedName>
    <definedName name="IQ_SECURITIES_UNDERWRITING_UNUSED_FFIEC" hidden="1">"c13247"</definedName>
    <definedName name="IQ_SECURITIZATION_INC_OPERATING_INC_FFIEC" hidden="1">"c13390"</definedName>
    <definedName name="IQ_SECURITIZATION_INCOME_FFIEC" hidden="1">"c13012"</definedName>
    <definedName name="IQ_SECURITY_ACTIVE_STATUS" hidden="1">"c15160"</definedName>
    <definedName name="IQ_SECURITY_BORROW" hidden="1">"c1152"</definedName>
    <definedName name="IQ_SECURITY_LEVEL" hidden="1">"c2159"</definedName>
    <definedName name="IQ_SECURITY_NAME" hidden="1">"c15159"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DOL" hidden="1">"c12042"</definedName>
    <definedName name="IQ_SELECTED_FOREIGN_ASSETS_FFIEC" hidden="1">"c13485"</definedName>
    <definedName name="IQ_SEMI_BACKLOG" hidden="1">"c10005"</definedName>
    <definedName name="IQ_SEMI_BACKLOG_AVG_PRICE" hidden="1">"c10006"</definedName>
    <definedName name="IQ_SEMI_BACKLOG_VALUE" hidden="1">"c10007"</definedName>
    <definedName name="IQ_SEMI_BOOK_TO_BILL_RATIO" hidden="1">"c10008"</definedName>
    <definedName name="IQ_SEMI_ORDER_AVG_PRICE" hidden="1">"c10002"</definedName>
    <definedName name="IQ_SEMI_ORDER_VALUE" hidden="1">"c10003"</definedName>
    <definedName name="IQ_SEMI_ORDER_VALUE_CHANGE" hidden="1">"c10004"</definedName>
    <definedName name="IQ_SEMI_ORDERS" hidden="1">"c10001"</definedName>
    <definedName name="IQ_SEMI_WARRANTY_RES_ACQ" hidden="1">"c10011"</definedName>
    <definedName name="IQ_SEMI_WARRANTY_RES_BEG" hidden="1">"c10009"</definedName>
    <definedName name="IQ_SEMI_WARRANTY_RES_END" hidden="1">"c10014"</definedName>
    <definedName name="IQ_SEMI_WARRANTY_RES_ISS" hidden="1">"c10010"</definedName>
    <definedName name="IQ_SEMI_WARRANTY_RES_OTHER" hidden="1">"c10013"</definedName>
    <definedName name="IQ_SEMI_WARRANTY_RES_PAY" hidden="1">"c10012"</definedName>
    <definedName name="IQ_SEP_ACCOUNT_ASSETS_LH_FFIEC" hidden="1">"c13105"</definedName>
    <definedName name="IQ_SEPARATE_ACCOUNT_LIAB_LH_FFIEC" hidden="1">"c13108"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DEPOSIT_ACCOUNTS_DOM_FFIEC" hidden="1">"c13003"</definedName>
    <definedName name="IQ_SERVICE_CHARGES_FDIC" hidden="1">"c6572"</definedName>
    <definedName name="IQ_SERVICE_CHARGES_OPERATING_INC_FFIEC" hidden="1">"c13384"</definedName>
    <definedName name="IQ_SERVICE_FEE" hidden="1">"c8951"</definedName>
    <definedName name="IQ_SERVICING_FEES_FFIEC" hidden="1">"c13011"</definedName>
    <definedName name="IQ_SERVICING_FEES_OPERATING_INC_FFIEC" hidden="1">"c13389"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" hidden="1">"c6265"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"c83"</definedName>
    <definedName name="IQ_SHARES_PER_DR" hidden="1">"c204"</definedName>
    <definedName name="IQ_SHARES_PURCHASED_AVERAGE_PRICE" hidden="1">"c5821"</definedName>
    <definedName name="IQ_SHARES_PURCHASED_QUARTER" hidden="1">"c5820"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INTEREST_VOLUME" hidden="1">"c228"</definedName>
    <definedName name="IQ_SHORT_POSITIONS_FFIEC" hidden="1">"c12859"</definedName>
    <definedName name="IQ_SHORT_TERM_INVEST" hidden="1">"c1197"</definedName>
    <definedName name="IQ_SMALL_INT_BEAR_CD" hidden="1">"c1166"</definedName>
    <definedName name="IQ_SOC_SEC_RECEIPTS_SAAR_USD_APR_FC" hidden="1">"c12005"</definedName>
    <definedName name="IQ_SOC_SEC_RECEIPTS_SAAR_USD_FC" hidden="1">"c12002"</definedName>
    <definedName name="IQ_SOC_SEC_RECEIPTS_SAAR_USD_POP_FC" hidden="1">"c12003"</definedName>
    <definedName name="IQ_SOC_SEC_RECEIPTS_SAAR_USD_YOY_FC" hidden="1">"c12004"</definedName>
    <definedName name="IQ_SOC_SEC_RECEIPTS_USD_APR_FC" hidden="1">"c12001"</definedName>
    <definedName name="IQ_SOC_SEC_RECEIPTS_USD_FC" hidden="1">"c11998"</definedName>
    <definedName name="IQ_SOC_SEC_RECEIPTS_USD_POP_FC" hidden="1">"c11999"</definedName>
    <definedName name="IQ_SOC_SEC_RECEIPTS_USD_YOY_FC" hidden="1">"c12000"</definedName>
    <definedName name="IQ_SOCIAL_SEC_RECEIPTS" hidden="1">"c7015"</definedName>
    <definedName name="IQ_SOCIAL_SEC_RECEIPTS_APR" hidden="1">"c7675"</definedName>
    <definedName name="IQ_SOCIAL_SEC_RECEIPTS_APR_FC" hidden="1">"c8555"</definedName>
    <definedName name="IQ_SOCIAL_SEC_RECEIPTS_FC" hidden="1">"c7895"</definedName>
    <definedName name="IQ_SOCIAL_SEC_RECEIPTS_POP" hidden="1">"c7235"</definedName>
    <definedName name="IQ_SOCIAL_SEC_RECEIPTS_POP_FC" hidden="1">"c8115"</definedName>
    <definedName name="IQ_SOCIAL_SEC_RECEIPTS_SAAR" hidden="1">"c7016"</definedName>
    <definedName name="IQ_SOCIAL_SEC_RECEIPTS_SAAR_APR" hidden="1">"c7676"</definedName>
    <definedName name="IQ_SOCIAL_SEC_RECEIPTS_SAAR_APR_FC" hidden="1">"c8556"</definedName>
    <definedName name="IQ_SOCIAL_SEC_RECEIPTS_SAAR_FC" hidden="1">"c7896"</definedName>
    <definedName name="IQ_SOCIAL_SEC_RECEIPTS_SAAR_POP" hidden="1">"c7236"</definedName>
    <definedName name="IQ_SOCIAL_SEC_RECEIPTS_SAAR_POP_FC" hidden="1">"c8116"</definedName>
    <definedName name="IQ_SOCIAL_SEC_RECEIPTS_SAAR_YOY" hidden="1">"c7456"</definedName>
    <definedName name="IQ_SOCIAL_SEC_RECEIPTS_SAAR_YOY_FC" hidden="1">"c8336"</definedName>
    <definedName name="IQ_SOCIAL_SEC_RECEIPTS_YOY" hidden="1">"c7455"</definedName>
    <definedName name="IQ_SOCIAL_SEC_RECEIPTS_YOY_FC" hidden="1">"c8335"</definedName>
    <definedName name="IQ_SOFTWARE" hidden="1">"c1167"</definedName>
    <definedName name="IQ_SOURCE" hidden="1">"c1168"</definedName>
    <definedName name="IQ_SP" hidden="1">"c2171"</definedName>
    <definedName name="IQ_SP_BANK" hidden="1">"c2637"</definedName>
    <definedName name="IQ_SP_BANK_ACTION" hidden="1">"c2636"</definedName>
    <definedName name="IQ_SP_BANK_DATE" hidden="1">"c2635"</definedName>
    <definedName name="IQ_SP_DATE" hidden="1">"c2172"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NSR_ACTION_LT" hidden="1">"c13616"</definedName>
    <definedName name="IQ_SP_ISSUE_NSR_ACTION_ST" hidden="1">"c13622"</definedName>
    <definedName name="IQ_SP_ISSUE_NSR_DATE_LT" hidden="1">"c13615"</definedName>
    <definedName name="IQ_SP_ISSUE_NSR_DATE_ST" hidden="1">"c13621"</definedName>
    <definedName name="IQ_SP_ISSUE_NSR_LT" hidden="1">"c13614"</definedName>
    <definedName name="IQ_SP_ISSUE_NSR_ST" hidden="1">"c13620"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NSR_ACTION_LT" hidden="1">"c13613"</definedName>
    <definedName name="IQ_SP_NSR_ACTION_ST" hidden="1">"c13619"</definedName>
    <definedName name="IQ_SP_NSR_DATE_LT" hidden="1">"c13612"</definedName>
    <definedName name="IQ_SP_NSR_DATE_ST" hidden="1">"c13618"</definedName>
    <definedName name="IQ_SP_NSR_LT" hidden="1">"c13611"</definedName>
    <definedName name="IQ_SP_NSR_ST" hidden="1">"c13617"</definedName>
    <definedName name="IQ_SP_OUTLOOK_WATCH" hidden="1">"c2639"</definedName>
    <definedName name="IQ_SP_OUTLOOK_WATCH_DATE" hidden="1">"c2638"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" hidden="1">"c6266"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PECIFIC_ALLOWANCE" hidden="1">"c15247"</definedName>
    <definedName name="IQ_SQ_FT_LEASED_GROSS_CONSOL" hidden="1">"c8820"</definedName>
    <definedName name="IQ_SQ_FT_LEASED_GROSS_MANAGED" hidden="1">"c8822"</definedName>
    <definedName name="IQ_SQ_FT_LEASED_GROSS_OTHER" hidden="1">"c8823"</definedName>
    <definedName name="IQ_SQ_FT_LEASED_GROSS_TOTAL" hidden="1">"c8824"</definedName>
    <definedName name="IQ_SQ_FT_LEASED_GROSS_UNCONSOL" hidden="1">"c8821"</definedName>
    <definedName name="IQ_SQ_FT_LEASED_NET_CONSOL" hidden="1">"c8825"</definedName>
    <definedName name="IQ_SQ_FT_LEASED_NET_MANAGED" hidden="1">"c8827"</definedName>
    <definedName name="IQ_SQ_FT_LEASED_NET_OTHER" hidden="1">"c8828"</definedName>
    <definedName name="IQ_SQ_FT_LEASED_NET_TOTAL" hidden="1">"c8829"</definedName>
    <definedName name="IQ_SQ_FT_LEASED_NET_UNCONSOL" hidden="1">"c8826"</definedName>
    <definedName name="IQ_SQ_METER_LEASED_GROSS_CONSOL" hidden="1">"c8830"</definedName>
    <definedName name="IQ_SQ_METER_LEASED_GROSS_MANAGED" hidden="1">"c8832"</definedName>
    <definedName name="IQ_SQ_METER_LEASED_GROSS_OTHER" hidden="1">"c8833"</definedName>
    <definedName name="IQ_SQ_METER_LEASED_GROSS_TOTAL" hidden="1">"c8834"</definedName>
    <definedName name="IQ_SQ_METER_LEASED_GROSS_UNCONSOL" hidden="1">"c8831"</definedName>
    <definedName name="IQ_SQ_METER_LEASED_NET_CONSOL" hidden="1">"c8835"</definedName>
    <definedName name="IQ_SQ_METER_LEASED_NET_MANAGED" hidden="1">"c8837"</definedName>
    <definedName name="IQ_SQ_METER_LEASED_NET_OTHER" hidden="1">"c8838"</definedName>
    <definedName name="IQ_SQ_METER_LEASED_NET_TOTAL" hidden="1">"c8839"</definedName>
    <definedName name="IQ_SQ_METER_LEASED_NET_UNCONSOL" hidden="1">"c8836"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" hidden="1">"c6267"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" hidden="1">"c6268"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" hidden="1">"c6269"</definedName>
    <definedName name="IQ_ST_DEBT_REPAID_REIT" hidden="1">"c1194"</definedName>
    <definedName name="IQ_ST_DEBT_REPAID_UTI" hidden="1">"c1195"</definedName>
    <definedName name="IQ_ST_DEBT_UTI" hidden="1">"c1196"</definedName>
    <definedName name="IQ_ST_FHLB_DEBT" hidden="1">"c5658"</definedName>
    <definedName name="IQ_ST_INVEST" hidden="1">"c1197"</definedName>
    <definedName name="IQ_ST_INVEST_ASSETS_TOT_FFIEC" hidden="1">"c13438"</definedName>
    <definedName name="IQ_ST_INVEST_ST_NONCORE_FUNDING_FFIEC" hidden="1">"c13338"</definedName>
    <definedName name="IQ_ST_INVEST_UTI" hidden="1">"c1198"</definedName>
    <definedName name="IQ_ST_NOTE_RECEIV" hidden="1">"c1199"</definedName>
    <definedName name="IQ_STANDBY_LOC_FHLB_BANK_BEHALF_OFF_BS_FFIEC" hidden="1">"c15412"</definedName>
    <definedName name="IQ_STATE" hidden="1">"c1200"</definedName>
    <definedName name="IQ_STATE_LOCAL_SPENDING_SAAR" hidden="1">"c7017"</definedName>
    <definedName name="IQ_STATE_LOCAL_SPENDING_SAAR_APR" hidden="1">"c7677"</definedName>
    <definedName name="IQ_STATE_LOCAL_SPENDING_SAAR_APR_FC" hidden="1">"c8557"</definedName>
    <definedName name="IQ_STATE_LOCAL_SPENDING_SAAR_FC" hidden="1">"c7897"</definedName>
    <definedName name="IQ_STATE_LOCAL_SPENDING_SAAR_POP" hidden="1">"c7237"</definedName>
    <definedName name="IQ_STATE_LOCAL_SPENDING_SAAR_POP_FC" hidden="1">"c8117"</definedName>
    <definedName name="IQ_STATE_LOCAL_SPENDING_SAAR_YOY" hidden="1">"c7457"</definedName>
    <definedName name="IQ_STATE_LOCAL_SPENDING_SAAR_YOY_FC" hidden="1">"c8337"</definedName>
    <definedName name="IQ_STATES_NONTRANSACTION_ACCOUNTS_FDIC" hidden="1">"c6547"</definedName>
    <definedName name="IQ_STATES_POLI_SUBD_US_NON_TRANS_ACCTS_FFIEC" hidden="1">"c15324"</definedName>
    <definedName name="IQ_STATES_POLI_SUBD_US_TRANS_ACCTS_FFIEC" hidden="1">"c15316"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EXPLORE_DRILL" hidden="1">"c13851"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ATEGY_NOTE" hidden="1">"c6791"</definedName>
    <definedName name="IQ_STRIKE_PRICE_ISSUED" hidden="1">"c1645"</definedName>
    <definedName name="IQ_STRIKE_PRICE_OS" hidden="1">"c1646"</definedName>
    <definedName name="IQ_STRIPS_RECEIVABLE_MORTGAGE_LOANS_FFIEC" hidden="1">"c12844"</definedName>
    <definedName name="IQ_STRIPS_RECEIVABLE_OTHER_FFIEC" hidden="1">"c12845"</definedName>
    <definedName name="IQ_STRUCT_FIN_CLASS" hidden="1">"c8950"</definedName>
    <definedName name="IQ_STRUCT_FIN_SERIES" hidden="1">"c8956"</definedName>
    <definedName name="IQ_STRUCTURED_NOTES_INVEST_SECURITIES_FFIEC" hidden="1">"c13468"</definedName>
    <definedName name="IQ_STRUCTURING_NOTES_TIER_1_FFIEC" hidden="1">"c13344"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FDIC" hidden="1">"c6346"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B_NOTES_DEBENTURES_FAIR_VALUE_TOT_FFIEC" hidden="1">"c15410"</definedName>
    <definedName name="IQ_SUB_NOTES_DEBENTURES_FFIEC" hidden="1">"c12867"</definedName>
    <definedName name="IQ_SUB_NOTES_DEBENTURES_LEVEL_1_FFIEC" hidden="1">"c15432"</definedName>
    <definedName name="IQ_SUB_NOTES_DEBENTURES_LEVEL_2_FFIEC" hidden="1">"c15445"</definedName>
    <definedName name="IQ_SUB_NOTES_DEBENTURES_LEVEL_3_FFIEC" hidden="1">"c15458"</definedName>
    <definedName name="IQ_SUB_NOTES_PAYABLE_UNCONSOLIDATED_TRUSTS_FFIEC" hidden="1">"c12868"</definedName>
    <definedName name="IQ_SUPPLIES_FFIEC" hidden="1">"c13050"</definedName>
    <definedName name="IQ_SURPLUS_FDIC" hidden="1">"c6351"</definedName>
    <definedName name="IQ_SURPLUS_FFIEC" hidden="1">"c12877"</definedName>
    <definedName name="IQ_SVA" hidden="1">"c1214"</definedName>
    <definedName name="IQ_SYNTHETIC_STRUCTURED_PRODUCTS_AVAIL_SALE_FFIEC" hidden="1">"c15264"</definedName>
    <definedName name="IQ_SYNTHETIC_STRUCTURED_PRODUCTS_FFIEC" hidden="1">"c15261"</definedName>
    <definedName name="IQ_TANGIBLE_ASSETS_FFIEC" hidden="1">"c13916"</definedName>
    <definedName name="IQ_TANGIBLE_COMMON_EQUITY_FFIEC" hidden="1">"c13914"</definedName>
    <definedName name="IQ_TANGIBLE_EQUITY_ASSETS_FFIEC" hidden="1">"c13346"</definedName>
    <definedName name="IQ_TANGIBLE_EQUITY_FFIEC" hidden="1">"c13915"</definedName>
    <definedName name="IQ_TANGIBLE_TIER_1_LEVERAGE_FFIEC" hidden="1">"c13345"</definedName>
    <definedName name="IQ_TARGET_PRICE_LASTCLOSE" hidden="1">"c1855"</definedName>
    <definedName name="IQ_TARGET_PRICE_NUM" hidden="1">"c1653"</definedName>
    <definedName name="IQ_TARGET_PRICE_NUM_CIQ" hidden="1">"c4661"</definedName>
    <definedName name="IQ_TARGET_PRICE_STDDEV" hidden="1">"c1654"</definedName>
    <definedName name="IQ_TARGET_PRICE_STDDEV_CIQ" hidden="1">"c4662"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AX_EQUIVALENT_ADJUSTMENTS_FFIEC" hidden="1">"c13854"</definedName>
    <definedName name="IQ_TAX_OTHER_EXP_AP" hidden="1">"c8878"</definedName>
    <definedName name="IQ_TAX_OTHER_EXP_AP_ABS" hidden="1">"c8897"</definedName>
    <definedName name="IQ_TAX_OTHER_EXP_NAME_AP" hidden="1">"c8916"</definedName>
    <definedName name="IQ_TAX_OTHER_EXP_NAME_AP_ABS" hidden="1">"c8935"</definedName>
    <definedName name="IQ_TAXES_ADJ_NOI_FFIEC" hidden="1">"c13395"</definedName>
    <definedName name="IQ_TAXES_NOI_FFIEC" hidden="1">"c13394"</definedName>
    <definedName name="IQ_TAXES_TE_AVG_ASSETS_FFIEC" hidden="1">"c13366"</definedName>
    <definedName name="IQ_TBV" hidden="1">"c1906"</definedName>
    <definedName name="IQ_TBV_10YR_ANN_CAGR" hidden="1">"c6169"</definedName>
    <definedName name="IQ_TBV_10YR_ANN_GROWTH" hidden="1">"c1936"</definedName>
    <definedName name="IQ_TBV_1YR_ANN_GROWTH" hidden="1">"c1931"</definedName>
    <definedName name="IQ_TBV_2YR_ANN_CAGR" hidden="1">"c6165"</definedName>
    <definedName name="IQ_TBV_2YR_ANN_GROWTH" hidden="1">"c1932"</definedName>
    <definedName name="IQ_TBV_3YR_ANN_CAGR" hidden="1">"c6166"</definedName>
    <definedName name="IQ_TBV_3YR_ANN_GROWTH" hidden="1">"c1933"</definedName>
    <definedName name="IQ_TBV_5YR_ANN_CAGR" hidden="1">"c6167"</definedName>
    <definedName name="IQ_TBV_5YR_ANN_GROWTH" hidden="1">"c1934"</definedName>
    <definedName name="IQ_TBV_7YR_ANN_CAGR" hidden="1">"c6168"</definedName>
    <definedName name="IQ_TBV_7YR_ANN_GROWTH" hidden="1">"c1935"</definedName>
    <definedName name="IQ_TBV_EXCL_FFIEC" hidden="1">"c13516"</definedName>
    <definedName name="IQ_TBV_SHARE" hidden="1">"c1217"</definedName>
    <definedName name="IQ_TELECOM_FFIEC" hidden="1">"c13057"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_FWD" hidden="1">"c2238"</definedName>
    <definedName name="IQ_TEV_EBITDA" hidden="1">"c1222"</definedName>
    <definedName name="IQ_TEV_EBITDA_AVG" hidden="1">"c1223"</definedName>
    <definedName name="IQ_TEV_EBITDA_FWD" hidden="1">"c1224"</definedName>
    <definedName name="IQ_TEV_EBITDA_FWD_CIQ" hidden="1">"c4043"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CIQ" hidden="1">"c4044"</definedName>
    <definedName name="IQ_TEV_UFCF" hidden="1">"c2208"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CAPITAL_BEFORE_CHARGES_T1_FFIEC" hidden="1">"c13139"</definedName>
    <definedName name="IQ_TIER_1_CAPITAL_FFIEC" hidden="1">"c13143"</definedName>
    <definedName name="IQ_TIER_1_LEVERAGE_RATIO_FFIEC" hidden="1">"c13160"</definedName>
    <definedName name="IQ_TIER_1_RISK_BASED_CAPITAL_RATIO_FDIC" hidden="1">"c6746"</definedName>
    <definedName name="IQ_TIER_1_RISK_BASED_CAPITAL_RATIO_FFIEC" hidden="1">"c13161"</definedName>
    <definedName name="IQ_TIER_2_CAPITAL_FFIEC" hidden="1">"c13149"</definedName>
    <definedName name="IQ_TIER_3_CAPITAL_ALLOCATED_MARKET_RISK_FFIEC" hidden="1">"c13151"</definedName>
    <definedName name="IQ_TIER_ONE_CAPITAL" hidden="1">"c2667"</definedName>
    <definedName name="IQ_TIER_ONE_FDIC" hidden="1">"c6369"</definedName>
    <definedName name="IQ_TIER_ONE_RATIO" hidden="1">"c1229"</definedName>
    <definedName name="IQ_TIER_TWO_CAPITAL" hidden="1">"c2669"</definedName>
    <definedName name="IQ_TIER_TWO_CAPITAL_RATIO" hidden="1">"c15241"</definedName>
    <definedName name="IQ_TIME_DEP" hidden="1">"c1230"</definedName>
    <definedName name="IQ_TIME_DEPOSIT_LESS_100000_QUARTERLY_AVG_FFIEC" hidden="1">"c15487"</definedName>
    <definedName name="IQ_TIME_DEPOSIT_MORE_100000_QUARTERLY_AVG_FFIEC" hidden="1">"c15486"</definedName>
    <definedName name="IQ_TIME_DEPOSITS_LESS_100K_OTHER_INSTITUTIONS_FFIEC" hidden="1">"c12953"</definedName>
    <definedName name="IQ_TIME_DEPOSITS_LESS_100K_TOT_DEPOSITS_FFIEC" hidden="1">"c13907"</definedName>
    <definedName name="IQ_TIME_DEPOSITS_LESS_THAN_100K_FDIC" hidden="1">"c6465"</definedName>
    <definedName name="IQ_TIME_DEPOSITS_MORE_100K_OTHER_INSTITUTIONS_FFIEC" hidden="1">"c12954"</definedName>
    <definedName name="IQ_TIME_DEPOSITS_MORE_100K_TOT_DEPOSITS_FFIEC" hidden="1">"c13906"</definedName>
    <definedName name="IQ_TIME_DEPOSITS_MORE_THAN_100K_FDIC" hidden="1">"c6470"</definedName>
    <definedName name="IQ_TODAY" hidden="1">0</definedName>
    <definedName name="IQ_TOT_1_4_FAM_LOANS_TOT_LOANS_FFIEC" hidden="1">"c13868"</definedName>
    <definedName name="IQ_TOT_ADJ_INC" hidden="1">"c1616"</definedName>
    <definedName name="IQ_TOT_LEASES_TOT_LOANS_FFIEC" hidden="1">"c13876"</definedName>
    <definedName name="IQ_TOT_NON_RE_LOANS_TOT_LOANS_FFIEC" hidden="1">"c13877"</definedName>
    <definedName name="IQ_TOT_NONTRANS_ACCTS_TOT_DEPOSITS_FFIEC" hidden="1">"c13909"</definedName>
    <definedName name="IQ_TOT_RE_LOANS_TOT_LOANS_FFIEC" hidden="1">"c13873"</definedName>
    <definedName name="IQ_TOT_TIME_DEPOSITS_TOT_DEPOSITS_FFIEC" hidden="1">"c13908"</definedName>
    <definedName name="IQ_TOTAL_AR_BR" hidden="1">"c1231"</definedName>
    <definedName name="IQ_TOTAL_AR_RE" hidden="1">"c6270"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CAGR" hidden="1">"c6140"</definedName>
    <definedName name="IQ_TOTAL_ASSETS_10YR_ANN_GROWTH" hidden="1">"c1235"</definedName>
    <definedName name="IQ_TOTAL_ASSETS_1YR_ANN_GROWTH" hidden="1">"c1236"</definedName>
    <definedName name="IQ_TOTAL_ASSETS_2YR_ANN_CAGR" hidden="1">"c6141"</definedName>
    <definedName name="IQ_TOTAL_ASSETS_2YR_ANN_GROWTH" hidden="1">"c1237"</definedName>
    <definedName name="IQ_TOTAL_ASSETS_3YR_ANN_CAGR" hidden="1">"c6142"</definedName>
    <definedName name="IQ_TOTAL_ASSETS_3YR_ANN_GROWTH" hidden="1">"c1238"</definedName>
    <definedName name="IQ_TOTAL_ASSETS_5YR_ANN_CAGR" hidden="1">"c6143"</definedName>
    <definedName name="IQ_TOTAL_ASSETS_5YR_ANN_GROWTH" hidden="1">"c1239"</definedName>
    <definedName name="IQ_TOTAL_ASSETS_7YR_ANN_CAGR" hidden="1">"c6144"</definedName>
    <definedName name="IQ_TOTAL_ASSETS_7YR_ANN_GROWTH" hidden="1">"c1240"</definedName>
    <definedName name="IQ_TOTAL_ASSETS_BNK_SUBTOTAL_AP" hidden="1">"c13644"</definedName>
    <definedName name="IQ_TOTAL_ASSETS_FAIR_VALUE_TOT_FFIEC" hidden="1">"c15405"</definedName>
    <definedName name="IQ_TOTAL_ASSETS_FDIC" hidden="1">"c6339"</definedName>
    <definedName name="IQ_TOTAL_ASSETS_FFIEC" hidden="1">"c12849"</definedName>
    <definedName name="IQ_TOTAL_ASSETS_LEVEL_1_FFIEC" hidden="1">"c15427"</definedName>
    <definedName name="IQ_TOTAL_ASSETS_LEVEL_2_FFIEC" hidden="1">"c15440"</definedName>
    <definedName name="IQ_TOTAL_ASSETS_LEVEL_3_FFIEC" hidden="1">"c15453"</definedName>
    <definedName name="IQ_TOTAL_ASSETS_LH_FFIEC" hidden="1">"c13106"</definedName>
    <definedName name="IQ_TOTAL_ASSETS_PC_FFIEC" hidden="1">"c13099"</definedName>
    <definedName name="IQ_TOTAL_ASSETS_SUBTOTAL_AP" hidden="1">"c8985"</definedName>
    <definedName name="IQ_TOTAL_ATTRIB_ORE_RESOURCES_ALUM" hidden="1">"c9241"</definedName>
    <definedName name="IQ_TOTAL_ATTRIB_ORE_RESOURCES_COP" hidden="1">"c9185"</definedName>
    <definedName name="IQ_TOTAL_ATTRIB_ORE_RESOURCES_DIAM" hidden="1">"c9665"</definedName>
    <definedName name="IQ_TOTAL_ATTRIB_ORE_RESOURCES_GOLD" hidden="1">"c9026"</definedName>
    <definedName name="IQ_TOTAL_ATTRIB_ORE_RESOURCES_IRON" hidden="1">"c9400"</definedName>
    <definedName name="IQ_TOTAL_ATTRIB_ORE_RESOURCES_LEAD" hidden="1">"c9453"</definedName>
    <definedName name="IQ_TOTAL_ATTRIB_ORE_RESOURCES_MANG" hidden="1">"c9506"</definedName>
    <definedName name="IQ_TOTAL_ATTRIB_ORE_RESOURCES_MOLYB" hidden="1">"c9718"</definedName>
    <definedName name="IQ_TOTAL_ATTRIB_ORE_RESOURCES_NICK" hidden="1">"c9294"</definedName>
    <definedName name="IQ_TOTAL_ATTRIB_ORE_RESOURCES_PLAT" hidden="1">"c9132"</definedName>
    <definedName name="IQ_TOTAL_ATTRIB_ORE_RESOURCES_SILVER" hidden="1">"c9079"</definedName>
    <definedName name="IQ_TOTAL_ATTRIB_ORE_RESOURCES_TITAN" hidden="1">"c9559"</definedName>
    <definedName name="IQ_TOTAL_ATTRIB_ORE_RESOURCES_URAN" hidden="1">"c9612"</definedName>
    <definedName name="IQ_TOTAL_ATTRIB_ORE_RESOURCES_ZINC" hidden="1">"c9347"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BEDS" hidden="1">"c8785"</definedName>
    <definedName name="IQ_TOTAL_BROKERED_DEPOSIT_FFIEC" hidden="1">"c15304"</definedName>
    <definedName name="IQ_TOTAL_CA" hidden="1">"c1243"</definedName>
    <definedName name="IQ_TOTAL_CA_SUBTOTAL_AP" hidden="1">"c8986"</definedName>
    <definedName name="IQ_TOTAL_CAP" hidden="1">"c1507"</definedName>
    <definedName name="IQ_TOTAL_CAPITAL_RATIO" hidden="1">"c1244"</definedName>
    <definedName name="IQ_TOTAL_CASH_DIVID" hidden="1">"c1266"</definedName>
    <definedName name="IQ_TOTAL_CASH_DUE_DEPOSITORY_INSTIT_DOM_FFIEC" hidden="1">"c15291"</definedName>
    <definedName name="IQ_TOTAL_CASH_DUE_DEPOSITORY_INSTIT_FFIEC" hidden="1">"c15285"</definedName>
    <definedName name="IQ_TOTAL_CASH_FINAN" hidden="1">"c119"</definedName>
    <definedName name="IQ_TOTAL_CASH_INVEST" hidden="1">"c121"</definedName>
    <definedName name="IQ_TOTAL_CASH_OPER" hidden="1">"c122"</definedName>
    <definedName name="IQ_TOTAL_CHARGE_OFFS_FDIC" hidden="1">"c6603"</definedName>
    <definedName name="IQ_TOTAL_CHURN" hidden="1">"c2122"</definedName>
    <definedName name="IQ_TOTAL_CL" hidden="1">"c1245"</definedName>
    <definedName name="IQ_TOTAL_CL_SUBTOTAL_AP" hidden="1">"c8987"</definedName>
    <definedName name="IQ_TOTAL_COAL_PRODUCTION_COAL" hidden="1">"c9824"</definedName>
    <definedName name="IQ_TOTAL_COMMON" hidden="1">"c1022"</definedName>
    <definedName name="IQ_TOTAL_COMMON_EQUITY" hidden="1">"c1246"</definedName>
    <definedName name="IQ_TOTAL_COMMON_EQUITY_FFIEC" hidden="1">"c13913"</definedName>
    <definedName name="IQ_TOTAL_COMMON_EQUITY_TOTAL_ASSETS_FFIEC" hidden="1">"c13864"</definedName>
    <definedName name="IQ_TOTAL_COMMON_SHARES_OUT_FFIEC" hidden="1">"c12955"</definedName>
    <definedName name="IQ_TOTAL_CONSTRUCTION_LL_REC_DOM_FFIEC" hidden="1">"c13515"</definedName>
    <definedName name="IQ_TOTAL_CURRENT_ASSETS" hidden="1">"c1243"</definedName>
    <definedName name="IQ_TOTAL_CURRENT_LIAB" hidden="1">"c1245"</definedName>
    <definedName name="IQ_TOTAL_DEBT" hidden="1">"c1247"</definedName>
    <definedName name="IQ_TOTAL_DEBT_CAPITAL" hidden="1">"c1248"</definedName>
    <definedName name="IQ_TOTAL_DEBT_CURRENT" hidden="1">"c6190"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" hidden="1">"c6271"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NON_CURRENT" hidden="1">"c6191"</definedName>
    <definedName name="IQ_TOTAL_DEBT_OVER_EBITDA" hidden="1">"c1249"</definedName>
    <definedName name="IQ_TOTAL_DEBT_OVER_TOTAL_BV" hidden="1">"c1250"</definedName>
    <definedName name="IQ_TOTAL_DEBT_OVER_TOTAL_CAP" hidden="1">"c1248"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" hidden="1">"c6272"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POSITS" hidden="1">"c1265"</definedName>
    <definedName name="IQ_TOTAL_DEPOSITS_DOM_FFIEC" hidden="1">"c15313"</definedName>
    <definedName name="IQ_TOTAL_DEPOSITS_FDIC" hidden="1">"c6342"</definedName>
    <definedName name="IQ_TOTAL_DEPOSITS_FFIEC" hidden="1">"c13623"</definedName>
    <definedName name="IQ_TOTAL_DEPOSITS_SUPPLE" hidden="1">"c15253"</definedName>
    <definedName name="IQ_TOTAL_DIV_PAID_CF" hidden="1">"c1266"</definedName>
    <definedName name="IQ_TOTAL_EMPLOYEE" hidden="1">"c1522"</definedName>
    <definedName name="IQ_TOTAL_EMPLOYEES" hidden="1">"c1522"</definedName>
    <definedName name="IQ_TOTAL_EMPLOYEES_FDIC" hidden="1">"c6355"</definedName>
    <definedName name="IQ_TOTAL_EQUITY" hidden="1">"c1267"</definedName>
    <definedName name="IQ_TOTAL_EQUITY_10YR_ANN_CAGR" hidden="1">"c6145"</definedName>
    <definedName name="IQ_TOTAL_EQUITY_10YR_ANN_GROWTH" hidden="1">"c1268"</definedName>
    <definedName name="IQ_TOTAL_EQUITY_1YR_ANN_GROWTH" hidden="1">"c1269"</definedName>
    <definedName name="IQ_TOTAL_EQUITY_2YR_ANN_CAGR" hidden="1">"c6146"</definedName>
    <definedName name="IQ_TOTAL_EQUITY_2YR_ANN_GROWTH" hidden="1">"c1270"</definedName>
    <definedName name="IQ_TOTAL_EQUITY_3YR_ANN_CAGR" hidden="1">"c6147"</definedName>
    <definedName name="IQ_TOTAL_EQUITY_3YR_ANN_GROWTH" hidden="1">"c1271"</definedName>
    <definedName name="IQ_TOTAL_EQUITY_5YR_ANN_CAGR" hidden="1">"c6148"</definedName>
    <definedName name="IQ_TOTAL_EQUITY_5YR_ANN_GROWTH" hidden="1">"c1272"</definedName>
    <definedName name="IQ_TOTAL_EQUITY_7YR_ANN_CAGR" hidden="1">"c6149"</definedName>
    <definedName name="IQ_TOTAL_EQUITY_7YR_ANN_GROWTH" hidden="1">"c1273"</definedName>
    <definedName name="IQ_TOTAL_EQUITY_ALLOWANCE_TOTAL_LOANS" hidden="1">"c1274"</definedName>
    <definedName name="IQ_TOTAL_EQUITY_CAPITAL_T1_FFIEC" hidden="1">"c13130"</definedName>
    <definedName name="IQ_TOTAL_EQUITY_FFIEC" hidden="1">"c12881"</definedName>
    <definedName name="IQ_TOTAL_EQUITY_INCL_MINORITY_INTEREST_FFIEC" hidden="1">"c15278"</definedName>
    <definedName name="IQ_TOTAL_EQUITY_LH_FFIEC" hidden="1">"c13109"</definedName>
    <definedName name="IQ_TOTAL_EQUITY_PC_FFIEC" hidden="1">"c13102"</definedName>
    <definedName name="IQ_TOTAL_EQUITY_SUBTOTAL_AP" hidden="1">"c8989"</definedName>
    <definedName name="IQ_TOTAL_EQUITY_TOTAL_ASSETS_FFIEC" hidden="1">"c13863"</definedName>
    <definedName name="IQ_TOTAL_FOREIGN_DEPOSITS_FFIEC" hidden="1">"c15348"</definedName>
    <definedName name="IQ_TOTAL_FOREIGN_LOANS_QUARTERLY_AVG_FFIEC" hidden="1">"c15482"</definedName>
    <definedName name="IQ_TOTAL_IBF_ASSETS_CONSOL_BANK_FFIEC" hidden="1">"c15299"</definedName>
    <definedName name="IQ_TOTAL_IBF_LIABILITIES_FFIEC" hidden="1">"c15302"</definedName>
    <definedName name="IQ_TOTAL_IBF_LL_REC_FFIEC" hidden="1">"c15297"</definedName>
    <definedName name="IQ_TOTAL_INT_EXPENSE_FFIEC" hidden="1">"c13000"</definedName>
    <definedName name="IQ_TOTAL_INT_INCOME_FFIEC" hidden="1">"c12989"</definedName>
    <definedName name="IQ_TOTAL_INTEREST_EXP" hidden="1">"c591"</definedName>
    <definedName name="IQ_TOTAL_INTEREST_EXP_FOREIGN_FFIEC" hidden="1">"c15374"</definedName>
    <definedName name="IQ_TOTAL_INTEREST_INC_FOREIGN_FFIEC" hidden="1">"c15373"</definedName>
    <definedName name="IQ_TOTAL_INVENTORY" hidden="1">"c622"</definedName>
    <definedName name="IQ_TOTAL_INVEST" hidden="1">"c1275"</definedName>
    <definedName name="IQ_TOTAL_IRA_KEOGH_PLAN_ACCOUNTS_FFIEC" hidden="1">"c15303"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EQUITY_FDIC" hidden="1">"c6354"</definedName>
    <definedName name="IQ_TOTAL_LIAB_EQUITY_SUBTOTAL_AP" hidden="1">"c8988"</definedName>
    <definedName name="IQ_TOTAL_LIAB_FIN" hidden="1">"c1280"</definedName>
    <definedName name="IQ_TOTAL_LIAB_INS" hidden="1">"c1281"</definedName>
    <definedName name="IQ_TOTAL_LIAB_RE" hidden="1">"c6273"</definedName>
    <definedName name="IQ_TOTAL_LIAB_REIT" hidden="1">"c1282"</definedName>
    <definedName name="IQ_TOTAL_LIAB_SHAREHOLD" hidden="1">"c1279"</definedName>
    <definedName name="IQ_TOTAL_LIAB_TOTAL_ASSETS" hidden="1">"c1283"</definedName>
    <definedName name="IQ_TOTAL_LIABILITIES_EQUITY_FFIEC" hidden="1">"c12882"</definedName>
    <definedName name="IQ_TOTAL_LIABILITIES_FAIR_VALUE_TOT_FFIEC" hidden="1">"c15411"</definedName>
    <definedName name="IQ_TOTAL_LIABILITIES_FDIC" hidden="1">"c6348"</definedName>
    <definedName name="IQ_TOTAL_LIABILITIES_FFIEC" hidden="1">"c12873"</definedName>
    <definedName name="IQ_TOTAL_LIABILITIES_LEVEL_1_FFIEC" hidden="1">"c15433"</definedName>
    <definedName name="IQ_TOTAL_LIABILITIES_LEVEL_2_FFIEC" hidden="1">"c15446"</definedName>
    <definedName name="IQ_TOTAL_LIABILITIES_LEVEL_3_FFIEC" hidden="1">"c15459"</definedName>
    <definedName name="IQ_TOTAL_LL_REC_DOM_FFIEC" hidden="1">"c12917"</definedName>
    <definedName name="IQ_TOTAL_LL_REC_FFIEC" hidden="1">"c12898"</definedName>
    <definedName name="IQ_TOTAL_LOANS" hidden="1">"c5653"</definedName>
    <definedName name="IQ_TOTAL_LOANS_DOM_QUARTERLY_AVG_FFIEC" hidden="1">"c15475"</definedName>
    <definedName name="IQ_TOTAL_LOANS_LEASES_AND_OTHER_DUE_30_89_FFIEC" hidden="1">"c15416"</definedName>
    <definedName name="IQ_TOTAL_LOANS_LEASES_AND_OTHER_DUE_90_FFIEC" hidden="1">"c15420"</definedName>
    <definedName name="IQ_TOTAL_LOANS_LEASES_AND_OTHER_NON_ACCRUAL_FFIEC" hidden="1">"c15466"</definedName>
    <definedName name="IQ_TOTAL_LOANS_LEASES_CHARGE_OFFS_FFIEC" hidden="1">"c13186"</definedName>
    <definedName name="IQ_TOTAL_LOANS_LEASES_DUE_30_89_FFIEC" hidden="1">"c13280"</definedName>
    <definedName name="IQ_TOTAL_LOANS_LEASES_DUE_90_FFIEC" hidden="1">"c13306"</definedName>
    <definedName name="IQ_TOTAL_LOANS_LEASES_NON_ACCRUAL_FFIEC" hidden="1">"c13757"</definedName>
    <definedName name="IQ_TOTAL_LOANS_LEASES_RECOV_FFIEC" hidden="1">"c13208"</definedName>
    <definedName name="IQ_TOTAL_LONG_DEBT" hidden="1">"c1617"</definedName>
    <definedName name="IQ_TOTAL_NON_REC" hidden="1">"c1444"</definedName>
    <definedName name="IQ_TOTAL_NON_TRANS_ACCTS_FFIEC" hidden="1">"c15328"</definedName>
    <definedName name="IQ_TOTAL_NONINTEREST_EXPENSE_FOREIGN_FFIEC" hidden="1">"c15386"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" hidden="1">"c6274"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ABLE_END_OS" hidden="1">"c5819"</definedName>
    <definedName name="IQ_TOTAL_OPTIONS_EXERCISED" hidden="1">"c2695"</definedName>
    <definedName name="IQ_TOTAL_OPTIONS_GRANTED" hidden="1">"c2694"</definedName>
    <definedName name="IQ_TOTAL_ORE_RESOURCES_ALUM" hidden="1">"c9230"</definedName>
    <definedName name="IQ_TOTAL_ORE_RESOURCES_COP" hidden="1">"c9174"</definedName>
    <definedName name="IQ_TOTAL_ORE_RESOURCES_DIAM" hidden="1">"c9654"</definedName>
    <definedName name="IQ_TOTAL_ORE_RESOURCES_GOLD" hidden="1">"c9015"</definedName>
    <definedName name="IQ_TOTAL_ORE_RESOURCES_IRON" hidden="1">"c9389"</definedName>
    <definedName name="IQ_TOTAL_ORE_RESOURCES_LEAD" hidden="1">"c9442"</definedName>
    <definedName name="IQ_TOTAL_ORE_RESOURCES_MANG" hidden="1">"c9495"</definedName>
    <definedName name="IQ_TOTAL_ORE_RESOURCES_MOLYB" hidden="1">"c9707"</definedName>
    <definedName name="IQ_TOTAL_ORE_RESOURCES_NICK" hidden="1">"c9283"</definedName>
    <definedName name="IQ_TOTAL_ORE_RESOURCES_PLAT" hidden="1">"c9121"</definedName>
    <definedName name="IQ_TOTAL_ORE_RESOURCES_SILVER" hidden="1">"c9068"</definedName>
    <definedName name="IQ_TOTAL_ORE_RESOURCES_TITAN" hidden="1">"c9548"</definedName>
    <definedName name="IQ_TOTAL_ORE_RESOURCES_URAN" hidden="1">"c9601"</definedName>
    <definedName name="IQ_TOTAL_ORE_RESOURCES_ZINC" hidden="1">"c9336"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ENSION_OBLIGATION" hidden="1">"c1292"</definedName>
    <definedName name="IQ_TOTAL_PRINCIPAL" hidden="1">"c2509"</definedName>
    <definedName name="IQ_TOTAL_PRINCIPAL_PCT" hidden="1">"c2510"</definedName>
    <definedName name="IQ_TOTAL_PROP" hidden="1">"c8765"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COV_ATTRIB_RESOURCES_ALUM" hidden="1">"c9246"</definedName>
    <definedName name="IQ_TOTAL_RECOV_ATTRIB_RESOURCES_COAL" hidden="1">"c9820"</definedName>
    <definedName name="IQ_TOTAL_RECOV_ATTRIB_RESOURCES_COP" hidden="1">"c9190"</definedName>
    <definedName name="IQ_TOTAL_RECOV_ATTRIB_RESOURCES_DIAM" hidden="1">"c9670"</definedName>
    <definedName name="IQ_TOTAL_RECOV_ATTRIB_RESOURCES_GOLD" hidden="1">"c9031"</definedName>
    <definedName name="IQ_TOTAL_RECOV_ATTRIB_RESOURCES_IRON" hidden="1">"c9405"</definedName>
    <definedName name="IQ_TOTAL_RECOV_ATTRIB_RESOURCES_LEAD" hidden="1">"c9458"</definedName>
    <definedName name="IQ_TOTAL_RECOV_ATTRIB_RESOURCES_MANG" hidden="1">"c9511"</definedName>
    <definedName name="IQ_TOTAL_RECOV_ATTRIB_RESOURCES_MET_COAL" hidden="1">"c9760"</definedName>
    <definedName name="IQ_TOTAL_RECOV_ATTRIB_RESOURCES_MOLYB" hidden="1">"c9723"</definedName>
    <definedName name="IQ_TOTAL_RECOV_ATTRIB_RESOURCES_NICK" hidden="1">"c9299"</definedName>
    <definedName name="IQ_TOTAL_RECOV_ATTRIB_RESOURCES_PLAT" hidden="1">"c9137"</definedName>
    <definedName name="IQ_TOTAL_RECOV_ATTRIB_RESOURCES_SILVER" hidden="1">"c9084"</definedName>
    <definedName name="IQ_TOTAL_RECOV_ATTRIB_RESOURCES_STEAM" hidden="1">"c9790"</definedName>
    <definedName name="IQ_TOTAL_RECOV_ATTRIB_RESOURCES_TITAN" hidden="1">"c9564"</definedName>
    <definedName name="IQ_TOTAL_RECOV_ATTRIB_RESOURCES_URAN" hidden="1">"c9617"</definedName>
    <definedName name="IQ_TOTAL_RECOV_ATTRIB_RESOURCES_ZINC" hidden="1">"c9352"</definedName>
    <definedName name="IQ_TOTAL_RECOV_RESOURCES_ALUM" hidden="1">"c9236"</definedName>
    <definedName name="IQ_TOTAL_RECOV_RESOURCES_COAL" hidden="1">"c9815"</definedName>
    <definedName name="IQ_TOTAL_RECOV_RESOURCES_COP" hidden="1">"c9180"</definedName>
    <definedName name="IQ_TOTAL_RECOV_RESOURCES_DIAM" hidden="1">"c9660"</definedName>
    <definedName name="IQ_TOTAL_RECOV_RESOURCES_GOLD" hidden="1">"c9021"</definedName>
    <definedName name="IQ_TOTAL_RECOV_RESOURCES_IRON" hidden="1">"c9395"</definedName>
    <definedName name="IQ_TOTAL_RECOV_RESOURCES_LEAD" hidden="1">"c9448"</definedName>
    <definedName name="IQ_TOTAL_RECOV_RESOURCES_MANG" hidden="1">"c9501"</definedName>
    <definedName name="IQ_TOTAL_RECOV_RESOURCES_MET_COAL" hidden="1">"c9755"</definedName>
    <definedName name="IQ_TOTAL_RECOV_RESOURCES_MOLYB" hidden="1">"c9713"</definedName>
    <definedName name="IQ_TOTAL_RECOV_RESOURCES_NICK" hidden="1">"c9289"</definedName>
    <definedName name="IQ_TOTAL_RECOV_RESOURCES_PLAT" hidden="1">"c9127"</definedName>
    <definedName name="IQ_TOTAL_RECOV_RESOURCES_SILVER" hidden="1">"c9074"</definedName>
    <definedName name="IQ_TOTAL_RECOV_RESOURCES_STEAM" hidden="1">"c9785"</definedName>
    <definedName name="IQ_TOTAL_RECOV_RESOURCES_TITAN" hidden="1">"c9554"</definedName>
    <definedName name="IQ_TOTAL_RECOV_RESOURCES_URAN" hidden="1">"c9607"</definedName>
    <definedName name="IQ_TOTAL_RECOV_RESOURCES_ZINC" hidden="1">"c9342"</definedName>
    <definedName name="IQ_TOTAL_RECOVERIES_FDIC" hidden="1">"c6622"</definedName>
    <definedName name="IQ_TOTAL_RESOURCES_CALORIFIC_VALUE_COAL" hidden="1">"c9810"</definedName>
    <definedName name="IQ_TOTAL_RESOURCES_CALORIFIC_VALUE_MET_COAL" hidden="1">"c9750"</definedName>
    <definedName name="IQ_TOTAL_RESOURCES_CALORIFIC_VALUE_STEAM" hidden="1">"c9780"</definedName>
    <definedName name="IQ_TOTAL_RESOURCES_GRADE_ALUM" hidden="1">"c9231"</definedName>
    <definedName name="IQ_TOTAL_RESOURCES_GRADE_COP" hidden="1">"c9175"</definedName>
    <definedName name="IQ_TOTAL_RESOURCES_GRADE_DIAM" hidden="1">"c9655"</definedName>
    <definedName name="IQ_TOTAL_RESOURCES_GRADE_GOLD" hidden="1">"c9016"</definedName>
    <definedName name="IQ_TOTAL_RESOURCES_GRADE_IRON" hidden="1">"c9390"</definedName>
    <definedName name="IQ_TOTAL_RESOURCES_GRADE_LEAD" hidden="1">"c9443"</definedName>
    <definedName name="IQ_TOTAL_RESOURCES_GRADE_MANG" hidden="1">"c9496"</definedName>
    <definedName name="IQ_TOTAL_RESOURCES_GRADE_MOLYB" hidden="1">"c9708"</definedName>
    <definedName name="IQ_TOTAL_RESOURCES_GRADE_NICK" hidden="1">"c9284"</definedName>
    <definedName name="IQ_TOTAL_RESOURCES_GRADE_PLAT" hidden="1">"c9122"</definedName>
    <definedName name="IQ_TOTAL_RESOURCES_GRADE_SILVER" hidden="1">"c9069"</definedName>
    <definedName name="IQ_TOTAL_RESOURCES_GRADE_TITAN" hidden="1">"c9549"</definedName>
    <definedName name="IQ_TOTAL_RESOURCES_GRADE_URAN" hidden="1">"c9602"</definedName>
    <definedName name="IQ_TOTAL_RESOURCES_GRADE_ZINC" hidden="1">"c9337"</definedName>
    <definedName name="IQ_TOTAL_RETURN_SWAPS_DERIVATIVES_BENEFICIARY_FFIEC" hidden="1">"c13120"</definedName>
    <definedName name="IQ_TOTAL_RETURN_SWAPS_DERIVATIVES_GUARANTOR_FFIEC" hidden="1">"c13113"</definedName>
    <definedName name="IQ_TOTAL_REV" hidden="1">"c1294"</definedName>
    <definedName name="IQ_TOTAL_REV_10YR_ANN_CAGR" hidden="1">"c6150"</definedName>
    <definedName name="IQ_TOTAL_REV_10YR_ANN_GROWTH" hidden="1">"c1295"</definedName>
    <definedName name="IQ_TOTAL_REV_1YR_ANN_GROWTH" hidden="1">"c1296"</definedName>
    <definedName name="IQ_TOTAL_REV_2YR_ANN_CAGR" hidden="1">"c6151"</definedName>
    <definedName name="IQ_TOTAL_REV_2YR_ANN_GROWTH" hidden="1">"c1297"</definedName>
    <definedName name="IQ_TOTAL_REV_3YR_ANN_CAGR" hidden="1">"c6152"</definedName>
    <definedName name="IQ_TOTAL_REV_3YR_ANN_GROWTH" hidden="1">"c1298"</definedName>
    <definedName name="IQ_TOTAL_REV_5YR_ANN_CAGR" hidden="1">"c6153"</definedName>
    <definedName name="IQ_TOTAL_REV_5YR_ANN_GROWTH" hidden="1">"c1299"</definedName>
    <definedName name="IQ_TOTAL_REV_7YR_ANN_CAGR" hidden="1">"c6154"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" hidden="1">"c6275"</definedName>
    <definedName name="IQ_TOTAL_REV_REIT" hidden="1">"c1307"</definedName>
    <definedName name="IQ_TOTAL_REV_SHARE" hidden="1">"c1912"</definedName>
    <definedName name="IQ_TOTAL_REV_SUBTOTAL_AP" hidden="1">"c8975"</definedName>
    <definedName name="IQ_TOTAL_REV_UTI" hidden="1">"c1308"</definedName>
    <definedName name="IQ_TOTAL_REVENUE" hidden="1">"c1294"</definedName>
    <definedName name="IQ_TOTAL_REVENUE_FFIEC" hidden="1">"c13020"</definedName>
    <definedName name="IQ_TOTAL_REVENUE_FOREIGN_FFIEC" hidden="1">"c15383"</definedName>
    <definedName name="IQ_TOTAL_RISK_BASED_CAPITAL_FFIEC" hidden="1">"c13153"</definedName>
    <definedName name="IQ_TOTAL_RISK_BASED_CAPITAL_RATIO_FDIC" hidden="1">"c6747"</definedName>
    <definedName name="IQ_TOTAL_RISK_BASED_CAPITAL_RATIO_FFIEC" hidden="1">"c13162"</definedName>
    <definedName name="IQ_TOTAL_RISK_WEIGHTED_ASSETS_FFIEC" hidden="1">"c13858"</definedName>
    <definedName name="IQ_TOTAL_ROOMS" hidden="1">"c8789"</definedName>
    <definedName name="IQ_TOTAL_SECURITIES_FDIC" hidden="1">"c6306"</definedName>
    <definedName name="IQ_TOTAL_SPECIAL" hidden="1">"c1618"</definedName>
    <definedName name="IQ_TOTAL_SQ_FT" hidden="1">"c8781"</definedName>
    <definedName name="IQ_TOTAL_ST_BORROW" hidden="1">"c1177"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TIME_DEPOSITS_FDIC" hidden="1">"c6497"</definedName>
    <definedName name="IQ_TOTAL_TIME_LESS_100000_1_TO_3_YEARS_FFIEC" hidden="1">"c15335"</definedName>
    <definedName name="IQ_TOTAL_TIME_LESS_100000_3_MONTHS_LESS_FFIEC" hidden="1">"c15333"</definedName>
    <definedName name="IQ_TOTAL_TIME_LESS_100000_3_TO_12_MONTHS_FFIEC" hidden="1">"c15334"</definedName>
    <definedName name="IQ_TOTAL_TIME_LESS_100000_FFIEC" hidden="1">"c15332"</definedName>
    <definedName name="IQ_TOTAL_TIME_LESS_100000_OVER_3_YEARS_FFIEC" hidden="1">"c15336"</definedName>
    <definedName name="IQ_TOTAL_TIME_MORE_100000_1_TO_3_YEARS_FFIEC" hidden="1">"c15340"</definedName>
    <definedName name="IQ_TOTAL_TIME_MORE_100000_3_MONTHS_LESS_FFIEC" hidden="1">"c15338"</definedName>
    <definedName name="IQ_TOTAL_TIME_MORE_100000_3_TO_12_MONTHS_FFIEC" hidden="1">"c15339"</definedName>
    <definedName name="IQ_TOTAL_TIME_MORE_100000_FFIEC" hidden="1">"c15337"</definedName>
    <definedName name="IQ_TOTAL_TIME_MORE_100000_OVER_3_YEARS_FFIEC" hidden="1">"c15341"</definedName>
    <definedName name="IQ_TOTAL_TIME_SAVINGS_DEPOSITS_FDIC" hidden="1">"c6498"</definedName>
    <definedName name="IQ_TOTAL_TRADING_ASSETS_FFIEC" hidden="1">"c12939"</definedName>
    <definedName name="IQ_TOTAL_TRADING_LIAB_DOM_FFIEC" hidden="1">"c12944"</definedName>
    <definedName name="IQ_TOTAL_TRADING_LIAB_FOREIGN_FFIEC" hidden="1">"c15296"</definedName>
    <definedName name="IQ_TOTAL_TRANS_ACCTS_FFIEC" hidden="1">"c15321"</definedName>
    <definedName name="IQ_TOTAL_UNITS" hidden="1">"c8773"</definedName>
    <definedName name="IQ_TOTAL_UNUSED_COMMITMENTS_FDIC" hidden="1">"c6536"</definedName>
    <definedName name="IQ_TOTAL_UNUSUAL" hidden="1">"c1508"</definedName>
    <definedName name="IQ_TOTAL_UNUSUAL_BNK" hidden="1">"c5516"</definedName>
    <definedName name="IQ_TOTAL_UNUSUAL_BR" hidden="1">"c5517"</definedName>
    <definedName name="IQ_TOTAL_UNUSUAL_FIN" hidden="1">"c5518"</definedName>
    <definedName name="IQ_TOTAL_UNUSUAL_INS" hidden="1">"c5519"</definedName>
    <definedName name="IQ_TOTAL_UNUSUAL_RE" hidden="1">"c6286"</definedName>
    <definedName name="IQ_TOTAL_UNUSUAL_REIT" hidden="1">"c5520"</definedName>
    <definedName name="IQ_TOTAL_UNUSUAL_SUPPLE" hidden="1">"c13817"</definedName>
    <definedName name="IQ_TOTAL_UNUSUAL_UTI" hidden="1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_TERM_FEE" hidden="1">"c13638"</definedName>
    <definedName name="IQ_TR_BUY_TERM_FEE_PCT" hidden="1">"c13639"</definedName>
    <definedName name="IQ_TR_BUYBACK_TO_CLOSE" hidden="1">"c13919"</definedName>
    <definedName name="IQ_TR_BUYBACK_TO_HIGH" hidden="1">"c13917"</definedName>
    <definedName name="IQ_TR_BUYBACK_TO_LOW" hidden="1">"c13918"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PPROACH" hidden="1">"c12706"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GISTRATION_FEES" hidden="1">"c2274"</definedName>
    <definedName name="IQ_TR_RENEWAL_BUYBACK" hidden="1">"c2413"</definedName>
    <definedName name="IQ_TR_ROUND_NUMBER" hidden="1">"c2295"</definedName>
    <definedName name="IQ_TR_SEC_FEES" hidden="1">"c13642"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_TERM_FEE" hidden="1">"c2298"</definedName>
    <definedName name="IQ_TR_SELL_TERM_FEE_PCT" hidden="1">"c2297"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"c13640"</definedName>
    <definedName name="IQ_TR_TERM_FEE_PCT" hidden="1">"c13641"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"c40"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AIR_VALUE_TOT_FFIEC" hidden="1">"c13210"</definedName>
    <definedName name="IQ_TRADING_ASSETS_FDIC" hidden="1">"c6328"</definedName>
    <definedName name="IQ_TRADING_ASSETS_FFIEC" hidden="1">"c12812"</definedName>
    <definedName name="IQ_TRADING_ASSETS_FOREIGN_FFIEC" hidden="1">"c12940"</definedName>
    <definedName name="IQ_TRADING_ASSETS_LEVEL_1_FFIEC" hidden="1">"c13218"</definedName>
    <definedName name="IQ_TRADING_ASSETS_LEVEL_2_FFIEC" hidden="1">"c13226"</definedName>
    <definedName name="IQ_TRADING_ASSETS_LEVEL_3_FFIEC" hidden="1">"c13234"</definedName>
    <definedName name="IQ_TRADING_ASSETS_QUARTERLY_AVG_FFIEC" hidden="1">"c13085"</definedName>
    <definedName name="IQ_TRADING_CURRENCY" hidden="1">"c2212"</definedName>
    <definedName name="IQ_TRADING_ITEM_CIQID" hidden="1">"c8949"</definedName>
    <definedName name="IQ_TRADING_LIABILITIES_FAIR_VALUE_TOT_FFIEC" hidden="1">"c13214"</definedName>
    <definedName name="IQ_TRADING_LIABILITIES_FDIC" hidden="1">"c6344"</definedName>
    <definedName name="IQ_TRADING_LIABILITIES_FFIEC" hidden="1">"c12858"</definedName>
    <definedName name="IQ_TRADING_LIABILITIES_LEVEL_1_FFIEC" hidden="1">"c13222"</definedName>
    <definedName name="IQ_TRADING_LIABILITIES_LEVEL_2_FFIEC" hidden="1">"c13230"</definedName>
    <definedName name="IQ_TRADING_LIABILITIES_LEVEL_3_FFIEC" hidden="1">"c13238"</definedName>
    <definedName name="IQ_TRADING_REV_FOREIGN_FFIEC" hidden="1">"c15377"</definedName>
    <definedName name="IQ_TRADING_REV_OPERATING_INC_FFIEC" hidden="1">"c13385"</definedName>
    <definedName name="IQ_TRADING_REVENUE_FFIEC" hidden="1">"c13004"</definedName>
    <definedName name="IQ_TRANS_ACCTS_TOT_DEPOSITS_FFIEC" hidden="1">"c13904"</definedName>
    <definedName name="IQ_TRANSACTION_ACCOUNTS_FDIC" hidden="1">"c6544"</definedName>
    <definedName name="IQ_TRANSACTION_LIST" hidden="1">"c15126"</definedName>
    <definedName name="IQ_TRANSACTION_LIST_BANKRUPTCY" hidden="1">"c15131"</definedName>
    <definedName name="IQ_TRANSACTION_LIST_BUYBACK" hidden="1">"c15129"</definedName>
    <definedName name="IQ_TRANSACTION_LIST_INCL_SUBS" hidden="1">"c15132"</definedName>
    <definedName name="IQ_TRANSACTION_LIST_INCL_SUBS_BANKRUPTCY" hidden="1">"c15137"</definedName>
    <definedName name="IQ_TRANSACTION_LIST_INCL_SUBS_BUYBACK" hidden="1">"c15135"</definedName>
    <definedName name="IQ_TRANSACTION_LIST_INCL_SUBS_MA" hidden="1">"c15133"</definedName>
    <definedName name="IQ_TRANSACTION_LIST_INCL_SUBS_PO" hidden="1">"c15136"</definedName>
    <definedName name="IQ_TRANSACTION_LIST_INCL_SUBS_PP" hidden="1">"c15134"</definedName>
    <definedName name="IQ_TRANSACTION_LIST_MA" hidden="1">"c15127"</definedName>
    <definedName name="IQ_TRANSACTION_LIST_PO" hidden="1">"c15130"</definedName>
    <definedName name="IQ_TRANSACTION_LIST_PP" hidden="1">"c15128"</definedName>
    <definedName name="IQ_TREASURER_ID" hidden="1">"c15214"</definedName>
    <definedName name="IQ_TREASURER_NAME" hidden="1">"c15213"</definedName>
    <definedName name="IQ_TREASURY" hidden="1">"c1311"</definedName>
    <definedName name="IQ_TREASURY_INVEST_SECURITIES_FFIEC" hidden="1">"c13457"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" hidden="1">"c6276"</definedName>
    <definedName name="IQ_TREASURY_OTHER_EQUITY_REIT" hidden="1">"c1317"</definedName>
    <definedName name="IQ_TREASURY_OTHER_EQUITY_UTI" hidden="1">"c1318"</definedName>
    <definedName name="IQ_TREASURY_STOCK" hidden="1">"c1311"</definedName>
    <definedName name="IQ_TREASURY_STOCK_TRANSACTIONS_FDIC" hidden="1">"c6501"</definedName>
    <definedName name="IQ_TREASURY_STOCK_TRANSACTIONS_FFIEC" hidden="1">"c15352"</definedName>
    <definedName name="IQ_TRUCK_ASSEMBLIES" hidden="1">"c7021"</definedName>
    <definedName name="IQ_TRUCK_ASSEMBLIES_APR" hidden="1">"c7681"</definedName>
    <definedName name="IQ_TRUCK_ASSEMBLIES_APR_FC" hidden="1">"c8561"</definedName>
    <definedName name="IQ_TRUCK_ASSEMBLIES_FC" hidden="1">"c7901"</definedName>
    <definedName name="IQ_TRUCK_ASSEMBLIES_POP" hidden="1">"c7241"</definedName>
    <definedName name="IQ_TRUCK_ASSEMBLIES_POP_FC" hidden="1">"c8121"</definedName>
    <definedName name="IQ_TRUCK_ASSEMBLIES_YOY" hidden="1">"c7461"</definedName>
    <definedName name="IQ_TRUCK_ASSEMBLIES_YOY_FC" hidden="1">"c8341"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TRUSTEE" hidden="1">"c8959"</definedName>
    <definedName name="IQ_TWELVE_MONTHS_FIXED_AND_FLOATING_FDIC" hidden="1">"c6420"</definedName>
    <definedName name="IQ_TWELVE_MONTHS_MORTGAGE_PASS_THROUGHS_FDIC" hidden="1">"c6412"</definedName>
    <definedName name="IQ_UFCF_10YR_ANN_CAGR" hidden="1">"c6179"</definedName>
    <definedName name="IQ_UFCF_10YR_ANN_GROWTH" hidden="1">"c1948"</definedName>
    <definedName name="IQ_UFCF_1YR_ANN_GROWTH" hidden="1">"c1943"</definedName>
    <definedName name="IQ_UFCF_2YR_ANN_CAGR" hidden="1">"c6175"</definedName>
    <definedName name="IQ_UFCF_2YR_ANN_GROWTH" hidden="1">"c1944"</definedName>
    <definedName name="IQ_UFCF_3YR_ANN_CAGR" hidden="1">"c6176"</definedName>
    <definedName name="IQ_UFCF_3YR_ANN_GROWTH" hidden="1">"c1945"</definedName>
    <definedName name="IQ_UFCF_5YR_ANN_CAGR" hidden="1">"c6177"</definedName>
    <definedName name="IQ_UFCF_5YR_ANN_GROWTH" hidden="1">"c1946"</definedName>
    <definedName name="IQ_UFCF_7YR_ANN_CAGR" hidden="1">"c6178"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CONSOL_BEDS" hidden="1">"c8783"</definedName>
    <definedName name="IQ_UNCONSOL_PROP" hidden="1">"c8762"</definedName>
    <definedName name="IQ_UNCONSOL_ROOMS" hidden="1">"c8787"</definedName>
    <definedName name="IQ_UNCONSOL_SQ_FT" hidden="1">"c8778"</definedName>
    <definedName name="IQ_UNCONSOL_UNITS" hidden="1">"c8770"</definedName>
    <definedName name="IQ_UNDERWRITER" hidden="1">"c8958"</definedName>
    <definedName name="IQ_UNDERWRITING_PROFIT" hidden="1">"c9975"</definedName>
    <definedName name="IQ_UNDIVIDED_PROFITS_FDIC" hidden="1">"c6352"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" hidden="1">"c6277"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EARNED_INCOME_LL_REC_DOM_FFIEC" hidden="1">"c12916"</definedName>
    <definedName name="IQ_UNEARNED_INCOME_LL_REC_FFIEC" hidden="1">"c12897"</definedName>
    <definedName name="IQ_UNEARNED_PREMIUMS_PC_FFIEC" hidden="1">"c13101"</definedName>
    <definedName name="IQ_UNEMPLOYMENT_RATE" hidden="1">"c7023"</definedName>
    <definedName name="IQ_UNEMPLOYMENT_RATE_FC" hidden="1">"c7903"</definedName>
    <definedName name="IQ_UNEMPLOYMENT_RATE_POP" hidden="1">"c7243"</definedName>
    <definedName name="IQ_UNEMPLOYMENT_RATE_POP_FC" hidden="1">"c8123"</definedName>
    <definedName name="IQ_UNEMPLOYMENT_RATE_YOY" hidden="1">"c7463"</definedName>
    <definedName name="IQ_UNEMPLOYMENT_RATE_YOY_FC" hidden="1">"c8343"</definedName>
    <definedName name="IQ_UNIT_LABOR_COST_INDEX" hidden="1">"c7025"</definedName>
    <definedName name="IQ_UNIT_LABOR_COST_INDEX_APR" hidden="1">"c7685"</definedName>
    <definedName name="IQ_UNIT_LABOR_COST_INDEX_APR_FC" hidden="1">"c8565"</definedName>
    <definedName name="IQ_UNIT_LABOR_COST_INDEX_FC" hidden="1">"c7905"</definedName>
    <definedName name="IQ_UNIT_LABOR_COST_INDEX_PCT_CHANGE" hidden="1">"c7024"</definedName>
    <definedName name="IQ_UNIT_LABOR_COST_INDEX_PCT_CHANGE_FC" hidden="1">"c7904"</definedName>
    <definedName name="IQ_UNIT_LABOR_COST_INDEX_PCT_CHANGE_POP" hidden="1">"c7244"</definedName>
    <definedName name="IQ_UNIT_LABOR_COST_INDEX_PCT_CHANGE_POP_FC" hidden="1">"c8124"</definedName>
    <definedName name="IQ_UNIT_LABOR_COST_INDEX_PCT_CHANGE_YOY" hidden="1">"c7464"</definedName>
    <definedName name="IQ_UNIT_LABOR_COST_INDEX_PCT_CHANGE_YOY_FC" hidden="1">"c8344"</definedName>
    <definedName name="IQ_UNIT_LABOR_COST_INDEX_POP" hidden="1">"c7245"</definedName>
    <definedName name="IQ_UNIT_LABOR_COST_INDEX_POP_FC" hidden="1">"c8125"</definedName>
    <definedName name="IQ_UNIT_LABOR_COST_INDEX_YOY" hidden="1">"c7465"</definedName>
    <definedName name="IQ_UNIT_LABOR_COST_INDEX_YOY_FC" hidden="1">"c8345"</definedName>
    <definedName name="IQ_UNLEVERED_FCF" hidden="1">"c1908"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SECURED_COMMITMENTS_COMMERCIAL_RE_UNUSED_FFIEC" hidden="1">"c13246"</definedName>
    <definedName name="IQ_UNSECURED_DEBT" hidden="1">"c2548"</definedName>
    <definedName name="IQ_UNSECURED_DEBT_PCT" hidden="1">"c2549"</definedName>
    <definedName name="IQ_UNUSED_LOAN_COMMITMENTS_FDIC" hidden="1">"c6368"</definedName>
    <definedName name="IQ_UNUSUAL_EXP" hidden="1">"IQ_UNUSUAL_EXP"</definedName>
    <definedName name="IQ_US_ADDRESS_LEASE_FIN_REC_FFIEC" hidden="1">"c13624"</definedName>
    <definedName name="IQ_US_AGENCY_OBLIG_FFIEC" hidden="1">"c12779"</definedName>
    <definedName name="IQ_US_AGENCY_OBLIG_TRADING_DOM_FFIEC" hidden="1">"c12919"</definedName>
    <definedName name="IQ_US_AGENCY_OBLIG_TRADING_FFIEC" hidden="1">"c12814"</definedName>
    <definedName name="IQ_US_AGENCY_OBLIGATIONS_AVAIL_SALE_FFIEC" hidden="1">"c12793"</definedName>
    <definedName name="IQ_US_BANKS_OTHER_INST_FOREIGN_DEP_FFIEC" hidden="1">"c15343"</definedName>
    <definedName name="IQ_US_BRANCHES_FOREIGN_BANK_LOANS_FDIC" hidden="1">"c6435"</definedName>
    <definedName name="IQ_US_BRANCHES_FOREIGN_BANKS_FDIC" hidden="1">"c6390"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GOVT_NON_TRANS_ACCTS_FFIEC" hidden="1">"c15323"</definedName>
    <definedName name="IQ_US_GOVT_STATE_POLI_SUBD_IN_US_FOREIGN_DEP_FFIEC" hidden="1">"c15346"</definedName>
    <definedName name="IQ_US_GOVT_TRANS_ACCTS_FFIEC" hidden="1">"c15315"</definedName>
    <definedName name="IQ_US_INST_DUE_30_89_FFIEC" hidden="1">"c13268"</definedName>
    <definedName name="IQ_US_INST_DUE_90_FFIEC" hidden="1">"c13294"</definedName>
    <definedName name="IQ_US_INST_NON_ACCRUAL_FFIEC" hidden="1">"c13320"</definedName>
    <definedName name="IQ_US_SPONSORED_AGENCY_OBLIG_AVAIL_SALE_FFIEC" hidden="1">"c12794"</definedName>
    <definedName name="IQ_US_SPONSORED_AGENCY_OBLIG_FFIEC" hidden="1">"c12780"</definedName>
    <definedName name="IQ_US_TREASURY_SEC_AVAIL_SALE_FFIEC" hidden="1">"c12792"</definedName>
    <definedName name="IQ_US_TREASURY_SEC_TRADING_DOM_FFIEC" hidden="1">"c12918"</definedName>
    <definedName name="IQ_US_TREASURY_SEC_TRADING_FFIEC" hidden="1">"c12813"</definedName>
    <definedName name="IQ_US_TREASURY_SECURITIES_FDIC" hidden="1">"c6298"</definedName>
    <definedName name="IQ_US_TREASURY_SECURITIES_FFIEC" hidden="1">"c12778"</definedName>
    <definedName name="IQ_UST_SEC_GOVT_AGENCY_CORP_QUARTERLY_AVG_FFIEC" hidden="1">"c15469"</definedName>
    <definedName name="IQ_UST_SECURITIES_GOVT_AGENCY_QUARTERLY_AVG_FFIEC" hidden="1">"c15468"</definedName>
    <definedName name="IQ_UTIL_PPE_NET" hidden="1">"c1620"</definedName>
    <definedName name="IQ_UTIL_REV" hidden="1">"c2091"</definedName>
    <definedName name="IQ_UV_PENSION_LIAB" hidden="1">"c1332"</definedName>
    <definedName name="IQ_VALUATION_ALLOWANCES_FDIC" hidden="1">"c6400"</definedName>
    <definedName name="IQ_VALUE_TRADED" hidden="1">"c1519"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ARIABLE_RATE_PREFERREDS_INT_SENSITIVITY_FFIEC" hidden="1">"c13096"</definedName>
    <definedName name="IQ_VC_REV_OPERATING_INC_FFIEC" hidden="1">"c13388"</definedName>
    <definedName name="IQ_VC_REVENUE_FDIC" hidden="1">"c6667"</definedName>
    <definedName name="IQ_VEHICLE_ASSEMBLIES_LIGHT" hidden="1">"c6905"</definedName>
    <definedName name="IQ_VEHICLE_ASSEMBLIES_LIGHT_APR" hidden="1">"c7565"</definedName>
    <definedName name="IQ_VEHICLE_ASSEMBLIES_LIGHT_APR_FC" hidden="1">"c8445"</definedName>
    <definedName name="IQ_VEHICLE_ASSEMBLIES_LIGHT_FC" hidden="1">"c7785"</definedName>
    <definedName name="IQ_VEHICLE_ASSEMBLIES_LIGHT_NEW" hidden="1">"c6925"</definedName>
    <definedName name="IQ_VEHICLE_ASSEMBLIES_LIGHT_NEW_APR" hidden="1">"c7585"</definedName>
    <definedName name="IQ_VEHICLE_ASSEMBLIES_LIGHT_NEW_APR_FC" hidden="1">"c8465"</definedName>
    <definedName name="IQ_VEHICLE_ASSEMBLIES_LIGHT_NEW_FC" hidden="1">"c7805"</definedName>
    <definedName name="IQ_VEHICLE_ASSEMBLIES_LIGHT_NEW_POP" hidden="1">"c7145"</definedName>
    <definedName name="IQ_VEHICLE_ASSEMBLIES_LIGHT_NEW_POP_FC" hidden="1">"c8025"</definedName>
    <definedName name="IQ_VEHICLE_ASSEMBLIES_LIGHT_NEW_YOY" hidden="1">"c7365"</definedName>
    <definedName name="IQ_VEHICLE_ASSEMBLIES_LIGHT_NEW_YOY_FC" hidden="1">"c8245"</definedName>
    <definedName name="IQ_VEHICLE_ASSEMBLIES_LIGHT_POP" hidden="1">"c7125"</definedName>
    <definedName name="IQ_VEHICLE_ASSEMBLIES_LIGHT_POP_FC" hidden="1">"c8005"</definedName>
    <definedName name="IQ_VEHICLE_ASSEMBLIES_LIGHT_YOY" hidden="1">"c7345"</definedName>
    <definedName name="IQ_VEHICLE_ASSEMBLIES_LIGHT_YOY_FC" hidden="1">"c8225"</definedName>
    <definedName name="IQ_VEHICLE_ASSEMBLIES_TOTAL" hidden="1">"c7020"</definedName>
    <definedName name="IQ_VEHICLE_ASSEMBLIES_TOTAL_APR" hidden="1">"c7680"</definedName>
    <definedName name="IQ_VEHICLE_ASSEMBLIES_TOTAL_APR_FC" hidden="1">"c8560"</definedName>
    <definedName name="IQ_VEHICLE_ASSEMBLIES_TOTAL_FC" hidden="1">"c7900"</definedName>
    <definedName name="IQ_VEHICLE_ASSEMBLIES_TOTAL_POP" hidden="1">"c7240"</definedName>
    <definedName name="IQ_VEHICLE_ASSEMBLIES_TOTAL_POP_FC" hidden="1">"c8120"</definedName>
    <definedName name="IQ_VEHICLE_ASSEMBLIES_TOTAL_YOY" hidden="1">"c7460"</definedName>
    <definedName name="IQ_VEHICLE_ASSEMBLIES_TOTAL_YOY_FC" hidden="1">"c8340"</definedName>
    <definedName name="IQ_VEHICLE_LOANS" hidden="1">"c15249"</definedName>
    <definedName name="IQ_VENTURE_CAPITAL_REVENUE_FFIEC" hidden="1">"c13010"</definedName>
    <definedName name="IQ_VIF_AFTER_COST_CAPITAL_COVERED" hidden="1">"c9966"</definedName>
    <definedName name="IQ_VIF_AFTER_COST_CAPITAL_GROUP" hidden="1">"c9952"</definedName>
    <definedName name="IQ_VIF_BEFORE_COST_CAPITAL_COVERED" hidden="1">"c9964"</definedName>
    <definedName name="IQ_VIF_BEFORE_COST_CAPITAL_GROUP" hidden="1">"c9950"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VWAP" hidden="1">"c13514"</definedName>
    <definedName name="IQ_WAC_CURRENT" hidden="1">"c8961"</definedName>
    <definedName name="IQ_WAC_ORIGINAL" hidden="1">"c8953"</definedName>
    <definedName name="IQ_WAM_CURRENT" hidden="1">"c8962"</definedName>
    <definedName name="IQ_WAM_ORIGINAL" hidden="1">"c8952"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 hidden="1">50000</definedName>
    <definedName name="IQ_WEIGHTED_AVG_PRICE" hidden="1">"c1334"</definedName>
    <definedName name="IQ_WHOLESALE_INVENTORIES" hidden="1">"c7027"</definedName>
    <definedName name="IQ_WHOLESALE_INVENTORIES_APR" hidden="1">"c7687"</definedName>
    <definedName name="IQ_WHOLESALE_INVENTORIES_APR_FC" hidden="1">"c8567"</definedName>
    <definedName name="IQ_WHOLESALE_INVENTORIES_FC" hidden="1">"c7907"</definedName>
    <definedName name="IQ_WHOLESALE_INVENTORIES_POP" hidden="1">"c7247"</definedName>
    <definedName name="IQ_WHOLESALE_INVENTORIES_POP_FC" hidden="1">"c8127"</definedName>
    <definedName name="IQ_WHOLESALE_INVENTORIES_YOY" hidden="1">"c7467"</definedName>
    <definedName name="IQ_WHOLESALE_INVENTORIES_YOY_FC" hidden="1">"c8347"</definedName>
    <definedName name="IQ_WHOLESALE_IS_RATIO" hidden="1">"c7026"</definedName>
    <definedName name="IQ_WHOLESALE_IS_RATIO_FC" hidden="1">"c7906"</definedName>
    <definedName name="IQ_WHOLESALE_IS_RATIO_POP" hidden="1">"c7246"</definedName>
    <definedName name="IQ_WHOLESALE_IS_RATIO_POP_FC" hidden="1">"c8126"</definedName>
    <definedName name="IQ_WHOLESALE_IS_RATIO_YOY" hidden="1">"c7466"</definedName>
    <definedName name="IQ_WHOLESALE_IS_RATIO_YOY_FC" hidden="1">"c8346"</definedName>
    <definedName name="IQ_WHOLESALE_SALES" hidden="1">"c7028"</definedName>
    <definedName name="IQ_WHOLESALE_SALES_APR" hidden="1">"c7688"</definedName>
    <definedName name="IQ_WHOLESALE_SALES_APR_FC" hidden="1">"c8568"</definedName>
    <definedName name="IQ_WHOLESALE_SALES_FC" hidden="1">"c7908"</definedName>
    <definedName name="IQ_WHOLESALE_SALES_INDEX" hidden="1">"c7029"</definedName>
    <definedName name="IQ_WHOLESALE_SALES_INDEX_APR" hidden="1">"c7689"</definedName>
    <definedName name="IQ_WHOLESALE_SALES_INDEX_APR_FC" hidden="1">"c8569"</definedName>
    <definedName name="IQ_WHOLESALE_SALES_INDEX_FC" hidden="1">"c7909"</definedName>
    <definedName name="IQ_WHOLESALE_SALES_INDEX_POP" hidden="1">"c7249"</definedName>
    <definedName name="IQ_WHOLESALE_SALES_INDEX_POP_FC" hidden="1">"c8129"</definedName>
    <definedName name="IQ_WHOLESALE_SALES_INDEX_YOY" hidden="1">"c7469"</definedName>
    <definedName name="IQ_WHOLESALE_SALES_INDEX_YOY_FC" hidden="1">"c8349"</definedName>
    <definedName name="IQ_WHOLESALE_SALES_POP" hidden="1">"c7248"</definedName>
    <definedName name="IQ_WHOLESALE_SALES_POP_FC" hidden="1">"c8128"</definedName>
    <definedName name="IQ_WHOLESALE_SALES_YOY" hidden="1">"c7468"</definedName>
    <definedName name="IQ_WHOLESALE_SALES_YOY_FC" hidden="1">"c8348"</definedName>
    <definedName name="IQ_WIP_INV" hidden="1">"c1335"</definedName>
    <definedName name="IQ_WORKING_CAP" hidden="1">"c3494"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XDIV_DATE" hidden="1">"c2104"</definedName>
    <definedName name="IQ_YEAR_FOUNDED" hidden="1">"c6793"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IELD_FED_FUNDS_SOLD_FFIEC" hidden="1">"c13487"</definedName>
    <definedName name="IQ_YIELD_TRADING_ASSETS_FFIEC" hidden="1">"c13488"</definedName>
    <definedName name="IQ_YTD" hidden="1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QB_BOOKMARK_COUNT" hidden="1">1</definedName>
    <definedName name="IQB_BOOKMARK_LOCATION_0" hidden="1">#REF!</definedName>
    <definedName name="IQRA1" hidden="1">"$A$3:$A$2517"</definedName>
    <definedName name="IQRA2" hidden="1">"$A$3:$A$3778"</definedName>
    <definedName name="IQRA3" hidden="1">"$A$4:$A$507"</definedName>
    <definedName name="IQRA4" hidden="1">"$A$5:$A$509"</definedName>
    <definedName name="IQRA5" hidden="1">"$A$6"</definedName>
    <definedName name="IQRA6" hidden="1">"$A$7:$A$512"</definedName>
    <definedName name="IQRAB3" hidden="1">"$AB$4:$AB$507"</definedName>
    <definedName name="IQRB2" hidden="1">"$B$3:$B$3419"</definedName>
    <definedName name="IQRB6" hidden="1">"$B$7:$B$16"</definedName>
    <definedName name="IQRC3" hidden="1">"$C$4:$C$507"</definedName>
    <definedName name="IQRC6" hidden="1">"$C$7:$C$15"</definedName>
    <definedName name="IQRCompaniesH12" localSheetId="1" hidden="1">#REF!</definedName>
    <definedName name="IQRCompaniesH12" hidden="1">#REF!</definedName>
    <definedName name="IQRCompaniesH13" localSheetId="1" hidden="1">#REF!</definedName>
    <definedName name="IQRCompaniesH13" hidden="1">#REF!</definedName>
    <definedName name="IQRCompaniesH14" localSheetId="1" hidden="1">#REF!</definedName>
    <definedName name="IQRCompaniesH14" hidden="1">#REF!</definedName>
    <definedName name="IQRCompaniesH15" localSheetId="1" hidden="1">#REF!</definedName>
    <definedName name="IQRCompaniesH15" hidden="1">#REF!</definedName>
    <definedName name="IQRCompaniesH16" localSheetId="1" hidden="1">#REF!</definedName>
    <definedName name="IQRCompaniesH16" hidden="1">#REF!</definedName>
    <definedName name="IQRCompaniesH17" localSheetId="1" hidden="1">#REF!</definedName>
    <definedName name="IQRCompaniesH17" hidden="1">#REF!</definedName>
    <definedName name="IQRCompaniesH18" localSheetId="1" hidden="1">#REF!</definedName>
    <definedName name="IQRCompaniesH18" hidden="1">#REF!</definedName>
    <definedName name="IQRCompaniesH19" localSheetId="1" hidden="1">#REF!</definedName>
    <definedName name="IQRCompaniesH19" hidden="1">#REF!</definedName>
    <definedName name="IQRCompaniesN12" localSheetId="1" hidden="1">#REF!</definedName>
    <definedName name="IQRCompaniesN12" hidden="1">#REF!</definedName>
    <definedName name="IQRCompaniesN13" localSheetId="1" hidden="1">#REF!</definedName>
    <definedName name="IQRCompaniesN13" hidden="1">#REF!</definedName>
    <definedName name="IQRCompaniesN14" localSheetId="1" hidden="1">#REF!</definedName>
    <definedName name="IQRCompaniesN14" hidden="1">#REF!</definedName>
    <definedName name="IQRCompaniesN15" localSheetId="1" hidden="1">#REF!</definedName>
    <definedName name="IQRCompaniesN15" hidden="1">#REF!</definedName>
    <definedName name="IQRCompaniesN16" localSheetId="1" hidden="1">#REF!</definedName>
    <definedName name="IQRCompaniesN16" hidden="1">#REF!</definedName>
    <definedName name="IQRCompaniesN17" localSheetId="1" hidden="1">#REF!</definedName>
    <definedName name="IQRCompaniesN17" hidden="1">#REF!</definedName>
    <definedName name="IQRCompaniesN18" localSheetId="1" hidden="1">#REF!</definedName>
    <definedName name="IQRCompaniesN18" hidden="1">#REF!</definedName>
    <definedName name="IQRCompaniesN19" localSheetId="1" hidden="1">#REF!</definedName>
    <definedName name="IQRCompaniesN19" hidden="1">#REF!</definedName>
    <definedName name="IQRD3" hidden="1">"$D$4:$D$507"</definedName>
    <definedName name="IQRD5" hidden="1">"$D$6:$D$15"</definedName>
    <definedName name="IQRE3" hidden="1">"$E$4:$E$507"</definedName>
    <definedName name="IQRE6" hidden="1">"$E$7:$E$512"</definedName>
    <definedName name="IQRE7" hidden="1">"$E$8"</definedName>
    <definedName name="IQRE8" hidden="1">"$E$9"</definedName>
    <definedName name="IQRG3" hidden="1">"$G$4:$G$507"</definedName>
    <definedName name="IQRG6" hidden="1">"$G$7:$G$512"</definedName>
    <definedName name="IQRI3" hidden="1">"$I$4:$I$507"</definedName>
    <definedName name="IQRI6" hidden="1">"$I$7:$I$512"</definedName>
    <definedName name="IQRJ3" hidden="1">"$J$4:$J$507"</definedName>
    <definedName name="IQRK3" hidden="1">"$K$4:$K$507"</definedName>
    <definedName name="IQRK6" hidden="1">"$K$7:$K$512"</definedName>
    <definedName name="IQRM3" hidden="1">"$M$4:$M$507"</definedName>
    <definedName name="IQRM6" hidden="1">"$M$7:$M$512"</definedName>
    <definedName name="IQRO3" hidden="1">"$O$4:$O$507"</definedName>
    <definedName name="IQRO6" hidden="1">"$O$7:$O$512"</definedName>
    <definedName name="IQRP3" hidden="1">"$P$4:$P$507"</definedName>
    <definedName name="IQRQ3" hidden="1">"$Q$4:$Q$507"</definedName>
    <definedName name="IQRQ6" hidden="1">"$Q$7:$Q$512"</definedName>
    <definedName name="IQRS3" hidden="1">"$S$4:$S$507"</definedName>
    <definedName name="IQRS6" hidden="1">"$S$7:$S$512"</definedName>
    <definedName name="IQRTemplateC8" hidden="1">#REF!</definedName>
    <definedName name="IQRV3" hidden="1">"$V$4:$V$507"</definedName>
    <definedName name="IQRVolWPUA2" hidden="1">#REF!</definedName>
    <definedName name="IQRY3" hidden="1">"$Y$4:$Y$507"</definedName>
    <definedName name="iQShowHideColumns" hidden="1">"iQShowQuarterlyAnnual"</definedName>
    <definedName name="IsColHidden" hidden="1">FALSE</definedName>
    <definedName name="IsLTMColHidden" hidden="1">FALSE</definedName>
    <definedName name="Issuer_Name" localSheetId="1">#REF!</definedName>
    <definedName name="Issuer_Name">#REF!</definedName>
    <definedName name="iulyuilui" localSheetId="1" hidden="1">#REF!</definedName>
    <definedName name="iulyuilui" hidden="1">#REF!</definedName>
    <definedName name="j" hidden="1">#REF!</definedName>
    <definedName name="jgfe" localSheetId="3" hidden="1">{#N/A,#N/A,FALSE,"Balance Sheet";#N/A,#N/A,FALSE,"Income Statement";#N/A,#N/A,FALSE,"Partners Capital";#N/A,#N/A,FALSE,"Cash Flows";#N/A,#N/A,FALSE,"Support"}</definedName>
    <definedName name="jgfe" localSheetId="1" hidden="1">{#N/A,#N/A,FALSE,"Balance Sheet";#N/A,#N/A,FALSE,"Income Statement";#N/A,#N/A,FALSE,"Partners Capital";#N/A,#N/A,FALSE,"Cash Flows";#N/A,#N/A,FALSE,"Support"}</definedName>
    <definedName name="jgfe" hidden="1">{#N/A,#N/A,FALSE,"Balance Sheet";#N/A,#N/A,FALSE,"Income Statement";#N/A,#N/A,FALSE,"Partners Capital";#N/A,#N/A,FALSE,"Cash Flows";#N/A,#N/A,FALSE,"Support"}</definedName>
    <definedName name="jj" hidden="1">#REF!</definedName>
    <definedName name="k" hidden="1">#REF!</definedName>
    <definedName name="K2__MAXEXPCOLS__" hidden="1">100</definedName>
    <definedName name="K2__MAXEXPROWS__" hidden="1">1000</definedName>
    <definedName name="K2__WBEVMODE__" hidden="1">1</definedName>
    <definedName name="K2__WBREFOPTIONS__" hidden="1">134217728</definedName>
    <definedName name="KeyAnaly_Header" hidden="1">#REF!</definedName>
    <definedName name="keybookltm" hidden="1">#REF!</definedName>
    <definedName name="keybookty" hidden="1">#REF!</definedName>
    <definedName name="keyearnltm" hidden="1">#REF!</definedName>
    <definedName name="keyearnty" hidden="1">#REF!</definedName>
    <definedName name="keyebitdaty" hidden="1">#REF!</definedName>
    <definedName name="keyebitltm" hidden="1">#REF!</definedName>
    <definedName name="keyebitty" hidden="1">#REF!</definedName>
    <definedName name="keyformrow" hidden="1">#REF!</definedName>
    <definedName name="keyformrow2" hidden="1">#REF!</definedName>
    <definedName name="keypebitdaltm" hidden="1">#REF!</definedName>
    <definedName name="keypebitdaty" hidden="1">#REF!</definedName>
    <definedName name="keyprefeqtyty" hidden="1">#REF!</definedName>
    <definedName name="keyrevty" hidden="1">#REF!</definedName>
    <definedName name="keyshareoutty" hidden="1">#REF!</definedName>
    <definedName name="keysharepricety" hidden="1">#REF!</definedName>
    <definedName name="keytotdebtty" hidden="1">#REF!</definedName>
    <definedName name="keytyrange" hidden="1">#REF!</definedName>
    <definedName name="keytyrangeone" hidden="1">#REF!</definedName>
    <definedName name="KPMGID" localSheetId="1">#REF!</definedName>
    <definedName name="KPMGID">#REF!</definedName>
    <definedName name="l" hidden="1">#REF!</definedName>
    <definedName name="L1_YN" localSheetId="1">#REF!</definedName>
    <definedName name="L1_YN">#REF!</definedName>
    <definedName name="L2_YN" localSheetId="1">#REF!</definedName>
    <definedName name="L2_YN">#REF!</definedName>
    <definedName name="Legal_Final" localSheetId="1">#REF!</definedName>
    <definedName name="Legal_Final">#REF!</definedName>
    <definedName name="Leverage" localSheetId="1">#REF!</definedName>
    <definedName name="Leverage">#REF!</definedName>
    <definedName name="Libor_Floor" localSheetId="1">#REF!</definedName>
    <definedName name="Libor_Floor">#REF!</definedName>
    <definedName name="Libor_Floor_YN" localSheetId="1">#REF!</definedName>
    <definedName name="Libor_Floor_YN">#REF!</definedName>
    <definedName name="limcount" hidden="1">1</definedName>
    <definedName name="list1" localSheetId="1">#REF!</definedName>
    <definedName name="list1">#REF!</definedName>
    <definedName name="list10" localSheetId="1">#REF!</definedName>
    <definedName name="list10">#REF!</definedName>
    <definedName name="list2" localSheetId="1">#REF!</definedName>
    <definedName name="list2">#REF!</definedName>
    <definedName name="list4" localSheetId="1">#REF!</definedName>
    <definedName name="list4">#REF!</definedName>
    <definedName name="list5" localSheetId="1">#REF!</definedName>
    <definedName name="list5">#REF!</definedName>
    <definedName name="list7" localSheetId="1">#REF!</definedName>
    <definedName name="list7">#REF!</definedName>
    <definedName name="list8" localSheetId="1">#REF!</definedName>
    <definedName name="list8">#REF!</definedName>
    <definedName name="list9" localSheetId="1">#REF!</definedName>
    <definedName name="list9">#REF!</definedName>
    <definedName name="ListOffset" hidden="1">1</definedName>
    <definedName name="LN_Current_Margin" localSheetId="1">#REF!</definedName>
    <definedName name="LN_Current_Margin">#REF!</definedName>
    <definedName name="LoanYieldDaily">OFFSET(#REF!,COUNTA(#REF!)-1,0,-254,1)</definedName>
    <definedName name="LossCurveNo." localSheetId="1">#REF!</definedName>
    <definedName name="LossCurveNo.">#REF!</definedName>
    <definedName name="LTMEBITDA" localSheetId="1">#REF!</definedName>
    <definedName name="LTMEBITDA">#REF!</definedName>
    <definedName name="ltmnonasset4" hidden="1">#REF!</definedName>
    <definedName name="ltmnonliab4" hidden="1">#REF!</definedName>
    <definedName name="m" localSheetId="3" hidden="1">{#N/A,#N/A,FALSE,"Balance Sheet";#N/A,#N/A,FALSE,"Income Statement";#N/A,#N/A,FALSE,"Partners Capital";#N/A,#N/A,FALSE,"Cash Flows";#N/A,#N/A,FALSE,"Support"}</definedName>
    <definedName name="m" localSheetId="1" hidden="1">{#N/A,#N/A,FALSE,"Balance Sheet";#N/A,#N/A,FALSE,"Income Statement";#N/A,#N/A,FALSE,"Partners Capital";#N/A,#N/A,FALSE,"Cash Flows";#N/A,#N/A,FALSE,"Support"}</definedName>
    <definedName name="m" hidden="1">{#N/A,#N/A,FALSE,"Balance Sheet";#N/A,#N/A,FALSE,"Income Statement";#N/A,#N/A,FALSE,"Partners Capital";#N/A,#N/A,FALSE,"Cash Flows";#N/A,#N/A,FALSE,"Support"}</definedName>
    <definedName name="maal" hidden="1">#REF!</definedName>
    <definedName name="Macro2" localSheetId="1">#REF!</definedName>
    <definedName name="Macro2" localSheetId="5">#REF!</definedName>
    <definedName name="Macro2">#REF!</definedName>
    <definedName name="Macro3" localSheetId="1">#REF!</definedName>
    <definedName name="Macro3" localSheetId="5">#REF!</definedName>
    <definedName name="Macro3">#REF!</definedName>
    <definedName name="maincbo" localSheetId="3" hidden="1">{"LIBOR",#N/A,TRUE,"Model";"Caps",#N/A,TRUE,"Model";"Assets",#N/A,TRUE,"Model";"Liabilities",#N/A,TRUE,"Model";"Tests",#N/A,TRUE,"Model";"Results",#N/A,TRUE,"Model"}</definedName>
    <definedName name="maincbo" localSheetId="1" hidden="1">{"LIBOR",#N/A,TRUE,"Model";"Caps",#N/A,TRUE,"Model";"Assets",#N/A,TRUE,"Model";"Liabilities",#N/A,TRUE,"Model";"Tests",#N/A,TRUE,"Model";"Results",#N/A,TRUE,"Model"}</definedName>
    <definedName name="maincbo" hidden="1">{"LIBOR",#N/A,TRUE,"Model";"Caps",#N/A,TRUE,"Model";"Assets",#N/A,TRUE,"Model";"Liabilities",#N/A,TRUE,"Model";"Tests",#N/A,TRUE,"Model";"Results",#N/A,TRUE,"Model"}</definedName>
    <definedName name="maincbo_1" localSheetId="3" hidden="1">{"LIBOR",#N/A,TRUE,"Model";"Caps",#N/A,TRUE,"Model";"Assets",#N/A,TRUE,"Model";"Liabilities",#N/A,TRUE,"Model";"Tests",#N/A,TRUE,"Model";"Results",#N/A,TRUE,"Model"}</definedName>
    <definedName name="maincbo_1" localSheetId="1" hidden="1">{"LIBOR",#N/A,TRUE,"Model";"Caps",#N/A,TRUE,"Model";"Assets",#N/A,TRUE,"Model";"Liabilities",#N/A,TRUE,"Model";"Tests",#N/A,TRUE,"Model";"Results",#N/A,TRUE,"Model"}</definedName>
    <definedName name="maincbo_1" hidden="1">{"LIBOR",#N/A,TRUE,"Model";"Caps",#N/A,TRUE,"Model";"Assets",#N/A,TRUE,"Model";"Liabilities",#N/A,TRUE,"Model";"Tests",#N/A,TRUE,"Model";"Results",#N/A,TRUE,"Model"}</definedName>
    <definedName name="maincbo_1_1" localSheetId="3" hidden="1">{"LIBOR",#N/A,TRUE,"Model";"Caps",#N/A,TRUE,"Model";"Assets",#N/A,TRUE,"Model";"Liabilities",#N/A,TRUE,"Model";"Tests",#N/A,TRUE,"Model";"Results",#N/A,TRUE,"Model"}</definedName>
    <definedName name="maincbo_1_1" localSheetId="1" hidden="1">{"LIBOR",#N/A,TRUE,"Model";"Caps",#N/A,TRUE,"Model";"Assets",#N/A,TRUE,"Model";"Liabilities",#N/A,TRUE,"Model";"Tests",#N/A,TRUE,"Model";"Results",#N/A,TRUE,"Model"}</definedName>
    <definedName name="maincbo_1_1" hidden="1">{"LIBOR",#N/A,TRUE,"Model";"Caps",#N/A,TRUE,"Model";"Assets",#N/A,TRUE,"Model";"Liabilities",#N/A,TRUE,"Model";"Tests",#N/A,TRUE,"Model";"Results",#N/A,TRUE,"Model"}</definedName>
    <definedName name="maincbo_1_1_1" localSheetId="3" hidden="1">{"LIBOR",#N/A,TRUE,"Model";"Caps",#N/A,TRUE,"Model";"Assets",#N/A,TRUE,"Model";"Liabilities",#N/A,TRUE,"Model";"Tests",#N/A,TRUE,"Model";"Results",#N/A,TRUE,"Model"}</definedName>
    <definedName name="maincbo_1_1_1" localSheetId="1" hidden="1">{"LIBOR",#N/A,TRUE,"Model";"Caps",#N/A,TRUE,"Model";"Assets",#N/A,TRUE,"Model";"Liabilities",#N/A,TRUE,"Model";"Tests",#N/A,TRUE,"Model";"Results",#N/A,TRUE,"Model"}</definedName>
    <definedName name="maincbo_1_1_1" hidden="1">{"LIBOR",#N/A,TRUE,"Model";"Caps",#N/A,TRUE,"Model";"Assets",#N/A,TRUE,"Model";"Liabilities",#N/A,TRUE,"Model";"Tests",#N/A,TRUE,"Model";"Results",#N/A,TRUE,"Model"}</definedName>
    <definedName name="maincbo_1_1_1_1" localSheetId="3" hidden="1">{"LIBOR",#N/A,TRUE,"Model";"Caps",#N/A,TRUE,"Model";"Assets",#N/A,TRUE,"Model";"Liabilities",#N/A,TRUE,"Model";"Tests",#N/A,TRUE,"Model";"Results",#N/A,TRUE,"Model"}</definedName>
    <definedName name="maincbo_1_1_1_1" localSheetId="1" hidden="1">{"LIBOR",#N/A,TRUE,"Model";"Caps",#N/A,TRUE,"Model";"Assets",#N/A,TRUE,"Model";"Liabilities",#N/A,TRUE,"Model";"Tests",#N/A,TRUE,"Model";"Results",#N/A,TRUE,"Model"}</definedName>
    <definedName name="maincbo_1_1_1_1" hidden="1">{"LIBOR",#N/A,TRUE,"Model";"Caps",#N/A,TRUE,"Model";"Assets",#N/A,TRUE,"Model";"Liabilities",#N/A,TRUE,"Model";"Tests",#N/A,TRUE,"Model";"Results",#N/A,TRUE,"Model"}</definedName>
    <definedName name="maincbo_1_2" localSheetId="3" hidden="1">{"LIBOR",#N/A,TRUE,"Model";"Caps",#N/A,TRUE,"Model";"Assets",#N/A,TRUE,"Model";"Liabilities",#N/A,TRUE,"Model";"Tests",#N/A,TRUE,"Model";"Results",#N/A,TRUE,"Model"}</definedName>
    <definedName name="maincbo_1_2" localSheetId="1" hidden="1">{"LIBOR",#N/A,TRUE,"Model";"Caps",#N/A,TRUE,"Model";"Assets",#N/A,TRUE,"Model";"Liabilities",#N/A,TRUE,"Model";"Tests",#N/A,TRUE,"Model";"Results",#N/A,TRUE,"Model"}</definedName>
    <definedName name="maincbo_1_2" hidden="1">{"LIBOR",#N/A,TRUE,"Model";"Caps",#N/A,TRUE,"Model";"Assets",#N/A,TRUE,"Model";"Liabilities",#N/A,TRUE,"Model";"Tests",#N/A,TRUE,"Model";"Results",#N/A,TRUE,"Model"}</definedName>
    <definedName name="maincbo_1_2_1" localSheetId="3" hidden="1">{"LIBOR",#N/A,TRUE,"Model";"Caps",#N/A,TRUE,"Model";"Assets",#N/A,TRUE,"Model";"Liabilities",#N/A,TRUE,"Model";"Tests",#N/A,TRUE,"Model";"Results",#N/A,TRUE,"Model"}</definedName>
    <definedName name="maincbo_1_2_1" localSheetId="1" hidden="1">{"LIBOR",#N/A,TRUE,"Model";"Caps",#N/A,TRUE,"Model";"Assets",#N/A,TRUE,"Model";"Liabilities",#N/A,TRUE,"Model";"Tests",#N/A,TRUE,"Model";"Results",#N/A,TRUE,"Model"}</definedName>
    <definedName name="maincbo_1_2_1" hidden="1">{"LIBOR",#N/A,TRUE,"Model";"Caps",#N/A,TRUE,"Model";"Assets",#N/A,TRUE,"Model";"Liabilities",#N/A,TRUE,"Model";"Tests",#N/A,TRUE,"Model";"Results",#N/A,TRUE,"Model"}</definedName>
    <definedName name="maincbo_1_3" localSheetId="3" hidden="1">{"LIBOR",#N/A,TRUE,"Model";"Caps",#N/A,TRUE,"Model";"Assets",#N/A,TRUE,"Model";"Liabilities",#N/A,TRUE,"Model";"Tests",#N/A,TRUE,"Model";"Results",#N/A,TRUE,"Model"}</definedName>
    <definedName name="maincbo_1_3" localSheetId="1" hidden="1">{"LIBOR",#N/A,TRUE,"Model";"Caps",#N/A,TRUE,"Model";"Assets",#N/A,TRUE,"Model";"Liabilities",#N/A,TRUE,"Model";"Tests",#N/A,TRUE,"Model";"Results",#N/A,TRUE,"Model"}</definedName>
    <definedName name="maincbo_1_3" hidden="1">{"LIBOR",#N/A,TRUE,"Model";"Caps",#N/A,TRUE,"Model";"Assets",#N/A,TRUE,"Model";"Liabilities",#N/A,TRUE,"Model";"Tests",#N/A,TRUE,"Model";"Results",#N/A,TRUE,"Model"}</definedName>
    <definedName name="maincbo_1_3_1" localSheetId="3" hidden="1">{"LIBOR",#N/A,TRUE,"Model";"Caps",#N/A,TRUE,"Model";"Assets",#N/A,TRUE,"Model";"Liabilities",#N/A,TRUE,"Model";"Tests",#N/A,TRUE,"Model";"Results",#N/A,TRUE,"Model"}</definedName>
    <definedName name="maincbo_1_3_1" localSheetId="1" hidden="1">{"LIBOR",#N/A,TRUE,"Model";"Caps",#N/A,TRUE,"Model";"Assets",#N/A,TRUE,"Model";"Liabilities",#N/A,TRUE,"Model";"Tests",#N/A,TRUE,"Model";"Results",#N/A,TRUE,"Model"}</definedName>
    <definedName name="maincbo_1_3_1" hidden="1">{"LIBOR",#N/A,TRUE,"Model";"Caps",#N/A,TRUE,"Model";"Assets",#N/A,TRUE,"Model";"Liabilities",#N/A,TRUE,"Model";"Tests",#N/A,TRUE,"Model";"Results",#N/A,TRUE,"Model"}</definedName>
    <definedName name="maincbo_1_4" localSheetId="3" hidden="1">{"LIBOR",#N/A,TRUE,"Model";"Caps",#N/A,TRUE,"Model";"Assets",#N/A,TRUE,"Model";"Liabilities",#N/A,TRUE,"Model";"Tests",#N/A,TRUE,"Model";"Results",#N/A,TRUE,"Model"}</definedName>
    <definedName name="maincbo_1_4" localSheetId="1" hidden="1">{"LIBOR",#N/A,TRUE,"Model";"Caps",#N/A,TRUE,"Model";"Assets",#N/A,TRUE,"Model";"Liabilities",#N/A,TRUE,"Model";"Tests",#N/A,TRUE,"Model";"Results",#N/A,TRUE,"Model"}</definedName>
    <definedName name="maincbo_1_4" hidden="1">{"LIBOR",#N/A,TRUE,"Model";"Caps",#N/A,TRUE,"Model";"Assets",#N/A,TRUE,"Model";"Liabilities",#N/A,TRUE,"Model";"Tests",#N/A,TRUE,"Model";"Results",#N/A,TRUE,"Model"}</definedName>
    <definedName name="maincbo_2" localSheetId="3" hidden="1">{"LIBOR",#N/A,TRUE,"Model";"Caps",#N/A,TRUE,"Model";"Assets",#N/A,TRUE,"Model";"Liabilities",#N/A,TRUE,"Model";"Tests",#N/A,TRUE,"Model";"Results",#N/A,TRUE,"Model"}</definedName>
    <definedName name="maincbo_2" localSheetId="1" hidden="1">{"LIBOR",#N/A,TRUE,"Model";"Caps",#N/A,TRUE,"Model";"Assets",#N/A,TRUE,"Model";"Liabilities",#N/A,TRUE,"Model";"Tests",#N/A,TRUE,"Model";"Results",#N/A,TRUE,"Model"}</definedName>
    <definedName name="maincbo_2" hidden="1">{"LIBOR",#N/A,TRUE,"Model";"Caps",#N/A,TRUE,"Model";"Assets",#N/A,TRUE,"Model";"Liabilities",#N/A,TRUE,"Model";"Tests",#N/A,TRUE,"Model";"Results",#N/A,TRUE,"Model"}</definedName>
    <definedName name="maincbo_2_1" localSheetId="3" hidden="1">{"LIBOR",#N/A,TRUE,"Model";"Caps",#N/A,TRUE,"Model";"Assets",#N/A,TRUE,"Model";"Liabilities",#N/A,TRUE,"Model";"Tests",#N/A,TRUE,"Model";"Results",#N/A,TRUE,"Model"}</definedName>
    <definedName name="maincbo_2_1" localSheetId="1" hidden="1">{"LIBOR",#N/A,TRUE,"Model";"Caps",#N/A,TRUE,"Model";"Assets",#N/A,TRUE,"Model";"Liabilities",#N/A,TRUE,"Model";"Tests",#N/A,TRUE,"Model";"Results",#N/A,TRUE,"Model"}</definedName>
    <definedName name="maincbo_2_1" hidden="1">{"LIBOR",#N/A,TRUE,"Model";"Caps",#N/A,TRUE,"Model";"Assets",#N/A,TRUE,"Model";"Liabilities",#N/A,TRUE,"Model";"Tests",#N/A,TRUE,"Model";"Results",#N/A,TRUE,"Model"}</definedName>
    <definedName name="maincbo_2_1_1" localSheetId="3" hidden="1">{"LIBOR",#N/A,TRUE,"Model";"Caps",#N/A,TRUE,"Model";"Assets",#N/A,TRUE,"Model";"Liabilities",#N/A,TRUE,"Model";"Tests",#N/A,TRUE,"Model";"Results",#N/A,TRUE,"Model"}</definedName>
    <definedName name="maincbo_2_1_1" localSheetId="1" hidden="1">{"LIBOR",#N/A,TRUE,"Model";"Caps",#N/A,TRUE,"Model";"Assets",#N/A,TRUE,"Model";"Liabilities",#N/A,TRUE,"Model";"Tests",#N/A,TRUE,"Model";"Results",#N/A,TRUE,"Model"}</definedName>
    <definedName name="maincbo_2_1_1" hidden="1">{"LIBOR",#N/A,TRUE,"Model";"Caps",#N/A,TRUE,"Model";"Assets",#N/A,TRUE,"Model";"Liabilities",#N/A,TRUE,"Model";"Tests",#N/A,TRUE,"Model";"Results",#N/A,TRUE,"Model"}</definedName>
    <definedName name="maincbo_2_1_1_1" localSheetId="3" hidden="1">{"LIBOR",#N/A,TRUE,"Model";"Caps",#N/A,TRUE,"Model";"Assets",#N/A,TRUE,"Model";"Liabilities",#N/A,TRUE,"Model";"Tests",#N/A,TRUE,"Model";"Results",#N/A,TRUE,"Model"}</definedName>
    <definedName name="maincbo_2_1_1_1" localSheetId="1" hidden="1">{"LIBOR",#N/A,TRUE,"Model";"Caps",#N/A,TRUE,"Model";"Assets",#N/A,TRUE,"Model";"Liabilities",#N/A,TRUE,"Model";"Tests",#N/A,TRUE,"Model";"Results",#N/A,TRUE,"Model"}</definedName>
    <definedName name="maincbo_2_1_1_1" hidden="1">{"LIBOR",#N/A,TRUE,"Model";"Caps",#N/A,TRUE,"Model";"Assets",#N/A,TRUE,"Model";"Liabilities",#N/A,TRUE,"Model";"Tests",#N/A,TRUE,"Model";"Results",#N/A,TRUE,"Model"}</definedName>
    <definedName name="maincbo_2_2" localSheetId="3" hidden="1">{"LIBOR",#N/A,TRUE,"Model";"Caps",#N/A,TRUE,"Model";"Assets",#N/A,TRUE,"Model";"Liabilities",#N/A,TRUE,"Model";"Tests",#N/A,TRUE,"Model";"Results",#N/A,TRUE,"Model"}</definedName>
    <definedName name="maincbo_2_2" localSheetId="1" hidden="1">{"LIBOR",#N/A,TRUE,"Model";"Caps",#N/A,TRUE,"Model";"Assets",#N/A,TRUE,"Model";"Liabilities",#N/A,TRUE,"Model";"Tests",#N/A,TRUE,"Model";"Results",#N/A,TRUE,"Model"}</definedName>
    <definedName name="maincbo_2_2" hidden="1">{"LIBOR",#N/A,TRUE,"Model";"Caps",#N/A,TRUE,"Model";"Assets",#N/A,TRUE,"Model";"Liabilities",#N/A,TRUE,"Model";"Tests",#N/A,TRUE,"Model";"Results",#N/A,TRUE,"Model"}</definedName>
    <definedName name="maincbo_2_2_1" localSheetId="3" hidden="1">{"LIBOR",#N/A,TRUE,"Model";"Caps",#N/A,TRUE,"Model";"Assets",#N/A,TRUE,"Model";"Liabilities",#N/A,TRUE,"Model";"Tests",#N/A,TRUE,"Model";"Results",#N/A,TRUE,"Model"}</definedName>
    <definedName name="maincbo_2_2_1" localSheetId="1" hidden="1">{"LIBOR",#N/A,TRUE,"Model";"Caps",#N/A,TRUE,"Model";"Assets",#N/A,TRUE,"Model";"Liabilities",#N/A,TRUE,"Model";"Tests",#N/A,TRUE,"Model";"Results",#N/A,TRUE,"Model"}</definedName>
    <definedName name="maincbo_2_2_1" hidden="1">{"LIBOR",#N/A,TRUE,"Model";"Caps",#N/A,TRUE,"Model";"Assets",#N/A,TRUE,"Model";"Liabilities",#N/A,TRUE,"Model";"Tests",#N/A,TRUE,"Model";"Results",#N/A,TRUE,"Model"}</definedName>
    <definedName name="maincbo_2_3" localSheetId="3" hidden="1">{"LIBOR",#N/A,TRUE,"Model";"Caps",#N/A,TRUE,"Model";"Assets",#N/A,TRUE,"Model";"Liabilities",#N/A,TRUE,"Model";"Tests",#N/A,TRUE,"Model";"Results",#N/A,TRUE,"Model"}</definedName>
    <definedName name="maincbo_2_3" localSheetId="1" hidden="1">{"LIBOR",#N/A,TRUE,"Model";"Caps",#N/A,TRUE,"Model";"Assets",#N/A,TRUE,"Model";"Liabilities",#N/A,TRUE,"Model";"Tests",#N/A,TRUE,"Model";"Results",#N/A,TRUE,"Model"}</definedName>
    <definedName name="maincbo_2_3" hidden="1">{"LIBOR",#N/A,TRUE,"Model";"Caps",#N/A,TRUE,"Model";"Assets",#N/A,TRUE,"Model";"Liabilities",#N/A,TRUE,"Model";"Tests",#N/A,TRUE,"Model";"Results",#N/A,TRUE,"Model"}</definedName>
    <definedName name="maincbo_3" localSheetId="3" hidden="1">{"LIBOR",#N/A,TRUE,"Model";"Caps",#N/A,TRUE,"Model";"Assets",#N/A,TRUE,"Model";"Liabilities",#N/A,TRUE,"Model";"Tests",#N/A,TRUE,"Model";"Results",#N/A,TRUE,"Model"}</definedName>
    <definedName name="maincbo_3" localSheetId="1" hidden="1">{"LIBOR",#N/A,TRUE,"Model";"Caps",#N/A,TRUE,"Model";"Assets",#N/A,TRUE,"Model";"Liabilities",#N/A,TRUE,"Model";"Tests",#N/A,TRUE,"Model";"Results",#N/A,TRUE,"Model"}</definedName>
    <definedName name="maincbo_3" hidden="1">{"LIBOR",#N/A,TRUE,"Model";"Caps",#N/A,TRUE,"Model";"Assets",#N/A,TRUE,"Model";"Liabilities",#N/A,TRUE,"Model";"Tests",#N/A,TRUE,"Model";"Results",#N/A,TRUE,"Model"}</definedName>
    <definedName name="maincbo_3_1" localSheetId="3" hidden="1">{"LIBOR",#N/A,TRUE,"Model";"Caps",#N/A,TRUE,"Model";"Assets",#N/A,TRUE,"Model";"Liabilities",#N/A,TRUE,"Model";"Tests",#N/A,TRUE,"Model";"Results",#N/A,TRUE,"Model"}</definedName>
    <definedName name="maincbo_3_1" localSheetId="1" hidden="1">{"LIBOR",#N/A,TRUE,"Model";"Caps",#N/A,TRUE,"Model";"Assets",#N/A,TRUE,"Model";"Liabilities",#N/A,TRUE,"Model";"Tests",#N/A,TRUE,"Model";"Results",#N/A,TRUE,"Model"}</definedName>
    <definedName name="maincbo_3_1" hidden="1">{"LIBOR",#N/A,TRUE,"Model";"Caps",#N/A,TRUE,"Model";"Assets",#N/A,TRUE,"Model";"Liabilities",#N/A,TRUE,"Model";"Tests",#N/A,TRUE,"Model";"Results",#N/A,TRUE,"Model"}</definedName>
    <definedName name="maincbo_3_1_1" localSheetId="3" hidden="1">{"LIBOR",#N/A,TRUE,"Model";"Caps",#N/A,TRUE,"Model";"Assets",#N/A,TRUE,"Model";"Liabilities",#N/A,TRUE,"Model";"Tests",#N/A,TRUE,"Model";"Results",#N/A,TRUE,"Model"}</definedName>
    <definedName name="maincbo_3_1_1" localSheetId="1" hidden="1">{"LIBOR",#N/A,TRUE,"Model";"Caps",#N/A,TRUE,"Model";"Assets",#N/A,TRUE,"Model";"Liabilities",#N/A,TRUE,"Model";"Tests",#N/A,TRUE,"Model";"Results",#N/A,TRUE,"Model"}</definedName>
    <definedName name="maincbo_3_1_1" hidden="1">{"LIBOR",#N/A,TRUE,"Model";"Caps",#N/A,TRUE,"Model";"Assets",#N/A,TRUE,"Model";"Liabilities",#N/A,TRUE,"Model";"Tests",#N/A,TRUE,"Model";"Results",#N/A,TRUE,"Model"}</definedName>
    <definedName name="maincbo_3_1_1_1" localSheetId="3" hidden="1">{"LIBOR",#N/A,TRUE,"Model";"Caps",#N/A,TRUE,"Model";"Assets",#N/A,TRUE,"Model";"Liabilities",#N/A,TRUE,"Model";"Tests",#N/A,TRUE,"Model";"Results",#N/A,TRUE,"Model"}</definedName>
    <definedName name="maincbo_3_1_1_1" localSheetId="1" hidden="1">{"LIBOR",#N/A,TRUE,"Model";"Caps",#N/A,TRUE,"Model";"Assets",#N/A,TRUE,"Model";"Liabilities",#N/A,TRUE,"Model";"Tests",#N/A,TRUE,"Model";"Results",#N/A,TRUE,"Model"}</definedName>
    <definedName name="maincbo_3_1_1_1" hidden="1">{"LIBOR",#N/A,TRUE,"Model";"Caps",#N/A,TRUE,"Model";"Assets",#N/A,TRUE,"Model";"Liabilities",#N/A,TRUE,"Model";"Tests",#N/A,TRUE,"Model";"Results",#N/A,TRUE,"Model"}</definedName>
    <definedName name="maincbo_3_2" localSheetId="3" hidden="1">{"LIBOR",#N/A,TRUE,"Model";"Caps",#N/A,TRUE,"Model";"Assets",#N/A,TRUE,"Model";"Liabilities",#N/A,TRUE,"Model";"Tests",#N/A,TRUE,"Model";"Results",#N/A,TRUE,"Model"}</definedName>
    <definedName name="maincbo_3_2" localSheetId="1" hidden="1">{"LIBOR",#N/A,TRUE,"Model";"Caps",#N/A,TRUE,"Model";"Assets",#N/A,TRUE,"Model";"Liabilities",#N/A,TRUE,"Model";"Tests",#N/A,TRUE,"Model";"Results",#N/A,TRUE,"Model"}</definedName>
    <definedName name="maincbo_3_2" hidden="1">{"LIBOR",#N/A,TRUE,"Model";"Caps",#N/A,TRUE,"Model";"Assets",#N/A,TRUE,"Model";"Liabilities",#N/A,TRUE,"Model";"Tests",#N/A,TRUE,"Model";"Results",#N/A,TRUE,"Model"}</definedName>
    <definedName name="maincbo_3_2_1" localSheetId="3" hidden="1">{"LIBOR",#N/A,TRUE,"Model";"Caps",#N/A,TRUE,"Model";"Assets",#N/A,TRUE,"Model";"Liabilities",#N/A,TRUE,"Model";"Tests",#N/A,TRUE,"Model";"Results",#N/A,TRUE,"Model"}</definedName>
    <definedName name="maincbo_3_2_1" localSheetId="1" hidden="1">{"LIBOR",#N/A,TRUE,"Model";"Caps",#N/A,TRUE,"Model";"Assets",#N/A,TRUE,"Model";"Liabilities",#N/A,TRUE,"Model";"Tests",#N/A,TRUE,"Model";"Results",#N/A,TRUE,"Model"}</definedName>
    <definedName name="maincbo_3_2_1" hidden="1">{"LIBOR",#N/A,TRUE,"Model";"Caps",#N/A,TRUE,"Model";"Assets",#N/A,TRUE,"Model";"Liabilities",#N/A,TRUE,"Model";"Tests",#N/A,TRUE,"Model";"Results",#N/A,TRUE,"Model"}</definedName>
    <definedName name="maincbo_3_3" localSheetId="3" hidden="1">{"LIBOR",#N/A,TRUE,"Model";"Caps",#N/A,TRUE,"Model";"Assets",#N/A,TRUE,"Model";"Liabilities",#N/A,TRUE,"Model";"Tests",#N/A,TRUE,"Model";"Results",#N/A,TRUE,"Model"}</definedName>
    <definedName name="maincbo_3_3" localSheetId="1" hidden="1">{"LIBOR",#N/A,TRUE,"Model";"Caps",#N/A,TRUE,"Model";"Assets",#N/A,TRUE,"Model";"Liabilities",#N/A,TRUE,"Model";"Tests",#N/A,TRUE,"Model";"Results",#N/A,TRUE,"Model"}</definedName>
    <definedName name="maincbo_3_3" hidden="1">{"LIBOR",#N/A,TRUE,"Model";"Caps",#N/A,TRUE,"Model";"Assets",#N/A,TRUE,"Model";"Liabilities",#N/A,TRUE,"Model";"Tests",#N/A,TRUE,"Model";"Results",#N/A,TRUE,"Model"}</definedName>
    <definedName name="maincbo_4" localSheetId="3" hidden="1">{"LIBOR",#N/A,TRUE,"Model";"Caps",#N/A,TRUE,"Model";"Assets",#N/A,TRUE,"Model";"Liabilities",#N/A,TRUE,"Model";"Tests",#N/A,TRUE,"Model";"Results",#N/A,TRUE,"Model"}</definedName>
    <definedName name="maincbo_4" localSheetId="1" hidden="1">{"LIBOR",#N/A,TRUE,"Model";"Caps",#N/A,TRUE,"Model";"Assets",#N/A,TRUE,"Model";"Liabilities",#N/A,TRUE,"Model";"Tests",#N/A,TRUE,"Model";"Results",#N/A,TRUE,"Model"}</definedName>
    <definedName name="maincbo_4" hidden="1">{"LIBOR",#N/A,TRUE,"Model";"Caps",#N/A,TRUE,"Model";"Assets",#N/A,TRUE,"Model";"Liabilities",#N/A,TRUE,"Model";"Tests",#N/A,TRUE,"Model";"Results",#N/A,TRUE,"Model"}</definedName>
    <definedName name="maincbo_4_1" localSheetId="3" hidden="1">{"LIBOR",#N/A,TRUE,"Model";"Caps",#N/A,TRUE,"Model";"Assets",#N/A,TRUE,"Model";"Liabilities",#N/A,TRUE,"Model";"Tests",#N/A,TRUE,"Model";"Results",#N/A,TRUE,"Model"}</definedName>
    <definedName name="maincbo_4_1" localSheetId="1" hidden="1">{"LIBOR",#N/A,TRUE,"Model";"Caps",#N/A,TRUE,"Model";"Assets",#N/A,TRUE,"Model";"Liabilities",#N/A,TRUE,"Model";"Tests",#N/A,TRUE,"Model";"Results",#N/A,TRUE,"Model"}</definedName>
    <definedName name="maincbo_4_1" hidden="1">{"LIBOR",#N/A,TRUE,"Model";"Caps",#N/A,TRUE,"Model";"Assets",#N/A,TRUE,"Model";"Liabilities",#N/A,TRUE,"Model";"Tests",#N/A,TRUE,"Model";"Results",#N/A,TRUE,"Model"}</definedName>
    <definedName name="maincbo_4_1_1" localSheetId="3" hidden="1">{"LIBOR",#N/A,TRUE,"Model";"Caps",#N/A,TRUE,"Model";"Assets",#N/A,TRUE,"Model";"Liabilities",#N/A,TRUE,"Model";"Tests",#N/A,TRUE,"Model";"Results",#N/A,TRUE,"Model"}</definedName>
    <definedName name="maincbo_4_1_1" localSheetId="1" hidden="1">{"LIBOR",#N/A,TRUE,"Model";"Caps",#N/A,TRUE,"Model";"Assets",#N/A,TRUE,"Model";"Liabilities",#N/A,TRUE,"Model";"Tests",#N/A,TRUE,"Model";"Results",#N/A,TRUE,"Model"}</definedName>
    <definedName name="maincbo_4_1_1" hidden="1">{"LIBOR",#N/A,TRUE,"Model";"Caps",#N/A,TRUE,"Model";"Assets",#N/A,TRUE,"Model";"Liabilities",#N/A,TRUE,"Model";"Tests",#N/A,TRUE,"Model";"Results",#N/A,TRUE,"Model"}</definedName>
    <definedName name="maincbo_4_1_1_1" localSheetId="3" hidden="1">{"LIBOR",#N/A,TRUE,"Model";"Caps",#N/A,TRUE,"Model";"Assets",#N/A,TRUE,"Model";"Liabilities",#N/A,TRUE,"Model";"Tests",#N/A,TRUE,"Model";"Results",#N/A,TRUE,"Model"}</definedName>
    <definedName name="maincbo_4_1_1_1" localSheetId="1" hidden="1">{"LIBOR",#N/A,TRUE,"Model";"Caps",#N/A,TRUE,"Model";"Assets",#N/A,TRUE,"Model";"Liabilities",#N/A,TRUE,"Model";"Tests",#N/A,TRUE,"Model";"Results",#N/A,TRUE,"Model"}</definedName>
    <definedName name="maincbo_4_1_1_1" hidden="1">{"LIBOR",#N/A,TRUE,"Model";"Caps",#N/A,TRUE,"Model";"Assets",#N/A,TRUE,"Model";"Liabilities",#N/A,TRUE,"Model";"Tests",#N/A,TRUE,"Model";"Results",#N/A,TRUE,"Model"}</definedName>
    <definedName name="maincbo_4_2" localSheetId="3" hidden="1">{"LIBOR",#N/A,TRUE,"Model";"Caps",#N/A,TRUE,"Model";"Assets",#N/A,TRUE,"Model";"Liabilities",#N/A,TRUE,"Model";"Tests",#N/A,TRUE,"Model";"Results",#N/A,TRUE,"Model"}</definedName>
    <definedName name="maincbo_4_2" localSheetId="1" hidden="1">{"LIBOR",#N/A,TRUE,"Model";"Caps",#N/A,TRUE,"Model";"Assets",#N/A,TRUE,"Model";"Liabilities",#N/A,TRUE,"Model";"Tests",#N/A,TRUE,"Model";"Results",#N/A,TRUE,"Model"}</definedName>
    <definedName name="maincbo_4_2" hidden="1">{"LIBOR",#N/A,TRUE,"Model";"Caps",#N/A,TRUE,"Model";"Assets",#N/A,TRUE,"Model";"Liabilities",#N/A,TRUE,"Model";"Tests",#N/A,TRUE,"Model";"Results",#N/A,TRUE,"Model"}</definedName>
    <definedName name="maincbo_4_2_1" localSheetId="3" hidden="1">{"LIBOR",#N/A,TRUE,"Model";"Caps",#N/A,TRUE,"Model";"Assets",#N/A,TRUE,"Model";"Liabilities",#N/A,TRUE,"Model";"Tests",#N/A,TRUE,"Model";"Results",#N/A,TRUE,"Model"}</definedName>
    <definedName name="maincbo_4_2_1" localSheetId="1" hidden="1">{"LIBOR",#N/A,TRUE,"Model";"Caps",#N/A,TRUE,"Model";"Assets",#N/A,TRUE,"Model";"Liabilities",#N/A,TRUE,"Model";"Tests",#N/A,TRUE,"Model";"Results",#N/A,TRUE,"Model"}</definedName>
    <definedName name="maincbo_4_2_1" hidden="1">{"LIBOR",#N/A,TRUE,"Model";"Caps",#N/A,TRUE,"Model";"Assets",#N/A,TRUE,"Model";"Liabilities",#N/A,TRUE,"Model";"Tests",#N/A,TRUE,"Model";"Results",#N/A,TRUE,"Model"}</definedName>
    <definedName name="maincbo_4_3" localSheetId="3" hidden="1">{"LIBOR",#N/A,TRUE,"Model";"Caps",#N/A,TRUE,"Model";"Assets",#N/A,TRUE,"Model";"Liabilities",#N/A,TRUE,"Model";"Tests",#N/A,TRUE,"Model";"Results",#N/A,TRUE,"Model"}</definedName>
    <definedName name="maincbo_4_3" localSheetId="1" hidden="1">{"LIBOR",#N/A,TRUE,"Model";"Caps",#N/A,TRUE,"Model";"Assets",#N/A,TRUE,"Model";"Liabilities",#N/A,TRUE,"Model";"Tests",#N/A,TRUE,"Model";"Results",#N/A,TRUE,"Model"}</definedName>
    <definedName name="maincbo_4_3" hidden="1">{"LIBOR",#N/A,TRUE,"Model";"Caps",#N/A,TRUE,"Model";"Assets",#N/A,TRUE,"Model";"Liabilities",#N/A,TRUE,"Model";"Tests",#N/A,TRUE,"Model";"Results",#N/A,TRUE,"Model"}</definedName>
    <definedName name="maincbo_5" localSheetId="3" hidden="1">{"LIBOR",#N/A,TRUE,"Model";"Caps",#N/A,TRUE,"Model";"Assets",#N/A,TRUE,"Model";"Liabilities",#N/A,TRUE,"Model";"Tests",#N/A,TRUE,"Model";"Results",#N/A,TRUE,"Model"}</definedName>
    <definedName name="maincbo_5" localSheetId="1" hidden="1">{"LIBOR",#N/A,TRUE,"Model";"Caps",#N/A,TRUE,"Model";"Assets",#N/A,TRUE,"Model";"Liabilities",#N/A,TRUE,"Model";"Tests",#N/A,TRUE,"Model";"Results",#N/A,TRUE,"Model"}</definedName>
    <definedName name="maincbo_5" hidden="1">{"LIBOR",#N/A,TRUE,"Model";"Caps",#N/A,TRUE,"Model";"Assets",#N/A,TRUE,"Model";"Liabilities",#N/A,TRUE,"Model";"Tests",#N/A,TRUE,"Model";"Results",#N/A,TRUE,"Model"}</definedName>
    <definedName name="maincbo_5_1" localSheetId="3" hidden="1">{"LIBOR",#N/A,TRUE,"Model";"Caps",#N/A,TRUE,"Model";"Assets",#N/A,TRUE,"Model";"Liabilities",#N/A,TRUE,"Model";"Tests",#N/A,TRUE,"Model";"Results",#N/A,TRUE,"Model"}</definedName>
    <definedName name="maincbo_5_1" localSheetId="1" hidden="1">{"LIBOR",#N/A,TRUE,"Model";"Caps",#N/A,TRUE,"Model";"Assets",#N/A,TRUE,"Model";"Liabilities",#N/A,TRUE,"Model";"Tests",#N/A,TRUE,"Model";"Results",#N/A,TRUE,"Model"}</definedName>
    <definedName name="maincbo_5_1" hidden="1">{"LIBOR",#N/A,TRUE,"Model";"Caps",#N/A,TRUE,"Model";"Assets",#N/A,TRUE,"Model";"Liabilities",#N/A,TRUE,"Model";"Tests",#N/A,TRUE,"Model";"Results",#N/A,TRUE,"Model"}</definedName>
    <definedName name="maincbo_5_1_1" localSheetId="3" hidden="1">{"LIBOR",#N/A,TRUE,"Model";"Caps",#N/A,TRUE,"Model";"Assets",#N/A,TRUE,"Model";"Liabilities",#N/A,TRUE,"Model";"Tests",#N/A,TRUE,"Model";"Results",#N/A,TRUE,"Model"}</definedName>
    <definedName name="maincbo_5_1_1" localSheetId="1" hidden="1">{"LIBOR",#N/A,TRUE,"Model";"Caps",#N/A,TRUE,"Model";"Assets",#N/A,TRUE,"Model";"Liabilities",#N/A,TRUE,"Model";"Tests",#N/A,TRUE,"Model";"Results",#N/A,TRUE,"Model"}</definedName>
    <definedName name="maincbo_5_1_1" hidden="1">{"LIBOR",#N/A,TRUE,"Model";"Caps",#N/A,TRUE,"Model";"Assets",#N/A,TRUE,"Model";"Liabilities",#N/A,TRUE,"Model";"Tests",#N/A,TRUE,"Model";"Results",#N/A,TRUE,"Model"}</definedName>
    <definedName name="maincbo_5_1_1_1" localSheetId="3" hidden="1">{"LIBOR",#N/A,TRUE,"Model";"Caps",#N/A,TRUE,"Model";"Assets",#N/A,TRUE,"Model";"Liabilities",#N/A,TRUE,"Model";"Tests",#N/A,TRUE,"Model";"Results",#N/A,TRUE,"Model"}</definedName>
    <definedName name="maincbo_5_1_1_1" localSheetId="1" hidden="1">{"LIBOR",#N/A,TRUE,"Model";"Caps",#N/A,TRUE,"Model";"Assets",#N/A,TRUE,"Model";"Liabilities",#N/A,TRUE,"Model";"Tests",#N/A,TRUE,"Model";"Results",#N/A,TRUE,"Model"}</definedName>
    <definedName name="maincbo_5_1_1_1" hidden="1">{"LIBOR",#N/A,TRUE,"Model";"Caps",#N/A,TRUE,"Model";"Assets",#N/A,TRUE,"Model";"Liabilities",#N/A,TRUE,"Model";"Tests",#N/A,TRUE,"Model";"Results",#N/A,TRUE,"Model"}</definedName>
    <definedName name="maincbo_5_2" localSheetId="3" hidden="1">{"LIBOR",#N/A,TRUE,"Model";"Caps",#N/A,TRUE,"Model";"Assets",#N/A,TRUE,"Model";"Liabilities",#N/A,TRUE,"Model";"Tests",#N/A,TRUE,"Model";"Results",#N/A,TRUE,"Model"}</definedName>
    <definedName name="maincbo_5_2" localSheetId="1" hidden="1">{"LIBOR",#N/A,TRUE,"Model";"Caps",#N/A,TRUE,"Model";"Assets",#N/A,TRUE,"Model";"Liabilities",#N/A,TRUE,"Model";"Tests",#N/A,TRUE,"Model";"Results",#N/A,TRUE,"Model"}</definedName>
    <definedName name="maincbo_5_2" hidden="1">{"LIBOR",#N/A,TRUE,"Model";"Caps",#N/A,TRUE,"Model";"Assets",#N/A,TRUE,"Model";"Liabilities",#N/A,TRUE,"Model";"Tests",#N/A,TRUE,"Model";"Results",#N/A,TRUE,"Model"}</definedName>
    <definedName name="maincbo_5_2_1" localSheetId="3" hidden="1">{"LIBOR",#N/A,TRUE,"Model";"Caps",#N/A,TRUE,"Model";"Assets",#N/A,TRUE,"Model";"Liabilities",#N/A,TRUE,"Model";"Tests",#N/A,TRUE,"Model";"Results",#N/A,TRUE,"Model"}</definedName>
    <definedName name="maincbo_5_2_1" localSheetId="1" hidden="1">{"LIBOR",#N/A,TRUE,"Model";"Caps",#N/A,TRUE,"Model";"Assets",#N/A,TRUE,"Model";"Liabilities",#N/A,TRUE,"Model";"Tests",#N/A,TRUE,"Model";"Results",#N/A,TRUE,"Model"}</definedName>
    <definedName name="maincbo_5_2_1" hidden="1">{"LIBOR",#N/A,TRUE,"Model";"Caps",#N/A,TRUE,"Model";"Assets",#N/A,TRUE,"Model";"Liabilities",#N/A,TRUE,"Model";"Tests",#N/A,TRUE,"Model";"Results",#N/A,TRUE,"Model"}</definedName>
    <definedName name="maincbo_5_3" localSheetId="3" hidden="1">{"LIBOR",#N/A,TRUE,"Model";"Caps",#N/A,TRUE,"Model";"Assets",#N/A,TRUE,"Model";"Liabilities",#N/A,TRUE,"Model";"Tests",#N/A,TRUE,"Model";"Results",#N/A,TRUE,"Model"}</definedName>
    <definedName name="maincbo_5_3" localSheetId="1" hidden="1">{"LIBOR",#N/A,TRUE,"Model";"Caps",#N/A,TRUE,"Model";"Assets",#N/A,TRUE,"Model";"Liabilities",#N/A,TRUE,"Model";"Tests",#N/A,TRUE,"Model";"Results",#N/A,TRUE,"Model"}</definedName>
    <definedName name="maincbo_5_3" hidden="1">{"LIBOR",#N/A,TRUE,"Model";"Caps",#N/A,TRUE,"Model";"Assets",#N/A,TRUE,"Model";"Liabilities",#N/A,TRUE,"Model";"Tests",#N/A,TRUE,"Model";"Results",#N/A,TRUE,"Model"}</definedName>
    <definedName name="maincborep" localSheetId="3" hidden="1">{"LIBOR",#N/A,TRUE,"Model";"Caps",#N/A,TRUE,"Model";"Assets",#N/A,TRUE,"Model";"Liabilities",#N/A,TRUE,"Model";"Tests",#N/A,TRUE,"Model";"Results",#N/A,TRUE,"Model"}</definedName>
    <definedName name="maincborep" localSheetId="1" hidden="1">{"LIBOR",#N/A,TRUE,"Model";"Caps",#N/A,TRUE,"Model";"Assets",#N/A,TRUE,"Model";"Liabilities",#N/A,TRUE,"Model";"Tests",#N/A,TRUE,"Model";"Results",#N/A,TRUE,"Model"}</definedName>
    <definedName name="maincborep" hidden="1">{"LIBOR",#N/A,TRUE,"Model";"Caps",#N/A,TRUE,"Model";"Assets",#N/A,TRUE,"Model";"Liabilities",#N/A,TRUE,"Model";"Tests",#N/A,TRUE,"Model";"Results",#N/A,TRUE,"Model"}</definedName>
    <definedName name="maincborep_1" localSheetId="3" hidden="1">{"LIBOR",#N/A,TRUE,"Model";"Caps",#N/A,TRUE,"Model";"Assets",#N/A,TRUE,"Model";"Liabilities",#N/A,TRUE,"Model";"Tests",#N/A,TRUE,"Model";"Results",#N/A,TRUE,"Model"}</definedName>
    <definedName name="maincborep_1" localSheetId="1" hidden="1">{"LIBOR",#N/A,TRUE,"Model";"Caps",#N/A,TRUE,"Model";"Assets",#N/A,TRUE,"Model";"Liabilities",#N/A,TRUE,"Model";"Tests",#N/A,TRUE,"Model";"Results",#N/A,TRUE,"Model"}</definedName>
    <definedName name="maincborep_1" hidden="1">{"LIBOR",#N/A,TRUE,"Model";"Caps",#N/A,TRUE,"Model";"Assets",#N/A,TRUE,"Model";"Liabilities",#N/A,TRUE,"Model";"Tests",#N/A,TRUE,"Model";"Results",#N/A,TRUE,"Model"}</definedName>
    <definedName name="maincborep_1_1" localSheetId="3" hidden="1">{"LIBOR",#N/A,TRUE,"Model";"Caps",#N/A,TRUE,"Model";"Assets",#N/A,TRUE,"Model";"Liabilities",#N/A,TRUE,"Model";"Tests",#N/A,TRUE,"Model";"Results",#N/A,TRUE,"Model"}</definedName>
    <definedName name="maincborep_1_1" localSheetId="1" hidden="1">{"LIBOR",#N/A,TRUE,"Model";"Caps",#N/A,TRUE,"Model";"Assets",#N/A,TRUE,"Model";"Liabilities",#N/A,TRUE,"Model";"Tests",#N/A,TRUE,"Model";"Results",#N/A,TRUE,"Model"}</definedName>
    <definedName name="maincborep_1_1" hidden="1">{"LIBOR",#N/A,TRUE,"Model";"Caps",#N/A,TRUE,"Model";"Assets",#N/A,TRUE,"Model";"Liabilities",#N/A,TRUE,"Model";"Tests",#N/A,TRUE,"Model";"Results",#N/A,TRUE,"Model"}</definedName>
    <definedName name="maincborep_1_1_1" localSheetId="3" hidden="1">{"LIBOR",#N/A,TRUE,"Model";"Caps",#N/A,TRUE,"Model";"Assets",#N/A,TRUE,"Model";"Liabilities",#N/A,TRUE,"Model";"Tests",#N/A,TRUE,"Model";"Results",#N/A,TRUE,"Model"}</definedName>
    <definedName name="maincborep_1_1_1" localSheetId="1" hidden="1">{"LIBOR",#N/A,TRUE,"Model";"Caps",#N/A,TRUE,"Model";"Assets",#N/A,TRUE,"Model";"Liabilities",#N/A,TRUE,"Model";"Tests",#N/A,TRUE,"Model";"Results",#N/A,TRUE,"Model"}</definedName>
    <definedName name="maincborep_1_1_1" hidden="1">{"LIBOR",#N/A,TRUE,"Model";"Caps",#N/A,TRUE,"Model";"Assets",#N/A,TRUE,"Model";"Liabilities",#N/A,TRUE,"Model";"Tests",#N/A,TRUE,"Model";"Results",#N/A,TRUE,"Model"}</definedName>
    <definedName name="maincborep_1_1_1_1" localSheetId="3" hidden="1">{"LIBOR",#N/A,TRUE,"Model";"Caps",#N/A,TRUE,"Model";"Assets",#N/A,TRUE,"Model";"Liabilities",#N/A,TRUE,"Model";"Tests",#N/A,TRUE,"Model";"Results",#N/A,TRUE,"Model"}</definedName>
    <definedName name="maincborep_1_1_1_1" localSheetId="1" hidden="1">{"LIBOR",#N/A,TRUE,"Model";"Caps",#N/A,TRUE,"Model";"Assets",#N/A,TRUE,"Model";"Liabilities",#N/A,TRUE,"Model";"Tests",#N/A,TRUE,"Model";"Results",#N/A,TRUE,"Model"}</definedName>
    <definedName name="maincborep_1_1_1_1" hidden="1">{"LIBOR",#N/A,TRUE,"Model";"Caps",#N/A,TRUE,"Model";"Assets",#N/A,TRUE,"Model";"Liabilities",#N/A,TRUE,"Model";"Tests",#N/A,TRUE,"Model";"Results",#N/A,TRUE,"Model"}</definedName>
    <definedName name="maincborep_1_2" localSheetId="3" hidden="1">{"LIBOR",#N/A,TRUE,"Model";"Caps",#N/A,TRUE,"Model";"Assets",#N/A,TRUE,"Model";"Liabilities",#N/A,TRUE,"Model";"Tests",#N/A,TRUE,"Model";"Results",#N/A,TRUE,"Model"}</definedName>
    <definedName name="maincborep_1_2" localSheetId="1" hidden="1">{"LIBOR",#N/A,TRUE,"Model";"Caps",#N/A,TRUE,"Model";"Assets",#N/A,TRUE,"Model";"Liabilities",#N/A,TRUE,"Model";"Tests",#N/A,TRUE,"Model";"Results",#N/A,TRUE,"Model"}</definedName>
    <definedName name="maincborep_1_2" hidden="1">{"LIBOR",#N/A,TRUE,"Model";"Caps",#N/A,TRUE,"Model";"Assets",#N/A,TRUE,"Model";"Liabilities",#N/A,TRUE,"Model";"Tests",#N/A,TRUE,"Model";"Results",#N/A,TRUE,"Model"}</definedName>
    <definedName name="maincborep_1_2_1" localSheetId="3" hidden="1">{"LIBOR",#N/A,TRUE,"Model";"Caps",#N/A,TRUE,"Model";"Assets",#N/A,TRUE,"Model";"Liabilities",#N/A,TRUE,"Model";"Tests",#N/A,TRUE,"Model";"Results",#N/A,TRUE,"Model"}</definedName>
    <definedName name="maincborep_1_2_1" localSheetId="1" hidden="1">{"LIBOR",#N/A,TRUE,"Model";"Caps",#N/A,TRUE,"Model";"Assets",#N/A,TRUE,"Model";"Liabilities",#N/A,TRUE,"Model";"Tests",#N/A,TRUE,"Model";"Results",#N/A,TRUE,"Model"}</definedName>
    <definedName name="maincborep_1_2_1" hidden="1">{"LIBOR",#N/A,TRUE,"Model";"Caps",#N/A,TRUE,"Model";"Assets",#N/A,TRUE,"Model";"Liabilities",#N/A,TRUE,"Model";"Tests",#N/A,TRUE,"Model";"Results",#N/A,TRUE,"Model"}</definedName>
    <definedName name="maincborep_1_3" localSheetId="3" hidden="1">{"LIBOR",#N/A,TRUE,"Model";"Caps",#N/A,TRUE,"Model";"Assets",#N/A,TRUE,"Model";"Liabilities",#N/A,TRUE,"Model";"Tests",#N/A,TRUE,"Model";"Results",#N/A,TRUE,"Model"}</definedName>
    <definedName name="maincborep_1_3" localSheetId="1" hidden="1">{"LIBOR",#N/A,TRUE,"Model";"Caps",#N/A,TRUE,"Model";"Assets",#N/A,TRUE,"Model";"Liabilities",#N/A,TRUE,"Model";"Tests",#N/A,TRUE,"Model";"Results",#N/A,TRUE,"Model"}</definedName>
    <definedName name="maincborep_1_3" hidden="1">{"LIBOR",#N/A,TRUE,"Model";"Caps",#N/A,TRUE,"Model";"Assets",#N/A,TRUE,"Model";"Liabilities",#N/A,TRUE,"Model";"Tests",#N/A,TRUE,"Model";"Results",#N/A,TRUE,"Model"}</definedName>
    <definedName name="maincborep_1_3_1" localSheetId="3" hidden="1">{"LIBOR",#N/A,TRUE,"Model";"Caps",#N/A,TRUE,"Model";"Assets",#N/A,TRUE,"Model";"Liabilities",#N/A,TRUE,"Model";"Tests",#N/A,TRUE,"Model";"Results",#N/A,TRUE,"Model"}</definedName>
    <definedName name="maincborep_1_3_1" localSheetId="1" hidden="1">{"LIBOR",#N/A,TRUE,"Model";"Caps",#N/A,TRUE,"Model";"Assets",#N/A,TRUE,"Model";"Liabilities",#N/A,TRUE,"Model";"Tests",#N/A,TRUE,"Model";"Results",#N/A,TRUE,"Model"}</definedName>
    <definedName name="maincborep_1_3_1" hidden="1">{"LIBOR",#N/A,TRUE,"Model";"Caps",#N/A,TRUE,"Model";"Assets",#N/A,TRUE,"Model";"Liabilities",#N/A,TRUE,"Model";"Tests",#N/A,TRUE,"Model";"Results",#N/A,TRUE,"Model"}</definedName>
    <definedName name="maincborep_1_4" localSheetId="3" hidden="1">{"LIBOR",#N/A,TRUE,"Model";"Caps",#N/A,TRUE,"Model";"Assets",#N/A,TRUE,"Model";"Liabilities",#N/A,TRUE,"Model";"Tests",#N/A,TRUE,"Model";"Results",#N/A,TRUE,"Model"}</definedName>
    <definedName name="maincborep_1_4" localSheetId="1" hidden="1">{"LIBOR",#N/A,TRUE,"Model";"Caps",#N/A,TRUE,"Model";"Assets",#N/A,TRUE,"Model";"Liabilities",#N/A,TRUE,"Model";"Tests",#N/A,TRUE,"Model";"Results",#N/A,TRUE,"Model"}</definedName>
    <definedName name="maincborep_1_4" hidden="1">{"LIBOR",#N/A,TRUE,"Model";"Caps",#N/A,TRUE,"Model";"Assets",#N/A,TRUE,"Model";"Liabilities",#N/A,TRUE,"Model";"Tests",#N/A,TRUE,"Model";"Results",#N/A,TRUE,"Model"}</definedName>
    <definedName name="maincborep_2" localSheetId="3" hidden="1">{"LIBOR",#N/A,TRUE,"Model";"Caps",#N/A,TRUE,"Model";"Assets",#N/A,TRUE,"Model";"Liabilities",#N/A,TRUE,"Model";"Tests",#N/A,TRUE,"Model";"Results",#N/A,TRUE,"Model"}</definedName>
    <definedName name="maincborep_2" localSheetId="1" hidden="1">{"LIBOR",#N/A,TRUE,"Model";"Caps",#N/A,TRUE,"Model";"Assets",#N/A,TRUE,"Model";"Liabilities",#N/A,TRUE,"Model";"Tests",#N/A,TRUE,"Model";"Results",#N/A,TRUE,"Model"}</definedName>
    <definedName name="maincborep_2" hidden="1">{"LIBOR",#N/A,TRUE,"Model";"Caps",#N/A,TRUE,"Model";"Assets",#N/A,TRUE,"Model";"Liabilities",#N/A,TRUE,"Model";"Tests",#N/A,TRUE,"Model";"Results",#N/A,TRUE,"Model"}</definedName>
    <definedName name="maincborep_2_1" localSheetId="3" hidden="1">{"LIBOR",#N/A,TRUE,"Model";"Caps",#N/A,TRUE,"Model";"Assets",#N/A,TRUE,"Model";"Liabilities",#N/A,TRUE,"Model";"Tests",#N/A,TRUE,"Model";"Results",#N/A,TRUE,"Model"}</definedName>
    <definedName name="maincborep_2_1" localSheetId="1" hidden="1">{"LIBOR",#N/A,TRUE,"Model";"Caps",#N/A,TRUE,"Model";"Assets",#N/A,TRUE,"Model";"Liabilities",#N/A,TRUE,"Model";"Tests",#N/A,TRUE,"Model";"Results",#N/A,TRUE,"Model"}</definedName>
    <definedName name="maincborep_2_1" hidden="1">{"LIBOR",#N/A,TRUE,"Model";"Caps",#N/A,TRUE,"Model";"Assets",#N/A,TRUE,"Model";"Liabilities",#N/A,TRUE,"Model";"Tests",#N/A,TRUE,"Model";"Results",#N/A,TRUE,"Model"}</definedName>
    <definedName name="maincborep_2_1_1" localSheetId="3" hidden="1">{"LIBOR",#N/A,TRUE,"Model";"Caps",#N/A,TRUE,"Model";"Assets",#N/A,TRUE,"Model";"Liabilities",#N/A,TRUE,"Model";"Tests",#N/A,TRUE,"Model";"Results",#N/A,TRUE,"Model"}</definedName>
    <definedName name="maincborep_2_1_1" localSheetId="1" hidden="1">{"LIBOR",#N/A,TRUE,"Model";"Caps",#N/A,TRUE,"Model";"Assets",#N/A,TRUE,"Model";"Liabilities",#N/A,TRUE,"Model";"Tests",#N/A,TRUE,"Model";"Results",#N/A,TRUE,"Model"}</definedName>
    <definedName name="maincborep_2_1_1" hidden="1">{"LIBOR",#N/A,TRUE,"Model";"Caps",#N/A,TRUE,"Model";"Assets",#N/A,TRUE,"Model";"Liabilities",#N/A,TRUE,"Model";"Tests",#N/A,TRUE,"Model";"Results",#N/A,TRUE,"Model"}</definedName>
    <definedName name="maincborep_2_1_1_1" localSheetId="3" hidden="1">{"LIBOR",#N/A,TRUE,"Model";"Caps",#N/A,TRUE,"Model";"Assets",#N/A,TRUE,"Model";"Liabilities",#N/A,TRUE,"Model";"Tests",#N/A,TRUE,"Model";"Results",#N/A,TRUE,"Model"}</definedName>
    <definedName name="maincborep_2_1_1_1" localSheetId="1" hidden="1">{"LIBOR",#N/A,TRUE,"Model";"Caps",#N/A,TRUE,"Model";"Assets",#N/A,TRUE,"Model";"Liabilities",#N/A,TRUE,"Model";"Tests",#N/A,TRUE,"Model";"Results",#N/A,TRUE,"Model"}</definedName>
    <definedName name="maincborep_2_1_1_1" hidden="1">{"LIBOR",#N/A,TRUE,"Model";"Caps",#N/A,TRUE,"Model";"Assets",#N/A,TRUE,"Model";"Liabilities",#N/A,TRUE,"Model";"Tests",#N/A,TRUE,"Model";"Results",#N/A,TRUE,"Model"}</definedName>
    <definedName name="maincborep_2_2" localSheetId="3" hidden="1">{"LIBOR",#N/A,TRUE,"Model";"Caps",#N/A,TRUE,"Model";"Assets",#N/A,TRUE,"Model";"Liabilities",#N/A,TRUE,"Model";"Tests",#N/A,TRUE,"Model";"Results",#N/A,TRUE,"Model"}</definedName>
    <definedName name="maincborep_2_2" localSheetId="1" hidden="1">{"LIBOR",#N/A,TRUE,"Model";"Caps",#N/A,TRUE,"Model";"Assets",#N/A,TRUE,"Model";"Liabilities",#N/A,TRUE,"Model";"Tests",#N/A,TRUE,"Model";"Results",#N/A,TRUE,"Model"}</definedName>
    <definedName name="maincborep_2_2" hidden="1">{"LIBOR",#N/A,TRUE,"Model";"Caps",#N/A,TRUE,"Model";"Assets",#N/A,TRUE,"Model";"Liabilities",#N/A,TRUE,"Model";"Tests",#N/A,TRUE,"Model";"Results",#N/A,TRUE,"Model"}</definedName>
    <definedName name="maincborep_2_2_1" localSheetId="3" hidden="1">{"LIBOR",#N/A,TRUE,"Model";"Caps",#N/A,TRUE,"Model";"Assets",#N/A,TRUE,"Model";"Liabilities",#N/A,TRUE,"Model";"Tests",#N/A,TRUE,"Model";"Results",#N/A,TRUE,"Model"}</definedName>
    <definedName name="maincborep_2_2_1" localSheetId="1" hidden="1">{"LIBOR",#N/A,TRUE,"Model";"Caps",#N/A,TRUE,"Model";"Assets",#N/A,TRUE,"Model";"Liabilities",#N/A,TRUE,"Model";"Tests",#N/A,TRUE,"Model";"Results",#N/A,TRUE,"Model"}</definedName>
    <definedName name="maincborep_2_2_1" hidden="1">{"LIBOR",#N/A,TRUE,"Model";"Caps",#N/A,TRUE,"Model";"Assets",#N/A,TRUE,"Model";"Liabilities",#N/A,TRUE,"Model";"Tests",#N/A,TRUE,"Model";"Results",#N/A,TRUE,"Model"}</definedName>
    <definedName name="maincborep_2_3" localSheetId="3" hidden="1">{"LIBOR",#N/A,TRUE,"Model";"Caps",#N/A,TRUE,"Model";"Assets",#N/A,TRUE,"Model";"Liabilities",#N/A,TRUE,"Model";"Tests",#N/A,TRUE,"Model";"Results",#N/A,TRUE,"Model"}</definedName>
    <definedName name="maincborep_2_3" localSheetId="1" hidden="1">{"LIBOR",#N/A,TRUE,"Model";"Caps",#N/A,TRUE,"Model";"Assets",#N/A,TRUE,"Model";"Liabilities",#N/A,TRUE,"Model";"Tests",#N/A,TRUE,"Model";"Results",#N/A,TRUE,"Model"}</definedName>
    <definedName name="maincborep_2_3" hidden="1">{"LIBOR",#N/A,TRUE,"Model";"Caps",#N/A,TRUE,"Model";"Assets",#N/A,TRUE,"Model";"Liabilities",#N/A,TRUE,"Model";"Tests",#N/A,TRUE,"Model";"Results",#N/A,TRUE,"Model"}</definedName>
    <definedName name="maincborep_3" localSheetId="3" hidden="1">{"LIBOR",#N/A,TRUE,"Model";"Caps",#N/A,TRUE,"Model";"Assets",#N/A,TRUE,"Model";"Liabilities",#N/A,TRUE,"Model";"Tests",#N/A,TRUE,"Model";"Results",#N/A,TRUE,"Model"}</definedName>
    <definedName name="maincborep_3" localSheetId="1" hidden="1">{"LIBOR",#N/A,TRUE,"Model";"Caps",#N/A,TRUE,"Model";"Assets",#N/A,TRUE,"Model";"Liabilities",#N/A,TRUE,"Model";"Tests",#N/A,TRUE,"Model";"Results",#N/A,TRUE,"Model"}</definedName>
    <definedName name="maincborep_3" hidden="1">{"LIBOR",#N/A,TRUE,"Model";"Caps",#N/A,TRUE,"Model";"Assets",#N/A,TRUE,"Model";"Liabilities",#N/A,TRUE,"Model";"Tests",#N/A,TRUE,"Model";"Results",#N/A,TRUE,"Model"}</definedName>
    <definedName name="maincborep_3_1" localSheetId="3" hidden="1">{"LIBOR",#N/A,TRUE,"Model";"Caps",#N/A,TRUE,"Model";"Assets",#N/A,TRUE,"Model";"Liabilities",#N/A,TRUE,"Model";"Tests",#N/A,TRUE,"Model";"Results",#N/A,TRUE,"Model"}</definedName>
    <definedName name="maincborep_3_1" localSheetId="1" hidden="1">{"LIBOR",#N/A,TRUE,"Model";"Caps",#N/A,TRUE,"Model";"Assets",#N/A,TRUE,"Model";"Liabilities",#N/A,TRUE,"Model";"Tests",#N/A,TRUE,"Model";"Results",#N/A,TRUE,"Model"}</definedName>
    <definedName name="maincborep_3_1" hidden="1">{"LIBOR",#N/A,TRUE,"Model";"Caps",#N/A,TRUE,"Model";"Assets",#N/A,TRUE,"Model";"Liabilities",#N/A,TRUE,"Model";"Tests",#N/A,TRUE,"Model";"Results",#N/A,TRUE,"Model"}</definedName>
    <definedName name="maincborep_3_1_1" localSheetId="3" hidden="1">{"LIBOR",#N/A,TRUE,"Model";"Caps",#N/A,TRUE,"Model";"Assets",#N/A,TRUE,"Model";"Liabilities",#N/A,TRUE,"Model";"Tests",#N/A,TRUE,"Model";"Results",#N/A,TRUE,"Model"}</definedName>
    <definedName name="maincborep_3_1_1" localSheetId="1" hidden="1">{"LIBOR",#N/A,TRUE,"Model";"Caps",#N/A,TRUE,"Model";"Assets",#N/A,TRUE,"Model";"Liabilities",#N/A,TRUE,"Model";"Tests",#N/A,TRUE,"Model";"Results",#N/A,TRUE,"Model"}</definedName>
    <definedName name="maincborep_3_1_1" hidden="1">{"LIBOR",#N/A,TRUE,"Model";"Caps",#N/A,TRUE,"Model";"Assets",#N/A,TRUE,"Model";"Liabilities",#N/A,TRUE,"Model";"Tests",#N/A,TRUE,"Model";"Results",#N/A,TRUE,"Model"}</definedName>
    <definedName name="maincborep_3_1_1_1" localSheetId="3" hidden="1">{"LIBOR",#N/A,TRUE,"Model";"Caps",#N/A,TRUE,"Model";"Assets",#N/A,TRUE,"Model";"Liabilities",#N/A,TRUE,"Model";"Tests",#N/A,TRUE,"Model";"Results",#N/A,TRUE,"Model"}</definedName>
    <definedName name="maincborep_3_1_1_1" localSheetId="1" hidden="1">{"LIBOR",#N/A,TRUE,"Model";"Caps",#N/A,TRUE,"Model";"Assets",#N/A,TRUE,"Model";"Liabilities",#N/A,TRUE,"Model";"Tests",#N/A,TRUE,"Model";"Results",#N/A,TRUE,"Model"}</definedName>
    <definedName name="maincborep_3_1_1_1" hidden="1">{"LIBOR",#N/A,TRUE,"Model";"Caps",#N/A,TRUE,"Model";"Assets",#N/A,TRUE,"Model";"Liabilities",#N/A,TRUE,"Model";"Tests",#N/A,TRUE,"Model";"Results",#N/A,TRUE,"Model"}</definedName>
    <definedName name="maincborep_3_2" localSheetId="3" hidden="1">{"LIBOR",#N/A,TRUE,"Model";"Caps",#N/A,TRUE,"Model";"Assets",#N/A,TRUE,"Model";"Liabilities",#N/A,TRUE,"Model";"Tests",#N/A,TRUE,"Model";"Results",#N/A,TRUE,"Model"}</definedName>
    <definedName name="maincborep_3_2" localSheetId="1" hidden="1">{"LIBOR",#N/A,TRUE,"Model";"Caps",#N/A,TRUE,"Model";"Assets",#N/A,TRUE,"Model";"Liabilities",#N/A,TRUE,"Model";"Tests",#N/A,TRUE,"Model";"Results",#N/A,TRUE,"Model"}</definedName>
    <definedName name="maincborep_3_2" hidden="1">{"LIBOR",#N/A,TRUE,"Model";"Caps",#N/A,TRUE,"Model";"Assets",#N/A,TRUE,"Model";"Liabilities",#N/A,TRUE,"Model";"Tests",#N/A,TRUE,"Model";"Results",#N/A,TRUE,"Model"}</definedName>
    <definedName name="maincborep_3_2_1" localSheetId="3" hidden="1">{"LIBOR",#N/A,TRUE,"Model";"Caps",#N/A,TRUE,"Model";"Assets",#N/A,TRUE,"Model";"Liabilities",#N/A,TRUE,"Model";"Tests",#N/A,TRUE,"Model";"Results",#N/A,TRUE,"Model"}</definedName>
    <definedName name="maincborep_3_2_1" localSheetId="1" hidden="1">{"LIBOR",#N/A,TRUE,"Model";"Caps",#N/A,TRUE,"Model";"Assets",#N/A,TRUE,"Model";"Liabilities",#N/A,TRUE,"Model";"Tests",#N/A,TRUE,"Model";"Results",#N/A,TRUE,"Model"}</definedName>
    <definedName name="maincborep_3_2_1" hidden="1">{"LIBOR",#N/A,TRUE,"Model";"Caps",#N/A,TRUE,"Model";"Assets",#N/A,TRUE,"Model";"Liabilities",#N/A,TRUE,"Model";"Tests",#N/A,TRUE,"Model";"Results",#N/A,TRUE,"Model"}</definedName>
    <definedName name="maincborep_3_3" localSheetId="3" hidden="1">{"LIBOR",#N/A,TRUE,"Model";"Caps",#N/A,TRUE,"Model";"Assets",#N/A,TRUE,"Model";"Liabilities",#N/A,TRUE,"Model";"Tests",#N/A,TRUE,"Model";"Results",#N/A,TRUE,"Model"}</definedName>
    <definedName name="maincborep_3_3" localSheetId="1" hidden="1">{"LIBOR",#N/A,TRUE,"Model";"Caps",#N/A,TRUE,"Model";"Assets",#N/A,TRUE,"Model";"Liabilities",#N/A,TRUE,"Model";"Tests",#N/A,TRUE,"Model";"Results",#N/A,TRUE,"Model"}</definedName>
    <definedName name="maincborep_3_3" hidden="1">{"LIBOR",#N/A,TRUE,"Model";"Caps",#N/A,TRUE,"Model";"Assets",#N/A,TRUE,"Model";"Liabilities",#N/A,TRUE,"Model";"Tests",#N/A,TRUE,"Model";"Results",#N/A,TRUE,"Model"}</definedName>
    <definedName name="maincborep_4" localSheetId="3" hidden="1">{"LIBOR",#N/A,TRUE,"Model";"Caps",#N/A,TRUE,"Model";"Assets",#N/A,TRUE,"Model";"Liabilities",#N/A,TRUE,"Model";"Tests",#N/A,TRUE,"Model";"Results",#N/A,TRUE,"Model"}</definedName>
    <definedName name="maincborep_4" localSheetId="1" hidden="1">{"LIBOR",#N/A,TRUE,"Model";"Caps",#N/A,TRUE,"Model";"Assets",#N/A,TRUE,"Model";"Liabilities",#N/A,TRUE,"Model";"Tests",#N/A,TRUE,"Model";"Results",#N/A,TRUE,"Model"}</definedName>
    <definedName name="maincborep_4" hidden="1">{"LIBOR",#N/A,TRUE,"Model";"Caps",#N/A,TRUE,"Model";"Assets",#N/A,TRUE,"Model";"Liabilities",#N/A,TRUE,"Model";"Tests",#N/A,TRUE,"Model";"Results",#N/A,TRUE,"Model"}</definedName>
    <definedName name="maincborep_4_1" localSheetId="3" hidden="1">{"LIBOR",#N/A,TRUE,"Model";"Caps",#N/A,TRUE,"Model";"Assets",#N/A,TRUE,"Model";"Liabilities",#N/A,TRUE,"Model";"Tests",#N/A,TRUE,"Model";"Results",#N/A,TRUE,"Model"}</definedName>
    <definedName name="maincborep_4_1" localSheetId="1" hidden="1">{"LIBOR",#N/A,TRUE,"Model";"Caps",#N/A,TRUE,"Model";"Assets",#N/A,TRUE,"Model";"Liabilities",#N/A,TRUE,"Model";"Tests",#N/A,TRUE,"Model";"Results",#N/A,TRUE,"Model"}</definedName>
    <definedName name="maincborep_4_1" hidden="1">{"LIBOR",#N/A,TRUE,"Model";"Caps",#N/A,TRUE,"Model";"Assets",#N/A,TRUE,"Model";"Liabilities",#N/A,TRUE,"Model";"Tests",#N/A,TRUE,"Model";"Results",#N/A,TRUE,"Model"}</definedName>
    <definedName name="maincborep_4_1_1" localSheetId="3" hidden="1">{"LIBOR",#N/A,TRUE,"Model";"Caps",#N/A,TRUE,"Model";"Assets",#N/A,TRUE,"Model";"Liabilities",#N/A,TRUE,"Model";"Tests",#N/A,TRUE,"Model";"Results",#N/A,TRUE,"Model"}</definedName>
    <definedName name="maincborep_4_1_1" localSheetId="1" hidden="1">{"LIBOR",#N/A,TRUE,"Model";"Caps",#N/A,TRUE,"Model";"Assets",#N/A,TRUE,"Model";"Liabilities",#N/A,TRUE,"Model";"Tests",#N/A,TRUE,"Model";"Results",#N/A,TRUE,"Model"}</definedName>
    <definedName name="maincborep_4_1_1" hidden="1">{"LIBOR",#N/A,TRUE,"Model";"Caps",#N/A,TRUE,"Model";"Assets",#N/A,TRUE,"Model";"Liabilities",#N/A,TRUE,"Model";"Tests",#N/A,TRUE,"Model";"Results",#N/A,TRUE,"Model"}</definedName>
    <definedName name="maincborep_4_1_1_1" localSheetId="3" hidden="1">{"LIBOR",#N/A,TRUE,"Model";"Caps",#N/A,TRUE,"Model";"Assets",#N/A,TRUE,"Model";"Liabilities",#N/A,TRUE,"Model";"Tests",#N/A,TRUE,"Model";"Results",#N/A,TRUE,"Model"}</definedName>
    <definedName name="maincborep_4_1_1_1" localSheetId="1" hidden="1">{"LIBOR",#N/A,TRUE,"Model";"Caps",#N/A,TRUE,"Model";"Assets",#N/A,TRUE,"Model";"Liabilities",#N/A,TRUE,"Model";"Tests",#N/A,TRUE,"Model";"Results",#N/A,TRUE,"Model"}</definedName>
    <definedName name="maincborep_4_1_1_1" hidden="1">{"LIBOR",#N/A,TRUE,"Model";"Caps",#N/A,TRUE,"Model";"Assets",#N/A,TRUE,"Model";"Liabilities",#N/A,TRUE,"Model";"Tests",#N/A,TRUE,"Model";"Results",#N/A,TRUE,"Model"}</definedName>
    <definedName name="maincborep_4_2" localSheetId="3" hidden="1">{"LIBOR",#N/A,TRUE,"Model";"Caps",#N/A,TRUE,"Model";"Assets",#N/A,TRUE,"Model";"Liabilities",#N/A,TRUE,"Model";"Tests",#N/A,TRUE,"Model";"Results",#N/A,TRUE,"Model"}</definedName>
    <definedName name="maincborep_4_2" localSheetId="1" hidden="1">{"LIBOR",#N/A,TRUE,"Model";"Caps",#N/A,TRUE,"Model";"Assets",#N/A,TRUE,"Model";"Liabilities",#N/A,TRUE,"Model";"Tests",#N/A,TRUE,"Model";"Results",#N/A,TRUE,"Model"}</definedName>
    <definedName name="maincborep_4_2" hidden="1">{"LIBOR",#N/A,TRUE,"Model";"Caps",#N/A,TRUE,"Model";"Assets",#N/A,TRUE,"Model";"Liabilities",#N/A,TRUE,"Model";"Tests",#N/A,TRUE,"Model";"Results",#N/A,TRUE,"Model"}</definedName>
    <definedName name="maincborep_4_2_1" localSheetId="3" hidden="1">{"LIBOR",#N/A,TRUE,"Model";"Caps",#N/A,TRUE,"Model";"Assets",#N/A,TRUE,"Model";"Liabilities",#N/A,TRUE,"Model";"Tests",#N/A,TRUE,"Model";"Results",#N/A,TRUE,"Model"}</definedName>
    <definedName name="maincborep_4_2_1" localSheetId="1" hidden="1">{"LIBOR",#N/A,TRUE,"Model";"Caps",#N/A,TRUE,"Model";"Assets",#N/A,TRUE,"Model";"Liabilities",#N/A,TRUE,"Model";"Tests",#N/A,TRUE,"Model";"Results",#N/A,TRUE,"Model"}</definedName>
    <definedName name="maincborep_4_2_1" hidden="1">{"LIBOR",#N/A,TRUE,"Model";"Caps",#N/A,TRUE,"Model";"Assets",#N/A,TRUE,"Model";"Liabilities",#N/A,TRUE,"Model";"Tests",#N/A,TRUE,"Model";"Results",#N/A,TRUE,"Model"}</definedName>
    <definedName name="maincborep_4_3" localSheetId="3" hidden="1">{"LIBOR",#N/A,TRUE,"Model";"Caps",#N/A,TRUE,"Model";"Assets",#N/A,TRUE,"Model";"Liabilities",#N/A,TRUE,"Model";"Tests",#N/A,TRUE,"Model";"Results",#N/A,TRUE,"Model"}</definedName>
    <definedName name="maincborep_4_3" localSheetId="1" hidden="1">{"LIBOR",#N/A,TRUE,"Model";"Caps",#N/A,TRUE,"Model";"Assets",#N/A,TRUE,"Model";"Liabilities",#N/A,TRUE,"Model";"Tests",#N/A,TRUE,"Model";"Results",#N/A,TRUE,"Model"}</definedName>
    <definedName name="maincborep_4_3" hidden="1">{"LIBOR",#N/A,TRUE,"Model";"Caps",#N/A,TRUE,"Model";"Assets",#N/A,TRUE,"Model";"Liabilities",#N/A,TRUE,"Model";"Tests",#N/A,TRUE,"Model";"Results",#N/A,TRUE,"Model"}</definedName>
    <definedName name="maincborep_5" localSheetId="3" hidden="1">{"LIBOR",#N/A,TRUE,"Model";"Caps",#N/A,TRUE,"Model";"Assets",#N/A,TRUE,"Model";"Liabilities",#N/A,TRUE,"Model";"Tests",#N/A,TRUE,"Model";"Results",#N/A,TRUE,"Model"}</definedName>
    <definedName name="maincborep_5" localSheetId="1" hidden="1">{"LIBOR",#N/A,TRUE,"Model";"Caps",#N/A,TRUE,"Model";"Assets",#N/A,TRUE,"Model";"Liabilities",#N/A,TRUE,"Model";"Tests",#N/A,TRUE,"Model";"Results",#N/A,TRUE,"Model"}</definedName>
    <definedName name="maincborep_5" hidden="1">{"LIBOR",#N/A,TRUE,"Model";"Caps",#N/A,TRUE,"Model";"Assets",#N/A,TRUE,"Model";"Liabilities",#N/A,TRUE,"Model";"Tests",#N/A,TRUE,"Model";"Results",#N/A,TRUE,"Model"}</definedName>
    <definedName name="maincborep_5_1" localSheetId="3" hidden="1">{"LIBOR",#N/A,TRUE,"Model";"Caps",#N/A,TRUE,"Model";"Assets",#N/A,TRUE,"Model";"Liabilities",#N/A,TRUE,"Model";"Tests",#N/A,TRUE,"Model";"Results",#N/A,TRUE,"Model"}</definedName>
    <definedName name="maincborep_5_1" localSheetId="1" hidden="1">{"LIBOR",#N/A,TRUE,"Model";"Caps",#N/A,TRUE,"Model";"Assets",#N/A,TRUE,"Model";"Liabilities",#N/A,TRUE,"Model";"Tests",#N/A,TRUE,"Model";"Results",#N/A,TRUE,"Model"}</definedName>
    <definedName name="maincborep_5_1" hidden="1">{"LIBOR",#N/A,TRUE,"Model";"Caps",#N/A,TRUE,"Model";"Assets",#N/A,TRUE,"Model";"Liabilities",#N/A,TRUE,"Model";"Tests",#N/A,TRUE,"Model";"Results",#N/A,TRUE,"Model"}</definedName>
    <definedName name="maincborep_5_1_1" localSheetId="3" hidden="1">{"LIBOR",#N/A,TRUE,"Model";"Caps",#N/A,TRUE,"Model";"Assets",#N/A,TRUE,"Model";"Liabilities",#N/A,TRUE,"Model";"Tests",#N/A,TRUE,"Model";"Results",#N/A,TRUE,"Model"}</definedName>
    <definedName name="maincborep_5_1_1" localSheetId="1" hidden="1">{"LIBOR",#N/A,TRUE,"Model";"Caps",#N/A,TRUE,"Model";"Assets",#N/A,TRUE,"Model";"Liabilities",#N/A,TRUE,"Model";"Tests",#N/A,TRUE,"Model";"Results",#N/A,TRUE,"Model"}</definedName>
    <definedName name="maincborep_5_1_1" hidden="1">{"LIBOR",#N/A,TRUE,"Model";"Caps",#N/A,TRUE,"Model";"Assets",#N/A,TRUE,"Model";"Liabilities",#N/A,TRUE,"Model";"Tests",#N/A,TRUE,"Model";"Results",#N/A,TRUE,"Model"}</definedName>
    <definedName name="maincborep_5_1_1_1" localSheetId="3" hidden="1">{"LIBOR",#N/A,TRUE,"Model";"Caps",#N/A,TRUE,"Model";"Assets",#N/A,TRUE,"Model";"Liabilities",#N/A,TRUE,"Model";"Tests",#N/A,TRUE,"Model";"Results",#N/A,TRUE,"Model"}</definedName>
    <definedName name="maincborep_5_1_1_1" localSheetId="1" hidden="1">{"LIBOR",#N/A,TRUE,"Model";"Caps",#N/A,TRUE,"Model";"Assets",#N/A,TRUE,"Model";"Liabilities",#N/A,TRUE,"Model";"Tests",#N/A,TRUE,"Model";"Results",#N/A,TRUE,"Model"}</definedName>
    <definedName name="maincborep_5_1_1_1" hidden="1">{"LIBOR",#N/A,TRUE,"Model";"Caps",#N/A,TRUE,"Model";"Assets",#N/A,TRUE,"Model";"Liabilities",#N/A,TRUE,"Model";"Tests",#N/A,TRUE,"Model";"Results",#N/A,TRUE,"Model"}</definedName>
    <definedName name="maincborep_5_2" localSheetId="3" hidden="1">{"LIBOR",#N/A,TRUE,"Model";"Caps",#N/A,TRUE,"Model";"Assets",#N/A,TRUE,"Model";"Liabilities",#N/A,TRUE,"Model";"Tests",#N/A,TRUE,"Model";"Results",#N/A,TRUE,"Model"}</definedName>
    <definedName name="maincborep_5_2" localSheetId="1" hidden="1">{"LIBOR",#N/A,TRUE,"Model";"Caps",#N/A,TRUE,"Model";"Assets",#N/A,TRUE,"Model";"Liabilities",#N/A,TRUE,"Model";"Tests",#N/A,TRUE,"Model";"Results",#N/A,TRUE,"Model"}</definedName>
    <definedName name="maincborep_5_2" hidden="1">{"LIBOR",#N/A,TRUE,"Model";"Caps",#N/A,TRUE,"Model";"Assets",#N/A,TRUE,"Model";"Liabilities",#N/A,TRUE,"Model";"Tests",#N/A,TRUE,"Model";"Results",#N/A,TRUE,"Model"}</definedName>
    <definedName name="maincborep_5_2_1" localSheetId="3" hidden="1">{"LIBOR",#N/A,TRUE,"Model";"Caps",#N/A,TRUE,"Model";"Assets",#N/A,TRUE,"Model";"Liabilities",#N/A,TRUE,"Model";"Tests",#N/A,TRUE,"Model";"Results",#N/A,TRUE,"Model"}</definedName>
    <definedName name="maincborep_5_2_1" localSheetId="1" hidden="1">{"LIBOR",#N/A,TRUE,"Model";"Caps",#N/A,TRUE,"Model";"Assets",#N/A,TRUE,"Model";"Liabilities",#N/A,TRUE,"Model";"Tests",#N/A,TRUE,"Model";"Results",#N/A,TRUE,"Model"}</definedName>
    <definedName name="maincborep_5_2_1" hidden="1">{"LIBOR",#N/A,TRUE,"Model";"Caps",#N/A,TRUE,"Model";"Assets",#N/A,TRUE,"Model";"Liabilities",#N/A,TRUE,"Model";"Tests",#N/A,TRUE,"Model";"Results",#N/A,TRUE,"Model"}</definedName>
    <definedName name="maincborep_5_3" localSheetId="3" hidden="1">{"LIBOR",#N/A,TRUE,"Model";"Caps",#N/A,TRUE,"Model";"Assets",#N/A,TRUE,"Model";"Liabilities",#N/A,TRUE,"Model";"Tests",#N/A,TRUE,"Model";"Results",#N/A,TRUE,"Model"}</definedName>
    <definedName name="maincborep_5_3" localSheetId="1" hidden="1">{"LIBOR",#N/A,TRUE,"Model";"Caps",#N/A,TRUE,"Model";"Assets",#N/A,TRUE,"Model";"Liabilities",#N/A,TRUE,"Model";"Tests",#N/A,TRUE,"Model";"Results",#N/A,TRUE,"Model"}</definedName>
    <definedName name="maincborep_5_3" hidden="1">{"LIBOR",#N/A,TRUE,"Model";"Caps",#N/A,TRUE,"Model";"Assets",#N/A,TRUE,"Model";"Liabilities",#N/A,TRUE,"Model";"Tests",#N/A,TRUE,"Model";"Results",#N/A,TRUE,"Model"}</definedName>
    <definedName name="marcapty" hidden="1">#REF!</definedName>
    <definedName name="marearntwo" hidden="1">#REF!</definedName>
    <definedName name="marebitdaty" hidden="1">#REF!</definedName>
    <definedName name="marebitty" hidden="1">#REF!</definedName>
    <definedName name="marformrow2" hidden="1">#REF!</definedName>
    <definedName name="margrossty" hidden="1">#REF!</definedName>
    <definedName name="marnwcty" hidden="1">#REF!</definedName>
    <definedName name="marrevtwo" hidden="1">#REF!</definedName>
    <definedName name="martyrange" hidden="1">#REF!</definedName>
    <definedName name="martyrangeone" hidden="1">#REF!</definedName>
    <definedName name="Maturity_Date" localSheetId="1">#REF!</definedName>
    <definedName name="Maturity_Date">#REF!</definedName>
    <definedName name="Maturity_of_Asset" localSheetId="1">#REF!</definedName>
    <definedName name="Maturity_of_Asset">#REF!</definedName>
    <definedName name="Max_Number_Assets">150</definedName>
    <definedName name="MDY_Combo_duration" localSheetId="1">#REF!</definedName>
    <definedName name="MDY_Combo_duration">#REF!</definedName>
    <definedName name="MDY_Pool_Single" localSheetId="1">#REF!</definedName>
    <definedName name="MDY_Pool_Single">#REF!</definedName>
    <definedName name="medmult" hidden="1">#REF!</definedName>
    <definedName name="Mexico" localSheetId="1">#REF!</definedName>
    <definedName name="Mexico">#REF!</definedName>
    <definedName name="minorityintyes" localSheetId="1" hidden="1">#REF!</definedName>
    <definedName name="minorityintyes" hidden="1">#REF!</definedName>
    <definedName name="Miras" localSheetId="1">#REF!</definedName>
    <definedName name="Miras">#REF!</definedName>
    <definedName name="mmm" localSheetId="3" hidden="1">{"LIBOR",#N/A,TRUE,"Model";"Caps",#N/A,TRUE,"Model";"Assets",#N/A,TRUE,"Model";"Liabilities",#N/A,TRUE,"Model";"Tests",#N/A,TRUE,"Model";"Results",#N/A,TRUE,"Model"}</definedName>
    <definedName name="mmm" localSheetId="1" hidden="1">{"LIBOR",#N/A,TRUE,"Model";"Caps",#N/A,TRUE,"Model";"Assets",#N/A,TRUE,"Model";"Liabilities",#N/A,TRUE,"Model";"Tests",#N/A,TRUE,"Model";"Results",#N/A,TRUE,"Model"}</definedName>
    <definedName name="mmm" hidden="1">{"LIBOR",#N/A,TRUE,"Model";"Caps",#N/A,TRUE,"Model";"Assets",#N/A,TRUE,"Model";"Liabilities",#N/A,TRUE,"Model";"Tests",#N/A,TRUE,"Model";"Results",#N/A,TRUE,"Model"}</definedName>
    <definedName name="mmm_1" localSheetId="3" hidden="1">{"LIBOR",#N/A,TRUE,"Model";"Caps",#N/A,TRUE,"Model";"Assets",#N/A,TRUE,"Model";"Liabilities",#N/A,TRUE,"Model";"Tests",#N/A,TRUE,"Model";"Results",#N/A,TRUE,"Model"}</definedName>
    <definedName name="mmm_1" localSheetId="1" hidden="1">{"LIBOR",#N/A,TRUE,"Model";"Caps",#N/A,TRUE,"Model";"Assets",#N/A,TRUE,"Model";"Liabilities",#N/A,TRUE,"Model";"Tests",#N/A,TRUE,"Model";"Results",#N/A,TRUE,"Model"}</definedName>
    <definedName name="mmm_1" hidden="1">{"LIBOR",#N/A,TRUE,"Model";"Caps",#N/A,TRUE,"Model";"Assets",#N/A,TRUE,"Model";"Liabilities",#N/A,TRUE,"Model";"Tests",#N/A,TRUE,"Model";"Results",#N/A,TRUE,"Model"}</definedName>
    <definedName name="mmm_1_1" localSheetId="3" hidden="1">{"LIBOR",#N/A,TRUE,"Model";"Caps",#N/A,TRUE,"Model";"Assets",#N/A,TRUE,"Model";"Liabilities",#N/A,TRUE,"Model";"Tests",#N/A,TRUE,"Model";"Results",#N/A,TRUE,"Model"}</definedName>
    <definedName name="mmm_1_1" localSheetId="1" hidden="1">{"LIBOR",#N/A,TRUE,"Model";"Caps",#N/A,TRUE,"Model";"Assets",#N/A,TRUE,"Model";"Liabilities",#N/A,TRUE,"Model";"Tests",#N/A,TRUE,"Model";"Results",#N/A,TRUE,"Model"}</definedName>
    <definedName name="mmm_1_1" hidden="1">{"LIBOR",#N/A,TRUE,"Model";"Caps",#N/A,TRUE,"Model";"Assets",#N/A,TRUE,"Model";"Liabilities",#N/A,TRUE,"Model";"Tests",#N/A,TRUE,"Model";"Results",#N/A,TRUE,"Model"}</definedName>
    <definedName name="mmm_1_1_1" localSheetId="3" hidden="1">{"LIBOR",#N/A,TRUE,"Model";"Caps",#N/A,TRUE,"Model";"Assets",#N/A,TRUE,"Model";"Liabilities",#N/A,TRUE,"Model";"Tests",#N/A,TRUE,"Model";"Results",#N/A,TRUE,"Model"}</definedName>
    <definedName name="mmm_1_1_1" localSheetId="1" hidden="1">{"LIBOR",#N/A,TRUE,"Model";"Caps",#N/A,TRUE,"Model";"Assets",#N/A,TRUE,"Model";"Liabilities",#N/A,TRUE,"Model";"Tests",#N/A,TRUE,"Model";"Results",#N/A,TRUE,"Model"}</definedName>
    <definedName name="mmm_1_1_1" hidden="1">{"LIBOR",#N/A,TRUE,"Model";"Caps",#N/A,TRUE,"Model";"Assets",#N/A,TRUE,"Model";"Liabilities",#N/A,TRUE,"Model";"Tests",#N/A,TRUE,"Model";"Results",#N/A,TRUE,"Model"}</definedName>
    <definedName name="mmm_1_1_1_1" localSheetId="3" hidden="1">{"LIBOR",#N/A,TRUE,"Model";"Caps",#N/A,TRUE,"Model";"Assets",#N/A,TRUE,"Model";"Liabilities",#N/A,TRUE,"Model";"Tests",#N/A,TRUE,"Model";"Results",#N/A,TRUE,"Model"}</definedName>
    <definedName name="mmm_1_1_1_1" localSheetId="1" hidden="1">{"LIBOR",#N/A,TRUE,"Model";"Caps",#N/A,TRUE,"Model";"Assets",#N/A,TRUE,"Model";"Liabilities",#N/A,TRUE,"Model";"Tests",#N/A,TRUE,"Model";"Results",#N/A,TRUE,"Model"}</definedName>
    <definedName name="mmm_1_1_1_1" hidden="1">{"LIBOR",#N/A,TRUE,"Model";"Caps",#N/A,TRUE,"Model";"Assets",#N/A,TRUE,"Model";"Liabilities",#N/A,TRUE,"Model";"Tests",#N/A,TRUE,"Model";"Results",#N/A,TRUE,"Model"}</definedName>
    <definedName name="mmm_1_2" localSheetId="3" hidden="1">{"LIBOR",#N/A,TRUE,"Model";"Caps",#N/A,TRUE,"Model";"Assets",#N/A,TRUE,"Model";"Liabilities",#N/A,TRUE,"Model";"Tests",#N/A,TRUE,"Model";"Results",#N/A,TRUE,"Model"}</definedName>
    <definedName name="mmm_1_2" localSheetId="1" hidden="1">{"LIBOR",#N/A,TRUE,"Model";"Caps",#N/A,TRUE,"Model";"Assets",#N/A,TRUE,"Model";"Liabilities",#N/A,TRUE,"Model";"Tests",#N/A,TRUE,"Model";"Results",#N/A,TRUE,"Model"}</definedName>
    <definedName name="mmm_1_2" hidden="1">{"LIBOR",#N/A,TRUE,"Model";"Caps",#N/A,TRUE,"Model";"Assets",#N/A,TRUE,"Model";"Liabilities",#N/A,TRUE,"Model";"Tests",#N/A,TRUE,"Model";"Results",#N/A,TRUE,"Model"}</definedName>
    <definedName name="mmm_1_2_1" localSheetId="3" hidden="1">{"LIBOR",#N/A,TRUE,"Model";"Caps",#N/A,TRUE,"Model";"Assets",#N/A,TRUE,"Model";"Liabilities",#N/A,TRUE,"Model";"Tests",#N/A,TRUE,"Model";"Results",#N/A,TRUE,"Model"}</definedName>
    <definedName name="mmm_1_2_1" localSheetId="1" hidden="1">{"LIBOR",#N/A,TRUE,"Model";"Caps",#N/A,TRUE,"Model";"Assets",#N/A,TRUE,"Model";"Liabilities",#N/A,TRUE,"Model";"Tests",#N/A,TRUE,"Model";"Results",#N/A,TRUE,"Model"}</definedName>
    <definedName name="mmm_1_2_1" hidden="1">{"LIBOR",#N/A,TRUE,"Model";"Caps",#N/A,TRUE,"Model";"Assets",#N/A,TRUE,"Model";"Liabilities",#N/A,TRUE,"Model";"Tests",#N/A,TRUE,"Model";"Results",#N/A,TRUE,"Model"}</definedName>
    <definedName name="mmm_1_3" localSheetId="3" hidden="1">{"LIBOR",#N/A,TRUE,"Model";"Caps",#N/A,TRUE,"Model";"Assets",#N/A,TRUE,"Model";"Liabilities",#N/A,TRUE,"Model";"Tests",#N/A,TRUE,"Model";"Results",#N/A,TRUE,"Model"}</definedName>
    <definedName name="mmm_1_3" localSheetId="1" hidden="1">{"LIBOR",#N/A,TRUE,"Model";"Caps",#N/A,TRUE,"Model";"Assets",#N/A,TRUE,"Model";"Liabilities",#N/A,TRUE,"Model";"Tests",#N/A,TRUE,"Model";"Results",#N/A,TRUE,"Model"}</definedName>
    <definedName name="mmm_1_3" hidden="1">{"LIBOR",#N/A,TRUE,"Model";"Caps",#N/A,TRUE,"Model";"Assets",#N/A,TRUE,"Model";"Liabilities",#N/A,TRUE,"Model";"Tests",#N/A,TRUE,"Model";"Results",#N/A,TRUE,"Model"}</definedName>
    <definedName name="mmm_1_3_1" localSheetId="3" hidden="1">{"LIBOR",#N/A,TRUE,"Model";"Caps",#N/A,TRUE,"Model";"Assets",#N/A,TRUE,"Model";"Liabilities",#N/A,TRUE,"Model";"Tests",#N/A,TRUE,"Model";"Results",#N/A,TRUE,"Model"}</definedName>
    <definedName name="mmm_1_3_1" localSheetId="1" hidden="1">{"LIBOR",#N/A,TRUE,"Model";"Caps",#N/A,TRUE,"Model";"Assets",#N/A,TRUE,"Model";"Liabilities",#N/A,TRUE,"Model";"Tests",#N/A,TRUE,"Model";"Results",#N/A,TRUE,"Model"}</definedName>
    <definedName name="mmm_1_3_1" hidden="1">{"LIBOR",#N/A,TRUE,"Model";"Caps",#N/A,TRUE,"Model";"Assets",#N/A,TRUE,"Model";"Liabilities",#N/A,TRUE,"Model";"Tests",#N/A,TRUE,"Model";"Results",#N/A,TRUE,"Model"}</definedName>
    <definedName name="mmm_1_4" localSheetId="3" hidden="1">{"LIBOR",#N/A,TRUE,"Model";"Caps",#N/A,TRUE,"Model";"Assets",#N/A,TRUE,"Model";"Liabilities",#N/A,TRUE,"Model";"Tests",#N/A,TRUE,"Model";"Results",#N/A,TRUE,"Model"}</definedName>
    <definedName name="mmm_1_4" localSheetId="1" hidden="1">{"LIBOR",#N/A,TRUE,"Model";"Caps",#N/A,TRUE,"Model";"Assets",#N/A,TRUE,"Model";"Liabilities",#N/A,TRUE,"Model";"Tests",#N/A,TRUE,"Model";"Results",#N/A,TRUE,"Model"}</definedName>
    <definedName name="mmm_1_4" hidden="1">{"LIBOR",#N/A,TRUE,"Model";"Caps",#N/A,TRUE,"Model";"Assets",#N/A,TRUE,"Model";"Liabilities",#N/A,TRUE,"Model";"Tests",#N/A,TRUE,"Model";"Results",#N/A,TRUE,"Model"}</definedName>
    <definedName name="mmm_2" localSheetId="3" hidden="1">{"LIBOR",#N/A,TRUE,"Model";"Caps",#N/A,TRUE,"Model";"Assets",#N/A,TRUE,"Model";"Liabilities",#N/A,TRUE,"Model";"Tests",#N/A,TRUE,"Model";"Results",#N/A,TRUE,"Model"}</definedName>
    <definedName name="mmm_2" localSheetId="1" hidden="1">{"LIBOR",#N/A,TRUE,"Model";"Caps",#N/A,TRUE,"Model";"Assets",#N/A,TRUE,"Model";"Liabilities",#N/A,TRUE,"Model";"Tests",#N/A,TRUE,"Model";"Results",#N/A,TRUE,"Model"}</definedName>
    <definedName name="mmm_2" hidden="1">{"LIBOR",#N/A,TRUE,"Model";"Caps",#N/A,TRUE,"Model";"Assets",#N/A,TRUE,"Model";"Liabilities",#N/A,TRUE,"Model";"Tests",#N/A,TRUE,"Model";"Results",#N/A,TRUE,"Model"}</definedName>
    <definedName name="mmm_2_1" localSheetId="3" hidden="1">{"LIBOR",#N/A,TRUE,"Model";"Caps",#N/A,TRUE,"Model";"Assets",#N/A,TRUE,"Model";"Liabilities",#N/A,TRUE,"Model";"Tests",#N/A,TRUE,"Model";"Results",#N/A,TRUE,"Model"}</definedName>
    <definedName name="mmm_2_1" localSheetId="1" hidden="1">{"LIBOR",#N/A,TRUE,"Model";"Caps",#N/A,TRUE,"Model";"Assets",#N/A,TRUE,"Model";"Liabilities",#N/A,TRUE,"Model";"Tests",#N/A,TRUE,"Model";"Results",#N/A,TRUE,"Model"}</definedName>
    <definedName name="mmm_2_1" hidden="1">{"LIBOR",#N/A,TRUE,"Model";"Caps",#N/A,TRUE,"Model";"Assets",#N/A,TRUE,"Model";"Liabilities",#N/A,TRUE,"Model";"Tests",#N/A,TRUE,"Model";"Results",#N/A,TRUE,"Model"}</definedName>
    <definedName name="mmm_2_1_1" localSheetId="3" hidden="1">{"LIBOR",#N/A,TRUE,"Model";"Caps",#N/A,TRUE,"Model";"Assets",#N/A,TRUE,"Model";"Liabilities",#N/A,TRUE,"Model";"Tests",#N/A,TRUE,"Model";"Results",#N/A,TRUE,"Model"}</definedName>
    <definedName name="mmm_2_1_1" localSheetId="1" hidden="1">{"LIBOR",#N/A,TRUE,"Model";"Caps",#N/A,TRUE,"Model";"Assets",#N/A,TRUE,"Model";"Liabilities",#N/A,TRUE,"Model";"Tests",#N/A,TRUE,"Model";"Results",#N/A,TRUE,"Model"}</definedName>
    <definedName name="mmm_2_1_1" hidden="1">{"LIBOR",#N/A,TRUE,"Model";"Caps",#N/A,TRUE,"Model";"Assets",#N/A,TRUE,"Model";"Liabilities",#N/A,TRUE,"Model";"Tests",#N/A,TRUE,"Model";"Results",#N/A,TRUE,"Model"}</definedName>
    <definedName name="mmm_2_1_1_1" localSheetId="3" hidden="1">{"LIBOR",#N/A,TRUE,"Model";"Caps",#N/A,TRUE,"Model";"Assets",#N/A,TRUE,"Model";"Liabilities",#N/A,TRUE,"Model";"Tests",#N/A,TRUE,"Model";"Results",#N/A,TRUE,"Model"}</definedName>
    <definedName name="mmm_2_1_1_1" localSheetId="1" hidden="1">{"LIBOR",#N/A,TRUE,"Model";"Caps",#N/A,TRUE,"Model";"Assets",#N/A,TRUE,"Model";"Liabilities",#N/A,TRUE,"Model";"Tests",#N/A,TRUE,"Model";"Results",#N/A,TRUE,"Model"}</definedName>
    <definedName name="mmm_2_1_1_1" hidden="1">{"LIBOR",#N/A,TRUE,"Model";"Caps",#N/A,TRUE,"Model";"Assets",#N/A,TRUE,"Model";"Liabilities",#N/A,TRUE,"Model";"Tests",#N/A,TRUE,"Model";"Results",#N/A,TRUE,"Model"}</definedName>
    <definedName name="mmm_2_2" localSheetId="3" hidden="1">{"LIBOR",#N/A,TRUE,"Model";"Caps",#N/A,TRUE,"Model";"Assets",#N/A,TRUE,"Model";"Liabilities",#N/A,TRUE,"Model";"Tests",#N/A,TRUE,"Model";"Results",#N/A,TRUE,"Model"}</definedName>
    <definedName name="mmm_2_2" localSheetId="1" hidden="1">{"LIBOR",#N/A,TRUE,"Model";"Caps",#N/A,TRUE,"Model";"Assets",#N/A,TRUE,"Model";"Liabilities",#N/A,TRUE,"Model";"Tests",#N/A,TRUE,"Model";"Results",#N/A,TRUE,"Model"}</definedName>
    <definedName name="mmm_2_2" hidden="1">{"LIBOR",#N/A,TRUE,"Model";"Caps",#N/A,TRUE,"Model";"Assets",#N/A,TRUE,"Model";"Liabilities",#N/A,TRUE,"Model";"Tests",#N/A,TRUE,"Model";"Results",#N/A,TRUE,"Model"}</definedName>
    <definedName name="mmm_2_2_1" localSheetId="3" hidden="1">{"LIBOR",#N/A,TRUE,"Model";"Caps",#N/A,TRUE,"Model";"Assets",#N/A,TRUE,"Model";"Liabilities",#N/A,TRUE,"Model";"Tests",#N/A,TRUE,"Model";"Results",#N/A,TRUE,"Model"}</definedName>
    <definedName name="mmm_2_2_1" localSheetId="1" hidden="1">{"LIBOR",#N/A,TRUE,"Model";"Caps",#N/A,TRUE,"Model";"Assets",#N/A,TRUE,"Model";"Liabilities",#N/A,TRUE,"Model";"Tests",#N/A,TRUE,"Model";"Results",#N/A,TRUE,"Model"}</definedName>
    <definedName name="mmm_2_2_1" hidden="1">{"LIBOR",#N/A,TRUE,"Model";"Caps",#N/A,TRUE,"Model";"Assets",#N/A,TRUE,"Model";"Liabilities",#N/A,TRUE,"Model";"Tests",#N/A,TRUE,"Model";"Results",#N/A,TRUE,"Model"}</definedName>
    <definedName name="mmm_2_3" localSheetId="3" hidden="1">{"LIBOR",#N/A,TRUE,"Model";"Caps",#N/A,TRUE,"Model";"Assets",#N/A,TRUE,"Model";"Liabilities",#N/A,TRUE,"Model";"Tests",#N/A,TRUE,"Model";"Results",#N/A,TRUE,"Model"}</definedName>
    <definedName name="mmm_2_3" localSheetId="1" hidden="1">{"LIBOR",#N/A,TRUE,"Model";"Caps",#N/A,TRUE,"Model";"Assets",#N/A,TRUE,"Model";"Liabilities",#N/A,TRUE,"Model";"Tests",#N/A,TRUE,"Model";"Results",#N/A,TRUE,"Model"}</definedName>
    <definedName name="mmm_2_3" hidden="1">{"LIBOR",#N/A,TRUE,"Model";"Caps",#N/A,TRUE,"Model";"Assets",#N/A,TRUE,"Model";"Liabilities",#N/A,TRUE,"Model";"Tests",#N/A,TRUE,"Model";"Results",#N/A,TRUE,"Model"}</definedName>
    <definedName name="mmm_3" localSheetId="3" hidden="1">{"LIBOR",#N/A,TRUE,"Model";"Caps",#N/A,TRUE,"Model";"Assets",#N/A,TRUE,"Model";"Liabilities",#N/A,TRUE,"Model";"Tests",#N/A,TRUE,"Model";"Results",#N/A,TRUE,"Model"}</definedName>
    <definedName name="mmm_3" localSheetId="1" hidden="1">{"LIBOR",#N/A,TRUE,"Model";"Caps",#N/A,TRUE,"Model";"Assets",#N/A,TRUE,"Model";"Liabilities",#N/A,TRUE,"Model";"Tests",#N/A,TRUE,"Model";"Results",#N/A,TRUE,"Model"}</definedName>
    <definedName name="mmm_3" hidden="1">{"LIBOR",#N/A,TRUE,"Model";"Caps",#N/A,TRUE,"Model";"Assets",#N/A,TRUE,"Model";"Liabilities",#N/A,TRUE,"Model";"Tests",#N/A,TRUE,"Model";"Results",#N/A,TRUE,"Model"}</definedName>
    <definedName name="mmm_3_1" localSheetId="3" hidden="1">{"LIBOR",#N/A,TRUE,"Model";"Caps",#N/A,TRUE,"Model";"Assets",#N/A,TRUE,"Model";"Liabilities",#N/A,TRUE,"Model";"Tests",#N/A,TRUE,"Model";"Results",#N/A,TRUE,"Model"}</definedName>
    <definedName name="mmm_3_1" localSheetId="1" hidden="1">{"LIBOR",#N/A,TRUE,"Model";"Caps",#N/A,TRUE,"Model";"Assets",#N/A,TRUE,"Model";"Liabilities",#N/A,TRUE,"Model";"Tests",#N/A,TRUE,"Model";"Results",#N/A,TRUE,"Model"}</definedName>
    <definedName name="mmm_3_1" hidden="1">{"LIBOR",#N/A,TRUE,"Model";"Caps",#N/A,TRUE,"Model";"Assets",#N/A,TRUE,"Model";"Liabilities",#N/A,TRUE,"Model";"Tests",#N/A,TRUE,"Model";"Results",#N/A,TRUE,"Model"}</definedName>
    <definedName name="mmm_3_1_1" localSheetId="3" hidden="1">{"LIBOR",#N/A,TRUE,"Model";"Caps",#N/A,TRUE,"Model";"Assets",#N/A,TRUE,"Model";"Liabilities",#N/A,TRUE,"Model";"Tests",#N/A,TRUE,"Model";"Results",#N/A,TRUE,"Model"}</definedName>
    <definedName name="mmm_3_1_1" localSheetId="1" hidden="1">{"LIBOR",#N/A,TRUE,"Model";"Caps",#N/A,TRUE,"Model";"Assets",#N/A,TRUE,"Model";"Liabilities",#N/A,TRUE,"Model";"Tests",#N/A,TRUE,"Model";"Results",#N/A,TRUE,"Model"}</definedName>
    <definedName name="mmm_3_1_1" hidden="1">{"LIBOR",#N/A,TRUE,"Model";"Caps",#N/A,TRUE,"Model";"Assets",#N/A,TRUE,"Model";"Liabilities",#N/A,TRUE,"Model";"Tests",#N/A,TRUE,"Model";"Results",#N/A,TRUE,"Model"}</definedName>
    <definedName name="mmm_3_1_1_1" localSheetId="3" hidden="1">{"LIBOR",#N/A,TRUE,"Model";"Caps",#N/A,TRUE,"Model";"Assets",#N/A,TRUE,"Model";"Liabilities",#N/A,TRUE,"Model";"Tests",#N/A,TRUE,"Model";"Results",#N/A,TRUE,"Model"}</definedName>
    <definedName name="mmm_3_1_1_1" localSheetId="1" hidden="1">{"LIBOR",#N/A,TRUE,"Model";"Caps",#N/A,TRUE,"Model";"Assets",#N/A,TRUE,"Model";"Liabilities",#N/A,TRUE,"Model";"Tests",#N/A,TRUE,"Model";"Results",#N/A,TRUE,"Model"}</definedName>
    <definedName name="mmm_3_1_1_1" hidden="1">{"LIBOR",#N/A,TRUE,"Model";"Caps",#N/A,TRUE,"Model";"Assets",#N/A,TRUE,"Model";"Liabilities",#N/A,TRUE,"Model";"Tests",#N/A,TRUE,"Model";"Results",#N/A,TRUE,"Model"}</definedName>
    <definedName name="mmm_3_2" localSheetId="3" hidden="1">{"LIBOR",#N/A,TRUE,"Model";"Caps",#N/A,TRUE,"Model";"Assets",#N/A,TRUE,"Model";"Liabilities",#N/A,TRUE,"Model";"Tests",#N/A,TRUE,"Model";"Results",#N/A,TRUE,"Model"}</definedName>
    <definedName name="mmm_3_2" localSheetId="1" hidden="1">{"LIBOR",#N/A,TRUE,"Model";"Caps",#N/A,TRUE,"Model";"Assets",#N/A,TRUE,"Model";"Liabilities",#N/A,TRUE,"Model";"Tests",#N/A,TRUE,"Model";"Results",#N/A,TRUE,"Model"}</definedName>
    <definedName name="mmm_3_2" hidden="1">{"LIBOR",#N/A,TRUE,"Model";"Caps",#N/A,TRUE,"Model";"Assets",#N/A,TRUE,"Model";"Liabilities",#N/A,TRUE,"Model";"Tests",#N/A,TRUE,"Model";"Results",#N/A,TRUE,"Model"}</definedName>
    <definedName name="mmm_3_2_1" localSheetId="3" hidden="1">{"LIBOR",#N/A,TRUE,"Model";"Caps",#N/A,TRUE,"Model";"Assets",#N/A,TRUE,"Model";"Liabilities",#N/A,TRUE,"Model";"Tests",#N/A,TRUE,"Model";"Results",#N/A,TRUE,"Model"}</definedName>
    <definedName name="mmm_3_2_1" localSheetId="1" hidden="1">{"LIBOR",#N/A,TRUE,"Model";"Caps",#N/A,TRUE,"Model";"Assets",#N/A,TRUE,"Model";"Liabilities",#N/A,TRUE,"Model";"Tests",#N/A,TRUE,"Model";"Results",#N/A,TRUE,"Model"}</definedName>
    <definedName name="mmm_3_2_1" hidden="1">{"LIBOR",#N/A,TRUE,"Model";"Caps",#N/A,TRUE,"Model";"Assets",#N/A,TRUE,"Model";"Liabilities",#N/A,TRUE,"Model";"Tests",#N/A,TRUE,"Model";"Results",#N/A,TRUE,"Model"}</definedName>
    <definedName name="mmm_3_3" localSheetId="3" hidden="1">{"LIBOR",#N/A,TRUE,"Model";"Caps",#N/A,TRUE,"Model";"Assets",#N/A,TRUE,"Model";"Liabilities",#N/A,TRUE,"Model";"Tests",#N/A,TRUE,"Model";"Results",#N/A,TRUE,"Model"}</definedName>
    <definedName name="mmm_3_3" localSheetId="1" hidden="1">{"LIBOR",#N/A,TRUE,"Model";"Caps",#N/A,TRUE,"Model";"Assets",#N/A,TRUE,"Model";"Liabilities",#N/A,TRUE,"Model";"Tests",#N/A,TRUE,"Model";"Results",#N/A,TRUE,"Model"}</definedName>
    <definedName name="mmm_3_3" hidden="1">{"LIBOR",#N/A,TRUE,"Model";"Caps",#N/A,TRUE,"Model";"Assets",#N/A,TRUE,"Model";"Liabilities",#N/A,TRUE,"Model";"Tests",#N/A,TRUE,"Model";"Results",#N/A,TRUE,"Model"}</definedName>
    <definedName name="mmm_4" localSheetId="3" hidden="1">{"LIBOR",#N/A,TRUE,"Model";"Caps",#N/A,TRUE,"Model";"Assets",#N/A,TRUE,"Model";"Liabilities",#N/A,TRUE,"Model";"Tests",#N/A,TRUE,"Model";"Results",#N/A,TRUE,"Model"}</definedName>
    <definedName name="mmm_4" localSheetId="1" hidden="1">{"LIBOR",#N/A,TRUE,"Model";"Caps",#N/A,TRUE,"Model";"Assets",#N/A,TRUE,"Model";"Liabilities",#N/A,TRUE,"Model";"Tests",#N/A,TRUE,"Model";"Results",#N/A,TRUE,"Model"}</definedName>
    <definedName name="mmm_4" hidden="1">{"LIBOR",#N/A,TRUE,"Model";"Caps",#N/A,TRUE,"Model";"Assets",#N/A,TRUE,"Model";"Liabilities",#N/A,TRUE,"Model";"Tests",#N/A,TRUE,"Model";"Results",#N/A,TRUE,"Model"}</definedName>
    <definedName name="mmm_4_1" localSheetId="3" hidden="1">{"LIBOR",#N/A,TRUE,"Model";"Caps",#N/A,TRUE,"Model";"Assets",#N/A,TRUE,"Model";"Liabilities",#N/A,TRUE,"Model";"Tests",#N/A,TRUE,"Model";"Results",#N/A,TRUE,"Model"}</definedName>
    <definedName name="mmm_4_1" localSheetId="1" hidden="1">{"LIBOR",#N/A,TRUE,"Model";"Caps",#N/A,TRUE,"Model";"Assets",#N/A,TRUE,"Model";"Liabilities",#N/A,TRUE,"Model";"Tests",#N/A,TRUE,"Model";"Results",#N/A,TRUE,"Model"}</definedName>
    <definedName name="mmm_4_1" hidden="1">{"LIBOR",#N/A,TRUE,"Model";"Caps",#N/A,TRUE,"Model";"Assets",#N/A,TRUE,"Model";"Liabilities",#N/A,TRUE,"Model";"Tests",#N/A,TRUE,"Model";"Results",#N/A,TRUE,"Model"}</definedName>
    <definedName name="mmm_4_1_1" localSheetId="3" hidden="1">{"LIBOR",#N/A,TRUE,"Model";"Caps",#N/A,TRUE,"Model";"Assets",#N/A,TRUE,"Model";"Liabilities",#N/A,TRUE,"Model";"Tests",#N/A,TRUE,"Model";"Results",#N/A,TRUE,"Model"}</definedName>
    <definedName name="mmm_4_1_1" localSheetId="1" hidden="1">{"LIBOR",#N/A,TRUE,"Model";"Caps",#N/A,TRUE,"Model";"Assets",#N/A,TRUE,"Model";"Liabilities",#N/A,TRUE,"Model";"Tests",#N/A,TRUE,"Model";"Results",#N/A,TRUE,"Model"}</definedName>
    <definedName name="mmm_4_1_1" hidden="1">{"LIBOR",#N/A,TRUE,"Model";"Caps",#N/A,TRUE,"Model";"Assets",#N/A,TRUE,"Model";"Liabilities",#N/A,TRUE,"Model";"Tests",#N/A,TRUE,"Model";"Results",#N/A,TRUE,"Model"}</definedName>
    <definedName name="mmm_4_1_1_1" localSheetId="3" hidden="1">{"LIBOR",#N/A,TRUE,"Model";"Caps",#N/A,TRUE,"Model";"Assets",#N/A,TRUE,"Model";"Liabilities",#N/A,TRUE,"Model";"Tests",#N/A,TRUE,"Model";"Results",#N/A,TRUE,"Model"}</definedName>
    <definedName name="mmm_4_1_1_1" localSheetId="1" hidden="1">{"LIBOR",#N/A,TRUE,"Model";"Caps",#N/A,TRUE,"Model";"Assets",#N/A,TRUE,"Model";"Liabilities",#N/A,TRUE,"Model";"Tests",#N/A,TRUE,"Model";"Results",#N/A,TRUE,"Model"}</definedName>
    <definedName name="mmm_4_1_1_1" hidden="1">{"LIBOR",#N/A,TRUE,"Model";"Caps",#N/A,TRUE,"Model";"Assets",#N/A,TRUE,"Model";"Liabilities",#N/A,TRUE,"Model";"Tests",#N/A,TRUE,"Model";"Results",#N/A,TRUE,"Model"}</definedName>
    <definedName name="mmm_4_2" localSheetId="3" hidden="1">{"LIBOR",#N/A,TRUE,"Model";"Caps",#N/A,TRUE,"Model";"Assets",#N/A,TRUE,"Model";"Liabilities",#N/A,TRUE,"Model";"Tests",#N/A,TRUE,"Model";"Results",#N/A,TRUE,"Model"}</definedName>
    <definedName name="mmm_4_2" localSheetId="1" hidden="1">{"LIBOR",#N/A,TRUE,"Model";"Caps",#N/A,TRUE,"Model";"Assets",#N/A,TRUE,"Model";"Liabilities",#N/A,TRUE,"Model";"Tests",#N/A,TRUE,"Model";"Results",#N/A,TRUE,"Model"}</definedName>
    <definedName name="mmm_4_2" hidden="1">{"LIBOR",#N/A,TRUE,"Model";"Caps",#N/A,TRUE,"Model";"Assets",#N/A,TRUE,"Model";"Liabilities",#N/A,TRUE,"Model";"Tests",#N/A,TRUE,"Model";"Results",#N/A,TRUE,"Model"}</definedName>
    <definedName name="mmm_4_2_1" localSheetId="3" hidden="1">{"LIBOR",#N/A,TRUE,"Model";"Caps",#N/A,TRUE,"Model";"Assets",#N/A,TRUE,"Model";"Liabilities",#N/A,TRUE,"Model";"Tests",#N/A,TRUE,"Model";"Results",#N/A,TRUE,"Model"}</definedName>
    <definedName name="mmm_4_2_1" localSheetId="1" hidden="1">{"LIBOR",#N/A,TRUE,"Model";"Caps",#N/A,TRUE,"Model";"Assets",#N/A,TRUE,"Model";"Liabilities",#N/A,TRUE,"Model";"Tests",#N/A,TRUE,"Model";"Results",#N/A,TRUE,"Model"}</definedName>
    <definedName name="mmm_4_2_1" hidden="1">{"LIBOR",#N/A,TRUE,"Model";"Caps",#N/A,TRUE,"Model";"Assets",#N/A,TRUE,"Model";"Liabilities",#N/A,TRUE,"Model";"Tests",#N/A,TRUE,"Model";"Results",#N/A,TRUE,"Model"}</definedName>
    <definedName name="mmm_4_3" localSheetId="3" hidden="1">{"LIBOR",#N/A,TRUE,"Model";"Caps",#N/A,TRUE,"Model";"Assets",#N/A,TRUE,"Model";"Liabilities",#N/A,TRUE,"Model";"Tests",#N/A,TRUE,"Model";"Results",#N/A,TRUE,"Model"}</definedName>
    <definedName name="mmm_4_3" localSheetId="1" hidden="1">{"LIBOR",#N/A,TRUE,"Model";"Caps",#N/A,TRUE,"Model";"Assets",#N/A,TRUE,"Model";"Liabilities",#N/A,TRUE,"Model";"Tests",#N/A,TRUE,"Model";"Results",#N/A,TRUE,"Model"}</definedName>
    <definedName name="mmm_4_3" hidden="1">{"LIBOR",#N/A,TRUE,"Model";"Caps",#N/A,TRUE,"Model";"Assets",#N/A,TRUE,"Model";"Liabilities",#N/A,TRUE,"Model";"Tests",#N/A,TRUE,"Model";"Results",#N/A,TRUE,"Model"}</definedName>
    <definedName name="mmm_5" localSheetId="3" hidden="1">{"LIBOR",#N/A,TRUE,"Model";"Caps",#N/A,TRUE,"Model";"Assets",#N/A,TRUE,"Model";"Liabilities",#N/A,TRUE,"Model";"Tests",#N/A,TRUE,"Model";"Results",#N/A,TRUE,"Model"}</definedName>
    <definedName name="mmm_5" localSheetId="1" hidden="1">{"LIBOR",#N/A,TRUE,"Model";"Caps",#N/A,TRUE,"Model";"Assets",#N/A,TRUE,"Model";"Liabilities",#N/A,TRUE,"Model";"Tests",#N/A,TRUE,"Model";"Results",#N/A,TRUE,"Model"}</definedName>
    <definedName name="mmm_5" hidden="1">{"LIBOR",#N/A,TRUE,"Model";"Caps",#N/A,TRUE,"Model";"Assets",#N/A,TRUE,"Model";"Liabilities",#N/A,TRUE,"Model";"Tests",#N/A,TRUE,"Model";"Results",#N/A,TRUE,"Model"}</definedName>
    <definedName name="mmm_5_1" localSheetId="3" hidden="1">{"LIBOR",#N/A,TRUE,"Model";"Caps",#N/A,TRUE,"Model";"Assets",#N/A,TRUE,"Model";"Liabilities",#N/A,TRUE,"Model";"Tests",#N/A,TRUE,"Model";"Results",#N/A,TRUE,"Model"}</definedName>
    <definedName name="mmm_5_1" localSheetId="1" hidden="1">{"LIBOR",#N/A,TRUE,"Model";"Caps",#N/A,TRUE,"Model";"Assets",#N/A,TRUE,"Model";"Liabilities",#N/A,TRUE,"Model";"Tests",#N/A,TRUE,"Model";"Results",#N/A,TRUE,"Model"}</definedName>
    <definedName name="mmm_5_1" hidden="1">{"LIBOR",#N/A,TRUE,"Model";"Caps",#N/A,TRUE,"Model";"Assets",#N/A,TRUE,"Model";"Liabilities",#N/A,TRUE,"Model";"Tests",#N/A,TRUE,"Model";"Results",#N/A,TRUE,"Model"}</definedName>
    <definedName name="mmm_5_1_1" localSheetId="3" hidden="1">{"LIBOR",#N/A,TRUE,"Model";"Caps",#N/A,TRUE,"Model";"Assets",#N/A,TRUE,"Model";"Liabilities",#N/A,TRUE,"Model";"Tests",#N/A,TRUE,"Model";"Results",#N/A,TRUE,"Model"}</definedName>
    <definedName name="mmm_5_1_1" localSheetId="1" hidden="1">{"LIBOR",#N/A,TRUE,"Model";"Caps",#N/A,TRUE,"Model";"Assets",#N/A,TRUE,"Model";"Liabilities",#N/A,TRUE,"Model";"Tests",#N/A,TRUE,"Model";"Results",#N/A,TRUE,"Model"}</definedName>
    <definedName name="mmm_5_1_1" hidden="1">{"LIBOR",#N/A,TRUE,"Model";"Caps",#N/A,TRUE,"Model";"Assets",#N/A,TRUE,"Model";"Liabilities",#N/A,TRUE,"Model";"Tests",#N/A,TRUE,"Model";"Results",#N/A,TRUE,"Model"}</definedName>
    <definedName name="mmm_5_1_1_1" localSheetId="3" hidden="1">{"LIBOR",#N/A,TRUE,"Model";"Caps",#N/A,TRUE,"Model";"Assets",#N/A,TRUE,"Model";"Liabilities",#N/A,TRUE,"Model";"Tests",#N/A,TRUE,"Model";"Results",#N/A,TRUE,"Model"}</definedName>
    <definedName name="mmm_5_1_1_1" localSheetId="1" hidden="1">{"LIBOR",#N/A,TRUE,"Model";"Caps",#N/A,TRUE,"Model";"Assets",#N/A,TRUE,"Model";"Liabilities",#N/A,TRUE,"Model";"Tests",#N/A,TRUE,"Model";"Results",#N/A,TRUE,"Model"}</definedName>
    <definedName name="mmm_5_1_1_1" hidden="1">{"LIBOR",#N/A,TRUE,"Model";"Caps",#N/A,TRUE,"Model";"Assets",#N/A,TRUE,"Model";"Liabilities",#N/A,TRUE,"Model";"Tests",#N/A,TRUE,"Model";"Results",#N/A,TRUE,"Model"}</definedName>
    <definedName name="mmm_5_2" localSheetId="3" hidden="1">{"LIBOR",#N/A,TRUE,"Model";"Caps",#N/A,TRUE,"Model";"Assets",#N/A,TRUE,"Model";"Liabilities",#N/A,TRUE,"Model";"Tests",#N/A,TRUE,"Model";"Results",#N/A,TRUE,"Model"}</definedName>
    <definedName name="mmm_5_2" localSheetId="1" hidden="1">{"LIBOR",#N/A,TRUE,"Model";"Caps",#N/A,TRUE,"Model";"Assets",#N/A,TRUE,"Model";"Liabilities",#N/A,TRUE,"Model";"Tests",#N/A,TRUE,"Model";"Results",#N/A,TRUE,"Model"}</definedName>
    <definedName name="mmm_5_2" hidden="1">{"LIBOR",#N/A,TRUE,"Model";"Caps",#N/A,TRUE,"Model";"Assets",#N/A,TRUE,"Model";"Liabilities",#N/A,TRUE,"Model";"Tests",#N/A,TRUE,"Model";"Results",#N/A,TRUE,"Model"}</definedName>
    <definedName name="mmm_5_2_1" localSheetId="3" hidden="1">{"LIBOR",#N/A,TRUE,"Model";"Caps",#N/A,TRUE,"Model";"Assets",#N/A,TRUE,"Model";"Liabilities",#N/A,TRUE,"Model";"Tests",#N/A,TRUE,"Model";"Results",#N/A,TRUE,"Model"}</definedName>
    <definedName name="mmm_5_2_1" localSheetId="1" hidden="1">{"LIBOR",#N/A,TRUE,"Model";"Caps",#N/A,TRUE,"Model";"Assets",#N/A,TRUE,"Model";"Liabilities",#N/A,TRUE,"Model";"Tests",#N/A,TRUE,"Model";"Results",#N/A,TRUE,"Model"}</definedName>
    <definedName name="mmm_5_2_1" hidden="1">{"LIBOR",#N/A,TRUE,"Model";"Caps",#N/A,TRUE,"Model";"Assets",#N/A,TRUE,"Model";"Liabilities",#N/A,TRUE,"Model";"Tests",#N/A,TRUE,"Model";"Results",#N/A,TRUE,"Model"}</definedName>
    <definedName name="mmm_5_3" localSheetId="3" hidden="1">{"LIBOR",#N/A,TRUE,"Model";"Caps",#N/A,TRUE,"Model";"Assets",#N/A,TRUE,"Model";"Liabilities",#N/A,TRUE,"Model";"Tests",#N/A,TRUE,"Model";"Results",#N/A,TRUE,"Model"}</definedName>
    <definedName name="mmm_5_3" localSheetId="1" hidden="1">{"LIBOR",#N/A,TRUE,"Model";"Caps",#N/A,TRUE,"Model";"Assets",#N/A,TRUE,"Model";"Liabilities",#N/A,TRUE,"Model";"Tests",#N/A,TRUE,"Model";"Results",#N/A,TRUE,"Model"}</definedName>
    <definedName name="mmm_5_3" hidden="1">{"LIBOR",#N/A,TRUE,"Model";"Caps",#N/A,TRUE,"Model";"Assets",#N/A,TRUE,"Model";"Liabilities",#N/A,TRUE,"Model";"Tests",#N/A,TRUE,"Model";"Results",#N/A,TRUE,"Model"}</definedName>
    <definedName name="mode" localSheetId="1">#REF!</definedName>
    <definedName name="mode">#REF!</definedName>
    <definedName name="Mode1RampedAtClosing" localSheetId="1">#REF!</definedName>
    <definedName name="Mode1RampedAtClosing">#REF!</definedName>
    <definedName name="MonitorCol">1</definedName>
    <definedName name="MonitorRow">1</definedName>
    <definedName name="Month" localSheetId="1">#REF!</definedName>
    <definedName name="Month">#REF!</definedName>
    <definedName name="MonthEnding" localSheetId="1">#REF!</definedName>
    <definedName name="MonthEnding">#REF!</definedName>
    <definedName name="MonthInteger" localSheetId="1">#REF!</definedName>
    <definedName name="MonthInteger">#REF!</definedName>
    <definedName name="MonthlyBS" localSheetId="1">#REF!</definedName>
    <definedName name="MonthlyBS">#REF!</definedName>
    <definedName name="MonthPick" localSheetId="1">#REF!</definedName>
    <definedName name="MonthPick">#REF!</definedName>
    <definedName name="MonthPickYtd" localSheetId="1">#REF!</definedName>
    <definedName name="MonthPickYtd">#REF!</definedName>
    <definedName name="Moodys_Industry" localSheetId="1">#REF!</definedName>
    <definedName name="Moodys_Industry">#REF!</definedName>
    <definedName name="Moodys_Notched_CF_Ratings" localSheetId="1">#REF!</definedName>
    <definedName name="Moodys_Notched_CF_Ratings">#REF!</definedName>
    <definedName name="MoodySpread" localSheetId="1">#REF!</definedName>
    <definedName name="MoodySpread">#REF!</definedName>
    <definedName name="mph" localSheetId="3" hidden="1">{#N/A,#N/A,FALSE,"Balance Sheet";#N/A,#N/A,FALSE,"Income Statement";#N/A,#N/A,FALSE,"Partners Capital";#N/A,#N/A,FALSE,"Cash Flows";#N/A,#N/A,FALSE,"Support"}</definedName>
    <definedName name="mph" localSheetId="1" hidden="1">{#N/A,#N/A,FALSE,"Balance Sheet";#N/A,#N/A,FALSE,"Income Statement";#N/A,#N/A,FALSE,"Partners Capital";#N/A,#N/A,FALSE,"Cash Flows";#N/A,#N/A,FALSE,"Support"}</definedName>
    <definedName name="mph" hidden="1">{#N/A,#N/A,FALSE,"Balance Sheet";#N/A,#N/A,FALSE,"Income Statement";#N/A,#N/A,FALSE,"Partners Capital";#N/A,#N/A,FALSE,"Cash Flows";#N/A,#N/A,FALSE,"Support"}</definedName>
    <definedName name="multcash1" localSheetId="1" hidden="1">#REF!</definedName>
    <definedName name="multcash1" hidden="1">#REF!</definedName>
    <definedName name="multcash4" hidden="1">#REF!</definedName>
    <definedName name="multformrow4" hidden="1">#REF!</definedName>
    <definedName name="multtable" localSheetId="1" hidden="1">#REF!</definedName>
    <definedName name="multtable" hidden="1">#REF!</definedName>
    <definedName name="mvicebit_col" localSheetId="1" hidden="1">#REF!</definedName>
    <definedName name="mvicebit_col" hidden="1">#REF!</definedName>
    <definedName name="mvicprojebitda_col" localSheetId="1" hidden="1">#REF!</definedName>
    <definedName name="mvicprojebitda_col" hidden="1">#REF!</definedName>
    <definedName name="ndfghn6745734" localSheetId="1" hidden="1">#REF!</definedName>
    <definedName name="ndfghn6745734" hidden="1">#REF!</definedName>
    <definedName name="NetDebt" localSheetId="1">#REF!</definedName>
    <definedName name="NetDebt">#REF!</definedName>
    <definedName name="NEw" hidden="1">#REF!</definedName>
    <definedName name="newcurrent_Batch" localSheetId="1">#REF!</definedName>
    <definedName name="newcurrent_Batch">#REF!</definedName>
    <definedName name="newcurrent_Group" localSheetId="1">#REF!</definedName>
    <definedName name="newcurrent_Group">#REF!</definedName>
    <definedName name="newtab" hidden="1">#REF!</definedName>
    <definedName name="NEWWW" localSheetId="3" hidden="1">{"'PXR_6500'!$A$1:$I$124"}</definedName>
    <definedName name="NEWWW" localSheetId="1" hidden="1">{"'PXR_6500'!$A$1:$I$124"}</definedName>
    <definedName name="NEWWW" hidden="1">{"'PXR_6500'!$A$1:$I$124"}</definedName>
    <definedName name="nn" hidden="1">#REF!</definedName>
    <definedName name="nnnnnnnnnn1" localSheetId="3" hidden="1">{"LIBOR",#N/A,TRUE,"Model";"Caps",#N/A,TRUE,"Model";"Assets",#N/A,TRUE,"Model";"Liabilities",#N/A,TRUE,"Model";"Tests",#N/A,TRUE,"Model";"Results",#N/A,TRUE,"Model"}</definedName>
    <definedName name="nnnnnnnnnn1" localSheetId="1" hidden="1">{"LIBOR",#N/A,TRUE,"Model";"Caps",#N/A,TRUE,"Model";"Assets",#N/A,TRUE,"Model";"Liabilities",#N/A,TRUE,"Model";"Tests",#N/A,TRUE,"Model";"Results",#N/A,TRUE,"Model"}</definedName>
    <definedName name="nnnnnnnnnn1" hidden="1">{"LIBOR",#N/A,TRUE,"Model";"Caps",#N/A,TRUE,"Model";"Assets",#N/A,TRUE,"Model";"Liabilities",#N/A,TRUE,"Model";"Tests",#N/A,TRUE,"Model";"Results",#N/A,TRUE,"Model"}</definedName>
    <definedName name="nnnnnnnnnn1_1" localSheetId="3" hidden="1">{"LIBOR",#N/A,TRUE,"Model";"Caps",#N/A,TRUE,"Model";"Assets",#N/A,TRUE,"Model";"Liabilities",#N/A,TRUE,"Model";"Tests",#N/A,TRUE,"Model";"Results",#N/A,TRUE,"Model"}</definedName>
    <definedName name="nnnnnnnnnn1_1" localSheetId="1" hidden="1">{"LIBOR",#N/A,TRUE,"Model";"Caps",#N/A,TRUE,"Model";"Assets",#N/A,TRUE,"Model";"Liabilities",#N/A,TRUE,"Model";"Tests",#N/A,TRUE,"Model";"Results",#N/A,TRUE,"Model"}</definedName>
    <definedName name="nnnnnnnnnn1_1" hidden="1">{"LIBOR",#N/A,TRUE,"Model";"Caps",#N/A,TRUE,"Model";"Assets",#N/A,TRUE,"Model";"Liabilities",#N/A,TRUE,"Model";"Tests",#N/A,TRUE,"Model";"Results",#N/A,TRUE,"Model"}</definedName>
    <definedName name="nnnnnnnnnn1_1_1" localSheetId="3" hidden="1">{"LIBOR",#N/A,TRUE,"Model";"Caps",#N/A,TRUE,"Model";"Assets",#N/A,TRUE,"Model";"Liabilities",#N/A,TRUE,"Model";"Tests",#N/A,TRUE,"Model";"Results",#N/A,TRUE,"Model"}</definedName>
    <definedName name="nnnnnnnnnn1_1_1" localSheetId="1" hidden="1">{"LIBOR",#N/A,TRUE,"Model";"Caps",#N/A,TRUE,"Model";"Assets",#N/A,TRUE,"Model";"Liabilities",#N/A,TRUE,"Model";"Tests",#N/A,TRUE,"Model";"Results",#N/A,TRUE,"Model"}</definedName>
    <definedName name="nnnnnnnnnn1_1_1" hidden="1">{"LIBOR",#N/A,TRUE,"Model";"Caps",#N/A,TRUE,"Model";"Assets",#N/A,TRUE,"Model";"Liabilities",#N/A,TRUE,"Model";"Tests",#N/A,TRUE,"Model";"Results",#N/A,TRUE,"Model"}</definedName>
    <definedName name="nnnnnnnnnn1_1_1_1" localSheetId="3" hidden="1">{"LIBOR",#N/A,TRUE,"Model";"Caps",#N/A,TRUE,"Model";"Assets",#N/A,TRUE,"Model";"Liabilities",#N/A,TRUE,"Model";"Tests",#N/A,TRUE,"Model";"Results",#N/A,TRUE,"Model"}</definedName>
    <definedName name="nnnnnnnnnn1_1_1_1" localSheetId="1" hidden="1">{"LIBOR",#N/A,TRUE,"Model";"Caps",#N/A,TRUE,"Model";"Assets",#N/A,TRUE,"Model";"Liabilities",#N/A,TRUE,"Model";"Tests",#N/A,TRUE,"Model";"Results",#N/A,TRUE,"Model"}</definedName>
    <definedName name="nnnnnnnnnn1_1_1_1" hidden="1">{"LIBOR",#N/A,TRUE,"Model";"Caps",#N/A,TRUE,"Model";"Assets",#N/A,TRUE,"Model";"Liabilities",#N/A,TRUE,"Model";"Tests",#N/A,TRUE,"Model";"Results",#N/A,TRUE,"Model"}</definedName>
    <definedName name="nnnnnnnnnn1_1_1_1_1" localSheetId="3" hidden="1">{"LIBOR",#N/A,TRUE,"Model";"Caps",#N/A,TRUE,"Model";"Assets",#N/A,TRUE,"Model";"Liabilities",#N/A,TRUE,"Model";"Tests",#N/A,TRUE,"Model";"Results",#N/A,TRUE,"Model"}</definedName>
    <definedName name="nnnnnnnnnn1_1_1_1_1" localSheetId="1" hidden="1">{"LIBOR",#N/A,TRUE,"Model";"Caps",#N/A,TRUE,"Model";"Assets",#N/A,TRUE,"Model";"Liabilities",#N/A,TRUE,"Model";"Tests",#N/A,TRUE,"Model";"Results",#N/A,TRUE,"Model"}</definedName>
    <definedName name="nnnnnnnnnn1_1_1_1_1" hidden="1">{"LIBOR",#N/A,TRUE,"Model";"Caps",#N/A,TRUE,"Model";"Assets",#N/A,TRUE,"Model";"Liabilities",#N/A,TRUE,"Model";"Tests",#N/A,TRUE,"Model";"Results",#N/A,TRUE,"Model"}</definedName>
    <definedName name="nnnnnnnnnn1_1_2" localSheetId="3" hidden="1">{"LIBOR",#N/A,TRUE,"Model";"Caps",#N/A,TRUE,"Model";"Assets",#N/A,TRUE,"Model";"Liabilities",#N/A,TRUE,"Model";"Tests",#N/A,TRUE,"Model";"Results",#N/A,TRUE,"Model"}</definedName>
    <definedName name="nnnnnnnnnn1_1_2" localSheetId="1" hidden="1">{"LIBOR",#N/A,TRUE,"Model";"Caps",#N/A,TRUE,"Model";"Assets",#N/A,TRUE,"Model";"Liabilities",#N/A,TRUE,"Model";"Tests",#N/A,TRUE,"Model";"Results",#N/A,TRUE,"Model"}</definedName>
    <definedName name="nnnnnnnnnn1_1_2" hidden="1">{"LIBOR",#N/A,TRUE,"Model";"Caps",#N/A,TRUE,"Model";"Assets",#N/A,TRUE,"Model";"Liabilities",#N/A,TRUE,"Model";"Tests",#N/A,TRUE,"Model";"Results",#N/A,TRUE,"Model"}</definedName>
    <definedName name="nnnnnnnnnn1_1_2_1" localSheetId="3" hidden="1">{"LIBOR",#N/A,TRUE,"Model";"Caps",#N/A,TRUE,"Model";"Assets",#N/A,TRUE,"Model";"Liabilities",#N/A,TRUE,"Model";"Tests",#N/A,TRUE,"Model";"Results",#N/A,TRUE,"Model"}</definedName>
    <definedName name="nnnnnnnnnn1_1_2_1" localSheetId="1" hidden="1">{"LIBOR",#N/A,TRUE,"Model";"Caps",#N/A,TRUE,"Model";"Assets",#N/A,TRUE,"Model";"Liabilities",#N/A,TRUE,"Model";"Tests",#N/A,TRUE,"Model";"Results",#N/A,TRUE,"Model"}</definedName>
    <definedName name="nnnnnnnnnn1_1_2_1" hidden="1">{"LIBOR",#N/A,TRUE,"Model";"Caps",#N/A,TRUE,"Model";"Assets",#N/A,TRUE,"Model";"Liabilities",#N/A,TRUE,"Model";"Tests",#N/A,TRUE,"Model";"Results",#N/A,TRUE,"Model"}</definedName>
    <definedName name="nnnnnnnnnn1_1_3" localSheetId="3" hidden="1">{"LIBOR",#N/A,TRUE,"Model";"Caps",#N/A,TRUE,"Model";"Assets",#N/A,TRUE,"Model";"Liabilities",#N/A,TRUE,"Model";"Tests",#N/A,TRUE,"Model";"Results",#N/A,TRUE,"Model"}</definedName>
    <definedName name="nnnnnnnnnn1_1_3" localSheetId="1" hidden="1">{"LIBOR",#N/A,TRUE,"Model";"Caps",#N/A,TRUE,"Model";"Assets",#N/A,TRUE,"Model";"Liabilities",#N/A,TRUE,"Model";"Tests",#N/A,TRUE,"Model";"Results",#N/A,TRUE,"Model"}</definedName>
    <definedName name="nnnnnnnnnn1_1_3" hidden="1">{"LIBOR",#N/A,TRUE,"Model";"Caps",#N/A,TRUE,"Model";"Assets",#N/A,TRUE,"Model";"Liabilities",#N/A,TRUE,"Model";"Tests",#N/A,TRUE,"Model";"Results",#N/A,TRUE,"Model"}</definedName>
    <definedName name="nnnnnnnnnn1_1_3_1" localSheetId="3" hidden="1">{"LIBOR",#N/A,TRUE,"Model";"Caps",#N/A,TRUE,"Model";"Assets",#N/A,TRUE,"Model";"Liabilities",#N/A,TRUE,"Model";"Tests",#N/A,TRUE,"Model";"Results",#N/A,TRUE,"Model"}</definedName>
    <definedName name="nnnnnnnnnn1_1_3_1" localSheetId="1" hidden="1">{"LIBOR",#N/A,TRUE,"Model";"Caps",#N/A,TRUE,"Model";"Assets",#N/A,TRUE,"Model";"Liabilities",#N/A,TRUE,"Model";"Tests",#N/A,TRUE,"Model";"Results",#N/A,TRUE,"Model"}</definedName>
    <definedName name="nnnnnnnnnn1_1_3_1" hidden="1">{"LIBOR",#N/A,TRUE,"Model";"Caps",#N/A,TRUE,"Model";"Assets",#N/A,TRUE,"Model";"Liabilities",#N/A,TRUE,"Model";"Tests",#N/A,TRUE,"Model";"Results",#N/A,TRUE,"Model"}</definedName>
    <definedName name="nnnnnnnnnn1_1_4" localSheetId="3" hidden="1">{"LIBOR",#N/A,TRUE,"Model";"Caps",#N/A,TRUE,"Model";"Assets",#N/A,TRUE,"Model";"Liabilities",#N/A,TRUE,"Model";"Tests",#N/A,TRUE,"Model";"Results",#N/A,TRUE,"Model"}</definedName>
    <definedName name="nnnnnnnnnn1_1_4" localSheetId="1" hidden="1">{"LIBOR",#N/A,TRUE,"Model";"Caps",#N/A,TRUE,"Model";"Assets",#N/A,TRUE,"Model";"Liabilities",#N/A,TRUE,"Model";"Tests",#N/A,TRUE,"Model";"Results",#N/A,TRUE,"Model"}</definedName>
    <definedName name="nnnnnnnnnn1_1_4" hidden="1">{"LIBOR",#N/A,TRUE,"Model";"Caps",#N/A,TRUE,"Model";"Assets",#N/A,TRUE,"Model";"Liabilities",#N/A,TRUE,"Model";"Tests",#N/A,TRUE,"Model";"Results",#N/A,TRUE,"Model"}</definedName>
    <definedName name="nnnnnnnnnn1_2" localSheetId="3" hidden="1">{"LIBOR",#N/A,TRUE,"Model";"Caps",#N/A,TRUE,"Model";"Assets",#N/A,TRUE,"Model";"Liabilities",#N/A,TRUE,"Model";"Tests",#N/A,TRUE,"Model";"Results",#N/A,TRUE,"Model"}</definedName>
    <definedName name="nnnnnnnnnn1_2" localSheetId="1" hidden="1">{"LIBOR",#N/A,TRUE,"Model";"Caps",#N/A,TRUE,"Model";"Assets",#N/A,TRUE,"Model";"Liabilities",#N/A,TRUE,"Model";"Tests",#N/A,TRUE,"Model";"Results",#N/A,TRUE,"Model"}</definedName>
    <definedName name="nnnnnnnnnn1_2" hidden="1">{"LIBOR",#N/A,TRUE,"Model";"Caps",#N/A,TRUE,"Model";"Assets",#N/A,TRUE,"Model";"Liabilities",#N/A,TRUE,"Model";"Tests",#N/A,TRUE,"Model";"Results",#N/A,TRUE,"Model"}</definedName>
    <definedName name="nnnnnnnnnn1_2_1" localSheetId="3" hidden="1">{"LIBOR",#N/A,TRUE,"Model";"Caps",#N/A,TRUE,"Model";"Assets",#N/A,TRUE,"Model";"Liabilities",#N/A,TRUE,"Model";"Tests",#N/A,TRUE,"Model";"Results",#N/A,TRUE,"Model"}</definedName>
    <definedName name="nnnnnnnnnn1_2_1" localSheetId="1" hidden="1">{"LIBOR",#N/A,TRUE,"Model";"Caps",#N/A,TRUE,"Model";"Assets",#N/A,TRUE,"Model";"Liabilities",#N/A,TRUE,"Model";"Tests",#N/A,TRUE,"Model";"Results",#N/A,TRUE,"Model"}</definedName>
    <definedName name="nnnnnnnnnn1_2_1" hidden="1">{"LIBOR",#N/A,TRUE,"Model";"Caps",#N/A,TRUE,"Model";"Assets",#N/A,TRUE,"Model";"Liabilities",#N/A,TRUE,"Model";"Tests",#N/A,TRUE,"Model";"Results",#N/A,TRUE,"Model"}</definedName>
    <definedName name="nnnnnnnnnn1_2_1_1" localSheetId="3" hidden="1">{"LIBOR",#N/A,TRUE,"Model";"Caps",#N/A,TRUE,"Model";"Assets",#N/A,TRUE,"Model";"Liabilities",#N/A,TRUE,"Model";"Tests",#N/A,TRUE,"Model";"Results",#N/A,TRUE,"Model"}</definedName>
    <definedName name="nnnnnnnnnn1_2_1_1" localSheetId="1" hidden="1">{"LIBOR",#N/A,TRUE,"Model";"Caps",#N/A,TRUE,"Model";"Assets",#N/A,TRUE,"Model";"Liabilities",#N/A,TRUE,"Model";"Tests",#N/A,TRUE,"Model";"Results",#N/A,TRUE,"Model"}</definedName>
    <definedName name="nnnnnnnnnn1_2_1_1" hidden="1">{"LIBOR",#N/A,TRUE,"Model";"Caps",#N/A,TRUE,"Model";"Assets",#N/A,TRUE,"Model";"Liabilities",#N/A,TRUE,"Model";"Tests",#N/A,TRUE,"Model";"Results",#N/A,TRUE,"Model"}</definedName>
    <definedName name="nnnnnnnnnn1_2_1_1_1" localSheetId="3" hidden="1">{"LIBOR",#N/A,TRUE,"Model";"Caps",#N/A,TRUE,"Model";"Assets",#N/A,TRUE,"Model";"Liabilities",#N/A,TRUE,"Model";"Tests",#N/A,TRUE,"Model";"Results",#N/A,TRUE,"Model"}</definedName>
    <definedName name="nnnnnnnnnn1_2_1_1_1" localSheetId="1" hidden="1">{"LIBOR",#N/A,TRUE,"Model";"Caps",#N/A,TRUE,"Model";"Assets",#N/A,TRUE,"Model";"Liabilities",#N/A,TRUE,"Model";"Tests",#N/A,TRUE,"Model";"Results",#N/A,TRUE,"Model"}</definedName>
    <definedName name="nnnnnnnnnn1_2_1_1_1" hidden="1">{"LIBOR",#N/A,TRUE,"Model";"Caps",#N/A,TRUE,"Model";"Assets",#N/A,TRUE,"Model";"Liabilities",#N/A,TRUE,"Model";"Tests",#N/A,TRUE,"Model";"Results",#N/A,TRUE,"Model"}</definedName>
    <definedName name="nnnnnnnnnn1_2_2" localSheetId="3" hidden="1">{"LIBOR",#N/A,TRUE,"Model";"Caps",#N/A,TRUE,"Model";"Assets",#N/A,TRUE,"Model";"Liabilities",#N/A,TRUE,"Model";"Tests",#N/A,TRUE,"Model";"Results",#N/A,TRUE,"Model"}</definedName>
    <definedName name="nnnnnnnnnn1_2_2" localSheetId="1" hidden="1">{"LIBOR",#N/A,TRUE,"Model";"Caps",#N/A,TRUE,"Model";"Assets",#N/A,TRUE,"Model";"Liabilities",#N/A,TRUE,"Model";"Tests",#N/A,TRUE,"Model";"Results",#N/A,TRUE,"Model"}</definedName>
    <definedName name="nnnnnnnnnn1_2_2" hidden="1">{"LIBOR",#N/A,TRUE,"Model";"Caps",#N/A,TRUE,"Model";"Assets",#N/A,TRUE,"Model";"Liabilities",#N/A,TRUE,"Model";"Tests",#N/A,TRUE,"Model";"Results",#N/A,TRUE,"Model"}</definedName>
    <definedName name="nnnnnnnnnn1_2_2_1" localSheetId="3" hidden="1">{"LIBOR",#N/A,TRUE,"Model";"Caps",#N/A,TRUE,"Model";"Assets",#N/A,TRUE,"Model";"Liabilities",#N/A,TRUE,"Model";"Tests",#N/A,TRUE,"Model";"Results",#N/A,TRUE,"Model"}</definedName>
    <definedName name="nnnnnnnnnn1_2_2_1" localSheetId="1" hidden="1">{"LIBOR",#N/A,TRUE,"Model";"Caps",#N/A,TRUE,"Model";"Assets",#N/A,TRUE,"Model";"Liabilities",#N/A,TRUE,"Model";"Tests",#N/A,TRUE,"Model";"Results",#N/A,TRUE,"Model"}</definedName>
    <definedName name="nnnnnnnnnn1_2_2_1" hidden="1">{"LIBOR",#N/A,TRUE,"Model";"Caps",#N/A,TRUE,"Model";"Assets",#N/A,TRUE,"Model";"Liabilities",#N/A,TRUE,"Model";"Tests",#N/A,TRUE,"Model";"Results",#N/A,TRUE,"Model"}</definedName>
    <definedName name="nnnnnnnnnn1_2_3" localSheetId="3" hidden="1">{"LIBOR",#N/A,TRUE,"Model";"Caps",#N/A,TRUE,"Model";"Assets",#N/A,TRUE,"Model";"Liabilities",#N/A,TRUE,"Model";"Tests",#N/A,TRUE,"Model";"Results",#N/A,TRUE,"Model"}</definedName>
    <definedName name="nnnnnnnnnn1_2_3" localSheetId="1" hidden="1">{"LIBOR",#N/A,TRUE,"Model";"Caps",#N/A,TRUE,"Model";"Assets",#N/A,TRUE,"Model";"Liabilities",#N/A,TRUE,"Model";"Tests",#N/A,TRUE,"Model";"Results",#N/A,TRUE,"Model"}</definedName>
    <definedName name="nnnnnnnnnn1_2_3" hidden="1">{"LIBOR",#N/A,TRUE,"Model";"Caps",#N/A,TRUE,"Model";"Assets",#N/A,TRUE,"Model";"Liabilities",#N/A,TRUE,"Model";"Tests",#N/A,TRUE,"Model";"Results",#N/A,TRUE,"Model"}</definedName>
    <definedName name="nnnnnnnnnn1_3" localSheetId="3" hidden="1">{"LIBOR",#N/A,TRUE,"Model";"Caps",#N/A,TRUE,"Model";"Assets",#N/A,TRUE,"Model";"Liabilities",#N/A,TRUE,"Model";"Tests",#N/A,TRUE,"Model";"Results",#N/A,TRUE,"Model"}</definedName>
    <definedName name="nnnnnnnnnn1_3" localSheetId="1" hidden="1">{"LIBOR",#N/A,TRUE,"Model";"Caps",#N/A,TRUE,"Model";"Assets",#N/A,TRUE,"Model";"Liabilities",#N/A,TRUE,"Model";"Tests",#N/A,TRUE,"Model";"Results",#N/A,TRUE,"Model"}</definedName>
    <definedName name="nnnnnnnnnn1_3" hidden="1">{"LIBOR",#N/A,TRUE,"Model";"Caps",#N/A,TRUE,"Model";"Assets",#N/A,TRUE,"Model";"Liabilities",#N/A,TRUE,"Model";"Tests",#N/A,TRUE,"Model";"Results",#N/A,TRUE,"Model"}</definedName>
    <definedName name="nnnnnnnnnn1_3_1" localSheetId="3" hidden="1">{"LIBOR",#N/A,TRUE,"Model";"Caps",#N/A,TRUE,"Model";"Assets",#N/A,TRUE,"Model";"Liabilities",#N/A,TRUE,"Model";"Tests",#N/A,TRUE,"Model";"Results",#N/A,TRUE,"Model"}</definedName>
    <definedName name="nnnnnnnnnn1_3_1" localSheetId="1" hidden="1">{"LIBOR",#N/A,TRUE,"Model";"Caps",#N/A,TRUE,"Model";"Assets",#N/A,TRUE,"Model";"Liabilities",#N/A,TRUE,"Model";"Tests",#N/A,TRUE,"Model";"Results",#N/A,TRUE,"Model"}</definedName>
    <definedName name="nnnnnnnnnn1_3_1" hidden="1">{"LIBOR",#N/A,TRUE,"Model";"Caps",#N/A,TRUE,"Model";"Assets",#N/A,TRUE,"Model";"Liabilities",#N/A,TRUE,"Model";"Tests",#N/A,TRUE,"Model";"Results",#N/A,TRUE,"Model"}</definedName>
    <definedName name="nnnnnnnnnn1_3_1_1" localSheetId="3" hidden="1">{"LIBOR",#N/A,TRUE,"Model";"Caps",#N/A,TRUE,"Model";"Assets",#N/A,TRUE,"Model";"Liabilities",#N/A,TRUE,"Model";"Tests",#N/A,TRUE,"Model";"Results",#N/A,TRUE,"Model"}</definedName>
    <definedName name="nnnnnnnnnn1_3_1_1" localSheetId="1" hidden="1">{"LIBOR",#N/A,TRUE,"Model";"Caps",#N/A,TRUE,"Model";"Assets",#N/A,TRUE,"Model";"Liabilities",#N/A,TRUE,"Model";"Tests",#N/A,TRUE,"Model";"Results",#N/A,TRUE,"Model"}</definedName>
    <definedName name="nnnnnnnnnn1_3_1_1" hidden="1">{"LIBOR",#N/A,TRUE,"Model";"Caps",#N/A,TRUE,"Model";"Assets",#N/A,TRUE,"Model";"Liabilities",#N/A,TRUE,"Model";"Tests",#N/A,TRUE,"Model";"Results",#N/A,TRUE,"Model"}</definedName>
    <definedName name="nnnnnnnnnn1_3_1_1_1" localSheetId="3" hidden="1">{"LIBOR",#N/A,TRUE,"Model";"Caps",#N/A,TRUE,"Model";"Assets",#N/A,TRUE,"Model";"Liabilities",#N/A,TRUE,"Model";"Tests",#N/A,TRUE,"Model";"Results",#N/A,TRUE,"Model"}</definedName>
    <definedName name="nnnnnnnnnn1_3_1_1_1" localSheetId="1" hidden="1">{"LIBOR",#N/A,TRUE,"Model";"Caps",#N/A,TRUE,"Model";"Assets",#N/A,TRUE,"Model";"Liabilities",#N/A,TRUE,"Model";"Tests",#N/A,TRUE,"Model";"Results",#N/A,TRUE,"Model"}</definedName>
    <definedName name="nnnnnnnnnn1_3_1_1_1" hidden="1">{"LIBOR",#N/A,TRUE,"Model";"Caps",#N/A,TRUE,"Model";"Assets",#N/A,TRUE,"Model";"Liabilities",#N/A,TRUE,"Model";"Tests",#N/A,TRUE,"Model";"Results",#N/A,TRUE,"Model"}</definedName>
    <definedName name="nnnnnnnnnn1_3_2" localSheetId="3" hidden="1">{"LIBOR",#N/A,TRUE,"Model";"Caps",#N/A,TRUE,"Model";"Assets",#N/A,TRUE,"Model";"Liabilities",#N/A,TRUE,"Model";"Tests",#N/A,TRUE,"Model";"Results",#N/A,TRUE,"Model"}</definedName>
    <definedName name="nnnnnnnnnn1_3_2" localSheetId="1" hidden="1">{"LIBOR",#N/A,TRUE,"Model";"Caps",#N/A,TRUE,"Model";"Assets",#N/A,TRUE,"Model";"Liabilities",#N/A,TRUE,"Model";"Tests",#N/A,TRUE,"Model";"Results",#N/A,TRUE,"Model"}</definedName>
    <definedName name="nnnnnnnnnn1_3_2" hidden="1">{"LIBOR",#N/A,TRUE,"Model";"Caps",#N/A,TRUE,"Model";"Assets",#N/A,TRUE,"Model";"Liabilities",#N/A,TRUE,"Model";"Tests",#N/A,TRUE,"Model";"Results",#N/A,TRUE,"Model"}</definedName>
    <definedName name="nnnnnnnnnn1_3_2_1" localSheetId="3" hidden="1">{"LIBOR",#N/A,TRUE,"Model";"Caps",#N/A,TRUE,"Model";"Assets",#N/A,TRUE,"Model";"Liabilities",#N/A,TRUE,"Model";"Tests",#N/A,TRUE,"Model";"Results",#N/A,TRUE,"Model"}</definedName>
    <definedName name="nnnnnnnnnn1_3_2_1" localSheetId="1" hidden="1">{"LIBOR",#N/A,TRUE,"Model";"Caps",#N/A,TRUE,"Model";"Assets",#N/A,TRUE,"Model";"Liabilities",#N/A,TRUE,"Model";"Tests",#N/A,TRUE,"Model";"Results",#N/A,TRUE,"Model"}</definedName>
    <definedName name="nnnnnnnnnn1_3_2_1" hidden="1">{"LIBOR",#N/A,TRUE,"Model";"Caps",#N/A,TRUE,"Model";"Assets",#N/A,TRUE,"Model";"Liabilities",#N/A,TRUE,"Model";"Tests",#N/A,TRUE,"Model";"Results",#N/A,TRUE,"Model"}</definedName>
    <definedName name="nnnnnnnnnn1_3_3" localSheetId="3" hidden="1">{"LIBOR",#N/A,TRUE,"Model";"Caps",#N/A,TRUE,"Model";"Assets",#N/A,TRUE,"Model";"Liabilities",#N/A,TRUE,"Model";"Tests",#N/A,TRUE,"Model";"Results",#N/A,TRUE,"Model"}</definedName>
    <definedName name="nnnnnnnnnn1_3_3" localSheetId="1" hidden="1">{"LIBOR",#N/A,TRUE,"Model";"Caps",#N/A,TRUE,"Model";"Assets",#N/A,TRUE,"Model";"Liabilities",#N/A,TRUE,"Model";"Tests",#N/A,TRUE,"Model";"Results",#N/A,TRUE,"Model"}</definedName>
    <definedName name="nnnnnnnnnn1_3_3" hidden="1">{"LIBOR",#N/A,TRUE,"Model";"Caps",#N/A,TRUE,"Model";"Assets",#N/A,TRUE,"Model";"Liabilities",#N/A,TRUE,"Model";"Tests",#N/A,TRUE,"Model";"Results",#N/A,TRUE,"Model"}</definedName>
    <definedName name="nnnnnnnnnn1_4" localSheetId="3" hidden="1">{"LIBOR",#N/A,TRUE,"Model";"Caps",#N/A,TRUE,"Model";"Assets",#N/A,TRUE,"Model";"Liabilities",#N/A,TRUE,"Model";"Tests",#N/A,TRUE,"Model";"Results",#N/A,TRUE,"Model"}</definedName>
    <definedName name="nnnnnnnnnn1_4" localSheetId="1" hidden="1">{"LIBOR",#N/A,TRUE,"Model";"Caps",#N/A,TRUE,"Model";"Assets",#N/A,TRUE,"Model";"Liabilities",#N/A,TRUE,"Model";"Tests",#N/A,TRUE,"Model";"Results",#N/A,TRUE,"Model"}</definedName>
    <definedName name="nnnnnnnnnn1_4" hidden="1">{"LIBOR",#N/A,TRUE,"Model";"Caps",#N/A,TRUE,"Model";"Assets",#N/A,TRUE,"Model";"Liabilities",#N/A,TRUE,"Model";"Tests",#N/A,TRUE,"Model";"Results",#N/A,TRUE,"Model"}</definedName>
    <definedName name="nnnnnnnnnn1_4_1" localSheetId="3" hidden="1">{"LIBOR",#N/A,TRUE,"Model";"Caps",#N/A,TRUE,"Model";"Assets",#N/A,TRUE,"Model";"Liabilities",#N/A,TRUE,"Model";"Tests",#N/A,TRUE,"Model";"Results",#N/A,TRUE,"Model"}</definedName>
    <definedName name="nnnnnnnnnn1_4_1" localSheetId="1" hidden="1">{"LIBOR",#N/A,TRUE,"Model";"Caps",#N/A,TRUE,"Model";"Assets",#N/A,TRUE,"Model";"Liabilities",#N/A,TRUE,"Model";"Tests",#N/A,TRUE,"Model";"Results",#N/A,TRUE,"Model"}</definedName>
    <definedName name="nnnnnnnnnn1_4_1" hidden="1">{"LIBOR",#N/A,TRUE,"Model";"Caps",#N/A,TRUE,"Model";"Assets",#N/A,TRUE,"Model";"Liabilities",#N/A,TRUE,"Model";"Tests",#N/A,TRUE,"Model";"Results",#N/A,TRUE,"Model"}</definedName>
    <definedName name="nnnnnnnnnn1_4_1_1" localSheetId="3" hidden="1">{"LIBOR",#N/A,TRUE,"Model";"Caps",#N/A,TRUE,"Model";"Assets",#N/A,TRUE,"Model";"Liabilities",#N/A,TRUE,"Model";"Tests",#N/A,TRUE,"Model";"Results",#N/A,TRUE,"Model"}</definedName>
    <definedName name="nnnnnnnnnn1_4_1_1" localSheetId="1" hidden="1">{"LIBOR",#N/A,TRUE,"Model";"Caps",#N/A,TRUE,"Model";"Assets",#N/A,TRUE,"Model";"Liabilities",#N/A,TRUE,"Model";"Tests",#N/A,TRUE,"Model";"Results",#N/A,TRUE,"Model"}</definedName>
    <definedName name="nnnnnnnnnn1_4_1_1" hidden="1">{"LIBOR",#N/A,TRUE,"Model";"Caps",#N/A,TRUE,"Model";"Assets",#N/A,TRUE,"Model";"Liabilities",#N/A,TRUE,"Model";"Tests",#N/A,TRUE,"Model";"Results",#N/A,TRUE,"Model"}</definedName>
    <definedName name="nnnnnnnnnn1_4_1_1_1" localSheetId="3" hidden="1">{"LIBOR",#N/A,TRUE,"Model";"Caps",#N/A,TRUE,"Model";"Assets",#N/A,TRUE,"Model";"Liabilities",#N/A,TRUE,"Model";"Tests",#N/A,TRUE,"Model";"Results",#N/A,TRUE,"Model"}</definedName>
    <definedName name="nnnnnnnnnn1_4_1_1_1" localSheetId="1" hidden="1">{"LIBOR",#N/A,TRUE,"Model";"Caps",#N/A,TRUE,"Model";"Assets",#N/A,TRUE,"Model";"Liabilities",#N/A,TRUE,"Model";"Tests",#N/A,TRUE,"Model";"Results",#N/A,TRUE,"Model"}</definedName>
    <definedName name="nnnnnnnnnn1_4_1_1_1" hidden="1">{"LIBOR",#N/A,TRUE,"Model";"Caps",#N/A,TRUE,"Model";"Assets",#N/A,TRUE,"Model";"Liabilities",#N/A,TRUE,"Model";"Tests",#N/A,TRUE,"Model";"Results",#N/A,TRUE,"Model"}</definedName>
    <definedName name="nnnnnnnnnn1_4_2" localSheetId="3" hidden="1">{"LIBOR",#N/A,TRUE,"Model";"Caps",#N/A,TRUE,"Model";"Assets",#N/A,TRUE,"Model";"Liabilities",#N/A,TRUE,"Model";"Tests",#N/A,TRUE,"Model";"Results",#N/A,TRUE,"Model"}</definedName>
    <definedName name="nnnnnnnnnn1_4_2" localSheetId="1" hidden="1">{"LIBOR",#N/A,TRUE,"Model";"Caps",#N/A,TRUE,"Model";"Assets",#N/A,TRUE,"Model";"Liabilities",#N/A,TRUE,"Model";"Tests",#N/A,TRUE,"Model";"Results",#N/A,TRUE,"Model"}</definedName>
    <definedName name="nnnnnnnnnn1_4_2" hidden="1">{"LIBOR",#N/A,TRUE,"Model";"Caps",#N/A,TRUE,"Model";"Assets",#N/A,TRUE,"Model";"Liabilities",#N/A,TRUE,"Model";"Tests",#N/A,TRUE,"Model";"Results",#N/A,TRUE,"Model"}</definedName>
    <definedName name="nnnnnnnnnn1_4_2_1" localSheetId="3" hidden="1">{"LIBOR",#N/A,TRUE,"Model";"Caps",#N/A,TRUE,"Model";"Assets",#N/A,TRUE,"Model";"Liabilities",#N/A,TRUE,"Model";"Tests",#N/A,TRUE,"Model";"Results",#N/A,TRUE,"Model"}</definedName>
    <definedName name="nnnnnnnnnn1_4_2_1" localSheetId="1" hidden="1">{"LIBOR",#N/A,TRUE,"Model";"Caps",#N/A,TRUE,"Model";"Assets",#N/A,TRUE,"Model";"Liabilities",#N/A,TRUE,"Model";"Tests",#N/A,TRUE,"Model";"Results",#N/A,TRUE,"Model"}</definedName>
    <definedName name="nnnnnnnnnn1_4_2_1" hidden="1">{"LIBOR",#N/A,TRUE,"Model";"Caps",#N/A,TRUE,"Model";"Assets",#N/A,TRUE,"Model";"Liabilities",#N/A,TRUE,"Model";"Tests",#N/A,TRUE,"Model";"Results",#N/A,TRUE,"Model"}</definedName>
    <definedName name="nnnnnnnnnn1_4_3" localSheetId="3" hidden="1">{"LIBOR",#N/A,TRUE,"Model";"Caps",#N/A,TRUE,"Model";"Assets",#N/A,TRUE,"Model";"Liabilities",#N/A,TRUE,"Model";"Tests",#N/A,TRUE,"Model";"Results",#N/A,TRUE,"Model"}</definedName>
    <definedName name="nnnnnnnnnn1_4_3" localSheetId="1" hidden="1">{"LIBOR",#N/A,TRUE,"Model";"Caps",#N/A,TRUE,"Model";"Assets",#N/A,TRUE,"Model";"Liabilities",#N/A,TRUE,"Model";"Tests",#N/A,TRUE,"Model";"Results",#N/A,TRUE,"Model"}</definedName>
    <definedName name="nnnnnnnnnn1_4_3" hidden="1">{"LIBOR",#N/A,TRUE,"Model";"Caps",#N/A,TRUE,"Model";"Assets",#N/A,TRUE,"Model";"Liabilities",#N/A,TRUE,"Model";"Tests",#N/A,TRUE,"Model";"Results",#N/A,TRUE,"Model"}</definedName>
    <definedName name="nnnnnnnnnn1_5" localSheetId="3" hidden="1">{"LIBOR",#N/A,TRUE,"Model";"Caps",#N/A,TRUE,"Model";"Assets",#N/A,TRUE,"Model";"Liabilities",#N/A,TRUE,"Model";"Tests",#N/A,TRUE,"Model";"Results",#N/A,TRUE,"Model"}</definedName>
    <definedName name="nnnnnnnnnn1_5" localSheetId="1" hidden="1">{"LIBOR",#N/A,TRUE,"Model";"Caps",#N/A,TRUE,"Model";"Assets",#N/A,TRUE,"Model";"Liabilities",#N/A,TRUE,"Model";"Tests",#N/A,TRUE,"Model";"Results",#N/A,TRUE,"Model"}</definedName>
    <definedName name="nnnnnnnnnn1_5" hidden="1">{"LIBOR",#N/A,TRUE,"Model";"Caps",#N/A,TRUE,"Model";"Assets",#N/A,TRUE,"Model";"Liabilities",#N/A,TRUE,"Model";"Tests",#N/A,TRUE,"Model";"Results",#N/A,TRUE,"Model"}</definedName>
    <definedName name="nnnnnnnnnn1_5_1" localSheetId="3" hidden="1">{"LIBOR",#N/A,TRUE,"Model";"Caps",#N/A,TRUE,"Model";"Assets",#N/A,TRUE,"Model";"Liabilities",#N/A,TRUE,"Model";"Tests",#N/A,TRUE,"Model";"Results",#N/A,TRUE,"Model"}</definedName>
    <definedName name="nnnnnnnnnn1_5_1" localSheetId="1" hidden="1">{"LIBOR",#N/A,TRUE,"Model";"Caps",#N/A,TRUE,"Model";"Assets",#N/A,TRUE,"Model";"Liabilities",#N/A,TRUE,"Model";"Tests",#N/A,TRUE,"Model";"Results",#N/A,TRUE,"Model"}</definedName>
    <definedName name="nnnnnnnnnn1_5_1" hidden="1">{"LIBOR",#N/A,TRUE,"Model";"Caps",#N/A,TRUE,"Model";"Assets",#N/A,TRUE,"Model";"Liabilities",#N/A,TRUE,"Model";"Tests",#N/A,TRUE,"Model";"Results",#N/A,TRUE,"Model"}</definedName>
    <definedName name="nnnnnnnnnn1_5_1_1" localSheetId="3" hidden="1">{"LIBOR",#N/A,TRUE,"Model";"Caps",#N/A,TRUE,"Model";"Assets",#N/A,TRUE,"Model";"Liabilities",#N/A,TRUE,"Model";"Tests",#N/A,TRUE,"Model";"Results",#N/A,TRUE,"Model"}</definedName>
    <definedName name="nnnnnnnnnn1_5_1_1" localSheetId="1" hidden="1">{"LIBOR",#N/A,TRUE,"Model";"Caps",#N/A,TRUE,"Model";"Assets",#N/A,TRUE,"Model";"Liabilities",#N/A,TRUE,"Model";"Tests",#N/A,TRUE,"Model";"Results",#N/A,TRUE,"Model"}</definedName>
    <definedName name="nnnnnnnnnn1_5_1_1" hidden="1">{"LIBOR",#N/A,TRUE,"Model";"Caps",#N/A,TRUE,"Model";"Assets",#N/A,TRUE,"Model";"Liabilities",#N/A,TRUE,"Model";"Tests",#N/A,TRUE,"Model";"Results",#N/A,TRUE,"Model"}</definedName>
    <definedName name="nnnnnnnnnn1_5_1_1_1" localSheetId="3" hidden="1">{"LIBOR",#N/A,TRUE,"Model";"Caps",#N/A,TRUE,"Model";"Assets",#N/A,TRUE,"Model";"Liabilities",#N/A,TRUE,"Model";"Tests",#N/A,TRUE,"Model";"Results",#N/A,TRUE,"Model"}</definedName>
    <definedName name="nnnnnnnnnn1_5_1_1_1" localSheetId="1" hidden="1">{"LIBOR",#N/A,TRUE,"Model";"Caps",#N/A,TRUE,"Model";"Assets",#N/A,TRUE,"Model";"Liabilities",#N/A,TRUE,"Model";"Tests",#N/A,TRUE,"Model";"Results",#N/A,TRUE,"Model"}</definedName>
    <definedName name="nnnnnnnnnn1_5_1_1_1" hidden="1">{"LIBOR",#N/A,TRUE,"Model";"Caps",#N/A,TRUE,"Model";"Assets",#N/A,TRUE,"Model";"Liabilities",#N/A,TRUE,"Model";"Tests",#N/A,TRUE,"Model";"Results",#N/A,TRUE,"Model"}</definedName>
    <definedName name="nnnnnnnnnn1_5_2" localSheetId="3" hidden="1">{"LIBOR",#N/A,TRUE,"Model";"Caps",#N/A,TRUE,"Model";"Assets",#N/A,TRUE,"Model";"Liabilities",#N/A,TRUE,"Model";"Tests",#N/A,TRUE,"Model";"Results",#N/A,TRUE,"Model"}</definedName>
    <definedName name="nnnnnnnnnn1_5_2" localSheetId="1" hidden="1">{"LIBOR",#N/A,TRUE,"Model";"Caps",#N/A,TRUE,"Model";"Assets",#N/A,TRUE,"Model";"Liabilities",#N/A,TRUE,"Model";"Tests",#N/A,TRUE,"Model";"Results",#N/A,TRUE,"Model"}</definedName>
    <definedName name="nnnnnnnnnn1_5_2" hidden="1">{"LIBOR",#N/A,TRUE,"Model";"Caps",#N/A,TRUE,"Model";"Assets",#N/A,TRUE,"Model";"Liabilities",#N/A,TRUE,"Model";"Tests",#N/A,TRUE,"Model";"Results",#N/A,TRUE,"Model"}</definedName>
    <definedName name="nnnnnnnnnn1_5_2_1" localSheetId="3" hidden="1">{"LIBOR",#N/A,TRUE,"Model";"Caps",#N/A,TRUE,"Model";"Assets",#N/A,TRUE,"Model";"Liabilities",#N/A,TRUE,"Model";"Tests",#N/A,TRUE,"Model";"Results",#N/A,TRUE,"Model"}</definedName>
    <definedName name="nnnnnnnnnn1_5_2_1" localSheetId="1" hidden="1">{"LIBOR",#N/A,TRUE,"Model";"Caps",#N/A,TRUE,"Model";"Assets",#N/A,TRUE,"Model";"Liabilities",#N/A,TRUE,"Model";"Tests",#N/A,TRUE,"Model";"Results",#N/A,TRUE,"Model"}</definedName>
    <definedName name="nnnnnnnnnn1_5_2_1" hidden="1">{"LIBOR",#N/A,TRUE,"Model";"Caps",#N/A,TRUE,"Model";"Assets",#N/A,TRUE,"Model";"Liabilities",#N/A,TRUE,"Model";"Tests",#N/A,TRUE,"Model";"Results",#N/A,TRUE,"Model"}</definedName>
    <definedName name="nnnnnnnnnn1_5_3" localSheetId="3" hidden="1">{"LIBOR",#N/A,TRUE,"Model";"Caps",#N/A,TRUE,"Model";"Assets",#N/A,TRUE,"Model";"Liabilities",#N/A,TRUE,"Model";"Tests",#N/A,TRUE,"Model";"Results",#N/A,TRUE,"Model"}</definedName>
    <definedName name="nnnnnnnnnn1_5_3" localSheetId="1" hidden="1">{"LIBOR",#N/A,TRUE,"Model";"Caps",#N/A,TRUE,"Model";"Assets",#N/A,TRUE,"Model";"Liabilities",#N/A,TRUE,"Model";"Tests",#N/A,TRUE,"Model";"Results",#N/A,TRUE,"Model"}</definedName>
    <definedName name="nnnnnnnnnn1_5_3" hidden="1">{"LIBOR",#N/A,TRUE,"Model";"Caps",#N/A,TRUE,"Model";"Assets",#N/A,TRUE,"Model";"Liabilities",#N/A,TRUE,"Model";"Tests",#N/A,TRUE,"Model";"Results",#N/A,TRUE,"Model"}</definedName>
    <definedName name="nnnnnnnnnnnnnn" localSheetId="3" hidden="1">{"LIBOR",#N/A,TRUE,"Model";"Caps",#N/A,TRUE,"Model";"Assets",#N/A,TRUE,"Model";"Liabilities",#N/A,TRUE,"Model";"Tests",#N/A,TRUE,"Model";"Results",#N/A,TRUE,"Model"}</definedName>
    <definedName name="nnnnnnnnnnnnnn" localSheetId="1" hidden="1">{"LIBOR",#N/A,TRUE,"Model";"Caps",#N/A,TRUE,"Model";"Assets",#N/A,TRUE,"Model";"Liabilities",#N/A,TRUE,"Model";"Tests",#N/A,TRUE,"Model";"Results",#N/A,TRUE,"Model"}</definedName>
    <definedName name="nnnnnnnnnnnnnn" hidden="1">{"LIBOR",#N/A,TRUE,"Model";"Caps",#N/A,TRUE,"Model";"Assets",#N/A,TRUE,"Model";"Liabilities",#N/A,TRUE,"Model";"Tests",#N/A,TRUE,"Model";"Results",#N/A,TRUE,"Model"}</definedName>
    <definedName name="nnnnnnnnnnnnnn_1" localSheetId="3" hidden="1">{"LIBOR",#N/A,TRUE,"Model";"Caps",#N/A,TRUE,"Model";"Assets",#N/A,TRUE,"Model";"Liabilities",#N/A,TRUE,"Model";"Tests",#N/A,TRUE,"Model";"Results",#N/A,TRUE,"Model"}</definedName>
    <definedName name="nnnnnnnnnnnnnn_1" localSheetId="1" hidden="1">{"LIBOR",#N/A,TRUE,"Model";"Caps",#N/A,TRUE,"Model";"Assets",#N/A,TRUE,"Model";"Liabilities",#N/A,TRUE,"Model";"Tests",#N/A,TRUE,"Model";"Results",#N/A,TRUE,"Model"}</definedName>
    <definedName name="nnnnnnnnnnnnnn_1" hidden="1">{"LIBOR",#N/A,TRUE,"Model";"Caps",#N/A,TRUE,"Model";"Assets",#N/A,TRUE,"Model";"Liabilities",#N/A,TRUE,"Model";"Tests",#N/A,TRUE,"Model";"Results",#N/A,TRUE,"Model"}</definedName>
    <definedName name="nnnnnnnnnnnnnn_1_1" localSheetId="3" hidden="1">{"LIBOR",#N/A,TRUE,"Model";"Caps",#N/A,TRUE,"Model";"Assets",#N/A,TRUE,"Model";"Liabilities",#N/A,TRUE,"Model";"Tests",#N/A,TRUE,"Model";"Results",#N/A,TRUE,"Model"}</definedName>
    <definedName name="nnnnnnnnnnnnnn_1_1" localSheetId="1" hidden="1">{"LIBOR",#N/A,TRUE,"Model";"Caps",#N/A,TRUE,"Model";"Assets",#N/A,TRUE,"Model";"Liabilities",#N/A,TRUE,"Model";"Tests",#N/A,TRUE,"Model";"Results",#N/A,TRUE,"Model"}</definedName>
    <definedName name="nnnnnnnnnnnnnn_1_1" hidden="1">{"LIBOR",#N/A,TRUE,"Model";"Caps",#N/A,TRUE,"Model";"Assets",#N/A,TRUE,"Model";"Liabilities",#N/A,TRUE,"Model";"Tests",#N/A,TRUE,"Model";"Results",#N/A,TRUE,"Model"}</definedName>
    <definedName name="nnnnnnnnnnnnnn_1_1_1" localSheetId="3" hidden="1">{"LIBOR",#N/A,TRUE,"Model";"Caps",#N/A,TRUE,"Model";"Assets",#N/A,TRUE,"Model";"Liabilities",#N/A,TRUE,"Model";"Tests",#N/A,TRUE,"Model";"Results",#N/A,TRUE,"Model"}</definedName>
    <definedName name="nnnnnnnnnnnnnn_1_1_1" localSheetId="1" hidden="1">{"LIBOR",#N/A,TRUE,"Model";"Caps",#N/A,TRUE,"Model";"Assets",#N/A,TRUE,"Model";"Liabilities",#N/A,TRUE,"Model";"Tests",#N/A,TRUE,"Model";"Results",#N/A,TRUE,"Model"}</definedName>
    <definedName name="nnnnnnnnnnnnnn_1_1_1" hidden="1">{"LIBOR",#N/A,TRUE,"Model";"Caps",#N/A,TRUE,"Model";"Assets",#N/A,TRUE,"Model";"Liabilities",#N/A,TRUE,"Model";"Tests",#N/A,TRUE,"Model";"Results",#N/A,TRUE,"Model"}</definedName>
    <definedName name="nnnnnnnnnnnnnn_1_1_1_1" localSheetId="3" hidden="1">{"LIBOR",#N/A,TRUE,"Model";"Caps",#N/A,TRUE,"Model";"Assets",#N/A,TRUE,"Model";"Liabilities",#N/A,TRUE,"Model";"Tests",#N/A,TRUE,"Model";"Results",#N/A,TRUE,"Model"}</definedName>
    <definedName name="nnnnnnnnnnnnnn_1_1_1_1" localSheetId="1" hidden="1">{"LIBOR",#N/A,TRUE,"Model";"Caps",#N/A,TRUE,"Model";"Assets",#N/A,TRUE,"Model";"Liabilities",#N/A,TRUE,"Model";"Tests",#N/A,TRUE,"Model";"Results",#N/A,TRUE,"Model"}</definedName>
    <definedName name="nnnnnnnnnnnnnn_1_1_1_1" hidden="1">{"LIBOR",#N/A,TRUE,"Model";"Caps",#N/A,TRUE,"Model";"Assets",#N/A,TRUE,"Model";"Liabilities",#N/A,TRUE,"Model";"Tests",#N/A,TRUE,"Model";"Results",#N/A,TRUE,"Model"}</definedName>
    <definedName name="nnnnnnnnnnnnnn_1_2" localSheetId="3" hidden="1">{"LIBOR",#N/A,TRUE,"Model";"Caps",#N/A,TRUE,"Model";"Assets",#N/A,TRUE,"Model";"Liabilities",#N/A,TRUE,"Model";"Tests",#N/A,TRUE,"Model";"Results",#N/A,TRUE,"Model"}</definedName>
    <definedName name="nnnnnnnnnnnnnn_1_2" localSheetId="1" hidden="1">{"LIBOR",#N/A,TRUE,"Model";"Caps",#N/A,TRUE,"Model";"Assets",#N/A,TRUE,"Model";"Liabilities",#N/A,TRUE,"Model";"Tests",#N/A,TRUE,"Model";"Results",#N/A,TRUE,"Model"}</definedName>
    <definedName name="nnnnnnnnnnnnnn_1_2" hidden="1">{"LIBOR",#N/A,TRUE,"Model";"Caps",#N/A,TRUE,"Model";"Assets",#N/A,TRUE,"Model";"Liabilities",#N/A,TRUE,"Model";"Tests",#N/A,TRUE,"Model";"Results",#N/A,TRUE,"Model"}</definedName>
    <definedName name="nnnnnnnnnnnnnn_1_2_1" localSheetId="3" hidden="1">{"LIBOR",#N/A,TRUE,"Model";"Caps",#N/A,TRUE,"Model";"Assets",#N/A,TRUE,"Model";"Liabilities",#N/A,TRUE,"Model";"Tests",#N/A,TRUE,"Model";"Results",#N/A,TRUE,"Model"}</definedName>
    <definedName name="nnnnnnnnnnnnnn_1_2_1" localSheetId="1" hidden="1">{"LIBOR",#N/A,TRUE,"Model";"Caps",#N/A,TRUE,"Model";"Assets",#N/A,TRUE,"Model";"Liabilities",#N/A,TRUE,"Model";"Tests",#N/A,TRUE,"Model";"Results",#N/A,TRUE,"Model"}</definedName>
    <definedName name="nnnnnnnnnnnnnn_1_2_1" hidden="1">{"LIBOR",#N/A,TRUE,"Model";"Caps",#N/A,TRUE,"Model";"Assets",#N/A,TRUE,"Model";"Liabilities",#N/A,TRUE,"Model";"Tests",#N/A,TRUE,"Model";"Results",#N/A,TRUE,"Model"}</definedName>
    <definedName name="nnnnnnnnnnnnnn_1_3" localSheetId="3" hidden="1">{"LIBOR",#N/A,TRUE,"Model";"Caps",#N/A,TRUE,"Model";"Assets",#N/A,TRUE,"Model";"Liabilities",#N/A,TRUE,"Model";"Tests",#N/A,TRUE,"Model";"Results",#N/A,TRUE,"Model"}</definedName>
    <definedName name="nnnnnnnnnnnnnn_1_3" localSheetId="1" hidden="1">{"LIBOR",#N/A,TRUE,"Model";"Caps",#N/A,TRUE,"Model";"Assets",#N/A,TRUE,"Model";"Liabilities",#N/A,TRUE,"Model";"Tests",#N/A,TRUE,"Model";"Results",#N/A,TRUE,"Model"}</definedName>
    <definedName name="nnnnnnnnnnnnnn_1_3" hidden="1">{"LIBOR",#N/A,TRUE,"Model";"Caps",#N/A,TRUE,"Model";"Assets",#N/A,TRUE,"Model";"Liabilities",#N/A,TRUE,"Model";"Tests",#N/A,TRUE,"Model";"Results",#N/A,TRUE,"Model"}</definedName>
    <definedName name="nnnnnnnnnnnnnn_1_3_1" localSheetId="3" hidden="1">{"LIBOR",#N/A,TRUE,"Model";"Caps",#N/A,TRUE,"Model";"Assets",#N/A,TRUE,"Model";"Liabilities",#N/A,TRUE,"Model";"Tests",#N/A,TRUE,"Model";"Results",#N/A,TRUE,"Model"}</definedName>
    <definedName name="nnnnnnnnnnnnnn_1_3_1" localSheetId="1" hidden="1">{"LIBOR",#N/A,TRUE,"Model";"Caps",#N/A,TRUE,"Model";"Assets",#N/A,TRUE,"Model";"Liabilities",#N/A,TRUE,"Model";"Tests",#N/A,TRUE,"Model";"Results",#N/A,TRUE,"Model"}</definedName>
    <definedName name="nnnnnnnnnnnnnn_1_3_1" hidden="1">{"LIBOR",#N/A,TRUE,"Model";"Caps",#N/A,TRUE,"Model";"Assets",#N/A,TRUE,"Model";"Liabilities",#N/A,TRUE,"Model";"Tests",#N/A,TRUE,"Model";"Results",#N/A,TRUE,"Model"}</definedName>
    <definedName name="nnnnnnnnnnnnnn_1_4" localSheetId="3" hidden="1">{"LIBOR",#N/A,TRUE,"Model";"Caps",#N/A,TRUE,"Model";"Assets",#N/A,TRUE,"Model";"Liabilities",#N/A,TRUE,"Model";"Tests",#N/A,TRUE,"Model";"Results",#N/A,TRUE,"Model"}</definedName>
    <definedName name="nnnnnnnnnnnnnn_1_4" localSheetId="1" hidden="1">{"LIBOR",#N/A,TRUE,"Model";"Caps",#N/A,TRUE,"Model";"Assets",#N/A,TRUE,"Model";"Liabilities",#N/A,TRUE,"Model";"Tests",#N/A,TRUE,"Model";"Results",#N/A,TRUE,"Model"}</definedName>
    <definedName name="nnnnnnnnnnnnnn_1_4" hidden="1">{"LIBOR",#N/A,TRUE,"Model";"Caps",#N/A,TRUE,"Model";"Assets",#N/A,TRUE,"Model";"Liabilities",#N/A,TRUE,"Model";"Tests",#N/A,TRUE,"Model";"Results",#N/A,TRUE,"Model"}</definedName>
    <definedName name="nnnnnnnnnnnnnn_2" localSheetId="3" hidden="1">{"LIBOR",#N/A,TRUE,"Model";"Caps",#N/A,TRUE,"Model";"Assets",#N/A,TRUE,"Model";"Liabilities",#N/A,TRUE,"Model";"Tests",#N/A,TRUE,"Model";"Results",#N/A,TRUE,"Model"}</definedName>
    <definedName name="nnnnnnnnnnnnnn_2" localSheetId="1" hidden="1">{"LIBOR",#N/A,TRUE,"Model";"Caps",#N/A,TRUE,"Model";"Assets",#N/A,TRUE,"Model";"Liabilities",#N/A,TRUE,"Model";"Tests",#N/A,TRUE,"Model";"Results",#N/A,TRUE,"Model"}</definedName>
    <definedName name="nnnnnnnnnnnnnn_2" hidden="1">{"LIBOR",#N/A,TRUE,"Model";"Caps",#N/A,TRUE,"Model";"Assets",#N/A,TRUE,"Model";"Liabilities",#N/A,TRUE,"Model";"Tests",#N/A,TRUE,"Model";"Results",#N/A,TRUE,"Model"}</definedName>
    <definedName name="nnnnnnnnnnnnnn_2_1" localSheetId="3" hidden="1">{"LIBOR",#N/A,TRUE,"Model";"Caps",#N/A,TRUE,"Model";"Assets",#N/A,TRUE,"Model";"Liabilities",#N/A,TRUE,"Model";"Tests",#N/A,TRUE,"Model";"Results",#N/A,TRUE,"Model"}</definedName>
    <definedName name="nnnnnnnnnnnnnn_2_1" localSheetId="1" hidden="1">{"LIBOR",#N/A,TRUE,"Model";"Caps",#N/A,TRUE,"Model";"Assets",#N/A,TRUE,"Model";"Liabilities",#N/A,TRUE,"Model";"Tests",#N/A,TRUE,"Model";"Results",#N/A,TRUE,"Model"}</definedName>
    <definedName name="nnnnnnnnnnnnnn_2_1" hidden="1">{"LIBOR",#N/A,TRUE,"Model";"Caps",#N/A,TRUE,"Model";"Assets",#N/A,TRUE,"Model";"Liabilities",#N/A,TRUE,"Model";"Tests",#N/A,TRUE,"Model";"Results",#N/A,TRUE,"Model"}</definedName>
    <definedName name="nnnnnnnnnnnnnn_2_1_1" localSheetId="3" hidden="1">{"LIBOR",#N/A,TRUE,"Model";"Caps",#N/A,TRUE,"Model";"Assets",#N/A,TRUE,"Model";"Liabilities",#N/A,TRUE,"Model";"Tests",#N/A,TRUE,"Model";"Results",#N/A,TRUE,"Model"}</definedName>
    <definedName name="nnnnnnnnnnnnnn_2_1_1" localSheetId="1" hidden="1">{"LIBOR",#N/A,TRUE,"Model";"Caps",#N/A,TRUE,"Model";"Assets",#N/A,TRUE,"Model";"Liabilities",#N/A,TRUE,"Model";"Tests",#N/A,TRUE,"Model";"Results",#N/A,TRUE,"Model"}</definedName>
    <definedName name="nnnnnnnnnnnnnn_2_1_1" hidden="1">{"LIBOR",#N/A,TRUE,"Model";"Caps",#N/A,TRUE,"Model";"Assets",#N/A,TRUE,"Model";"Liabilities",#N/A,TRUE,"Model";"Tests",#N/A,TRUE,"Model";"Results",#N/A,TRUE,"Model"}</definedName>
    <definedName name="nnnnnnnnnnnnnn_2_1_1_1" localSheetId="3" hidden="1">{"LIBOR",#N/A,TRUE,"Model";"Caps",#N/A,TRUE,"Model";"Assets",#N/A,TRUE,"Model";"Liabilities",#N/A,TRUE,"Model";"Tests",#N/A,TRUE,"Model";"Results",#N/A,TRUE,"Model"}</definedName>
    <definedName name="nnnnnnnnnnnnnn_2_1_1_1" localSheetId="1" hidden="1">{"LIBOR",#N/A,TRUE,"Model";"Caps",#N/A,TRUE,"Model";"Assets",#N/A,TRUE,"Model";"Liabilities",#N/A,TRUE,"Model";"Tests",#N/A,TRUE,"Model";"Results",#N/A,TRUE,"Model"}</definedName>
    <definedName name="nnnnnnnnnnnnnn_2_1_1_1" hidden="1">{"LIBOR",#N/A,TRUE,"Model";"Caps",#N/A,TRUE,"Model";"Assets",#N/A,TRUE,"Model";"Liabilities",#N/A,TRUE,"Model";"Tests",#N/A,TRUE,"Model";"Results",#N/A,TRUE,"Model"}</definedName>
    <definedName name="nnnnnnnnnnnnnn_2_2" localSheetId="3" hidden="1">{"LIBOR",#N/A,TRUE,"Model";"Caps",#N/A,TRUE,"Model";"Assets",#N/A,TRUE,"Model";"Liabilities",#N/A,TRUE,"Model";"Tests",#N/A,TRUE,"Model";"Results",#N/A,TRUE,"Model"}</definedName>
    <definedName name="nnnnnnnnnnnnnn_2_2" localSheetId="1" hidden="1">{"LIBOR",#N/A,TRUE,"Model";"Caps",#N/A,TRUE,"Model";"Assets",#N/A,TRUE,"Model";"Liabilities",#N/A,TRUE,"Model";"Tests",#N/A,TRUE,"Model";"Results",#N/A,TRUE,"Model"}</definedName>
    <definedName name="nnnnnnnnnnnnnn_2_2" hidden="1">{"LIBOR",#N/A,TRUE,"Model";"Caps",#N/A,TRUE,"Model";"Assets",#N/A,TRUE,"Model";"Liabilities",#N/A,TRUE,"Model";"Tests",#N/A,TRUE,"Model";"Results",#N/A,TRUE,"Model"}</definedName>
    <definedName name="nnnnnnnnnnnnnn_2_2_1" localSheetId="3" hidden="1">{"LIBOR",#N/A,TRUE,"Model";"Caps",#N/A,TRUE,"Model";"Assets",#N/A,TRUE,"Model";"Liabilities",#N/A,TRUE,"Model";"Tests",#N/A,TRUE,"Model";"Results",#N/A,TRUE,"Model"}</definedName>
    <definedName name="nnnnnnnnnnnnnn_2_2_1" localSheetId="1" hidden="1">{"LIBOR",#N/A,TRUE,"Model";"Caps",#N/A,TRUE,"Model";"Assets",#N/A,TRUE,"Model";"Liabilities",#N/A,TRUE,"Model";"Tests",#N/A,TRUE,"Model";"Results",#N/A,TRUE,"Model"}</definedName>
    <definedName name="nnnnnnnnnnnnnn_2_2_1" hidden="1">{"LIBOR",#N/A,TRUE,"Model";"Caps",#N/A,TRUE,"Model";"Assets",#N/A,TRUE,"Model";"Liabilities",#N/A,TRUE,"Model";"Tests",#N/A,TRUE,"Model";"Results",#N/A,TRUE,"Model"}</definedName>
    <definedName name="nnnnnnnnnnnnnn_2_3" localSheetId="3" hidden="1">{"LIBOR",#N/A,TRUE,"Model";"Caps",#N/A,TRUE,"Model";"Assets",#N/A,TRUE,"Model";"Liabilities",#N/A,TRUE,"Model";"Tests",#N/A,TRUE,"Model";"Results",#N/A,TRUE,"Model"}</definedName>
    <definedName name="nnnnnnnnnnnnnn_2_3" localSheetId="1" hidden="1">{"LIBOR",#N/A,TRUE,"Model";"Caps",#N/A,TRUE,"Model";"Assets",#N/A,TRUE,"Model";"Liabilities",#N/A,TRUE,"Model";"Tests",#N/A,TRUE,"Model";"Results",#N/A,TRUE,"Model"}</definedName>
    <definedName name="nnnnnnnnnnnnnn_2_3" hidden="1">{"LIBOR",#N/A,TRUE,"Model";"Caps",#N/A,TRUE,"Model";"Assets",#N/A,TRUE,"Model";"Liabilities",#N/A,TRUE,"Model";"Tests",#N/A,TRUE,"Model";"Results",#N/A,TRUE,"Model"}</definedName>
    <definedName name="nnnnnnnnnnnnnn_3" localSheetId="3" hidden="1">{"LIBOR",#N/A,TRUE,"Model";"Caps",#N/A,TRUE,"Model";"Assets",#N/A,TRUE,"Model";"Liabilities",#N/A,TRUE,"Model";"Tests",#N/A,TRUE,"Model";"Results",#N/A,TRUE,"Model"}</definedName>
    <definedName name="nnnnnnnnnnnnnn_3" localSheetId="1" hidden="1">{"LIBOR",#N/A,TRUE,"Model";"Caps",#N/A,TRUE,"Model";"Assets",#N/A,TRUE,"Model";"Liabilities",#N/A,TRUE,"Model";"Tests",#N/A,TRUE,"Model";"Results",#N/A,TRUE,"Model"}</definedName>
    <definedName name="nnnnnnnnnnnnnn_3" hidden="1">{"LIBOR",#N/A,TRUE,"Model";"Caps",#N/A,TRUE,"Model";"Assets",#N/A,TRUE,"Model";"Liabilities",#N/A,TRUE,"Model";"Tests",#N/A,TRUE,"Model";"Results",#N/A,TRUE,"Model"}</definedName>
    <definedName name="nnnnnnnnnnnnnn_3_1" localSheetId="3" hidden="1">{"LIBOR",#N/A,TRUE,"Model";"Caps",#N/A,TRUE,"Model";"Assets",#N/A,TRUE,"Model";"Liabilities",#N/A,TRUE,"Model";"Tests",#N/A,TRUE,"Model";"Results",#N/A,TRUE,"Model"}</definedName>
    <definedName name="nnnnnnnnnnnnnn_3_1" localSheetId="1" hidden="1">{"LIBOR",#N/A,TRUE,"Model";"Caps",#N/A,TRUE,"Model";"Assets",#N/A,TRUE,"Model";"Liabilities",#N/A,TRUE,"Model";"Tests",#N/A,TRUE,"Model";"Results",#N/A,TRUE,"Model"}</definedName>
    <definedName name="nnnnnnnnnnnnnn_3_1" hidden="1">{"LIBOR",#N/A,TRUE,"Model";"Caps",#N/A,TRUE,"Model";"Assets",#N/A,TRUE,"Model";"Liabilities",#N/A,TRUE,"Model";"Tests",#N/A,TRUE,"Model";"Results",#N/A,TRUE,"Model"}</definedName>
    <definedName name="nnnnnnnnnnnnnn_3_1_1" localSheetId="3" hidden="1">{"LIBOR",#N/A,TRUE,"Model";"Caps",#N/A,TRUE,"Model";"Assets",#N/A,TRUE,"Model";"Liabilities",#N/A,TRUE,"Model";"Tests",#N/A,TRUE,"Model";"Results",#N/A,TRUE,"Model"}</definedName>
    <definedName name="nnnnnnnnnnnnnn_3_1_1" localSheetId="1" hidden="1">{"LIBOR",#N/A,TRUE,"Model";"Caps",#N/A,TRUE,"Model";"Assets",#N/A,TRUE,"Model";"Liabilities",#N/A,TRUE,"Model";"Tests",#N/A,TRUE,"Model";"Results",#N/A,TRUE,"Model"}</definedName>
    <definedName name="nnnnnnnnnnnnnn_3_1_1" hidden="1">{"LIBOR",#N/A,TRUE,"Model";"Caps",#N/A,TRUE,"Model";"Assets",#N/A,TRUE,"Model";"Liabilities",#N/A,TRUE,"Model";"Tests",#N/A,TRUE,"Model";"Results",#N/A,TRUE,"Model"}</definedName>
    <definedName name="nnnnnnnnnnnnnn_3_1_1_1" localSheetId="3" hidden="1">{"LIBOR",#N/A,TRUE,"Model";"Caps",#N/A,TRUE,"Model";"Assets",#N/A,TRUE,"Model";"Liabilities",#N/A,TRUE,"Model";"Tests",#N/A,TRUE,"Model";"Results",#N/A,TRUE,"Model"}</definedName>
    <definedName name="nnnnnnnnnnnnnn_3_1_1_1" localSheetId="1" hidden="1">{"LIBOR",#N/A,TRUE,"Model";"Caps",#N/A,TRUE,"Model";"Assets",#N/A,TRUE,"Model";"Liabilities",#N/A,TRUE,"Model";"Tests",#N/A,TRUE,"Model";"Results",#N/A,TRUE,"Model"}</definedName>
    <definedName name="nnnnnnnnnnnnnn_3_1_1_1" hidden="1">{"LIBOR",#N/A,TRUE,"Model";"Caps",#N/A,TRUE,"Model";"Assets",#N/A,TRUE,"Model";"Liabilities",#N/A,TRUE,"Model";"Tests",#N/A,TRUE,"Model";"Results",#N/A,TRUE,"Model"}</definedName>
    <definedName name="nnnnnnnnnnnnnn_3_2" localSheetId="3" hidden="1">{"LIBOR",#N/A,TRUE,"Model";"Caps",#N/A,TRUE,"Model";"Assets",#N/A,TRUE,"Model";"Liabilities",#N/A,TRUE,"Model";"Tests",#N/A,TRUE,"Model";"Results",#N/A,TRUE,"Model"}</definedName>
    <definedName name="nnnnnnnnnnnnnn_3_2" localSheetId="1" hidden="1">{"LIBOR",#N/A,TRUE,"Model";"Caps",#N/A,TRUE,"Model";"Assets",#N/A,TRUE,"Model";"Liabilities",#N/A,TRUE,"Model";"Tests",#N/A,TRUE,"Model";"Results",#N/A,TRUE,"Model"}</definedName>
    <definedName name="nnnnnnnnnnnnnn_3_2" hidden="1">{"LIBOR",#N/A,TRUE,"Model";"Caps",#N/A,TRUE,"Model";"Assets",#N/A,TRUE,"Model";"Liabilities",#N/A,TRUE,"Model";"Tests",#N/A,TRUE,"Model";"Results",#N/A,TRUE,"Model"}</definedName>
    <definedName name="nnnnnnnnnnnnnn_3_2_1" localSheetId="3" hidden="1">{"LIBOR",#N/A,TRUE,"Model";"Caps",#N/A,TRUE,"Model";"Assets",#N/A,TRUE,"Model";"Liabilities",#N/A,TRUE,"Model";"Tests",#N/A,TRUE,"Model";"Results",#N/A,TRUE,"Model"}</definedName>
    <definedName name="nnnnnnnnnnnnnn_3_2_1" localSheetId="1" hidden="1">{"LIBOR",#N/A,TRUE,"Model";"Caps",#N/A,TRUE,"Model";"Assets",#N/A,TRUE,"Model";"Liabilities",#N/A,TRUE,"Model";"Tests",#N/A,TRUE,"Model";"Results",#N/A,TRUE,"Model"}</definedName>
    <definedName name="nnnnnnnnnnnnnn_3_2_1" hidden="1">{"LIBOR",#N/A,TRUE,"Model";"Caps",#N/A,TRUE,"Model";"Assets",#N/A,TRUE,"Model";"Liabilities",#N/A,TRUE,"Model";"Tests",#N/A,TRUE,"Model";"Results",#N/A,TRUE,"Model"}</definedName>
    <definedName name="nnnnnnnnnnnnnn_3_3" localSheetId="3" hidden="1">{"LIBOR",#N/A,TRUE,"Model";"Caps",#N/A,TRUE,"Model";"Assets",#N/A,TRUE,"Model";"Liabilities",#N/A,TRUE,"Model";"Tests",#N/A,TRUE,"Model";"Results",#N/A,TRUE,"Model"}</definedName>
    <definedName name="nnnnnnnnnnnnnn_3_3" localSheetId="1" hidden="1">{"LIBOR",#N/A,TRUE,"Model";"Caps",#N/A,TRUE,"Model";"Assets",#N/A,TRUE,"Model";"Liabilities",#N/A,TRUE,"Model";"Tests",#N/A,TRUE,"Model";"Results",#N/A,TRUE,"Model"}</definedName>
    <definedName name="nnnnnnnnnnnnnn_3_3" hidden="1">{"LIBOR",#N/A,TRUE,"Model";"Caps",#N/A,TRUE,"Model";"Assets",#N/A,TRUE,"Model";"Liabilities",#N/A,TRUE,"Model";"Tests",#N/A,TRUE,"Model";"Results",#N/A,TRUE,"Model"}</definedName>
    <definedName name="nnnnnnnnnnnnnn_4" localSheetId="3" hidden="1">{"LIBOR",#N/A,TRUE,"Model";"Caps",#N/A,TRUE,"Model";"Assets",#N/A,TRUE,"Model";"Liabilities",#N/A,TRUE,"Model";"Tests",#N/A,TRUE,"Model";"Results",#N/A,TRUE,"Model"}</definedName>
    <definedName name="nnnnnnnnnnnnnn_4" localSheetId="1" hidden="1">{"LIBOR",#N/A,TRUE,"Model";"Caps",#N/A,TRUE,"Model";"Assets",#N/A,TRUE,"Model";"Liabilities",#N/A,TRUE,"Model";"Tests",#N/A,TRUE,"Model";"Results",#N/A,TRUE,"Model"}</definedName>
    <definedName name="nnnnnnnnnnnnnn_4" hidden="1">{"LIBOR",#N/A,TRUE,"Model";"Caps",#N/A,TRUE,"Model";"Assets",#N/A,TRUE,"Model";"Liabilities",#N/A,TRUE,"Model";"Tests",#N/A,TRUE,"Model";"Results",#N/A,TRUE,"Model"}</definedName>
    <definedName name="nnnnnnnnnnnnnn_4_1" localSheetId="3" hidden="1">{"LIBOR",#N/A,TRUE,"Model";"Caps",#N/A,TRUE,"Model";"Assets",#N/A,TRUE,"Model";"Liabilities",#N/A,TRUE,"Model";"Tests",#N/A,TRUE,"Model";"Results",#N/A,TRUE,"Model"}</definedName>
    <definedName name="nnnnnnnnnnnnnn_4_1" localSheetId="1" hidden="1">{"LIBOR",#N/A,TRUE,"Model";"Caps",#N/A,TRUE,"Model";"Assets",#N/A,TRUE,"Model";"Liabilities",#N/A,TRUE,"Model";"Tests",#N/A,TRUE,"Model";"Results",#N/A,TRUE,"Model"}</definedName>
    <definedName name="nnnnnnnnnnnnnn_4_1" hidden="1">{"LIBOR",#N/A,TRUE,"Model";"Caps",#N/A,TRUE,"Model";"Assets",#N/A,TRUE,"Model";"Liabilities",#N/A,TRUE,"Model";"Tests",#N/A,TRUE,"Model";"Results",#N/A,TRUE,"Model"}</definedName>
    <definedName name="nnnnnnnnnnnnnn_4_1_1" localSheetId="3" hidden="1">{"LIBOR",#N/A,TRUE,"Model";"Caps",#N/A,TRUE,"Model";"Assets",#N/A,TRUE,"Model";"Liabilities",#N/A,TRUE,"Model";"Tests",#N/A,TRUE,"Model";"Results",#N/A,TRUE,"Model"}</definedName>
    <definedName name="nnnnnnnnnnnnnn_4_1_1" localSheetId="1" hidden="1">{"LIBOR",#N/A,TRUE,"Model";"Caps",#N/A,TRUE,"Model";"Assets",#N/A,TRUE,"Model";"Liabilities",#N/A,TRUE,"Model";"Tests",#N/A,TRUE,"Model";"Results",#N/A,TRUE,"Model"}</definedName>
    <definedName name="nnnnnnnnnnnnnn_4_1_1" hidden="1">{"LIBOR",#N/A,TRUE,"Model";"Caps",#N/A,TRUE,"Model";"Assets",#N/A,TRUE,"Model";"Liabilities",#N/A,TRUE,"Model";"Tests",#N/A,TRUE,"Model";"Results",#N/A,TRUE,"Model"}</definedName>
    <definedName name="nnnnnnnnnnnnnn_4_1_1_1" localSheetId="3" hidden="1">{"LIBOR",#N/A,TRUE,"Model";"Caps",#N/A,TRUE,"Model";"Assets",#N/A,TRUE,"Model";"Liabilities",#N/A,TRUE,"Model";"Tests",#N/A,TRUE,"Model";"Results",#N/A,TRUE,"Model"}</definedName>
    <definedName name="nnnnnnnnnnnnnn_4_1_1_1" localSheetId="1" hidden="1">{"LIBOR",#N/A,TRUE,"Model";"Caps",#N/A,TRUE,"Model";"Assets",#N/A,TRUE,"Model";"Liabilities",#N/A,TRUE,"Model";"Tests",#N/A,TRUE,"Model";"Results",#N/A,TRUE,"Model"}</definedName>
    <definedName name="nnnnnnnnnnnnnn_4_1_1_1" hidden="1">{"LIBOR",#N/A,TRUE,"Model";"Caps",#N/A,TRUE,"Model";"Assets",#N/A,TRUE,"Model";"Liabilities",#N/A,TRUE,"Model";"Tests",#N/A,TRUE,"Model";"Results",#N/A,TRUE,"Model"}</definedName>
    <definedName name="nnnnnnnnnnnnnn_4_2" localSheetId="3" hidden="1">{"LIBOR",#N/A,TRUE,"Model";"Caps",#N/A,TRUE,"Model";"Assets",#N/A,TRUE,"Model";"Liabilities",#N/A,TRUE,"Model";"Tests",#N/A,TRUE,"Model";"Results",#N/A,TRUE,"Model"}</definedName>
    <definedName name="nnnnnnnnnnnnnn_4_2" localSheetId="1" hidden="1">{"LIBOR",#N/A,TRUE,"Model";"Caps",#N/A,TRUE,"Model";"Assets",#N/A,TRUE,"Model";"Liabilities",#N/A,TRUE,"Model";"Tests",#N/A,TRUE,"Model";"Results",#N/A,TRUE,"Model"}</definedName>
    <definedName name="nnnnnnnnnnnnnn_4_2" hidden="1">{"LIBOR",#N/A,TRUE,"Model";"Caps",#N/A,TRUE,"Model";"Assets",#N/A,TRUE,"Model";"Liabilities",#N/A,TRUE,"Model";"Tests",#N/A,TRUE,"Model";"Results",#N/A,TRUE,"Model"}</definedName>
    <definedName name="nnnnnnnnnnnnnn_4_2_1" localSheetId="3" hidden="1">{"LIBOR",#N/A,TRUE,"Model";"Caps",#N/A,TRUE,"Model";"Assets",#N/A,TRUE,"Model";"Liabilities",#N/A,TRUE,"Model";"Tests",#N/A,TRUE,"Model";"Results",#N/A,TRUE,"Model"}</definedName>
    <definedName name="nnnnnnnnnnnnnn_4_2_1" localSheetId="1" hidden="1">{"LIBOR",#N/A,TRUE,"Model";"Caps",#N/A,TRUE,"Model";"Assets",#N/A,TRUE,"Model";"Liabilities",#N/A,TRUE,"Model";"Tests",#N/A,TRUE,"Model";"Results",#N/A,TRUE,"Model"}</definedName>
    <definedName name="nnnnnnnnnnnnnn_4_2_1" hidden="1">{"LIBOR",#N/A,TRUE,"Model";"Caps",#N/A,TRUE,"Model";"Assets",#N/A,TRUE,"Model";"Liabilities",#N/A,TRUE,"Model";"Tests",#N/A,TRUE,"Model";"Results",#N/A,TRUE,"Model"}</definedName>
    <definedName name="nnnnnnnnnnnnnn_4_3" localSheetId="3" hidden="1">{"LIBOR",#N/A,TRUE,"Model";"Caps",#N/A,TRUE,"Model";"Assets",#N/A,TRUE,"Model";"Liabilities",#N/A,TRUE,"Model";"Tests",#N/A,TRUE,"Model";"Results",#N/A,TRUE,"Model"}</definedName>
    <definedName name="nnnnnnnnnnnnnn_4_3" localSheetId="1" hidden="1">{"LIBOR",#N/A,TRUE,"Model";"Caps",#N/A,TRUE,"Model";"Assets",#N/A,TRUE,"Model";"Liabilities",#N/A,TRUE,"Model";"Tests",#N/A,TRUE,"Model";"Results",#N/A,TRUE,"Model"}</definedName>
    <definedName name="nnnnnnnnnnnnnn_4_3" hidden="1">{"LIBOR",#N/A,TRUE,"Model";"Caps",#N/A,TRUE,"Model";"Assets",#N/A,TRUE,"Model";"Liabilities",#N/A,TRUE,"Model";"Tests",#N/A,TRUE,"Model";"Results",#N/A,TRUE,"Model"}</definedName>
    <definedName name="nnnnnnnnnnnnnn_5" localSheetId="3" hidden="1">{"LIBOR",#N/A,TRUE,"Model";"Caps",#N/A,TRUE,"Model";"Assets",#N/A,TRUE,"Model";"Liabilities",#N/A,TRUE,"Model";"Tests",#N/A,TRUE,"Model";"Results",#N/A,TRUE,"Model"}</definedName>
    <definedName name="nnnnnnnnnnnnnn_5" localSheetId="1" hidden="1">{"LIBOR",#N/A,TRUE,"Model";"Caps",#N/A,TRUE,"Model";"Assets",#N/A,TRUE,"Model";"Liabilities",#N/A,TRUE,"Model";"Tests",#N/A,TRUE,"Model";"Results",#N/A,TRUE,"Model"}</definedName>
    <definedName name="nnnnnnnnnnnnnn_5" hidden="1">{"LIBOR",#N/A,TRUE,"Model";"Caps",#N/A,TRUE,"Model";"Assets",#N/A,TRUE,"Model";"Liabilities",#N/A,TRUE,"Model";"Tests",#N/A,TRUE,"Model";"Results",#N/A,TRUE,"Model"}</definedName>
    <definedName name="nnnnnnnnnnnnnn_5_1" localSheetId="3" hidden="1">{"LIBOR",#N/A,TRUE,"Model";"Caps",#N/A,TRUE,"Model";"Assets",#N/A,TRUE,"Model";"Liabilities",#N/A,TRUE,"Model";"Tests",#N/A,TRUE,"Model";"Results",#N/A,TRUE,"Model"}</definedName>
    <definedName name="nnnnnnnnnnnnnn_5_1" localSheetId="1" hidden="1">{"LIBOR",#N/A,TRUE,"Model";"Caps",#N/A,TRUE,"Model";"Assets",#N/A,TRUE,"Model";"Liabilities",#N/A,TRUE,"Model";"Tests",#N/A,TRUE,"Model";"Results",#N/A,TRUE,"Model"}</definedName>
    <definedName name="nnnnnnnnnnnnnn_5_1" hidden="1">{"LIBOR",#N/A,TRUE,"Model";"Caps",#N/A,TRUE,"Model";"Assets",#N/A,TRUE,"Model";"Liabilities",#N/A,TRUE,"Model";"Tests",#N/A,TRUE,"Model";"Results",#N/A,TRUE,"Model"}</definedName>
    <definedName name="nnnnnnnnnnnnnn_5_1_1" localSheetId="3" hidden="1">{"LIBOR",#N/A,TRUE,"Model";"Caps",#N/A,TRUE,"Model";"Assets",#N/A,TRUE,"Model";"Liabilities",#N/A,TRUE,"Model";"Tests",#N/A,TRUE,"Model";"Results",#N/A,TRUE,"Model"}</definedName>
    <definedName name="nnnnnnnnnnnnnn_5_1_1" localSheetId="1" hidden="1">{"LIBOR",#N/A,TRUE,"Model";"Caps",#N/A,TRUE,"Model";"Assets",#N/A,TRUE,"Model";"Liabilities",#N/A,TRUE,"Model";"Tests",#N/A,TRUE,"Model";"Results",#N/A,TRUE,"Model"}</definedName>
    <definedName name="nnnnnnnnnnnnnn_5_1_1" hidden="1">{"LIBOR",#N/A,TRUE,"Model";"Caps",#N/A,TRUE,"Model";"Assets",#N/A,TRUE,"Model";"Liabilities",#N/A,TRUE,"Model";"Tests",#N/A,TRUE,"Model";"Results",#N/A,TRUE,"Model"}</definedName>
    <definedName name="nnnnnnnnnnnnnn_5_1_1_1" localSheetId="3" hidden="1">{"LIBOR",#N/A,TRUE,"Model";"Caps",#N/A,TRUE,"Model";"Assets",#N/A,TRUE,"Model";"Liabilities",#N/A,TRUE,"Model";"Tests",#N/A,TRUE,"Model";"Results",#N/A,TRUE,"Model"}</definedName>
    <definedName name="nnnnnnnnnnnnnn_5_1_1_1" localSheetId="1" hidden="1">{"LIBOR",#N/A,TRUE,"Model";"Caps",#N/A,TRUE,"Model";"Assets",#N/A,TRUE,"Model";"Liabilities",#N/A,TRUE,"Model";"Tests",#N/A,TRUE,"Model";"Results",#N/A,TRUE,"Model"}</definedName>
    <definedName name="nnnnnnnnnnnnnn_5_1_1_1" hidden="1">{"LIBOR",#N/A,TRUE,"Model";"Caps",#N/A,TRUE,"Model";"Assets",#N/A,TRUE,"Model";"Liabilities",#N/A,TRUE,"Model";"Tests",#N/A,TRUE,"Model";"Results",#N/A,TRUE,"Model"}</definedName>
    <definedName name="nnnnnnnnnnnnnn_5_2" localSheetId="3" hidden="1">{"LIBOR",#N/A,TRUE,"Model";"Caps",#N/A,TRUE,"Model";"Assets",#N/A,TRUE,"Model";"Liabilities",#N/A,TRUE,"Model";"Tests",#N/A,TRUE,"Model";"Results",#N/A,TRUE,"Model"}</definedName>
    <definedName name="nnnnnnnnnnnnnn_5_2" localSheetId="1" hidden="1">{"LIBOR",#N/A,TRUE,"Model";"Caps",#N/A,TRUE,"Model";"Assets",#N/A,TRUE,"Model";"Liabilities",#N/A,TRUE,"Model";"Tests",#N/A,TRUE,"Model";"Results",#N/A,TRUE,"Model"}</definedName>
    <definedName name="nnnnnnnnnnnnnn_5_2" hidden="1">{"LIBOR",#N/A,TRUE,"Model";"Caps",#N/A,TRUE,"Model";"Assets",#N/A,TRUE,"Model";"Liabilities",#N/A,TRUE,"Model";"Tests",#N/A,TRUE,"Model";"Results",#N/A,TRUE,"Model"}</definedName>
    <definedName name="nnnnnnnnnnnnnn_5_2_1" localSheetId="3" hidden="1">{"LIBOR",#N/A,TRUE,"Model";"Caps",#N/A,TRUE,"Model";"Assets",#N/A,TRUE,"Model";"Liabilities",#N/A,TRUE,"Model";"Tests",#N/A,TRUE,"Model";"Results",#N/A,TRUE,"Model"}</definedName>
    <definedName name="nnnnnnnnnnnnnn_5_2_1" localSheetId="1" hidden="1">{"LIBOR",#N/A,TRUE,"Model";"Caps",#N/A,TRUE,"Model";"Assets",#N/A,TRUE,"Model";"Liabilities",#N/A,TRUE,"Model";"Tests",#N/A,TRUE,"Model";"Results",#N/A,TRUE,"Model"}</definedName>
    <definedName name="nnnnnnnnnnnnnn_5_2_1" hidden="1">{"LIBOR",#N/A,TRUE,"Model";"Caps",#N/A,TRUE,"Model";"Assets",#N/A,TRUE,"Model";"Liabilities",#N/A,TRUE,"Model";"Tests",#N/A,TRUE,"Model";"Results",#N/A,TRUE,"Model"}</definedName>
    <definedName name="nnnnnnnnnnnnnn_5_3" localSheetId="3" hidden="1">{"LIBOR",#N/A,TRUE,"Model";"Caps",#N/A,TRUE,"Model";"Assets",#N/A,TRUE,"Model";"Liabilities",#N/A,TRUE,"Model";"Tests",#N/A,TRUE,"Model";"Results",#N/A,TRUE,"Model"}</definedName>
    <definedName name="nnnnnnnnnnnnnn_5_3" localSheetId="1" hidden="1">{"LIBOR",#N/A,TRUE,"Model";"Caps",#N/A,TRUE,"Model";"Assets",#N/A,TRUE,"Model";"Liabilities",#N/A,TRUE,"Model";"Tests",#N/A,TRUE,"Model";"Results",#N/A,TRUE,"Model"}</definedName>
    <definedName name="nnnnnnnnnnnnnn_5_3" hidden="1">{"LIBOR",#N/A,TRUE,"Model";"Caps",#N/A,TRUE,"Model";"Assets",#N/A,TRUE,"Model";"Liabilities",#N/A,TRUE,"Model";"Tests",#N/A,TRUE,"Model";"Results",#N/A,TRUE,"Model"}</definedName>
    <definedName name="nnnnnnnnnnnnnnnnnnn" localSheetId="3" hidden="1">{"LIBOR",#N/A,TRUE,"Model";"Caps",#N/A,TRUE,"Model";"Assets",#N/A,TRUE,"Model";"Liabilities",#N/A,TRUE,"Model";"Tests",#N/A,TRUE,"Model";"Results",#N/A,TRUE,"Model"}</definedName>
    <definedName name="nnnnnnnnnnnnnnnnnnn" localSheetId="1" hidden="1">{"LIBOR",#N/A,TRUE,"Model";"Caps",#N/A,TRUE,"Model";"Assets",#N/A,TRUE,"Model";"Liabilities",#N/A,TRUE,"Model";"Tests",#N/A,TRUE,"Model";"Results",#N/A,TRUE,"Model"}</definedName>
    <definedName name="nnnnnnnnnnnnnnnnnnn" hidden="1">{"LIBOR",#N/A,TRUE,"Model";"Caps",#N/A,TRUE,"Model";"Assets",#N/A,TRUE,"Model";"Liabilities",#N/A,TRUE,"Model";"Tests",#N/A,TRUE,"Model";"Results",#N/A,TRUE,"Model"}</definedName>
    <definedName name="nnnnnnnnnnnnnnnnnnn_1" localSheetId="3" hidden="1">{"LIBOR",#N/A,TRUE,"Model";"Caps",#N/A,TRUE,"Model";"Assets",#N/A,TRUE,"Model";"Liabilities",#N/A,TRUE,"Model";"Tests",#N/A,TRUE,"Model";"Results",#N/A,TRUE,"Model"}</definedName>
    <definedName name="nnnnnnnnnnnnnnnnnnn_1" localSheetId="1" hidden="1">{"LIBOR",#N/A,TRUE,"Model";"Caps",#N/A,TRUE,"Model";"Assets",#N/A,TRUE,"Model";"Liabilities",#N/A,TRUE,"Model";"Tests",#N/A,TRUE,"Model";"Results",#N/A,TRUE,"Model"}</definedName>
    <definedName name="nnnnnnnnnnnnnnnnnnn_1" hidden="1">{"LIBOR",#N/A,TRUE,"Model";"Caps",#N/A,TRUE,"Model";"Assets",#N/A,TRUE,"Model";"Liabilities",#N/A,TRUE,"Model";"Tests",#N/A,TRUE,"Model";"Results",#N/A,TRUE,"Model"}</definedName>
    <definedName name="nnnnnnnnnnnnnnnnnnn_1_1" localSheetId="3" hidden="1">{"LIBOR",#N/A,TRUE,"Model";"Caps",#N/A,TRUE,"Model";"Assets",#N/A,TRUE,"Model";"Liabilities",#N/A,TRUE,"Model";"Tests",#N/A,TRUE,"Model";"Results",#N/A,TRUE,"Model"}</definedName>
    <definedName name="nnnnnnnnnnnnnnnnnnn_1_1" localSheetId="1" hidden="1">{"LIBOR",#N/A,TRUE,"Model";"Caps",#N/A,TRUE,"Model";"Assets",#N/A,TRUE,"Model";"Liabilities",#N/A,TRUE,"Model";"Tests",#N/A,TRUE,"Model";"Results",#N/A,TRUE,"Model"}</definedName>
    <definedName name="nnnnnnnnnnnnnnnnnnn_1_1" hidden="1">{"LIBOR",#N/A,TRUE,"Model";"Caps",#N/A,TRUE,"Model";"Assets",#N/A,TRUE,"Model";"Liabilities",#N/A,TRUE,"Model";"Tests",#N/A,TRUE,"Model";"Results",#N/A,TRUE,"Model"}</definedName>
    <definedName name="nnnnnnnnnnnnnnnnnnn_1_1_1" localSheetId="3" hidden="1">{"LIBOR",#N/A,TRUE,"Model";"Caps",#N/A,TRUE,"Model";"Assets",#N/A,TRUE,"Model";"Liabilities",#N/A,TRUE,"Model";"Tests",#N/A,TRUE,"Model";"Results",#N/A,TRUE,"Model"}</definedName>
    <definedName name="nnnnnnnnnnnnnnnnnnn_1_1_1" localSheetId="1" hidden="1">{"LIBOR",#N/A,TRUE,"Model";"Caps",#N/A,TRUE,"Model";"Assets",#N/A,TRUE,"Model";"Liabilities",#N/A,TRUE,"Model";"Tests",#N/A,TRUE,"Model";"Results",#N/A,TRUE,"Model"}</definedName>
    <definedName name="nnnnnnnnnnnnnnnnnnn_1_1_1" hidden="1">{"LIBOR",#N/A,TRUE,"Model";"Caps",#N/A,TRUE,"Model";"Assets",#N/A,TRUE,"Model";"Liabilities",#N/A,TRUE,"Model";"Tests",#N/A,TRUE,"Model";"Results",#N/A,TRUE,"Model"}</definedName>
    <definedName name="nnnnnnnnnnnnnnnnnnn_1_1_1_1" localSheetId="3" hidden="1">{"LIBOR",#N/A,TRUE,"Model";"Caps",#N/A,TRUE,"Model";"Assets",#N/A,TRUE,"Model";"Liabilities",#N/A,TRUE,"Model";"Tests",#N/A,TRUE,"Model";"Results",#N/A,TRUE,"Model"}</definedName>
    <definedName name="nnnnnnnnnnnnnnnnnnn_1_1_1_1" localSheetId="1" hidden="1">{"LIBOR",#N/A,TRUE,"Model";"Caps",#N/A,TRUE,"Model";"Assets",#N/A,TRUE,"Model";"Liabilities",#N/A,TRUE,"Model";"Tests",#N/A,TRUE,"Model";"Results",#N/A,TRUE,"Model"}</definedName>
    <definedName name="nnnnnnnnnnnnnnnnnnn_1_1_1_1" hidden="1">{"LIBOR",#N/A,TRUE,"Model";"Caps",#N/A,TRUE,"Model";"Assets",#N/A,TRUE,"Model";"Liabilities",#N/A,TRUE,"Model";"Tests",#N/A,TRUE,"Model";"Results",#N/A,TRUE,"Model"}</definedName>
    <definedName name="nnnnnnnnnnnnnnnnnnn_1_2" localSheetId="3" hidden="1">{"LIBOR",#N/A,TRUE,"Model";"Caps",#N/A,TRUE,"Model";"Assets",#N/A,TRUE,"Model";"Liabilities",#N/A,TRUE,"Model";"Tests",#N/A,TRUE,"Model";"Results",#N/A,TRUE,"Model"}</definedName>
    <definedName name="nnnnnnnnnnnnnnnnnnn_1_2" localSheetId="1" hidden="1">{"LIBOR",#N/A,TRUE,"Model";"Caps",#N/A,TRUE,"Model";"Assets",#N/A,TRUE,"Model";"Liabilities",#N/A,TRUE,"Model";"Tests",#N/A,TRUE,"Model";"Results",#N/A,TRUE,"Model"}</definedName>
    <definedName name="nnnnnnnnnnnnnnnnnnn_1_2" hidden="1">{"LIBOR",#N/A,TRUE,"Model";"Caps",#N/A,TRUE,"Model";"Assets",#N/A,TRUE,"Model";"Liabilities",#N/A,TRUE,"Model";"Tests",#N/A,TRUE,"Model";"Results",#N/A,TRUE,"Model"}</definedName>
    <definedName name="nnnnnnnnnnnnnnnnnnn_1_2_1" localSheetId="3" hidden="1">{"LIBOR",#N/A,TRUE,"Model";"Caps",#N/A,TRUE,"Model";"Assets",#N/A,TRUE,"Model";"Liabilities",#N/A,TRUE,"Model";"Tests",#N/A,TRUE,"Model";"Results",#N/A,TRUE,"Model"}</definedName>
    <definedName name="nnnnnnnnnnnnnnnnnnn_1_2_1" localSheetId="1" hidden="1">{"LIBOR",#N/A,TRUE,"Model";"Caps",#N/A,TRUE,"Model";"Assets",#N/A,TRUE,"Model";"Liabilities",#N/A,TRUE,"Model";"Tests",#N/A,TRUE,"Model";"Results",#N/A,TRUE,"Model"}</definedName>
    <definedName name="nnnnnnnnnnnnnnnnnnn_1_2_1" hidden="1">{"LIBOR",#N/A,TRUE,"Model";"Caps",#N/A,TRUE,"Model";"Assets",#N/A,TRUE,"Model";"Liabilities",#N/A,TRUE,"Model";"Tests",#N/A,TRUE,"Model";"Results",#N/A,TRUE,"Model"}</definedName>
    <definedName name="nnnnnnnnnnnnnnnnnnn_1_3" localSheetId="3" hidden="1">{"LIBOR",#N/A,TRUE,"Model";"Caps",#N/A,TRUE,"Model";"Assets",#N/A,TRUE,"Model";"Liabilities",#N/A,TRUE,"Model";"Tests",#N/A,TRUE,"Model";"Results",#N/A,TRUE,"Model"}</definedName>
    <definedName name="nnnnnnnnnnnnnnnnnnn_1_3" localSheetId="1" hidden="1">{"LIBOR",#N/A,TRUE,"Model";"Caps",#N/A,TRUE,"Model";"Assets",#N/A,TRUE,"Model";"Liabilities",#N/A,TRUE,"Model";"Tests",#N/A,TRUE,"Model";"Results",#N/A,TRUE,"Model"}</definedName>
    <definedName name="nnnnnnnnnnnnnnnnnnn_1_3" hidden="1">{"LIBOR",#N/A,TRUE,"Model";"Caps",#N/A,TRUE,"Model";"Assets",#N/A,TRUE,"Model";"Liabilities",#N/A,TRUE,"Model";"Tests",#N/A,TRUE,"Model";"Results",#N/A,TRUE,"Model"}</definedName>
    <definedName name="nnnnnnnnnnnnnnnnnnn_1_3_1" localSheetId="3" hidden="1">{"LIBOR",#N/A,TRUE,"Model";"Caps",#N/A,TRUE,"Model";"Assets",#N/A,TRUE,"Model";"Liabilities",#N/A,TRUE,"Model";"Tests",#N/A,TRUE,"Model";"Results",#N/A,TRUE,"Model"}</definedName>
    <definedName name="nnnnnnnnnnnnnnnnnnn_1_3_1" localSheetId="1" hidden="1">{"LIBOR",#N/A,TRUE,"Model";"Caps",#N/A,TRUE,"Model";"Assets",#N/A,TRUE,"Model";"Liabilities",#N/A,TRUE,"Model";"Tests",#N/A,TRUE,"Model";"Results",#N/A,TRUE,"Model"}</definedName>
    <definedName name="nnnnnnnnnnnnnnnnnnn_1_3_1" hidden="1">{"LIBOR",#N/A,TRUE,"Model";"Caps",#N/A,TRUE,"Model";"Assets",#N/A,TRUE,"Model";"Liabilities",#N/A,TRUE,"Model";"Tests",#N/A,TRUE,"Model";"Results",#N/A,TRUE,"Model"}</definedName>
    <definedName name="nnnnnnnnnnnnnnnnnnn_1_4" localSheetId="3" hidden="1">{"LIBOR",#N/A,TRUE,"Model";"Caps",#N/A,TRUE,"Model";"Assets",#N/A,TRUE,"Model";"Liabilities",#N/A,TRUE,"Model";"Tests",#N/A,TRUE,"Model";"Results",#N/A,TRUE,"Model"}</definedName>
    <definedName name="nnnnnnnnnnnnnnnnnnn_1_4" localSheetId="1" hidden="1">{"LIBOR",#N/A,TRUE,"Model";"Caps",#N/A,TRUE,"Model";"Assets",#N/A,TRUE,"Model";"Liabilities",#N/A,TRUE,"Model";"Tests",#N/A,TRUE,"Model";"Results",#N/A,TRUE,"Model"}</definedName>
    <definedName name="nnnnnnnnnnnnnnnnnnn_1_4" hidden="1">{"LIBOR",#N/A,TRUE,"Model";"Caps",#N/A,TRUE,"Model";"Assets",#N/A,TRUE,"Model";"Liabilities",#N/A,TRUE,"Model";"Tests",#N/A,TRUE,"Model";"Results",#N/A,TRUE,"Model"}</definedName>
    <definedName name="nnnnnnnnnnnnnnnnnnn_2" localSheetId="3" hidden="1">{"LIBOR",#N/A,TRUE,"Model";"Caps",#N/A,TRUE,"Model";"Assets",#N/A,TRUE,"Model";"Liabilities",#N/A,TRUE,"Model";"Tests",#N/A,TRUE,"Model";"Results",#N/A,TRUE,"Model"}</definedName>
    <definedName name="nnnnnnnnnnnnnnnnnnn_2" localSheetId="1" hidden="1">{"LIBOR",#N/A,TRUE,"Model";"Caps",#N/A,TRUE,"Model";"Assets",#N/A,TRUE,"Model";"Liabilities",#N/A,TRUE,"Model";"Tests",#N/A,TRUE,"Model";"Results",#N/A,TRUE,"Model"}</definedName>
    <definedName name="nnnnnnnnnnnnnnnnnnn_2" hidden="1">{"LIBOR",#N/A,TRUE,"Model";"Caps",#N/A,TRUE,"Model";"Assets",#N/A,TRUE,"Model";"Liabilities",#N/A,TRUE,"Model";"Tests",#N/A,TRUE,"Model";"Results",#N/A,TRUE,"Model"}</definedName>
    <definedName name="nnnnnnnnnnnnnnnnnnn_2_1" localSheetId="3" hidden="1">{"LIBOR",#N/A,TRUE,"Model";"Caps",#N/A,TRUE,"Model";"Assets",#N/A,TRUE,"Model";"Liabilities",#N/A,TRUE,"Model";"Tests",#N/A,TRUE,"Model";"Results",#N/A,TRUE,"Model"}</definedName>
    <definedName name="nnnnnnnnnnnnnnnnnnn_2_1" localSheetId="1" hidden="1">{"LIBOR",#N/A,TRUE,"Model";"Caps",#N/A,TRUE,"Model";"Assets",#N/A,TRUE,"Model";"Liabilities",#N/A,TRUE,"Model";"Tests",#N/A,TRUE,"Model";"Results",#N/A,TRUE,"Model"}</definedName>
    <definedName name="nnnnnnnnnnnnnnnnnnn_2_1" hidden="1">{"LIBOR",#N/A,TRUE,"Model";"Caps",#N/A,TRUE,"Model";"Assets",#N/A,TRUE,"Model";"Liabilities",#N/A,TRUE,"Model";"Tests",#N/A,TRUE,"Model";"Results",#N/A,TRUE,"Model"}</definedName>
    <definedName name="nnnnnnnnnnnnnnnnnnn_2_1_1" localSheetId="3" hidden="1">{"LIBOR",#N/A,TRUE,"Model";"Caps",#N/A,TRUE,"Model";"Assets",#N/A,TRUE,"Model";"Liabilities",#N/A,TRUE,"Model";"Tests",#N/A,TRUE,"Model";"Results",#N/A,TRUE,"Model"}</definedName>
    <definedName name="nnnnnnnnnnnnnnnnnnn_2_1_1" localSheetId="1" hidden="1">{"LIBOR",#N/A,TRUE,"Model";"Caps",#N/A,TRUE,"Model";"Assets",#N/A,TRUE,"Model";"Liabilities",#N/A,TRUE,"Model";"Tests",#N/A,TRUE,"Model";"Results",#N/A,TRUE,"Model"}</definedName>
    <definedName name="nnnnnnnnnnnnnnnnnnn_2_1_1" hidden="1">{"LIBOR",#N/A,TRUE,"Model";"Caps",#N/A,TRUE,"Model";"Assets",#N/A,TRUE,"Model";"Liabilities",#N/A,TRUE,"Model";"Tests",#N/A,TRUE,"Model";"Results",#N/A,TRUE,"Model"}</definedName>
    <definedName name="nnnnnnnnnnnnnnnnnnn_2_1_1_1" localSheetId="3" hidden="1">{"LIBOR",#N/A,TRUE,"Model";"Caps",#N/A,TRUE,"Model";"Assets",#N/A,TRUE,"Model";"Liabilities",#N/A,TRUE,"Model";"Tests",#N/A,TRUE,"Model";"Results",#N/A,TRUE,"Model"}</definedName>
    <definedName name="nnnnnnnnnnnnnnnnnnn_2_1_1_1" localSheetId="1" hidden="1">{"LIBOR",#N/A,TRUE,"Model";"Caps",#N/A,TRUE,"Model";"Assets",#N/A,TRUE,"Model";"Liabilities",#N/A,TRUE,"Model";"Tests",#N/A,TRUE,"Model";"Results",#N/A,TRUE,"Model"}</definedName>
    <definedName name="nnnnnnnnnnnnnnnnnnn_2_1_1_1" hidden="1">{"LIBOR",#N/A,TRUE,"Model";"Caps",#N/A,TRUE,"Model";"Assets",#N/A,TRUE,"Model";"Liabilities",#N/A,TRUE,"Model";"Tests",#N/A,TRUE,"Model";"Results",#N/A,TRUE,"Model"}</definedName>
    <definedName name="nnnnnnnnnnnnnnnnnnn_2_2" localSheetId="3" hidden="1">{"LIBOR",#N/A,TRUE,"Model";"Caps",#N/A,TRUE,"Model";"Assets",#N/A,TRUE,"Model";"Liabilities",#N/A,TRUE,"Model";"Tests",#N/A,TRUE,"Model";"Results",#N/A,TRUE,"Model"}</definedName>
    <definedName name="nnnnnnnnnnnnnnnnnnn_2_2" localSheetId="1" hidden="1">{"LIBOR",#N/A,TRUE,"Model";"Caps",#N/A,TRUE,"Model";"Assets",#N/A,TRUE,"Model";"Liabilities",#N/A,TRUE,"Model";"Tests",#N/A,TRUE,"Model";"Results",#N/A,TRUE,"Model"}</definedName>
    <definedName name="nnnnnnnnnnnnnnnnnnn_2_2" hidden="1">{"LIBOR",#N/A,TRUE,"Model";"Caps",#N/A,TRUE,"Model";"Assets",#N/A,TRUE,"Model";"Liabilities",#N/A,TRUE,"Model";"Tests",#N/A,TRUE,"Model";"Results",#N/A,TRUE,"Model"}</definedName>
    <definedName name="nnnnnnnnnnnnnnnnnnn_2_2_1" localSheetId="3" hidden="1">{"LIBOR",#N/A,TRUE,"Model";"Caps",#N/A,TRUE,"Model";"Assets",#N/A,TRUE,"Model";"Liabilities",#N/A,TRUE,"Model";"Tests",#N/A,TRUE,"Model";"Results",#N/A,TRUE,"Model"}</definedName>
    <definedName name="nnnnnnnnnnnnnnnnnnn_2_2_1" localSheetId="1" hidden="1">{"LIBOR",#N/A,TRUE,"Model";"Caps",#N/A,TRUE,"Model";"Assets",#N/A,TRUE,"Model";"Liabilities",#N/A,TRUE,"Model";"Tests",#N/A,TRUE,"Model";"Results",#N/A,TRUE,"Model"}</definedName>
    <definedName name="nnnnnnnnnnnnnnnnnnn_2_2_1" hidden="1">{"LIBOR",#N/A,TRUE,"Model";"Caps",#N/A,TRUE,"Model";"Assets",#N/A,TRUE,"Model";"Liabilities",#N/A,TRUE,"Model";"Tests",#N/A,TRUE,"Model";"Results",#N/A,TRUE,"Model"}</definedName>
    <definedName name="nnnnnnnnnnnnnnnnnnn_2_3" localSheetId="3" hidden="1">{"LIBOR",#N/A,TRUE,"Model";"Caps",#N/A,TRUE,"Model";"Assets",#N/A,TRUE,"Model";"Liabilities",#N/A,TRUE,"Model";"Tests",#N/A,TRUE,"Model";"Results",#N/A,TRUE,"Model"}</definedName>
    <definedName name="nnnnnnnnnnnnnnnnnnn_2_3" localSheetId="1" hidden="1">{"LIBOR",#N/A,TRUE,"Model";"Caps",#N/A,TRUE,"Model";"Assets",#N/A,TRUE,"Model";"Liabilities",#N/A,TRUE,"Model";"Tests",#N/A,TRUE,"Model";"Results",#N/A,TRUE,"Model"}</definedName>
    <definedName name="nnnnnnnnnnnnnnnnnnn_2_3" hidden="1">{"LIBOR",#N/A,TRUE,"Model";"Caps",#N/A,TRUE,"Model";"Assets",#N/A,TRUE,"Model";"Liabilities",#N/A,TRUE,"Model";"Tests",#N/A,TRUE,"Model";"Results",#N/A,TRUE,"Model"}</definedName>
    <definedName name="nnnnnnnnnnnnnnnnnnn_3" localSheetId="3" hidden="1">{"LIBOR",#N/A,TRUE,"Model";"Caps",#N/A,TRUE,"Model";"Assets",#N/A,TRUE,"Model";"Liabilities",#N/A,TRUE,"Model";"Tests",#N/A,TRUE,"Model";"Results",#N/A,TRUE,"Model"}</definedName>
    <definedName name="nnnnnnnnnnnnnnnnnnn_3" localSheetId="1" hidden="1">{"LIBOR",#N/A,TRUE,"Model";"Caps",#N/A,TRUE,"Model";"Assets",#N/A,TRUE,"Model";"Liabilities",#N/A,TRUE,"Model";"Tests",#N/A,TRUE,"Model";"Results",#N/A,TRUE,"Model"}</definedName>
    <definedName name="nnnnnnnnnnnnnnnnnnn_3" hidden="1">{"LIBOR",#N/A,TRUE,"Model";"Caps",#N/A,TRUE,"Model";"Assets",#N/A,TRUE,"Model";"Liabilities",#N/A,TRUE,"Model";"Tests",#N/A,TRUE,"Model";"Results",#N/A,TRUE,"Model"}</definedName>
    <definedName name="nnnnnnnnnnnnnnnnnnn_3_1" localSheetId="3" hidden="1">{"LIBOR",#N/A,TRUE,"Model";"Caps",#N/A,TRUE,"Model";"Assets",#N/A,TRUE,"Model";"Liabilities",#N/A,TRUE,"Model";"Tests",#N/A,TRUE,"Model";"Results",#N/A,TRUE,"Model"}</definedName>
    <definedName name="nnnnnnnnnnnnnnnnnnn_3_1" localSheetId="1" hidden="1">{"LIBOR",#N/A,TRUE,"Model";"Caps",#N/A,TRUE,"Model";"Assets",#N/A,TRUE,"Model";"Liabilities",#N/A,TRUE,"Model";"Tests",#N/A,TRUE,"Model";"Results",#N/A,TRUE,"Model"}</definedName>
    <definedName name="nnnnnnnnnnnnnnnnnnn_3_1" hidden="1">{"LIBOR",#N/A,TRUE,"Model";"Caps",#N/A,TRUE,"Model";"Assets",#N/A,TRUE,"Model";"Liabilities",#N/A,TRUE,"Model";"Tests",#N/A,TRUE,"Model";"Results",#N/A,TRUE,"Model"}</definedName>
    <definedName name="nnnnnnnnnnnnnnnnnnn_3_1_1" localSheetId="3" hidden="1">{"LIBOR",#N/A,TRUE,"Model";"Caps",#N/A,TRUE,"Model";"Assets",#N/A,TRUE,"Model";"Liabilities",#N/A,TRUE,"Model";"Tests",#N/A,TRUE,"Model";"Results",#N/A,TRUE,"Model"}</definedName>
    <definedName name="nnnnnnnnnnnnnnnnnnn_3_1_1" localSheetId="1" hidden="1">{"LIBOR",#N/A,TRUE,"Model";"Caps",#N/A,TRUE,"Model";"Assets",#N/A,TRUE,"Model";"Liabilities",#N/A,TRUE,"Model";"Tests",#N/A,TRUE,"Model";"Results",#N/A,TRUE,"Model"}</definedName>
    <definedName name="nnnnnnnnnnnnnnnnnnn_3_1_1" hidden="1">{"LIBOR",#N/A,TRUE,"Model";"Caps",#N/A,TRUE,"Model";"Assets",#N/A,TRUE,"Model";"Liabilities",#N/A,TRUE,"Model";"Tests",#N/A,TRUE,"Model";"Results",#N/A,TRUE,"Model"}</definedName>
    <definedName name="nnnnnnnnnnnnnnnnnnn_3_1_1_1" localSheetId="3" hidden="1">{"LIBOR",#N/A,TRUE,"Model";"Caps",#N/A,TRUE,"Model";"Assets",#N/A,TRUE,"Model";"Liabilities",#N/A,TRUE,"Model";"Tests",#N/A,TRUE,"Model";"Results",#N/A,TRUE,"Model"}</definedName>
    <definedName name="nnnnnnnnnnnnnnnnnnn_3_1_1_1" localSheetId="1" hidden="1">{"LIBOR",#N/A,TRUE,"Model";"Caps",#N/A,TRUE,"Model";"Assets",#N/A,TRUE,"Model";"Liabilities",#N/A,TRUE,"Model";"Tests",#N/A,TRUE,"Model";"Results",#N/A,TRUE,"Model"}</definedName>
    <definedName name="nnnnnnnnnnnnnnnnnnn_3_1_1_1" hidden="1">{"LIBOR",#N/A,TRUE,"Model";"Caps",#N/A,TRUE,"Model";"Assets",#N/A,TRUE,"Model";"Liabilities",#N/A,TRUE,"Model";"Tests",#N/A,TRUE,"Model";"Results",#N/A,TRUE,"Model"}</definedName>
    <definedName name="nnnnnnnnnnnnnnnnnnn_3_2" localSheetId="3" hidden="1">{"LIBOR",#N/A,TRUE,"Model";"Caps",#N/A,TRUE,"Model";"Assets",#N/A,TRUE,"Model";"Liabilities",#N/A,TRUE,"Model";"Tests",#N/A,TRUE,"Model";"Results",#N/A,TRUE,"Model"}</definedName>
    <definedName name="nnnnnnnnnnnnnnnnnnn_3_2" localSheetId="1" hidden="1">{"LIBOR",#N/A,TRUE,"Model";"Caps",#N/A,TRUE,"Model";"Assets",#N/A,TRUE,"Model";"Liabilities",#N/A,TRUE,"Model";"Tests",#N/A,TRUE,"Model";"Results",#N/A,TRUE,"Model"}</definedName>
    <definedName name="nnnnnnnnnnnnnnnnnnn_3_2" hidden="1">{"LIBOR",#N/A,TRUE,"Model";"Caps",#N/A,TRUE,"Model";"Assets",#N/A,TRUE,"Model";"Liabilities",#N/A,TRUE,"Model";"Tests",#N/A,TRUE,"Model";"Results",#N/A,TRUE,"Model"}</definedName>
    <definedName name="nnnnnnnnnnnnnnnnnnn_3_2_1" localSheetId="3" hidden="1">{"LIBOR",#N/A,TRUE,"Model";"Caps",#N/A,TRUE,"Model";"Assets",#N/A,TRUE,"Model";"Liabilities",#N/A,TRUE,"Model";"Tests",#N/A,TRUE,"Model";"Results",#N/A,TRUE,"Model"}</definedName>
    <definedName name="nnnnnnnnnnnnnnnnnnn_3_2_1" localSheetId="1" hidden="1">{"LIBOR",#N/A,TRUE,"Model";"Caps",#N/A,TRUE,"Model";"Assets",#N/A,TRUE,"Model";"Liabilities",#N/A,TRUE,"Model";"Tests",#N/A,TRUE,"Model";"Results",#N/A,TRUE,"Model"}</definedName>
    <definedName name="nnnnnnnnnnnnnnnnnnn_3_2_1" hidden="1">{"LIBOR",#N/A,TRUE,"Model";"Caps",#N/A,TRUE,"Model";"Assets",#N/A,TRUE,"Model";"Liabilities",#N/A,TRUE,"Model";"Tests",#N/A,TRUE,"Model";"Results",#N/A,TRUE,"Model"}</definedName>
    <definedName name="nnnnnnnnnnnnnnnnnnn_3_3" localSheetId="3" hidden="1">{"LIBOR",#N/A,TRUE,"Model";"Caps",#N/A,TRUE,"Model";"Assets",#N/A,TRUE,"Model";"Liabilities",#N/A,TRUE,"Model";"Tests",#N/A,TRUE,"Model";"Results",#N/A,TRUE,"Model"}</definedName>
    <definedName name="nnnnnnnnnnnnnnnnnnn_3_3" localSheetId="1" hidden="1">{"LIBOR",#N/A,TRUE,"Model";"Caps",#N/A,TRUE,"Model";"Assets",#N/A,TRUE,"Model";"Liabilities",#N/A,TRUE,"Model";"Tests",#N/A,TRUE,"Model";"Results",#N/A,TRUE,"Model"}</definedName>
    <definedName name="nnnnnnnnnnnnnnnnnnn_3_3" hidden="1">{"LIBOR",#N/A,TRUE,"Model";"Caps",#N/A,TRUE,"Model";"Assets",#N/A,TRUE,"Model";"Liabilities",#N/A,TRUE,"Model";"Tests",#N/A,TRUE,"Model";"Results",#N/A,TRUE,"Model"}</definedName>
    <definedName name="nnnnnnnnnnnnnnnnnnn_4" localSheetId="3" hidden="1">{"LIBOR",#N/A,TRUE,"Model";"Caps",#N/A,TRUE,"Model";"Assets",#N/A,TRUE,"Model";"Liabilities",#N/A,TRUE,"Model";"Tests",#N/A,TRUE,"Model";"Results",#N/A,TRUE,"Model"}</definedName>
    <definedName name="nnnnnnnnnnnnnnnnnnn_4" localSheetId="1" hidden="1">{"LIBOR",#N/A,TRUE,"Model";"Caps",#N/A,TRUE,"Model";"Assets",#N/A,TRUE,"Model";"Liabilities",#N/A,TRUE,"Model";"Tests",#N/A,TRUE,"Model";"Results",#N/A,TRUE,"Model"}</definedName>
    <definedName name="nnnnnnnnnnnnnnnnnnn_4" hidden="1">{"LIBOR",#N/A,TRUE,"Model";"Caps",#N/A,TRUE,"Model";"Assets",#N/A,TRUE,"Model";"Liabilities",#N/A,TRUE,"Model";"Tests",#N/A,TRUE,"Model";"Results",#N/A,TRUE,"Model"}</definedName>
    <definedName name="nnnnnnnnnnnnnnnnnnn_4_1" localSheetId="3" hidden="1">{"LIBOR",#N/A,TRUE,"Model";"Caps",#N/A,TRUE,"Model";"Assets",#N/A,TRUE,"Model";"Liabilities",#N/A,TRUE,"Model";"Tests",#N/A,TRUE,"Model";"Results",#N/A,TRUE,"Model"}</definedName>
    <definedName name="nnnnnnnnnnnnnnnnnnn_4_1" localSheetId="1" hidden="1">{"LIBOR",#N/A,TRUE,"Model";"Caps",#N/A,TRUE,"Model";"Assets",#N/A,TRUE,"Model";"Liabilities",#N/A,TRUE,"Model";"Tests",#N/A,TRUE,"Model";"Results",#N/A,TRUE,"Model"}</definedName>
    <definedName name="nnnnnnnnnnnnnnnnnnn_4_1" hidden="1">{"LIBOR",#N/A,TRUE,"Model";"Caps",#N/A,TRUE,"Model";"Assets",#N/A,TRUE,"Model";"Liabilities",#N/A,TRUE,"Model";"Tests",#N/A,TRUE,"Model";"Results",#N/A,TRUE,"Model"}</definedName>
    <definedName name="nnnnnnnnnnnnnnnnnnn_4_1_1" localSheetId="3" hidden="1">{"LIBOR",#N/A,TRUE,"Model";"Caps",#N/A,TRUE,"Model";"Assets",#N/A,TRUE,"Model";"Liabilities",#N/A,TRUE,"Model";"Tests",#N/A,TRUE,"Model";"Results",#N/A,TRUE,"Model"}</definedName>
    <definedName name="nnnnnnnnnnnnnnnnnnn_4_1_1" localSheetId="1" hidden="1">{"LIBOR",#N/A,TRUE,"Model";"Caps",#N/A,TRUE,"Model";"Assets",#N/A,TRUE,"Model";"Liabilities",#N/A,TRUE,"Model";"Tests",#N/A,TRUE,"Model";"Results",#N/A,TRUE,"Model"}</definedName>
    <definedName name="nnnnnnnnnnnnnnnnnnn_4_1_1" hidden="1">{"LIBOR",#N/A,TRUE,"Model";"Caps",#N/A,TRUE,"Model";"Assets",#N/A,TRUE,"Model";"Liabilities",#N/A,TRUE,"Model";"Tests",#N/A,TRUE,"Model";"Results",#N/A,TRUE,"Model"}</definedName>
    <definedName name="nnnnnnnnnnnnnnnnnnn_4_1_1_1" localSheetId="3" hidden="1">{"LIBOR",#N/A,TRUE,"Model";"Caps",#N/A,TRUE,"Model";"Assets",#N/A,TRUE,"Model";"Liabilities",#N/A,TRUE,"Model";"Tests",#N/A,TRUE,"Model";"Results",#N/A,TRUE,"Model"}</definedName>
    <definedName name="nnnnnnnnnnnnnnnnnnn_4_1_1_1" localSheetId="1" hidden="1">{"LIBOR",#N/A,TRUE,"Model";"Caps",#N/A,TRUE,"Model";"Assets",#N/A,TRUE,"Model";"Liabilities",#N/A,TRUE,"Model";"Tests",#N/A,TRUE,"Model";"Results",#N/A,TRUE,"Model"}</definedName>
    <definedName name="nnnnnnnnnnnnnnnnnnn_4_1_1_1" hidden="1">{"LIBOR",#N/A,TRUE,"Model";"Caps",#N/A,TRUE,"Model";"Assets",#N/A,TRUE,"Model";"Liabilities",#N/A,TRUE,"Model";"Tests",#N/A,TRUE,"Model";"Results",#N/A,TRUE,"Model"}</definedName>
    <definedName name="nnnnnnnnnnnnnnnnnnn_4_2" localSheetId="3" hidden="1">{"LIBOR",#N/A,TRUE,"Model";"Caps",#N/A,TRUE,"Model";"Assets",#N/A,TRUE,"Model";"Liabilities",#N/A,TRUE,"Model";"Tests",#N/A,TRUE,"Model";"Results",#N/A,TRUE,"Model"}</definedName>
    <definedName name="nnnnnnnnnnnnnnnnnnn_4_2" localSheetId="1" hidden="1">{"LIBOR",#N/A,TRUE,"Model";"Caps",#N/A,TRUE,"Model";"Assets",#N/A,TRUE,"Model";"Liabilities",#N/A,TRUE,"Model";"Tests",#N/A,TRUE,"Model";"Results",#N/A,TRUE,"Model"}</definedName>
    <definedName name="nnnnnnnnnnnnnnnnnnn_4_2" hidden="1">{"LIBOR",#N/A,TRUE,"Model";"Caps",#N/A,TRUE,"Model";"Assets",#N/A,TRUE,"Model";"Liabilities",#N/A,TRUE,"Model";"Tests",#N/A,TRUE,"Model";"Results",#N/A,TRUE,"Model"}</definedName>
    <definedName name="nnnnnnnnnnnnnnnnnnn_4_2_1" localSheetId="3" hidden="1">{"LIBOR",#N/A,TRUE,"Model";"Caps",#N/A,TRUE,"Model";"Assets",#N/A,TRUE,"Model";"Liabilities",#N/A,TRUE,"Model";"Tests",#N/A,TRUE,"Model";"Results",#N/A,TRUE,"Model"}</definedName>
    <definedName name="nnnnnnnnnnnnnnnnnnn_4_2_1" localSheetId="1" hidden="1">{"LIBOR",#N/A,TRUE,"Model";"Caps",#N/A,TRUE,"Model";"Assets",#N/A,TRUE,"Model";"Liabilities",#N/A,TRUE,"Model";"Tests",#N/A,TRUE,"Model";"Results",#N/A,TRUE,"Model"}</definedName>
    <definedName name="nnnnnnnnnnnnnnnnnnn_4_2_1" hidden="1">{"LIBOR",#N/A,TRUE,"Model";"Caps",#N/A,TRUE,"Model";"Assets",#N/A,TRUE,"Model";"Liabilities",#N/A,TRUE,"Model";"Tests",#N/A,TRUE,"Model";"Results",#N/A,TRUE,"Model"}</definedName>
    <definedName name="nnnnnnnnnnnnnnnnnnn_4_3" localSheetId="3" hidden="1">{"LIBOR",#N/A,TRUE,"Model";"Caps",#N/A,TRUE,"Model";"Assets",#N/A,TRUE,"Model";"Liabilities",#N/A,TRUE,"Model";"Tests",#N/A,TRUE,"Model";"Results",#N/A,TRUE,"Model"}</definedName>
    <definedName name="nnnnnnnnnnnnnnnnnnn_4_3" localSheetId="1" hidden="1">{"LIBOR",#N/A,TRUE,"Model";"Caps",#N/A,TRUE,"Model";"Assets",#N/A,TRUE,"Model";"Liabilities",#N/A,TRUE,"Model";"Tests",#N/A,TRUE,"Model";"Results",#N/A,TRUE,"Model"}</definedName>
    <definedName name="nnnnnnnnnnnnnnnnnnn_4_3" hidden="1">{"LIBOR",#N/A,TRUE,"Model";"Caps",#N/A,TRUE,"Model";"Assets",#N/A,TRUE,"Model";"Liabilities",#N/A,TRUE,"Model";"Tests",#N/A,TRUE,"Model";"Results",#N/A,TRUE,"Model"}</definedName>
    <definedName name="nnnnnnnnnnnnnnnnnnn_5" localSheetId="3" hidden="1">{"LIBOR",#N/A,TRUE,"Model";"Caps",#N/A,TRUE,"Model";"Assets",#N/A,TRUE,"Model";"Liabilities",#N/A,TRUE,"Model";"Tests",#N/A,TRUE,"Model";"Results",#N/A,TRUE,"Model"}</definedName>
    <definedName name="nnnnnnnnnnnnnnnnnnn_5" localSheetId="1" hidden="1">{"LIBOR",#N/A,TRUE,"Model";"Caps",#N/A,TRUE,"Model";"Assets",#N/A,TRUE,"Model";"Liabilities",#N/A,TRUE,"Model";"Tests",#N/A,TRUE,"Model";"Results",#N/A,TRUE,"Model"}</definedName>
    <definedName name="nnnnnnnnnnnnnnnnnnn_5" hidden="1">{"LIBOR",#N/A,TRUE,"Model";"Caps",#N/A,TRUE,"Model";"Assets",#N/A,TRUE,"Model";"Liabilities",#N/A,TRUE,"Model";"Tests",#N/A,TRUE,"Model";"Results",#N/A,TRUE,"Model"}</definedName>
    <definedName name="nnnnnnnnnnnnnnnnnnn_5_1" localSheetId="3" hidden="1">{"LIBOR",#N/A,TRUE,"Model";"Caps",#N/A,TRUE,"Model";"Assets",#N/A,TRUE,"Model";"Liabilities",#N/A,TRUE,"Model";"Tests",#N/A,TRUE,"Model";"Results",#N/A,TRUE,"Model"}</definedName>
    <definedName name="nnnnnnnnnnnnnnnnnnn_5_1" localSheetId="1" hidden="1">{"LIBOR",#N/A,TRUE,"Model";"Caps",#N/A,TRUE,"Model";"Assets",#N/A,TRUE,"Model";"Liabilities",#N/A,TRUE,"Model";"Tests",#N/A,TRUE,"Model";"Results",#N/A,TRUE,"Model"}</definedName>
    <definedName name="nnnnnnnnnnnnnnnnnnn_5_1" hidden="1">{"LIBOR",#N/A,TRUE,"Model";"Caps",#N/A,TRUE,"Model";"Assets",#N/A,TRUE,"Model";"Liabilities",#N/A,TRUE,"Model";"Tests",#N/A,TRUE,"Model";"Results",#N/A,TRUE,"Model"}</definedName>
    <definedName name="nnnnnnnnnnnnnnnnnnn_5_1_1" localSheetId="3" hidden="1">{"LIBOR",#N/A,TRUE,"Model";"Caps",#N/A,TRUE,"Model";"Assets",#N/A,TRUE,"Model";"Liabilities",#N/A,TRUE,"Model";"Tests",#N/A,TRUE,"Model";"Results",#N/A,TRUE,"Model"}</definedName>
    <definedName name="nnnnnnnnnnnnnnnnnnn_5_1_1" localSheetId="1" hidden="1">{"LIBOR",#N/A,TRUE,"Model";"Caps",#N/A,TRUE,"Model";"Assets",#N/A,TRUE,"Model";"Liabilities",#N/A,TRUE,"Model";"Tests",#N/A,TRUE,"Model";"Results",#N/A,TRUE,"Model"}</definedName>
    <definedName name="nnnnnnnnnnnnnnnnnnn_5_1_1" hidden="1">{"LIBOR",#N/A,TRUE,"Model";"Caps",#N/A,TRUE,"Model";"Assets",#N/A,TRUE,"Model";"Liabilities",#N/A,TRUE,"Model";"Tests",#N/A,TRUE,"Model";"Results",#N/A,TRUE,"Model"}</definedName>
    <definedName name="nnnnnnnnnnnnnnnnnnn_5_1_1_1" localSheetId="3" hidden="1">{"LIBOR",#N/A,TRUE,"Model";"Caps",#N/A,TRUE,"Model";"Assets",#N/A,TRUE,"Model";"Liabilities",#N/A,TRUE,"Model";"Tests",#N/A,TRUE,"Model";"Results",#N/A,TRUE,"Model"}</definedName>
    <definedName name="nnnnnnnnnnnnnnnnnnn_5_1_1_1" localSheetId="1" hidden="1">{"LIBOR",#N/A,TRUE,"Model";"Caps",#N/A,TRUE,"Model";"Assets",#N/A,TRUE,"Model";"Liabilities",#N/A,TRUE,"Model";"Tests",#N/A,TRUE,"Model";"Results",#N/A,TRUE,"Model"}</definedName>
    <definedName name="nnnnnnnnnnnnnnnnnnn_5_1_1_1" hidden="1">{"LIBOR",#N/A,TRUE,"Model";"Caps",#N/A,TRUE,"Model";"Assets",#N/A,TRUE,"Model";"Liabilities",#N/A,TRUE,"Model";"Tests",#N/A,TRUE,"Model";"Results",#N/A,TRUE,"Model"}</definedName>
    <definedName name="nnnnnnnnnnnnnnnnnnn_5_2" localSheetId="3" hidden="1">{"LIBOR",#N/A,TRUE,"Model";"Caps",#N/A,TRUE,"Model";"Assets",#N/A,TRUE,"Model";"Liabilities",#N/A,TRUE,"Model";"Tests",#N/A,TRUE,"Model";"Results",#N/A,TRUE,"Model"}</definedName>
    <definedName name="nnnnnnnnnnnnnnnnnnn_5_2" localSheetId="1" hidden="1">{"LIBOR",#N/A,TRUE,"Model";"Caps",#N/A,TRUE,"Model";"Assets",#N/A,TRUE,"Model";"Liabilities",#N/A,TRUE,"Model";"Tests",#N/A,TRUE,"Model";"Results",#N/A,TRUE,"Model"}</definedName>
    <definedName name="nnnnnnnnnnnnnnnnnnn_5_2" hidden="1">{"LIBOR",#N/A,TRUE,"Model";"Caps",#N/A,TRUE,"Model";"Assets",#N/A,TRUE,"Model";"Liabilities",#N/A,TRUE,"Model";"Tests",#N/A,TRUE,"Model";"Results",#N/A,TRUE,"Model"}</definedName>
    <definedName name="nnnnnnnnnnnnnnnnnnn_5_2_1" localSheetId="3" hidden="1">{"LIBOR",#N/A,TRUE,"Model";"Caps",#N/A,TRUE,"Model";"Assets",#N/A,TRUE,"Model";"Liabilities",#N/A,TRUE,"Model";"Tests",#N/A,TRUE,"Model";"Results",#N/A,TRUE,"Model"}</definedName>
    <definedName name="nnnnnnnnnnnnnnnnnnn_5_2_1" localSheetId="1" hidden="1">{"LIBOR",#N/A,TRUE,"Model";"Caps",#N/A,TRUE,"Model";"Assets",#N/A,TRUE,"Model";"Liabilities",#N/A,TRUE,"Model";"Tests",#N/A,TRUE,"Model";"Results",#N/A,TRUE,"Model"}</definedName>
    <definedName name="nnnnnnnnnnnnnnnnnnn_5_2_1" hidden="1">{"LIBOR",#N/A,TRUE,"Model";"Caps",#N/A,TRUE,"Model";"Assets",#N/A,TRUE,"Model";"Liabilities",#N/A,TRUE,"Model";"Tests",#N/A,TRUE,"Model";"Results",#N/A,TRUE,"Model"}</definedName>
    <definedName name="nnnnnnnnnnnnnnnnnnn_5_3" localSheetId="3" hidden="1">{"LIBOR",#N/A,TRUE,"Model";"Caps",#N/A,TRUE,"Model";"Assets",#N/A,TRUE,"Model";"Liabilities",#N/A,TRUE,"Model";"Tests",#N/A,TRUE,"Model";"Results",#N/A,TRUE,"Model"}</definedName>
    <definedName name="nnnnnnnnnnnnnnnnnnn_5_3" localSheetId="1" hidden="1">{"LIBOR",#N/A,TRUE,"Model";"Caps",#N/A,TRUE,"Model";"Assets",#N/A,TRUE,"Model";"Liabilities",#N/A,TRUE,"Model";"Tests",#N/A,TRUE,"Model";"Results",#N/A,TRUE,"Model"}</definedName>
    <definedName name="nnnnnnnnnnnnnnnnnnn_5_3" hidden="1">{"LIBOR",#N/A,TRUE,"Model";"Caps",#N/A,TRUE,"Model";"Assets",#N/A,TRUE,"Model";"Liabilities",#N/A,TRUE,"Model";"Tests",#N/A,TRUE,"Model";"Results",#N/A,TRUE,"Model"}</definedName>
    <definedName name="no" hidden="1">#REF!</definedName>
    <definedName name="NOSABEMOSNADADEESTO" hidden="1">#REF!</definedName>
    <definedName name="o" localSheetId="3" hidden="1">{#N/A,#N/A,FALSE,"New Depr Sch-150% DB";#N/A,#N/A,FALSE,"Cash Flows RLP";#N/A,#N/A,FALSE,"IRR";#N/A,#N/A,FALSE,"Proforma IS";#N/A,#N/A,FALSE,"Assumptions"}</definedName>
    <definedName name="o" localSheetId="1" hidden="1">{#N/A,#N/A,FALSE,"New Depr Sch-150% DB";#N/A,#N/A,FALSE,"Cash Flows RLP";#N/A,#N/A,FALSE,"IRR";#N/A,#N/A,FALSE,"Proforma IS";#N/A,#N/A,FALSE,"Assumptions"}</definedName>
    <definedName name="o" hidden="1">{#N/A,#N/A,FALSE,"New Depr Sch-150% DB";#N/A,#N/A,FALSE,"Cash Flows RLP";#N/A,#N/A,FALSE,"IRR";#N/A,#N/A,FALSE,"Proforma IS";#N/A,#N/A,FALSE,"Assumptions"}</definedName>
    <definedName name="Obligor_Excess" localSheetId="1">#REF!</definedName>
    <definedName name="Obligor_Excess">#REF!</definedName>
    <definedName name="Obligor_Excess_Facility_Level" localSheetId="1">#REF!</definedName>
    <definedName name="Obligor_Excess_Facility_Level">#REF!</definedName>
    <definedName name="op_label" localSheetId="1">#REF!</definedName>
    <definedName name="op_label">#REF!</definedName>
    <definedName name="op_toggle" localSheetId="1">#REF!</definedName>
    <definedName name="op_toggle">#REF!</definedName>
    <definedName name="Org_Cost" localSheetId="1">#REF!</definedName>
    <definedName name="Org_Cost">#REF!</definedName>
    <definedName name="Org_Cost_Amort" localSheetId="1">#REF!</definedName>
    <definedName name="Org_Cost_Amort">#REF!</definedName>
    <definedName name="OutputChoose" localSheetId="1">#REF!</definedName>
    <definedName name="OutputChoose">#REF!</definedName>
    <definedName name="OUTRO" localSheetId="3" hidden="1">{"'PXR_6500'!$A$1:$I$124"}</definedName>
    <definedName name="OUTRO" localSheetId="1" hidden="1">{"'PXR_6500'!$A$1:$I$124"}</definedName>
    <definedName name="OUTRO" hidden="1">{"'PXR_6500'!$A$1:$I$124"}</definedName>
    <definedName name="Override" localSheetId="1">#REF!</definedName>
    <definedName name="Override">#REF!</definedName>
    <definedName name="OwnershipPercentage" localSheetId="1">#REF!</definedName>
    <definedName name="OwnershipPercentage">#REF!</definedName>
    <definedName name="PMRNotes" localSheetId="1">#REF!</definedName>
    <definedName name="PMRNotes">#REF!</definedName>
    <definedName name="PopCache_GL_INTERFACE_REFERENCE7" localSheetId="1" hidden="1">#REF!</definedName>
    <definedName name="PopCache_GL_INTERFACE_REFERENCE7" hidden="1">#REF!</definedName>
    <definedName name="POTMO" localSheetId="1">#REF!</definedName>
    <definedName name="POTMO">#REF!</definedName>
    <definedName name="POTMOEXT" localSheetId="1">#REF!</definedName>
    <definedName name="POTMOEXT">#REF!</definedName>
    <definedName name="PPOtherRange" localSheetId="1">#REF!</definedName>
    <definedName name="PPOtherRange">#REF!</definedName>
    <definedName name="pppp" localSheetId="3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pppp" localSheetId="1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pppp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PPPPP" localSheetId="3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PPPPP" localSheetId="1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PPPPP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PPRICE" localSheetId="1">#REF!</definedName>
    <definedName name="PPRICE">#REF!</definedName>
    <definedName name="prefyes" hidden="1">#REF!</definedName>
    <definedName name="Premissas" localSheetId="3" hidden="1">{"summary1",#N/A,TRUE,"Comps";"summary2",#N/A,TRUE,"Comps";"summary3",#N/A,TRUE,"Comps"}</definedName>
    <definedName name="Premissas" localSheetId="1" hidden="1">{"summary1",#N/A,TRUE,"Comps";"summary2",#N/A,TRUE,"Comps";"summary3",#N/A,TRUE,"Comps"}</definedName>
    <definedName name="Premissas" hidden="1">{"summary1",#N/A,TRUE,"Comps";"summary2",#N/A,TRUE,"Comps";"summary3",#N/A,TRUE,"Comps"}</definedName>
    <definedName name="prepaymentPattern" localSheetId="1">#REF!</definedName>
    <definedName name="prepaymentPattern">#REF!</definedName>
    <definedName name="prev_unpaid_yield_USD" localSheetId="1">#REF!</definedName>
    <definedName name="prev_unpaid_yield_USD">#REF!</definedName>
    <definedName name="prev_unpaid_yld_CAD" localSheetId="1">#REF!</definedName>
    <definedName name="prev_unpaid_yld_CAD">#REF!</definedName>
    <definedName name="Price" localSheetId="3" hidden="1">{"a_Acquiror Assumptions",#N/A,FALSE,"Financials";"b_Acquiror Income Statement",#N/A,FALSE,"Financials";"c_Acquiror Balance Sheet",#N/A,FALSE,"Financials";"d_Acquiror Cashflow Statement",#N/A,FALSE,"Financials"}</definedName>
    <definedName name="Price" localSheetId="1" hidden="1">{"a_Acquiror Assumptions",#N/A,FALSE,"Financials";"b_Acquiror Income Statement",#N/A,FALSE,"Financials";"c_Acquiror Balance Sheet",#N/A,FALSE,"Financials";"d_Acquiror Cashflow Statement",#N/A,FALSE,"Financials"}</definedName>
    <definedName name="Price" hidden="1">{"a_Acquiror Assumptions",#N/A,FALSE,"Financials";"b_Acquiror Income Statement",#N/A,FALSE,"Financials";"c_Acquiror Balance Sheet",#N/A,FALSE,"Financials";"d_Acquiror Cashflow Statement",#N/A,FALSE,"Financials"}</definedName>
    <definedName name="pricebook_col" localSheetId="1" hidden="1">#REF!</definedName>
    <definedName name="pricebook_col" hidden="1">#REF!</definedName>
    <definedName name="priceearnings_col" localSheetId="1" hidden="1">#REF!</definedName>
    <definedName name="priceearnings_col" hidden="1">#REF!</definedName>
    <definedName name="PriorBP4" localSheetId="1">#REF!</definedName>
    <definedName name="PriorBP4">#REF!</definedName>
    <definedName name="PriorScenario" localSheetId="1">#REF!</definedName>
    <definedName name="PriorScenario">#REF!</definedName>
    <definedName name="PriorYear" localSheetId="1">#REF!</definedName>
    <definedName name="PriorYear">#REF!</definedName>
    <definedName name="Proforma_Purchase_Px" localSheetId="1">#REF!</definedName>
    <definedName name="Proforma_Purchase_Px">#REF!</definedName>
    <definedName name="ProjectName" localSheetId="3">{"Client Name or Project Name"}</definedName>
    <definedName name="ProjectName" localSheetId="1">{"Client Name or Project Name"}</definedName>
    <definedName name="ProjectName">{"Client Name or Project Name"}</definedName>
    <definedName name="PS" localSheetId="1" hidden="1">#REF!</definedName>
    <definedName name="PS" hidden="1">#REF!</definedName>
    <definedName name="Purchase_Price_Detail_TBL" localSheetId="1">#REF!</definedName>
    <definedName name="Purchase_Price_Detail_TBL">#REF!</definedName>
    <definedName name="PYOtherRange" localSheetId="1">#REF!</definedName>
    <definedName name="PYOtherRange">#REF!</definedName>
    <definedName name="q" localSheetId="3" hidden="1">{#N/A,#N/A,FALSE,"Balance Sheet";#N/A,#N/A,FALSE,"Income Statement";#N/A,#N/A,FALSE,"Partners Capital";#N/A,#N/A,FALSE,"Cash Flows";#N/A,#N/A,FALSE,"Support"}</definedName>
    <definedName name="q" localSheetId="1" hidden="1">{#N/A,#N/A,FALSE,"Balance Sheet";#N/A,#N/A,FALSE,"Income Statement";#N/A,#N/A,FALSE,"Partners Capital";#N/A,#N/A,FALSE,"Cash Flows";#N/A,#N/A,FALSE,"Support"}</definedName>
    <definedName name="q" hidden="1">{#N/A,#N/A,FALSE,"Balance Sheet";#N/A,#N/A,FALSE,"Income Statement";#N/A,#N/A,FALSE,"Partners Capital";#N/A,#N/A,FALSE,"Cash Flows";#N/A,#N/A,FALSE,"Support"}</definedName>
    <definedName name="qqq" localSheetId="3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qqq" localSheetId="1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qqq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QQQQ" localSheetId="3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QQQQ" localSheetId="1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QQQQ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QUE" hidden="1">#REF!</definedName>
    <definedName name="QUESEYO" hidden="1">#REF!</definedName>
    <definedName name="Ratios_2" localSheetId="3" hidden="1">{"'TG'!$A$1:$L$37"}</definedName>
    <definedName name="Ratios_2" localSheetId="1" hidden="1">{"'TG'!$A$1:$L$37"}</definedName>
    <definedName name="Ratios_2" hidden="1">{"'TG'!$A$1:$L$37"}</definedName>
    <definedName name="recov_swap_cost" localSheetId="1">#REF!</definedName>
    <definedName name="recov_swap_cost">#REF!</definedName>
    <definedName name="Recover" localSheetId="1">#REF!</definedName>
    <definedName name="Recover">#REF!</definedName>
    <definedName name="RecoveryProfileHorizVec" localSheetId="1">#REF!</definedName>
    <definedName name="RecoveryProfileHorizVec">#REF!</definedName>
    <definedName name="Redemption" localSheetId="1">#REF!</definedName>
    <definedName name="Redemption">#REF!</definedName>
    <definedName name="Refi" hidden="1">#REF!</definedName>
    <definedName name="regmult" hidden="1">#REF!</definedName>
    <definedName name="reinvest_end" localSheetId="1">#REF!</definedName>
    <definedName name="reinvest_end">#REF!</definedName>
    <definedName name="reinvest_end_date" localSheetId="1">#REF!</definedName>
    <definedName name="reinvest_end_date">#REF!</definedName>
    <definedName name="RemainingMonths" localSheetId="1">#REF!</definedName>
    <definedName name="RemainingMonths">#REF!</definedName>
    <definedName name="ReportGroup" hidden="1">0</definedName>
    <definedName name="ReserveAmount" localSheetId="1">#REF!</definedName>
    <definedName name="ReserveAmount">#REF!</definedName>
    <definedName name="resetdatnotic" localSheetId="3" hidden="1">{"Reset Data",#N/A,FALSE,"Reset Notice";"Reset Notice",#N/A,FALSE,"Reset Notice"}</definedName>
    <definedName name="resetdatnotic" localSheetId="1" hidden="1">{"Reset Data",#N/A,FALSE,"Reset Notice";"Reset Notice",#N/A,FALSE,"Reset Notice"}</definedName>
    <definedName name="resetdatnotic" hidden="1">{"Reset Data",#N/A,FALSE,"Reset Notice";"Reset Notice",#N/A,FALSE,"Reset Notice"}</definedName>
    <definedName name="resetdatnotic_1" localSheetId="3" hidden="1">{"Reset Data",#N/A,FALSE,"Reset Notice";"Reset Notice",#N/A,FALSE,"Reset Notice"}</definedName>
    <definedName name="resetdatnotic_1" localSheetId="1" hidden="1">{"Reset Data",#N/A,FALSE,"Reset Notice";"Reset Notice",#N/A,FALSE,"Reset Notice"}</definedName>
    <definedName name="resetdatnotic_1" hidden="1">{"Reset Data",#N/A,FALSE,"Reset Notice";"Reset Notice",#N/A,FALSE,"Reset Notice"}</definedName>
    <definedName name="resetdatnotic_1_1" localSheetId="3" hidden="1">{"Reset Data",#N/A,FALSE,"Reset Notice";"Reset Notice",#N/A,FALSE,"Reset Notice"}</definedName>
    <definedName name="resetdatnotic_1_1" localSheetId="1" hidden="1">{"Reset Data",#N/A,FALSE,"Reset Notice";"Reset Notice",#N/A,FALSE,"Reset Notice"}</definedName>
    <definedName name="resetdatnotic_1_1" hidden="1">{"Reset Data",#N/A,FALSE,"Reset Notice";"Reset Notice",#N/A,FALSE,"Reset Notice"}</definedName>
    <definedName name="resetdatnotic_1_1_1" localSheetId="3" hidden="1">{"Reset Data",#N/A,FALSE,"Reset Notice";"Reset Notice",#N/A,FALSE,"Reset Notice"}</definedName>
    <definedName name="resetdatnotic_1_1_1" localSheetId="1" hidden="1">{"Reset Data",#N/A,FALSE,"Reset Notice";"Reset Notice",#N/A,FALSE,"Reset Notice"}</definedName>
    <definedName name="resetdatnotic_1_1_1" hidden="1">{"Reset Data",#N/A,FALSE,"Reset Notice";"Reset Notice",#N/A,FALSE,"Reset Notice"}</definedName>
    <definedName name="resetdatnotic_1_1_1_1" localSheetId="3" hidden="1">{"Reset Data",#N/A,FALSE,"Reset Notice";"Reset Notice",#N/A,FALSE,"Reset Notice"}</definedName>
    <definedName name="resetdatnotic_1_1_1_1" localSheetId="1" hidden="1">{"Reset Data",#N/A,FALSE,"Reset Notice";"Reset Notice",#N/A,FALSE,"Reset Notice"}</definedName>
    <definedName name="resetdatnotic_1_1_1_1" hidden="1">{"Reset Data",#N/A,FALSE,"Reset Notice";"Reset Notice",#N/A,FALSE,"Reset Notice"}</definedName>
    <definedName name="resetdatnotic_1_2" localSheetId="3" hidden="1">{"Reset Data",#N/A,FALSE,"Reset Notice";"Reset Notice",#N/A,FALSE,"Reset Notice"}</definedName>
    <definedName name="resetdatnotic_1_2" localSheetId="1" hidden="1">{"Reset Data",#N/A,FALSE,"Reset Notice";"Reset Notice",#N/A,FALSE,"Reset Notice"}</definedName>
    <definedName name="resetdatnotic_1_2" hidden="1">{"Reset Data",#N/A,FALSE,"Reset Notice";"Reset Notice",#N/A,FALSE,"Reset Notice"}</definedName>
    <definedName name="resetdatnotic_1_2_1" localSheetId="3" hidden="1">{"Reset Data",#N/A,FALSE,"Reset Notice";"Reset Notice",#N/A,FALSE,"Reset Notice"}</definedName>
    <definedName name="resetdatnotic_1_2_1" localSheetId="1" hidden="1">{"Reset Data",#N/A,FALSE,"Reset Notice";"Reset Notice",#N/A,FALSE,"Reset Notice"}</definedName>
    <definedName name="resetdatnotic_1_2_1" hidden="1">{"Reset Data",#N/A,FALSE,"Reset Notice";"Reset Notice",#N/A,FALSE,"Reset Notice"}</definedName>
    <definedName name="resetdatnotic_1_3" localSheetId="3" hidden="1">{"Reset Data",#N/A,FALSE,"Reset Notice";"Reset Notice",#N/A,FALSE,"Reset Notice"}</definedName>
    <definedName name="resetdatnotic_1_3" localSheetId="1" hidden="1">{"Reset Data",#N/A,FALSE,"Reset Notice";"Reset Notice",#N/A,FALSE,"Reset Notice"}</definedName>
    <definedName name="resetdatnotic_1_3" hidden="1">{"Reset Data",#N/A,FALSE,"Reset Notice";"Reset Notice",#N/A,FALSE,"Reset Notice"}</definedName>
    <definedName name="resetdatnotic_1_3_1" localSheetId="3" hidden="1">{"Reset Data",#N/A,FALSE,"Reset Notice";"Reset Notice",#N/A,FALSE,"Reset Notice"}</definedName>
    <definedName name="resetdatnotic_1_3_1" localSheetId="1" hidden="1">{"Reset Data",#N/A,FALSE,"Reset Notice";"Reset Notice",#N/A,FALSE,"Reset Notice"}</definedName>
    <definedName name="resetdatnotic_1_3_1" hidden="1">{"Reset Data",#N/A,FALSE,"Reset Notice";"Reset Notice",#N/A,FALSE,"Reset Notice"}</definedName>
    <definedName name="resetdatnotic_1_4" localSheetId="3" hidden="1">{"Reset Data",#N/A,FALSE,"Reset Notice";"Reset Notice",#N/A,FALSE,"Reset Notice"}</definedName>
    <definedName name="resetdatnotic_1_4" localSheetId="1" hidden="1">{"Reset Data",#N/A,FALSE,"Reset Notice";"Reset Notice",#N/A,FALSE,"Reset Notice"}</definedName>
    <definedName name="resetdatnotic_1_4" hidden="1">{"Reset Data",#N/A,FALSE,"Reset Notice";"Reset Notice",#N/A,FALSE,"Reset Notice"}</definedName>
    <definedName name="resetdatnotic_2" localSheetId="3" hidden="1">{"Reset Data",#N/A,FALSE,"Reset Notice";"Reset Notice",#N/A,FALSE,"Reset Notice"}</definedName>
    <definedName name="resetdatnotic_2" localSheetId="1" hidden="1">{"Reset Data",#N/A,FALSE,"Reset Notice";"Reset Notice",#N/A,FALSE,"Reset Notice"}</definedName>
    <definedName name="resetdatnotic_2" hidden="1">{"Reset Data",#N/A,FALSE,"Reset Notice";"Reset Notice",#N/A,FALSE,"Reset Notice"}</definedName>
    <definedName name="resetdatnotic_2_1" localSheetId="3" hidden="1">{"Reset Data",#N/A,FALSE,"Reset Notice";"Reset Notice",#N/A,FALSE,"Reset Notice"}</definedName>
    <definedName name="resetdatnotic_2_1" localSheetId="1" hidden="1">{"Reset Data",#N/A,FALSE,"Reset Notice";"Reset Notice",#N/A,FALSE,"Reset Notice"}</definedName>
    <definedName name="resetdatnotic_2_1" hidden="1">{"Reset Data",#N/A,FALSE,"Reset Notice";"Reset Notice",#N/A,FALSE,"Reset Notice"}</definedName>
    <definedName name="resetdatnotic_2_1_1" localSheetId="3" hidden="1">{"Reset Data",#N/A,FALSE,"Reset Notice";"Reset Notice",#N/A,FALSE,"Reset Notice"}</definedName>
    <definedName name="resetdatnotic_2_1_1" localSheetId="1" hidden="1">{"Reset Data",#N/A,FALSE,"Reset Notice";"Reset Notice",#N/A,FALSE,"Reset Notice"}</definedName>
    <definedName name="resetdatnotic_2_1_1" hidden="1">{"Reset Data",#N/A,FALSE,"Reset Notice";"Reset Notice",#N/A,FALSE,"Reset Notice"}</definedName>
    <definedName name="resetdatnotic_2_1_1_1" localSheetId="3" hidden="1">{"Reset Data",#N/A,FALSE,"Reset Notice";"Reset Notice",#N/A,FALSE,"Reset Notice"}</definedName>
    <definedName name="resetdatnotic_2_1_1_1" localSheetId="1" hidden="1">{"Reset Data",#N/A,FALSE,"Reset Notice";"Reset Notice",#N/A,FALSE,"Reset Notice"}</definedName>
    <definedName name="resetdatnotic_2_1_1_1" hidden="1">{"Reset Data",#N/A,FALSE,"Reset Notice";"Reset Notice",#N/A,FALSE,"Reset Notice"}</definedName>
    <definedName name="resetdatnotic_2_2" localSheetId="3" hidden="1">{"Reset Data",#N/A,FALSE,"Reset Notice";"Reset Notice",#N/A,FALSE,"Reset Notice"}</definedName>
    <definedName name="resetdatnotic_2_2" localSheetId="1" hidden="1">{"Reset Data",#N/A,FALSE,"Reset Notice";"Reset Notice",#N/A,FALSE,"Reset Notice"}</definedName>
    <definedName name="resetdatnotic_2_2" hidden="1">{"Reset Data",#N/A,FALSE,"Reset Notice";"Reset Notice",#N/A,FALSE,"Reset Notice"}</definedName>
    <definedName name="resetdatnotic_2_2_1" localSheetId="3" hidden="1">{"Reset Data",#N/A,FALSE,"Reset Notice";"Reset Notice",#N/A,FALSE,"Reset Notice"}</definedName>
    <definedName name="resetdatnotic_2_2_1" localSheetId="1" hidden="1">{"Reset Data",#N/A,FALSE,"Reset Notice";"Reset Notice",#N/A,FALSE,"Reset Notice"}</definedName>
    <definedName name="resetdatnotic_2_2_1" hidden="1">{"Reset Data",#N/A,FALSE,"Reset Notice";"Reset Notice",#N/A,FALSE,"Reset Notice"}</definedName>
    <definedName name="resetdatnotic_2_3" localSheetId="3" hidden="1">{"Reset Data",#N/A,FALSE,"Reset Notice";"Reset Notice",#N/A,FALSE,"Reset Notice"}</definedName>
    <definedName name="resetdatnotic_2_3" localSheetId="1" hidden="1">{"Reset Data",#N/A,FALSE,"Reset Notice";"Reset Notice",#N/A,FALSE,"Reset Notice"}</definedName>
    <definedName name="resetdatnotic_2_3" hidden="1">{"Reset Data",#N/A,FALSE,"Reset Notice";"Reset Notice",#N/A,FALSE,"Reset Notice"}</definedName>
    <definedName name="resetdatnotic_3" localSheetId="3" hidden="1">{"Reset Data",#N/A,FALSE,"Reset Notice";"Reset Notice",#N/A,FALSE,"Reset Notice"}</definedName>
    <definedName name="resetdatnotic_3" localSheetId="1" hidden="1">{"Reset Data",#N/A,FALSE,"Reset Notice";"Reset Notice",#N/A,FALSE,"Reset Notice"}</definedName>
    <definedName name="resetdatnotic_3" hidden="1">{"Reset Data",#N/A,FALSE,"Reset Notice";"Reset Notice",#N/A,FALSE,"Reset Notice"}</definedName>
    <definedName name="resetdatnotic_3_1" localSheetId="3" hidden="1">{"Reset Data",#N/A,FALSE,"Reset Notice";"Reset Notice",#N/A,FALSE,"Reset Notice"}</definedName>
    <definedName name="resetdatnotic_3_1" localSheetId="1" hidden="1">{"Reset Data",#N/A,FALSE,"Reset Notice";"Reset Notice",#N/A,FALSE,"Reset Notice"}</definedName>
    <definedName name="resetdatnotic_3_1" hidden="1">{"Reset Data",#N/A,FALSE,"Reset Notice";"Reset Notice",#N/A,FALSE,"Reset Notice"}</definedName>
    <definedName name="resetdatnotic_3_1_1" localSheetId="3" hidden="1">{"Reset Data",#N/A,FALSE,"Reset Notice";"Reset Notice",#N/A,FALSE,"Reset Notice"}</definedName>
    <definedName name="resetdatnotic_3_1_1" localSheetId="1" hidden="1">{"Reset Data",#N/A,FALSE,"Reset Notice";"Reset Notice",#N/A,FALSE,"Reset Notice"}</definedName>
    <definedName name="resetdatnotic_3_1_1" hidden="1">{"Reset Data",#N/A,FALSE,"Reset Notice";"Reset Notice",#N/A,FALSE,"Reset Notice"}</definedName>
    <definedName name="resetdatnotic_3_1_1_1" localSheetId="3" hidden="1">{"Reset Data",#N/A,FALSE,"Reset Notice";"Reset Notice",#N/A,FALSE,"Reset Notice"}</definedName>
    <definedName name="resetdatnotic_3_1_1_1" localSheetId="1" hidden="1">{"Reset Data",#N/A,FALSE,"Reset Notice";"Reset Notice",#N/A,FALSE,"Reset Notice"}</definedName>
    <definedName name="resetdatnotic_3_1_1_1" hidden="1">{"Reset Data",#N/A,FALSE,"Reset Notice";"Reset Notice",#N/A,FALSE,"Reset Notice"}</definedName>
    <definedName name="resetdatnotic_3_2" localSheetId="3" hidden="1">{"Reset Data",#N/A,FALSE,"Reset Notice";"Reset Notice",#N/A,FALSE,"Reset Notice"}</definedName>
    <definedName name="resetdatnotic_3_2" localSheetId="1" hidden="1">{"Reset Data",#N/A,FALSE,"Reset Notice";"Reset Notice",#N/A,FALSE,"Reset Notice"}</definedName>
    <definedName name="resetdatnotic_3_2" hidden="1">{"Reset Data",#N/A,FALSE,"Reset Notice";"Reset Notice",#N/A,FALSE,"Reset Notice"}</definedName>
    <definedName name="resetdatnotic_3_2_1" localSheetId="3" hidden="1">{"Reset Data",#N/A,FALSE,"Reset Notice";"Reset Notice",#N/A,FALSE,"Reset Notice"}</definedName>
    <definedName name="resetdatnotic_3_2_1" localSheetId="1" hidden="1">{"Reset Data",#N/A,FALSE,"Reset Notice";"Reset Notice",#N/A,FALSE,"Reset Notice"}</definedName>
    <definedName name="resetdatnotic_3_2_1" hidden="1">{"Reset Data",#N/A,FALSE,"Reset Notice";"Reset Notice",#N/A,FALSE,"Reset Notice"}</definedName>
    <definedName name="resetdatnotic_3_3" localSheetId="3" hidden="1">{"Reset Data",#N/A,FALSE,"Reset Notice";"Reset Notice",#N/A,FALSE,"Reset Notice"}</definedName>
    <definedName name="resetdatnotic_3_3" localSheetId="1" hidden="1">{"Reset Data",#N/A,FALSE,"Reset Notice";"Reset Notice",#N/A,FALSE,"Reset Notice"}</definedName>
    <definedName name="resetdatnotic_3_3" hidden="1">{"Reset Data",#N/A,FALSE,"Reset Notice";"Reset Notice",#N/A,FALSE,"Reset Notice"}</definedName>
    <definedName name="resetdatnotic_4" localSheetId="3" hidden="1">{"Reset Data",#N/A,FALSE,"Reset Notice";"Reset Notice",#N/A,FALSE,"Reset Notice"}</definedName>
    <definedName name="resetdatnotic_4" localSheetId="1" hidden="1">{"Reset Data",#N/A,FALSE,"Reset Notice";"Reset Notice",#N/A,FALSE,"Reset Notice"}</definedName>
    <definedName name="resetdatnotic_4" hidden="1">{"Reset Data",#N/A,FALSE,"Reset Notice";"Reset Notice",#N/A,FALSE,"Reset Notice"}</definedName>
    <definedName name="resetdatnotic_4_1" localSheetId="3" hidden="1">{"Reset Data",#N/A,FALSE,"Reset Notice";"Reset Notice",#N/A,FALSE,"Reset Notice"}</definedName>
    <definedName name="resetdatnotic_4_1" localSheetId="1" hidden="1">{"Reset Data",#N/A,FALSE,"Reset Notice";"Reset Notice",#N/A,FALSE,"Reset Notice"}</definedName>
    <definedName name="resetdatnotic_4_1" hidden="1">{"Reset Data",#N/A,FALSE,"Reset Notice";"Reset Notice",#N/A,FALSE,"Reset Notice"}</definedName>
    <definedName name="resetdatnotic_4_1_1" localSheetId="3" hidden="1">{"Reset Data",#N/A,FALSE,"Reset Notice";"Reset Notice",#N/A,FALSE,"Reset Notice"}</definedName>
    <definedName name="resetdatnotic_4_1_1" localSheetId="1" hidden="1">{"Reset Data",#N/A,FALSE,"Reset Notice";"Reset Notice",#N/A,FALSE,"Reset Notice"}</definedName>
    <definedName name="resetdatnotic_4_1_1" hidden="1">{"Reset Data",#N/A,FALSE,"Reset Notice";"Reset Notice",#N/A,FALSE,"Reset Notice"}</definedName>
    <definedName name="resetdatnotic_4_1_1_1" localSheetId="3" hidden="1">{"Reset Data",#N/A,FALSE,"Reset Notice";"Reset Notice",#N/A,FALSE,"Reset Notice"}</definedName>
    <definedName name="resetdatnotic_4_1_1_1" localSheetId="1" hidden="1">{"Reset Data",#N/A,FALSE,"Reset Notice";"Reset Notice",#N/A,FALSE,"Reset Notice"}</definedName>
    <definedName name="resetdatnotic_4_1_1_1" hidden="1">{"Reset Data",#N/A,FALSE,"Reset Notice";"Reset Notice",#N/A,FALSE,"Reset Notice"}</definedName>
    <definedName name="resetdatnotic_4_2" localSheetId="3" hidden="1">{"Reset Data",#N/A,FALSE,"Reset Notice";"Reset Notice",#N/A,FALSE,"Reset Notice"}</definedName>
    <definedName name="resetdatnotic_4_2" localSheetId="1" hidden="1">{"Reset Data",#N/A,FALSE,"Reset Notice";"Reset Notice",#N/A,FALSE,"Reset Notice"}</definedName>
    <definedName name="resetdatnotic_4_2" hidden="1">{"Reset Data",#N/A,FALSE,"Reset Notice";"Reset Notice",#N/A,FALSE,"Reset Notice"}</definedName>
    <definedName name="resetdatnotic_4_2_1" localSheetId="3" hidden="1">{"Reset Data",#N/A,FALSE,"Reset Notice";"Reset Notice",#N/A,FALSE,"Reset Notice"}</definedName>
    <definedName name="resetdatnotic_4_2_1" localSheetId="1" hidden="1">{"Reset Data",#N/A,FALSE,"Reset Notice";"Reset Notice",#N/A,FALSE,"Reset Notice"}</definedName>
    <definedName name="resetdatnotic_4_2_1" hidden="1">{"Reset Data",#N/A,FALSE,"Reset Notice";"Reset Notice",#N/A,FALSE,"Reset Notice"}</definedName>
    <definedName name="resetdatnotic_4_3" localSheetId="3" hidden="1">{"Reset Data",#N/A,FALSE,"Reset Notice";"Reset Notice",#N/A,FALSE,"Reset Notice"}</definedName>
    <definedName name="resetdatnotic_4_3" localSheetId="1" hidden="1">{"Reset Data",#N/A,FALSE,"Reset Notice";"Reset Notice",#N/A,FALSE,"Reset Notice"}</definedName>
    <definedName name="resetdatnotic_4_3" hidden="1">{"Reset Data",#N/A,FALSE,"Reset Notice";"Reset Notice",#N/A,FALSE,"Reset Notice"}</definedName>
    <definedName name="resetdatnotic_5" localSheetId="3" hidden="1">{"Reset Data",#N/A,FALSE,"Reset Notice";"Reset Notice",#N/A,FALSE,"Reset Notice"}</definedName>
    <definedName name="resetdatnotic_5" localSheetId="1" hidden="1">{"Reset Data",#N/A,FALSE,"Reset Notice";"Reset Notice",#N/A,FALSE,"Reset Notice"}</definedName>
    <definedName name="resetdatnotic_5" hidden="1">{"Reset Data",#N/A,FALSE,"Reset Notice";"Reset Notice",#N/A,FALSE,"Reset Notice"}</definedName>
    <definedName name="resetdatnotic_5_1" localSheetId="3" hidden="1">{"Reset Data",#N/A,FALSE,"Reset Notice";"Reset Notice",#N/A,FALSE,"Reset Notice"}</definedName>
    <definedName name="resetdatnotic_5_1" localSheetId="1" hidden="1">{"Reset Data",#N/A,FALSE,"Reset Notice";"Reset Notice",#N/A,FALSE,"Reset Notice"}</definedName>
    <definedName name="resetdatnotic_5_1" hidden="1">{"Reset Data",#N/A,FALSE,"Reset Notice";"Reset Notice",#N/A,FALSE,"Reset Notice"}</definedName>
    <definedName name="resetdatnotic_5_1_1" localSheetId="3" hidden="1">{"Reset Data",#N/A,FALSE,"Reset Notice";"Reset Notice",#N/A,FALSE,"Reset Notice"}</definedName>
    <definedName name="resetdatnotic_5_1_1" localSheetId="1" hidden="1">{"Reset Data",#N/A,FALSE,"Reset Notice";"Reset Notice",#N/A,FALSE,"Reset Notice"}</definedName>
    <definedName name="resetdatnotic_5_1_1" hidden="1">{"Reset Data",#N/A,FALSE,"Reset Notice";"Reset Notice",#N/A,FALSE,"Reset Notice"}</definedName>
    <definedName name="resetdatnotic_5_1_1_1" localSheetId="3" hidden="1">{"Reset Data",#N/A,FALSE,"Reset Notice";"Reset Notice",#N/A,FALSE,"Reset Notice"}</definedName>
    <definedName name="resetdatnotic_5_1_1_1" localSheetId="1" hidden="1">{"Reset Data",#N/A,FALSE,"Reset Notice";"Reset Notice",#N/A,FALSE,"Reset Notice"}</definedName>
    <definedName name="resetdatnotic_5_1_1_1" hidden="1">{"Reset Data",#N/A,FALSE,"Reset Notice";"Reset Notice",#N/A,FALSE,"Reset Notice"}</definedName>
    <definedName name="resetdatnotic_5_2" localSheetId="3" hidden="1">{"Reset Data",#N/A,FALSE,"Reset Notice";"Reset Notice",#N/A,FALSE,"Reset Notice"}</definedName>
    <definedName name="resetdatnotic_5_2" localSheetId="1" hidden="1">{"Reset Data",#N/A,FALSE,"Reset Notice";"Reset Notice",#N/A,FALSE,"Reset Notice"}</definedName>
    <definedName name="resetdatnotic_5_2" hidden="1">{"Reset Data",#N/A,FALSE,"Reset Notice";"Reset Notice",#N/A,FALSE,"Reset Notice"}</definedName>
    <definedName name="resetdatnotic_5_2_1" localSheetId="3" hidden="1">{"Reset Data",#N/A,FALSE,"Reset Notice";"Reset Notice",#N/A,FALSE,"Reset Notice"}</definedName>
    <definedName name="resetdatnotic_5_2_1" localSheetId="1" hidden="1">{"Reset Data",#N/A,FALSE,"Reset Notice";"Reset Notice",#N/A,FALSE,"Reset Notice"}</definedName>
    <definedName name="resetdatnotic_5_2_1" hidden="1">{"Reset Data",#N/A,FALSE,"Reset Notice";"Reset Notice",#N/A,FALSE,"Reset Notice"}</definedName>
    <definedName name="resetdatnotic_5_3" localSheetId="3" hidden="1">{"Reset Data",#N/A,FALSE,"Reset Notice";"Reset Notice",#N/A,FALSE,"Reset Notice"}</definedName>
    <definedName name="resetdatnotic_5_3" localSheetId="1" hidden="1">{"Reset Data",#N/A,FALSE,"Reset Notice";"Reset Notice",#N/A,FALSE,"Reset Notice"}</definedName>
    <definedName name="resetdatnotic_5_3" hidden="1">{"Reset Data",#N/A,FALSE,"Reset Notice";"Reset Notice",#N/A,FALSE,"Reset Notice"}</definedName>
    <definedName name="Revolv_Adv_Outstanding" localSheetId="1">#REF!</definedName>
    <definedName name="Revolv_Adv_Outstanding">#REF!</definedName>
    <definedName name="Revolv_PD" localSheetId="1">#REF!</definedName>
    <definedName name="Revolv_PD">#REF!</definedName>
    <definedName name="rf" localSheetId="3" hidden="1">{#N/A,#N/A,FALSE,"COVER PAGE";#N/A,#N/A,FALSE,"TABLE OF CONTENTS";#N/A,#N/A,FALSE,"INCSTAT";#N/A,#N/A,FALSE,"SBU TRENDS";#N/A,#N/A,FALSE,"ASSETS";#N/A,#N/A,FALSE,"LIABILITIES";#N/A,#N/A,FALSE,"P &amp; L CURRENT";#N/A,#N/A,FALSE,"CASH FLOW";#N/A,#N/A,FALSE,"AGING";#N/A,#N/A,FALSE,"TOPTEN";#N/A,#N/A,FALSE,"LINE OF CREDIT";#N/A,#N/A,FALSE,"RV VAR P&amp;L";#N/A,#N/A,FALSE,"SUM LOCATION";#N/A,#N/A,FALSE,"HEADCOUNT";#N/A,#N/A,FALSE,"RV TRENDED";#N/A,#N/A,FALSE,"MV TRENDED";#N/A,#N/A,FALSE,"SG&amp;A TREND";#N/A,#N/A,FALSE,"SG&amp;A PLAN VS ACT";#N/A,#N/A,FALSE,"ADM SYS ACTUAL";#N/A,#N/A,FALSE,"SALES &amp; SBU ACTUAL";#N/A,#N/A,FALSE,"ADM SYS VAR";#N/A,#N/A,FALSE,"SALES &amp; SBU VAR"}</definedName>
    <definedName name="rf" localSheetId="1" hidden="1">{#N/A,#N/A,FALSE,"COVER PAGE";#N/A,#N/A,FALSE,"TABLE OF CONTENTS";#N/A,#N/A,FALSE,"INCSTAT";#N/A,#N/A,FALSE,"SBU TRENDS";#N/A,#N/A,FALSE,"ASSETS";#N/A,#N/A,FALSE,"LIABILITIES";#N/A,#N/A,FALSE,"P &amp; L CURRENT";#N/A,#N/A,FALSE,"CASH FLOW";#N/A,#N/A,FALSE,"AGING";#N/A,#N/A,FALSE,"TOPTEN";#N/A,#N/A,FALSE,"LINE OF CREDIT";#N/A,#N/A,FALSE,"RV VAR P&amp;L";#N/A,#N/A,FALSE,"SUM LOCATION";#N/A,#N/A,FALSE,"HEADCOUNT";#N/A,#N/A,FALSE,"RV TRENDED";#N/A,#N/A,FALSE,"MV TRENDED";#N/A,#N/A,FALSE,"SG&amp;A TREND";#N/A,#N/A,FALSE,"SG&amp;A PLAN VS ACT";#N/A,#N/A,FALSE,"ADM SYS ACTUAL";#N/A,#N/A,FALSE,"SALES &amp; SBU ACTUAL";#N/A,#N/A,FALSE,"ADM SYS VAR";#N/A,#N/A,FALSE,"SALES &amp; SBU VAR"}</definedName>
    <definedName name="rf" hidden="1">{#N/A,#N/A,FALSE,"COVER PAGE";#N/A,#N/A,FALSE,"TABLE OF CONTENTS";#N/A,#N/A,FALSE,"INCSTAT";#N/A,#N/A,FALSE,"SBU TRENDS";#N/A,#N/A,FALSE,"ASSETS";#N/A,#N/A,FALSE,"LIABILITIES";#N/A,#N/A,FALSE,"P &amp; L CURRENT";#N/A,#N/A,FALSE,"CASH FLOW";#N/A,#N/A,FALSE,"AGING";#N/A,#N/A,FALSE,"TOPTEN";#N/A,#N/A,FALSE,"LINE OF CREDIT";#N/A,#N/A,FALSE,"RV VAR P&amp;L";#N/A,#N/A,FALSE,"SUM LOCATION";#N/A,#N/A,FALSE,"HEADCOUNT";#N/A,#N/A,FALSE,"RV TRENDED";#N/A,#N/A,FALSE,"MV TRENDED";#N/A,#N/A,FALSE,"SG&amp;A TREND";#N/A,#N/A,FALSE,"SG&amp;A PLAN VS ACT";#N/A,#N/A,FALSE,"ADM SYS ACTUAL";#N/A,#N/A,FALSE,"SALES &amp; SBU ACTUAL";#N/A,#N/A,FALSE,"ADM SYS VAR";#N/A,#N/A,FALSE,"SALES &amp; SBU VAR"}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0</definedName>
    <definedName name="RiskFixedSeed" hidden="1">1</definedName>
    <definedName name="RiskHasSettings" hidden="1">5</definedName>
    <definedName name="RiskMinimizeOnStart" hidden="1">FALSE</definedName>
    <definedName name="RiskMonitorConvergence" hidden="1">FALSE</definedName>
    <definedName name="RiskNumIterations" hidden="1">100000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FALSE</definedName>
    <definedName name="rngBlotterMain" localSheetId="1">#REF!,#REF!,#REF!,#REF!,#REF!,#REF!,#REF!,#REF!,#REF!,#REF!,#REF!,#REF!,#REF!,#REF!,#REF!,#REF!,#REF!,#REF!,#REF!,#REF!,#REF!,#REF!,#REF!,#REF!,#REF!,#REF!,#REF!</definedName>
    <definedName name="rngBlotterMain">#REF!,#REF!,#REF!,#REF!,#REF!,#REF!,#REF!,#REF!,#REF!,#REF!,#REF!,#REF!,#REF!,#REF!,#REF!,#REF!,#REF!,#REF!,#REF!,#REF!,#REF!,#REF!,#REF!,#REF!,#REF!,#REF!,#REF!</definedName>
    <definedName name="rngLock26">"$CB$65:$CC$129"</definedName>
    <definedName name="rngLock29">"$CO$65:$CP$129"</definedName>
    <definedName name="rrr" localSheetId="3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rrr" localSheetId="1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rrr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RRRR" localSheetId="3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RRRR" localSheetId="1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RRRR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RunCombo" localSheetId="1">#REF!</definedName>
    <definedName name="RunCombo">#REF!</definedName>
    <definedName name="Rwvu.Sumnpv." localSheetId="1" hidden="1">#REF!</definedName>
    <definedName name="Rwvu.Sumnpv." hidden="1">#REF!</definedName>
    <definedName name="sadsadsa" localSheetId="3" hidden="1">{"e_Target Assumptions",#N/A,FALSE,"Financials";"f_Target Income Statement",#N/A,FALSE,"Financials";"g_Target Balance Sheet",#N/A,FALSE,"Financials";"h_Target Cashflow Statement",#N/A,FALSE,"Financials"}</definedName>
    <definedName name="sadsadsa" localSheetId="1" hidden="1">{"e_Target Assumptions",#N/A,FALSE,"Financials";"f_Target Income Statement",#N/A,FALSE,"Financials";"g_Target Balance Sheet",#N/A,FALSE,"Financials";"h_Target Cashflow Statement",#N/A,FALSE,"Financials"}</definedName>
    <definedName name="sadsadsa" hidden="1">{"e_Target Assumptions",#N/A,FALSE,"Financials";"f_Target Income Statement",#N/A,FALSE,"Financials";"g_Target Balance Sheet",#N/A,FALSE,"Financials";"h_Target Cashflow Statement",#N/A,FALSE,"Financials"}</definedName>
    <definedName name="SAPBEXrevision" hidden="1">20</definedName>
    <definedName name="SAPBEXsysID" hidden="1">"GFP"</definedName>
    <definedName name="SAPBEXwbID" hidden="1">"3QI2YRYTZTXS1QISS16V7FS00"</definedName>
    <definedName name="Scenario" localSheetId="1">#REF!</definedName>
    <definedName name="Scenario">#REF!</definedName>
    <definedName name="sd" localSheetId="3" hidden="1">{"e_Target Assumptions",#N/A,FALSE,"Financials";"f_Target Income Statement",#N/A,FALSE,"Financials";"g_Target Balance Sheet",#N/A,FALSE,"Financials";"h_Target Cashflow Statement",#N/A,FALSE,"Financials"}</definedName>
    <definedName name="sd" localSheetId="1" hidden="1">{"e_Target Assumptions",#N/A,FALSE,"Financials";"f_Target Income Statement",#N/A,FALSE,"Financials";"g_Target Balance Sheet",#N/A,FALSE,"Financials";"h_Target Cashflow Statement",#N/A,FALSE,"Financials"}</definedName>
    <definedName name="sd" hidden="1">{"e_Target Assumptions",#N/A,FALSE,"Financials";"f_Target Income Statement",#N/A,FALSE,"Financials";"g_Target Balance Sheet",#N/A,FALSE,"Financials";"h_Target Cashflow Statement",#N/A,FALSE,"Financials"}</definedName>
    <definedName name="sdd" localSheetId="3" hidden="1">{#N/A,#N/A,FALSE,"Balance Sheet";#N/A,#N/A,FALSE,"Income Statement";#N/A,#N/A,FALSE,"Partners Capital";#N/A,#N/A,FALSE,"Cash Flows";#N/A,#N/A,FALSE,"Support"}</definedName>
    <definedName name="sdd" localSheetId="1" hidden="1">{#N/A,#N/A,FALSE,"Balance Sheet";#N/A,#N/A,FALSE,"Income Statement";#N/A,#N/A,FALSE,"Partners Capital";#N/A,#N/A,FALSE,"Cash Flows";#N/A,#N/A,FALSE,"Support"}</definedName>
    <definedName name="sdd" hidden="1">{#N/A,#N/A,FALSE,"Balance Sheet";#N/A,#N/A,FALSE,"Income Statement";#N/A,#N/A,FALSE,"Partners Capital";#N/A,#N/A,FALSE,"Cash Flows";#N/A,#N/A,FALSE,"Support"}</definedName>
    <definedName name="sdf" localSheetId="3" hidden="1">{"e_Target Assumptions",#N/A,FALSE,"Financials";"f_Target Income Statement",#N/A,FALSE,"Financials";"g_Target Balance Sheet",#N/A,FALSE,"Financials";"h_Target Cashflow Statement",#N/A,FALSE,"Financials"}</definedName>
    <definedName name="sdf" localSheetId="1" hidden="1">{"e_Target Assumptions",#N/A,FALSE,"Financials";"f_Target Income Statement",#N/A,FALSE,"Financials";"g_Target Balance Sheet",#N/A,FALSE,"Financials";"h_Target Cashflow Statement",#N/A,FALSE,"Financials"}</definedName>
    <definedName name="sdf" hidden="1">{"e_Target Assumptions",#N/A,FALSE,"Financials";"f_Target Income Statement",#N/A,FALSE,"Financials";"g_Target Balance Sheet",#N/A,FALSE,"Financials";"h_Target Cashflow Statement",#N/A,FALSE,"Financials"}</definedName>
    <definedName name="sdfasdf" localSheetId="1" hidden="1">#REF!</definedName>
    <definedName name="sdfasdf" hidden="1">#REF!</definedName>
    <definedName name="sdfr" localSheetId="3" hidden="1">{#N/A,#N/A,FALSE,"Balance Sheet";#N/A,#N/A,FALSE,"Income Statement";#N/A,#N/A,FALSE,"Partners Capital";#N/A,#N/A,FALSE,"Cash Flows";#N/A,#N/A,FALSE,"Support"}</definedName>
    <definedName name="sdfr" localSheetId="1" hidden="1">{#N/A,#N/A,FALSE,"Balance Sheet";#N/A,#N/A,FALSE,"Income Statement";#N/A,#N/A,FALSE,"Partners Capital";#N/A,#N/A,FALSE,"Cash Flows";#N/A,#N/A,FALSE,"Support"}</definedName>
    <definedName name="sdfr" hidden="1">{#N/A,#N/A,FALSE,"Balance Sheet";#N/A,#N/A,FALSE,"Income Statement";#N/A,#N/A,FALSE,"Partners Capital";#N/A,#N/A,FALSE,"Cash Flows";#N/A,#N/A,FALSE,"Support"}</definedName>
    <definedName name="sdfs" localSheetId="3" hidden="1">{#N/A,#N/A,FALSE,"PortfolioStats";#N/A,#N/A,FALSE,"Graphs";#N/A,#N/A,FALSE,"Binomial Expansion";#N/A,#N/A,FALSE,"SP Analysis"}</definedName>
    <definedName name="sdfs" localSheetId="1" hidden="1">{#N/A,#N/A,FALSE,"PortfolioStats";#N/A,#N/A,FALSE,"Graphs";#N/A,#N/A,FALSE,"Binomial Expansion";#N/A,#N/A,FALSE,"SP Analysis"}</definedName>
    <definedName name="sdfs" hidden="1">{#N/A,#N/A,FALSE,"PortfolioStats";#N/A,#N/A,FALSE,"Graphs";#N/A,#N/A,FALSE,"Binomial Expansion";#N/A,#N/A,FALSE,"SP Analysis"}</definedName>
    <definedName name="sdfsdfs" localSheetId="3" hidden="1">{#N/A,#N/A,FALSE,"Balance Sheet";#N/A,#N/A,FALSE,"Income Statement";#N/A,#N/A,FALSE,"Partners Capital";#N/A,#N/A,FALSE,"Cash Flows";#N/A,#N/A,FALSE,"Support"}</definedName>
    <definedName name="sdfsdfs" localSheetId="1" hidden="1">{#N/A,#N/A,FALSE,"Balance Sheet";#N/A,#N/A,FALSE,"Income Statement";#N/A,#N/A,FALSE,"Partners Capital";#N/A,#N/A,FALSE,"Cash Flows";#N/A,#N/A,FALSE,"Support"}</definedName>
    <definedName name="sdfsdfs" hidden="1">{#N/A,#N/A,FALSE,"Balance Sheet";#N/A,#N/A,FALSE,"Income Statement";#N/A,#N/A,FALSE,"Partners Capital";#N/A,#N/A,FALSE,"Cash Flows";#N/A,#N/A,FALSE,"Support"}</definedName>
    <definedName name="sdsdsdd" localSheetId="3" hidden="1">{"e_Target Assumptions",#N/A,FALSE,"Financials";"f_Target Income Statement",#N/A,FALSE,"Financials";"g_Target Balance Sheet",#N/A,FALSE,"Financials";"h_Target Cashflow Statement",#N/A,FALSE,"Financials"}</definedName>
    <definedName name="sdsdsdd" localSheetId="1" hidden="1">{"e_Target Assumptions",#N/A,FALSE,"Financials";"f_Target Income Statement",#N/A,FALSE,"Financials";"g_Target Balance Sheet",#N/A,FALSE,"Financials";"h_Target Cashflow Statement",#N/A,FALSE,"Financials"}</definedName>
    <definedName name="sdsdsdd" hidden="1">{"e_Target Assumptions",#N/A,FALSE,"Financials";"f_Target Income Statement",#N/A,FALSE,"Financials";"g_Target Balance Sheet",#N/A,FALSE,"Financials";"h_Target Cashflow Statement",#N/A,FALSE,"Financials"}</definedName>
    <definedName name="secondary" localSheetId="1">#REF!</definedName>
    <definedName name="secondary">#REF!</definedName>
    <definedName name="secondary2" localSheetId="1">#REF!</definedName>
    <definedName name="secondary2">#REF!</definedName>
    <definedName name="SelectedMultiple" localSheetId="1">#REF!</definedName>
    <definedName name="SelectedMultiple">#REF!</definedName>
    <definedName name="selrange" localSheetId="1" hidden="1">#REF!</definedName>
    <definedName name="selrange" hidden="1">#REF!</definedName>
    <definedName name="sencount" hidden="1">1</definedName>
    <definedName name="Servicing_Acct_Int" localSheetId="1">#REF!</definedName>
    <definedName name="Servicing_Acct_Int">#REF!</definedName>
    <definedName name="servicing_acct_prin" localSheetId="1">#REF!</definedName>
    <definedName name="servicing_acct_prin">#REF!</definedName>
    <definedName name="ShanghaiFactory" localSheetId="1">#REF!</definedName>
    <definedName name="ShanghaiFactory">#REF!</definedName>
    <definedName name="shareoutltm" localSheetId="1" hidden="1">#REF!</definedName>
    <definedName name="shareoutltm" hidden="1">#REF!</definedName>
    <definedName name="sharepriceltm" localSheetId="1" hidden="1">#REF!</definedName>
    <definedName name="sharepriceltm" hidden="1">#REF!</definedName>
    <definedName name="sheet" hidden="1">#REF!</definedName>
    <definedName name="sheet_1" hidden="1">#REF!</definedName>
    <definedName name="Sheet1_BNE_MESSAGES" hidden="1">#REF!</definedName>
    <definedName name="Sheet1_BNE_MESSAGES_HIDDEN" hidden="1">#REF!</definedName>
    <definedName name="Sheet1_BNE_MESSAGES_LAMP" hidden="1">#REF!</definedName>
    <definedName name="Sheet1_BNE_UPLOAD" hidden="1">#REF!</definedName>
    <definedName name="Sheet1_GL_INTERFACE_ACCOUNTING_DATE" hidden="1">#REF!</definedName>
    <definedName name="Sheet1_GL_INTERFACE_ACTUAL_FLAG" hidden="1">#REF!</definedName>
    <definedName name="Sheet1_GL_INTERFACE_CURRENCY_CODE" hidden="1">#REF!</definedName>
    <definedName name="Sheet1_GL_INTERFACE_CURRENCY_CONVERSION_DATE" hidden="1">#REF!</definedName>
    <definedName name="Sheet1_GL_INTERFACE_CURRENCY_CONVERSION_RATE" hidden="1">#REF!</definedName>
    <definedName name="Sheet1_GL_INTERFACE_DATABASE" hidden="1">#REF!</definedName>
    <definedName name="Sheet1_GL_INTERFACE_ENTERED_CR" hidden="1">#REF!</definedName>
    <definedName name="Sheet1_GL_INTERFACE_ENTERED_DR" hidden="1">#REF!</definedName>
    <definedName name="Sheet1_GL_INTERFACE_REFERENCE10" hidden="1">#REF!</definedName>
    <definedName name="Sheet1_GL_INTERFACE_REFERENCE4" hidden="1">#REF!</definedName>
    <definedName name="Sheet1_GL_INTERFACE_REFERENCE5" hidden="1">#REF!</definedName>
    <definedName name="Sheet1_GL_INTERFACE_REFERENCE6" hidden="1">#REF!</definedName>
    <definedName name="Sheet1_GL_INTERFACE_REFERENCE7" hidden="1">#REF!</definedName>
    <definedName name="Sheet1_GL_INTERFACE_REFERENCE8" hidden="1">#REF!</definedName>
    <definedName name="Sheet1_GL_INTERFACE_SEGMENT1" hidden="1">#REF!</definedName>
    <definedName name="Sheet1_GL_INTERFACE_SEGMENT2" hidden="1">#REF!</definedName>
    <definedName name="Sheet1_GL_INTERFACE_SEGMENT3" hidden="1">#REF!</definedName>
    <definedName name="Sheet1_GL_INTERFACE_SEGMENT4" hidden="1">#REF!</definedName>
    <definedName name="Sheet1_GL_INTERFACE_SEGMENT5" hidden="1">#REF!</definedName>
    <definedName name="Sheet1_GL_INTERFACE_SET_OF_BOOKS_ID" hidden="1">#REF!</definedName>
    <definedName name="Sheet1_GL_INTERFACE_USER_CURRENCY_CONVERSION_TYPE" hidden="1">#REF!</definedName>
    <definedName name="Sheet1_GL_INTERFACE_USER_JE_CATEGORY_NAME" hidden="1">#REF!</definedName>
    <definedName name="Sheet1_GL_INTERFACE_USER_JE_SOURCE_NAME" hidden="1">#REF!</definedName>
    <definedName name="SingerAfricaMiddleEast" localSheetId="1">#REF!</definedName>
    <definedName name="SingerAfricaMiddleEast">#REF!</definedName>
    <definedName name="SingerCanada" localSheetId="1">#REF!</definedName>
    <definedName name="SingerCanada">#REF!</definedName>
    <definedName name="SingerDenmark" localSheetId="1">#REF!</definedName>
    <definedName name="SingerDenmark">#REF!</definedName>
    <definedName name="SingerItaly" localSheetId="1">#REF!</definedName>
    <definedName name="SingerItaly">#REF!</definedName>
    <definedName name="SingerSewingCompany" localSheetId="1">#REF!</definedName>
    <definedName name="SingerSewingCompany">#REF!</definedName>
    <definedName name="SnP_Industry" localSheetId="1">#REF!</definedName>
    <definedName name="SnP_Industry">#REF!</definedName>
    <definedName name="SnP_Notched_Ratings" localSheetId="1">#REF!</definedName>
    <definedName name="SnP_Notched_Ratings">#REF!</definedName>
    <definedName name="SnP_spread_compression" localSheetId="1">#REF!</definedName>
    <definedName name="SnP_spread_compression">#REF!</definedName>
    <definedName name="solver_adj" hidden="1">#REF!</definedName>
    <definedName name="solver_drv" hidden="1">1</definedName>
    <definedName name="solver_est" hidden="1">1</definedName>
    <definedName name="solver_itr" hidden="1">100</definedName>
    <definedName name="solver_lhs1" localSheetId="1" hidden="1">#REF!</definedName>
    <definedName name="solver_lhs1" hidden="1">#REF!</definedName>
    <definedName name="solver_lhs2" localSheetId="1" hidden="1">#REF!</definedName>
    <definedName name="solver_lhs2" hidden="1">#REF!</definedName>
    <definedName name="solver_lhs4" localSheetId="1" hidden="1">#REF!</definedName>
    <definedName name="solver_lhs4" hidden="1">#REF!</definedName>
    <definedName name="solver_lin" hidden="1">0</definedName>
    <definedName name="solver_nsim" hidden="1">5</definedName>
    <definedName name="solver_ntri" hidden="1">1000</definedName>
    <definedName name="solver_num" hidden="1">0</definedName>
    <definedName name="solver_nwt" hidden="1">1</definedName>
    <definedName name="solver_opt" hidden="1">#REF!</definedName>
    <definedName name="solver_pre" hidden="1">0.000001</definedName>
    <definedName name="solver_rel1" hidden="1">3</definedName>
    <definedName name="solver_rel2" hidden="1">3</definedName>
    <definedName name="solver_rel3" hidden="1">1</definedName>
    <definedName name="solver_rel4" hidden="1">2</definedName>
    <definedName name="solver_rhs1" hidden="1">0.1075</definedName>
    <definedName name="solver_rhs2" hidden="1">40</definedName>
    <definedName name="solver_rhs3" hidden="1">3.5</definedName>
    <definedName name="solver_rhs4" hidden="1">210</definedName>
    <definedName name="solver_rsmp" hidden="1">2</definedName>
    <definedName name="solver_scl" hidden="1">0</definedName>
    <definedName name="solver_seed" hidden="1">0</definedName>
    <definedName name="solver_sho" hidden="1">0</definedName>
    <definedName name="solver_tim" hidden="1">100</definedName>
    <definedName name="solver_tmp" hidden="1">210</definedName>
    <definedName name="solver_tol" hidden="1">0.05</definedName>
    <definedName name="solver_typ" hidden="1">3</definedName>
    <definedName name="solver_val" hidden="1">0.6</definedName>
    <definedName name="Sourcing" localSheetId="1">#REF!</definedName>
    <definedName name="Sourcing">#REF!</definedName>
    <definedName name="SouthAmericanTrading" localSheetId="1">#REF!</definedName>
    <definedName name="SouthAmericanTrading">#REF!</definedName>
    <definedName name="SP_Combo_BDR" localSheetId="1">#REF!</definedName>
    <definedName name="SP_Combo_BDR">#REF!</definedName>
    <definedName name="SP_Combo_Rating" localSheetId="1">#REF!</definedName>
    <definedName name="SP_Combo_Rating">#REF!</definedName>
    <definedName name="SPOT" localSheetId="1">#REF!</definedName>
    <definedName name="SPOT">#REF!</definedName>
    <definedName name="sqdsad" localSheetId="1">#REF!</definedName>
    <definedName name="sqdsad">#REF!</definedName>
    <definedName name="SrLoan" localSheetId="1">#REF!</definedName>
    <definedName name="SrLoan">#REF!</definedName>
    <definedName name="SrMgmt_Fee" localSheetId="1">#REF!</definedName>
    <definedName name="SrMgmt_Fee">#REF!</definedName>
    <definedName name="ssdfgsdgf" localSheetId="3" hidden="1">{#N/A,#N/A,FALSE,"Balance Sheet";#N/A,#N/A,FALSE,"Income Statement";#N/A,#N/A,FALSE,"Partners Capital";#N/A,#N/A,FALSE,"Cash Flows";#N/A,#N/A,FALSE,"Support"}</definedName>
    <definedName name="ssdfgsdgf" localSheetId="1" hidden="1">{#N/A,#N/A,FALSE,"Balance Sheet";#N/A,#N/A,FALSE,"Income Statement";#N/A,#N/A,FALSE,"Partners Capital";#N/A,#N/A,FALSE,"Cash Flows";#N/A,#N/A,FALSE,"Support"}</definedName>
    <definedName name="ssdfgsdgf" hidden="1">{#N/A,#N/A,FALSE,"Balance Sheet";#N/A,#N/A,FALSE,"Income Statement";#N/A,#N/A,FALSE,"Partners Capital";#N/A,#N/A,FALSE,"Cash Flows";#N/A,#N/A,FALSE,"Support"}</definedName>
    <definedName name="STAMP" localSheetId="1">#REF!</definedName>
    <definedName name="STAMP">#REF!</definedName>
    <definedName name="states" localSheetId="1">#REF!</definedName>
    <definedName name="states">#REF!</definedName>
    <definedName name="STITMO" localSheetId="1">#REF!</definedName>
    <definedName name="STITMO">#REF!</definedName>
    <definedName name="STITMOEXT" localSheetId="1">#REF!</definedName>
    <definedName name="STITMOEXT">#REF!</definedName>
    <definedName name="STM_100">OFFSET(#REF!,COUNTA(#REF!)-1,0,-60,1)</definedName>
    <definedName name="STM_ALL">OFFSET(#REF!,COUNTA(#REF!)-1,0,-60,1)</definedName>
    <definedName name="STM_B">OFFSET(#REF!,COUNTA(#REF!)-1,0,-60,1)</definedName>
    <definedName name="STM_BB">OFFSET(#REF!,COUNTA(#REF!)-1,0,-60,1)</definedName>
    <definedName name="STM_CovHeavy">OFFSET(#REF!,COUNT(#REF!)-1,0,-58,1)</definedName>
    <definedName name="STM_CovLite">OFFSET(#REF!,COUNT(#REF!)-1,0,-58,1)</definedName>
    <definedName name="STM_FL">OFFSET(#REF!,COUNT(#REF!)-1,0,-60,1)</definedName>
    <definedName name="STM_FL_B">OFFSET(#REF!,COUNT(#REF!)-1,0,-58,1)</definedName>
    <definedName name="STM_LC">OFFSET(#REF!,COUNT(#REF!)-1,0,-60,1)</definedName>
    <definedName name="STM_MM">OFFSET(#REF!,COUNT(#REF!)-1,0,-60,1)</definedName>
    <definedName name="STM_SL">OFFSET(#REF!,COUNT(#REF!)-1,0,-60,1)</definedName>
    <definedName name="STM_SL_B">OFFSET(#REF!,COUNT(#REF!)-1,0,-58,1)</definedName>
    <definedName name="SubMgmt_Fee" localSheetId="1">#REF!</definedName>
    <definedName name="SubMgmt_Fee">#REF!</definedName>
    <definedName name="SubsAdjSelect" localSheetId="1">#REF!</definedName>
    <definedName name="SubsAdjSelect">#REF!</definedName>
    <definedName name="Sweep_AcR" localSheetId="1">#REF!</definedName>
    <definedName name="Sweep_AcR">#REF!</definedName>
    <definedName name="Swvu.BiPolar." localSheetId="1" hidden="1">#REF!</definedName>
    <definedName name="Swvu.BiPolar." hidden="1">#REF!</definedName>
    <definedName name="Swvu.inputs._.raw._.data." hidden="1">#REF!</definedName>
    <definedName name="Swvu.sp2." localSheetId="1" hidden="1">#REF!</definedName>
    <definedName name="Swvu.sp2." hidden="1">#REF!</definedName>
    <definedName name="Swvu.sum." localSheetId="1" hidden="1">#REF!</definedName>
    <definedName name="Swvu.sum." hidden="1">#REF!</definedName>
    <definedName name="Swvu.summary1." hidden="1">#REF!</definedName>
    <definedName name="Swvu.summary2." hidden="1">#REF!</definedName>
    <definedName name="Swvu.summary3." hidden="1">#REF!</definedName>
    <definedName name="Swvu.Sumnpv." localSheetId="1" hidden="1">#REF!</definedName>
    <definedName name="Swvu.Sumnpv." hidden="1">#REF!</definedName>
    <definedName name="t" localSheetId="3" hidden="1">{"'TG'!$A$1:$L$37"}</definedName>
    <definedName name="t" localSheetId="1" hidden="1">{"'TG'!$A$1:$L$37"}</definedName>
    <definedName name="t" hidden="1">{"'TG'!$A$1:$L$37"}</definedName>
    <definedName name="TableName">"Dummy"</definedName>
    <definedName name="taiwanPurchasingOffice" localSheetId="1">#REF!</definedName>
    <definedName name="taiwanPurchasingOffice">#REF!</definedName>
    <definedName name="TAMPOCOSE" hidden="1">255</definedName>
    <definedName name="TAR" localSheetId="1">#REF!</definedName>
    <definedName name="TAR">#REF!</definedName>
    <definedName name="Target_Par_Amount" localSheetId="1">#REF!</definedName>
    <definedName name="Target_Par_Amount">#REF!</definedName>
    <definedName name="TAV_Excess_Concentration" localSheetId="1">#REF!</definedName>
    <definedName name="TAV_Excess_Concentration">#REF!</definedName>
    <definedName name="TECNOFIBRAS" localSheetId="3" hidden="1">{"'PXR_6500'!$A$1:$I$124"}</definedName>
    <definedName name="TECNOFIBRAS" localSheetId="1" hidden="1">{"'PXR_6500'!$A$1:$I$124"}</definedName>
    <definedName name="TECNOFIBRAS" hidden="1">{"'PXR_6500'!$A$1:$I$124"}</definedName>
    <definedName name="TECNOFIBRAS2" localSheetId="3" hidden="1">{"'PXR_6500'!$A$1:$I$124"}</definedName>
    <definedName name="TECNOFIBRAS2" localSheetId="1" hidden="1">{"'PXR_6500'!$A$1:$I$124"}</definedName>
    <definedName name="TECNOFIBRAS2" hidden="1">{"'PXR_6500'!$A$1:$I$124"}</definedName>
    <definedName name="TemplateVersion" localSheetId="1" hidden="1">#REF!</definedName>
    <definedName name="TemplateVersion" hidden="1">#REF!</definedName>
    <definedName name="Term_Adv_Outstanding" localSheetId="1">#REF!</definedName>
    <definedName name="Term_Adv_Outstanding">#REF!</definedName>
    <definedName name="test" localSheetId="3" hidden="1">{"'PXR_6500'!$A$1:$I$124"}</definedName>
    <definedName name="test" localSheetId="1" hidden="1">{"'PXR_6500'!$A$1:$I$124"}</definedName>
    <definedName name="test" hidden="1">{"'PXR_6500'!$A$1:$I$124"}</definedName>
    <definedName name="TextRefCopyRangeCount" hidden="1">7</definedName>
    <definedName name="Threeyr_Data" hidden="1">#REF!</definedName>
    <definedName name="tickname" localSheetId="1" hidden="1">#REF!</definedName>
    <definedName name="tickname" hidden="1">#REF!</definedName>
    <definedName name="TITLE" localSheetId="1">#REF!</definedName>
    <definedName name="TITLE">#REF!</definedName>
    <definedName name="TotalLocation" localSheetId="1">#REF!</definedName>
    <definedName name="TotalLocation">#REF!</definedName>
    <definedName name="totcap" hidden="1">#REF!,#REF!,#REF!,#REF!</definedName>
    <definedName name="TravelAdjSelect" localSheetId="1">#REF!</definedName>
    <definedName name="TravelAdjSelect">#REF!</definedName>
    <definedName name="treeList" hidden="1">"00000000000000000000000000000000000000000000000000000000000000000000000000000000000000000000000000000000000000000000000000000000000000000000000000000000000000000000000000000000000000000000000000000000"</definedName>
    <definedName name="Trustee_Fee" localSheetId="1">#REF!</definedName>
    <definedName name="Trustee_Fee">#REF!</definedName>
    <definedName name="Turkey" localSheetId="1">#REF!</definedName>
    <definedName name="Turkey">#REF!</definedName>
    <definedName name="tynonasset" localSheetId="1" hidden="1">#REF!</definedName>
    <definedName name="tynonasset" hidden="1">#REF!</definedName>
    <definedName name="Unique_Issuer_Count" localSheetId="1">#REF!</definedName>
    <definedName name="Unique_Issuer_Count">#REF!</definedName>
    <definedName name="Unique_Issuer_Par_Amout" localSheetId="1">#REF!</definedName>
    <definedName name="Unique_Issuer_Par_Amout">#REF!</definedName>
    <definedName name="Unsecured_YN" localSheetId="1">#REF!</definedName>
    <definedName name="Unsecured_YN">#REF!</definedName>
    <definedName name="UpdateLossCurveFitch" localSheetId="1">#REF!</definedName>
    <definedName name="UpdateLossCurveFitch">#REF!</definedName>
    <definedName name="upload_range" localSheetId="1">OFFSET(#REF!,0,0,COUNTA(#REF!),15)</definedName>
    <definedName name="upload_range">OFFSET(#REF!,0,0,COUNTA(#REF!),15)</definedName>
    <definedName name="UPSIDES" localSheetId="1">#REF!</definedName>
    <definedName name="UPSIDES">#REF!</definedName>
    <definedName name="usd" hidden="1">#REF!</definedName>
    <definedName name="USD_Int_Acct_Int" localSheetId="1">#REF!</definedName>
    <definedName name="USD_Int_Acct_Int">#REF!</definedName>
    <definedName name="USD_Prin_Coll_Acct_Prin" localSheetId="1">#REF!</definedName>
    <definedName name="USD_Prin_Coll_Acct_Prin">#REF!</definedName>
    <definedName name="USD_Unfund_Exp_Acct" localSheetId="1">#REF!</definedName>
    <definedName name="USD_Unfund_Exp_Acct">#REF!</definedName>
    <definedName name="Valuation_Agent_Fee_Cap" localSheetId="1">#REF!</definedName>
    <definedName name="Valuation_Agent_Fee_Cap">#REF!</definedName>
    <definedName name="Valuation_Date" localSheetId="1">#REF!</definedName>
    <definedName name="Valuation_Date">#REF!</definedName>
    <definedName name="Vdates" localSheetId="1">#REF!</definedName>
    <definedName name="Vdates">#REF!</definedName>
    <definedName name="VersionActual" localSheetId="1">#REF!</definedName>
    <definedName name="VersionActual">#REF!</definedName>
    <definedName name="VersionPlan" localSheetId="1">#REF!</definedName>
    <definedName name="VersionPlan">#REF!</definedName>
    <definedName name="vikash" hidden="1">#REF!</definedName>
    <definedName name="VTM_1" hidden="1">#REF!</definedName>
    <definedName name="VTM_2" hidden="1">#REF!</definedName>
    <definedName name="VTM_3" hidden="1">#REF!</definedName>
    <definedName name="vvv" localSheetId="3" hidden="1">{#N/A,#N/A,FALSE,"Balance Sheet";#N/A,#N/A,FALSE,"Income Statement";#N/A,#N/A,FALSE,"Partners Capital";#N/A,#N/A,FALSE,"Cash Flows";#N/A,#N/A,FALSE,"Support"}</definedName>
    <definedName name="vvv" localSheetId="1" hidden="1">{#N/A,#N/A,FALSE,"Balance Sheet";#N/A,#N/A,FALSE,"Income Statement";#N/A,#N/A,FALSE,"Partners Capital";#N/A,#N/A,FALSE,"Cash Flows";#N/A,#N/A,FALSE,"Support"}</definedName>
    <definedName name="vvv" hidden="1">{#N/A,#N/A,FALSE,"Balance Sheet";#N/A,#N/A,FALSE,"Income Statement";#N/A,#N/A,FALSE,"Partners Capital";#N/A,#N/A,FALSE,"Cash Flows";#N/A,#N/A,FALSE,"Support"}</definedName>
    <definedName name="vvvv" hidden="1">#REF!</definedName>
    <definedName name="w" localSheetId="3" hidden="1">{"Assumptions",#N/A,FALSE,"Model"}</definedName>
    <definedName name="w" localSheetId="1" hidden="1">{"Assumptions",#N/A,FALSE,"Model"}</definedName>
    <definedName name="w" hidden="1">{"Assumptions",#N/A,FALSE,"Model"}</definedName>
    <definedName name="w_1" localSheetId="3" hidden="1">{"Assumptions",#N/A,FALSE,"Model"}</definedName>
    <definedName name="w_1" localSheetId="1" hidden="1">{"Assumptions",#N/A,FALSE,"Model"}</definedName>
    <definedName name="w_1" hidden="1">{"Assumptions",#N/A,FALSE,"Model"}</definedName>
    <definedName name="w_1_1" localSheetId="3" hidden="1">{"Assumptions",#N/A,FALSE,"Model"}</definedName>
    <definedName name="w_1_1" localSheetId="1" hidden="1">{"Assumptions",#N/A,FALSE,"Model"}</definedName>
    <definedName name="w_1_1" hidden="1">{"Assumptions",#N/A,FALSE,"Model"}</definedName>
    <definedName name="w_1_1_1" localSheetId="3" hidden="1">{"Assumptions",#N/A,FALSE,"Model"}</definedName>
    <definedName name="w_1_1_1" localSheetId="1" hidden="1">{"Assumptions",#N/A,FALSE,"Model"}</definedName>
    <definedName name="w_1_1_1" hidden="1">{"Assumptions",#N/A,FALSE,"Model"}</definedName>
    <definedName name="w_1_1_1_1" localSheetId="3" hidden="1">{"Assumptions",#N/A,FALSE,"Model"}</definedName>
    <definedName name="w_1_1_1_1" localSheetId="1" hidden="1">{"Assumptions",#N/A,FALSE,"Model"}</definedName>
    <definedName name="w_1_1_1_1" hidden="1">{"Assumptions",#N/A,FALSE,"Model"}</definedName>
    <definedName name="w_1_2" localSheetId="3" hidden="1">{"Assumptions",#N/A,FALSE,"Model"}</definedName>
    <definedName name="w_1_2" localSheetId="1" hidden="1">{"Assumptions",#N/A,FALSE,"Model"}</definedName>
    <definedName name="w_1_2" hidden="1">{"Assumptions",#N/A,FALSE,"Model"}</definedName>
    <definedName name="w_1_2_1" localSheetId="3" hidden="1">{"Assumptions",#N/A,FALSE,"Model"}</definedName>
    <definedName name="w_1_2_1" localSheetId="1" hidden="1">{"Assumptions",#N/A,FALSE,"Model"}</definedName>
    <definedName name="w_1_2_1" hidden="1">{"Assumptions",#N/A,FALSE,"Model"}</definedName>
    <definedName name="w_1_3" localSheetId="3" hidden="1">{"Assumptions",#N/A,FALSE,"Model"}</definedName>
    <definedName name="w_1_3" localSheetId="1" hidden="1">{"Assumptions",#N/A,FALSE,"Model"}</definedName>
    <definedName name="w_1_3" hidden="1">{"Assumptions",#N/A,FALSE,"Model"}</definedName>
    <definedName name="w_1_3_1" localSheetId="3" hidden="1">{"Assumptions",#N/A,FALSE,"Model"}</definedName>
    <definedName name="w_1_3_1" localSheetId="1" hidden="1">{"Assumptions",#N/A,FALSE,"Model"}</definedName>
    <definedName name="w_1_3_1" hidden="1">{"Assumptions",#N/A,FALSE,"Model"}</definedName>
    <definedName name="w_1_4" localSheetId="3" hidden="1">{"Assumptions",#N/A,FALSE,"Model"}</definedName>
    <definedName name="w_1_4" localSheetId="1" hidden="1">{"Assumptions",#N/A,FALSE,"Model"}</definedName>
    <definedName name="w_1_4" hidden="1">{"Assumptions",#N/A,FALSE,"Model"}</definedName>
    <definedName name="w_2" localSheetId="3" hidden="1">{"Assumptions",#N/A,FALSE,"Model"}</definedName>
    <definedName name="w_2" localSheetId="1" hidden="1">{"Assumptions",#N/A,FALSE,"Model"}</definedName>
    <definedName name="w_2" hidden="1">{"Assumptions",#N/A,FALSE,"Model"}</definedName>
    <definedName name="w_2_1" localSheetId="3" hidden="1">{"Assumptions",#N/A,FALSE,"Model"}</definedName>
    <definedName name="w_2_1" localSheetId="1" hidden="1">{"Assumptions",#N/A,FALSE,"Model"}</definedName>
    <definedName name="w_2_1" hidden="1">{"Assumptions",#N/A,FALSE,"Model"}</definedName>
    <definedName name="w_2_1_1" localSheetId="3" hidden="1">{"Assumptions",#N/A,FALSE,"Model"}</definedName>
    <definedName name="w_2_1_1" localSheetId="1" hidden="1">{"Assumptions",#N/A,FALSE,"Model"}</definedName>
    <definedName name="w_2_1_1" hidden="1">{"Assumptions",#N/A,FALSE,"Model"}</definedName>
    <definedName name="w_2_1_1_1" localSheetId="3" hidden="1">{"Assumptions",#N/A,FALSE,"Model"}</definedName>
    <definedName name="w_2_1_1_1" localSheetId="1" hidden="1">{"Assumptions",#N/A,FALSE,"Model"}</definedName>
    <definedName name="w_2_1_1_1" hidden="1">{"Assumptions",#N/A,FALSE,"Model"}</definedName>
    <definedName name="w_2_2" localSheetId="3" hidden="1">{"Assumptions",#N/A,FALSE,"Model"}</definedName>
    <definedName name="w_2_2" localSheetId="1" hidden="1">{"Assumptions",#N/A,FALSE,"Model"}</definedName>
    <definedName name="w_2_2" hidden="1">{"Assumptions",#N/A,FALSE,"Model"}</definedName>
    <definedName name="w_2_2_1" localSheetId="3" hidden="1">{"Assumptions",#N/A,FALSE,"Model"}</definedName>
    <definedName name="w_2_2_1" localSheetId="1" hidden="1">{"Assumptions",#N/A,FALSE,"Model"}</definedName>
    <definedName name="w_2_2_1" hidden="1">{"Assumptions",#N/A,FALSE,"Model"}</definedName>
    <definedName name="w_2_3" localSheetId="3" hidden="1">{"Assumptions",#N/A,FALSE,"Model"}</definedName>
    <definedName name="w_2_3" localSheetId="1" hidden="1">{"Assumptions",#N/A,FALSE,"Model"}</definedName>
    <definedName name="w_2_3" hidden="1">{"Assumptions",#N/A,FALSE,"Model"}</definedName>
    <definedName name="w_3" localSheetId="3" hidden="1">{"Assumptions",#N/A,FALSE,"Model"}</definedName>
    <definedName name="w_3" localSheetId="1" hidden="1">{"Assumptions",#N/A,FALSE,"Model"}</definedName>
    <definedName name="w_3" hidden="1">{"Assumptions",#N/A,FALSE,"Model"}</definedName>
    <definedName name="w_3_1" localSheetId="3" hidden="1">{"Assumptions",#N/A,FALSE,"Model"}</definedName>
    <definedName name="w_3_1" localSheetId="1" hidden="1">{"Assumptions",#N/A,FALSE,"Model"}</definedName>
    <definedName name="w_3_1" hidden="1">{"Assumptions",#N/A,FALSE,"Model"}</definedName>
    <definedName name="w_3_1_1" localSheetId="3" hidden="1">{"Assumptions",#N/A,FALSE,"Model"}</definedName>
    <definedName name="w_3_1_1" localSheetId="1" hidden="1">{"Assumptions",#N/A,FALSE,"Model"}</definedName>
    <definedName name="w_3_1_1" hidden="1">{"Assumptions",#N/A,FALSE,"Model"}</definedName>
    <definedName name="w_3_1_1_1" localSheetId="3" hidden="1">{"Assumptions",#N/A,FALSE,"Model"}</definedName>
    <definedName name="w_3_1_1_1" localSheetId="1" hidden="1">{"Assumptions",#N/A,FALSE,"Model"}</definedName>
    <definedName name="w_3_1_1_1" hidden="1">{"Assumptions",#N/A,FALSE,"Model"}</definedName>
    <definedName name="w_3_2" localSheetId="3" hidden="1">{"Assumptions",#N/A,FALSE,"Model"}</definedName>
    <definedName name="w_3_2" localSheetId="1" hidden="1">{"Assumptions",#N/A,FALSE,"Model"}</definedName>
    <definedName name="w_3_2" hidden="1">{"Assumptions",#N/A,FALSE,"Model"}</definedName>
    <definedName name="w_3_2_1" localSheetId="3" hidden="1">{"Assumptions",#N/A,FALSE,"Model"}</definedName>
    <definedName name="w_3_2_1" localSheetId="1" hidden="1">{"Assumptions",#N/A,FALSE,"Model"}</definedName>
    <definedName name="w_3_2_1" hidden="1">{"Assumptions",#N/A,FALSE,"Model"}</definedName>
    <definedName name="w_3_3" localSheetId="3" hidden="1">{"Assumptions",#N/A,FALSE,"Model"}</definedName>
    <definedName name="w_3_3" localSheetId="1" hidden="1">{"Assumptions",#N/A,FALSE,"Model"}</definedName>
    <definedName name="w_3_3" hidden="1">{"Assumptions",#N/A,FALSE,"Model"}</definedName>
    <definedName name="w_4" localSheetId="3" hidden="1">{"Assumptions",#N/A,FALSE,"Model"}</definedName>
    <definedName name="w_4" localSheetId="1" hidden="1">{"Assumptions",#N/A,FALSE,"Model"}</definedName>
    <definedName name="w_4" hidden="1">{"Assumptions",#N/A,FALSE,"Model"}</definedName>
    <definedName name="w_4_1" localSheetId="3" hidden="1">{"Assumptions",#N/A,FALSE,"Model"}</definedName>
    <definedName name="w_4_1" localSheetId="1" hidden="1">{"Assumptions",#N/A,FALSE,"Model"}</definedName>
    <definedName name="w_4_1" hidden="1">{"Assumptions",#N/A,FALSE,"Model"}</definedName>
    <definedName name="w_4_1_1" localSheetId="3" hidden="1">{"Assumptions",#N/A,FALSE,"Model"}</definedName>
    <definedName name="w_4_1_1" localSheetId="1" hidden="1">{"Assumptions",#N/A,FALSE,"Model"}</definedName>
    <definedName name="w_4_1_1" hidden="1">{"Assumptions",#N/A,FALSE,"Model"}</definedName>
    <definedName name="w_4_1_1_1" localSheetId="3" hidden="1">{"Assumptions",#N/A,FALSE,"Model"}</definedName>
    <definedName name="w_4_1_1_1" localSheetId="1" hidden="1">{"Assumptions",#N/A,FALSE,"Model"}</definedName>
    <definedName name="w_4_1_1_1" hidden="1">{"Assumptions",#N/A,FALSE,"Model"}</definedName>
    <definedName name="w_4_2" localSheetId="3" hidden="1">{"Assumptions",#N/A,FALSE,"Model"}</definedName>
    <definedName name="w_4_2" localSheetId="1" hidden="1">{"Assumptions",#N/A,FALSE,"Model"}</definedName>
    <definedName name="w_4_2" hidden="1">{"Assumptions",#N/A,FALSE,"Model"}</definedName>
    <definedName name="w_4_2_1" localSheetId="3" hidden="1">{"Assumptions",#N/A,FALSE,"Model"}</definedName>
    <definedName name="w_4_2_1" localSheetId="1" hidden="1">{"Assumptions",#N/A,FALSE,"Model"}</definedName>
    <definedName name="w_4_2_1" hidden="1">{"Assumptions",#N/A,FALSE,"Model"}</definedName>
    <definedName name="w_4_3" localSheetId="3" hidden="1">{"Assumptions",#N/A,FALSE,"Model"}</definedName>
    <definedName name="w_4_3" localSheetId="1" hidden="1">{"Assumptions",#N/A,FALSE,"Model"}</definedName>
    <definedName name="w_4_3" hidden="1">{"Assumptions",#N/A,FALSE,"Model"}</definedName>
    <definedName name="w_5" localSheetId="3" hidden="1">{"Assumptions",#N/A,FALSE,"Model"}</definedName>
    <definedName name="w_5" localSheetId="1" hidden="1">{"Assumptions",#N/A,FALSE,"Model"}</definedName>
    <definedName name="w_5" hidden="1">{"Assumptions",#N/A,FALSE,"Model"}</definedName>
    <definedName name="w_5_1" localSheetId="3" hidden="1">{"Assumptions",#N/A,FALSE,"Model"}</definedName>
    <definedName name="w_5_1" localSheetId="1" hidden="1">{"Assumptions",#N/A,FALSE,"Model"}</definedName>
    <definedName name="w_5_1" hidden="1">{"Assumptions",#N/A,FALSE,"Model"}</definedName>
    <definedName name="w_5_1_1" localSheetId="3" hidden="1">{"Assumptions",#N/A,FALSE,"Model"}</definedName>
    <definedName name="w_5_1_1" localSheetId="1" hidden="1">{"Assumptions",#N/A,FALSE,"Model"}</definedName>
    <definedName name="w_5_1_1" hidden="1">{"Assumptions",#N/A,FALSE,"Model"}</definedName>
    <definedName name="w_5_1_1_1" localSheetId="3" hidden="1">{"Assumptions",#N/A,FALSE,"Model"}</definedName>
    <definedName name="w_5_1_1_1" localSheetId="1" hidden="1">{"Assumptions",#N/A,FALSE,"Model"}</definedName>
    <definedName name="w_5_1_1_1" hidden="1">{"Assumptions",#N/A,FALSE,"Model"}</definedName>
    <definedName name="w_5_2" localSheetId="3" hidden="1">{"Assumptions",#N/A,FALSE,"Model"}</definedName>
    <definedName name="w_5_2" localSheetId="1" hidden="1">{"Assumptions",#N/A,FALSE,"Model"}</definedName>
    <definedName name="w_5_2" hidden="1">{"Assumptions",#N/A,FALSE,"Model"}</definedName>
    <definedName name="w_5_2_1" localSheetId="3" hidden="1">{"Assumptions",#N/A,FALSE,"Model"}</definedName>
    <definedName name="w_5_2_1" localSheetId="1" hidden="1">{"Assumptions",#N/A,FALSE,"Model"}</definedName>
    <definedName name="w_5_2_1" hidden="1">{"Assumptions",#N/A,FALSE,"Model"}</definedName>
    <definedName name="w_5_3" localSheetId="3" hidden="1">{"Assumptions",#N/A,FALSE,"Model"}</definedName>
    <definedName name="w_5_3" localSheetId="1" hidden="1">{"Assumptions",#N/A,FALSE,"Model"}</definedName>
    <definedName name="w_5_3" hidden="1">{"Assumptions",#N/A,FALSE,"Model"}</definedName>
    <definedName name="WA_Adv_Rate" localSheetId="1">#REF!</definedName>
    <definedName name="WA_Adv_Rate">#REF!</definedName>
    <definedName name="WA_Unfunded_Adv_Rate" localSheetId="1">#REF!</definedName>
    <definedName name="WA_Unfunded_Adv_Rate">#REF!</definedName>
    <definedName name="wacc.beta.2weekly" localSheetId="1">#REF!</definedName>
    <definedName name="wacc.beta.2weekly">#REF!</definedName>
    <definedName name="wacc.beta.5weekly" localSheetId="1">#REF!</definedName>
    <definedName name="wacc.beta.5weekly">#REF!</definedName>
    <definedName name="wacc.beta.backup" localSheetId="1">#REF!</definedName>
    <definedName name="wacc.beta.backup">#REF!</definedName>
    <definedName name="wacc.beta.index" localSheetId="1">#REF!</definedName>
    <definedName name="wacc.beta.index">#REF!</definedName>
    <definedName name="wacc.beta.raw" localSheetId="1">#REF!</definedName>
    <definedName name="wacc.beta.raw">#REF!</definedName>
    <definedName name="wacc.beta.term" localSheetId="1">#REF!</definedName>
    <definedName name="wacc.beta.term">#REF!</definedName>
    <definedName name="wacc.beta.type" localSheetId="1">#REF!</definedName>
    <definedName name="wacc.beta.type">#REF!</definedName>
    <definedName name="wacc.bond.1a" localSheetId="1">#REF!</definedName>
    <definedName name="wacc.bond.1a">#REF!</definedName>
    <definedName name="wacc.bond.2a" localSheetId="1">#REF!</definedName>
    <definedName name="wacc.bond.2a">#REF!</definedName>
    <definedName name="wacc.bond.3a" localSheetId="1">#REF!</definedName>
    <definedName name="wacc.bond.3a">#REF!</definedName>
    <definedName name="wacc.bond.baa" localSheetId="1">#REF!</definedName>
    <definedName name="wacc.bond.baa">#REF!</definedName>
    <definedName name="wacc.bond.corporate" localSheetId="1">#REF!</definedName>
    <definedName name="wacc.bond.corporate">#REF!</definedName>
    <definedName name="wacc.bond.rating" localSheetId="1">#REF!</definedName>
    <definedName name="wacc.bond.rating">#REF!</definedName>
    <definedName name="wacc.bond.type" localSheetId="1">#REF!</definedName>
    <definedName name="wacc.bond.type">#REF!</definedName>
    <definedName name="wacc.country.damodaran" localSheetId="1">#REF!</definedName>
    <definedName name="wacc.country.damodaran">#REF!</definedName>
    <definedName name="wacc.country.morningstar" localSheetId="1">#REF!</definedName>
    <definedName name="wacc.country.morningstar">#REF!</definedName>
    <definedName name="wacc.country.select" localSheetId="1">#REF!</definedName>
    <definedName name="wacc.country.select">#REF!</definedName>
    <definedName name="wacc.country.year" localSheetId="1">#REF!</definedName>
    <definedName name="wacc.country.year">#REF!</definedName>
    <definedName name="wacc.rfr.10year" localSheetId="1">#REF!</definedName>
    <definedName name="wacc.rfr.10year">#REF!</definedName>
    <definedName name="wacc.rfr.30year" localSheetId="1">#REF!</definedName>
    <definedName name="wacc.rfr.30year">#REF!</definedName>
    <definedName name="wacc.rfr.select" localSheetId="1">#REF!</definedName>
    <definedName name="wacc.rfr.select">#REF!</definedName>
    <definedName name="wacc.round.50bps" localSheetId="1">#REF!</definedName>
    <definedName name="wacc.round.50bps">#REF!</definedName>
    <definedName name="wacc.round.none" localSheetId="1">#REF!</definedName>
    <definedName name="wacc.round.none">#REF!</definedName>
    <definedName name="wacc.round.select" localSheetId="1">#REF!</definedName>
    <definedName name="wacc.round.select">#REF!</definedName>
    <definedName name="wacc.ru2" localSheetId="1">#REF!</definedName>
    <definedName name="wacc.ru2">#REF!</definedName>
    <definedName name="wacc.ru3" localSheetId="1">#REF!</definedName>
    <definedName name="wacc.ru3">#REF!</definedName>
    <definedName name="wacc.spread.year" localSheetId="1">#REF!</definedName>
    <definedName name="wacc.spread.year">#REF!</definedName>
    <definedName name="wacc.structure.5year" localSheetId="1">#REF!</definedName>
    <definedName name="wacc.structure.5year">#REF!</definedName>
    <definedName name="wacc.structure.select" localSheetId="1">#REF!</definedName>
    <definedName name="wacc.structure.select">#REF!</definedName>
    <definedName name="WAL_covenant" localSheetId="1">#REF!</definedName>
    <definedName name="WAL_covenant">#REF!</definedName>
    <definedName name="WatchList" localSheetId="1">#REF!</definedName>
    <definedName name="WatchList">#REF!</definedName>
    <definedName name="WatchListValue" localSheetId="1">#REF!</definedName>
    <definedName name="WatchListValue">#REF!</definedName>
    <definedName name="weq" hidden="1">#REF!</definedName>
    <definedName name="wesarasfdfdfds" localSheetId="3" hidden="1">{"e_Target Assumptions",#N/A,FALSE,"Financials";"f_Target Income Statement",#N/A,FALSE,"Financials";"g_Target Balance Sheet",#N/A,FALSE,"Financials";"h_Target Cashflow Statement",#N/A,FALSE,"Financials"}</definedName>
    <definedName name="wesarasfdfdfds" localSheetId="1" hidden="1">{"e_Target Assumptions",#N/A,FALSE,"Financials";"f_Target Income Statement",#N/A,FALSE,"Financials";"g_Target Balance Sheet",#N/A,FALSE,"Financials";"h_Target Cashflow Statement",#N/A,FALSE,"Financials"}</definedName>
    <definedName name="wesarasfdfdfds" hidden="1">{"e_Target Assumptions",#N/A,FALSE,"Financials";"f_Target Income Statement",#N/A,FALSE,"Financials";"g_Target Balance Sheet",#N/A,FALSE,"Financials";"h_Target Cashflow Statement",#N/A,FALSE,"Financials"}</definedName>
    <definedName name="wq" localSheetId="3" hidden="1">{"'PXR_6500'!$A$1:$I$124"}</definedName>
    <definedName name="wq" localSheetId="1" hidden="1">{"'PXR_6500'!$A$1:$I$124"}</definedName>
    <definedName name="wq" hidden="1">{"'PXR_6500'!$A$1:$I$124"}</definedName>
    <definedName name="wrn" localSheetId="3" hidden="1">{#N/A,#N/A,FALSE,"Balance Sheet";#N/A,#N/A,FALSE,"Income Statement";#N/A,#N/A,FALSE,"Partners Capital";#N/A,#N/A,FALSE,"Cash Flows";#N/A,#N/A,FALSE,"Support"}</definedName>
    <definedName name="wrn" localSheetId="1" hidden="1">{#N/A,#N/A,FALSE,"Balance Sheet";#N/A,#N/A,FALSE,"Income Statement";#N/A,#N/A,FALSE,"Partners Capital";#N/A,#N/A,FALSE,"Cash Flows";#N/A,#N/A,FALSE,"Support"}</definedName>
    <definedName name="wrn" hidden="1">{#N/A,#N/A,FALSE,"Balance Sheet";#N/A,#N/A,FALSE,"Income Statement";#N/A,#N/A,FALSE,"Partners Capital";#N/A,#N/A,FALSE,"Cash Flows";#N/A,#N/A,FALSE,"Support"}</definedName>
    <definedName name="wrn.1." localSheetId="3" hidden="1">{"cover",#N/A,TRUE,"Cover";"toc1",#N/A,TRUE,"TOC";"ts1",#N/A,TRUE,"Transaction Summary";"ei",#N/A,TRUE,"Earnings Impact";"ad",#N/A,TRUE,"accretion dilution"}</definedName>
    <definedName name="wrn.1." localSheetId="1" hidden="1">{"cover",#N/A,TRUE,"Cover";"toc1",#N/A,TRUE,"TOC";"ts1",#N/A,TRUE,"Transaction Summary";"ei",#N/A,TRUE,"Earnings Impact";"ad",#N/A,TRUE,"accretion dilution"}</definedName>
    <definedName name="wrn.1." hidden="1">{"cover",#N/A,TRUE,"Cover";"toc1",#N/A,TRUE,"TOC";"ts1",#N/A,TRUE,"Transaction Summary";"ei",#N/A,TRUE,"Earnings Impact";"ad",#N/A,TRUE,"accretion dilution"}</definedName>
    <definedName name="wrn.10." localSheetId="3" hidden="1">{"cover",#N/A,TRUE,"Cover";"toc3",#N/A,TRUE,"TOC";"over",#N/A,TRUE,"Overview";"ts2",#N/A,TRUE,"Det_Trans_Sum";"ei1c",#N/A,TRUE,"Earnings Impact";"ad1",#N/A,TRUE,"accretion dilution";"pfis1",#N/A,TRUE,"Pro Forma Income Statement";"acq1c",#N/A,TRUE,"Acquirer";"tar1c",#N/A,TRUE,"Target"}</definedName>
    <definedName name="wrn.10." localSheetId="1" hidden="1">{"cover",#N/A,TRUE,"Cover";"toc3",#N/A,TRUE,"TOC";"over",#N/A,TRUE,"Overview";"ts2",#N/A,TRUE,"Det_Trans_Sum";"ei1c",#N/A,TRUE,"Earnings Impact";"ad1",#N/A,TRUE,"accretion dilution";"pfis1",#N/A,TRUE,"Pro Forma Income Statement";"acq1c",#N/A,TRUE,"Acquirer";"tar1c",#N/A,TRUE,"Target"}</definedName>
    <definedName name="wrn.10." hidden="1">{"cover",#N/A,TRUE,"Cover";"toc3",#N/A,TRUE,"TOC";"over",#N/A,TRUE,"Overview";"ts2",#N/A,TRUE,"Det_Trans_Sum";"ei1c",#N/A,TRUE,"Earnings Impact";"ad1",#N/A,TRUE,"accretion dilution";"pfis1",#N/A,TRUE,"Pro Forma Income Statement";"acq1c",#N/A,TRUE,"Acquirer";"tar1c",#N/A,TRUE,"Target"}</definedName>
    <definedName name="wrn.11." localSheetId="3" hidden="1">{"cover",#N/A,TRUE,"Cover";"toc3",#N/A,TRUE,"TOC";"over",#N/A,TRUE,"Overview";"ts2",#N/A,TRUE,"Det_Trans_Sum";"ei2c",#N/A,TRUE,"Earnings Impact";"ad2",#N/A,TRUE,"accretion dilution";"pfis2",#N/A,TRUE,"Pro Forma Income Statement";"acq2c",#N/A,TRUE,"Acquirer";"tar2c",#N/A,TRUE,"Target"}</definedName>
    <definedName name="wrn.11." localSheetId="1" hidden="1">{"cover",#N/A,TRUE,"Cover";"toc3",#N/A,TRUE,"TOC";"over",#N/A,TRUE,"Overview";"ts2",#N/A,TRUE,"Det_Trans_Sum";"ei2c",#N/A,TRUE,"Earnings Impact";"ad2",#N/A,TRUE,"accretion dilution";"pfis2",#N/A,TRUE,"Pro Forma Income Statement";"acq2c",#N/A,TRUE,"Acquirer";"tar2c",#N/A,TRUE,"Target"}</definedName>
    <definedName name="wrn.11." hidden="1">{"cover",#N/A,TRUE,"Cover";"toc3",#N/A,TRUE,"TOC";"over",#N/A,TRUE,"Overview";"ts2",#N/A,TRUE,"Det_Trans_Sum";"ei2c",#N/A,TRUE,"Earnings Impact";"ad2",#N/A,TRUE,"accretion dilution";"pfis2",#N/A,TRUE,"Pro Forma Income Statement";"acq2c",#N/A,TRUE,"Acquirer";"tar2c",#N/A,TRUE,"Target"}</definedName>
    <definedName name="wrn.12." localSheetId="3" hidden="1">{"cover",#N/A,TRUE,"Cover";"toc3",#N/A,TRUE,"TOC";"over",#N/A,TRUE,"Overview";"ts2",#N/A,TRUE,"Det_Trans_Sum";"ei3c",#N/A,TRUE,"Earnings Impact";"ad3",#N/A,TRUE,"accretion dilution";"pfis3",#N/A,TRUE,"Pro Forma Income Statement";"acq3c",#N/A,TRUE,"Acquirer";"tar3c",#N/A,TRUE,"Target"}</definedName>
    <definedName name="wrn.12." localSheetId="1" hidden="1">{"cover",#N/A,TRUE,"Cover";"toc3",#N/A,TRUE,"TOC";"over",#N/A,TRUE,"Overview";"ts2",#N/A,TRUE,"Det_Trans_Sum";"ei3c",#N/A,TRUE,"Earnings Impact";"ad3",#N/A,TRUE,"accretion dilution";"pfis3",#N/A,TRUE,"Pro Forma Income Statement";"acq3c",#N/A,TRUE,"Acquirer";"tar3c",#N/A,TRUE,"Target"}</definedName>
    <definedName name="wrn.12." hidden="1">{"cover",#N/A,TRUE,"Cover";"toc3",#N/A,TRUE,"TOC";"over",#N/A,TRUE,"Overview";"ts2",#N/A,TRUE,"Det_Trans_Sum";"ei3c",#N/A,TRUE,"Earnings Impact";"ad3",#N/A,TRUE,"accretion dilution";"pfis3",#N/A,TRUE,"Pro Forma Income Statement";"acq3c",#N/A,TRUE,"Acquirer";"tar3c",#N/A,TRUE,"Target"}</definedName>
    <definedName name="wrn.13." localSheetId="3" hidden="1">{"cover",#N/A,TRUE,"Cover";"toc4",#N/A,TRUE,"TOC";"over",#N/A,TRUE,"Overview";"ts2",#N/A,TRUE,"Det_Trans_Sum";"eic",#N/A,TRUE,"Earnings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Statement";"ca",#N/A,TRUE,"Contribution_Analysis";"acqc",#N/A,TRUE,"Acquirer";"tarc",#N/A,TRUE,"Target"}</definedName>
    <definedName name="wrn.13." localSheetId="1" hidden="1">{"cover",#N/A,TRUE,"Cover";"toc4",#N/A,TRUE,"TOC";"over",#N/A,TRUE,"Overview";"ts2",#N/A,TRUE,"Det_Trans_Sum";"eic",#N/A,TRUE,"Earnings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Statement";"ca",#N/A,TRUE,"Contribution_Analysis";"acqc",#N/A,TRUE,"Acquirer";"tarc",#N/A,TRUE,"Target"}</definedName>
    <definedName name="wrn.13." hidden="1">{"cover",#N/A,TRUE,"Cover";"toc4",#N/A,TRUE,"TOC";"over",#N/A,TRUE,"Overview";"ts2",#N/A,TRUE,"Det_Trans_Sum";"eic",#N/A,TRUE,"Earnings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Statement";"ca",#N/A,TRUE,"Contribution_Analysis";"acqc",#N/A,TRUE,"Acquirer";"tarc",#N/A,TRUE,"Target"}</definedName>
    <definedName name="wrn.14." localSheetId="3" hidden="1">{"cover",#N/A,TRUE,"Cover";"toc4",#N/A,TRUE,"TOC";"over",#N/A,TRUE,"Overview";"ts2",#N/A,TRUE,"Det_Trans_Sum";"ei1c",#N/A,TRUE,"Earnings Impact";"ad1",#N/A,TRUE,"accretion dilution";"tas",#N/A,TRUE,"TaintedShares";"hg1",#N/A,TRUE,"Has-Gets";"pfis1",#N/A,TRUE,"Pro Forma Income Statement";"ca1",#N/A,TRUE,"Contribution_Analysis";"acq1c",#N/A,TRUE,"Acquirer";"tar1c",#N/A,TRUE,"Target"}</definedName>
    <definedName name="wrn.14." localSheetId="1" hidden="1">{"cover",#N/A,TRUE,"Cover";"toc4",#N/A,TRUE,"TOC";"over",#N/A,TRUE,"Overview";"ts2",#N/A,TRUE,"Det_Trans_Sum";"ei1c",#N/A,TRUE,"Earnings Impact";"ad1",#N/A,TRUE,"accretion dilution";"tas",#N/A,TRUE,"TaintedShares";"hg1",#N/A,TRUE,"Has-Gets";"pfis1",#N/A,TRUE,"Pro Forma Income Statement";"ca1",#N/A,TRUE,"Contribution_Analysis";"acq1c",#N/A,TRUE,"Acquirer";"tar1c",#N/A,TRUE,"Target"}</definedName>
    <definedName name="wrn.14." hidden="1">{"cover",#N/A,TRUE,"Cover";"toc4",#N/A,TRUE,"TOC";"over",#N/A,TRUE,"Overview";"ts2",#N/A,TRUE,"Det_Trans_Sum";"ei1c",#N/A,TRUE,"Earnings Impact";"ad1",#N/A,TRUE,"accretion dilution";"tas",#N/A,TRUE,"TaintedShares";"hg1",#N/A,TRUE,"Has-Gets";"pfis1",#N/A,TRUE,"Pro Forma Income Statement";"ca1",#N/A,TRUE,"Contribution_Analysis";"acq1c",#N/A,TRUE,"Acquirer";"tar1c",#N/A,TRUE,"Target"}</definedName>
    <definedName name="wrn.15." localSheetId="3" hidden="1">{"cover",#N/A,TRUE,"Cover";"toc4",#N/A,TRUE,"TOC";"over",#N/A,TRUE,"Overview";"ts2",#N/A,TRUE,"Det_Trans_Sum";"ei2c",#N/A,TRUE,"Earnings Impact";"ad2",#N/A,TRUE,"accretion dilution";"tas",#N/A,TRUE,"TaintedShares";"hg2",#N/A,TRUE,"Has-Gets";"pfis2",#N/A,TRUE,"Pro Forma Income Statement";"ca2",#N/A,TRUE,"Contribution_Analysis";"acq2c",#N/A,TRUE,"Acquirer";"tar2c",#N/A,TRUE,"Target"}</definedName>
    <definedName name="wrn.15." localSheetId="1" hidden="1">{"cover",#N/A,TRUE,"Cover";"toc4",#N/A,TRUE,"TOC";"over",#N/A,TRUE,"Overview";"ts2",#N/A,TRUE,"Det_Trans_Sum";"ei2c",#N/A,TRUE,"Earnings Impact";"ad2",#N/A,TRUE,"accretion dilution";"tas",#N/A,TRUE,"TaintedShares";"hg2",#N/A,TRUE,"Has-Gets";"pfis2",#N/A,TRUE,"Pro Forma Income Statement";"ca2",#N/A,TRUE,"Contribution_Analysis";"acq2c",#N/A,TRUE,"Acquirer";"tar2c",#N/A,TRUE,"Target"}</definedName>
    <definedName name="wrn.15." hidden="1">{"cover",#N/A,TRUE,"Cover";"toc4",#N/A,TRUE,"TOC";"over",#N/A,TRUE,"Overview";"ts2",#N/A,TRUE,"Det_Trans_Sum";"ei2c",#N/A,TRUE,"Earnings Impact";"ad2",#N/A,TRUE,"accretion dilution";"tas",#N/A,TRUE,"TaintedShares";"hg2",#N/A,TRUE,"Has-Gets";"pfis2",#N/A,TRUE,"Pro Forma Income Statement";"ca2",#N/A,TRUE,"Contribution_Analysis";"acq2c",#N/A,TRUE,"Acquirer";"tar2c",#N/A,TRUE,"Target"}</definedName>
    <definedName name="wrn.16." localSheetId="3" hidden="1">{"cover",#N/A,TRUE,"Cover";"toc4",#N/A,TRUE,"TOC";"over",#N/A,TRUE,"Overview";"ts2",#N/A,TRUE,"Det_Trans_Sum";"ei3c",#N/A,TRUE,"Earnings Impact";"ad3",#N/A,TRUE,"accretion dilution";"tas",#N/A,TRUE,"TaintedShares";"hg3",#N/A,TRUE,"Has-Gets";"pfis3",#N/A,TRUE,"Pro Forma Income Statement";"ca3",#N/A,TRUE,"Contribution_Analysis";"acq3c",#N/A,TRUE,"Acquirer";"tar3c",#N/A,TRUE,"Target"}</definedName>
    <definedName name="wrn.16." localSheetId="1" hidden="1">{"cover",#N/A,TRUE,"Cover";"toc4",#N/A,TRUE,"TOC";"over",#N/A,TRUE,"Overview";"ts2",#N/A,TRUE,"Det_Trans_Sum";"ei3c",#N/A,TRUE,"Earnings Impact";"ad3",#N/A,TRUE,"accretion dilution";"tas",#N/A,TRUE,"TaintedShares";"hg3",#N/A,TRUE,"Has-Gets";"pfis3",#N/A,TRUE,"Pro Forma Income Statement";"ca3",#N/A,TRUE,"Contribution_Analysis";"acq3c",#N/A,TRUE,"Acquirer";"tar3c",#N/A,TRUE,"Target"}</definedName>
    <definedName name="wrn.16." hidden="1">{"cover",#N/A,TRUE,"Cover";"toc4",#N/A,TRUE,"TOC";"over",#N/A,TRUE,"Overview";"ts2",#N/A,TRUE,"Det_Trans_Sum";"ei3c",#N/A,TRUE,"Earnings Impact";"ad3",#N/A,TRUE,"accretion dilution";"tas",#N/A,TRUE,"TaintedShares";"hg3",#N/A,TRUE,"Has-Gets";"pfis3",#N/A,TRUE,"Pro Forma Income Statement";"ca3",#N/A,TRUE,"Contribution_Analysis";"acq3c",#N/A,TRUE,"Acquirer";"tar3c",#N/A,TRUE,"Target"}</definedName>
    <definedName name="wrn.17." localSheetId="3" hidden="1">{"cover",#N/A,TRUE,"Cover";"toc5",#N/A,TRUE,"TOC";"over",#N/A,TRUE,"Overview";"ts2",#N/A,TRUE,"Det_Trans_Sum";"eic",#N/A,TRUE,"Earnings Impact";"ad",#N/A,TRUE,"accretion dilution";"pfis",#N/A,TRUE,"Pro Forma Income Statement";"ca",#N/A,TRUE,"Contribution_Analysis";"acqc",#N/A,TRUE,"Acquirer";"tarc",#N/A,TRUE,"Target"}</definedName>
    <definedName name="wrn.17." localSheetId="1" hidden="1">{"cover",#N/A,TRUE,"Cover";"toc5",#N/A,TRUE,"TOC";"over",#N/A,TRUE,"Overview";"ts2",#N/A,TRUE,"Det_Trans_Sum";"eic",#N/A,TRUE,"Earnings Impact";"ad",#N/A,TRUE,"accretion dilution";"pfis",#N/A,TRUE,"Pro Forma Income Statement";"ca",#N/A,TRUE,"Contribution_Analysis";"acqc",#N/A,TRUE,"Acquirer";"tarc",#N/A,TRUE,"Target"}</definedName>
    <definedName name="wrn.17." hidden="1">{"cover",#N/A,TRUE,"Cover";"toc5",#N/A,TRUE,"TOC";"over",#N/A,TRUE,"Overview";"ts2",#N/A,TRUE,"Det_Trans_Sum";"eic",#N/A,TRUE,"Earnings Impact";"ad",#N/A,TRUE,"accretion dilution";"pfis",#N/A,TRUE,"Pro Forma Income Statement";"ca",#N/A,TRUE,"Contribution_Analysis";"acqc",#N/A,TRUE,"Acquirer";"tarc",#N/A,TRUE,"Target"}</definedName>
    <definedName name="wrn.18." localSheetId="3" hidden="1">{"cover",#N/A,TRUE,"Cover";"toc5",#N/A,TRUE,"TOC";"over",#N/A,TRUE,"Overview";"ts2",#N/A,TRUE,"Det_Trans_Sum";"ei1c",#N/A,TRUE,"Earnings Impact";"ad1",#N/A,TRUE,"accretion dilution";"pfis1",#N/A,TRUE,"Pro Forma Income Statement";"ca1",#N/A,TRUE,"Contribution_Analysis";"acq1c",#N/A,TRUE,"Acquirer";"tar1c",#N/A,TRUE,"Target"}</definedName>
    <definedName name="wrn.18." localSheetId="1" hidden="1">{"cover",#N/A,TRUE,"Cover";"toc5",#N/A,TRUE,"TOC";"over",#N/A,TRUE,"Overview";"ts2",#N/A,TRUE,"Det_Trans_Sum";"ei1c",#N/A,TRUE,"Earnings Impact";"ad1",#N/A,TRUE,"accretion dilution";"pfis1",#N/A,TRUE,"Pro Forma Income Statement";"ca1",#N/A,TRUE,"Contribution_Analysis";"acq1c",#N/A,TRUE,"Acquirer";"tar1c",#N/A,TRUE,"Target"}</definedName>
    <definedName name="wrn.18." hidden="1">{"cover",#N/A,TRUE,"Cover";"toc5",#N/A,TRUE,"TOC";"over",#N/A,TRUE,"Overview";"ts2",#N/A,TRUE,"Det_Trans_Sum";"ei1c",#N/A,TRUE,"Earnings Impact";"ad1",#N/A,TRUE,"accretion dilution";"pfis1",#N/A,TRUE,"Pro Forma Income Statement";"ca1",#N/A,TRUE,"Contribution_Analysis";"acq1c",#N/A,TRUE,"Acquirer";"tar1c",#N/A,TRUE,"Target"}</definedName>
    <definedName name="wrn.19." localSheetId="3" hidden="1">{"cover",#N/A,TRUE,"Cover";"toc5",#N/A,TRUE,"TOC";"ts2",#N/A,TRUE,"Det_Trans_Sum";"over",#N/A,TRUE,"Overview";"ei2c",#N/A,TRUE,"Earnings Impact";"ad2",#N/A,TRUE,"accretion dilution";"pfis2",#N/A,TRUE,"Pro Forma Income Statement";"ca2",#N/A,TRUE,"Contribution_Analysis";"acq2c",#N/A,TRUE,"Acquirer";"tar2c",#N/A,TRUE,"Target"}</definedName>
    <definedName name="wrn.19." localSheetId="1" hidden="1">{"cover",#N/A,TRUE,"Cover";"toc5",#N/A,TRUE,"TOC";"ts2",#N/A,TRUE,"Det_Trans_Sum";"over",#N/A,TRUE,"Overview";"ei2c",#N/A,TRUE,"Earnings Impact";"ad2",#N/A,TRUE,"accretion dilution";"pfis2",#N/A,TRUE,"Pro Forma Income Statement";"ca2",#N/A,TRUE,"Contribution_Analysis";"acq2c",#N/A,TRUE,"Acquirer";"tar2c",#N/A,TRUE,"Target"}</definedName>
    <definedName name="wrn.19." hidden="1">{"cover",#N/A,TRUE,"Cover";"toc5",#N/A,TRUE,"TOC";"ts2",#N/A,TRUE,"Det_Trans_Sum";"over",#N/A,TRUE,"Overview";"ei2c",#N/A,TRUE,"Earnings Impact";"ad2",#N/A,TRUE,"accretion dilution";"pfis2",#N/A,TRUE,"Pro Forma Income Statement";"ca2",#N/A,TRUE,"Contribution_Analysis";"acq2c",#N/A,TRUE,"Acquirer";"tar2c",#N/A,TRUE,"Target"}</definedName>
    <definedName name="wrn.1996._.BUDGET." localSheetId="3" hidden="1">{"SUMMARY",#N/A,TRUE,"SUMMARY";"compare",#N/A,TRUE,"Vs. Bus Plan";"ratios",#N/A,TRUE,"Ratios";"REVENUE",#N/A,TRUE,"Revenue";"expenses",#N/A,TRUE,"1996 budget";"payroll",#N/A,TRUE,"Payroll"}</definedName>
    <definedName name="wrn.1996._.BUDGET." localSheetId="1" hidden="1">{"SUMMARY",#N/A,TRUE,"SUMMARY";"compare",#N/A,TRUE,"Vs. Bus Plan";"ratios",#N/A,TRUE,"Ratios";"REVENUE",#N/A,TRUE,"Revenue";"expenses",#N/A,TRUE,"1996 budget";"payroll",#N/A,TRUE,"Payroll"}</definedName>
    <definedName name="wrn.1996._.BUDGET." hidden="1">{"SUMMARY",#N/A,TRUE,"SUMMARY";"compare",#N/A,TRUE,"Vs. Bus Plan";"ratios",#N/A,TRUE,"Ratios";"REVENUE",#N/A,TRUE,"Revenue";"expenses",#N/A,TRUE,"1996 budget";"payroll",#N/A,TRUE,"Payroll"}</definedName>
    <definedName name="wrn.1996._.BUDGET.1" localSheetId="3" hidden="1">{"SUMMARY",#N/A,TRUE,"SUMMARY";"compare",#N/A,TRUE,"Vs. Bus Plan";"ratios",#N/A,TRUE,"Ratios";"REVENUE",#N/A,TRUE,"Revenue";"expenses",#N/A,TRUE,"1996 budget";"payroll",#N/A,TRUE,"Payroll"}</definedName>
    <definedName name="wrn.1996._.BUDGET.1" localSheetId="1" hidden="1">{"SUMMARY",#N/A,TRUE,"SUMMARY";"compare",#N/A,TRUE,"Vs. Bus Plan";"ratios",#N/A,TRUE,"Ratios";"REVENUE",#N/A,TRUE,"Revenue";"expenses",#N/A,TRUE,"1996 budget";"payroll",#N/A,TRUE,"Payroll"}</definedName>
    <definedName name="wrn.1996._.BUDGET.1" hidden="1">{"SUMMARY",#N/A,TRUE,"SUMMARY";"compare",#N/A,TRUE,"Vs. Bus Plan";"ratios",#N/A,TRUE,"Ratios";"REVENUE",#N/A,TRUE,"Revenue";"expenses",#N/A,TRUE,"1996 budget";"payroll",#N/A,TRUE,"Payroll"}</definedName>
    <definedName name="wrn.1996._.TO._.2004." localSheetId="3" hidden="1">{"ten year ratios",#N/A,TRUE,"PROFIT_LOSS";"ten year ratios",#N/A,TRUE,"Ratios";"ten yr opex and capex",#N/A,TRUE,"1996 budget";"ten year revenues",#N/A,TRUE,"Revenue_1996-2004";"ten year payroll",#N/A,TRUE,"Payroll"}</definedName>
    <definedName name="wrn.1996._.TO._.2004." localSheetId="1" hidden="1">{"ten year ratios",#N/A,TRUE,"PROFIT_LOSS";"ten year ratios",#N/A,TRUE,"Ratios";"ten yr opex and capex",#N/A,TRUE,"1996 budget";"ten year revenues",#N/A,TRUE,"Revenue_1996-2004";"ten year payroll",#N/A,TRUE,"Payroll"}</definedName>
    <definedName name="wrn.1996._.TO._.2004." hidden="1">{"ten year ratios",#N/A,TRUE,"PROFIT_LOSS";"ten year ratios",#N/A,TRUE,"Ratios";"ten yr opex and capex",#N/A,TRUE,"1996 budget";"ten year revenues",#N/A,TRUE,"Revenue_1996-2004";"ten year payroll",#N/A,TRUE,"Payroll"}</definedName>
    <definedName name="wrn.2." localSheetId="3" hidden="1">{"cover",#N/A,TRUE,"Cover";"toc1",#N/A,TRUE,"TOC";"ts1",#N/A,TRUE,"Transaction Summary";"ei1",#N/A,TRUE,"Earnings Impact";"ad1",#N/A,TRUE,"accretion dilution"}</definedName>
    <definedName name="wrn.2." localSheetId="1" hidden="1">{"cover",#N/A,TRUE,"Cover";"toc1",#N/A,TRUE,"TOC";"ts1",#N/A,TRUE,"Transaction Summary";"ei1",#N/A,TRUE,"Earnings Impact";"ad1",#N/A,TRUE,"accretion dilution"}</definedName>
    <definedName name="wrn.2." hidden="1">{"cover",#N/A,TRUE,"Cover";"toc1",#N/A,TRUE,"TOC";"ts1",#N/A,TRUE,"Transaction Summary";"ei1",#N/A,TRUE,"Earnings Impact";"ad1",#N/A,TRUE,"accretion dilution"}</definedName>
    <definedName name="wrn.2._.pagers." localSheetId="3" hidden="1">{"Cover",#N/A,FALSE,"Cover";"Summary",#N/A,FALSE,"Summarpage"}</definedName>
    <definedName name="wrn.2._.pagers." localSheetId="1" hidden="1">{"Cover",#N/A,FALSE,"Cover";"Summary",#N/A,FALSE,"Summarpage"}</definedName>
    <definedName name="wrn.2._.pagers." hidden="1">{"Cover",#N/A,FALSE,"Cover";"Summary",#N/A,FALSE,"Summarpage"}</definedName>
    <definedName name="wrn.20." localSheetId="3" hidden="1">{"cover",#N/A,TRUE,"Cover";"toc5",#N/A,TRUE,"TOC";"over",#N/A,TRUE,"Overview";"ts2",#N/A,TRUE,"Det_Trans_Sum";"ei3c",#N/A,TRUE,"Earnings Impact";"ad3",#N/A,TRUE,"accretion dilution";"pfis3",#N/A,TRUE,"Pro Forma Income Statement";"ca3",#N/A,TRUE,"Contribution_Analysis";"acq3c",#N/A,TRUE,"Acquirer";"tar3c",#N/A,TRUE,"Target"}</definedName>
    <definedName name="wrn.20." localSheetId="1" hidden="1">{"cover",#N/A,TRUE,"Cover";"toc5",#N/A,TRUE,"TOC";"over",#N/A,TRUE,"Overview";"ts2",#N/A,TRUE,"Det_Trans_Sum";"ei3c",#N/A,TRUE,"Earnings Impact";"ad3",#N/A,TRUE,"accretion dilution";"pfis3",#N/A,TRUE,"Pro Forma Income Statement";"ca3",#N/A,TRUE,"Contribution_Analysis";"acq3c",#N/A,TRUE,"Acquirer";"tar3c",#N/A,TRUE,"Target"}</definedName>
    <definedName name="wrn.20." hidden="1">{"cover",#N/A,TRUE,"Cover";"toc5",#N/A,TRUE,"TOC";"over",#N/A,TRUE,"Overview";"ts2",#N/A,TRUE,"Det_Trans_Sum";"ei3c",#N/A,TRUE,"Earnings Impact";"ad3",#N/A,TRUE,"accretion dilution";"pfis3",#N/A,TRUE,"Pro Forma Income Statement";"ca3",#N/A,TRUE,"Contribution_Analysis";"acq3c",#N/A,TRUE,"Acquirer";"tar3c",#N/A,TRUE,"Target"}</definedName>
    <definedName name="wrn.21." localSheetId="3" hidden="1">{"cover",#N/A,TRUE,"Cover";"toc6",#N/A,TRUE,"TOC";"over",#N/A,TRUE,"Overview";"ts2",#N/A,TRUE,"Det_Trans_Sum";"eic",#N/A,TRUE,"Earnings Impact";"ad",#N/A,TRUE,"accretion dilution";"hg",#N/A,TRUE,"Has-Gets";"pfis",#N/A,TRUE,"Pro Forma Income Statement";"ca",#N/A,TRUE,"Contribution_Analysis";"acqc",#N/A,TRUE,"Acquirer";"tarc",#N/A,TRUE,"Target"}</definedName>
    <definedName name="wrn.21." localSheetId="1" hidden="1">{"cover",#N/A,TRUE,"Cover";"toc6",#N/A,TRUE,"TOC";"over",#N/A,TRUE,"Overview";"ts2",#N/A,TRUE,"Det_Trans_Sum";"eic",#N/A,TRUE,"Earnings Impact";"ad",#N/A,TRUE,"accretion dilution";"hg",#N/A,TRUE,"Has-Gets";"pfis",#N/A,TRUE,"Pro Forma Income Statement";"ca",#N/A,TRUE,"Contribution_Analysis";"acqc",#N/A,TRUE,"Acquirer";"tarc",#N/A,TRUE,"Target"}</definedName>
    <definedName name="wrn.21." hidden="1">{"cover",#N/A,TRUE,"Cover";"toc6",#N/A,TRUE,"TOC";"over",#N/A,TRUE,"Overview";"ts2",#N/A,TRUE,"Det_Trans_Sum";"eic",#N/A,TRUE,"Earnings Impact";"ad",#N/A,TRUE,"accretion dilution";"hg",#N/A,TRUE,"Has-Gets";"pfis",#N/A,TRUE,"Pro Forma Income Statement";"ca",#N/A,TRUE,"Contribution_Analysis";"acqc",#N/A,TRUE,"Acquirer";"tarc",#N/A,TRUE,"Target"}</definedName>
    <definedName name="wrn.22." localSheetId="3" hidden="1">{"cover",#N/A,TRUE,"Cover";"toc6",#N/A,TRUE,"TOC";"over",#N/A,TRUE,"Overview";"ts2",#N/A,TRUE,"Det_Trans_Sum";"ei1c",#N/A,TRUE,"Earnings Impact";"ad1",#N/A,TRUE,"accretion dilution";"hg1",#N/A,TRUE,"Has-Gets";"pfis1",#N/A,TRUE,"Pro Forma Income Statement";"ca1",#N/A,TRUE,"Contribution_Analysis";"acq1c",#N/A,TRUE,"Acquirer";"tar1c",#N/A,TRUE,"Target"}</definedName>
    <definedName name="wrn.22." localSheetId="1" hidden="1">{"cover",#N/A,TRUE,"Cover";"toc6",#N/A,TRUE,"TOC";"over",#N/A,TRUE,"Overview";"ts2",#N/A,TRUE,"Det_Trans_Sum";"ei1c",#N/A,TRUE,"Earnings Impact";"ad1",#N/A,TRUE,"accretion dilution";"hg1",#N/A,TRUE,"Has-Gets";"pfis1",#N/A,TRUE,"Pro Forma Income Statement";"ca1",#N/A,TRUE,"Contribution_Analysis";"acq1c",#N/A,TRUE,"Acquirer";"tar1c",#N/A,TRUE,"Target"}</definedName>
    <definedName name="wrn.22." hidden="1">{"cover",#N/A,TRUE,"Cover";"toc6",#N/A,TRUE,"TOC";"over",#N/A,TRUE,"Overview";"ts2",#N/A,TRUE,"Det_Trans_Sum";"ei1c",#N/A,TRUE,"Earnings Impact";"ad1",#N/A,TRUE,"accretion dilution";"hg1",#N/A,TRUE,"Has-Gets";"pfis1",#N/A,TRUE,"Pro Forma Income Statement";"ca1",#N/A,TRUE,"Contribution_Analysis";"acq1c",#N/A,TRUE,"Acquirer";"tar1c",#N/A,TRUE,"Target"}</definedName>
    <definedName name="wrn.23." localSheetId="3" hidden="1">{"cover",#N/A,TRUE,"Cover";"toc6",#N/A,TRUE,"TOC";"pfis3",#N/A,TRUE,"Overview";"ts2",#N/A,TRUE,"Det_Trans_Sum";"ei2c",#N/A,TRUE,"Earnings Impact";"ad2",#N/A,TRUE,"accretion dilution";"hg2",#N/A,TRUE,"Has-Gets";"pfis2",#N/A,TRUE,"Pro Forma Income Statement";"ca2",#N/A,TRUE,"Contribution_Analysis";"acq2c",#N/A,TRUE,"Acquirer";"tar2c",#N/A,TRUE,"Target"}</definedName>
    <definedName name="wrn.23." localSheetId="1" hidden="1">{"cover",#N/A,TRUE,"Cover";"toc6",#N/A,TRUE,"TOC";"pfis3",#N/A,TRUE,"Overview";"ts2",#N/A,TRUE,"Det_Trans_Sum";"ei2c",#N/A,TRUE,"Earnings Impact";"ad2",#N/A,TRUE,"accretion dilution";"hg2",#N/A,TRUE,"Has-Gets";"pfis2",#N/A,TRUE,"Pro Forma Income Statement";"ca2",#N/A,TRUE,"Contribution_Analysis";"acq2c",#N/A,TRUE,"Acquirer";"tar2c",#N/A,TRUE,"Target"}</definedName>
    <definedName name="wrn.23." hidden="1">{"cover",#N/A,TRUE,"Cover";"toc6",#N/A,TRUE,"TOC";"pfis3",#N/A,TRUE,"Overview";"ts2",#N/A,TRUE,"Det_Trans_Sum";"ei2c",#N/A,TRUE,"Earnings Impact";"ad2",#N/A,TRUE,"accretion dilution";"hg2",#N/A,TRUE,"Has-Gets";"pfis2",#N/A,TRUE,"Pro Forma Income Statement";"ca2",#N/A,TRUE,"Contribution_Analysis";"acq2c",#N/A,TRUE,"Acquirer";"tar2c",#N/A,TRUE,"Target"}</definedName>
    <definedName name="wrn.24." localSheetId="3" hidden="1">{"cover",#N/A,TRUE,"Cover";"toc6",#N/A,TRUE,"TOC";"over",#N/A,TRUE,"Overview";"ts2",#N/A,TRUE,"Det_Trans_Sum";"ei3c",#N/A,TRUE,"Earnings Impact";"ad3",#N/A,TRUE,"accretion dilution";"hg3",#N/A,TRUE,"Has-Gets";"pfis",#N/A,TRUE,"Pro Forma Income Statement";"ca3",#N/A,TRUE,"Contribution_Analysis";"acq3c",#N/A,TRUE,"Acquirer";"tar3c",#N/A,TRUE,"Target"}</definedName>
    <definedName name="wrn.24." localSheetId="1" hidden="1">{"cover",#N/A,TRUE,"Cover";"toc6",#N/A,TRUE,"TOC";"over",#N/A,TRUE,"Overview";"ts2",#N/A,TRUE,"Det_Trans_Sum";"ei3c",#N/A,TRUE,"Earnings Impact";"ad3",#N/A,TRUE,"accretion dilution";"hg3",#N/A,TRUE,"Has-Gets";"pfis",#N/A,TRUE,"Pro Forma Income Statement";"ca3",#N/A,TRUE,"Contribution_Analysis";"acq3c",#N/A,TRUE,"Acquirer";"tar3c",#N/A,TRUE,"Target"}</definedName>
    <definedName name="wrn.24." hidden="1">{"cover",#N/A,TRUE,"Cover";"toc6",#N/A,TRUE,"TOC";"over",#N/A,TRUE,"Overview";"ts2",#N/A,TRUE,"Det_Trans_Sum";"ei3c",#N/A,TRUE,"Earnings Impact";"ad3",#N/A,TRUE,"accretion dilution";"hg3",#N/A,TRUE,"Has-Gets";"pfis",#N/A,TRUE,"Pro Forma Income Statement";"ca3",#N/A,TRUE,"Contribution_Analysis";"acq3c",#N/A,TRUE,"Acquirer";"tar3c",#N/A,TRUE,"Target"}</definedName>
    <definedName name="wrn.25." localSheetId="3" hidden="1">{"cover",#N/A,TRUE,"Cover";"toc3",#N/A,TRUE,"TOC";"over",#N/A,TRUE,"Overview";"ts2",#N/A,TRUE,"Det_Trans_Sum";"ei",#N/A,TRUE,"Earnings Impact";"ad",#N/A,TRUE,"accretion dilution";"pfis",#N/A,TRUE,"Pro Forma Income Statement";"acq",#N/A,TRUE,"Acquirer";"tar",#N/A,TRUE,"Target"}</definedName>
    <definedName name="wrn.25." localSheetId="1" hidden="1">{"cover",#N/A,TRUE,"Cover";"toc3",#N/A,TRUE,"TOC";"over",#N/A,TRUE,"Overview";"ts2",#N/A,TRUE,"Det_Trans_Sum";"ei",#N/A,TRUE,"Earnings Impact";"ad",#N/A,TRUE,"accretion dilution";"pfis",#N/A,TRUE,"Pro Forma Income Statement";"acq",#N/A,TRUE,"Acquirer";"tar",#N/A,TRUE,"Target"}</definedName>
    <definedName name="wrn.25." hidden="1">{"cover",#N/A,TRUE,"Cover";"toc3",#N/A,TRUE,"TOC";"over",#N/A,TRUE,"Overview";"ts2",#N/A,TRUE,"Det_Trans_Sum";"ei",#N/A,TRUE,"Earnings Impact";"ad",#N/A,TRUE,"accretion dilution";"pfis",#N/A,TRUE,"Pro Forma Income Statement";"acq",#N/A,TRUE,"Acquirer";"tar",#N/A,TRUE,"Target"}</definedName>
    <definedName name="wrn.26." localSheetId="3" hidden="1">{"cover",#N/A,TRUE,"Cover";"toc3",#N/A,TRUE,"TOC";"over",#N/A,TRUE,"Overview";"ts2",#N/A,TRUE,"Det_Trans_Sum";"ei1",#N/A,TRUE,"Earnings Impact";"ad1",#N/A,TRUE,"accretion dilution";"pfis1",#N/A,TRUE,"Pro Forma Income Statement";"acq1",#N/A,TRUE,"Acquirer";"tar1",#N/A,TRUE,"Target"}</definedName>
    <definedName name="wrn.26." localSheetId="1" hidden="1">{"cover",#N/A,TRUE,"Cover";"toc3",#N/A,TRUE,"TOC";"over",#N/A,TRUE,"Overview";"ts2",#N/A,TRUE,"Det_Trans_Sum";"ei1",#N/A,TRUE,"Earnings Impact";"ad1",#N/A,TRUE,"accretion dilution";"pfis1",#N/A,TRUE,"Pro Forma Income Statement";"acq1",#N/A,TRUE,"Acquirer";"tar1",#N/A,TRUE,"Target"}</definedName>
    <definedName name="wrn.26." hidden="1">{"cover",#N/A,TRUE,"Cover";"toc3",#N/A,TRUE,"TOC";"over",#N/A,TRUE,"Overview";"ts2",#N/A,TRUE,"Det_Trans_Sum";"ei1",#N/A,TRUE,"Earnings Impact";"ad1",#N/A,TRUE,"accretion dilution";"pfis1",#N/A,TRUE,"Pro Forma Income Statement";"acq1",#N/A,TRUE,"Acquirer";"tar1",#N/A,TRUE,"Target"}</definedName>
    <definedName name="wrn.27." localSheetId="3" hidden="1">{"cover",#N/A,TRUE,"Cover";"toc3",#N/A,TRUE,"TOC";"over",#N/A,TRUE,"Overview";"ts2",#N/A,TRUE,"Det_Trans_Sum";"ei2",#N/A,TRUE,"Earnings Impact";"ad2",#N/A,TRUE,"accretion dilution";"pfis2",#N/A,TRUE,"Pro Forma Income Statement";"acq2",#N/A,TRUE,"Acquirer";"tar2",#N/A,TRUE,"Target"}</definedName>
    <definedName name="wrn.27." localSheetId="1" hidden="1">{"cover",#N/A,TRUE,"Cover";"toc3",#N/A,TRUE,"TOC";"over",#N/A,TRUE,"Overview";"ts2",#N/A,TRUE,"Det_Trans_Sum";"ei2",#N/A,TRUE,"Earnings Impact";"ad2",#N/A,TRUE,"accretion dilution";"pfis2",#N/A,TRUE,"Pro Forma Income Statement";"acq2",#N/A,TRUE,"Acquirer";"tar2",#N/A,TRUE,"Target"}</definedName>
    <definedName name="wrn.27." hidden="1">{"cover",#N/A,TRUE,"Cover";"toc3",#N/A,TRUE,"TOC";"over",#N/A,TRUE,"Overview";"ts2",#N/A,TRUE,"Det_Trans_Sum";"ei2",#N/A,TRUE,"Earnings Impact";"ad2",#N/A,TRUE,"accretion dilution";"pfis2",#N/A,TRUE,"Pro Forma Income Statement";"acq2",#N/A,TRUE,"Acquirer";"tar2",#N/A,TRUE,"Target"}</definedName>
    <definedName name="wrn.28." localSheetId="3" hidden="1">{"cover",#N/A,TRUE,"Cover";"toc3",#N/A,TRUE,"TOC";"over",#N/A,TRUE,"Overview";"ts2",#N/A,TRUE,"Det_Trans_Sum";"ei3",#N/A,TRUE,"Earnings Impact";"ad3",#N/A,TRUE,"accretion dilution";"pfis3",#N/A,TRUE,"Pro Forma Income Statement";"acq3",#N/A,TRUE,"Acquirer";"tar3",#N/A,TRUE,"Target"}</definedName>
    <definedName name="wrn.28." localSheetId="1" hidden="1">{"cover",#N/A,TRUE,"Cover";"toc3",#N/A,TRUE,"TOC";"over",#N/A,TRUE,"Overview";"ts2",#N/A,TRUE,"Det_Trans_Sum";"ei3",#N/A,TRUE,"Earnings Impact";"ad3",#N/A,TRUE,"accretion dilution";"pfis3",#N/A,TRUE,"Pro Forma Income Statement";"acq3",#N/A,TRUE,"Acquirer";"tar3",#N/A,TRUE,"Target"}</definedName>
    <definedName name="wrn.28." hidden="1">{"cover",#N/A,TRUE,"Cover";"toc3",#N/A,TRUE,"TOC";"over",#N/A,TRUE,"Overview";"ts2",#N/A,TRUE,"Det_Trans_Sum";"ei3",#N/A,TRUE,"Earnings Impact";"ad3",#N/A,TRUE,"accretion dilution";"pfis3",#N/A,TRUE,"Pro Forma Income Statement";"acq3",#N/A,TRUE,"Acquirer";"tar3",#N/A,TRUE,"Target"}</definedName>
    <definedName name="wrn.29." localSheetId="3" hidden="1">{"cover",#N/A,TRUE,"Cover";"toc4",#N/A,TRUE,"TOC";"over",#N/A,TRUE,"Overview";"ts2",#N/A,TRUE,"Det_Trans_Sum";"ei",#N/A,TRUE,"Earnings Impact";"ad",#N/A,TRUE,"accretion dilution";"tas",#N/A,TRUE,"TaintedShares";"hg",#N/A,TRUE,"Has-Gets";"pfis",#N/A,TRUE,"Pro Forma Income Statement";"ca",#N/A,TRUE,"Contribution_Analysis";"acq",#N/A,TRUE,"Acquirer";"tar",#N/A,TRUE,"Target"}</definedName>
    <definedName name="wrn.29." localSheetId="1" hidden="1">{"cover",#N/A,TRUE,"Cover";"toc4",#N/A,TRUE,"TOC";"over",#N/A,TRUE,"Overview";"ts2",#N/A,TRUE,"Det_Trans_Sum";"ei",#N/A,TRUE,"Earnings Impact";"ad",#N/A,TRUE,"accretion dilution";"tas",#N/A,TRUE,"TaintedShares";"hg",#N/A,TRUE,"Has-Gets";"pfis",#N/A,TRUE,"Pro Forma Income Statement";"ca",#N/A,TRUE,"Contribution_Analysis";"acq",#N/A,TRUE,"Acquirer";"tar",#N/A,TRUE,"Target"}</definedName>
    <definedName name="wrn.29." hidden="1">{"cover",#N/A,TRUE,"Cover";"toc4",#N/A,TRUE,"TOC";"over",#N/A,TRUE,"Overview";"ts2",#N/A,TRUE,"Det_Trans_Sum";"ei",#N/A,TRUE,"Earnings Impact";"ad",#N/A,TRUE,"accretion dilution";"tas",#N/A,TRUE,"TaintedShares";"hg",#N/A,TRUE,"Has-Gets";"pfis",#N/A,TRUE,"Pro Forma Income Statement";"ca",#N/A,TRUE,"Contribution_Analysis";"acq",#N/A,TRUE,"Acquirer";"tar",#N/A,TRUE,"Target"}</definedName>
    <definedName name="wrn.3." localSheetId="3" hidden="1">{"cover",#N/A,TRUE,"Cover";"toc1",#N/A,TRUE,"TOC";"ts1",#N/A,TRUE,"Transaction Summary";"ei2",#N/A,TRUE,"Earnings Impact";"ad2",#N/A,TRUE,"accretion dilution"}</definedName>
    <definedName name="wrn.3." localSheetId="1" hidden="1">{"cover",#N/A,TRUE,"Cover";"toc1",#N/A,TRUE,"TOC";"ts1",#N/A,TRUE,"Transaction Summary";"ei2",#N/A,TRUE,"Earnings Impact";"ad2",#N/A,TRUE,"accretion dilution"}</definedName>
    <definedName name="wrn.3." hidden="1">{"cover",#N/A,TRUE,"Cover";"toc1",#N/A,TRUE,"TOC";"ts1",#N/A,TRUE,"Transaction Summary";"ei2",#N/A,TRUE,"Earnings Impact";"ad2",#N/A,TRUE,"accretion dilution"}</definedName>
    <definedName name="wrn.30." localSheetId="3" hidden="1">{"cover",#N/A,TRUE,"Cover";"toc4",#N/A,TRUE,"TOC";"over",#N/A,TRUE,"Overview";"ts2",#N/A,TRUE,"Det_Trans_Sum";"ei1",#N/A,TRUE,"Earnings Impact";"ad1",#N/A,TRUE,"accretion dilution";"tas",#N/A,TRUE,"TaintedShares";"hg1",#N/A,TRUE,"Has-Gets";"pfis1",#N/A,TRUE,"Pro Forma Income Statement";"ca1",#N/A,TRUE,"Contribution_Analysis";"acq1",#N/A,TRUE,"Acquirer";"tar1",#N/A,TRUE,"Target"}</definedName>
    <definedName name="wrn.30." localSheetId="1" hidden="1">{"cover",#N/A,TRUE,"Cover";"toc4",#N/A,TRUE,"TOC";"over",#N/A,TRUE,"Overview";"ts2",#N/A,TRUE,"Det_Trans_Sum";"ei1",#N/A,TRUE,"Earnings Impact";"ad1",#N/A,TRUE,"accretion dilution";"tas",#N/A,TRUE,"TaintedShares";"hg1",#N/A,TRUE,"Has-Gets";"pfis1",#N/A,TRUE,"Pro Forma Income Statement";"ca1",#N/A,TRUE,"Contribution_Analysis";"acq1",#N/A,TRUE,"Acquirer";"tar1",#N/A,TRUE,"Target"}</definedName>
    <definedName name="wrn.30." hidden="1">{"cover",#N/A,TRUE,"Cover";"toc4",#N/A,TRUE,"TOC";"over",#N/A,TRUE,"Overview";"ts2",#N/A,TRUE,"Det_Trans_Sum";"ei1",#N/A,TRUE,"Earnings Impact";"ad1",#N/A,TRUE,"accretion dilution";"tas",#N/A,TRUE,"TaintedShares";"hg1",#N/A,TRUE,"Has-Gets";"pfis1",#N/A,TRUE,"Pro Forma Income Statement";"ca1",#N/A,TRUE,"Contribution_Analysis";"acq1",#N/A,TRUE,"Acquirer";"tar1",#N/A,TRUE,"Target"}</definedName>
    <definedName name="wrn.31." localSheetId="3" hidden="1">{"cover",#N/A,TRUE,"Cover";"toc4",#N/A,TRUE,"TOC";"over",#N/A,TRUE,"Overview";"ts2",#N/A,TRUE,"Det_Trans_Sum";"ei2",#N/A,TRUE,"Earnings Impact";"ad2",#N/A,TRUE,"accretion dilution";"tas",#N/A,TRUE,"TaintedShares";"hg2",#N/A,TRUE,"Has-Gets";"pfis2",#N/A,TRUE,"Pro Forma Income Statement";"ca2",#N/A,TRUE,"Contribution_Analysis";"acq2",#N/A,TRUE,"Acquirer";"tar2",#N/A,TRUE,"Target"}</definedName>
    <definedName name="wrn.31." localSheetId="1" hidden="1">{"cover",#N/A,TRUE,"Cover";"toc4",#N/A,TRUE,"TOC";"over",#N/A,TRUE,"Overview";"ts2",#N/A,TRUE,"Det_Trans_Sum";"ei2",#N/A,TRUE,"Earnings Impact";"ad2",#N/A,TRUE,"accretion dilution";"tas",#N/A,TRUE,"TaintedShares";"hg2",#N/A,TRUE,"Has-Gets";"pfis2",#N/A,TRUE,"Pro Forma Income Statement";"ca2",#N/A,TRUE,"Contribution_Analysis";"acq2",#N/A,TRUE,"Acquirer";"tar2",#N/A,TRUE,"Target"}</definedName>
    <definedName name="wrn.31." hidden="1">{"cover",#N/A,TRUE,"Cover";"toc4",#N/A,TRUE,"TOC";"over",#N/A,TRUE,"Overview";"ts2",#N/A,TRUE,"Det_Trans_Sum";"ei2",#N/A,TRUE,"Earnings Impact";"ad2",#N/A,TRUE,"accretion dilution";"tas",#N/A,TRUE,"TaintedShares";"hg2",#N/A,TRUE,"Has-Gets";"pfis2",#N/A,TRUE,"Pro Forma Income Statement";"ca2",#N/A,TRUE,"Contribution_Analysis";"acq2",#N/A,TRUE,"Acquirer";"tar2",#N/A,TRUE,"Target"}</definedName>
    <definedName name="wrn.32." localSheetId="3" hidden="1">{"cover",#N/A,TRUE,"Cover";"toc4",#N/A,TRUE,"TOC";"over",#N/A,TRUE,"Overview";"ts2",#N/A,TRUE,"Det_Trans_Sum";"ei3",#N/A,TRUE,"Earnings Impact";"ad3",#N/A,TRUE,"accretion dilution";"tas",#N/A,TRUE,"TaintedShares";"hg3",#N/A,TRUE,"Has-Gets";"pfis3",#N/A,TRUE,"Pro Forma Income Statement";"ca3",#N/A,TRUE,"Contribution_Analysis";"acq3",#N/A,TRUE,"Acquirer";"tar3",#N/A,TRUE,"Target"}</definedName>
    <definedName name="wrn.32." localSheetId="1" hidden="1">{"cover",#N/A,TRUE,"Cover";"toc4",#N/A,TRUE,"TOC";"over",#N/A,TRUE,"Overview";"ts2",#N/A,TRUE,"Det_Trans_Sum";"ei3",#N/A,TRUE,"Earnings Impact";"ad3",#N/A,TRUE,"accretion dilution";"tas",#N/A,TRUE,"TaintedShares";"hg3",#N/A,TRUE,"Has-Gets";"pfis3",#N/A,TRUE,"Pro Forma Income Statement";"ca3",#N/A,TRUE,"Contribution_Analysis";"acq3",#N/A,TRUE,"Acquirer";"tar3",#N/A,TRUE,"Target"}</definedName>
    <definedName name="wrn.32." hidden="1">{"cover",#N/A,TRUE,"Cover";"toc4",#N/A,TRUE,"TOC";"over",#N/A,TRUE,"Overview";"ts2",#N/A,TRUE,"Det_Trans_Sum";"ei3",#N/A,TRUE,"Earnings Impact";"ad3",#N/A,TRUE,"accretion dilution";"tas",#N/A,TRUE,"TaintedShares";"hg3",#N/A,TRUE,"Has-Gets";"pfis3",#N/A,TRUE,"Pro Forma Income Statement";"ca3",#N/A,TRUE,"Contribution_Analysis";"acq3",#N/A,TRUE,"Acquirer";"tar3",#N/A,TRUE,"Target"}</definedName>
    <definedName name="wrn.33." localSheetId="3" hidden="1">{"cover",#N/A,TRUE,"Cover";"toc5",#N/A,TRUE,"TOC";"over",#N/A,TRUE,"Overview";"ts2",#N/A,TRUE,"Det_Trans_Sum";"ei",#N/A,TRUE,"Earnings Impact";"ad",#N/A,TRUE,"accretion dilution";"pfis",#N/A,TRUE,"Pro Forma Income Statement";"ca",#N/A,TRUE,"Contribution_Analysis";"acq",#N/A,TRUE,"Acquirer";"tar",#N/A,TRUE,"Target"}</definedName>
    <definedName name="wrn.33." localSheetId="1" hidden="1">{"cover",#N/A,TRUE,"Cover";"toc5",#N/A,TRUE,"TOC";"over",#N/A,TRUE,"Overview";"ts2",#N/A,TRUE,"Det_Trans_Sum";"ei",#N/A,TRUE,"Earnings Impact";"ad",#N/A,TRUE,"accretion dilution";"pfis",#N/A,TRUE,"Pro Forma Income Statement";"ca",#N/A,TRUE,"Contribution_Analysis";"acq",#N/A,TRUE,"Acquirer";"tar",#N/A,TRUE,"Target"}</definedName>
    <definedName name="wrn.33." hidden="1">{"cover",#N/A,TRUE,"Cover";"toc5",#N/A,TRUE,"TOC";"over",#N/A,TRUE,"Overview";"ts2",#N/A,TRUE,"Det_Trans_Sum";"ei",#N/A,TRUE,"Earnings Impact";"ad",#N/A,TRUE,"accretion dilution";"pfis",#N/A,TRUE,"Pro Forma Income Statement";"ca",#N/A,TRUE,"Contribution_Analysis";"acq",#N/A,TRUE,"Acquirer";"tar",#N/A,TRUE,"Target"}</definedName>
    <definedName name="wrn.34." localSheetId="3" hidden="1">{"cover",#N/A,TRUE,"Cover";"toc5",#N/A,TRUE,"TOC";"over",#N/A,TRUE,"Overview";"ts2",#N/A,TRUE,"Det_Trans_Sum";"ei1",#N/A,TRUE,"Earnings Impact";"ad1",#N/A,TRUE,"accretion dilution";"pfis1",#N/A,TRUE,"Pro Forma Income Statement";"ca1",#N/A,TRUE,"Contribution_Analysis";"acq1",#N/A,TRUE,"Acquirer";"tar1",#N/A,TRUE,"Target"}</definedName>
    <definedName name="wrn.34." localSheetId="1" hidden="1">{"cover",#N/A,TRUE,"Cover";"toc5",#N/A,TRUE,"TOC";"over",#N/A,TRUE,"Overview";"ts2",#N/A,TRUE,"Det_Trans_Sum";"ei1",#N/A,TRUE,"Earnings Impact";"ad1",#N/A,TRUE,"accretion dilution";"pfis1",#N/A,TRUE,"Pro Forma Income Statement";"ca1",#N/A,TRUE,"Contribution_Analysis";"acq1",#N/A,TRUE,"Acquirer";"tar1",#N/A,TRUE,"Target"}</definedName>
    <definedName name="wrn.34." hidden="1">{"cover",#N/A,TRUE,"Cover";"toc5",#N/A,TRUE,"TOC";"over",#N/A,TRUE,"Overview";"ts2",#N/A,TRUE,"Det_Trans_Sum";"ei1",#N/A,TRUE,"Earnings Impact";"ad1",#N/A,TRUE,"accretion dilution";"pfis1",#N/A,TRUE,"Pro Forma Income Statement";"ca1",#N/A,TRUE,"Contribution_Analysis";"acq1",#N/A,TRUE,"Acquirer";"tar1",#N/A,TRUE,"Target"}</definedName>
    <definedName name="wrn.35." localSheetId="3" hidden="1">{"cover",#N/A,TRUE,"Cover";"toc5",#N/A,TRUE,"TOC";"over",#N/A,TRUE,"Overview";"ts2",#N/A,TRUE,"Det_Trans_Sum";"ei2",#N/A,TRUE,"Earnings Impact";"ad2",#N/A,TRUE,"accretion dilution";"pfis2",#N/A,TRUE,"Pro Forma Income Statement";"ca2",#N/A,TRUE,"Contribution_Analysis";"acq2",#N/A,TRUE,"Acquirer";"tar2",#N/A,TRUE,"Target"}</definedName>
    <definedName name="wrn.35." localSheetId="1" hidden="1">{"cover",#N/A,TRUE,"Cover";"toc5",#N/A,TRUE,"TOC";"over",#N/A,TRUE,"Overview";"ts2",#N/A,TRUE,"Det_Trans_Sum";"ei2",#N/A,TRUE,"Earnings Impact";"ad2",#N/A,TRUE,"accretion dilution";"pfis2",#N/A,TRUE,"Pro Forma Income Statement";"ca2",#N/A,TRUE,"Contribution_Analysis";"acq2",#N/A,TRUE,"Acquirer";"tar2",#N/A,TRUE,"Target"}</definedName>
    <definedName name="wrn.35." hidden="1">{"cover",#N/A,TRUE,"Cover";"toc5",#N/A,TRUE,"TOC";"over",#N/A,TRUE,"Overview";"ts2",#N/A,TRUE,"Det_Trans_Sum";"ei2",#N/A,TRUE,"Earnings Impact";"ad2",#N/A,TRUE,"accretion dilution";"pfis2",#N/A,TRUE,"Pro Forma Income Statement";"ca2",#N/A,TRUE,"Contribution_Analysis";"acq2",#N/A,TRUE,"Acquirer";"tar2",#N/A,TRUE,"Target"}</definedName>
    <definedName name="wrn.36." localSheetId="3" hidden="1">{"cover",#N/A,TRUE,"Cover";"toc5",#N/A,TRUE,"TOC";"over",#N/A,TRUE,"Overview";"ts2",#N/A,TRUE,"Det_Trans_Sum";"ei3",#N/A,TRUE,"Earnings Impact";"ad3",#N/A,TRUE,"accretion dilution";"pfis3",#N/A,TRUE,"Pro Forma Income Statement";"ca3",#N/A,TRUE,"Contribution_Analysis";"acq3",#N/A,TRUE,"Acquirer";"tar3",#N/A,TRUE,"Target"}</definedName>
    <definedName name="wrn.36." localSheetId="1" hidden="1">{"cover",#N/A,TRUE,"Cover";"toc5",#N/A,TRUE,"TOC";"over",#N/A,TRUE,"Overview";"ts2",#N/A,TRUE,"Det_Trans_Sum";"ei3",#N/A,TRUE,"Earnings Impact";"ad3",#N/A,TRUE,"accretion dilution";"pfis3",#N/A,TRUE,"Pro Forma Income Statement";"ca3",#N/A,TRUE,"Contribution_Analysis";"acq3",#N/A,TRUE,"Acquirer";"tar3",#N/A,TRUE,"Target"}</definedName>
    <definedName name="wrn.36." hidden="1">{"cover",#N/A,TRUE,"Cover";"toc5",#N/A,TRUE,"TOC";"over",#N/A,TRUE,"Overview";"ts2",#N/A,TRUE,"Det_Trans_Sum";"ei3",#N/A,TRUE,"Earnings Impact";"ad3",#N/A,TRUE,"accretion dilution";"pfis3",#N/A,TRUE,"Pro Forma Income Statement";"ca3",#N/A,TRUE,"Contribution_Analysis";"acq3",#N/A,TRUE,"Acquirer";"tar3",#N/A,TRUE,"Target"}</definedName>
    <definedName name="wrn.37." localSheetId="3" hidden="1">{"cover",#N/A,TRUE,"Cover";"toc6",#N/A,TRUE,"TOC";"over",#N/A,TRUE,"Overview";"ts2",#N/A,TRUE,"Det_Trans_Sum";"ei",#N/A,TRUE,"Earnings Impact";"ad",#N/A,TRUE,"accretion dilution";"hg",#N/A,TRUE,"Has-Gets";"pfis",#N/A,TRUE,"Pro Forma Income Statement";"ca",#N/A,TRUE,"Contribution_Analysis";"acq",#N/A,TRUE,"Acquirer";"tar",#N/A,TRUE,"Target"}</definedName>
    <definedName name="wrn.37." localSheetId="1" hidden="1">{"cover",#N/A,TRUE,"Cover";"toc6",#N/A,TRUE,"TOC";"over",#N/A,TRUE,"Overview";"ts2",#N/A,TRUE,"Det_Trans_Sum";"ei",#N/A,TRUE,"Earnings Impact";"ad",#N/A,TRUE,"accretion dilution";"hg",#N/A,TRUE,"Has-Gets";"pfis",#N/A,TRUE,"Pro Forma Income Statement";"ca",#N/A,TRUE,"Contribution_Analysis";"acq",#N/A,TRUE,"Acquirer";"tar",#N/A,TRUE,"Target"}</definedName>
    <definedName name="wrn.37." hidden="1">{"cover",#N/A,TRUE,"Cover";"toc6",#N/A,TRUE,"TOC";"over",#N/A,TRUE,"Overview";"ts2",#N/A,TRUE,"Det_Trans_Sum";"ei",#N/A,TRUE,"Earnings Impact";"ad",#N/A,TRUE,"accretion dilution";"hg",#N/A,TRUE,"Has-Gets";"pfis",#N/A,TRUE,"Pro Forma Income Statement";"ca",#N/A,TRUE,"Contribution_Analysis";"acq",#N/A,TRUE,"Acquirer";"tar",#N/A,TRUE,"Target"}</definedName>
    <definedName name="wrn.38." localSheetId="3" hidden="1">{"cover",#N/A,TRUE,"Cover";"toc6",#N/A,TRUE,"TOC";"over",#N/A,TRUE,"Overview";"ts2",#N/A,TRUE,"Det_Trans_Sum";"ei1",#N/A,TRUE,"Earnings Impact";"ad1",#N/A,TRUE,"accretion dilution";"hg1",#N/A,TRUE,"Has-Gets";"pfis1",#N/A,TRUE,"Pro Forma Income Statement";"ca1",#N/A,TRUE,"Contribution_Analysis";"acq1",#N/A,TRUE,"Acquirer";"tar1",#N/A,TRUE,"Target"}</definedName>
    <definedName name="wrn.38." localSheetId="1" hidden="1">{"cover",#N/A,TRUE,"Cover";"toc6",#N/A,TRUE,"TOC";"over",#N/A,TRUE,"Overview";"ts2",#N/A,TRUE,"Det_Trans_Sum";"ei1",#N/A,TRUE,"Earnings Impact";"ad1",#N/A,TRUE,"accretion dilution";"hg1",#N/A,TRUE,"Has-Gets";"pfis1",#N/A,TRUE,"Pro Forma Income Statement";"ca1",#N/A,TRUE,"Contribution_Analysis";"acq1",#N/A,TRUE,"Acquirer";"tar1",#N/A,TRUE,"Target"}</definedName>
    <definedName name="wrn.38." hidden="1">{"cover",#N/A,TRUE,"Cover";"toc6",#N/A,TRUE,"TOC";"over",#N/A,TRUE,"Overview";"ts2",#N/A,TRUE,"Det_Trans_Sum";"ei1",#N/A,TRUE,"Earnings Impact";"ad1",#N/A,TRUE,"accretion dilution";"hg1",#N/A,TRUE,"Has-Gets";"pfis1",#N/A,TRUE,"Pro Forma Income Statement";"ca1",#N/A,TRUE,"Contribution_Analysis";"acq1",#N/A,TRUE,"Acquirer";"tar1",#N/A,TRUE,"Target"}</definedName>
    <definedName name="wrn.39." localSheetId="3" hidden="1">{"cover",#N/A,TRUE,"Cover";"toc6",#N/A,TRUE,"TOC";"over",#N/A,TRUE,"Overview";"ts2",#N/A,TRUE,"Det_Trans_Sum";"ei2",#N/A,TRUE,"Earnings Impact";"ad2",#N/A,TRUE,"accretion dilution";"hg2",#N/A,TRUE,"Has-Gets";"pfis2",#N/A,TRUE,"Pro Forma Income Statement";"ca2",#N/A,TRUE,"Contribution_Analysis";"acq2",#N/A,TRUE,"Acquirer";"tar2",#N/A,TRUE,"Target"}</definedName>
    <definedName name="wrn.39." localSheetId="1" hidden="1">{"cover",#N/A,TRUE,"Cover";"toc6",#N/A,TRUE,"TOC";"over",#N/A,TRUE,"Overview";"ts2",#N/A,TRUE,"Det_Trans_Sum";"ei2",#N/A,TRUE,"Earnings Impact";"ad2",#N/A,TRUE,"accretion dilution";"hg2",#N/A,TRUE,"Has-Gets";"pfis2",#N/A,TRUE,"Pro Forma Income Statement";"ca2",#N/A,TRUE,"Contribution_Analysis";"acq2",#N/A,TRUE,"Acquirer";"tar2",#N/A,TRUE,"Target"}</definedName>
    <definedName name="wrn.39." hidden="1">{"cover",#N/A,TRUE,"Cover";"toc6",#N/A,TRUE,"TOC";"over",#N/A,TRUE,"Overview";"ts2",#N/A,TRUE,"Det_Trans_Sum";"ei2",#N/A,TRUE,"Earnings Impact";"ad2",#N/A,TRUE,"accretion dilution";"hg2",#N/A,TRUE,"Has-Gets";"pfis2",#N/A,TRUE,"Pro Forma Income Statement";"ca2",#N/A,TRUE,"Contribution_Analysis";"acq2",#N/A,TRUE,"Acquirer";"tar2",#N/A,TRUE,"Target"}</definedName>
    <definedName name="wrn.4." localSheetId="3" hidden="1">{"toc1",#N/A,FALSE,"TOC";"cover",#N/A,FALSE,"Cover";"ts1",#N/A,FALSE,"Transaction Summary";"ei3",#N/A,FALSE,"Earnings Impact";"ad3",#N/A,FALSE,"accretion dilution"}</definedName>
    <definedName name="wrn.4." localSheetId="1" hidden="1">{"toc1",#N/A,FALSE,"TOC";"cover",#N/A,FALSE,"Cover";"ts1",#N/A,FALSE,"Transaction Summary";"ei3",#N/A,FALSE,"Earnings Impact";"ad3",#N/A,FALSE,"accretion dilution"}</definedName>
    <definedName name="wrn.4." hidden="1">{"toc1",#N/A,FALSE,"TOC";"cover",#N/A,FALSE,"Cover";"ts1",#N/A,FALSE,"Transaction Summary";"ei3",#N/A,FALSE,"Earnings Impact";"ad3",#N/A,FALSE,"accretion dilution"}</definedName>
    <definedName name="wrn.40." localSheetId="3" hidden="1">{"cover",#N/A,TRUE,"Cover";"toc6",#N/A,TRUE,"TOC";"over",#N/A,TRUE,"Overview";"ts2",#N/A,TRUE,"Det_Trans_Sum";"ei3",#N/A,TRUE,"Earnings Impact";"ad3",#N/A,TRUE,"accretion dilution";"hg3",#N/A,TRUE,"Has-Gets";"pfis3",#N/A,TRUE,"Pro Forma Income Statement";"ca3",#N/A,TRUE,"Contribution_Analysis";"acq3",#N/A,TRUE,"Acquirer";"tar3",#N/A,TRUE,"Target"}</definedName>
    <definedName name="wrn.40." localSheetId="1" hidden="1">{"cover",#N/A,TRUE,"Cover";"toc6",#N/A,TRUE,"TOC";"over",#N/A,TRUE,"Overview";"ts2",#N/A,TRUE,"Det_Trans_Sum";"ei3",#N/A,TRUE,"Earnings Impact";"ad3",#N/A,TRUE,"accretion dilution";"hg3",#N/A,TRUE,"Has-Gets";"pfis3",#N/A,TRUE,"Pro Forma Income Statement";"ca3",#N/A,TRUE,"Contribution_Analysis";"acq3",#N/A,TRUE,"Acquirer";"tar3",#N/A,TRUE,"Target"}</definedName>
    <definedName name="wrn.40." hidden="1">{"cover",#N/A,TRUE,"Cover";"toc6",#N/A,TRUE,"TOC";"over",#N/A,TRUE,"Overview";"ts2",#N/A,TRUE,"Det_Trans_Sum";"ei3",#N/A,TRUE,"Earnings Impact";"ad3",#N/A,TRUE,"accretion dilution";"hg3",#N/A,TRUE,"Has-Gets";"pfis3",#N/A,TRUE,"Pro Forma Income Statement";"ca3",#N/A,TRUE,"Contribution_Analysis";"acq3",#N/A,TRUE,"Acquirer";"tar3",#N/A,TRUE,"Target"}</definedName>
    <definedName name="wrn.41." localSheetId="3" hidden="1">{"cover",#N/A,TRUE,"Cover";"toc7",#N/A,TRUE,"TOC";"over",#N/A,TRUE,"Overview";"ts2",#N/A,TRUE,"Det_Trans_Sum";"eic",#N/A,TRUE,"Earnings Impact";"ad",#N/A,TRUE,"accretion dilution";"pfis",#N/A,TRUE,"Pro Forma Income Statement";"profba",#N/A,TRUE,"Pro Forma Balance Sheet";"acqc",#N/A,TRUE,"Acquirer";"tarc",#N/A,TRUE,"Target"}</definedName>
    <definedName name="wrn.41." localSheetId="1" hidden="1">{"cover",#N/A,TRUE,"Cover";"toc7",#N/A,TRUE,"TOC";"over",#N/A,TRUE,"Overview";"ts2",#N/A,TRUE,"Det_Trans_Sum";"eic",#N/A,TRUE,"Earnings Impact";"ad",#N/A,TRUE,"accretion dilution";"pfis",#N/A,TRUE,"Pro Forma Income Statement";"profba",#N/A,TRUE,"Pro Forma Balance Sheet";"acqc",#N/A,TRUE,"Acquirer";"tarc",#N/A,TRUE,"Target"}</definedName>
    <definedName name="wrn.41." hidden="1">{"cover",#N/A,TRUE,"Cover";"toc7",#N/A,TRUE,"TOC";"over",#N/A,TRUE,"Overview";"ts2",#N/A,TRUE,"Det_Trans_Sum";"eic",#N/A,TRUE,"Earnings Impact";"ad",#N/A,TRUE,"accretion dilution";"pfis",#N/A,TRUE,"Pro Forma Income Statement";"profba",#N/A,TRUE,"Pro Forma Balance Sheet";"acqc",#N/A,TRUE,"Acquirer";"tarc",#N/A,TRUE,"Target"}</definedName>
    <definedName name="wrn.42." localSheetId="3" hidden="1">{"cover",#N/A,TRUE,"Cover";"toc7",#N/A,TRUE,"TOC";"over",#N/A,TRUE,"Overview";"ts2",#N/A,TRUE,"Det_Trans_Sum";"ei1c",#N/A,TRUE,"Earnings Impact";"ad1",#N/A,TRUE,"accretion dilution";"pfis1",#N/A,TRUE,"Pro Forma Income Statement";"profba",#N/A,TRUE,"Pro Forma Balance Sheet";"acq1c",#N/A,TRUE,"Acquirer";"tar1c",#N/A,TRUE,"Target"}</definedName>
    <definedName name="wrn.42." localSheetId="1" hidden="1">{"cover",#N/A,TRUE,"Cover";"toc7",#N/A,TRUE,"TOC";"over",#N/A,TRUE,"Overview";"ts2",#N/A,TRUE,"Det_Trans_Sum";"ei1c",#N/A,TRUE,"Earnings Impact";"ad1",#N/A,TRUE,"accretion dilution";"pfis1",#N/A,TRUE,"Pro Forma Income Statement";"profba",#N/A,TRUE,"Pro Forma Balance Sheet";"acq1c",#N/A,TRUE,"Acquirer";"tar1c",#N/A,TRUE,"Target"}</definedName>
    <definedName name="wrn.42." hidden="1">{"cover",#N/A,TRUE,"Cover";"toc7",#N/A,TRUE,"TOC";"over",#N/A,TRUE,"Overview";"ts2",#N/A,TRUE,"Det_Trans_Sum";"ei1c",#N/A,TRUE,"Earnings Impact";"ad1",#N/A,TRUE,"accretion dilution";"pfis1",#N/A,TRUE,"Pro Forma Income Statement";"profba",#N/A,TRUE,"Pro Forma Balance Sheet";"acq1c",#N/A,TRUE,"Acquirer";"tar1c",#N/A,TRUE,"Target"}</definedName>
    <definedName name="wrn.43." localSheetId="3" hidden="1">{"cover",#N/A,TRUE,"Cover";"toc7",#N/A,TRUE,"TOC";"over",#N/A,TRUE,"Overview";"ts2",#N/A,TRUE,"Det_Trans_Sum";"ei2c",#N/A,TRUE,"Earnings Impact";"ad2",#N/A,TRUE,"accretion dilution";"pfis2",#N/A,TRUE,"Pro Forma Income Statement";"profba",#N/A,TRUE,"Pro Forma Balance Sheet";"acq2c",#N/A,TRUE,"Acquirer";"tar2c",#N/A,TRUE,"Target"}</definedName>
    <definedName name="wrn.43." localSheetId="1" hidden="1">{"cover",#N/A,TRUE,"Cover";"toc7",#N/A,TRUE,"TOC";"over",#N/A,TRUE,"Overview";"ts2",#N/A,TRUE,"Det_Trans_Sum";"ei2c",#N/A,TRUE,"Earnings Impact";"ad2",#N/A,TRUE,"accretion dilution";"pfis2",#N/A,TRUE,"Pro Forma Income Statement";"profba",#N/A,TRUE,"Pro Forma Balance Sheet";"acq2c",#N/A,TRUE,"Acquirer";"tar2c",#N/A,TRUE,"Target"}</definedName>
    <definedName name="wrn.43." hidden="1">{"cover",#N/A,TRUE,"Cover";"toc7",#N/A,TRUE,"TOC";"over",#N/A,TRUE,"Overview";"ts2",#N/A,TRUE,"Det_Trans_Sum";"ei2c",#N/A,TRUE,"Earnings Impact";"ad2",#N/A,TRUE,"accretion dilution";"pfis2",#N/A,TRUE,"Pro Forma Income Statement";"profba",#N/A,TRUE,"Pro Forma Balance Sheet";"acq2c",#N/A,TRUE,"Acquirer";"tar2c",#N/A,TRUE,"Target"}</definedName>
    <definedName name="wrn.44." localSheetId="3" hidden="1">{"cover",#N/A,TRUE,"Cover";"toc7",#N/A,TRUE,"TOC";"over",#N/A,TRUE,"Overview";"ts2",#N/A,TRUE,"Det_Trans_Sum";"ei3c",#N/A,TRUE,"Earnings Impact";"ad3",#N/A,TRUE,"accretion dilution";"pfis3",#N/A,TRUE,"Pro Forma Income Statement";"profba",#N/A,TRUE,"Pro Forma Balance Sheet";"acq3c",#N/A,TRUE,"Acquirer";"tar3c",#N/A,TRUE,"Target"}</definedName>
    <definedName name="wrn.44." localSheetId="1" hidden="1">{"cover",#N/A,TRUE,"Cover";"toc7",#N/A,TRUE,"TOC";"over",#N/A,TRUE,"Overview";"ts2",#N/A,TRUE,"Det_Trans_Sum";"ei3c",#N/A,TRUE,"Earnings Impact";"ad3",#N/A,TRUE,"accretion dilution";"pfis3",#N/A,TRUE,"Pro Forma Income Statement";"profba",#N/A,TRUE,"Pro Forma Balance Sheet";"acq3c",#N/A,TRUE,"Acquirer";"tar3c",#N/A,TRUE,"Target"}</definedName>
    <definedName name="wrn.44." hidden="1">{"cover",#N/A,TRUE,"Cover";"toc7",#N/A,TRUE,"TOC";"over",#N/A,TRUE,"Overview";"ts2",#N/A,TRUE,"Det_Trans_Sum";"ei3c",#N/A,TRUE,"Earnings Impact";"ad3",#N/A,TRUE,"accretion dilution";"pfis3",#N/A,TRUE,"Pro Forma Income Statement";"profba",#N/A,TRUE,"Pro Forma Balance Sheet";"acq3c",#N/A,TRUE,"Acquirer";"tar3c",#N/A,TRUE,"Target"}</definedName>
    <definedName name="wrn.45." localSheetId="3" hidden="1">{"cover",#N/A,TRUE,"Cover";"toc8",#N/A,TRUE,"TOC";"over",#N/A,TRUE,"Overview";"ts2",#N/A,TRUE,"Det_Trans_Sum";"eic",#N/A,TRUE,"Earnings Impact";"ad",#N/A,TRUE,"accretion dilution";"pfis",#N/A,TRUE,"Pro Forma Income Statement";"ca",#N/A,TRUE,"Contribution_Analysis";"profba",#N/A,TRUE,"Pro Forma Balance Sheet";"acqc",#N/A,TRUE,"Acquirer";"tarc",#N/A,TRUE,"Target"}</definedName>
    <definedName name="wrn.45." localSheetId="1" hidden="1">{"cover",#N/A,TRUE,"Cover";"toc8",#N/A,TRUE,"TOC";"over",#N/A,TRUE,"Overview";"ts2",#N/A,TRUE,"Det_Trans_Sum";"eic",#N/A,TRUE,"Earnings Impact";"ad",#N/A,TRUE,"accretion dilution";"pfis",#N/A,TRUE,"Pro Forma Income Statement";"ca",#N/A,TRUE,"Contribution_Analysis";"profba",#N/A,TRUE,"Pro Forma Balance Sheet";"acqc",#N/A,TRUE,"Acquirer";"tarc",#N/A,TRUE,"Target"}</definedName>
    <definedName name="wrn.45." hidden="1">{"cover",#N/A,TRUE,"Cover";"toc8",#N/A,TRUE,"TOC";"over",#N/A,TRUE,"Overview";"ts2",#N/A,TRUE,"Det_Trans_Sum";"eic",#N/A,TRUE,"Earnings Impact";"ad",#N/A,TRUE,"accretion dilution";"pfis",#N/A,TRUE,"Pro Forma Income Statement";"ca",#N/A,TRUE,"Contribution_Analysis";"profba",#N/A,TRUE,"Pro Forma Balance Sheet";"acqc",#N/A,TRUE,"Acquirer";"tarc",#N/A,TRUE,"Target"}</definedName>
    <definedName name="wrn.46." localSheetId="3" hidden="1">{"cover",#N/A,TRUE,"Cover";"toc8",#N/A,TRUE,"TOC";"over",#N/A,TRUE,"Overview";"ts2",#N/A,TRUE,"Det_Trans_Sum";"ei1c",#N/A,TRUE,"Earnings Impact";"ad1",#N/A,TRUE,"accretion dilution";"pfis1",#N/A,TRUE,"Pro Forma Income Statement";"ca1",#N/A,TRUE,"Contribution_Analysis";"profba",#N/A,TRUE,"Pro Forma Balance Sheet";"acq1c",#N/A,TRUE,"Acquirer";"tar1c",#N/A,TRUE,"Target"}</definedName>
    <definedName name="wrn.46." localSheetId="1" hidden="1">{"cover",#N/A,TRUE,"Cover";"toc8",#N/A,TRUE,"TOC";"over",#N/A,TRUE,"Overview";"ts2",#N/A,TRUE,"Det_Trans_Sum";"ei1c",#N/A,TRUE,"Earnings Impact";"ad1",#N/A,TRUE,"accretion dilution";"pfis1",#N/A,TRUE,"Pro Forma Income Statement";"ca1",#N/A,TRUE,"Contribution_Analysis";"profba",#N/A,TRUE,"Pro Forma Balance Sheet";"acq1c",#N/A,TRUE,"Acquirer";"tar1c",#N/A,TRUE,"Target"}</definedName>
    <definedName name="wrn.46." hidden="1">{"cover",#N/A,TRUE,"Cover";"toc8",#N/A,TRUE,"TOC";"over",#N/A,TRUE,"Overview";"ts2",#N/A,TRUE,"Det_Trans_Sum";"ei1c",#N/A,TRUE,"Earnings Impact";"ad1",#N/A,TRUE,"accretion dilution";"pfis1",#N/A,TRUE,"Pro Forma Income Statement";"ca1",#N/A,TRUE,"Contribution_Analysis";"profba",#N/A,TRUE,"Pro Forma Balance Sheet";"acq1c",#N/A,TRUE,"Acquirer";"tar1c",#N/A,TRUE,"Target"}</definedName>
    <definedName name="wrn.47." localSheetId="3" hidden="1">{"cover",#N/A,TRUE,"Cover";"toc8",#N/A,TRUE,"TOC";"over",#N/A,TRUE,"Overview";"ts2",#N/A,TRUE,"Det_Trans_Sum";"ei2c",#N/A,TRUE,"Earnings Impact";"ad2",#N/A,TRUE,"accretion dilution";"pfis2",#N/A,TRUE,"Pro Forma Income Statement";"ca2",#N/A,TRUE,"Contribution_Analysis";"profba",#N/A,TRUE,"Pro Forma Balance Sheet";"acq2c",#N/A,TRUE,"Acquirer";"tar2c",#N/A,TRUE,"Target"}</definedName>
    <definedName name="wrn.47." localSheetId="1" hidden="1">{"cover",#N/A,TRUE,"Cover";"toc8",#N/A,TRUE,"TOC";"over",#N/A,TRUE,"Overview";"ts2",#N/A,TRUE,"Det_Trans_Sum";"ei2c",#N/A,TRUE,"Earnings Impact";"ad2",#N/A,TRUE,"accretion dilution";"pfis2",#N/A,TRUE,"Pro Forma Income Statement";"ca2",#N/A,TRUE,"Contribution_Analysis";"profba",#N/A,TRUE,"Pro Forma Balance Sheet";"acq2c",#N/A,TRUE,"Acquirer";"tar2c",#N/A,TRUE,"Target"}</definedName>
    <definedName name="wrn.47." hidden="1">{"cover",#N/A,TRUE,"Cover";"toc8",#N/A,TRUE,"TOC";"over",#N/A,TRUE,"Overview";"ts2",#N/A,TRUE,"Det_Trans_Sum";"ei2c",#N/A,TRUE,"Earnings Impact";"ad2",#N/A,TRUE,"accretion dilution";"pfis2",#N/A,TRUE,"Pro Forma Income Statement";"ca2",#N/A,TRUE,"Contribution_Analysis";"profba",#N/A,TRUE,"Pro Forma Balance Sheet";"acq2c",#N/A,TRUE,"Acquirer";"tar2c",#N/A,TRUE,"Target"}</definedName>
    <definedName name="wrn.48." localSheetId="3" hidden="1">{"cover",#N/A,TRUE,"Cover";"toc8",#N/A,TRUE,"TOC";"over",#N/A,TRUE,"Overview";"ts2",#N/A,TRUE,"Det_Trans_Sum";"ei3c",#N/A,TRUE,"Earnings Impact";"ad3",#N/A,TRUE,"accretion dilution";"pfis3",#N/A,TRUE,"Pro Forma Income Statement";"ca3",#N/A,TRUE,"Contribution_Analysis";"profba",#N/A,TRUE,"Pro Forma Balance Sheet";"acq3c",#N/A,TRUE,"Acquirer";"tar3c",#N/A,TRUE,"Target"}</definedName>
    <definedName name="wrn.48." localSheetId="1" hidden="1">{"cover",#N/A,TRUE,"Cover";"toc8",#N/A,TRUE,"TOC";"over",#N/A,TRUE,"Overview";"ts2",#N/A,TRUE,"Det_Trans_Sum";"ei3c",#N/A,TRUE,"Earnings Impact";"ad3",#N/A,TRUE,"accretion dilution";"pfis3",#N/A,TRUE,"Pro Forma Income Statement";"ca3",#N/A,TRUE,"Contribution_Analysis";"profba",#N/A,TRUE,"Pro Forma Balance Sheet";"acq3c",#N/A,TRUE,"Acquirer";"tar3c",#N/A,TRUE,"Target"}</definedName>
    <definedName name="wrn.48." hidden="1">{"cover",#N/A,TRUE,"Cover";"toc8",#N/A,TRUE,"TOC";"over",#N/A,TRUE,"Overview";"ts2",#N/A,TRUE,"Det_Trans_Sum";"ei3c",#N/A,TRUE,"Earnings Impact";"ad3",#N/A,TRUE,"accretion dilution";"pfis3",#N/A,TRUE,"Pro Forma Income Statement";"ca3",#N/A,TRUE,"Contribution_Analysis";"profba",#N/A,TRUE,"Pro Forma Balance Sheet";"acq3c",#N/A,TRUE,"Acquirer";"tar3c",#N/A,TRUE,"Target"}</definedName>
    <definedName name="wrn.49." localSheetId="3" hidden="1">{"cover",#N/A,TRUE,"Cover";"toc9",#N/A,TRUE,"TOC";"over",#N/A,TRUE,"Overview";"ts2",#N/A,TRUE,"Det_Trans_Sum";"eic",#N/A,TRUE,"Earnings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Statement";"ca",#N/A,TRUE,"Contribution_Analysis";"profba",#N/A,TRUE,"Pro Forma Balance Sheet";"acqc",#N/A,TRUE,"Acquirer";"tarc",#N/A,TRUE,"Target"}</definedName>
    <definedName name="wrn.49." localSheetId="1" hidden="1">{"cover",#N/A,TRUE,"Cover";"toc9",#N/A,TRUE,"TOC";"over",#N/A,TRUE,"Overview";"ts2",#N/A,TRUE,"Det_Trans_Sum";"eic",#N/A,TRUE,"Earnings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Statement";"ca",#N/A,TRUE,"Contribution_Analysis";"profba",#N/A,TRUE,"Pro Forma Balance Sheet";"acqc",#N/A,TRUE,"Acquirer";"tarc",#N/A,TRUE,"Target"}</definedName>
    <definedName name="wrn.49." hidden="1">{"cover",#N/A,TRUE,"Cover";"toc9",#N/A,TRUE,"TOC";"over",#N/A,TRUE,"Overview";"ts2",#N/A,TRUE,"Det_Trans_Sum";"eic",#N/A,TRUE,"Earnings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Statement";"ca",#N/A,TRUE,"Contribution_Analysis";"profba",#N/A,TRUE,"Pro Forma Balance Sheet";"acqc",#N/A,TRUE,"Acquirer";"tarc",#N/A,TRUE,"Target"}</definedName>
    <definedName name="wrn.5." localSheetId="3" hidden="1">{"cover",#N/A,TRUE,"Cover";"toc2",#N/A,TRUE,"TOC";"ts1",#N/A,TRUE,"Transaction Summary";"ei",#N/A,TRUE,"Earnings Impact";"ad",#N/A,TRUE,"accretion dilution";"hg",#N/A,TRUE,"Has-Gets"}</definedName>
    <definedName name="wrn.5." localSheetId="1" hidden="1">{"cover",#N/A,TRUE,"Cover";"toc2",#N/A,TRUE,"TOC";"ts1",#N/A,TRUE,"Transaction Summary";"ei",#N/A,TRUE,"Earnings Impact";"ad",#N/A,TRUE,"accretion dilution";"hg",#N/A,TRUE,"Has-Gets"}</definedName>
    <definedName name="wrn.5." hidden="1">{"cover",#N/A,TRUE,"Cover";"toc2",#N/A,TRUE,"TOC";"ts1",#N/A,TRUE,"Transaction Summary";"ei",#N/A,TRUE,"Earnings Impact";"ad",#N/A,TRUE,"accretion dilution";"hg",#N/A,TRUE,"Has-Gets"}</definedName>
    <definedName name="wrn.50." localSheetId="3" hidden="1">{"cover",#N/A,TRUE,"Cover";"toc9",#N/A,TRUE,"TOC";"over",#N/A,TRUE,"Overview";"ts2",#N/A,TRUE,"Det_Trans_Sum";"ei1c",#N/A,TRUE,"Earnings Impact";"ad1",#N/A,TRUE,"accretion dilution";"tas",#N/A,TRUE,"TaintedShares";"hg1",#N/A,TRUE,"Has-Gets";"pfis1",#N/A,TRUE,"Pro Forma Income Statement";"ca1",#N/A,TRUE,"Contribution_Analysis";"profba",#N/A,TRUE,"Pro Forma Balance Sheet";"acq1c",#N/A,TRUE,"Acquirer";"tar1c",#N/A,TRUE,"Target"}</definedName>
    <definedName name="wrn.50." localSheetId="1" hidden="1">{"cover",#N/A,TRUE,"Cover";"toc9",#N/A,TRUE,"TOC";"over",#N/A,TRUE,"Overview";"ts2",#N/A,TRUE,"Det_Trans_Sum";"ei1c",#N/A,TRUE,"Earnings Impact";"ad1",#N/A,TRUE,"accretion dilution";"tas",#N/A,TRUE,"TaintedShares";"hg1",#N/A,TRUE,"Has-Gets";"pfis1",#N/A,TRUE,"Pro Forma Income Statement";"ca1",#N/A,TRUE,"Contribution_Analysis";"profba",#N/A,TRUE,"Pro Forma Balance Sheet";"acq1c",#N/A,TRUE,"Acquirer";"tar1c",#N/A,TRUE,"Target"}</definedName>
    <definedName name="wrn.50." hidden="1">{"cover",#N/A,TRUE,"Cover";"toc9",#N/A,TRUE,"TOC";"over",#N/A,TRUE,"Overview";"ts2",#N/A,TRUE,"Det_Trans_Sum";"ei1c",#N/A,TRUE,"Earnings Impact";"ad1",#N/A,TRUE,"accretion dilution";"tas",#N/A,TRUE,"TaintedShares";"hg1",#N/A,TRUE,"Has-Gets";"pfis1",#N/A,TRUE,"Pro Forma Income Statement";"ca1",#N/A,TRUE,"Contribution_Analysis";"profba",#N/A,TRUE,"Pro Forma Balance Sheet";"acq1c",#N/A,TRUE,"Acquirer";"tar1c",#N/A,TRUE,"Target"}</definedName>
    <definedName name="wrn.51." localSheetId="3" hidden="1">{"cover",#N/A,TRUE,"Cover";"toc9",#N/A,TRUE,"TOC";"over",#N/A,TRUE,"Overview";"ei2c",#N/A,TRUE,"Earnings Impact";"ts2",#N/A,TRUE,"Det_Trans_Sum";"ad2",#N/A,TRUE,"accretion dilution";"tas",#N/A,TRUE,"TaintedShares";"hg2",#N/A,TRUE,"Has-Gets";"pfis2",#N/A,TRUE,"Pro Forma Income Statement";"ca2",#N/A,TRUE,"Contribution_Analysis";"profba",#N/A,TRUE,"Pro Forma Balance Sheet";"acq2c",#N/A,TRUE,"Acquirer";"tar2c",#N/A,TRUE,"Target"}</definedName>
    <definedName name="wrn.51." localSheetId="1" hidden="1">{"cover",#N/A,TRUE,"Cover";"toc9",#N/A,TRUE,"TOC";"over",#N/A,TRUE,"Overview";"ei2c",#N/A,TRUE,"Earnings Impact";"ts2",#N/A,TRUE,"Det_Trans_Sum";"ad2",#N/A,TRUE,"accretion dilution";"tas",#N/A,TRUE,"TaintedShares";"hg2",#N/A,TRUE,"Has-Gets";"pfis2",#N/A,TRUE,"Pro Forma Income Statement";"ca2",#N/A,TRUE,"Contribution_Analysis";"profba",#N/A,TRUE,"Pro Forma Balance Sheet";"acq2c",#N/A,TRUE,"Acquirer";"tar2c",#N/A,TRUE,"Target"}</definedName>
    <definedName name="wrn.51." hidden="1">{"cover",#N/A,TRUE,"Cover";"toc9",#N/A,TRUE,"TOC";"over",#N/A,TRUE,"Overview";"ei2c",#N/A,TRUE,"Earnings Impact";"ts2",#N/A,TRUE,"Det_Trans_Sum";"ad2",#N/A,TRUE,"accretion dilution";"tas",#N/A,TRUE,"TaintedShares";"hg2",#N/A,TRUE,"Has-Gets";"pfis2",#N/A,TRUE,"Pro Forma Income Statement";"ca2",#N/A,TRUE,"Contribution_Analysis";"profba",#N/A,TRUE,"Pro Forma Balance Sheet";"acq2c",#N/A,TRUE,"Acquirer";"tar2c",#N/A,TRUE,"Target"}</definedName>
    <definedName name="wrn.52." localSheetId="3" hidden="1">{"cover",#N/A,TRUE,"Cover";"toc9",#N/A,TRUE,"TOC";"over",#N/A,TRUE,"Overview";"ts2",#N/A,TRUE,"Det_Trans_Sum";"ei3c",#N/A,TRUE,"Earnings Impact";"ad3",#N/A,TRUE,"accretion dilution";"tas",#N/A,TRUE,"TaintedShares";"hg3",#N/A,TRUE,"Has-Gets";"pfis3",#N/A,TRUE,"Pro Forma Income Statement";"ca3",#N/A,TRUE,"Contribution_Analysis";"profba",#N/A,TRUE,"Pro Forma Balance Sheet";"acq3c",#N/A,TRUE,"Acquirer";"tar3c",#N/A,TRUE,"Target"}</definedName>
    <definedName name="wrn.52." localSheetId="1" hidden="1">{"cover",#N/A,TRUE,"Cover";"toc9",#N/A,TRUE,"TOC";"over",#N/A,TRUE,"Overview";"ts2",#N/A,TRUE,"Det_Trans_Sum";"ei3c",#N/A,TRUE,"Earnings Impact";"ad3",#N/A,TRUE,"accretion dilution";"tas",#N/A,TRUE,"TaintedShares";"hg3",#N/A,TRUE,"Has-Gets";"pfis3",#N/A,TRUE,"Pro Forma Income Statement";"ca3",#N/A,TRUE,"Contribution_Analysis";"profba",#N/A,TRUE,"Pro Forma Balance Sheet";"acq3c",#N/A,TRUE,"Acquirer";"tar3c",#N/A,TRUE,"Target"}</definedName>
    <definedName name="wrn.52." hidden="1">{"cover",#N/A,TRUE,"Cover";"toc9",#N/A,TRUE,"TOC";"over",#N/A,TRUE,"Overview";"ts2",#N/A,TRUE,"Det_Trans_Sum";"ei3c",#N/A,TRUE,"Earnings Impact";"ad3",#N/A,TRUE,"accretion dilution";"tas",#N/A,TRUE,"TaintedShares";"hg3",#N/A,TRUE,"Has-Gets";"pfis3",#N/A,TRUE,"Pro Forma Income Statement";"ca3",#N/A,TRUE,"Contribution_Analysis";"profba",#N/A,TRUE,"Pro Forma Balance Sheet";"acq3c",#N/A,TRUE,"Acquirer";"tar3c",#N/A,TRUE,"Target"}</definedName>
    <definedName name="wrn.53." localSheetId="3" hidden="1">{"cover",#N/A,TRUE,"Cover";"toc10",#N/A,TRUE,"TOC";"over",#N/A,TRUE,"Overview";"ts2",#N/A,TRUE,"Det_Trans_Sum";"eic",#N/A,TRUE,"Earnings Impact";"ad",#N/A,TRUE,"accretion dilution";"hg",#N/A,TRUE,"Has-Gets";"pfis",#N/A,TRUE,"Pro Forma Income Statement";"ca",#N/A,TRUE,"Contribution_Analysis";"profba",#N/A,TRUE,"Pro Forma Balance Sheet";"acqc",#N/A,TRUE,"Acquirer";"tarc",#N/A,TRUE,"Target"}</definedName>
    <definedName name="wrn.53." localSheetId="1" hidden="1">{"cover",#N/A,TRUE,"Cover";"toc10",#N/A,TRUE,"TOC";"over",#N/A,TRUE,"Overview";"ts2",#N/A,TRUE,"Det_Trans_Sum";"eic",#N/A,TRUE,"Earnings Impact";"ad",#N/A,TRUE,"accretion dilution";"hg",#N/A,TRUE,"Has-Gets";"pfis",#N/A,TRUE,"Pro Forma Income Statement";"ca",#N/A,TRUE,"Contribution_Analysis";"profba",#N/A,TRUE,"Pro Forma Balance Sheet";"acqc",#N/A,TRUE,"Acquirer";"tarc",#N/A,TRUE,"Target"}</definedName>
    <definedName name="wrn.53." hidden="1">{"cover",#N/A,TRUE,"Cover";"toc10",#N/A,TRUE,"TOC";"over",#N/A,TRUE,"Overview";"ts2",#N/A,TRUE,"Det_Trans_Sum";"eic",#N/A,TRUE,"Earnings Impact";"ad",#N/A,TRUE,"accretion dilution";"hg",#N/A,TRUE,"Has-Gets";"pfis",#N/A,TRUE,"Pro Forma Income Statement";"ca",#N/A,TRUE,"Contribution_Analysis";"profba",#N/A,TRUE,"Pro Forma Balance Sheet";"acqc",#N/A,TRUE,"Acquirer";"tarc",#N/A,TRUE,"Target"}</definedName>
    <definedName name="wrn.54." localSheetId="3" hidden="1">{"cover",#N/A,TRUE,"Cover";"toc10",#N/A,TRUE,"TOC";"over",#N/A,TRUE,"Overview";"over",#N/A,TRUE,"Det_Trans_Sum";"ei1c",#N/A,TRUE,"Earnings Impact";"ad1",#N/A,TRUE,"accretion dilution";"hg1",#N/A,TRUE,"Has-Gets";"pfis1",#N/A,TRUE,"Pro Forma Income Statement";"ca1",#N/A,TRUE,"Contribution_Analysis";"profba",#N/A,TRUE,"Pro Forma Balance Sheet";"acq1c",#N/A,TRUE,"Acquirer";"tar1c",#N/A,TRUE,"Target"}</definedName>
    <definedName name="wrn.54." localSheetId="1" hidden="1">{"cover",#N/A,TRUE,"Cover";"toc10",#N/A,TRUE,"TOC";"over",#N/A,TRUE,"Overview";"over",#N/A,TRUE,"Det_Trans_Sum";"ei1c",#N/A,TRUE,"Earnings Impact";"ad1",#N/A,TRUE,"accretion dilution";"hg1",#N/A,TRUE,"Has-Gets";"pfis1",#N/A,TRUE,"Pro Forma Income Statement";"ca1",#N/A,TRUE,"Contribution_Analysis";"profba",#N/A,TRUE,"Pro Forma Balance Sheet";"acq1c",#N/A,TRUE,"Acquirer";"tar1c",#N/A,TRUE,"Target"}</definedName>
    <definedName name="wrn.54." hidden="1">{"cover",#N/A,TRUE,"Cover";"toc10",#N/A,TRUE,"TOC";"over",#N/A,TRUE,"Overview";"over",#N/A,TRUE,"Det_Trans_Sum";"ei1c",#N/A,TRUE,"Earnings Impact";"ad1",#N/A,TRUE,"accretion dilution";"hg1",#N/A,TRUE,"Has-Gets";"pfis1",#N/A,TRUE,"Pro Forma Income Statement";"ca1",#N/A,TRUE,"Contribution_Analysis";"profba",#N/A,TRUE,"Pro Forma Balance Sheet";"acq1c",#N/A,TRUE,"Acquirer";"tar1c",#N/A,TRUE,"Target"}</definedName>
    <definedName name="wrn.55." localSheetId="3" hidden="1">{"cover",#N/A,TRUE,"Cover";"toc10",#N/A,TRUE,"TOC";"over",#N/A,TRUE,"Overview";"ts2",#N/A,TRUE,"Det_Trans_Sum";"ei2c",#N/A,TRUE,"Earnings Impact";"ad2",#N/A,TRUE,"accretion dilution";"hg2",#N/A,TRUE,"Has-Gets";"pfis2",#N/A,TRUE,"Pro Forma Income Statement";"ca2",#N/A,TRUE,"Contribution_Analysis";"profba",#N/A,TRUE,"Pro Forma Balance Sheet";"acq2c",#N/A,TRUE,"Acquirer";"tar2c",#N/A,TRUE,"Target"}</definedName>
    <definedName name="wrn.55." localSheetId="1" hidden="1">{"cover",#N/A,TRUE,"Cover";"toc10",#N/A,TRUE,"TOC";"over",#N/A,TRUE,"Overview";"ts2",#N/A,TRUE,"Det_Trans_Sum";"ei2c",#N/A,TRUE,"Earnings Impact";"ad2",#N/A,TRUE,"accretion dilution";"hg2",#N/A,TRUE,"Has-Gets";"pfis2",#N/A,TRUE,"Pro Forma Income Statement";"ca2",#N/A,TRUE,"Contribution_Analysis";"profba",#N/A,TRUE,"Pro Forma Balance Sheet";"acq2c",#N/A,TRUE,"Acquirer";"tar2c",#N/A,TRUE,"Target"}</definedName>
    <definedName name="wrn.55." hidden="1">{"cover",#N/A,TRUE,"Cover";"toc10",#N/A,TRUE,"TOC";"over",#N/A,TRUE,"Overview";"ts2",#N/A,TRUE,"Det_Trans_Sum";"ei2c",#N/A,TRUE,"Earnings Impact";"ad2",#N/A,TRUE,"accretion dilution";"hg2",#N/A,TRUE,"Has-Gets";"pfis2",#N/A,TRUE,"Pro Forma Income Statement";"ca2",#N/A,TRUE,"Contribution_Analysis";"profba",#N/A,TRUE,"Pro Forma Balance Sheet";"acq2c",#N/A,TRUE,"Acquirer";"tar2c",#N/A,TRUE,"Target"}</definedName>
    <definedName name="wrn.56." localSheetId="3" hidden="1">{"cover",#N/A,TRUE,"Cover";"toc10",#N/A,TRUE,"TOC";"over",#N/A,TRUE,"Overview";"ts2",#N/A,TRUE,"Det_Trans_Sum";"ei3c",#N/A,TRUE,"Earnings Impact";"ad3",#N/A,TRUE,"accretion dilution";"hg3",#N/A,TRUE,"Has-Gets";"pfis3",#N/A,TRUE,"Pro Forma Income Statement";"ca3",#N/A,TRUE,"Contribution_Analysis";"profba",#N/A,TRUE,"Pro Forma Balance Sheet";"acq3c",#N/A,TRUE,"Acquirer";"tar3c",#N/A,TRUE,"Target"}</definedName>
    <definedName name="wrn.56." localSheetId="1" hidden="1">{"cover",#N/A,TRUE,"Cover";"toc10",#N/A,TRUE,"TOC";"over",#N/A,TRUE,"Overview";"ts2",#N/A,TRUE,"Det_Trans_Sum";"ei3c",#N/A,TRUE,"Earnings Impact";"ad3",#N/A,TRUE,"accretion dilution";"hg3",#N/A,TRUE,"Has-Gets";"pfis3",#N/A,TRUE,"Pro Forma Income Statement";"ca3",#N/A,TRUE,"Contribution_Analysis";"profba",#N/A,TRUE,"Pro Forma Balance Sheet";"acq3c",#N/A,TRUE,"Acquirer";"tar3c",#N/A,TRUE,"Target"}</definedName>
    <definedName name="wrn.56." hidden="1">{"cover",#N/A,TRUE,"Cover";"toc10",#N/A,TRUE,"TOC";"over",#N/A,TRUE,"Overview";"ts2",#N/A,TRUE,"Det_Trans_Sum";"ei3c",#N/A,TRUE,"Earnings Impact";"ad3",#N/A,TRUE,"accretion dilution";"hg3",#N/A,TRUE,"Has-Gets";"pfis3",#N/A,TRUE,"Pro Forma Income Statement";"ca3",#N/A,TRUE,"Contribution_Analysis";"profba",#N/A,TRUE,"Pro Forma Balance Sheet";"acq3c",#N/A,TRUE,"Acquirer";"tar3c",#N/A,TRUE,"Target"}</definedName>
    <definedName name="wrn.57." localSheetId="3" hidden="1">{"cover",#N/A,TRUE,"Cover";"toc7",#N/A,TRUE,"TOC";"over",#N/A,TRUE,"Overview";"ts2",#N/A,TRUE,"Det_Trans_Sum";"ei",#N/A,TRUE,"Earnings Impact";"ad",#N/A,TRUE,"accretion dilution";"pfis",#N/A,TRUE,"Pro Forma Income Statement";"profba",#N/A,TRUE,"Pro Forma Balance Sheet";"acq",#N/A,TRUE,"Acquirer";"tar",#N/A,TRUE,"Target"}</definedName>
    <definedName name="wrn.57." localSheetId="1" hidden="1">{"cover",#N/A,TRUE,"Cover";"toc7",#N/A,TRUE,"TOC";"over",#N/A,TRUE,"Overview";"ts2",#N/A,TRUE,"Det_Trans_Sum";"ei",#N/A,TRUE,"Earnings Impact";"ad",#N/A,TRUE,"accretion dilution";"pfis",#N/A,TRUE,"Pro Forma Income Statement";"profba",#N/A,TRUE,"Pro Forma Balance Sheet";"acq",#N/A,TRUE,"Acquirer";"tar",#N/A,TRUE,"Target"}</definedName>
    <definedName name="wrn.57." hidden="1">{"cover",#N/A,TRUE,"Cover";"toc7",#N/A,TRUE,"TOC";"over",#N/A,TRUE,"Overview";"ts2",#N/A,TRUE,"Det_Trans_Sum";"ei",#N/A,TRUE,"Earnings Impact";"ad",#N/A,TRUE,"accretion dilution";"pfis",#N/A,TRUE,"Pro Forma Income Statement";"profba",#N/A,TRUE,"Pro Forma Balance Sheet";"acq",#N/A,TRUE,"Acquirer";"tar",#N/A,TRUE,"Target"}</definedName>
    <definedName name="wrn.58." localSheetId="3" hidden="1">{"cover",#N/A,TRUE,"Cover";"toc7",#N/A,TRUE,"TOC";"over",#N/A,TRUE,"Overview";"ts2",#N/A,TRUE,"Det_Trans_Sum";"ei1",#N/A,TRUE,"Earnings Impact";"ad1",#N/A,TRUE,"accretion dilution";"pfis1",#N/A,TRUE,"Pro Forma Income Statement";"profba",#N/A,TRUE,"Pro Forma Balance Sheet";"acq1",#N/A,TRUE,"Acquirer";"tar1",#N/A,TRUE,"Target"}</definedName>
    <definedName name="wrn.58." localSheetId="1" hidden="1">{"cover",#N/A,TRUE,"Cover";"toc7",#N/A,TRUE,"TOC";"over",#N/A,TRUE,"Overview";"ts2",#N/A,TRUE,"Det_Trans_Sum";"ei1",#N/A,TRUE,"Earnings Impact";"ad1",#N/A,TRUE,"accretion dilution";"pfis1",#N/A,TRUE,"Pro Forma Income Statement";"profba",#N/A,TRUE,"Pro Forma Balance Sheet";"acq1",#N/A,TRUE,"Acquirer";"tar1",#N/A,TRUE,"Target"}</definedName>
    <definedName name="wrn.58." hidden="1">{"cover",#N/A,TRUE,"Cover";"toc7",#N/A,TRUE,"TOC";"over",#N/A,TRUE,"Overview";"ts2",#N/A,TRUE,"Det_Trans_Sum";"ei1",#N/A,TRUE,"Earnings Impact";"ad1",#N/A,TRUE,"accretion dilution";"pfis1",#N/A,TRUE,"Pro Forma Income Statement";"profba",#N/A,TRUE,"Pro Forma Balance Sheet";"acq1",#N/A,TRUE,"Acquirer";"tar1",#N/A,TRUE,"Target"}</definedName>
    <definedName name="wrn.59." localSheetId="3" hidden="1">{"cover",#N/A,TRUE,"Cover";"toc7",#N/A,TRUE,"TOC";"over",#N/A,TRUE,"Overview";"ts2",#N/A,TRUE,"Det_Trans_Sum";"ei2",#N/A,TRUE,"Earnings Impact";"ad2",#N/A,TRUE,"accretion dilution";"pfis2",#N/A,TRUE,"Pro Forma Income Statement";"profba",#N/A,TRUE,"Pro Forma Balance Sheet";"acq2",#N/A,TRUE,"Acquirer";"tar2",#N/A,TRUE,"Target"}</definedName>
    <definedName name="wrn.59." localSheetId="1" hidden="1">{"cover",#N/A,TRUE,"Cover";"toc7",#N/A,TRUE,"TOC";"over",#N/A,TRUE,"Overview";"ts2",#N/A,TRUE,"Det_Trans_Sum";"ei2",#N/A,TRUE,"Earnings Impact";"ad2",#N/A,TRUE,"accretion dilution";"pfis2",#N/A,TRUE,"Pro Forma Income Statement";"profba",#N/A,TRUE,"Pro Forma Balance Sheet";"acq2",#N/A,TRUE,"Acquirer";"tar2",#N/A,TRUE,"Target"}</definedName>
    <definedName name="wrn.59." hidden="1">{"cover",#N/A,TRUE,"Cover";"toc7",#N/A,TRUE,"TOC";"over",#N/A,TRUE,"Overview";"ts2",#N/A,TRUE,"Det_Trans_Sum";"ei2",#N/A,TRUE,"Earnings Impact";"ad2",#N/A,TRUE,"accretion dilution";"pfis2",#N/A,TRUE,"Pro Forma Income Statement";"profba",#N/A,TRUE,"Pro Forma Balance Sheet";"acq2",#N/A,TRUE,"Acquirer";"tar2",#N/A,TRUE,"Target"}</definedName>
    <definedName name="wrn.6." localSheetId="3" hidden="1">{"cover",#N/A,TRUE,"Cover";"toc2",#N/A,TRUE,"TOC";"ts1",#N/A,TRUE,"Transaction Summary";"ei1",#N/A,TRUE,"Earnings Impact";"ad1",#N/A,TRUE,"accretion dilution";"hg1",#N/A,TRUE,"Has-Gets"}</definedName>
    <definedName name="wrn.6." localSheetId="1" hidden="1">{"cover",#N/A,TRUE,"Cover";"toc2",#N/A,TRUE,"TOC";"ts1",#N/A,TRUE,"Transaction Summary";"ei1",#N/A,TRUE,"Earnings Impact";"ad1",#N/A,TRUE,"accretion dilution";"hg1",#N/A,TRUE,"Has-Gets"}</definedName>
    <definedName name="wrn.6." hidden="1">{"cover",#N/A,TRUE,"Cover";"toc2",#N/A,TRUE,"TOC";"ts1",#N/A,TRUE,"Transaction Summary";"ei1",#N/A,TRUE,"Earnings Impact";"ad1",#N/A,TRUE,"accretion dilution";"hg1",#N/A,TRUE,"Has-Gets"}</definedName>
    <definedName name="wrn.60." localSheetId="3" hidden="1">{"cover",#N/A,TRUE,"Cover";"toc7",#N/A,TRUE,"TOC";"over",#N/A,TRUE,"Overview";"ts2",#N/A,TRUE,"Det_Trans_Sum";"ei3",#N/A,TRUE,"Earnings Impact";"ad3",#N/A,TRUE,"accretion dilution";"pfis3",#N/A,TRUE,"Pro Forma Income Statement";"profba",#N/A,TRUE,"Pro Forma Balance Sheet";"acq3",#N/A,TRUE,"Acquirer";"tar3",#N/A,TRUE,"Target"}</definedName>
    <definedName name="wrn.60." localSheetId="1" hidden="1">{"cover",#N/A,TRUE,"Cover";"toc7",#N/A,TRUE,"TOC";"over",#N/A,TRUE,"Overview";"ts2",#N/A,TRUE,"Det_Trans_Sum";"ei3",#N/A,TRUE,"Earnings Impact";"ad3",#N/A,TRUE,"accretion dilution";"pfis3",#N/A,TRUE,"Pro Forma Income Statement";"profba",#N/A,TRUE,"Pro Forma Balance Sheet";"acq3",#N/A,TRUE,"Acquirer";"tar3",#N/A,TRUE,"Target"}</definedName>
    <definedName name="wrn.60." hidden="1">{"cover",#N/A,TRUE,"Cover";"toc7",#N/A,TRUE,"TOC";"over",#N/A,TRUE,"Overview";"ts2",#N/A,TRUE,"Det_Trans_Sum";"ei3",#N/A,TRUE,"Earnings Impact";"ad3",#N/A,TRUE,"accretion dilution";"pfis3",#N/A,TRUE,"Pro Forma Income Statement";"profba",#N/A,TRUE,"Pro Forma Balance Sheet";"acq3",#N/A,TRUE,"Acquirer";"tar3",#N/A,TRUE,"Target"}</definedName>
    <definedName name="wrn.61." localSheetId="3" hidden="1">{"cover",#N/A,TRUE,"Cover";"toc8",#N/A,TRUE,"TOC";"over",#N/A,TRUE,"Overview";"ts2",#N/A,TRUE,"Det_Trans_Sum";"ei",#N/A,TRUE,"Earnings Impact";"ad",#N/A,TRUE,"accretion dilution";"tas",#N/A,TRUE,"TaintedShares";"hg",#N/A,TRUE,"Has-Gets";"pfis",#N/A,TRUE,"Pro Forma Income Statement";"ca",#N/A,TRUE,"Contribution_Analysis";"profba",#N/A,TRUE,"Pro Forma Balance Sheet";"acq",#N/A,TRUE,"Acquirer";"tar",#N/A,TRUE,"Target"}</definedName>
    <definedName name="wrn.61." localSheetId="1" hidden="1">{"cover",#N/A,TRUE,"Cover";"toc8",#N/A,TRUE,"TOC";"over",#N/A,TRUE,"Overview";"ts2",#N/A,TRUE,"Det_Trans_Sum";"ei",#N/A,TRUE,"Earnings Impact";"ad",#N/A,TRUE,"accretion dilution";"tas",#N/A,TRUE,"TaintedShares";"hg",#N/A,TRUE,"Has-Gets";"pfis",#N/A,TRUE,"Pro Forma Income Statement";"ca",#N/A,TRUE,"Contribution_Analysis";"profba",#N/A,TRUE,"Pro Forma Balance Sheet";"acq",#N/A,TRUE,"Acquirer";"tar",#N/A,TRUE,"Target"}</definedName>
    <definedName name="wrn.61." hidden="1">{"cover",#N/A,TRUE,"Cover";"toc8",#N/A,TRUE,"TOC";"over",#N/A,TRUE,"Overview";"ts2",#N/A,TRUE,"Det_Trans_Sum";"ei",#N/A,TRUE,"Earnings Impact";"ad",#N/A,TRUE,"accretion dilution";"tas",#N/A,TRUE,"TaintedShares";"hg",#N/A,TRUE,"Has-Gets";"pfis",#N/A,TRUE,"Pro Forma Income Statement";"ca",#N/A,TRUE,"Contribution_Analysis";"profba",#N/A,TRUE,"Pro Forma Balance Sheet";"acq",#N/A,TRUE,"Acquirer";"tar",#N/A,TRUE,"Target"}</definedName>
    <definedName name="wrn.62." localSheetId="3" hidden="1">{"cover",#N/A,TRUE,"Cover";"toc8",#N/A,TRUE,"TOC";"over",#N/A,TRUE,"Overview";"ts2",#N/A,TRUE,"Det_Trans_Sum";"ei1",#N/A,TRUE,"Earnings Impact";"ad1",#N/A,TRUE,"accretion dilution";"tas",#N/A,TRUE,"TaintedShares";"hg1",#N/A,TRUE,"Has-Gets";"pfis1",#N/A,TRUE,"Pro Forma Income Statement";"ca1",#N/A,TRUE,"Contribution_Analysis";"profba",#N/A,TRUE,"Pro Forma Balance Sheet";"acq1",#N/A,TRUE,"Acquirer";"tar1",#N/A,TRUE,"Target"}</definedName>
    <definedName name="wrn.62." localSheetId="1" hidden="1">{"cover",#N/A,TRUE,"Cover";"toc8",#N/A,TRUE,"TOC";"over",#N/A,TRUE,"Overview";"ts2",#N/A,TRUE,"Det_Trans_Sum";"ei1",#N/A,TRUE,"Earnings Impact";"ad1",#N/A,TRUE,"accretion dilution";"tas",#N/A,TRUE,"TaintedShares";"hg1",#N/A,TRUE,"Has-Gets";"pfis1",#N/A,TRUE,"Pro Forma Income Statement";"ca1",#N/A,TRUE,"Contribution_Analysis";"profba",#N/A,TRUE,"Pro Forma Balance Sheet";"acq1",#N/A,TRUE,"Acquirer";"tar1",#N/A,TRUE,"Target"}</definedName>
    <definedName name="wrn.62." hidden="1">{"cover",#N/A,TRUE,"Cover";"toc8",#N/A,TRUE,"TOC";"over",#N/A,TRUE,"Overview";"ts2",#N/A,TRUE,"Det_Trans_Sum";"ei1",#N/A,TRUE,"Earnings Impact";"ad1",#N/A,TRUE,"accretion dilution";"tas",#N/A,TRUE,"TaintedShares";"hg1",#N/A,TRUE,"Has-Gets";"pfis1",#N/A,TRUE,"Pro Forma Income Statement";"ca1",#N/A,TRUE,"Contribution_Analysis";"profba",#N/A,TRUE,"Pro Forma Balance Sheet";"acq1",#N/A,TRUE,"Acquirer";"tar1",#N/A,TRUE,"Target"}</definedName>
    <definedName name="wrn.63." localSheetId="3" hidden="1">{"cover",#N/A,TRUE,"Cover";"toc8",#N/A,TRUE,"TOC";"over",#N/A,TRUE,"Overview";"ts2",#N/A,TRUE,"Det_Trans_Sum";"ei2",#N/A,TRUE,"Earnings Impact";"ad2",#N/A,TRUE,"accretion dilution";"tas",#N/A,TRUE,"TaintedShares";"hg2",#N/A,TRUE,"Has-Gets";"pfis2",#N/A,TRUE,"Pro Forma Income Statement";"ca2",#N/A,TRUE,"Contribution_Analysis";"profba",#N/A,TRUE,"Pro Forma Balance Sheet";"acq2",#N/A,TRUE,"Acquirer";"tar2",#N/A,TRUE,"Target"}</definedName>
    <definedName name="wrn.63." localSheetId="1" hidden="1">{"cover",#N/A,TRUE,"Cover";"toc8",#N/A,TRUE,"TOC";"over",#N/A,TRUE,"Overview";"ts2",#N/A,TRUE,"Det_Trans_Sum";"ei2",#N/A,TRUE,"Earnings Impact";"ad2",#N/A,TRUE,"accretion dilution";"tas",#N/A,TRUE,"TaintedShares";"hg2",#N/A,TRUE,"Has-Gets";"pfis2",#N/A,TRUE,"Pro Forma Income Statement";"ca2",#N/A,TRUE,"Contribution_Analysis";"profba",#N/A,TRUE,"Pro Forma Balance Sheet";"acq2",#N/A,TRUE,"Acquirer";"tar2",#N/A,TRUE,"Target"}</definedName>
    <definedName name="wrn.63." hidden="1">{"cover",#N/A,TRUE,"Cover";"toc8",#N/A,TRUE,"TOC";"over",#N/A,TRUE,"Overview";"ts2",#N/A,TRUE,"Det_Trans_Sum";"ei2",#N/A,TRUE,"Earnings Impact";"ad2",#N/A,TRUE,"accretion dilution";"tas",#N/A,TRUE,"TaintedShares";"hg2",#N/A,TRUE,"Has-Gets";"pfis2",#N/A,TRUE,"Pro Forma Income Statement";"ca2",#N/A,TRUE,"Contribution_Analysis";"profba",#N/A,TRUE,"Pro Forma Balance Sheet";"acq2",#N/A,TRUE,"Acquirer";"tar2",#N/A,TRUE,"Target"}</definedName>
    <definedName name="wrn.64." localSheetId="3" hidden="1">{"cover",#N/A,TRUE,"Cover";"toc8",#N/A,TRUE,"TOC";"over",#N/A,TRUE,"Overview";"ts2",#N/A,TRUE,"Det_Trans_Sum";"ei3",#N/A,TRUE,"Earnings Impact";"ad3",#N/A,TRUE,"accretion dilution";"tas",#N/A,TRUE,"TaintedShares";"hg3",#N/A,TRUE,"Has-Gets";"pfis3",#N/A,TRUE,"Pro Forma Income Statement";"ca3",#N/A,TRUE,"Contribution_Analysis";"profba",#N/A,TRUE,"Pro Forma Balance Sheet";"acq3",#N/A,TRUE,"Acquirer";"tar3",#N/A,TRUE,"Target"}</definedName>
    <definedName name="wrn.64." localSheetId="1" hidden="1">{"cover",#N/A,TRUE,"Cover";"toc8",#N/A,TRUE,"TOC";"over",#N/A,TRUE,"Overview";"ts2",#N/A,TRUE,"Det_Trans_Sum";"ei3",#N/A,TRUE,"Earnings Impact";"ad3",#N/A,TRUE,"accretion dilution";"tas",#N/A,TRUE,"TaintedShares";"hg3",#N/A,TRUE,"Has-Gets";"pfis3",#N/A,TRUE,"Pro Forma Income Statement";"ca3",#N/A,TRUE,"Contribution_Analysis";"profba",#N/A,TRUE,"Pro Forma Balance Sheet";"acq3",#N/A,TRUE,"Acquirer";"tar3",#N/A,TRUE,"Target"}</definedName>
    <definedName name="wrn.64." hidden="1">{"cover",#N/A,TRUE,"Cover";"toc8",#N/A,TRUE,"TOC";"over",#N/A,TRUE,"Overview";"ts2",#N/A,TRUE,"Det_Trans_Sum";"ei3",#N/A,TRUE,"Earnings Impact";"ad3",#N/A,TRUE,"accretion dilution";"tas",#N/A,TRUE,"TaintedShares";"hg3",#N/A,TRUE,"Has-Gets";"pfis3",#N/A,TRUE,"Pro Forma Income Statement";"ca3",#N/A,TRUE,"Contribution_Analysis";"profba",#N/A,TRUE,"Pro Forma Balance Sheet";"acq3",#N/A,TRUE,"Acquirer";"tar3",#N/A,TRUE,"Target"}</definedName>
    <definedName name="wrn.65." localSheetId="3" hidden="1">{"cover",#N/A,TRUE,"Cover";"toc9",#N/A,TRUE,"TOC";"over",#N/A,TRUE,"Overview";"ts2",#N/A,TRUE,"Det_Trans_Sum";"ei",#N/A,TRUE,"Earnings Impact";"ad1",#N/A,TRUE,"accretion dilution";"pfis",#N/A,TRUE,"Pro Forma Income Statement";"ca",#N/A,TRUE,"Contribution_Analysis";"profba",#N/A,TRUE,"Pro Forma Balance Sheet";"acq",#N/A,TRUE,"Acquirer";"tar",#N/A,TRUE,"Target"}</definedName>
    <definedName name="wrn.65." localSheetId="1" hidden="1">{"cover",#N/A,TRUE,"Cover";"toc9",#N/A,TRUE,"TOC";"over",#N/A,TRUE,"Overview";"ts2",#N/A,TRUE,"Det_Trans_Sum";"ei",#N/A,TRUE,"Earnings Impact";"ad1",#N/A,TRUE,"accretion dilution";"pfis",#N/A,TRUE,"Pro Forma Income Statement";"ca",#N/A,TRUE,"Contribution_Analysis";"profba",#N/A,TRUE,"Pro Forma Balance Sheet";"acq",#N/A,TRUE,"Acquirer";"tar",#N/A,TRUE,"Target"}</definedName>
    <definedName name="wrn.65." hidden="1">{"cover",#N/A,TRUE,"Cover";"toc9",#N/A,TRUE,"TOC";"over",#N/A,TRUE,"Overview";"ts2",#N/A,TRUE,"Det_Trans_Sum";"ei",#N/A,TRUE,"Earnings Impact";"ad1",#N/A,TRUE,"accretion dilution";"pfis",#N/A,TRUE,"Pro Forma Income Statement";"ca",#N/A,TRUE,"Contribution_Analysis";"profba",#N/A,TRUE,"Pro Forma Balance Sheet";"acq",#N/A,TRUE,"Acquirer";"tar",#N/A,TRUE,"Target"}</definedName>
    <definedName name="wrn.66." localSheetId="3" hidden="1">{"cover",#N/A,TRUE,"Cover";"toc9",#N/A,TRUE,"TOC";"over",#N/A,TRUE,"Overview";"ts2",#N/A,TRUE,"Det_Trans_Sum";"ei1",#N/A,TRUE,"Earnings Impact";"ad1",#N/A,TRUE,"accretion dilution";"pfis1",#N/A,TRUE,"Pro Forma Income Statement";"ca1",#N/A,TRUE,"Contribution_Analysis";"profba",#N/A,TRUE,"Pro Forma Balance Sheet";"acq1",#N/A,TRUE,"Acquirer";"tar1",#N/A,TRUE,"Target"}</definedName>
    <definedName name="wrn.66." localSheetId="1" hidden="1">{"cover",#N/A,TRUE,"Cover";"toc9",#N/A,TRUE,"TOC";"over",#N/A,TRUE,"Overview";"ts2",#N/A,TRUE,"Det_Trans_Sum";"ei1",#N/A,TRUE,"Earnings Impact";"ad1",#N/A,TRUE,"accretion dilution";"pfis1",#N/A,TRUE,"Pro Forma Income Statement";"ca1",#N/A,TRUE,"Contribution_Analysis";"profba",#N/A,TRUE,"Pro Forma Balance Sheet";"acq1",#N/A,TRUE,"Acquirer";"tar1",#N/A,TRUE,"Target"}</definedName>
    <definedName name="wrn.66." hidden="1">{"cover",#N/A,TRUE,"Cover";"toc9",#N/A,TRUE,"TOC";"over",#N/A,TRUE,"Overview";"ts2",#N/A,TRUE,"Det_Trans_Sum";"ei1",#N/A,TRUE,"Earnings Impact";"ad1",#N/A,TRUE,"accretion dilution";"pfis1",#N/A,TRUE,"Pro Forma Income Statement";"ca1",#N/A,TRUE,"Contribution_Analysis";"profba",#N/A,TRUE,"Pro Forma Balance Sheet";"acq1",#N/A,TRUE,"Acquirer";"tar1",#N/A,TRUE,"Target"}</definedName>
    <definedName name="wrn.67." localSheetId="3" hidden="1">{"cover",#N/A,TRUE,"Cover";"toc9",#N/A,TRUE,"TOC";"over",#N/A,TRUE,"Overview";"ts2",#N/A,TRUE,"Det_Trans_Sum";"ei2",#N/A,TRUE,"Earnings Impact";"ad2",#N/A,TRUE,"accretion dilution";"pfis2",#N/A,TRUE,"Pro Forma Income Statement";"ca2",#N/A,TRUE,"Contribution_Analysis";"profba",#N/A,TRUE,"Pro Forma Balance Sheet";"acq2",#N/A,TRUE,"Acquirer";"tar2",#N/A,TRUE,"Target"}</definedName>
    <definedName name="wrn.67." localSheetId="1" hidden="1">{"cover",#N/A,TRUE,"Cover";"toc9",#N/A,TRUE,"TOC";"over",#N/A,TRUE,"Overview";"ts2",#N/A,TRUE,"Det_Trans_Sum";"ei2",#N/A,TRUE,"Earnings Impact";"ad2",#N/A,TRUE,"accretion dilution";"pfis2",#N/A,TRUE,"Pro Forma Income Statement";"ca2",#N/A,TRUE,"Contribution_Analysis";"profba",#N/A,TRUE,"Pro Forma Balance Sheet";"acq2",#N/A,TRUE,"Acquirer";"tar2",#N/A,TRUE,"Target"}</definedName>
    <definedName name="wrn.67." hidden="1">{"cover",#N/A,TRUE,"Cover";"toc9",#N/A,TRUE,"TOC";"over",#N/A,TRUE,"Overview";"ts2",#N/A,TRUE,"Det_Trans_Sum";"ei2",#N/A,TRUE,"Earnings Impact";"ad2",#N/A,TRUE,"accretion dilution";"pfis2",#N/A,TRUE,"Pro Forma Income Statement";"ca2",#N/A,TRUE,"Contribution_Analysis";"profba",#N/A,TRUE,"Pro Forma Balance Sheet";"acq2",#N/A,TRUE,"Acquirer";"tar2",#N/A,TRUE,"Target"}</definedName>
    <definedName name="wrn.68." localSheetId="3" hidden="1">{"cover",#N/A,TRUE,"Cover";"toc9",#N/A,TRUE,"TOC";"over",#N/A,TRUE,"Overview";"ts2",#N/A,TRUE,"Det_Trans_Sum";"ei3",#N/A,TRUE,"Earnings Impact";"ad3",#N/A,TRUE,"accretion dilution";"pfis3",#N/A,TRUE,"Pro Forma Income Statement";"ca3",#N/A,TRUE,"Contribution_Analysis";"profba",#N/A,TRUE,"Pro Forma Balance Sheet";"acq3",#N/A,TRUE,"Acquirer";"tar3",#N/A,TRUE,"Target"}</definedName>
    <definedName name="wrn.68." localSheetId="1" hidden="1">{"cover",#N/A,TRUE,"Cover";"toc9",#N/A,TRUE,"TOC";"over",#N/A,TRUE,"Overview";"ts2",#N/A,TRUE,"Det_Trans_Sum";"ei3",#N/A,TRUE,"Earnings Impact";"ad3",#N/A,TRUE,"accretion dilution";"pfis3",#N/A,TRUE,"Pro Forma Income Statement";"ca3",#N/A,TRUE,"Contribution_Analysis";"profba",#N/A,TRUE,"Pro Forma Balance Sheet";"acq3",#N/A,TRUE,"Acquirer";"tar3",#N/A,TRUE,"Target"}</definedName>
    <definedName name="wrn.68." hidden="1">{"cover",#N/A,TRUE,"Cover";"toc9",#N/A,TRUE,"TOC";"over",#N/A,TRUE,"Overview";"ts2",#N/A,TRUE,"Det_Trans_Sum";"ei3",#N/A,TRUE,"Earnings Impact";"ad3",#N/A,TRUE,"accretion dilution";"pfis3",#N/A,TRUE,"Pro Forma Income Statement";"ca3",#N/A,TRUE,"Contribution_Analysis";"profba",#N/A,TRUE,"Pro Forma Balance Sheet";"acq3",#N/A,TRUE,"Acquirer";"tar3",#N/A,TRUE,"Target"}</definedName>
    <definedName name="wrn.69." localSheetId="3" hidden="1">{"cover",#N/A,TRUE,"Cover";"toc10",#N/A,TRUE,"TOC";"over",#N/A,TRUE,"Overview";"ts2",#N/A,TRUE,"Det_Trans_Sum";"ei",#N/A,TRUE,"Earnings Impact";"ad",#N/A,TRUE,"accretion dilution";"hg",#N/A,TRUE,"Has-Gets";"pfis",#N/A,TRUE,"Pro Forma Income Statement";"ca",#N/A,TRUE,"Contribution_Analysis";"profba",#N/A,TRUE,"Pro Forma Balance Sheet";"acq",#N/A,TRUE,"Acquirer";"tar",#N/A,TRUE,"Target"}</definedName>
    <definedName name="wrn.69." localSheetId="1" hidden="1">{"cover",#N/A,TRUE,"Cover";"toc10",#N/A,TRUE,"TOC";"over",#N/A,TRUE,"Overview";"ts2",#N/A,TRUE,"Det_Trans_Sum";"ei",#N/A,TRUE,"Earnings Impact";"ad",#N/A,TRUE,"accretion dilution";"hg",#N/A,TRUE,"Has-Gets";"pfis",#N/A,TRUE,"Pro Forma Income Statement";"ca",#N/A,TRUE,"Contribution_Analysis";"profba",#N/A,TRUE,"Pro Forma Balance Sheet";"acq",#N/A,TRUE,"Acquirer";"tar",#N/A,TRUE,"Target"}</definedName>
    <definedName name="wrn.69." hidden="1">{"cover",#N/A,TRUE,"Cover";"toc10",#N/A,TRUE,"TOC";"over",#N/A,TRUE,"Overview";"ts2",#N/A,TRUE,"Det_Trans_Sum";"ei",#N/A,TRUE,"Earnings Impact";"ad",#N/A,TRUE,"accretion dilution";"hg",#N/A,TRUE,"Has-Gets";"pfis",#N/A,TRUE,"Pro Forma Income Statement";"ca",#N/A,TRUE,"Contribution_Analysis";"profba",#N/A,TRUE,"Pro Forma Balance Sheet";"acq",#N/A,TRUE,"Acquirer";"tar",#N/A,TRUE,"Target"}</definedName>
    <definedName name="wrn.7." localSheetId="3" hidden="1">{"cover",#N/A,TRUE,"Cover";"toc2",#N/A,TRUE,"TOC";"ts1",#N/A,TRUE,"Transaction Summary";"ei2c",#N/A,TRUE,"Earnings Impact";"ad2",#N/A,TRUE,"accretion dilution";"hg2",#N/A,TRUE,"Has-Gets"}</definedName>
    <definedName name="wrn.7." localSheetId="1" hidden="1">{"cover",#N/A,TRUE,"Cover";"toc2",#N/A,TRUE,"TOC";"ts1",#N/A,TRUE,"Transaction Summary";"ei2c",#N/A,TRUE,"Earnings Impact";"ad2",#N/A,TRUE,"accretion dilution";"hg2",#N/A,TRUE,"Has-Gets"}</definedName>
    <definedName name="wrn.7." hidden="1">{"cover",#N/A,TRUE,"Cover";"toc2",#N/A,TRUE,"TOC";"ts1",#N/A,TRUE,"Transaction Summary";"ei2c",#N/A,TRUE,"Earnings Impact";"ad2",#N/A,TRUE,"accretion dilution";"hg2",#N/A,TRUE,"Has-Gets"}</definedName>
    <definedName name="wrn.70." localSheetId="3" hidden="1">{"cover",#N/A,TRUE,"Cover";"toc10",#N/A,TRUE,"TOC";"over",#N/A,TRUE,"Overview";"ts2",#N/A,TRUE,"Det_Trans_Sum";"ei1",#N/A,TRUE,"Earnings Impact";"ad1",#N/A,TRUE,"accretion dilution";"hg",#N/A,TRUE,"Has-Gets";"pfis1",#N/A,TRUE,"Pro Forma Income Statement";"ca1",#N/A,TRUE,"Contribution_Analysis";"profba",#N/A,TRUE,"Pro Forma Balance Sheet";"acq1",#N/A,TRUE,"Acquirer";"tar1",#N/A,TRUE,"Target"}</definedName>
    <definedName name="wrn.70." localSheetId="1" hidden="1">{"cover",#N/A,TRUE,"Cover";"toc10",#N/A,TRUE,"TOC";"over",#N/A,TRUE,"Overview";"ts2",#N/A,TRUE,"Det_Trans_Sum";"ei1",#N/A,TRUE,"Earnings Impact";"ad1",#N/A,TRUE,"accretion dilution";"hg",#N/A,TRUE,"Has-Gets";"pfis1",#N/A,TRUE,"Pro Forma Income Statement";"ca1",#N/A,TRUE,"Contribution_Analysis";"profba",#N/A,TRUE,"Pro Forma Balance Sheet";"acq1",#N/A,TRUE,"Acquirer";"tar1",#N/A,TRUE,"Target"}</definedName>
    <definedName name="wrn.70." hidden="1">{"cover",#N/A,TRUE,"Cover";"toc10",#N/A,TRUE,"TOC";"over",#N/A,TRUE,"Overview";"ts2",#N/A,TRUE,"Det_Trans_Sum";"ei1",#N/A,TRUE,"Earnings Impact";"ad1",#N/A,TRUE,"accretion dilution";"hg",#N/A,TRUE,"Has-Gets";"pfis1",#N/A,TRUE,"Pro Forma Income Statement";"ca1",#N/A,TRUE,"Contribution_Analysis";"profba",#N/A,TRUE,"Pro Forma Balance Sheet";"acq1",#N/A,TRUE,"Acquirer";"tar1",#N/A,TRUE,"Target"}</definedName>
    <definedName name="wrn.71." localSheetId="3" hidden="1">{"cover",#N/A,TRUE,"Cover";"toc10",#N/A,TRUE,"TOC";"over",#N/A,TRUE,"Overview";"ts2",#N/A,TRUE,"Det_Trans_Sum";"ei2",#N/A,TRUE,"Earnings Impact";"ad2",#N/A,TRUE,"accretion dilution";"hg2",#N/A,TRUE,"Has-Gets";"pfis2",#N/A,TRUE,"Pro Forma Income Statement";"ca2",#N/A,TRUE,"Contribution_Analysis";"profba",#N/A,TRUE,"Pro Forma Balance Sheet";"acq2",#N/A,TRUE,"Acquirer";"tar2",#N/A,TRUE,"Target"}</definedName>
    <definedName name="wrn.71." localSheetId="1" hidden="1">{"cover",#N/A,TRUE,"Cover";"toc10",#N/A,TRUE,"TOC";"over",#N/A,TRUE,"Overview";"ts2",#N/A,TRUE,"Det_Trans_Sum";"ei2",#N/A,TRUE,"Earnings Impact";"ad2",#N/A,TRUE,"accretion dilution";"hg2",#N/A,TRUE,"Has-Gets";"pfis2",#N/A,TRUE,"Pro Forma Income Statement";"ca2",#N/A,TRUE,"Contribution_Analysis";"profba",#N/A,TRUE,"Pro Forma Balance Sheet";"acq2",#N/A,TRUE,"Acquirer";"tar2",#N/A,TRUE,"Target"}</definedName>
    <definedName name="wrn.71." hidden="1">{"cover",#N/A,TRUE,"Cover";"toc10",#N/A,TRUE,"TOC";"over",#N/A,TRUE,"Overview";"ts2",#N/A,TRUE,"Det_Trans_Sum";"ei2",#N/A,TRUE,"Earnings Impact";"ad2",#N/A,TRUE,"accretion dilution";"hg2",#N/A,TRUE,"Has-Gets";"pfis2",#N/A,TRUE,"Pro Forma Income Statement";"ca2",#N/A,TRUE,"Contribution_Analysis";"profba",#N/A,TRUE,"Pro Forma Balance Sheet";"acq2",#N/A,TRUE,"Acquirer";"tar2",#N/A,TRUE,"Target"}</definedName>
    <definedName name="wrn.72." localSheetId="3" hidden="1">{"cover",#N/A,TRUE,"Cover";"toc10",#N/A,TRUE,"TOC";"over",#N/A,TRUE,"Overview";"ts2",#N/A,TRUE,"Det_Trans_Sum";"ei3",#N/A,TRUE,"Earnings Impact";"ad3",#N/A,TRUE,"accretion dilution";"hg3",#N/A,TRUE,"Has-Gets";"pfis3",#N/A,TRUE,"Pro Forma Income Statement";"ca3",#N/A,TRUE,"Contribution_Analysis";"profba",#N/A,TRUE,"Pro Forma Balance Sheet";"acq3",#N/A,TRUE,"Acquirer";"tar3",#N/A,TRUE,"Target"}</definedName>
    <definedName name="wrn.72." localSheetId="1" hidden="1">{"cover",#N/A,TRUE,"Cover";"toc10",#N/A,TRUE,"TOC";"over",#N/A,TRUE,"Overview";"ts2",#N/A,TRUE,"Det_Trans_Sum";"ei3",#N/A,TRUE,"Earnings Impact";"ad3",#N/A,TRUE,"accretion dilution";"hg3",#N/A,TRUE,"Has-Gets";"pfis3",#N/A,TRUE,"Pro Forma Income Statement";"ca3",#N/A,TRUE,"Contribution_Analysis";"profba",#N/A,TRUE,"Pro Forma Balance Sheet";"acq3",#N/A,TRUE,"Acquirer";"tar3",#N/A,TRUE,"Target"}</definedName>
    <definedName name="wrn.72." hidden="1">{"cover",#N/A,TRUE,"Cover";"toc10",#N/A,TRUE,"TOC";"over",#N/A,TRUE,"Overview";"ts2",#N/A,TRUE,"Det_Trans_Sum";"ei3",#N/A,TRUE,"Earnings Impact";"ad3",#N/A,TRUE,"accretion dilution";"hg3",#N/A,TRUE,"Has-Gets";"pfis3",#N/A,TRUE,"Pro Forma Income Statement";"ca3",#N/A,TRUE,"Contribution_Analysis";"profba",#N/A,TRUE,"Pro Forma Balance Sheet";"acq3",#N/A,TRUE,"Acquirer";"tar3",#N/A,TRUE,"Target"}</definedName>
    <definedName name="wrn.8." localSheetId="3" hidden="1">{"cover",#N/A,TRUE,"Cover";"toc2",#N/A,TRUE,"TOC";"ts1",#N/A,TRUE,"Transaction Summary";"ei3",#N/A,TRUE,"Earnings Impact";"ad3",#N/A,TRUE,"accretion dilution";"hg3",#N/A,TRUE,"Has-Gets"}</definedName>
    <definedName name="wrn.8." localSheetId="1" hidden="1">{"cover",#N/A,TRUE,"Cover";"toc2",#N/A,TRUE,"TOC";"ts1",#N/A,TRUE,"Transaction Summary";"ei3",#N/A,TRUE,"Earnings Impact";"ad3",#N/A,TRUE,"accretion dilution";"hg3",#N/A,TRUE,"Has-Gets"}</definedName>
    <definedName name="wrn.8." hidden="1">{"cover",#N/A,TRUE,"Cover";"toc2",#N/A,TRUE,"TOC";"ts1",#N/A,TRUE,"Transaction Summary";"ei3",#N/A,TRUE,"Earnings Impact";"ad3",#N/A,TRUE,"accretion dilution";"hg3",#N/A,TRUE,"Has-Gets"}</definedName>
    <definedName name="wrn.9." localSheetId="3" hidden="1">{"cover",#N/A,TRUE,"Cover";"toc3",#N/A,TRUE,"TOC";"over",#N/A,TRUE,"Overview";"ts2",#N/A,TRUE,"Det_Trans_Sum";"eic",#N/A,TRUE,"Earnings Impact";"ad",#N/A,TRUE,"accretion dilution";"pfis",#N/A,TRUE,"Pro Forma Income Statement";"acqc",#N/A,TRUE,"Acquirer";"tarc",#N/A,TRUE,"Target"}</definedName>
    <definedName name="wrn.9." localSheetId="1" hidden="1">{"cover",#N/A,TRUE,"Cover";"toc3",#N/A,TRUE,"TOC";"over",#N/A,TRUE,"Overview";"ts2",#N/A,TRUE,"Det_Trans_Sum";"eic",#N/A,TRUE,"Earnings Impact";"ad",#N/A,TRUE,"accretion dilution";"pfis",#N/A,TRUE,"Pro Forma Income Statement";"acqc",#N/A,TRUE,"Acquirer";"tarc",#N/A,TRUE,"Target"}</definedName>
    <definedName name="wrn.9." hidden="1">{"cover",#N/A,TRUE,"Cover";"toc3",#N/A,TRUE,"TOC";"over",#N/A,TRUE,"Overview";"ts2",#N/A,TRUE,"Det_Trans_Sum";"eic",#N/A,TRUE,"Earnings Impact";"ad",#N/A,TRUE,"accretion dilution";"pfis",#N/A,TRUE,"Pro Forma Income Statement";"acqc",#N/A,TRUE,"Acquirer";"tarc",#N/A,TRUE,"Target"}</definedName>
    <definedName name="wrn.a" localSheetId="3" hidden="1">{"a_Acquiror Assumptions",#N/A,FALSE,"Financials";"b_Acquiror Income Statement",#N/A,FALSE,"Financials";"c_Acquiror Balance Sheet",#N/A,FALSE,"Financials";"d_Acquiror Cashflow Statement",#N/A,FALSE,"Financials";"e_Target Assumptions",#N/A,FALSE,"Financials";"f_Target Income Statement",#N/A,FALSE,"Financials";"g_Target Balance Sheet",#N/A,FALSE,"Financials";"h_Target Cashflow Statement",#N/A,FALSE,"Financials";"i_Pro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a" localSheetId="1" hidden="1">{"a_Acquiror Assumptions",#N/A,FALSE,"Financials";"b_Acquiror Income Statement",#N/A,FALSE,"Financials";"c_Acquiror Balance Sheet",#N/A,FALSE,"Financials";"d_Acquiror Cashflow Statement",#N/A,FALSE,"Financials";"e_Target Assumptions",#N/A,FALSE,"Financials";"f_Target Income Statement",#N/A,FALSE,"Financials";"g_Target Balance Sheet",#N/A,FALSE,"Financials";"h_Target Cashflow Statement",#N/A,FALSE,"Financials";"i_Pro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a" hidden="1">{"a_Acquiror Assumptions",#N/A,FALSE,"Financials";"b_Acquiror Income Statement",#N/A,FALSE,"Financials";"c_Acquiror Balance Sheet",#N/A,FALSE,"Financials";"d_Acquiror Cashflow Statement",#N/A,FALSE,"Financials";"e_Target Assumptions",#N/A,FALSE,"Financials";"f_Target Income Statement",#N/A,FALSE,"Financials";"g_Target Balance Sheet",#N/A,FALSE,"Financials";"h_Target Cashflow Statement",#N/A,FALSE,"Financials";"i_Pro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Acquiror." localSheetId="3" hidden="1">{"a_Acquiror Assumptions",#N/A,FALSE,"Financials";"b_Acquiror Income Statement",#N/A,FALSE,"Financials";"c_Acquiror Balance Sheet",#N/A,FALSE,"Financials";"d_Acquiror Cashflow Statement",#N/A,FALSE,"Financials"}</definedName>
    <definedName name="wrn.Acquiror." localSheetId="1" hidden="1">{"a_Acquiror Assumptions",#N/A,FALSE,"Financials";"b_Acquiror Income Statement",#N/A,FALSE,"Financials";"c_Acquiror Balance Sheet",#N/A,FALSE,"Financials";"d_Acquiror Cashflow Statement",#N/A,FALSE,"Financials"}</definedName>
    <definedName name="wrn.Acquiror." hidden="1">{"a_Acquiror Assumptions",#N/A,FALSE,"Financials";"b_Acquiror Income Statement",#N/A,FALSE,"Financials";"c_Acquiror Balance Sheet",#N/A,FALSE,"Financials";"d_Acquiror Cashflow Statement",#N/A,FALSE,"Financials"}</definedName>
    <definedName name="wrn.administracion." localSheetId="3" hidden="1">{#N/A,#N/A,FALSE,"CARATULA GENERAL";#N/A,#N/A,FALSE,"GSxDIRECCION";#N/A,#N/A,FALSE,"Caratula";#N/A,#N/A,FALSE,"GSxCTRO";#N/A,#N/A,FALSE,"GsAdm.Centr";#N/A,#N/A,FALSE,"Dir.Gral";#N/A,#N/A,FALSE,"AdmyFzas";#N/A,#N/A,FALSE,"Sistemas";#N/A,#N/A,FALSE,"RRHH"}</definedName>
    <definedName name="wrn.administracion." localSheetId="1" hidden="1">{#N/A,#N/A,FALSE,"CARATULA GENERAL";#N/A,#N/A,FALSE,"GSxDIRECCION";#N/A,#N/A,FALSE,"Caratula";#N/A,#N/A,FALSE,"GSxCTRO";#N/A,#N/A,FALSE,"GsAdm.Centr";#N/A,#N/A,FALSE,"Dir.Gral";#N/A,#N/A,FALSE,"AdmyFzas";#N/A,#N/A,FALSE,"Sistemas";#N/A,#N/A,FALSE,"RRHH"}</definedName>
    <definedName name="wrn.administracion." hidden="1">{#N/A,#N/A,FALSE,"CARATULA GENERAL";#N/A,#N/A,FALSE,"GSxDIRECCION";#N/A,#N/A,FALSE,"Caratula";#N/A,#N/A,FALSE,"GSxCTRO";#N/A,#N/A,FALSE,"GsAdm.Centr";#N/A,#N/A,FALSE,"Dir.Gral";#N/A,#N/A,FALSE,"AdmyFzas";#N/A,#N/A,FALSE,"Sistemas";#N/A,#N/A,FALSE,"RRHH"}</definedName>
    <definedName name="wrn.Aging._.and._.Trend._.Analysis." localSheetId="3" hidden="1">{#N/A,#N/A,FALSE,"Aging Summary";#N/A,#N/A,FALSE,"Ratio Analysis";#N/A,#N/A,FALSE,"Test 120 Day Accts";#N/A,#N/A,FALSE,"Tickmarks"}</definedName>
    <definedName name="wrn.Aging._.and._.Trend._.Analysis." localSheetId="1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ll." localSheetId="3" hidden="1">{#N/A,#N/A,FALSE,"Balance Sheet";#N/A,#N/A,FALSE,"Income Statement";#N/A,#N/A,FALSE,"Partners Capital";#N/A,#N/A,FALSE,"Cash Flows";#N/A,#N/A,FALSE,"Support"}</definedName>
    <definedName name="wrn.All." localSheetId="1" hidden="1">{#N/A,#N/A,FALSE,"Balance Sheet";#N/A,#N/A,FALSE,"Income Statement";#N/A,#N/A,FALSE,"Partners Capital";#N/A,#N/A,FALSE,"Cash Flows";#N/A,#N/A,FALSE,"Support"}</definedName>
    <definedName name="wrn.All." hidden="1">{#N/A,#N/A,FALSE,"Balance Sheet";#N/A,#N/A,FALSE,"Income Statement";#N/A,#N/A,FALSE,"Partners Capital";#N/A,#N/A,FALSE,"Cash Flows";#N/A,#N/A,FALSE,"Support"}</definedName>
    <definedName name="wrn.All._.Sections." localSheetId="3" hidden="1">{"Data Entry",#N/A,FALSE,"COMPTEMP";"Ratios",#N/A,FALSE,"COMPTEMP";"Aggregate Values",#N/A,FALSE,"COMPTEMP";"Equity Multiples",#N/A,FALSE,"COMPTEMP";"Summary Overview",#N/A,FALSE,"COMPTEMP"}</definedName>
    <definedName name="wrn.All._.Sections." localSheetId="1" hidden="1">{"Data Entry",#N/A,FALSE,"COMPTEMP";"Ratios",#N/A,FALSE,"COMPTEMP";"Aggregate Values",#N/A,FALSE,"COMPTEMP";"Equity Multiples",#N/A,FALSE,"COMPTEMP";"Summary Overview",#N/A,FALSE,"COMPTEMP"}</definedName>
    <definedName name="wrn.All._.Sections." hidden="1">{"Data Entry",#N/A,FALSE,"COMPTEMP";"Ratios",#N/A,FALSE,"COMPTEMP";"Aggregate Values",#N/A,FALSE,"COMPTEMP";"Equity Multiples",#N/A,FALSE,"COMPTEMP";"Summary Overview",#N/A,FALSE,"COMPTEMP"}</definedName>
    <definedName name="wrn.AllDivisions." localSheetId="3" hidden="1">{#N/A,#N/A,TRUE,"buffalo";#N/A,#N/A,TRUE,"chatt";#N/A,#N/A,TRUE,"Griffith";#N/A,#N/A,TRUE,"Hammond";#N/A,#N/A,TRUE,"Harvey";#N/A,#N/A,TRUE,"texas";#N/A,#N/A,TRUE,"Combined"}</definedName>
    <definedName name="wrn.AllDivisions." localSheetId="1" hidden="1">{#N/A,#N/A,TRUE,"buffalo";#N/A,#N/A,TRUE,"chatt";#N/A,#N/A,TRUE,"Griffith";#N/A,#N/A,TRUE,"Hammond";#N/A,#N/A,TRUE,"Harvey";#N/A,#N/A,TRUE,"texas";#N/A,#N/A,TRUE,"Combined"}</definedName>
    <definedName name="wrn.AllDivisions." hidden="1">{#N/A,#N/A,TRUE,"buffalo";#N/A,#N/A,TRUE,"chatt";#N/A,#N/A,TRUE,"Griffith";#N/A,#N/A,TRUE,"Hammond";#N/A,#N/A,TRUE,"Harvey";#N/A,#N/A,TRUE,"texas";#N/A,#N/A,TRUE,"Combined"}</definedName>
    <definedName name="wrn.Alll" localSheetId="3" hidden="1">{#N/A,#N/A,FALSE,"Balance Sheet";#N/A,#N/A,FALSE,"Income Statement";#N/A,#N/A,FALSE,"Partners Capital";#N/A,#N/A,FALSE,"Cash Flows";#N/A,#N/A,FALSE,"Support"}</definedName>
    <definedName name="wrn.Alll" localSheetId="1" hidden="1">{#N/A,#N/A,FALSE,"Balance Sheet";#N/A,#N/A,FALSE,"Income Statement";#N/A,#N/A,FALSE,"Partners Capital";#N/A,#N/A,FALSE,"Cash Flows";#N/A,#N/A,FALSE,"Support"}</definedName>
    <definedName name="wrn.Alll" hidden="1">{#N/A,#N/A,FALSE,"Balance Sheet";#N/A,#N/A,FALSE,"Income Statement";#N/A,#N/A,FALSE,"Partners Capital";#N/A,#N/A,FALSE,"Cash Flows";#N/A,#N/A,FALSE,"Support"}</definedName>
    <definedName name="wrn.ANALISIS._.SENSIBILIDAD." localSheetId="3" hidden="1">{#N/A,#N/A,FALSE,"BALANCE";#N/A,#N/A,FALSE,"CUENTA DE PYG";#N/A,#N/A,FALSE,"RATIOS"}</definedName>
    <definedName name="wrn.ANALISIS._.SENSIBILIDAD." localSheetId="1" hidden="1">{#N/A,#N/A,FALSE,"BALANCE";#N/A,#N/A,FALSE,"CUENTA DE PYG";#N/A,#N/A,FALSE,"RATIOS"}</definedName>
    <definedName name="wrn.ANALISIS._.SENSIBILIDAD." hidden="1">{#N/A,#N/A,FALSE,"BALANCE";#N/A,#N/A,FALSE,"CUENTA DE PYG";#N/A,#N/A,FALSE,"RATIOS"}</definedName>
    <definedName name="wrn.ass" localSheetId="3" hidden="1">{"Assumptions",#N/A,FALSE,"Model"}</definedName>
    <definedName name="wrn.ass" localSheetId="1" hidden="1">{"Assumptions",#N/A,FALSE,"Model"}</definedName>
    <definedName name="wrn.ass" hidden="1">{"Assumptions",#N/A,FALSE,"Model"}</definedName>
    <definedName name="wrn.ass_1" localSheetId="3" hidden="1">{"Assumptions",#N/A,FALSE,"Model"}</definedName>
    <definedName name="wrn.ass_1" localSheetId="1" hidden="1">{"Assumptions",#N/A,FALSE,"Model"}</definedName>
    <definedName name="wrn.ass_1" hidden="1">{"Assumptions",#N/A,FALSE,"Model"}</definedName>
    <definedName name="wrn.ass_1_1" localSheetId="3" hidden="1">{"Assumptions",#N/A,FALSE,"Model"}</definedName>
    <definedName name="wrn.ass_1_1" localSheetId="1" hidden="1">{"Assumptions",#N/A,FALSE,"Model"}</definedName>
    <definedName name="wrn.ass_1_1" hidden="1">{"Assumptions",#N/A,FALSE,"Model"}</definedName>
    <definedName name="wrn.ass_1_1_1" localSheetId="3" hidden="1">{"Assumptions",#N/A,FALSE,"Model"}</definedName>
    <definedName name="wrn.ass_1_1_1" localSheetId="1" hidden="1">{"Assumptions",#N/A,FALSE,"Model"}</definedName>
    <definedName name="wrn.ass_1_1_1" hidden="1">{"Assumptions",#N/A,FALSE,"Model"}</definedName>
    <definedName name="wrn.ass_1_1_1_1" localSheetId="3" hidden="1">{"Assumptions",#N/A,FALSE,"Model"}</definedName>
    <definedName name="wrn.ass_1_1_1_1" localSheetId="1" hidden="1">{"Assumptions",#N/A,FALSE,"Model"}</definedName>
    <definedName name="wrn.ass_1_1_1_1" hidden="1">{"Assumptions",#N/A,FALSE,"Model"}</definedName>
    <definedName name="wrn.ass_1_2" localSheetId="3" hidden="1">{"Assumptions",#N/A,FALSE,"Model"}</definedName>
    <definedName name="wrn.ass_1_2" localSheetId="1" hidden="1">{"Assumptions",#N/A,FALSE,"Model"}</definedName>
    <definedName name="wrn.ass_1_2" hidden="1">{"Assumptions",#N/A,FALSE,"Model"}</definedName>
    <definedName name="wrn.ass_1_2_1" localSheetId="3" hidden="1">{"Assumptions",#N/A,FALSE,"Model"}</definedName>
    <definedName name="wrn.ass_1_2_1" localSheetId="1" hidden="1">{"Assumptions",#N/A,FALSE,"Model"}</definedName>
    <definedName name="wrn.ass_1_2_1" hidden="1">{"Assumptions",#N/A,FALSE,"Model"}</definedName>
    <definedName name="wrn.ass_1_3" localSheetId="3" hidden="1">{"Assumptions",#N/A,FALSE,"Model"}</definedName>
    <definedName name="wrn.ass_1_3" localSheetId="1" hidden="1">{"Assumptions",#N/A,FALSE,"Model"}</definedName>
    <definedName name="wrn.ass_1_3" hidden="1">{"Assumptions",#N/A,FALSE,"Model"}</definedName>
    <definedName name="wrn.ass_1_3_1" localSheetId="3" hidden="1">{"Assumptions",#N/A,FALSE,"Model"}</definedName>
    <definedName name="wrn.ass_1_3_1" localSheetId="1" hidden="1">{"Assumptions",#N/A,FALSE,"Model"}</definedName>
    <definedName name="wrn.ass_1_3_1" hidden="1">{"Assumptions",#N/A,FALSE,"Model"}</definedName>
    <definedName name="wrn.ass_1_4" localSheetId="3" hidden="1">{"Assumptions",#N/A,FALSE,"Model"}</definedName>
    <definedName name="wrn.ass_1_4" localSheetId="1" hidden="1">{"Assumptions",#N/A,FALSE,"Model"}</definedName>
    <definedName name="wrn.ass_1_4" hidden="1">{"Assumptions",#N/A,FALSE,"Model"}</definedName>
    <definedName name="wrn.ass_2" localSheetId="3" hidden="1">{"Assumptions",#N/A,FALSE,"Model"}</definedName>
    <definedName name="wrn.ass_2" localSheetId="1" hidden="1">{"Assumptions",#N/A,FALSE,"Model"}</definedName>
    <definedName name="wrn.ass_2" hidden="1">{"Assumptions",#N/A,FALSE,"Model"}</definedName>
    <definedName name="wrn.ass_2_1" localSheetId="3" hidden="1">{"Assumptions",#N/A,FALSE,"Model"}</definedName>
    <definedName name="wrn.ass_2_1" localSheetId="1" hidden="1">{"Assumptions",#N/A,FALSE,"Model"}</definedName>
    <definedName name="wrn.ass_2_1" hidden="1">{"Assumptions",#N/A,FALSE,"Model"}</definedName>
    <definedName name="wrn.ass_2_1_1" localSheetId="3" hidden="1">{"Assumptions",#N/A,FALSE,"Model"}</definedName>
    <definedName name="wrn.ass_2_1_1" localSheetId="1" hidden="1">{"Assumptions",#N/A,FALSE,"Model"}</definedName>
    <definedName name="wrn.ass_2_1_1" hidden="1">{"Assumptions",#N/A,FALSE,"Model"}</definedName>
    <definedName name="wrn.ass_2_1_1_1" localSheetId="3" hidden="1">{"Assumptions",#N/A,FALSE,"Model"}</definedName>
    <definedName name="wrn.ass_2_1_1_1" localSheetId="1" hidden="1">{"Assumptions",#N/A,FALSE,"Model"}</definedName>
    <definedName name="wrn.ass_2_1_1_1" hidden="1">{"Assumptions",#N/A,FALSE,"Model"}</definedName>
    <definedName name="wrn.ass_2_2" localSheetId="3" hidden="1">{"Assumptions",#N/A,FALSE,"Model"}</definedName>
    <definedName name="wrn.ass_2_2" localSheetId="1" hidden="1">{"Assumptions",#N/A,FALSE,"Model"}</definedName>
    <definedName name="wrn.ass_2_2" hidden="1">{"Assumptions",#N/A,FALSE,"Model"}</definedName>
    <definedName name="wrn.ass_2_2_1" localSheetId="3" hidden="1">{"Assumptions",#N/A,FALSE,"Model"}</definedName>
    <definedName name="wrn.ass_2_2_1" localSheetId="1" hidden="1">{"Assumptions",#N/A,FALSE,"Model"}</definedName>
    <definedName name="wrn.ass_2_2_1" hidden="1">{"Assumptions",#N/A,FALSE,"Model"}</definedName>
    <definedName name="wrn.ass_2_3" localSheetId="3" hidden="1">{"Assumptions",#N/A,FALSE,"Model"}</definedName>
    <definedName name="wrn.ass_2_3" localSheetId="1" hidden="1">{"Assumptions",#N/A,FALSE,"Model"}</definedName>
    <definedName name="wrn.ass_2_3" hidden="1">{"Assumptions",#N/A,FALSE,"Model"}</definedName>
    <definedName name="wrn.ass_3" localSheetId="3" hidden="1">{"Assumptions",#N/A,FALSE,"Model"}</definedName>
    <definedName name="wrn.ass_3" localSheetId="1" hidden="1">{"Assumptions",#N/A,FALSE,"Model"}</definedName>
    <definedName name="wrn.ass_3" hidden="1">{"Assumptions",#N/A,FALSE,"Model"}</definedName>
    <definedName name="wrn.ass_3_1" localSheetId="3" hidden="1">{"Assumptions",#N/A,FALSE,"Model"}</definedName>
    <definedName name="wrn.ass_3_1" localSheetId="1" hidden="1">{"Assumptions",#N/A,FALSE,"Model"}</definedName>
    <definedName name="wrn.ass_3_1" hidden="1">{"Assumptions",#N/A,FALSE,"Model"}</definedName>
    <definedName name="wrn.ass_3_1_1" localSheetId="3" hidden="1">{"Assumptions",#N/A,FALSE,"Model"}</definedName>
    <definedName name="wrn.ass_3_1_1" localSheetId="1" hidden="1">{"Assumptions",#N/A,FALSE,"Model"}</definedName>
    <definedName name="wrn.ass_3_1_1" hidden="1">{"Assumptions",#N/A,FALSE,"Model"}</definedName>
    <definedName name="wrn.ass_3_1_1_1" localSheetId="3" hidden="1">{"Assumptions",#N/A,FALSE,"Model"}</definedName>
    <definedName name="wrn.ass_3_1_1_1" localSheetId="1" hidden="1">{"Assumptions",#N/A,FALSE,"Model"}</definedName>
    <definedName name="wrn.ass_3_1_1_1" hidden="1">{"Assumptions",#N/A,FALSE,"Model"}</definedName>
    <definedName name="wrn.ass_3_2" localSheetId="3" hidden="1">{"Assumptions",#N/A,FALSE,"Model"}</definedName>
    <definedName name="wrn.ass_3_2" localSheetId="1" hidden="1">{"Assumptions",#N/A,FALSE,"Model"}</definedName>
    <definedName name="wrn.ass_3_2" hidden="1">{"Assumptions",#N/A,FALSE,"Model"}</definedName>
    <definedName name="wrn.ass_3_2_1" localSheetId="3" hidden="1">{"Assumptions",#N/A,FALSE,"Model"}</definedName>
    <definedName name="wrn.ass_3_2_1" localSheetId="1" hidden="1">{"Assumptions",#N/A,FALSE,"Model"}</definedName>
    <definedName name="wrn.ass_3_2_1" hidden="1">{"Assumptions",#N/A,FALSE,"Model"}</definedName>
    <definedName name="wrn.ass_3_3" localSheetId="3" hidden="1">{"Assumptions",#N/A,FALSE,"Model"}</definedName>
    <definedName name="wrn.ass_3_3" localSheetId="1" hidden="1">{"Assumptions",#N/A,FALSE,"Model"}</definedName>
    <definedName name="wrn.ass_3_3" hidden="1">{"Assumptions",#N/A,FALSE,"Model"}</definedName>
    <definedName name="wrn.ass_4" localSheetId="3" hidden="1">{"Assumptions",#N/A,FALSE,"Model"}</definedName>
    <definedName name="wrn.ass_4" localSheetId="1" hidden="1">{"Assumptions",#N/A,FALSE,"Model"}</definedName>
    <definedName name="wrn.ass_4" hidden="1">{"Assumptions",#N/A,FALSE,"Model"}</definedName>
    <definedName name="wrn.ass_4_1" localSheetId="3" hidden="1">{"Assumptions",#N/A,FALSE,"Model"}</definedName>
    <definedName name="wrn.ass_4_1" localSheetId="1" hidden="1">{"Assumptions",#N/A,FALSE,"Model"}</definedName>
    <definedName name="wrn.ass_4_1" hidden="1">{"Assumptions",#N/A,FALSE,"Model"}</definedName>
    <definedName name="wrn.ass_4_1_1" localSheetId="3" hidden="1">{"Assumptions",#N/A,FALSE,"Model"}</definedName>
    <definedName name="wrn.ass_4_1_1" localSheetId="1" hidden="1">{"Assumptions",#N/A,FALSE,"Model"}</definedName>
    <definedName name="wrn.ass_4_1_1" hidden="1">{"Assumptions",#N/A,FALSE,"Model"}</definedName>
    <definedName name="wrn.ass_4_1_1_1" localSheetId="3" hidden="1">{"Assumptions",#N/A,FALSE,"Model"}</definedName>
    <definedName name="wrn.ass_4_1_1_1" localSheetId="1" hidden="1">{"Assumptions",#N/A,FALSE,"Model"}</definedName>
    <definedName name="wrn.ass_4_1_1_1" hidden="1">{"Assumptions",#N/A,FALSE,"Model"}</definedName>
    <definedName name="wrn.ass_4_2" localSheetId="3" hidden="1">{"Assumptions",#N/A,FALSE,"Model"}</definedName>
    <definedName name="wrn.ass_4_2" localSheetId="1" hidden="1">{"Assumptions",#N/A,FALSE,"Model"}</definedName>
    <definedName name="wrn.ass_4_2" hidden="1">{"Assumptions",#N/A,FALSE,"Model"}</definedName>
    <definedName name="wrn.ass_4_2_1" localSheetId="3" hidden="1">{"Assumptions",#N/A,FALSE,"Model"}</definedName>
    <definedName name="wrn.ass_4_2_1" localSheetId="1" hidden="1">{"Assumptions",#N/A,FALSE,"Model"}</definedName>
    <definedName name="wrn.ass_4_2_1" hidden="1">{"Assumptions",#N/A,FALSE,"Model"}</definedName>
    <definedName name="wrn.ass_4_3" localSheetId="3" hidden="1">{"Assumptions",#N/A,FALSE,"Model"}</definedName>
    <definedName name="wrn.ass_4_3" localSheetId="1" hidden="1">{"Assumptions",#N/A,FALSE,"Model"}</definedName>
    <definedName name="wrn.ass_4_3" hidden="1">{"Assumptions",#N/A,FALSE,"Model"}</definedName>
    <definedName name="wrn.ass_5" localSheetId="3" hidden="1">{"Assumptions",#N/A,FALSE,"Model"}</definedName>
    <definedName name="wrn.ass_5" localSheetId="1" hidden="1">{"Assumptions",#N/A,FALSE,"Model"}</definedName>
    <definedName name="wrn.ass_5" hidden="1">{"Assumptions",#N/A,FALSE,"Model"}</definedName>
    <definedName name="wrn.ass_5_1" localSheetId="3" hidden="1">{"Assumptions",#N/A,FALSE,"Model"}</definedName>
    <definedName name="wrn.ass_5_1" localSheetId="1" hidden="1">{"Assumptions",#N/A,FALSE,"Model"}</definedName>
    <definedName name="wrn.ass_5_1" hidden="1">{"Assumptions",#N/A,FALSE,"Model"}</definedName>
    <definedName name="wrn.ass_5_1_1" localSheetId="3" hidden="1">{"Assumptions",#N/A,FALSE,"Model"}</definedName>
    <definedName name="wrn.ass_5_1_1" localSheetId="1" hidden="1">{"Assumptions",#N/A,FALSE,"Model"}</definedName>
    <definedName name="wrn.ass_5_1_1" hidden="1">{"Assumptions",#N/A,FALSE,"Model"}</definedName>
    <definedName name="wrn.ass_5_1_1_1" localSheetId="3" hidden="1">{"Assumptions",#N/A,FALSE,"Model"}</definedName>
    <definedName name="wrn.ass_5_1_1_1" localSheetId="1" hidden="1">{"Assumptions",#N/A,FALSE,"Model"}</definedName>
    <definedName name="wrn.ass_5_1_1_1" hidden="1">{"Assumptions",#N/A,FALSE,"Model"}</definedName>
    <definedName name="wrn.ass_5_2" localSheetId="3" hidden="1">{"Assumptions",#N/A,FALSE,"Model"}</definedName>
    <definedName name="wrn.ass_5_2" localSheetId="1" hidden="1">{"Assumptions",#N/A,FALSE,"Model"}</definedName>
    <definedName name="wrn.ass_5_2" hidden="1">{"Assumptions",#N/A,FALSE,"Model"}</definedName>
    <definedName name="wrn.ass_5_2_1" localSheetId="3" hidden="1">{"Assumptions",#N/A,FALSE,"Model"}</definedName>
    <definedName name="wrn.ass_5_2_1" localSheetId="1" hidden="1">{"Assumptions",#N/A,FALSE,"Model"}</definedName>
    <definedName name="wrn.ass_5_2_1" hidden="1">{"Assumptions",#N/A,FALSE,"Model"}</definedName>
    <definedName name="wrn.ass_5_3" localSheetId="3" hidden="1">{"Assumptions",#N/A,FALSE,"Model"}</definedName>
    <definedName name="wrn.ass_5_3" localSheetId="1" hidden="1">{"Assumptions",#N/A,FALSE,"Model"}</definedName>
    <definedName name="wrn.ass_5_3" hidden="1">{"Assumptions",#N/A,FALSE,"Model"}</definedName>
    <definedName name="wrn.assumption" localSheetId="3" hidden="1">{"Assumptions",#N/A,FALSE,"Model"}</definedName>
    <definedName name="wrn.assumption" localSheetId="1" hidden="1">{"Assumptions",#N/A,FALSE,"Model"}</definedName>
    <definedName name="wrn.assumption" hidden="1">{"Assumptions",#N/A,FALSE,"Model"}</definedName>
    <definedName name="wrn.assumption_1" localSheetId="3" hidden="1">{"Assumptions",#N/A,FALSE,"Model"}</definedName>
    <definedName name="wrn.assumption_1" localSheetId="1" hidden="1">{"Assumptions",#N/A,FALSE,"Model"}</definedName>
    <definedName name="wrn.assumption_1" hidden="1">{"Assumptions",#N/A,FALSE,"Model"}</definedName>
    <definedName name="wrn.assumption_1_1" localSheetId="3" hidden="1">{"Assumptions",#N/A,FALSE,"Model"}</definedName>
    <definedName name="wrn.assumption_1_1" localSheetId="1" hidden="1">{"Assumptions",#N/A,FALSE,"Model"}</definedName>
    <definedName name="wrn.assumption_1_1" hidden="1">{"Assumptions",#N/A,FALSE,"Model"}</definedName>
    <definedName name="wrn.assumption_1_1_1" localSheetId="3" hidden="1">{"Assumptions",#N/A,FALSE,"Model"}</definedName>
    <definedName name="wrn.assumption_1_1_1" localSheetId="1" hidden="1">{"Assumptions",#N/A,FALSE,"Model"}</definedName>
    <definedName name="wrn.assumption_1_1_1" hidden="1">{"Assumptions",#N/A,FALSE,"Model"}</definedName>
    <definedName name="wrn.assumption_1_1_1_1" localSheetId="3" hidden="1">{"Assumptions",#N/A,FALSE,"Model"}</definedName>
    <definedName name="wrn.assumption_1_1_1_1" localSheetId="1" hidden="1">{"Assumptions",#N/A,FALSE,"Model"}</definedName>
    <definedName name="wrn.assumption_1_1_1_1" hidden="1">{"Assumptions",#N/A,FALSE,"Model"}</definedName>
    <definedName name="wrn.assumption_1_2" localSheetId="3" hidden="1">{"Assumptions",#N/A,FALSE,"Model"}</definedName>
    <definedName name="wrn.assumption_1_2" localSheetId="1" hidden="1">{"Assumptions",#N/A,FALSE,"Model"}</definedName>
    <definedName name="wrn.assumption_1_2" hidden="1">{"Assumptions",#N/A,FALSE,"Model"}</definedName>
    <definedName name="wrn.assumption_1_2_1" localSheetId="3" hidden="1">{"Assumptions",#N/A,FALSE,"Model"}</definedName>
    <definedName name="wrn.assumption_1_2_1" localSheetId="1" hidden="1">{"Assumptions",#N/A,FALSE,"Model"}</definedName>
    <definedName name="wrn.assumption_1_2_1" hidden="1">{"Assumptions",#N/A,FALSE,"Model"}</definedName>
    <definedName name="wrn.assumption_1_3" localSheetId="3" hidden="1">{"Assumptions",#N/A,FALSE,"Model"}</definedName>
    <definedName name="wrn.assumption_1_3" localSheetId="1" hidden="1">{"Assumptions",#N/A,FALSE,"Model"}</definedName>
    <definedName name="wrn.assumption_1_3" hidden="1">{"Assumptions",#N/A,FALSE,"Model"}</definedName>
    <definedName name="wrn.assumption_1_3_1" localSheetId="3" hidden="1">{"Assumptions",#N/A,FALSE,"Model"}</definedName>
    <definedName name="wrn.assumption_1_3_1" localSheetId="1" hidden="1">{"Assumptions",#N/A,FALSE,"Model"}</definedName>
    <definedName name="wrn.assumption_1_3_1" hidden="1">{"Assumptions",#N/A,FALSE,"Model"}</definedName>
    <definedName name="wrn.assumption_1_4" localSheetId="3" hidden="1">{"Assumptions",#N/A,FALSE,"Model"}</definedName>
    <definedName name="wrn.assumption_1_4" localSheetId="1" hidden="1">{"Assumptions",#N/A,FALSE,"Model"}</definedName>
    <definedName name="wrn.assumption_1_4" hidden="1">{"Assumptions",#N/A,FALSE,"Model"}</definedName>
    <definedName name="wrn.assumption_2" localSheetId="3" hidden="1">{"Assumptions",#N/A,FALSE,"Model"}</definedName>
    <definedName name="wrn.assumption_2" localSheetId="1" hidden="1">{"Assumptions",#N/A,FALSE,"Model"}</definedName>
    <definedName name="wrn.assumption_2" hidden="1">{"Assumptions",#N/A,FALSE,"Model"}</definedName>
    <definedName name="wrn.assumption_2_1" localSheetId="3" hidden="1">{"Assumptions",#N/A,FALSE,"Model"}</definedName>
    <definedName name="wrn.assumption_2_1" localSheetId="1" hidden="1">{"Assumptions",#N/A,FALSE,"Model"}</definedName>
    <definedName name="wrn.assumption_2_1" hidden="1">{"Assumptions",#N/A,FALSE,"Model"}</definedName>
    <definedName name="wrn.assumption_2_1_1" localSheetId="3" hidden="1">{"Assumptions",#N/A,FALSE,"Model"}</definedName>
    <definedName name="wrn.assumption_2_1_1" localSheetId="1" hidden="1">{"Assumptions",#N/A,FALSE,"Model"}</definedName>
    <definedName name="wrn.assumption_2_1_1" hidden="1">{"Assumptions",#N/A,FALSE,"Model"}</definedName>
    <definedName name="wrn.assumption_2_1_1_1" localSheetId="3" hidden="1">{"Assumptions",#N/A,FALSE,"Model"}</definedName>
    <definedName name="wrn.assumption_2_1_1_1" localSheetId="1" hidden="1">{"Assumptions",#N/A,FALSE,"Model"}</definedName>
    <definedName name="wrn.assumption_2_1_1_1" hidden="1">{"Assumptions",#N/A,FALSE,"Model"}</definedName>
    <definedName name="wrn.assumption_2_2" localSheetId="3" hidden="1">{"Assumptions",#N/A,FALSE,"Model"}</definedName>
    <definedName name="wrn.assumption_2_2" localSheetId="1" hidden="1">{"Assumptions",#N/A,FALSE,"Model"}</definedName>
    <definedName name="wrn.assumption_2_2" hidden="1">{"Assumptions",#N/A,FALSE,"Model"}</definedName>
    <definedName name="wrn.assumption_2_2_1" localSheetId="3" hidden="1">{"Assumptions",#N/A,FALSE,"Model"}</definedName>
    <definedName name="wrn.assumption_2_2_1" localSheetId="1" hidden="1">{"Assumptions",#N/A,FALSE,"Model"}</definedName>
    <definedName name="wrn.assumption_2_2_1" hidden="1">{"Assumptions",#N/A,FALSE,"Model"}</definedName>
    <definedName name="wrn.assumption_2_3" localSheetId="3" hidden="1">{"Assumptions",#N/A,FALSE,"Model"}</definedName>
    <definedName name="wrn.assumption_2_3" localSheetId="1" hidden="1">{"Assumptions",#N/A,FALSE,"Model"}</definedName>
    <definedName name="wrn.assumption_2_3" hidden="1">{"Assumptions",#N/A,FALSE,"Model"}</definedName>
    <definedName name="wrn.assumption_3" localSheetId="3" hidden="1">{"Assumptions",#N/A,FALSE,"Model"}</definedName>
    <definedName name="wrn.assumption_3" localSheetId="1" hidden="1">{"Assumptions",#N/A,FALSE,"Model"}</definedName>
    <definedName name="wrn.assumption_3" hidden="1">{"Assumptions",#N/A,FALSE,"Model"}</definedName>
    <definedName name="wrn.assumption_3_1" localSheetId="3" hidden="1">{"Assumptions",#N/A,FALSE,"Model"}</definedName>
    <definedName name="wrn.assumption_3_1" localSheetId="1" hidden="1">{"Assumptions",#N/A,FALSE,"Model"}</definedName>
    <definedName name="wrn.assumption_3_1" hidden="1">{"Assumptions",#N/A,FALSE,"Model"}</definedName>
    <definedName name="wrn.assumption_3_1_1" localSheetId="3" hidden="1">{"Assumptions",#N/A,FALSE,"Model"}</definedName>
    <definedName name="wrn.assumption_3_1_1" localSheetId="1" hidden="1">{"Assumptions",#N/A,FALSE,"Model"}</definedName>
    <definedName name="wrn.assumption_3_1_1" hidden="1">{"Assumptions",#N/A,FALSE,"Model"}</definedName>
    <definedName name="wrn.assumption_3_1_1_1" localSheetId="3" hidden="1">{"Assumptions",#N/A,FALSE,"Model"}</definedName>
    <definedName name="wrn.assumption_3_1_1_1" localSheetId="1" hidden="1">{"Assumptions",#N/A,FALSE,"Model"}</definedName>
    <definedName name="wrn.assumption_3_1_1_1" hidden="1">{"Assumptions",#N/A,FALSE,"Model"}</definedName>
    <definedName name="wrn.assumption_3_2" localSheetId="3" hidden="1">{"Assumptions",#N/A,FALSE,"Model"}</definedName>
    <definedName name="wrn.assumption_3_2" localSheetId="1" hidden="1">{"Assumptions",#N/A,FALSE,"Model"}</definedName>
    <definedName name="wrn.assumption_3_2" hidden="1">{"Assumptions",#N/A,FALSE,"Model"}</definedName>
    <definedName name="wrn.assumption_3_2_1" localSheetId="3" hidden="1">{"Assumptions",#N/A,FALSE,"Model"}</definedName>
    <definedName name="wrn.assumption_3_2_1" localSheetId="1" hidden="1">{"Assumptions",#N/A,FALSE,"Model"}</definedName>
    <definedName name="wrn.assumption_3_2_1" hidden="1">{"Assumptions",#N/A,FALSE,"Model"}</definedName>
    <definedName name="wrn.assumption_3_3" localSheetId="3" hidden="1">{"Assumptions",#N/A,FALSE,"Model"}</definedName>
    <definedName name="wrn.assumption_3_3" localSheetId="1" hidden="1">{"Assumptions",#N/A,FALSE,"Model"}</definedName>
    <definedName name="wrn.assumption_3_3" hidden="1">{"Assumptions",#N/A,FALSE,"Model"}</definedName>
    <definedName name="wrn.assumption_4" localSheetId="3" hidden="1">{"Assumptions",#N/A,FALSE,"Model"}</definedName>
    <definedName name="wrn.assumption_4" localSheetId="1" hidden="1">{"Assumptions",#N/A,FALSE,"Model"}</definedName>
    <definedName name="wrn.assumption_4" hidden="1">{"Assumptions",#N/A,FALSE,"Model"}</definedName>
    <definedName name="wrn.assumption_4_1" localSheetId="3" hidden="1">{"Assumptions",#N/A,FALSE,"Model"}</definedName>
    <definedName name="wrn.assumption_4_1" localSheetId="1" hidden="1">{"Assumptions",#N/A,FALSE,"Model"}</definedName>
    <definedName name="wrn.assumption_4_1" hidden="1">{"Assumptions",#N/A,FALSE,"Model"}</definedName>
    <definedName name="wrn.assumption_4_1_1" localSheetId="3" hidden="1">{"Assumptions",#N/A,FALSE,"Model"}</definedName>
    <definedName name="wrn.assumption_4_1_1" localSheetId="1" hidden="1">{"Assumptions",#N/A,FALSE,"Model"}</definedName>
    <definedName name="wrn.assumption_4_1_1" hidden="1">{"Assumptions",#N/A,FALSE,"Model"}</definedName>
    <definedName name="wrn.assumption_4_1_1_1" localSheetId="3" hidden="1">{"Assumptions",#N/A,FALSE,"Model"}</definedName>
    <definedName name="wrn.assumption_4_1_1_1" localSheetId="1" hidden="1">{"Assumptions",#N/A,FALSE,"Model"}</definedName>
    <definedName name="wrn.assumption_4_1_1_1" hidden="1">{"Assumptions",#N/A,FALSE,"Model"}</definedName>
    <definedName name="wrn.assumption_4_2" localSheetId="3" hidden="1">{"Assumptions",#N/A,FALSE,"Model"}</definedName>
    <definedName name="wrn.assumption_4_2" localSheetId="1" hidden="1">{"Assumptions",#N/A,FALSE,"Model"}</definedName>
    <definedName name="wrn.assumption_4_2" hidden="1">{"Assumptions",#N/A,FALSE,"Model"}</definedName>
    <definedName name="wrn.assumption_4_2_1" localSheetId="3" hidden="1">{"Assumptions",#N/A,FALSE,"Model"}</definedName>
    <definedName name="wrn.assumption_4_2_1" localSheetId="1" hidden="1">{"Assumptions",#N/A,FALSE,"Model"}</definedName>
    <definedName name="wrn.assumption_4_2_1" hidden="1">{"Assumptions",#N/A,FALSE,"Model"}</definedName>
    <definedName name="wrn.assumption_4_3" localSheetId="3" hidden="1">{"Assumptions",#N/A,FALSE,"Model"}</definedName>
    <definedName name="wrn.assumption_4_3" localSheetId="1" hidden="1">{"Assumptions",#N/A,FALSE,"Model"}</definedName>
    <definedName name="wrn.assumption_4_3" hidden="1">{"Assumptions",#N/A,FALSE,"Model"}</definedName>
    <definedName name="wrn.assumption_5" localSheetId="3" hidden="1">{"Assumptions",#N/A,FALSE,"Model"}</definedName>
    <definedName name="wrn.assumption_5" localSheetId="1" hidden="1">{"Assumptions",#N/A,FALSE,"Model"}</definedName>
    <definedName name="wrn.assumption_5" hidden="1">{"Assumptions",#N/A,FALSE,"Model"}</definedName>
    <definedName name="wrn.assumption_5_1" localSheetId="3" hidden="1">{"Assumptions",#N/A,FALSE,"Model"}</definedName>
    <definedName name="wrn.assumption_5_1" localSheetId="1" hidden="1">{"Assumptions",#N/A,FALSE,"Model"}</definedName>
    <definedName name="wrn.assumption_5_1" hidden="1">{"Assumptions",#N/A,FALSE,"Model"}</definedName>
    <definedName name="wrn.assumption_5_1_1" localSheetId="3" hidden="1">{"Assumptions",#N/A,FALSE,"Model"}</definedName>
    <definedName name="wrn.assumption_5_1_1" localSheetId="1" hidden="1">{"Assumptions",#N/A,FALSE,"Model"}</definedName>
    <definedName name="wrn.assumption_5_1_1" hidden="1">{"Assumptions",#N/A,FALSE,"Model"}</definedName>
    <definedName name="wrn.assumption_5_1_1_1" localSheetId="3" hidden="1">{"Assumptions",#N/A,FALSE,"Model"}</definedName>
    <definedName name="wrn.assumption_5_1_1_1" localSheetId="1" hidden="1">{"Assumptions",#N/A,FALSE,"Model"}</definedName>
    <definedName name="wrn.assumption_5_1_1_1" hidden="1">{"Assumptions",#N/A,FALSE,"Model"}</definedName>
    <definedName name="wrn.assumption_5_2" localSheetId="3" hidden="1">{"Assumptions",#N/A,FALSE,"Model"}</definedName>
    <definedName name="wrn.assumption_5_2" localSheetId="1" hidden="1">{"Assumptions",#N/A,FALSE,"Model"}</definedName>
    <definedName name="wrn.assumption_5_2" hidden="1">{"Assumptions",#N/A,FALSE,"Model"}</definedName>
    <definedName name="wrn.assumption_5_2_1" localSheetId="3" hidden="1">{"Assumptions",#N/A,FALSE,"Model"}</definedName>
    <definedName name="wrn.assumption_5_2_1" localSheetId="1" hidden="1">{"Assumptions",#N/A,FALSE,"Model"}</definedName>
    <definedName name="wrn.assumption_5_2_1" hidden="1">{"Assumptions",#N/A,FALSE,"Model"}</definedName>
    <definedName name="wrn.assumption_5_3" localSheetId="3" hidden="1">{"Assumptions",#N/A,FALSE,"Model"}</definedName>
    <definedName name="wrn.assumption_5_3" localSheetId="1" hidden="1">{"Assumptions",#N/A,FALSE,"Model"}</definedName>
    <definedName name="wrn.assumption_5_3" hidden="1">{"Assumptions",#N/A,FALSE,"Model"}</definedName>
    <definedName name="wrn.Assumptions." localSheetId="3" hidden="1">{"Assumptions",#N/A,FALSE,"Model"}</definedName>
    <definedName name="wrn.Assumptions." localSheetId="1" hidden="1">{"Assumptions",#N/A,FALSE,"Model"}</definedName>
    <definedName name="wrn.Assumptions." hidden="1">{"Assumptions",#N/A,FALSE,"Model"}</definedName>
    <definedName name="wrn.Assumptions._1" localSheetId="3" hidden="1">{"Assumptions",#N/A,FALSE,"Model"}</definedName>
    <definedName name="wrn.Assumptions._1" localSheetId="1" hidden="1">{"Assumptions",#N/A,FALSE,"Model"}</definedName>
    <definedName name="wrn.Assumptions._1" hidden="1">{"Assumptions",#N/A,FALSE,"Model"}</definedName>
    <definedName name="wrn.Assumptions._1_1" localSheetId="3" hidden="1">{"Assumptions",#N/A,FALSE,"Model"}</definedName>
    <definedName name="wrn.Assumptions._1_1" localSheetId="1" hidden="1">{"Assumptions",#N/A,FALSE,"Model"}</definedName>
    <definedName name="wrn.Assumptions._1_1" hidden="1">{"Assumptions",#N/A,FALSE,"Model"}</definedName>
    <definedName name="wrn.Assumptions._1_1_1" localSheetId="3" hidden="1">{"Assumptions",#N/A,FALSE,"Model"}</definedName>
    <definedName name="wrn.Assumptions._1_1_1" localSheetId="1" hidden="1">{"Assumptions",#N/A,FALSE,"Model"}</definedName>
    <definedName name="wrn.Assumptions._1_1_1" hidden="1">{"Assumptions",#N/A,FALSE,"Model"}</definedName>
    <definedName name="wrn.Assumptions._1_1_1_1" localSheetId="3" hidden="1">{"Assumptions",#N/A,FALSE,"Model"}</definedName>
    <definedName name="wrn.Assumptions._1_1_1_1" localSheetId="1" hidden="1">{"Assumptions",#N/A,FALSE,"Model"}</definedName>
    <definedName name="wrn.Assumptions._1_1_1_1" hidden="1">{"Assumptions",#N/A,FALSE,"Model"}</definedName>
    <definedName name="wrn.Assumptions._1_2" localSheetId="3" hidden="1">{"Assumptions",#N/A,FALSE,"Model"}</definedName>
    <definedName name="wrn.Assumptions._1_2" localSheetId="1" hidden="1">{"Assumptions",#N/A,FALSE,"Model"}</definedName>
    <definedName name="wrn.Assumptions._1_2" hidden="1">{"Assumptions",#N/A,FALSE,"Model"}</definedName>
    <definedName name="wrn.Assumptions._1_2_1" localSheetId="3" hidden="1">{"Assumptions",#N/A,FALSE,"Model"}</definedName>
    <definedName name="wrn.Assumptions._1_2_1" localSheetId="1" hidden="1">{"Assumptions",#N/A,FALSE,"Model"}</definedName>
    <definedName name="wrn.Assumptions._1_2_1" hidden="1">{"Assumptions",#N/A,FALSE,"Model"}</definedName>
    <definedName name="wrn.Assumptions._1_3" localSheetId="3" hidden="1">{"Assumptions",#N/A,FALSE,"Model"}</definedName>
    <definedName name="wrn.Assumptions._1_3" localSheetId="1" hidden="1">{"Assumptions",#N/A,FALSE,"Model"}</definedName>
    <definedName name="wrn.Assumptions._1_3" hidden="1">{"Assumptions",#N/A,FALSE,"Model"}</definedName>
    <definedName name="wrn.Assumptions._1_3_1" localSheetId="3" hidden="1">{"Assumptions",#N/A,FALSE,"Model"}</definedName>
    <definedName name="wrn.Assumptions._1_3_1" localSheetId="1" hidden="1">{"Assumptions",#N/A,FALSE,"Model"}</definedName>
    <definedName name="wrn.Assumptions._1_3_1" hidden="1">{"Assumptions",#N/A,FALSE,"Model"}</definedName>
    <definedName name="wrn.Assumptions._1_4" localSheetId="3" hidden="1">{"Assumptions",#N/A,FALSE,"Model"}</definedName>
    <definedName name="wrn.Assumptions._1_4" localSheetId="1" hidden="1">{"Assumptions",#N/A,FALSE,"Model"}</definedName>
    <definedName name="wrn.Assumptions._1_4" hidden="1">{"Assumptions",#N/A,FALSE,"Model"}</definedName>
    <definedName name="wrn.Assumptions._2" localSheetId="3" hidden="1">{"Assumptions",#N/A,FALSE,"Model"}</definedName>
    <definedName name="wrn.Assumptions._2" localSheetId="1" hidden="1">{"Assumptions",#N/A,FALSE,"Model"}</definedName>
    <definedName name="wrn.Assumptions._2" hidden="1">{"Assumptions",#N/A,FALSE,"Model"}</definedName>
    <definedName name="wrn.Assumptions._2_1" localSheetId="3" hidden="1">{"Assumptions",#N/A,FALSE,"Model"}</definedName>
    <definedName name="wrn.Assumptions._2_1" localSheetId="1" hidden="1">{"Assumptions",#N/A,FALSE,"Model"}</definedName>
    <definedName name="wrn.Assumptions._2_1" hidden="1">{"Assumptions",#N/A,FALSE,"Model"}</definedName>
    <definedName name="wrn.Assumptions._2_1_1" localSheetId="3" hidden="1">{"Assumptions",#N/A,FALSE,"Model"}</definedName>
    <definedName name="wrn.Assumptions._2_1_1" localSheetId="1" hidden="1">{"Assumptions",#N/A,FALSE,"Model"}</definedName>
    <definedName name="wrn.Assumptions._2_1_1" hidden="1">{"Assumptions",#N/A,FALSE,"Model"}</definedName>
    <definedName name="wrn.Assumptions._2_1_1_1" localSheetId="3" hidden="1">{"Assumptions",#N/A,FALSE,"Model"}</definedName>
    <definedName name="wrn.Assumptions._2_1_1_1" localSheetId="1" hidden="1">{"Assumptions",#N/A,FALSE,"Model"}</definedName>
    <definedName name="wrn.Assumptions._2_1_1_1" hidden="1">{"Assumptions",#N/A,FALSE,"Model"}</definedName>
    <definedName name="wrn.Assumptions._2_2" localSheetId="3" hidden="1">{"Assumptions",#N/A,FALSE,"Model"}</definedName>
    <definedName name="wrn.Assumptions._2_2" localSheetId="1" hidden="1">{"Assumptions",#N/A,FALSE,"Model"}</definedName>
    <definedName name="wrn.Assumptions._2_2" hidden="1">{"Assumptions",#N/A,FALSE,"Model"}</definedName>
    <definedName name="wrn.Assumptions._2_2_1" localSheetId="3" hidden="1">{"Assumptions",#N/A,FALSE,"Model"}</definedName>
    <definedName name="wrn.Assumptions._2_2_1" localSheetId="1" hidden="1">{"Assumptions",#N/A,FALSE,"Model"}</definedName>
    <definedName name="wrn.Assumptions._2_2_1" hidden="1">{"Assumptions",#N/A,FALSE,"Model"}</definedName>
    <definedName name="wrn.Assumptions._2_3" localSheetId="3" hidden="1">{"Assumptions",#N/A,FALSE,"Model"}</definedName>
    <definedName name="wrn.Assumptions._2_3" localSheetId="1" hidden="1">{"Assumptions",#N/A,FALSE,"Model"}</definedName>
    <definedName name="wrn.Assumptions._2_3" hidden="1">{"Assumptions",#N/A,FALSE,"Model"}</definedName>
    <definedName name="wrn.Assumptions._3" localSheetId="3" hidden="1">{"Assumptions",#N/A,FALSE,"Model"}</definedName>
    <definedName name="wrn.Assumptions._3" localSheetId="1" hidden="1">{"Assumptions",#N/A,FALSE,"Model"}</definedName>
    <definedName name="wrn.Assumptions._3" hidden="1">{"Assumptions",#N/A,FALSE,"Model"}</definedName>
    <definedName name="wrn.Assumptions._3_1" localSheetId="3" hidden="1">{"Assumptions",#N/A,FALSE,"Model"}</definedName>
    <definedName name="wrn.Assumptions._3_1" localSheetId="1" hidden="1">{"Assumptions",#N/A,FALSE,"Model"}</definedName>
    <definedName name="wrn.Assumptions._3_1" hidden="1">{"Assumptions",#N/A,FALSE,"Model"}</definedName>
    <definedName name="wrn.Assumptions._3_1_1" localSheetId="3" hidden="1">{"Assumptions",#N/A,FALSE,"Model"}</definedName>
    <definedName name="wrn.Assumptions._3_1_1" localSheetId="1" hidden="1">{"Assumptions",#N/A,FALSE,"Model"}</definedName>
    <definedName name="wrn.Assumptions._3_1_1" hidden="1">{"Assumptions",#N/A,FALSE,"Model"}</definedName>
    <definedName name="wrn.Assumptions._3_1_1_1" localSheetId="3" hidden="1">{"Assumptions",#N/A,FALSE,"Model"}</definedName>
    <definedName name="wrn.Assumptions._3_1_1_1" localSheetId="1" hidden="1">{"Assumptions",#N/A,FALSE,"Model"}</definedName>
    <definedName name="wrn.Assumptions._3_1_1_1" hidden="1">{"Assumptions",#N/A,FALSE,"Model"}</definedName>
    <definedName name="wrn.Assumptions._3_2" localSheetId="3" hidden="1">{"Assumptions",#N/A,FALSE,"Model"}</definedName>
    <definedName name="wrn.Assumptions._3_2" localSheetId="1" hidden="1">{"Assumptions",#N/A,FALSE,"Model"}</definedName>
    <definedName name="wrn.Assumptions._3_2" hidden="1">{"Assumptions",#N/A,FALSE,"Model"}</definedName>
    <definedName name="wrn.Assumptions._3_2_1" localSheetId="3" hidden="1">{"Assumptions",#N/A,FALSE,"Model"}</definedName>
    <definedName name="wrn.Assumptions._3_2_1" localSheetId="1" hidden="1">{"Assumptions",#N/A,FALSE,"Model"}</definedName>
    <definedName name="wrn.Assumptions._3_2_1" hidden="1">{"Assumptions",#N/A,FALSE,"Model"}</definedName>
    <definedName name="wrn.Assumptions._3_3" localSheetId="3" hidden="1">{"Assumptions",#N/A,FALSE,"Model"}</definedName>
    <definedName name="wrn.Assumptions._3_3" localSheetId="1" hidden="1">{"Assumptions",#N/A,FALSE,"Model"}</definedName>
    <definedName name="wrn.Assumptions._3_3" hidden="1">{"Assumptions",#N/A,FALSE,"Model"}</definedName>
    <definedName name="wrn.Assumptions._4" localSheetId="3" hidden="1">{"Assumptions",#N/A,FALSE,"Model"}</definedName>
    <definedName name="wrn.Assumptions._4" localSheetId="1" hidden="1">{"Assumptions",#N/A,FALSE,"Model"}</definedName>
    <definedName name="wrn.Assumptions._4" hidden="1">{"Assumptions",#N/A,FALSE,"Model"}</definedName>
    <definedName name="wrn.Assumptions._4_1" localSheetId="3" hidden="1">{"Assumptions",#N/A,FALSE,"Model"}</definedName>
    <definedName name="wrn.Assumptions._4_1" localSheetId="1" hidden="1">{"Assumptions",#N/A,FALSE,"Model"}</definedName>
    <definedName name="wrn.Assumptions._4_1" hidden="1">{"Assumptions",#N/A,FALSE,"Model"}</definedName>
    <definedName name="wrn.Assumptions._4_1_1" localSheetId="3" hidden="1">{"Assumptions",#N/A,FALSE,"Model"}</definedName>
    <definedName name="wrn.Assumptions._4_1_1" localSheetId="1" hidden="1">{"Assumptions",#N/A,FALSE,"Model"}</definedName>
    <definedName name="wrn.Assumptions._4_1_1" hidden="1">{"Assumptions",#N/A,FALSE,"Model"}</definedName>
    <definedName name="wrn.Assumptions._4_1_1_1" localSheetId="3" hidden="1">{"Assumptions",#N/A,FALSE,"Model"}</definedName>
    <definedName name="wrn.Assumptions._4_1_1_1" localSheetId="1" hidden="1">{"Assumptions",#N/A,FALSE,"Model"}</definedName>
    <definedName name="wrn.Assumptions._4_1_1_1" hidden="1">{"Assumptions",#N/A,FALSE,"Model"}</definedName>
    <definedName name="wrn.Assumptions._4_2" localSheetId="3" hidden="1">{"Assumptions",#N/A,FALSE,"Model"}</definedName>
    <definedName name="wrn.Assumptions._4_2" localSheetId="1" hidden="1">{"Assumptions",#N/A,FALSE,"Model"}</definedName>
    <definedName name="wrn.Assumptions._4_2" hidden="1">{"Assumptions",#N/A,FALSE,"Model"}</definedName>
    <definedName name="wrn.Assumptions._4_2_1" localSheetId="3" hidden="1">{"Assumptions",#N/A,FALSE,"Model"}</definedName>
    <definedName name="wrn.Assumptions._4_2_1" localSheetId="1" hidden="1">{"Assumptions",#N/A,FALSE,"Model"}</definedName>
    <definedName name="wrn.Assumptions._4_2_1" hidden="1">{"Assumptions",#N/A,FALSE,"Model"}</definedName>
    <definedName name="wrn.Assumptions._4_3" localSheetId="3" hidden="1">{"Assumptions",#N/A,FALSE,"Model"}</definedName>
    <definedName name="wrn.Assumptions._4_3" localSheetId="1" hidden="1">{"Assumptions",#N/A,FALSE,"Model"}</definedName>
    <definedName name="wrn.Assumptions._4_3" hidden="1">{"Assumptions",#N/A,FALSE,"Model"}</definedName>
    <definedName name="wrn.Assumptions._5" localSheetId="3" hidden="1">{"Assumptions",#N/A,FALSE,"Model"}</definedName>
    <definedName name="wrn.Assumptions._5" localSheetId="1" hidden="1">{"Assumptions",#N/A,FALSE,"Model"}</definedName>
    <definedName name="wrn.Assumptions._5" hidden="1">{"Assumptions",#N/A,FALSE,"Model"}</definedName>
    <definedName name="wrn.Assumptions._5_1" localSheetId="3" hidden="1">{"Assumptions",#N/A,FALSE,"Model"}</definedName>
    <definedName name="wrn.Assumptions._5_1" localSheetId="1" hidden="1">{"Assumptions",#N/A,FALSE,"Model"}</definedName>
    <definedName name="wrn.Assumptions._5_1" hidden="1">{"Assumptions",#N/A,FALSE,"Model"}</definedName>
    <definedName name="wrn.Assumptions._5_1_1" localSheetId="3" hidden="1">{"Assumptions",#N/A,FALSE,"Model"}</definedName>
    <definedName name="wrn.Assumptions._5_1_1" localSheetId="1" hidden="1">{"Assumptions",#N/A,FALSE,"Model"}</definedName>
    <definedName name="wrn.Assumptions._5_1_1" hidden="1">{"Assumptions",#N/A,FALSE,"Model"}</definedName>
    <definedName name="wrn.Assumptions._5_1_1_1" localSheetId="3" hidden="1">{"Assumptions",#N/A,FALSE,"Model"}</definedName>
    <definedName name="wrn.Assumptions._5_1_1_1" localSheetId="1" hidden="1">{"Assumptions",#N/A,FALSE,"Model"}</definedName>
    <definedName name="wrn.Assumptions._5_1_1_1" hidden="1">{"Assumptions",#N/A,FALSE,"Model"}</definedName>
    <definedName name="wrn.Assumptions._5_2" localSheetId="3" hidden="1">{"Assumptions",#N/A,FALSE,"Model"}</definedName>
    <definedName name="wrn.Assumptions._5_2" localSheetId="1" hidden="1">{"Assumptions",#N/A,FALSE,"Model"}</definedName>
    <definedName name="wrn.Assumptions._5_2" hidden="1">{"Assumptions",#N/A,FALSE,"Model"}</definedName>
    <definedName name="wrn.Assumptions._5_2_1" localSheetId="3" hidden="1">{"Assumptions",#N/A,FALSE,"Model"}</definedName>
    <definedName name="wrn.Assumptions._5_2_1" localSheetId="1" hidden="1">{"Assumptions",#N/A,FALSE,"Model"}</definedName>
    <definedName name="wrn.Assumptions._5_2_1" hidden="1">{"Assumptions",#N/A,FALSE,"Model"}</definedName>
    <definedName name="wrn.Assumptions._5_3" localSheetId="3" hidden="1">{"Assumptions",#N/A,FALSE,"Model"}</definedName>
    <definedName name="wrn.Assumptions._5_3" localSheetId="1" hidden="1">{"Assumptions",#N/A,FALSE,"Model"}</definedName>
    <definedName name="wrn.Assumptions._5_3" hidden="1">{"Assumptions",#N/A,FALSE,"Model"}</definedName>
    <definedName name="wrn.balance._.sheet." localSheetId="3" hidden="1">{"bs",#N/A,FALSE,"SCF"}</definedName>
    <definedName name="wrn.balance._.sheet." localSheetId="1" hidden="1">{"bs",#N/A,FALSE,"SCF"}</definedName>
    <definedName name="wrn.balance._.sheet." hidden="1">{"bs",#N/A,FALSE,"SCF"}</definedName>
    <definedName name="wrn.Base." localSheetId="3" hidden="1">{#N/A,#N/A,FALSE,"PortfolioStats";#N/A,#N/A,FALSE,"Graphs";#N/A,#N/A,FALSE,"Binomial Expansion";#N/A,#N/A,FALSE,"SP Analysis"}</definedName>
    <definedName name="wrn.Base." localSheetId="1" hidden="1">{#N/A,#N/A,FALSE,"PortfolioStats";#N/A,#N/A,FALSE,"Graphs";#N/A,#N/A,FALSE,"Binomial Expansion";#N/A,#N/A,FALSE,"SP Analysis"}</definedName>
    <definedName name="wrn.Base." hidden="1">{#N/A,#N/A,FALSE,"PortfolioStats";#N/A,#N/A,FALSE,"Graphs";#N/A,#N/A,FALSE,"Binomial Expansion";#N/A,#N/A,FALSE,"SP Analysis"}</definedName>
    <definedName name="wrn.Basic._.Report." localSheetId="3" hidden="1">{#N/A,#N/A,FALSE,"New Depr Sch-150% DB";#N/A,#N/A,FALSE,"Cash Flows RLP";#N/A,#N/A,FALSE,"IRR";#N/A,#N/A,FALSE,"Proforma IS";#N/A,#N/A,FALSE,"Assumptions"}</definedName>
    <definedName name="wrn.Basic._.Report." localSheetId="1" hidden="1">{#N/A,#N/A,FALSE,"New Depr Sch-150% DB";#N/A,#N/A,FALSE,"Cash Flows RLP";#N/A,#N/A,FALSE,"IRR";#N/A,#N/A,FALSE,"Proforma IS";#N/A,#N/A,FALSE,"Assumptions"}</definedName>
    <definedName name="wrn.Basic._.Report." hidden="1">{#N/A,#N/A,FALSE,"New Depr Sch-150% DB";#N/A,#N/A,FALSE,"Cash Flows RLP";#N/A,#N/A,FALSE,"IRR";#N/A,#N/A,FALSE,"Proforma IS";#N/A,#N/A,FALSE,"Assumptions"}</definedName>
    <definedName name="wrn.breakup." localSheetId="3" hidden="1">{"comps1",#N/A,FALSE,"Comps Sheet";"comps2",#N/A,FALSE,"Comps Sheet";"comps3",#N/A,FALSE,"Comps Sheet";"comps4",#N/A,FALSE,"Comps Sheet";"comps5",#N/A,FALSE,"Comps Sheet";"comps6",#N/A,FALSE,"Comps Sheet";"ec",#N/A,FALSE,"E&amp;C";"environmental",#N/A,FALSE,"Environmental";"heavy",#N/A,FALSE,"Heavy Const."}</definedName>
    <definedName name="wrn.breakup." localSheetId="1" hidden="1">{"comps1",#N/A,FALSE,"Comps Sheet";"comps2",#N/A,FALSE,"Comps Sheet";"comps3",#N/A,FALSE,"Comps Sheet";"comps4",#N/A,FALSE,"Comps Sheet";"comps5",#N/A,FALSE,"Comps Sheet";"comps6",#N/A,FALSE,"Comps Sheet";"ec",#N/A,FALSE,"E&amp;C";"environmental",#N/A,FALSE,"Environmental";"heavy",#N/A,FALSE,"Heavy Const."}</definedName>
    <definedName name="wrn.breakup." hidden="1">{"comps1",#N/A,FALSE,"Comps Sheet";"comps2",#N/A,FALSE,"Comps Sheet";"comps3",#N/A,FALSE,"Comps Sheet";"comps4",#N/A,FALSE,"Comps Sheet";"comps5",#N/A,FALSE,"Comps Sheet";"comps6",#N/A,FALSE,"Comps Sheet";"ec",#N/A,FALSE,"E&amp;C";"environmental",#N/A,FALSE,"Environmental";"heavy",#N/A,FALSE,"Heavy Const."}</definedName>
    <definedName name="wrn.clientcopy." localSheetId="3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wrn.clientcopy." localSheetId="1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wrn.clientcopy.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wrn.Complete.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" localSheetId="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.Report." localSheetId="3" hidden="1">{#N/A,#N/A,FALSE,"Assumptions";#N/A,#N/A,FALSE,"Proforma IS";#N/A,#N/A,FALSE,"Cash Flows RLP";#N/A,#N/A,FALSE,"IRR";#N/A,#N/A,FALSE,"New Depr Sch-150% DB";#N/A,#N/A,FALSE,"Comments"}</definedName>
    <definedName name="wrn.Complete._.Report." localSheetId="1" hidden="1">{#N/A,#N/A,FALSE,"Assumptions";#N/A,#N/A,FALSE,"Proforma IS";#N/A,#N/A,FALSE,"Cash Flows RLP";#N/A,#N/A,FALSE,"IRR";#N/A,#N/A,FALSE,"New Depr Sch-150% DB";#N/A,#N/A,FALSE,"Comments"}</definedName>
    <definedName name="wrn.Complete._.Report." hidden="1">{#N/A,#N/A,FALSE,"Assumptions";#N/A,#N/A,FALSE,"Proforma IS";#N/A,#N/A,FALSE,"Cash Flows RLP";#N/A,#N/A,FALSE,"IRR";#N/A,#N/A,FALSE,"New Depr Sch-150% DB";#N/A,#N/A,FALSE,"Comments"}</definedName>
    <definedName name="wrn.cxdia." localSheetId="3" hidden="1">{#N/A,#N/A,FALSE,"FFCXOUT3"}</definedName>
    <definedName name="wrn.cxdia." localSheetId="1" hidden="1">{#N/A,#N/A,FALSE,"FFCXOUT3"}</definedName>
    <definedName name="wrn.cxdia." hidden="1">{#N/A,#N/A,FALSE,"FFCXOUT3"}</definedName>
    <definedName name="wrn.cxdiager." localSheetId="3" hidden="1">{#N/A,#N/A,FALSE,"FFCXOUT3"}</definedName>
    <definedName name="wrn.cxdiager." localSheetId="1" hidden="1">{#N/A,#N/A,FALSE,"FFCXOUT3"}</definedName>
    <definedName name="wrn.cxdiager." hidden="1">{#N/A,#N/A,FALSE,"FFCXOUT3"}</definedName>
    <definedName name="wrn.Falcons._.Divisions." localSheetId="3" hidden="1">{#N/A,#N/A,TRUE,"Fiber_Optic_Cable_Input ";#N/A,#N/A,TRUE,"Specialty_Fiber_Devices_Input";#N/A,#N/A,TRUE,"Optical_Fiber_Apparatus_Input"}</definedName>
    <definedName name="wrn.Falcons._.Divisions." localSheetId="1" hidden="1">{#N/A,#N/A,TRUE,"Fiber_Optic_Cable_Input ";#N/A,#N/A,TRUE,"Specialty_Fiber_Devices_Input";#N/A,#N/A,TRUE,"Optical_Fiber_Apparatus_Input"}</definedName>
    <definedName name="wrn.Falcons._.Divisions." hidden="1">{#N/A,#N/A,TRUE,"Fiber_Optic_Cable_Input ";#N/A,#N/A,TRUE,"Specialty_Fiber_Devices_Input";#N/A,#N/A,TRUE,"Optical_Fiber_Apparatus_Input"}</definedName>
    <definedName name="wrn.Falcons._.Standalone." localSheetId="3" hidden="1">{#N/A,#N/A,TRUE,"Falcons_Standalone";#N/A,#N/A,TRUE,"Target_Input";#N/A,#N/A,TRUE,"Target_Calendarized"}</definedName>
    <definedName name="wrn.Falcons._.Standalone." localSheetId="1" hidden="1">{#N/A,#N/A,TRUE,"Falcons_Standalone";#N/A,#N/A,TRUE,"Target_Input";#N/A,#N/A,TRUE,"Target_Calendarized"}</definedName>
    <definedName name="wrn.Falcons._.Standalone." hidden="1">{#N/A,#N/A,TRUE,"Falcons_Standalone";#N/A,#N/A,TRUE,"Target_Input";#N/A,#N/A,TRUE,"Target_Calendarized"}</definedName>
    <definedName name="wrn.FCB." localSheetId="3" hidden="1">{"FCB_ALL",#N/A,FALSE,"FCB"}</definedName>
    <definedName name="wrn.FCB." localSheetId="1" hidden="1">{"FCB_ALL",#N/A,FALSE,"FCB"}</definedName>
    <definedName name="wrn.FCB." hidden="1">{"FCB_ALL",#N/A,FALSE,"FCB"}</definedName>
    <definedName name="wrn.fcb2" localSheetId="3" hidden="1">{"FCB_ALL",#N/A,FALSE,"FCB"}</definedName>
    <definedName name="wrn.fcb2" localSheetId="1" hidden="1">{"FCB_ALL",#N/A,FALSE,"FCB"}</definedName>
    <definedName name="wrn.fcb2" hidden="1">{"FCB_ALL",#N/A,FALSE,"FCB"}</definedName>
    <definedName name="wrn.filecopy." localSheetId="3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wrn.filecopy." localSheetId="1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wrn.filecopy.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wrn.FIVE._.YEAR._.PROJECTION." localSheetId="3" hidden="1">{"FIVEYEAR",#N/A,TRUE,"SUMMARY";"FIVEYEAR",#N/A,TRUE,"Ratios";"FIVEYEAR",#N/A,TRUE,"Revenue";"FIVEYEAR",#N/A,TRUE,"DETAIL";"FIVEYEAR",#N/A,TRUE,"Payroll"}</definedName>
    <definedName name="wrn.FIVE._.YEAR._.PROJECTION." localSheetId="1" hidden="1">{"FIVEYEAR",#N/A,TRUE,"SUMMARY";"FIVEYEAR",#N/A,TRUE,"Ratios";"FIVEYEAR",#N/A,TRUE,"Revenue";"FIVEYEAR",#N/A,TRUE,"DETAIL";"FIVEYEAR",#N/A,TRUE,"Payroll"}</definedName>
    <definedName name="wrn.FIVE._.YEAR._.PROJECTION." hidden="1">{"FIVEYEAR",#N/A,TRUE,"SUMMARY";"FIVEYEAR",#N/A,TRUE,"Ratios";"FIVEYEAR",#N/A,TRUE,"Revenue";"FIVEYEAR",#N/A,TRUE,"DETAIL";"FIVEYEAR",#N/A,TRUE,"Payroll"}</definedName>
    <definedName name="wrn.FOC._.Detail." localSheetId="3" hidden="1">{#N/A,#N/A,TRUE,"FOC_Product_Assumptions"}</definedName>
    <definedName name="wrn.FOC._.Detail." localSheetId="1" hidden="1">{#N/A,#N/A,TRUE,"FOC_Product_Assumptions"}</definedName>
    <definedName name="wrn.FOC._.Detail." hidden="1">{#N/A,#N/A,TRUE,"FOC_Product_Assumptions"}</definedName>
    <definedName name="wrn.forecast." localSheetId="3" hidden="1">{#N/A,#N/A,FALSE,"model"}</definedName>
    <definedName name="wrn.forecast." localSheetId="1" hidden="1">{#N/A,#N/A,FALSE,"model"}</definedName>
    <definedName name="wrn.forecast." hidden="1">{#N/A,#N/A,FALSE,"model"}</definedName>
    <definedName name="wrn.forecast2" localSheetId="3" hidden="1">{#N/A,#N/A,FALSE,"model"}</definedName>
    <definedName name="wrn.forecast2" localSheetId="1" hidden="1">{#N/A,#N/A,FALSE,"model"}</definedName>
    <definedName name="wrn.forecast2" hidden="1">{#N/A,#N/A,FALSE,"model"}</definedName>
    <definedName name="wrn.forecastassumptions." localSheetId="3" hidden="1">{#N/A,#N/A,FALSE,"model"}</definedName>
    <definedName name="wrn.forecastassumptions." localSheetId="1" hidden="1">{#N/A,#N/A,FALSE,"model"}</definedName>
    <definedName name="wrn.forecastassumptions." hidden="1">{#N/A,#N/A,FALSE,"model"}</definedName>
    <definedName name="wrn.forecastassumptions2" localSheetId="3" hidden="1">{#N/A,#N/A,FALSE,"model"}</definedName>
    <definedName name="wrn.forecastassumptions2" localSheetId="1" hidden="1">{#N/A,#N/A,FALSE,"model"}</definedName>
    <definedName name="wrn.forecastassumptions2" hidden="1">{#N/A,#N/A,FALSE,"model"}</definedName>
    <definedName name="wrn.forecastROIC." localSheetId="3" hidden="1">{#N/A,#N/A,FALSE,"model"}</definedName>
    <definedName name="wrn.forecastROIC." localSheetId="1" hidden="1">{#N/A,#N/A,FALSE,"model"}</definedName>
    <definedName name="wrn.forecastROIC." hidden="1">{#N/A,#N/A,FALSE,"model"}</definedName>
    <definedName name="wrn.forecastROIC2" localSheetId="3" hidden="1">{#N/A,#N/A,FALSE,"model"}</definedName>
    <definedName name="wrn.forecastROIC2" localSheetId="1" hidden="1">{#N/A,#N/A,FALSE,"model"}</definedName>
    <definedName name="wrn.forecastROIC2" hidden="1">{#N/A,#N/A,FALSE,"model"}</definedName>
    <definedName name="wrn.history." localSheetId="3" hidden="1">{#N/A,#N/A,FALSE,"model"}</definedName>
    <definedName name="wrn.history." localSheetId="1" hidden="1">{#N/A,#N/A,FALSE,"model"}</definedName>
    <definedName name="wrn.history." hidden="1">{#N/A,#N/A,FALSE,"model"}</definedName>
    <definedName name="wrn.history2" localSheetId="3" hidden="1">{#N/A,#N/A,FALSE,"model"}</definedName>
    <definedName name="wrn.history2" localSheetId="1" hidden="1">{#N/A,#N/A,FALSE,"model"}</definedName>
    <definedName name="wrn.history2" hidden="1">{#N/A,#N/A,FALSE,"model"}</definedName>
    <definedName name="wrn.histROIC." localSheetId="3" hidden="1">{#N/A,#N/A,FALSE,"model"}</definedName>
    <definedName name="wrn.histROIC." localSheetId="1" hidden="1">{#N/A,#N/A,FALSE,"model"}</definedName>
    <definedName name="wrn.histROIC." hidden="1">{#N/A,#N/A,FALSE,"model"}</definedName>
    <definedName name="wrn.histROIC2" localSheetId="3" hidden="1">{#N/A,#N/A,FALSE,"model"}</definedName>
    <definedName name="wrn.histROIC2" localSheetId="1" hidden="1">{#N/A,#N/A,FALSE,"model"}</definedName>
    <definedName name="wrn.histROIC2" hidden="1">{#N/A,#N/A,FALSE,"model"}</definedName>
    <definedName name="wrn.Income." localSheetId="3" hidden="1">{"Income",#N/A,FALSE,"Recap IS"}</definedName>
    <definedName name="wrn.Income." localSheetId="1" hidden="1">{"Income",#N/A,FALSE,"Recap IS"}</definedName>
    <definedName name="wrn.Income." hidden="1">{"Income",#N/A,FALSE,"Recap IS"}</definedName>
    <definedName name="wrn.Income._.State." localSheetId="3" hidden="1">{#N/A,#N/A,FALSE,"Income statement";#N/A,#N/A,FALSE,"Income Statement by Plant"}</definedName>
    <definedName name="wrn.Income._.State." localSheetId="1" hidden="1">{#N/A,#N/A,FALSE,"Income statement";#N/A,#N/A,FALSE,"Income Statement by Plant"}</definedName>
    <definedName name="wrn.Income._.State." hidden="1">{#N/A,#N/A,FALSE,"Income statement";#N/A,#N/A,FALSE,"Income Statement by Plant"}</definedName>
    <definedName name="wrn.Income._.State._.and._.CapEx." localSheetId="3" hidden="1">{#N/A,#N/A,FALSE,"Income statement";#N/A,#N/A,FALSE,"Income Statement by Plant"}</definedName>
    <definedName name="wrn.Income._.State._.and._.CapEx." localSheetId="1" hidden="1">{#N/A,#N/A,FALSE,"Income statement";#N/A,#N/A,FALSE,"Income Statement by Plant"}</definedName>
    <definedName name="wrn.Income._.State._.and._.CapEx." hidden="1">{#N/A,#N/A,FALSE,"Income statement";#N/A,#N/A,FALSE,"Income Statement by Plant"}</definedName>
    <definedName name="wrn.Informe._.Mensual." localSheetId="3" hidden="1">{#N/A,#N/A,FALSE,"Carátula EE.FF.  (1)";#N/A,#N/A,FALSE,"Carátula Rtados. Gestión (2)";#N/A,#N/A,FALSE,"Gestión Abril'98 Abv (3)";#N/A,#N/A,FALSE,"Rtdos. Cías. 97 - 98 (4)";#N/A,#N/A,FALSE,"Resultados Gestión Abril'98 (5)";#N/A,#N/A,FALSE,"Carátula Rtados. Margenes (6)";#N/A,#N/A,FALSE,"Márgenes Abril'98 Abv.TASA (7)";#N/A,#N/A,FALSE,"Carátula Balance  (8)";#N/A,#N/A,FALSE,"B. P. Equivalencia Abril'98 (9)";#N/A,#N/A,FALSE,"Carátula Balance  (10)";#N/A,#N/A,FALSE,"B.Consolidado Abril'98 TASA(11)";#N/A,#N/A,FALSE,"Márgenes Abril'98 TASA (12)"}</definedName>
    <definedName name="wrn.Informe._.Mensual." localSheetId="1" hidden="1">{#N/A,#N/A,FALSE,"Carátula EE.FF.  (1)";#N/A,#N/A,FALSE,"Carátula Rtados. Gestión (2)";#N/A,#N/A,FALSE,"Gestión Abril'98 Abv (3)";#N/A,#N/A,FALSE,"Rtdos. Cías. 97 - 98 (4)";#N/A,#N/A,FALSE,"Resultados Gestión Abril'98 (5)";#N/A,#N/A,FALSE,"Carátula Rtados. Margenes (6)";#N/A,#N/A,FALSE,"Márgenes Abril'98 Abv.TASA (7)";#N/A,#N/A,FALSE,"Carátula Balance  (8)";#N/A,#N/A,FALSE,"B. P. Equivalencia Abril'98 (9)";#N/A,#N/A,FALSE,"Carátula Balance  (10)";#N/A,#N/A,FALSE,"B.Consolidado Abril'98 TASA(11)";#N/A,#N/A,FALSE,"Márgenes Abril'98 TASA (12)"}</definedName>
    <definedName name="wrn.Informe._.Mensual." hidden="1">{#N/A,#N/A,FALSE,"Carátula EE.FF.  (1)";#N/A,#N/A,FALSE,"Carátula Rtados. Gestión (2)";#N/A,#N/A,FALSE,"Gestión Abril'98 Abv (3)";#N/A,#N/A,FALSE,"Rtdos. Cías. 97 - 98 (4)";#N/A,#N/A,FALSE,"Resultados Gestión Abril'98 (5)";#N/A,#N/A,FALSE,"Carátula Rtados. Margenes (6)";#N/A,#N/A,FALSE,"Márgenes Abril'98 Abv.TASA (7)";#N/A,#N/A,FALSE,"Carátula Balance  (8)";#N/A,#N/A,FALSE,"B. P. Equivalencia Abril'98 (9)";#N/A,#N/A,FALSE,"Carátula Balance  (10)";#N/A,#N/A,FALSE,"B.Consolidado Abril'98 TASA(11)";#N/A,#N/A,FALSE,"Márgenes Abril'98 TASA (12)"}</definedName>
    <definedName name="wrn.INFORME._.NOVIEMBRE." localSheetId="3" hidden="1">{#N/A,#N/A,FALSE,"P_11_P1";#N/A,#N/A,FALSE,"P_11_P2";#N/A,#N/A,FALSE,"P_11_P3";#N/A,#N/A,FALSE,"Resultados_11_P";#N/A,#N/A,FALSE,"CTC_11_P";#N/A,#N/A,FALSE,"TASA_11_P";#N/A,#N/A,FALSE,"TPerú_11_P";#N/A,#N/A,FALSE,"CANTV_11_P";#N/A,#N/A,FALSE,"TLD_11_P";#N/A,#N/A,FALSE,"ROMANIA_11_P";#N/A,#N/A,FALSE,"RESTO_11_P";#N/A,#N/A,FALSE,"Gerenciamiento_11_P";#N/A,#N/A,FALSE,"Financiero_11_P";#N/A,#N/A,FALSE,"Estructura_11_P";#N/A,#N/A,FALSE,"Desinv_11_P";#N/A,#N/A,FALSE,"FComercio_11_P"}</definedName>
    <definedName name="wrn.INFORME._.NOVIEMBRE." localSheetId="1" hidden="1">{#N/A,#N/A,FALSE,"P_11_P1";#N/A,#N/A,FALSE,"P_11_P2";#N/A,#N/A,FALSE,"P_11_P3";#N/A,#N/A,FALSE,"Resultados_11_P";#N/A,#N/A,FALSE,"CTC_11_P";#N/A,#N/A,FALSE,"TASA_11_P";#N/A,#N/A,FALSE,"TPerú_11_P";#N/A,#N/A,FALSE,"CANTV_11_P";#N/A,#N/A,FALSE,"TLD_11_P";#N/A,#N/A,FALSE,"ROMANIA_11_P";#N/A,#N/A,FALSE,"RESTO_11_P";#N/A,#N/A,FALSE,"Gerenciamiento_11_P";#N/A,#N/A,FALSE,"Financiero_11_P";#N/A,#N/A,FALSE,"Estructura_11_P";#N/A,#N/A,FALSE,"Desinv_11_P";#N/A,#N/A,FALSE,"FComercio_11_P"}</definedName>
    <definedName name="wrn.INFORME._.NOVIEMBRE." hidden="1">{#N/A,#N/A,FALSE,"P_11_P1";#N/A,#N/A,FALSE,"P_11_P2";#N/A,#N/A,FALSE,"P_11_P3";#N/A,#N/A,FALSE,"Resultados_11_P";#N/A,#N/A,FALSE,"CTC_11_P";#N/A,#N/A,FALSE,"TASA_11_P";#N/A,#N/A,FALSE,"TPerú_11_P";#N/A,#N/A,FALSE,"CANTV_11_P";#N/A,#N/A,FALSE,"TLD_11_P";#N/A,#N/A,FALSE,"ROMANIA_11_P";#N/A,#N/A,FALSE,"RESTO_11_P";#N/A,#N/A,FALSE,"Gerenciamiento_11_P";#N/A,#N/A,FALSE,"Financiero_11_P";#N/A,#N/A,FALSE,"Estructura_11_P";#N/A,#N/A,FALSE,"Desinv_11_P";#N/A,#N/A,FALSE,"FComercio_11_P"}</definedName>
    <definedName name="wrn.Input._.Print._.Area." localSheetId="3" hidden="1">{#N/A,#N/A,FALSE,"inputs";#N/A,#N/A,FALSE,"inputs"}</definedName>
    <definedName name="wrn.Input._.Print._.Area." localSheetId="1" hidden="1">{#N/A,#N/A,FALSE,"inputs";#N/A,#N/A,FALSE,"inputs"}</definedName>
    <definedName name="wrn.Input._.Print._.Area." hidden="1">{#N/A,#N/A,FALSE,"inputs";#N/A,#N/A,FALSE,"inputs"}</definedName>
    <definedName name="wrn.Jeff._.Standalone." localSheetId="3" hidden="1">{#N/A,#N/A,TRUE,"Acquirer_Cases_Input";#N/A,#N/A,TRUE,"Acquirer_Input";#N/A,#N/A,TRUE,"Acquirer"}</definedName>
    <definedName name="wrn.Jeff._.Standalone." localSheetId="1" hidden="1">{#N/A,#N/A,TRUE,"Acquirer_Cases_Input";#N/A,#N/A,TRUE,"Acquirer_Input";#N/A,#N/A,TRUE,"Acquirer"}</definedName>
    <definedName name="wrn.Jeff._.Standalone." hidden="1">{#N/A,#N/A,TRUE,"Acquirer_Cases_Input";#N/A,#N/A,TRUE,"Acquirer_Input";#N/A,#N/A,TRUE,"Acquirer"}</definedName>
    <definedName name="wrn.JOGO_CONSOLIDADO." localSheetId="3" hidden="1">{#N/A,#N/A,TRUE,"Consolidado";#N/A,#N/A,TRUE,"Laticínios";#N/A,#N/A,TRUE,"Frangos";#N/A,#N/A,TRUE,"Suínos";#N/A,#N/A,TRUE,"Peru";#N/A,#N/A,TRUE,"Carnes";#N/A,#N/A,TRUE,"Suco";#N/A,#N/A,TRUE,"Batata"}</definedName>
    <definedName name="wrn.JOGO_CONSOLIDADO." localSheetId="1" hidden="1">{#N/A,#N/A,TRUE,"Consolidado";#N/A,#N/A,TRUE,"Laticínios";#N/A,#N/A,TRUE,"Frangos";#N/A,#N/A,TRUE,"Suínos";#N/A,#N/A,TRUE,"Peru";#N/A,#N/A,TRUE,"Carnes";#N/A,#N/A,TRUE,"Suco";#N/A,#N/A,TRUE,"Batata"}</definedName>
    <definedName name="wrn.JOGO_CONSOLIDADO." hidden="1">{#N/A,#N/A,TRUE,"Consolidado";#N/A,#N/A,TRUE,"Laticínios";#N/A,#N/A,TRUE,"Frangos";#N/A,#N/A,TRUE,"Suínos";#N/A,#N/A,TRUE,"Peru";#N/A,#N/A,TRUE,"Carnes";#N/A,#N/A,TRUE,"Suco";#N/A,#N/A,TRUE,"Batata"}</definedName>
    <definedName name="wrn.Main._.CBO._.Report." localSheetId="3" hidden="1">{"LIBOR",#N/A,TRUE,"Model";"Caps",#N/A,TRUE,"Model";"Assets",#N/A,TRUE,"Model";"Liabilities",#N/A,TRUE,"Model";"Tests",#N/A,TRUE,"Model";"Results",#N/A,TRUE,"Model"}</definedName>
    <definedName name="wrn.Main._.CBO._.Report." localSheetId="1" hidden="1">{"LIBOR",#N/A,TRUE,"Model";"Caps",#N/A,TRUE,"Model";"Assets",#N/A,TRUE,"Model";"Liabilities",#N/A,TRUE,"Model";"Tests",#N/A,TRUE,"Model";"Results",#N/A,TRUE,"Model"}</definedName>
    <definedName name="wrn.Main._.CBO._.Report." hidden="1">{"LIBOR",#N/A,TRUE,"Model";"Caps",#N/A,TRUE,"Model";"Assets",#N/A,TRUE,"Model";"Liabilities",#N/A,TRUE,"Model";"Tests",#N/A,TRUE,"Model";"Results",#N/A,TRUE,"Model"}</definedName>
    <definedName name="wrn.Main._.CBO._.Report._1" localSheetId="3" hidden="1">{"LIBOR",#N/A,TRUE,"Model";"Caps",#N/A,TRUE,"Model";"Assets",#N/A,TRUE,"Model";"Liabilities",#N/A,TRUE,"Model";"Tests",#N/A,TRUE,"Model";"Results",#N/A,TRUE,"Model"}</definedName>
    <definedName name="wrn.Main._.CBO._.Report._1" localSheetId="1" hidden="1">{"LIBOR",#N/A,TRUE,"Model";"Caps",#N/A,TRUE,"Model";"Assets",#N/A,TRUE,"Model";"Liabilities",#N/A,TRUE,"Model";"Tests",#N/A,TRUE,"Model";"Results",#N/A,TRUE,"Model"}</definedName>
    <definedName name="wrn.Main._.CBO._.Report._1" hidden="1">{"LIBOR",#N/A,TRUE,"Model";"Caps",#N/A,TRUE,"Model";"Assets",#N/A,TRUE,"Model";"Liabilities",#N/A,TRUE,"Model";"Tests",#N/A,TRUE,"Model";"Results",#N/A,TRUE,"Model"}</definedName>
    <definedName name="wrn.Main._.CBO._.Report._1_1" localSheetId="3" hidden="1">{"LIBOR",#N/A,TRUE,"Model";"Caps",#N/A,TRUE,"Model";"Assets",#N/A,TRUE,"Model";"Liabilities",#N/A,TRUE,"Model";"Tests",#N/A,TRUE,"Model";"Results",#N/A,TRUE,"Model"}</definedName>
    <definedName name="wrn.Main._.CBO._.Report._1_1" localSheetId="1" hidden="1">{"LIBOR",#N/A,TRUE,"Model";"Caps",#N/A,TRUE,"Model";"Assets",#N/A,TRUE,"Model";"Liabilities",#N/A,TRUE,"Model";"Tests",#N/A,TRUE,"Model";"Results",#N/A,TRUE,"Model"}</definedName>
    <definedName name="wrn.Main._.CBO._.Report._1_1" hidden="1">{"LIBOR",#N/A,TRUE,"Model";"Caps",#N/A,TRUE,"Model";"Assets",#N/A,TRUE,"Model";"Liabilities",#N/A,TRUE,"Model";"Tests",#N/A,TRUE,"Model";"Results",#N/A,TRUE,"Model"}</definedName>
    <definedName name="wrn.Main._.CBO._.Report._1_1_1" localSheetId="3" hidden="1">{"LIBOR",#N/A,TRUE,"Model";"Caps",#N/A,TRUE,"Model";"Assets",#N/A,TRUE,"Model";"Liabilities",#N/A,TRUE,"Model";"Tests",#N/A,TRUE,"Model";"Results",#N/A,TRUE,"Model"}</definedName>
    <definedName name="wrn.Main._.CBO._.Report._1_1_1" localSheetId="1" hidden="1">{"LIBOR",#N/A,TRUE,"Model";"Caps",#N/A,TRUE,"Model";"Assets",#N/A,TRUE,"Model";"Liabilities",#N/A,TRUE,"Model";"Tests",#N/A,TRUE,"Model";"Results",#N/A,TRUE,"Model"}</definedName>
    <definedName name="wrn.Main._.CBO._.Report._1_1_1" hidden="1">{"LIBOR",#N/A,TRUE,"Model";"Caps",#N/A,TRUE,"Model";"Assets",#N/A,TRUE,"Model";"Liabilities",#N/A,TRUE,"Model";"Tests",#N/A,TRUE,"Model";"Results",#N/A,TRUE,"Model"}</definedName>
    <definedName name="wrn.Main._.CBO._.Report._1_1_1_1" localSheetId="3" hidden="1">{"LIBOR",#N/A,TRUE,"Model";"Caps",#N/A,TRUE,"Model";"Assets",#N/A,TRUE,"Model";"Liabilities",#N/A,TRUE,"Model";"Tests",#N/A,TRUE,"Model";"Results",#N/A,TRUE,"Model"}</definedName>
    <definedName name="wrn.Main._.CBO._.Report._1_1_1_1" localSheetId="1" hidden="1">{"LIBOR",#N/A,TRUE,"Model";"Caps",#N/A,TRUE,"Model";"Assets",#N/A,TRUE,"Model";"Liabilities",#N/A,TRUE,"Model";"Tests",#N/A,TRUE,"Model";"Results",#N/A,TRUE,"Model"}</definedName>
    <definedName name="wrn.Main._.CBO._.Report._1_1_1_1" hidden="1">{"LIBOR",#N/A,TRUE,"Model";"Caps",#N/A,TRUE,"Model";"Assets",#N/A,TRUE,"Model";"Liabilities",#N/A,TRUE,"Model";"Tests",#N/A,TRUE,"Model";"Results",#N/A,TRUE,"Model"}</definedName>
    <definedName name="wrn.Main._.CBO._.Report._1_2" localSheetId="3" hidden="1">{"LIBOR",#N/A,TRUE,"Model";"Caps",#N/A,TRUE,"Model";"Assets",#N/A,TRUE,"Model";"Liabilities",#N/A,TRUE,"Model";"Tests",#N/A,TRUE,"Model";"Results",#N/A,TRUE,"Model"}</definedName>
    <definedName name="wrn.Main._.CBO._.Report._1_2" localSheetId="1" hidden="1">{"LIBOR",#N/A,TRUE,"Model";"Caps",#N/A,TRUE,"Model";"Assets",#N/A,TRUE,"Model";"Liabilities",#N/A,TRUE,"Model";"Tests",#N/A,TRUE,"Model";"Results",#N/A,TRUE,"Model"}</definedName>
    <definedName name="wrn.Main._.CBO._.Report._1_2" hidden="1">{"LIBOR",#N/A,TRUE,"Model";"Caps",#N/A,TRUE,"Model";"Assets",#N/A,TRUE,"Model";"Liabilities",#N/A,TRUE,"Model";"Tests",#N/A,TRUE,"Model";"Results",#N/A,TRUE,"Model"}</definedName>
    <definedName name="wrn.Main._.CBO._.Report._1_2_1" localSheetId="3" hidden="1">{"LIBOR",#N/A,TRUE,"Model";"Caps",#N/A,TRUE,"Model";"Assets",#N/A,TRUE,"Model";"Liabilities",#N/A,TRUE,"Model";"Tests",#N/A,TRUE,"Model";"Results",#N/A,TRUE,"Model"}</definedName>
    <definedName name="wrn.Main._.CBO._.Report._1_2_1" localSheetId="1" hidden="1">{"LIBOR",#N/A,TRUE,"Model";"Caps",#N/A,TRUE,"Model";"Assets",#N/A,TRUE,"Model";"Liabilities",#N/A,TRUE,"Model";"Tests",#N/A,TRUE,"Model";"Results",#N/A,TRUE,"Model"}</definedName>
    <definedName name="wrn.Main._.CBO._.Report._1_2_1" hidden="1">{"LIBOR",#N/A,TRUE,"Model";"Caps",#N/A,TRUE,"Model";"Assets",#N/A,TRUE,"Model";"Liabilities",#N/A,TRUE,"Model";"Tests",#N/A,TRUE,"Model";"Results",#N/A,TRUE,"Model"}</definedName>
    <definedName name="wrn.Main._.CBO._.Report._1_3" localSheetId="3" hidden="1">{"LIBOR",#N/A,TRUE,"Model";"Caps",#N/A,TRUE,"Model";"Assets",#N/A,TRUE,"Model";"Liabilities",#N/A,TRUE,"Model";"Tests",#N/A,TRUE,"Model";"Results",#N/A,TRUE,"Model"}</definedName>
    <definedName name="wrn.Main._.CBO._.Report._1_3" localSheetId="1" hidden="1">{"LIBOR",#N/A,TRUE,"Model";"Caps",#N/A,TRUE,"Model";"Assets",#N/A,TRUE,"Model";"Liabilities",#N/A,TRUE,"Model";"Tests",#N/A,TRUE,"Model";"Results",#N/A,TRUE,"Model"}</definedName>
    <definedName name="wrn.Main._.CBO._.Report._1_3" hidden="1">{"LIBOR",#N/A,TRUE,"Model";"Caps",#N/A,TRUE,"Model";"Assets",#N/A,TRUE,"Model";"Liabilities",#N/A,TRUE,"Model";"Tests",#N/A,TRUE,"Model";"Results",#N/A,TRUE,"Model"}</definedName>
    <definedName name="wrn.Main._.CBO._.Report._1_3_1" localSheetId="3" hidden="1">{"LIBOR",#N/A,TRUE,"Model";"Caps",#N/A,TRUE,"Model";"Assets",#N/A,TRUE,"Model";"Liabilities",#N/A,TRUE,"Model";"Tests",#N/A,TRUE,"Model";"Results",#N/A,TRUE,"Model"}</definedName>
    <definedName name="wrn.Main._.CBO._.Report._1_3_1" localSheetId="1" hidden="1">{"LIBOR",#N/A,TRUE,"Model";"Caps",#N/A,TRUE,"Model";"Assets",#N/A,TRUE,"Model";"Liabilities",#N/A,TRUE,"Model";"Tests",#N/A,TRUE,"Model";"Results",#N/A,TRUE,"Model"}</definedName>
    <definedName name="wrn.Main._.CBO._.Report._1_3_1" hidden="1">{"LIBOR",#N/A,TRUE,"Model";"Caps",#N/A,TRUE,"Model";"Assets",#N/A,TRUE,"Model";"Liabilities",#N/A,TRUE,"Model";"Tests",#N/A,TRUE,"Model";"Results",#N/A,TRUE,"Model"}</definedName>
    <definedName name="wrn.Main._.CBO._.Report._1_4" localSheetId="3" hidden="1">{"LIBOR",#N/A,TRUE,"Model";"Caps",#N/A,TRUE,"Model";"Assets",#N/A,TRUE,"Model";"Liabilities",#N/A,TRUE,"Model";"Tests",#N/A,TRUE,"Model";"Results",#N/A,TRUE,"Model"}</definedName>
    <definedName name="wrn.Main._.CBO._.Report._1_4" localSheetId="1" hidden="1">{"LIBOR",#N/A,TRUE,"Model";"Caps",#N/A,TRUE,"Model";"Assets",#N/A,TRUE,"Model";"Liabilities",#N/A,TRUE,"Model";"Tests",#N/A,TRUE,"Model";"Results",#N/A,TRUE,"Model"}</definedName>
    <definedName name="wrn.Main._.CBO._.Report._1_4" hidden="1">{"LIBOR",#N/A,TRUE,"Model";"Caps",#N/A,TRUE,"Model";"Assets",#N/A,TRUE,"Model";"Liabilities",#N/A,TRUE,"Model";"Tests",#N/A,TRUE,"Model";"Results",#N/A,TRUE,"Model"}</definedName>
    <definedName name="wrn.Main._.CBO._.Report._2" localSheetId="3" hidden="1">{"LIBOR",#N/A,TRUE,"Model";"Caps",#N/A,TRUE,"Model";"Assets",#N/A,TRUE,"Model";"Liabilities",#N/A,TRUE,"Model";"Tests",#N/A,TRUE,"Model";"Results",#N/A,TRUE,"Model"}</definedName>
    <definedName name="wrn.Main._.CBO._.Report._2" localSheetId="1" hidden="1">{"LIBOR",#N/A,TRUE,"Model";"Caps",#N/A,TRUE,"Model";"Assets",#N/A,TRUE,"Model";"Liabilities",#N/A,TRUE,"Model";"Tests",#N/A,TRUE,"Model";"Results",#N/A,TRUE,"Model"}</definedName>
    <definedName name="wrn.Main._.CBO._.Report._2" hidden="1">{"LIBOR",#N/A,TRUE,"Model";"Caps",#N/A,TRUE,"Model";"Assets",#N/A,TRUE,"Model";"Liabilities",#N/A,TRUE,"Model";"Tests",#N/A,TRUE,"Model";"Results",#N/A,TRUE,"Model"}</definedName>
    <definedName name="wrn.Main._.CBO._.Report._2_1" localSheetId="3" hidden="1">{"LIBOR",#N/A,TRUE,"Model";"Caps",#N/A,TRUE,"Model";"Assets",#N/A,TRUE,"Model";"Liabilities",#N/A,TRUE,"Model";"Tests",#N/A,TRUE,"Model";"Results",#N/A,TRUE,"Model"}</definedName>
    <definedName name="wrn.Main._.CBO._.Report._2_1" localSheetId="1" hidden="1">{"LIBOR",#N/A,TRUE,"Model";"Caps",#N/A,TRUE,"Model";"Assets",#N/A,TRUE,"Model";"Liabilities",#N/A,TRUE,"Model";"Tests",#N/A,TRUE,"Model";"Results",#N/A,TRUE,"Model"}</definedName>
    <definedName name="wrn.Main._.CBO._.Report._2_1" hidden="1">{"LIBOR",#N/A,TRUE,"Model";"Caps",#N/A,TRUE,"Model";"Assets",#N/A,TRUE,"Model";"Liabilities",#N/A,TRUE,"Model";"Tests",#N/A,TRUE,"Model";"Results",#N/A,TRUE,"Model"}</definedName>
    <definedName name="wrn.Main._.CBO._.Report._2_1_1" localSheetId="3" hidden="1">{"LIBOR",#N/A,TRUE,"Model";"Caps",#N/A,TRUE,"Model";"Assets",#N/A,TRUE,"Model";"Liabilities",#N/A,TRUE,"Model";"Tests",#N/A,TRUE,"Model";"Results",#N/A,TRUE,"Model"}</definedName>
    <definedName name="wrn.Main._.CBO._.Report._2_1_1" localSheetId="1" hidden="1">{"LIBOR",#N/A,TRUE,"Model";"Caps",#N/A,TRUE,"Model";"Assets",#N/A,TRUE,"Model";"Liabilities",#N/A,TRUE,"Model";"Tests",#N/A,TRUE,"Model";"Results",#N/A,TRUE,"Model"}</definedName>
    <definedName name="wrn.Main._.CBO._.Report._2_1_1" hidden="1">{"LIBOR",#N/A,TRUE,"Model";"Caps",#N/A,TRUE,"Model";"Assets",#N/A,TRUE,"Model";"Liabilities",#N/A,TRUE,"Model";"Tests",#N/A,TRUE,"Model";"Results",#N/A,TRUE,"Model"}</definedName>
    <definedName name="wrn.Main._.CBO._.Report._2_1_1_1" localSheetId="3" hidden="1">{"LIBOR",#N/A,TRUE,"Model";"Caps",#N/A,TRUE,"Model";"Assets",#N/A,TRUE,"Model";"Liabilities",#N/A,TRUE,"Model";"Tests",#N/A,TRUE,"Model";"Results",#N/A,TRUE,"Model"}</definedName>
    <definedName name="wrn.Main._.CBO._.Report._2_1_1_1" localSheetId="1" hidden="1">{"LIBOR",#N/A,TRUE,"Model";"Caps",#N/A,TRUE,"Model";"Assets",#N/A,TRUE,"Model";"Liabilities",#N/A,TRUE,"Model";"Tests",#N/A,TRUE,"Model";"Results",#N/A,TRUE,"Model"}</definedName>
    <definedName name="wrn.Main._.CBO._.Report._2_1_1_1" hidden="1">{"LIBOR",#N/A,TRUE,"Model";"Caps",#N/A,TRUE,"Model";"Assets",#N/A,TRUE,"Model";"Liabilities",#N/A,TRUE,"Model";"Tests",#N/A,TRUE,"Model";"Results",#N/A,TRUE,"Model"}</definedName>
    <definedName name="wrn.Main._.CBO._.Report._2_2" localSheetId="3" hidden="1">{"LIBOR",#N/A,TRUE,"Model";"Caps",#N/A,TRUE,"Model";"Assets",#N/A,TRUE,"Model";"Liabilities",#N/A,TRUE,"Model";"Tests",#N/A,TRUE,"Model";"Results",#N/A,TRUE,"Model"}</definedName>
    <definedName name="wrn.Main._.CBO._.Report._2_2" localSheetId="1" hidden="1">{"LIBOR",#N/A,TRUE,"Model";"Caps",#N/A,TRUE,"Model";"Assets",#N/A,TRUE,"Model";"Liabilities",#N/A,TRUE,"Model";"Tests",#N/A,TRUE,"Model";"Results",#N/A,TRUE,"Model"}</definedName>
    <definedName name="wrn.Main._.CBO._.Report._2_2" hidden="1">{"LIBOR",#N/A,TRUE,"Model";"Caps",#N/A,TRUE,"Model";"Assets",#N/A,TRUE,"Model";"Liabilities",#N/A,TRUE,"Model";"Tests",#N/A,TRUE,"Model";"Results",#N/A,TRUE,"Model"}</definedName>
    <definedName name="wrn.Main._.CBO._.Report._2_2_1" localSheetId="3" hidden="1">{"LIBOR",#N/A,TRUE,"Model";"Caps",#N/A,TRUE,"Model";"Assets",#N/A,TRUE,"Model";"Liabilities",#N/A,TRUE,"Model";"Tests",#N/A,TRUE,"Model";"Results",#N/A,TRUE,"Model"}</definedName>
    <definedName name="wrn.Main._.CBO._.Report._2_2_1" localSheetId="1" hidden="1">{"LIBOR",#N/A,TRUE,"Model";"Caps",#N/A,TRUE,"Model";"Assets",#N/A,TRUE,"Model";"Liabilities",#N/A,TRUE,"Model";"Tests",#N/A,TRUE,"Model";"Results",#N/A,TRUE,"Model"}</definedName>
    <definedName name="wrn.Main._.CBO._.Report._2_2_1" hidden="1">{"LIBOR",#N/A,TRUE,"Model";"Caps",#N/A,TRUE,"Model";"Assets",#N/A,TRUE,"Model";"Liabilities",#N/A,TRUE,"Model";"Tests",#N/A,TRUE,"Model";"Results",#N/A,TRUE,"Model"}</definedName>
    <definedName name="wrn.Main._.CBO._.Report._2_3" localSheetId="3" hidden="1">{"LIBOR",#N/A,TRUE,"Model";"Caps",#N/A,TRUE,"Model";"Assets",#N/A,TRUE,"Model";"Liabilities",#N/A,TRUE,"Model";"Tests",#N/A,TRUE,"Model";"Results",#N/A,TRUE,"Model"}</definedName>
    <definedName name="wrn.Main._.CBO._.Report._2_3" localSheetId="1" hidden="1">{"LIBOR",#N/A,TRUE,"Model";"Caps",#N/A,TRUE,"Model";"Assets",#N/A,TRUE,"Model";"Liabilities",#N/A,TRUE,"Model";"Tests",#N/A,TRUE,"Model";"Results",#N/A,TRUE,"Model"}</definedName>
    <definedName name="wrn.Main._.CBO._.Report._2_3" hidden="1">{"LIBOR",#N/A,TRUE,"Model";"Caps",#N/A,TRUE,"Model";"Assets",#N/A,TRUE,"Model";"Liabilities",#N/A,TRUE,"Model";"Tests",#N/A,TRUE,"Model";"Results",#N/A,TRUE,"Model"}</definedName>
    <definedName name="wrn.Main._.CBO._.Report._3" localSheetId="3" hidden="1">{"LIBOR",#N/A,TRUE,"Model";"Caps",#N/A,TRUE,"Model";"Assets",#N/A,TRUE,"Model";"Liabilities",#N/A,TRUE,"Model";"Tests",#N/A,TRUE,"Model";"Results",#N/A,TRUE,"Model"}</definedName>
    <definedName name="wrn.Main._.CBO._.Report._3" localSheetId="1" hidden="1">{"LIBOR",#N/A,TRUE,"Model";"Caps",#N/A,TRUE,"Model";"Assets",#N/A,TRUE,"Model";"Liabilities",#N/A,TRUE,"Model";"Tests",#N/A,TRUE,"Model";"Results",#N/A,TRUE,"Model"}</definedName>
    <definedName name="wrn.Main._.CBO._.Report._3" hidden="1">{"LIBOR",#N/A,TRUE,"Model";"Caps",#N/A,TRUE,"Model";"Assets",#N/A,TRUE,"Model";"Liabilities",#N/A,TRUE,"Model";"Tests",#N/A,TRUE,"Model";"Results",#N/A,TRUE,"Model"}</definedName>
    <definedName name="wrn.Main._.CBO._.Report._3_1" localSheetId="3" hidden="1">{"LIBOR",#N/A,TRUE,"Model";"Caps",#N/A,TRUE,"Model";"Assets",#N/A,TRUE,"Model";"Liabilities",#N/A,TRUE,"Model";"Tests",#N/A,TRUE,"Model";"Results",#N/A,TRUE,"Model"}</definedName>
    <definedName name="wrn.Main._.CBO._.Report._3_1" localSheetId="1" hidden="1">{"LIBOR",#N/A,TRUE,"Model";"Caps",#N/A,TRUE,"Model";"Assets",#N/A,TRUE,"Model";"Liabilities",#N/A,TRUE,"Model";"Tests",#N/A,TRUE,"Model";"Results",#N/A,TRUE,"Model"}</definedName>
    <definedName name="wrn.Main._.CBO._.Report._3_1" hidden="1">{"LIBOR",#N/A,TRUE,"Model";"Caps",#N/A,TRUE,"Model";"Assets",#N/A,TRUE,"Model";"Liabilities",#N/A,TRUE,"Model";"Tests",#N/A,TRUE,"Model";"Results",#N/A,TRUE,"Model"}</definedName>
    <definedName name="wrn.Main._.CBO._.Report._3_1_1" localSheetId="3" hidden="1">{"LIBOR",#N/A,TRUE,"Model";"Caps",#N/A,TRUE,"Model";"Assets",#N/A,TRUE,"Model";"Liabilities",#N/A,TRUE,"Model";"Tests",#N/A,TRUE,"Model";"Results",#N/A,TRUE,"Model"}</definedName>
    <definedName name="wrn.Main._.CBO._.Report._3_1_1" localSheetId="1" hidden="1">{"LIBOR",#N/A,TRUE,"Model";"Caps",#N/A,TRUE,"Model";"Assets",#N/A,TRUE,"Model";"Liabilities",#N/A,TRUE,"Model";"Tests",#N/A,TRUE,"Model";"Results",#N/A,TRUE,"Model"}</definedName>
    <definedName name="wrn.Main._.CBO._.Report._3_1_1" hidden="1">{"LIBOR",#N/A,TRUE,"Model";"Caps",#N/A,TRUE,"Model";"Assets",#N/A,TRUE,"Model";"Liabilities",#N/A,TRUE,"Model";"Tests",#N/A,TRUE,"Model";"Results",#N/A,TRUE,"Model"}</definedName>
    <definedName name="wrn.Main._.CBO._.Report._3_1_1_1" localSheetId="3" hidden="1">{"LIBOR",#N/A,TRUE,"Model";"Caps",#N/A,TRUE,"Model";"Assets",#N/A,TRUE,"Model";"Liabilities",#N/A,TRUE,"Model";"Tests",#N/A,TRUE,"Model";"Results",#N/A,TRUE,"Model"}</definedName>
    <definedName name="wrn.Main._.CBO._.Report._3_1_1_1" localSheetId="1" hidden="1">{"LIBOR",#N/A,TRUE,"Model";"Caps",#N/A,TRUE,"Model";"Assets",#N/A,TRUE,"Model";"Liabilities",#N/A,TRUE,"Model";"Tests",#N/A,TRUE,"Model";"Results",#N/A,TRUE,"Model"}</definedName>
    <definedName name="wrn.Main._.CBO._.Report._3_1_1_1" hidden="1">{"LIBOR",#N/A,TRUE,"Model";"Caps",#N/A,TRUE,"Model";"Assets",#N/A,TRUE,"Model";"Liabilities",#N/A,TRUE,"Model";"Tests",#N/A,TRUE,"Model";"Results",#N/A,TRUE,"Model"}</definedName>
    <definedName name="wrn.Main._.CBO._.Report._3_2" localSheetId="3" hidden="1">{"LIBOR",#N/A,TRUE,"Model";"Caps",#N/A,TRUE,"Model";"Assets",#N/A,TRUE,"Model";"Liabilities",#N/A,TRUE,"Model";"Tests",#N/A,TRUE,"Model";"Results",#N/A,TRUE,"Model"}</definedName>
    <definedName name="wrn.Main._.CBO._.Report._3_2" localSheetId="1" hidden="1">{"LIBOR",#N/A,TRUE,"Model";"Caps",#N/A,TRUE,"Model";"Assets",#N/A,TRUE,"Model";"Liabilities",#N/A,TRUE,"Model";"Tests",#N/A,TRUE,"Model";"Results",#N/A,TRUE,"Model"}</definedName>
    <definedName name="wrn.Main._.CBO._.Report._3_2" hidden="1">{"LIBOR",#N/A,TRUE,"Model";"Caps",#N/A,TRUE,"Model";"Assets",#N/A,TRUE,"Model";"Liabilities",#N/A,TRUE,"Model";"Tests",#N/A,TRUE,"Model";"Results",#N/A,TRUE,"Model"}</definedName>
    <definedName name="wrn.Main._.CBO._.Report._3_2_1" localSheetId="3" hidden="1">{"LIBOR",#N/A,TRUE,"Model";"Caps",#N/A,TRUE,"Model";"Assets",#N/A,TRUE,"Model";"Liabilities",#N/A,TRUE,"Model";"Tests",#N/A,TRUE,"Model";"Results",#N/A,TRUE,"Model"}</definedName>
    <definedName name="wrn.Main._.CBO._.Report._3_2_1" localSheetId="1" hidden="1">{"LIBOR",#N/A,TRUE,"Model";"Caps",#N/A,TRUE,"Model";"Assets",#N/A,TRUE,"Model";"Liabilities",#N/A,TRUE,"Model";"Tests",#N/A,TRUE,"Model";"Results",#N/A,TRUE,"Model"}</definedName>
    <definedName name="wrn.Main._.CBO._.Report._3_2_1" hidden="1">{"LIBOR",#N/A,TRUE,"Model";"Caps",#N/A,TRUE,"Model";"Assets",#N/A,TRUE,"Model";"Liabilities",#N/A,TRUE,"Model";"Tests",#N/A,TRUE,"Model";"Results",#N/A,TRUE,"Model"}</definedName>
    <definedName name="wrn.Main._.CBO._.Report._3_3" localSheetId="3" hidden="1">{"LIBOR",#N/A,TRUE,"Model";"Caps",#N/A,TRUE,"Model";"Assets",#N/A,TRUE,"Model";"Liabilities",#N/A,TRUE,"Model";"Tests",#N/A,TRUE,"Model";"Results",#N/A,TRUE,"Model"}</definedName>
    <definedName name="wrn.Main._.CBO._.Report._3_3" localSheetId="1" hidden="1">{"LIBOR",#N/A,TRUE,"Model";"Caps",#N/A,TRUE,"Model";"Assets",#N/A,TRUE,"Model";"Liabilities",#N/A,TRUE,"Model";"Tests",#N/A,TRUE,"Model";"Results",#N/A,TRUE,"Model"}</definedName>
    <definedName name="wrn.Main._.CBO._.Report._3_3" hidden="1">{"LIBOR",#N/A,TRUE,"Model";"Caps",#N/A,TRUE,"Model";"Assets",#N/A,TRUE,"Model";"Liabilities",#N/A,TRUE,"Model";"Tests",#N/A,TRUE,"Model";"Results",#N/A,TRUE,"Model"}</definedName>
    <definedName name="wrn.Main._.CBO._.Report._4" localSheetId="3" hidden="1">{"LIBOR",#N/A,TRUE,"Model";"Caps",#N/A,TRUE,"Model";"Assets",#N/A,TRUE,"Model";"Liabilities",#N/A,TRUE,"Model";"Tests",#N/A,TRUE,"Model";"Results",#N/A,TRUE,"Model"}</definedName>
    <definedName name="wrn.Main._.CBO._.Report._4" localSheetId="1" hidden="1">{"LIBOR",#N/A,TRUE,"Model";"Caps",#N/A,TRUE,"Model";"Assets",#N/A,TRUE,"Model";"Liabilities",#N/A,TRUE,"Model";"Tests",#N/A,TRUE,"Model";"Results",#N/A,TRUE,"Model"}</definedName>
    <definedName name="wrn.Main._.CBO._.Report._4" hidden="1">{"LIBOR",#N/A,TRUE,"Model";"Caps",#N/A,TRUE,"Model";"Assets",#N/A,TRUE,"Model";"Liabilities",#N/A,TRUE,"Model";"Tests",#N/A,TRUE,"Model";"Results",#N/A,TRUE,"Model"}</definedName>
    <definedName name="wrn.Main._.CBO._.Report._4_1" localSheetId="3" hidden="1">{"LIBOR",#N/A,TRUE,"Model";"Caps",#N/A,TRUE,"Model";"Assets",#N/A,TRUE,"Model";"Liabilities",#N/A,TRUE,"Model";"Tests",#N/A,TRUE,"Model";"Results",#N/A,TRUE,"Model"}</definedName>
    <definedName name="wrn.Main._.CBO._.Report._4_1" localSheetId="1" hidden="1">{"LIBOR",#N/A,TRUE,"Model";"Caps",#N/A,TRUE,"Model";"Assets",#N/A,TRUE,"Model";"Liabilities",#N/A,TRUE,"Model";"Tests",#N/A,TRUE,"Model";"Results",#N/A,TRUE,"Model"}</definedName>
    <definedName name="wrn.Main._.CBO._.Report._4_1" hidden="1">{"LIBOR",#N/A,TRUE,"Model";"Caps",#N/A,TRUE,"Model";"Assets",#N/A,TRUE,"Model";"Liabilities",#N/A,TRUE,"Model";"Tests",#N/A,TRUE,"Model";"Results",#N/A,TRUE,"Model"}</definedName>
    <definedName name="wrn.Main._.CBO._.Report._4_1_1" localSheetId="3" hidden="1">{"LIBOR",#N/A,TRUE,"Model";"Caps",#N/A,TRUE,"Model";"Assets",#N/A,TRUE,"Model";"Liabilities",#N/A,TRUE,"Model";"Tests",#N/A,TRUE,"Model";"Results",#N/A,TRUE,"Model"}</definedName>
    <definedName name="wrn.Main._.CBO._.Report._4_1_1" localSheetId="1" hidden="1">{"LIBOR",#N/A,TRUE,"Model";"Caps",#N/A,TRUE,"Model";"Assets",#N/A,TRUE,"Model";"Liabilities",#N/A,TRUE,"Model";"Tests",#N/A,TRUE,"Model";"Results",#N/A,TRUE,"Model"}</definedName>
    <definedName name="wrn.Main._.CBO._.Report._4_1_1" hidden="1">{"LIBOR",#N/A,TRUE,"Model";"Caps",#N/A,TRUE,"Model";"Assets",#N/A,TRUE,"Model";"Liabilities",#N/A,TRUE,"Model";"Tests",#N/A,TRUE,"Model";"Results",#N/A,TRUE,"Model"}</definedName>
    <definedName name="wrn.Main._.CBO._.Report._4_1_1_1" localSheetId="3" hidden="1">{"LIBOR",#N/A,TRUE,"Model";"Caps",#N/A,TRUE,"Model";"Assets",#N/A,TRUE,"Model";"Liabilities",#N/A,TRUE,"Model";"Tests",#N/A,TRUE,"Model";"Results",#N/A,TRUE,"Model"}</definedName>
    <definedName name="wrn.Main._.CBO._.Report._4_1_1_1" localSheetId="1" hidden="1">{"LIBOR",#N/A,TRUE,"Model";"Caps",#N/A,TRUE,"Model";"Assets",#N/A,TRUE,"Model";"Liabilities",#N/A,TRUE,"Model";"Tests",#N/A,TRUE,"Model";"Results",#N/A,TRUE,"Model"}</definedName>
    <definedName name="wrn.Main._.CBO._.Report._4_1_1_1" hidden="1">{"LIBOR",#N/A,TRUE,"Model";"Caps",#N/A,TRUE,"Model";"Assets",#N/A,TRUE,"Model";"Liabilities",#N/A,TRUE,"Model";"Tests",#N/A,TRUE,"Model";"Results",#N/A,TRUE,"Model"}</definedName>
    <definedName name="wrn.Main._.CBO._.Report._4_2" localSheetId="3" hidden="1">{"LIBOR",#N/A,TRUE,"Model";"Caps",#N/A,TRUE,"Model";"Assets",#N/A,TRUE,"Model";"Liabilities",#N/A,TRUE,"Model";"Tests",#N/A,TRUE,"Model";"Results",#N/A,TRUE,"Model"}</definedName>
    <definedName name="wrn.Main._.CBO._.Report._4_2" localSheetId="1" hidden="1">{"LIBOR",#N/A,TRUE,"Model";"Caps",#N/A,TRUE,"Model";"Assets",#N/A,TRUE,"Model";"Liabilities",#N/A,TRUE,"Model";"Tests",#N/A,TRUE,"Model";"Results",#N/A,TRUE,"Model"}</definedName>
    <definedName name="wrn.Main._.CBO._.Report._4_2" hidden="1">{"LIBOR",#N/A,TRUE,"Model";"Caps",#N/A,TRUE,"Model";"Assets",#N/A,TRUE,"Model";"Liabilities",#N/A,TRUE,"Model";"Tests",#N/A,TRUE,"Model";"Results",#N/A,TRUE,"Model"}</definedName>
    <definedName name="wrn.Main._.CBO._.Report._4_2_1" localSheetId="3" hidden="1">{"LIBOR",#N/A,TRUE,"Model";"Caps",#N/A,TRUE,"Model";"Assets",#N/A,TRUE,"Model";"Liabilities",#N/A,TRUE,"Model";"Tests",#N/A,TRUE,"Model";"Results",#N/A,TRUE,"Model"}</definedName>
    <definedName name="wrn.Main._.CBO._.Report._4_2_1" localSheetId="1" hidden="1">{"LIBOR",#N/A,TRUE,"Model";"Caps",#N/A,TRUE,"Model";"Assets",#N/A,TRUE,"Model";"Liabilities",#N/A,TRUE,"Model";"Tests",#N/A,TRUE,"Model";"Results",#N/A,TRUE,"Model"}</definedName>
    <definedName name="wrn.Main._.CBO._.Report._4_2_1" hidden="1">{"LIBOR",#N/A,TRUE,"Model";"Caps",#N/A,TRUE,"Model";"Assets",#N/A,TRUE,"Model";"Liabilities",#N/A,TRUE,"Model";"Tests",#N/A,TRUE,"Model";"Results",#N/A,TRUE,"Model"}</definedName>
    <definedName name="wrn.Main._.CBO._.Report._4_3" localSheetId="3" hidden="1">{"LIBOR",#N/A,TRUE,"Model";"Caps",#N/A,TRUE,"Model";"Assets",#N/A,TRUE,"Model";"Liabilities",#N/A,TRUE,"Model";"Tests",#N/A,TRUE,"Model";"Results",#N/A,TRUE,"Model"}</definedName>
    <definedName name="wrn.Main._.CBO._.Report._4_3" localSheetId="1" hidden="1">{"LIBOR",#N/A,TRUE,"Model";"Caps",#N/A,TRUE,"Model";"Assets",#N/A,TRUE,"Model";"Liabilities",#N/A,TRUE,"Model";"Tests",#N/A,TRUE,"Model";"Results",#N/A,TRUE,"Model"}</definedName>
    <definedName name="wrn.Main._.CBO._.Report._4_3" hidden="1">{"LIBOR",#N/A,TRUE,"Model";"Caps",#N/A,TRUE,"Model";"Assets",#N/A,TRUE,"Model";"Liabilities",#N/A,TRUE,"Model";"Tests",#N/A,TRUE,"Model";"Results",#N/A,TRUE,"Model"}</definedName>
    <definedName name="wrn.Main._.CBO._.Report._5" localSheetId="3" hidden="1">{"LIBOR",#N/A,TRUE,"Model";"Caps",#N/A,TRUE,"Model";"Assets",#N/A,TRUE,"Model";"Liabilities",#N/A,TRUE,"Model";"Tests",#N/A,TRUE,"Model";"Results",#N/A,TRUE,"Model"}</definedName>
    <definedName name="wrn.Main._.CBO._.Report._5" localSheetId="1" hidden="1">{"LIBOR",#N/A,TRUE,"Model";"Caps",#N/A,TRUE,"Model";"Assets",#N/A,TRUE,"Model";"Liabilities",#N/A,TRUE,"Model";"Tests",#N/A,TRUE,"Model";"Results",#N/A,TRUE,"Model"}</definedName>
    <definedName name="wrn.Main._.CBO._.Report._5" hidden="1">{"LIBOR",#N/A,TRUE,"Model";"Caps",#N/A,TRUE,"Model";"Assets",#N/A,TRUE,"Model";"Liabilities",#N/A,TRUE,"Model";"Tests",#N/A,TRUE,"Model";"Results",#N/A,TRUE,"Model"}</definedName>
    <definedName name="wrn.Main._.CBO._.Report._5_1" localSheetId="3" hidden="1">{"LIBOR",#N/A,TRUE,"Model";"Caps",#N/A,TRUE,"Model";"Assets",#N/A,TRUE,"Model";"Liabilities",#N/A,TRUE,"Model";"Tests",#N/A,TRUE,"Model";"Results",#N/A,TRUE,"Model"}</definedName>
    <definedName name="wrn.Main._.CBO._.Report._5_1" localSheetId="1" hidden="1">{"LIBOR",#N/A,TRUE,"Model";"Caps",#N/A,TRUE,"Model";"Assets",#N/A,TRUE,"Model";"Liabilities",#N/A,TRUE,"Model";"Tests",#N/A,TRUE,"Model";"Results",#N/A,TRUE,"Model"}</definedName>
    <definedName name="wrn.Main._.CBO._.Report._5_1" hidden="1">{"LIBOR",#N/A,TRUE,"Model";"Caps",#N/A,TRUE,"Model";"Assets",#N/A,TRUE,"Model";"Liabilities",#N/A,TRUE,"Model";"Tests",#N/A,TRUE,"Model";"Results",#N/A,TRUE,"Model"}</definedName>
    <definedName name="wrn.Main._.CBO._.Report._5_1_1" localSheetId="3" hidden="1">{"LIBOR",#N/A,TRUE,"Model";"Caps",#N/A,TRUE,"Model";"Assets",#N/A,TRUE,"Model";"Liabilities",#N/A,TRUE,"Model";"Tests",#N/A,TRUE,"Model";"Results",#N/A,TRUE,"Model"}</definedName>
    <definedName name="wrn.Main._.CBO._.Report._5_1_1" localSheetId="1" hidden="1">{"LIBOR",#N/A,TRUE,"Model";"Caps",#N/A,TRUE,"Model";"Assets",#N/A,TRUE,"Model";"Liabilities",#N/A,TRUE,"Model";"Tests",#N/A,TRUE,"Model";"Results",#N/A,TRUE,"Model"}</definedName>
    <definedName name="wrn.Main._.CBO._.Report._5_1_1" hidden="1">{"LIBOR",#N/A,TRUE,"Model";"Caps",#N/A,TRUE,"Model";"Assets",#N/A,TRUE,"Model";"Liabilities",#N/A,TRUE,"Model";"Tests",#N/A,TRUE,"Model";"Results",#N/A,TRUE,"Model"}</definedName>
    <definedName name="wrn.Main._.CBO._.Report._5_1_1_1" localSheetId="3" hidden="1">{"LIBOR",#N/A,TRUE,"Model";"Caps",#N/A,TRUE,"Model";"Assets",#N/A,TRUE,"Model";"Liabilities",#N/A,TRUE,"Model";"Tests",#N/A,TRUE,"Model";"Results",#N/A,TRUE,"Model"}</definedName>
    <definedName name="wrn.Main._.CBO._.Report._5_1_1_1" localSheetId="1" hidden="1">{"LIBOR",#N/A,TRUE,"Model";"Caps",#N/A,TRUE,"Model";"Assets",#N/A,TRUE,"Model";"Liabilities",#N/A,TRUE,"Model";"Tests",#N/A,TRUE,"Model";"Results",#N/A,TRUE,"Model"}</definedName>
    <definedName name="wrn.Main._.CBO._.Report._5_1_1_1" hidden="1">{"LIBOR",#N/A,TRUE,"Model";"Caps",#N/A,TRUE,"Model";"Assets",#N/A,TRUE,"Model";"Liabilities",#N/A,TRUE,"Model";"Tests",#N/A,TRUE,"Model";"Results",#N/A,TRUE,"Model"}</definedName>
    <definedName name="wrn.Main._.CBO._.Report._5_2" localSheetId="3" hidden="1">{"LIBOR",#N/A,TRUE,"Model";"Caps",#N/A,TRUE,"Model";"Assets",#N/A,TRUE,"Model";"Liabilities",#N/A,TRUE,"Model";"Tests",#N/A,TRUE,"Model";"Results",#N/A,TRUE,"Model"}</definedName>
    <definedName name="wrn.Main._.CBO._.Report._5_2" localSheetId="1" hidden="1">{"LIBOR",#N/A,TRUE,"Model";"Caps",#N/A,TRUE,"Model";"Assets",#N/A,TRUE,"Model";"Liabilities",#N/A,TRUE,"Model";"Tests",#N/A,TRUE,"Model";"Results",#N/A,TRUE,"Model"}</definedName>
    <definedName name="wrn.Main._.CBO._.Report._5_2" hidden="1">{"LIBOR",#N/A,TRUE,"Model";"Caps",#N/A,TRUE,"Model";"Assets",#N/A,TRUE,"Model";"Liabilities",#N/A,TRUE,"Model";"Tests",#N/A,TRUE,"Model";"Results",#N/A,TRUE,"Model"}</definedName>
    <definedName name="wrn.Main._.CBO._.Report._5_2_1" localSheetId="3" hidden="1">{"LIBOR",#N/A,TRUE,"Model";"Caps",#N/A,TRUE,"Model";"Assets",#N/A,TRUE,"Model";"Liabilities",#N/A,TRUE,"Model";"Tests",#N/A,TRUE,"Model";"Results",#N/A,TRUE,"Model"}</definedName>
    <definedName name="wrn.Main._.CBO._.Report._5_2_1" localSheetId="1" hidden="1">{"LIBOR",#N/A,TRUE,"Model";"Caps",#N/A,TRUE,"Model";"Assets",#N/A,TRUE,"Model";"Liabilities",#N/A,TRUE,"Model";"Tests",#N/A,TRUE,"Model";"Results",#N/A,TRUE,"Model"}</definedName>
    <definedName name="wrn.Main._.CBO._.Report._5_2_1" hidden="1">{"LIBOR",#N/A,TRUE,"Model";"Caps",#N/A,TRUE,"Model";"Assets",#N/A,TRUE,"Model";"Liabilities",#N/A,TRUE,"Model";"Tests",#N/A,TRUE,"Model";"Results",#N/A,TRUE,"Model"}</definedName>
    <definedName name="wrn.Main._.CBO._.Report._5_3" localSheetId="3" hidden="1">{"LIBOR",#N/A,TRUE,"Model";"Caps",#N/A,TRUE,"Model";"Assets",#N/A,TRUE,"Model";"Liabilities",#N/A,TRUE,"Model";"Tests",#N/A,TRUE,"Model";"Results",#N/A,TRUE,"Model"}</definedName>
    <definedName name="wrn.Main._.CBO._.Report._5_3" localSheetId="1" hidden="1">{"LIBOR",#N/A,TRUE,"Model";"Caps",#N/A,TRUE,"Model";"Assets",#N/A,TRUE,"Model";"Liabilities",#N/A,TRUE,"Model";"Tests",#N/A,TRUE,"Model";"Results",#N/A,TRUE,"Model"}</definedName>
    <definedName name="wrn.Main._.CBO._.Report._5_3" hidden="1">{"LIBOR",#N/A,TRUE,"Model";"Caps",#N/A,TRUE,"Model";"Assets",#N/A,TRUE,"Model";"Liabilities",#N/A,TRUE,"Model";"Tests",#N/A,TRUE,"Model";"Results",#N/A,TRUE,"Model"}</definedName>
    <definedName name="wrn.main._.CBO._.reports." localSheetId="3" hidden="1">{"LIBOR",#N/A,TRUE,"Model";"Caps",#N/A,TRUE,"Model";"Assets",#N/A,TRUE,"Model";"Liabilities",#N/A,TRUE,"Model";"Tests",#N/A,TRUE,"Model";"Results",#N/A,TRUE,"Model"}</definedName>
    <definedName name="wrn.main._.CBO._.reports." localSheetId="1" hidden="1">{"LIBOR",#N/A,TRUE,"Model";"Caps",#N/A,TRUE,"Model";"Assets",#N/A,TRUE,"Model";"Liabilities",#N/A,TRUE,"Model";"Tests",#N/A,TRUE,"Model";"Results",#N/A,TRUE,"Model"}</definedName>
    <definedName name="wrn.main._.CBO._.reports." hidden="1">{"LIBOR",#N/A,TRUE,"Model";"Caps",#N/A,TRUE,"Model";"Assets",#N/A,TRUE,"Model";"Liabilities",#N/A,TRUE,"Model";"Tests",#N/A,TRUE,"Model";"Results",#N/A,TRUE,"Model"}</definedName>
    <definedName name="wrn.main._.CBO._.reports._1" localSheetId="3" hidden="1">{"LIBOR",#N/A,TRUE,"Model";"Caps",#N/A,TRUE,"Model";"Assets",#N/A,TRUE,"Model";"Liabilities",#N/A,TRUE,"Model";"Tests",#N/A,TRUE,"Model";"Results",#N/A,TRUE,"Model"}</definedName>
    <definedName name="wrn.main._.CBO._.reports._1" localSheetId="1" hidden="1">{"LIBOR",#N/A,TRUE,"Model";"Caps",#N/A,TRUE,"Model";"Assets",#N/A,TRUE,"Model";"Liabilities",#N/A,TRUE,"Model";"Tests",#N/A,TRUE,"Model";"Results",#N/A,TRUE,"Model"}</definedName>
    <definedName name="wrn.main._.CBO._.reports._1" hidden="1">{"LIBOR",#N/A,TRUE,"Model";"Caps",#N/A,TRUE,"Model";"Assets",#N/A,TRUE,"Model";"Liabilities",#N/A,TRUE,"Model";"Tests",#N/A,TRUE,"Model";"Results",#N/A,TRUE,"Model"}</definedName>
    <definedName name="wrn.main._.CBO._.reports._1_1" localSheetId="3" hidden="1">{"LIBOR",#N/A,TRUE,"Model";"Caps",#N/A,TRUE,"Model";"Assets",#N/A,TRUE,"Model";"Liabilities",#N/A,TRUE,"Model";"Tests",#N/A,TRUE,"Model";"Results",#N/A,TRUE,"Model"}</definedName>
    <definedName name="wrn.main._.CBO._.reports._1_1" localSheetId="1" hidden="1">{"LIBOR",#N/A,TRUE,"Model";"Caps",#N/A,TRUE,"Model";"Assets",#N/A,TRUE,"Model";"Liabilities",#N/A,TRUE,"Model";"Tests",#N/A,TRUE,"Model";"Results",#N/A,TRUE,"Model"}</definedName>
    <definedName name="wrn.main._.CBO._.reports._1_1" hidden="1">{"LIBOR",#N/A,TRUE,"Model";"Caps",#N/A,TRUE,"Model";"Assets",#N/A,TRUE,"Model";"Liabilities",#N/A,TRUE,"Model";"Tests",#N/A,TRUE,"Model";"Results",#N/A,TRUE,"Model"}</definedName>
    <definedName name="wrn.main._.CBO._.reports._1_1_1" localSheetId="3" hidden="1">{"LIBOR",#N/A,TRUE,"Model";"Caps",#N/A,TRUE,"Model";"Assets",#N/A,TRUE,"Model";"Liabilities",#N/A,TRUE,"Model";"Tests",#N/A,TRUE,"Model";"Results",#N/A,TRUE,"Model"}</definedName>
    <definedName name="wrn.main._.CBO._.reports._1_1_1" localSheetId="1" hidden="1">{"LIBOR",#N/A,TRUE,"Model";"Caps",#N/A,TRUE,"Model";"Assets",#N/A,TRUE,"Model";"Liabilities",#N/A,TRUE,"Model";"Tests",#N/A,TRUE,"Model";"Results",#N/A,TRUE,"Model"}</definedName>
    <definedName name="wrn.main._.CBO._.reports._1_1_1" hidden="1">{"LIBOR",#N/A,TRUE,"Model";"Caps",#N/A,TRUE,"Model";"Assets",#N/A,TRUE,"Model";"Liabilities",#N/A,TRUE,"Model";"Tests",#N/A,TRUE,"Model";"Results",#N/A,TRUE,"Model"}</definedName>
    <definedName name="wrn.main._.CBO._.reports._1_1_1_1" localSheetId="3" hidden="1">{"LIBOR",#N/A,TRUE,"Model";"Caps",#N/A,TRUE,"Model";"Assets",#N/A,TRUE,"Model";"Liabilities",#N/A,TRUE,"Model";"Tests",#N/A,TRUE,"Model";"Results",#N/A,TRUE,"Model"}</definedName>
    <definedName name="wrn.main._.CBO._.reports._1_1_1_1" localSheetId="1" hidden="1">{"LIBOR",#N/A,TRUE,"Model";"Caps",#N/A,TRUE,"Model";"Assets",#N/A,TRUE,"Model";"Liabilities",#N/A,TRUE,"Model";"Tests",#N/A,TRUE,"Model";"Results",#N/A,TRUE,"Model"}</definedName>
    <definedName name="wrn.main._.CBO._.reports._1_1_1_1" hidden="1">{"LIBOR",#N/A,TRUE,"Model";"Caps",#N/A,TRUE,"Model";"Assets",#N/A,TRUE,"Model";"Liabilities",#N/A,TRUE,"Model";"Tests",#N/A,TRUE,"Model";"Results",#N/A,TRUE,"Model"}</definedName>
    <definedName name="wrn.main._.CBO._.reports._1_2" localSheetId="3" hidden="1">{"LIBOR",#N/A,TRUE,"Model";"Caps",#N/A,TRUE,"Model";"Assets",#N/A,TRUE,"Model";"Liabilities",#N/A,TRUE,"Model";"Tests",#N/A,TRUE,"Model";"Results",#N/A,TRUE,"Model"}</definedName>
    <definedName name="wrn.main._.CBO._.reports._1_2" localSheetId="1" hidden="1">{"LIBOR",#N/A,TRUE,"Model";"Caps",#N/A,TRUE,"Model";"Assets",#N/A,TRUE,"Model";"Liabilities",#N/A,TRUE,"Model";"Tests",#N/A,TRUE,"Model";"Results",#N/A,TRUE,"Model"}</definedName>
    <definedName name="wrn.main._.CBO._.reports._1_2" hidden="1">{"LIBOR",#N/A,TRUE,"Model";"Caps",#N/A,TRUE,"Model";"Assets",#N/A,TRUE,"Model";"Liabilities",#N/A,TRUE,"Model";"Tests",#N/A,TRUE,"Model";"Results",#N/A,TRUE,"Model"}</definedName>
    <definedName name="wrn.main._.CBO._.reports._1_2_1" localSheetId="3" hidden="1">{"LIBOR",#N/A,TRUE,"Model";"Caps",#N/A,TRUE,"Model";"Assets",#N/A,TRUE,"Model";"Liabilities",#N/A,TRUE,"Model";"Tests",#N/A,TRUE,"Model";"Results",#N/A,TRUE,"Model"}</definedName>
    <definedName name="wrn.main._.CBO._.reports._1_2_1" localSheetId="1" hidden="1">{"LIBOR",#N/A,TRUE,"Model";"Caps",#N/A,TRUE,"Model";"Assets",#N/A,TRUE,"Model";"Liabilities",#N/A,TRUE,"Model";"Tests",#N/A,TRUE,"Model";"Results",#N/A,TRUE,"Model"}</definedName>
    <definedName name="wrn.main._.CBO._.reports._1_2_1" hidden="1">{"LIBOR",#N/A,TRUE,"Model";"Caps",#N/A,TRUE,"Model";"Assets",#N/A,TRUE,"Model";"Liabilities",#N/A,TRUE,"Model";"Tests",#N/A,TRUE,"Model";"Results",#N/A,TRUE,"Model"}</definedName>
    <definedName name="wrn.main._.CBO._.reports._1_3" localSheetId="3" hidden="1">{"LIBOR",#N/A,TRUE,"Model";"Caps",#N/A,TRUE,"Model";"Assets",#N/A,TRUE,"Model";"Liabilities",#N/A,TRUE,"Model";"Tests",#N/A,TRUE,"Model";"Results",#N/A,TRUE,"Model"}</definedName>
    <definedName name="wrn.main._.CBO._.reports._1_3" localSheetId="1" hidden="1">{"LIBOR",#N/A,TRUE,"Model";"Caps",#N/A,TRUE,"Model";"Assets",#N/A,TRUE,"Model";"Liabilities",#N/A,TRUE,"Model";"Tests",#N/A,TRUE,"Model";"Results",#N/A,TRUE,"Model"}</definedName>
    <definedName name="wrn.main._.CBO._.reports._1_3" hidden="1">{"LIBOR",#N/A,TRUE,"Model";"Caps",#N/A,TRUE,"Model";"Assets",#N/A,TRUE,"Model";"Liabilities",#N/A,TRUE,"Model";"Tests",#N/A,TRUE,"Model";"Results",#N/A,TRUE,"Model"}</definedName>
    <definedName name="wrn.main._.CBO._.reports._1_3_1" localSheetId="3" hidden="1">{"LIBOR",#N/A,TRUE,"Model";"Caps",#N/A,TRUE,"Model";"Assets",#N/A,TRUE,"Model";"Liabilities",#N/A,TRUE,"Model";"Tests",#N/A,TRUE,"Model";"Results",#N/A,TRUE,"Model"}</definedName>
    <definedName name="wrn.main._.CBO._.reports._1_3_1" localSheetId="1" hidden="1">{"LIBOR",#N/A,TRUE,"Model";"Caps",#N/A,TRUE,"Model";"Assets",#N/A,TRUE,"Model";"Liabilities",#N/A,TRUE,"Model";"Tests",#N/A,TRUE,"Model";"Results",#N/A,TRUE,"Model"}</definedName>
    <definedName name="wrn.main._.CBO._.reports._1_3_1" hidden="1">{"LIBOR",#N/A,TRUE,"Model";"Caps",#N/A,TRUE,"Model";"Assets",#N/A,TRUE,"Model";"Liabilities",#N/A,TRUE,"Model";"Tests",#N/A,TRUE,"Model";"Results",#N/A,TRUE,"Model"}</definedName>
    <definedName name="wrn.main._.CBO._.reports._1_4" localSheetId="3" hidden="1">{"LIBOR",#N/A,TRUE,"Model";"Caps",#N/A,TRUE,"Model";"Assets",#N/A,TRUE,"Model";"Liabilities",#N/A,TRUE,"Model";"Tests",#N/A,TRUE,"Model";"Results",#N/A,TRUE,"Model"}</definedName>
    <definedName name="wrn.main._.CBO._.reports._1_4" localSheetId="1" hidden="1">{"LIBOR",#N/A,TRUE,"Model";"Caps",#N/A,TRUE,"Model";"Assets",#N/A,TRUE,"Model";"Liabilities",#N/A,TRUE,"Model";"Tests",#N/A,TRUE,"Model";"Results",#N/A,TRUE,"Model"}</definedName>
    <definedName name="wrn.main._.CBO._.reports._1_4" hidden="1">{"LIBOR",#N/A,TRUE,"Model";"Caps",#N/A,TRUE,"Model";"Assets",#N/A,TRUE,"Model";"Liabilities",#N/A,TRUE,"Model";"Tests",#N/A,TRUE,"Model";"Results",#N/A,TRUE,"Model"}</definedName>
    <definedName name="wrn.main._.CBO._.reports._2" localSheetId="3" hidden="1">{"LIBOR",#N/A,TRUE,"Model";"Caps",#N/A,TRUE,"Model";"Assets",#N/A,TRUE,"Model";"Liabilities",#N/A,TRUE,"Model";"Tests",#N/A,TRUE,"Model";"Results",#N/A,TRUE,"Model"}</definedName>
    <definedName name="wrn.main._.CBO._.reports._2" localSheetId="1" hidden="1">{"LIBOR",#N/A,TRUE,"Model";"Caps",#N/A,TRUE,"Model";"Assets",#N/A,TRUE,"Model";"Liabilities",#N/A,TRUE,"Model";"Tests",#N/A,TRUE,"Model";"Results",#N/A,TRUE,"Model"}</definedName>
    <definedName name="wrn.main._.CBO._.reports._2" hidden="1">{"LIBOR",#N/A,TRUE,"Model";"Caps",#N/A,TRUE,"Model";"Assets",#N/A,TRUE,"Model";"Liabilities",#N/A,TRUE,"Model";"Tests",#N/A,TRUE,"Model";"Results",#N/A,TRUE,"Model"}</definedName>
    <definedName name="wrn.main._.CBO._.reports._2_1" localSheetId="3" hidden="1">{"LIBOR",#N/A,TRUE,"Model";"Caps",#N/A,TRUE,"Model";"Assets",#N/A,TRUE,"Model";"Liabilities",#N/A,TRUE,"Model";"Tests",#N/A,TRUE,"Model";"Results",#N/A,TRUE,"Model"}</definedName>
    <definedName name="wrn.main._.CBO._.reports._2_1" localSheetId="1" hidden="1">{"LIBOR",#N/A,TRUE,"Model";"Caps",#N/A,TRUE,"Model";"Assets",#N/A,TRUE,"Model";"Liabilities",#N/A,TRUE,"Model";"Tests",#N/A,TRUE,"Model";"Results",#N/A,TRUE,"Model"}</definedName>
    <definedName name="wrn.main._.CBO._.reports._2_1" hidden="1">{"LIBOR",#N/A,TRUE,"Model";"Caps",#N/A,TRUE,"Model";"Assets",#N/A,TRUE,"Model";"Liabilities",#N/A,TRUE,"Model";"Tests",#N/A,TRUE,"Model";"Results",#N/A,TRUE,"Model"}</definedName>
    <definedName name="wrn.main._.CBO._.reports._2_1_1" localSheetId="3" hidden="1">{"LIBOR",#N/A,TRUE,"Model";"Caps",#N/A,TRUE,"Model";"Assets",#N/A,TRUE,"Model";"Liabilities",#N/A,TRUE,"Model";"Tests",#N/A,TRUE,"Model";"Results",#N/A,TRUE,"Model"}</definedName>
    <definedName name="wrn.main._.CBO._.reports._2_1_1" localSheetId="1" hidden="1">{"LIBOR",#N/A,TRUE,"Model";"Caps",#N/A,TRUE,"Model";"Assets",#N/A,TRUE,"Model";"Liabilities",#N/A,TRUE,"Model";"Tests",#N/A,TRUE,"Model";"Results",#N/A,TRUE,"Model"}</definedName>
    <definedName name="wrn.main._.CBO._.reports._2_1_1" hidden="1">{"LIBOR",#N/A,TRUE,"Model";"Caps",#N/A,TRUE,"Model";"Assets",#N/A,TRUE,"Model";"Liabilities",#N/A,TRUE,"Model";"Tests",#N/A,TRUE,"Model";"Results",#N/A,TRUE,"Model"}</definedName>
    <definedName name="wrn.main._.CBO._.reports._2_1_1_1" localSheetId="3" hidden="1">{"LIBOR",#N/A,TRUE,"Model";"Caps",#N/A,TRUE,"Model";"Assets",#N/A,TRUE,"Model";"Liabilities",#N/A,TRUE,"Model";"Tests",#N/A,TRUE,"Model";"Results",#N/A,TRUE,"Model"}</definedName>
    <definedName name="wrn.main._.CBO._.reports._2_1_1_1" localSheetId="1" hidden="1">{"LIBOR",#N/A,TRUE,"Model";"Caps",#N/A,TRUE,"Model";"Assets",#N/A,TRUE,"Model";"Liabilities",#N/A,TRUE,"Model";"Tests",#N/A,TRUE,"Model";"Results",#N/A,TRUE,"Model"}</definedName>
    <definedName name="wrn.main._.CBO._.reports._2_1_1_1" hidden="1">{"LIBOR",#N/A,TRUE,"Model";"Caps",#N/A,TRUE,"Model";"Assets",#N/A,TRUE,"Model";"Liabilities",#N/A,TRUE,"Model";"Tests",#N/A,TRUE,"Model";"Results",#N/A,TRUE,"Model"}</definedName>
    <definedName name="wrn.main._.CBO._.reports._2_2" localSheetId="3" hidden="1">{"LIBOR",#N/A,TRUE,"Model";"Caps",#N/A,TRUE,"Model";"Assets",#N/A,TRUE,"Model";"Liabilities",#N/A,TRUE,"Model";"Tests",#N/A,TRUE,"Model";"Results",#N/A,TRUE,"Model"}</definedName>
    <definedName name="wrn.main._.CBO._.reports._2_2" localSheetId="1" hidden="1">{"LIBOR",#N/A,TRUE,"Model";"Caps",#N/A,TRUE,"Model";"Assets",#N/A,TRUE,"Model";"Liabilities",#N/A,TRUE,"Model";"Tests",#N/A,TRUE,"Model";"Results",#N/A,TRUE,"Model"}</definedName>
    <definedName name="wrn.main._.CBO._.reports._2_2" hidden="1">{"LIBOR",#N/A,TRUE,"Model";"Caps",#N/A,TRUE,"Model";"Assets",#N/A,TRUE,"Model";"Liabilities",#N/A,TRUE,"Model";"Tests",#N/A,TRUE,"Model";"Results",#N/A,TRUE,"Model"}</definedName>
    <definedName name="wrn.main._.CBO._.reports._2_2_1" localSheetId="3" hidden="1">{"LIBOR",#N/A,TRUE,"Model";"Caps",#N/A,TRUE,"Model";"Assets",#N/A,TRUE,"Model";"Liabilities",#N/A,TRUE,"Model";"Tests",#N/A,TRUE,"Model";"Results",#N/A,TRUE,"Model"}</definedName>
    <definedName name="wrn.main._.CBO._.reports._2_2_1" localSheetId="1" hidden="1">{"LIBOR",#N/A,TRUE,"Model";"Caps",#N/A,TRUE,"Model";"Assets",#N/A,TRUE,"Model";"Liabilities",#N/A,TRUE,"Model";"Tests",#N/A,TRUE,"Model";"Results",#N/A,TRUE,"Model"}</definedName>
    <definedName name="wrn.main._.CBO._.reports._2_2_1" hidden="1">{"LIBOR",#N/A,TRUE,"Model";"Caps",#N/A,TRUE,"Model";"Assets",#N/A,TRUE,"Model";"Liabilities",#N/A,TRUE,"Model";"Tests",#N/A,TRUE,"Model";"Results",#N/A,TRUE,"Model"}</definedName>
    <definedName name="wrn.main._.CBO._.reports._2_3" localSheetId="3" hidden="1">{"LIBOR",#N/A,TRUE,"Model";"Caps",#N/A,TRUE,"Model";"Assets",#N/A,TRUE,"Model";"Liabilities",#N/A,TRUE,"Model";"Tests",#N/A,TRUE,"Model";"Results",#N/A,TRUE,"Model"}</definedName>
    <definedName name="wrn.main._.CBO._.reports._2_3" localSheetId="1" hidden="1">{"LIBOR",#N/A,TRUE,"Model";"Caps",#N/A,TRUE,"Model";"Assets",#N/A,TRUE,"Model";"Liabilities",#N/A,TRUE,"Model";"Tests",#N/A,TRUE,"Model";"Results",#N/A,TRUE,"Model"}</definedName>
    <definedName name="wrn.main._.CBO._.reports._2_3" hidden="1">{"LIBOR",#N/A,TRUE,"Model";"Caps",#N/A,TRUE,"Model";"Assets",#N/A,TRUE,"Model";"Liabilities",#N/A,TRUE,"Model";"Tests",#N/A,TRUE,"Model";"Results",#N/A,TRUE,"Model"}</definedName>
    <definedName name="wrn.main._.CBO._.reports._3" localSheetId="3" hidden="1">{"LIBOR",#N/A,TRUE,"Model";"Caps",#N/A,TRUE,"Model";"Assets",#N/A,TRUE,"Model";"Liabilities",#N/A,TRUE,"Model";"Tests",#N/A,TRUE,"Model";"Results",#N/A,TRUE,"Model"}</definedName>
    <definedName name="wrn.main._.CBO._.reports._3" localSheetId="1" hidden="1">{"LIBOR",#N/A,TRUE,"Model";"Caps",#N/A,TRUE,"Model";"Assets",#N/A,TRUE,"Model";"Liabilities",#N/A,TRUE,"Model";"Tests",#N/A,TRUE,"Model";"Results",#N/A,TRUE,"Model"}</definedName>
    <definedName name="wrn.main._.CBO._.reports._3" hidden="1">{"LIBOR",#N/A,TRUE,"Model";"Caps",#N/A,TRUE,"Model";"Assets",#N/A,TRUE,"Model";"Liabilities",#N/A,TRUE,"Model";"Tests",#N/A,TRUE,"Model";"Results",#N/A,TRUE,"Model"}</definedName>
    <definedName name="wrn.main._.CBO._.reports._3_1" localSheetId="3" hidden="1">{"LIBOR",#N/A,TRUE,"Model";"Caps",#N/A,TRUE,"Model";"Assets",#N/A,TRUE,"Model";"Liabilities",#N/A,TRUE,"Model";"Tests",#N/A,TRUE,"Model";"Results",#N/A,TRUE,"Model"}</definedName>
    <definedName name="wrn.main._.CBO._.reports._3_1" localSheetId="1" hidden="1">{"LIBOR",#N/A,TRUE,"Model";"Caps",#N/A,TRUE,"Model";"Assets",#N/A,TRUE,"Model";"Liabilities",#N/A,TRUE,"Model";"Tests",#N/A,TRUE,"Model";"Results",#N/A,TRUE,"Model"}</definedName>
    <definedName name="wrn.main._.CBO._.reports._3_1" hidden="1">{"LIBOR",#N/A,TRUE,"Model";"Caps",#N/A,TRUE,"Model";"Assets",#N/A,TRUE,"Model";"Liabilities",#N/A,TRUE,"Model";"Tests",#N/A,TRUE,"Model";"Results",#N/A,TRUE,"Model"}</definedName>
    <definedName name="wrn.main._.CBO._.reports._3_1_1" localSheetId="3" hidden="1">{"LIBOR",#N/A,TRUE,"Model";"Caps",#N/A,TRUE,"Model";"Assets",#N/A,TRUE,"Model";"Liabilities",#N/A,TRUE,"Model";"Tests",#N/A,TRUE,"Model";"Results",#N/A,TRUE,"Model"}</definedName>
    <definedName name="wrn.main._.CBO._.reports._3_1_1" localSheetId="1" hidden="1">{"LIBOR",#N/A,TRUE,"Model";"Caps",#N/A,TRUE,"Model";"Assets",#N/A,TRUE,"Model";"Liabilities",#N/A,TRUE,"Model";"Tests",#N/A,TRUE,"Model";"Results",#N/A,TRUE,"Model"}</definedName>
    <definedName name="wrn.main._.CBO._.reports._3_1_1" hidden="1">{"LIBOR",#N/A,TRUE,"Model";"Caps",#N/A,TRUE,"Model";"Assets",#N/A,TRUE,"Model";"Liabilities",#N/A,TRUE,"Model";"Tests",#N/A,TRUE,"Model";"Results",#N/A,TRUE,"Model"}</definedName>
    <definedName name="wrn.main._.CBO._.reports._3_1_1_1" localSheetId="3" hidden="1">{"LIBOR",#N/A,TRUE,"Model";"Caps",#N/A,TRUE,"Model";"Assets",#N/A,TRUE,"Model";"Liabilities",#N/A,TRUE,"Model";"Tests",#N/A,TRUE,"Model";"Results",#N/A,TRUE,"Model"}</definedName>
    <definedName name="wrn.main._.CBO._.reports._3_1_1_1" localSheetId="1" hidden="1">{"LIBOR",#N/A,TRUE,"Model";"Caps",#N/A,TRUE,"Model";"Assets",#N/A,TRUE,"Model";"Liabilities",#N/A,TRUE,"Model";"Tests",#N/A,TRUE,"Model";"Results",#N/A,TRUE,"Model"}</definedName>
    <definedName name="wrn.main._.CBO._.reports._3_1_1_1" hidden="1">{"LIBOR",#N/A,TRUE,"Model";"Caps",#N/A,TRUE,"Model";"Assets",#N/A,TRUE,"Model";"Liabilities",#N/A,TRUE,"Model";"Tests",#N/A,TRUE,"Model";"Results",#N/A,TRUE,"Model"}</definedName>
    <definedName name="wrn.main._.CBO._.reports._3_2" localSheetId="3" hidden="1">{"LIBOR",#N/A,TRUE,"Model";"Caps",#N/A,TRUE,"Model";"Assets",#N/A,TRUE,"Model";"Liabilities",#N/A,TRUE,"Model";"Tests",#N/A,TRUE,"Model";"Results",#N/A,TRUE,"Model"}</definedName>
    <definedName name="wrn.main._.CBO._.reports._3_2" localSheetId="1" hidden="1">{"LIBOR",#N/A,TRUE,"Model";"Caps",#N/A,TRUE,"Model";"Assets",#N/A,TRUE,"Model";"Liabilities",#N/A,TRUE,"Model";"Tests",#N/A,TRUE,"Model";"Results",#N/A,TRUE,"Model"}</definedName>
    <definedName name="wrn.main._.CBO._.reports._3_2" hidden="1">{"LIBOR",#N/A,TRUE,"Model";"Caps",#N/A,TRUE,"Model";"Assets",#N/A,TRUE,"Model";"Liabilities",#N/A,TRUE,"Model";"Tests",#N/A,TRUE,"Model";"Results",#N/A,TRUE,"Model"}</definedName>
    <definedName name="wrn.main._.CBO._.reports._3_2_1" localSheetId="3" hidden="1">{"LIBOR",#N/A,TRUE,"Model";"Caps",#N/A,TRUE,"Model";"Assets",#N/A,TRUE,"Model";"Liabilities",#N/A,TRUE,"Model";"Tests",#N/A,TRUE,"Model";"Results",#N/A,TRUE,"Model"}</definedName>
    <definedName name="wrn.main._.CBO._.reports._3_2_1" localSheetId="1" hidden="1">{"LIBOR",#N/A,TRUE,"Model";"Caps",#N/A,TRUE,"Model";"Assets",#N/A,TRUE,"Model";"Liabilities",#N/A,TRUE,"Model";"Tests",#N/A,TRUE,"Model";"Results",#N/A,TRUE,"Model"}</definedName>
    <definedName name="wrn.main._.CBO._.reports._3_2_1" hidden="1">{"LIBOR",#N/A,TRUE,"Model";"Caps",#N/A,TRUE,"Model";"Assets",#N/A,TRUE,"Model";"Liabilities",#N/A,TRUE,"Model";"Tests",#N/A,TRUE,"Model";"Results",#N/A,TRUE,"Model"}</definedName>
    <definedName name="wrn.main._.CBO._.reports._3_3" localSheetId="3" hidden="1">{"LIBOR",#N/A,TRUE,"Model";"Caps",#N/A,TRUE,"Model";"Assets",#N/A,TRUE,"Model";"Liabilities",#N/A,TRUE,"Model";"Tests",#N/A,TRUE,"Model";"Results",#N/A,TRUE,"Model"}</definedName>
    <definedName name="wrn.main._.CBO._.reports._3_3" localSheetId="1" hidden="1">{"LIBOR",#N/A,TRUE,"Model";"Caps",#N/A,TRUE,"Model";"Assets",#N/A,TRUE,"Model";"Liabilities",#N/A,TRUE,"Model";"Tests",#N/A,TRUE,"Model";"Results",#N/A,TRUE,"Model"}</definedName>
    <definedName name="wrn.main._.CBO._.reports._3_3" hidden="1">{"LIBOR",#N/A,TRUE,"Model";"Caps",#N/A,TRUE,"Model";"Assets",#N/A,TRUE,"Model";"Liabilities",#N/A,TRUE,"Model";"Tests",#N/A,TRUE,"Model";"Results",#N/A,TRUE,"Model"}</definedName>
    <definedName name="wrn.main._.CBO._.reports._4" localSheetId="3" hidden="1">{"LIBOR",#N/A,TRUE,"Model";"Caps",#N/A,TRUE,"Model";"Assets",#N/A,TRUE,"Model";"Liabilities",#N/A,TRUE,"Model";"Tests",#N/A,TRUE,"Model";"Results",#N/A,TRUE,"Model"}</definedName>
    <definedName name="wrn.main._.CBO._.reports._4" localSheetId="1" hidden="1">{"LIBOR",#N/A,TRUE,"Model";"Caps",#N/A,TRUE,"Model";"Assets",#N/A,TRUE,"Model";"Liabilities",#N/A,TRUE,"Model";"Tests",#N/A,TRUE,"Model";"Results",#N/A,TRUE,"Model"}</definedName>
    <definedName name="wrn.main._.CBO._.reports._4" hidden="1">{"LIBOR",#N/A,TRUE,"Model";"Caps",#N/A,TRUE,"Model";"Assets",#N/A,TRUE,"Model";"Liabilities",#N/A,TRUE,"Model";"Tests",#N/A,TRUE,"Model";"Results",#N/A,TRUE,"Model"}</definedName>
    <definedName name="wrn.main._.CBO._.reports._4_1" localSheetId="3" hidden="1">{"LIBOR",#N/A,TRUE,"Model";"Caps",#N/A,TRUE,"Model";"Assets",#N/A,TRUE,"Model";"Liabilities",#N/A,TRUE,"Model";"Tests",#N/A,TRUE,"Model";"Results",#N/A,TRUE,"Model"}</definedName>
    <definedName name="wrn.main._.CBO._.reports._4_1" localSheetId="1" hidden="1">{"LIBOR",#N/A,TRUE,"Model";"Caps",#N/A,TRUE,"Model";"Assets",#N/A,TRUE,"Model";"Liabilities",#N/A,TRUE,"Model";"Tests",#N/A,TRUE,"Model";"Results",#N/A,TRUE,"Model"}</definedName>
    <definedName name="wrn.main._.CBO._.reports._4_1" hidden="1">{"LIBOR",#N/A,TRUE,"Model";"Caps",#N/A,TRUE,"Model";"Assets",#N/A,TRUE,"Model";"Liabilities",#N/A,TRUE,"Model";"Tests",#N/A,TRUE,"Model";"Results",#N/A,TRUE,"Model"}</definedName>
    <definedName name="wrn.main._.CBO._.reports._4_1_1" localSheetId="3" hidden="1">{"LIBOR",#N/A,TRUE,"Model";"Caps",#N/A,TRUE,"Model";"Assets",#N/A,TRUE,"Model";"Liabilities",#N/A,TRUE,"Model";"Tests",#N/A,TRUE,"Model";"Results",#N/A,TRUE,"Model"}</definedName>
    <definedName name="wrn.main._.CBO._.reports._4_1_1" localSheetId="1" hidden="1">{"LIBOR",#N/A,TRUE,"Model";"Caps",#N/A,TRUE,"Model";"Assets",#N/A,TRUE,"Model";"Liabilities",#N/A,TRUE,"Model";"Tests",#N/A,TRUE,"Model";"Results",#N/A,TRUE,"Model"}</definedName>
    <definedName name="wrn.main._.CBO._.reports._4_1_1" hidden="1">{"LIBOR",#N/A,TRUE,"Model";"Caps",#N/A,TRUE,"Model";"Assets",#N/A,TRUE,"Model";"Liabilities",#N/A,TRUE,"Model";"Tests",#N/A,TRUE,"Model";"Results",#N/A,TRUE,"Model"}</definedName>
    <definedName name="wrn.main._.CBO._.reports._4_1_1_1" localSheetId="3" hidden="1">{"LIBOR",#N/A,TRUE,"Model";"Caps",#N/A,TRUE,"Model";"Assets",#N/A,TRUE,"Model";"Liabilities",#N/A,TRUE,"Model";"Tests",#N/A,TRUE,"Model";"Results",#N/A,TRUE,"Model"}</definedName>
    <definedName name="wrn.main._.CBO._.reports._4_1_1_1" localSheetId="1" hidden="1">{"LIBOR",#N/A,TRUE,"Model";"Caps",#N/A,TRUE,"Model";"Assets",#N/A,TRUE,"Model";"Liabilities",#N/A,TRUE,"Model";"Tests",#N/A,TRUE,"Model";"Results",#N/A,TRUE,"Model"}</definedName>
    <definedName name="wrn.main._.CBO._.reports._4_1_1_1" hidden="1">{"LIBOR",#N/A,TRUE,"Model";"Caps",#N/A,TRUE,"Model";"Assets",#N/A,TRUE,"Model";"Liabilities",#N/A,TRUE,"Model";"Tests",#N/A,TRUE,"Model";"Results",#N/A,TRUE,"Model"}</definedName>
    <definedName name="wrn.main._.CBO._.reports._4_2" localSheetId="3" hidden="1">{"LIBOR",#N/A,TRUE,"Model";"Caps",#N/A,TRUE,"Model";"Assets",#N/A,TRUE,"Model";"Liabilities",#N/A,TRUE,"Model";"Tests",#N/A,TRUE,"Model";"Results",#N/A,TRUE,"Model"}</definedName>
    <definedName name="wrn.main._.CBO._.reports._4_2" localSheetId="1" hidden="1">{"LIBOR",#N/A,TRUE,"Model";"Caps",#N/A,TRUE,"Model";"Assets",#N/A,TRUE,"Model";"Liabilities",#N/A,TRUE,"Model";"Tests",#N/A,TRUE,"Model";"Results",#N/A,TRUE,"Model"}</definedName>
    <definedName name="wrn.main._.CBO._.reports._4_2" hidden="1">{"LIBOR",#N/A,TRUE,"Model";"Caps",#N/A,TRUE,"Model";"Assets",#N/A,TRUE,"Model";"Liabilities",#N/A,TRUE,"Model";"Tests",#N/A,TRUE,"Model";"Results",#N/A,TRUE,"Model"}</definedName>
    <definedName name="wrn.main._.CBO._.reports._4_2_1" localSheetId="3" hidden="1">{"LIBOR",#N/A,TRUE,"Model";"Caps",#N/A,TRUE,"Model";"Assets",#N/A,TRUE,"Model";"Liabilities",#N/A,TRUE,"Model";"Tests",#N/A,TRUE,"Model";"Results",#N/A,TRUE,"Model"}</definedName>
    <definedName name="wrn.main._.CBO._.reports._4_2_1" localSheetId="1" hidden="1">{"LIBOR",#N/A,TRUE,"Model";"Caps",#N/A,TRUE,"Model";"Assets",#N/A,TRUE,"Model";"Liabilities",#N/A,TRUE,"Model";"Tests",#N/A,TRUE,"Model";"Results",#N/A,TRUE,"Model"}</definedName>
    <definedName name="wrn.main._.CBO._.reports._4_2_1" hidden="1">{"LIBOR",#N/A,TRUE,"Model";"Caps",#N/A,TRUE,"Model";"Assets",#N/A,TRUE,"Model";"Liabilities",#N/A,TRUE,"Model";"Tests",#N/A,TRUE,"Model";"Results",#N/A,TRUE,"Model"}</definedName>
    <definedName name="wrn.main._.CBO._.reports._4_3" localSheetId="3" hidden="1">{"LIBOR",#N/A,TRUE,"Model";"Caps",#N/A,TRUE,"Model";"Assets",#N/A,TRUE,"Model";"Liabilities",#N/A,TRUE,"Model";"Tests",#N/A,TRUE,"Model";"Results",#N/A,TRUE,"Model"}</definedName>
    <definedName name="wrn.main._.CBO._.reports._4_3" localSheetId="1" hidden="1">{"LIBOR",#N/A,TRUE,"Model";"Caps",#N/A,TRUE,"Model";"Assets",#N/A,TRUE,"Model";"Liabilities",#N/A,TRUE,"Model";"Tests",#N/A,TRUE,"Model";"Results",#N/A,TRUE,"Model"}</definedName>
    <definedName name="wrn.main._.CBO._.reports._4_3" hidden="1">{"LIBOR",#N/A,TRUE,"Model";"Caps",#N/A,TRUE,"Model";"Assets",#N/A,TRUE,"Model";"Liabilities",#N/A,TRUE,"Model";"Tests",#N/A,TRUE,"Model";"Results",#N/A,TRUE,"Model"}</definedName>
    <definedName name="wrn.main._.CBO._.reports._5" localSheetId="3" hidden="1">{"LIBOR",#N/A,TRUE,"Model";"Caps",#N/A,TRUE,"Model";"Assets",#N/A,TRUE,"Model";"Liabilities",#N/A,TRUE,"Model";"Tests",#N/A,TRUE,"Model";"Results",#N/A,TRUE,"Model"}</definedName>
    <definedName name="wrn.main._.CBO._.reports._5" localSheetId="1" hidden="1">{"LIBOR",#N/A,TRUE,"Model";"Caps",#N/A,TRUE,"Model";"Assets",#N/A,TRUE,"Model";"Liabilities",#N/A,TRUE,"Model";"Tests",#N/A,TRUE,"Model";"Results",#N/A,TRUE,"Model"}</definedName>
    <definedName name="wrn.main._.CBO._.reports._5" hidden="1">{"LIBOR",#N/A,TRUE,"Model";"Caps",#N/A,TRUE,"Model";"Assets",#N/A,TRUE,"Model";"Liabilities",#N/A,TRUE,"Model";"Tests",#N/A,TRUE,"Model";"Results",#N/A,TRUE,"Model"}</definedName>
    <definedName name="wrn.main._.CBO._.reports._5_1" localSheetId="3" hidden="1">{"LIBOR",#N/A,TRUE,"Model";"Caps",#N/A,TRUE,"Model";"Assets",#N/A,TRUE,"Model";"Liabilities",#N/A,TRUE,"Model";"Tests",#N/A,TRUE,"Model";"Results",#N/A,TRUE,"Model"}</definedName>
    <definedName name="wrn.main._.CBO._.reports._5_1" localSheetId="1" hidden="1">{"LIBOR",#N/A,TRUE,"Model";"Caps",#N/A,TRUE,"Model";"Assets",#N/A,TRUE,"Model";"Liabilities",#N/A,TRUE,"Model";"Tests",#N/A,TRUE,"Model";"Results",#N/A,TRUE,"Model"}</definedName>
    <definedName name="wrn.main._.CBO._.reports._5_1" hidden="1">{"LIBOR",#N/A,TRUE,"Model";"Caps",#N/A,TRUE,"Model";"Assets",#N/A,TRUE,"Model";"Liabilities",#N/A,TRUE,"Model";"Tests",#N/A,TRUE,"Model";"Results",#N/A,TRUE,"Model"}</definedName>
    <definedName name="wrn.main._.CBO._.reports._5_1_1" localSheetId="3" hidden="1">{"LIBOR",#N/A,TRUE,"Model";"Caps",#N/A,TRUE,"Model";"Assets",#N/A,TRUE,"Model";"Liabilities",#N/A,TRUE,"Model";"Tests",#N/A,TRUE,"Model";"Results",#N/A,TRUE,"Model"}</definedName>
    <definedName name="wrn.main._.CBO._.reports._5_1_1" localSheetId="1" hidden="1">{"LIBOR",#N/A,TRUE,"Model";"Caps",#N/A,TRUE,"Model";"Assets",#N/A,TRUE,"Model";"Liabilities",#N/A,TRUE,"Model";"Tests",#N/A,TRUE,"Model";"Results",#N/A,TRUE,"Model"}</definedName>
    <definedName name="wrn.main._.CBO._.reports._5_1_1" hidden="1">{"LIBOR",#N/A,TRUE,"Model";"Caps",#N/A,TRUE,"Model";"Assets",#N/A,TRUE,"Model";"Liabilities",#N/A,TRUE,"Model";"Tests",#N/A,TRUE,"Model";"Results",#N/A,TRUE,"Model"}</definedName>
    <definedName name="wrn.main._.CBO._.reports._5_1_1_1" localSheetId="3" hidden="1">{"LIBOR",#N/A,TRUE,"Model";"Caps",#N/A,TRUE,"Model";"Assets",#N/A,TRUE,"Model";"Liabilities",#N/A,TRUE,"Model";"Tests",#N/A,TRUE,"Model";"Results",#N/A,TRUE,"Model"}</definedName>
    <definedName name="wrn.main._.CBO._.reports._5_1_1_1" localSheetId="1" hidden="1">{"LIBOR",#N/A,TRUE,"Model";"Caps",#N/A,TRUE,"Model";"Assets",#N/A,TRUE,"Model";"Liabilities",#N/A,TRUE,"Model";"Tests",#N/A,TRUE,"Model";"Results",#N/A,TRUE,"Model"}</definedName>
    <definedName name="wrn.main._.CBO._.reports._5_1_1_1" hidden="1">{"LIBOR",#N/A,TRUE,"Model";"Caps",#N/A,TRUE,"Model";"Assets",#N/A,TRUE,"Model";"Liabilities",#N/A,TRUE,"Model";"Tests",#N/A,TRUE,"Model";"Results",#N/A,TRUE,"Model"}</definedName>
    <definedName name="wrn.main._.CBO._.reports._5_2" localSheetId="3" hidden="1">{"LIBOR",#N/A,TRUE,"Model";"Caps",#N/A,TRUE,"Model";"Assets",#N/A,TRUE,"Model";"Liabilities",#N/A,TRUE,"Model";"Tests",#N/A,TRUE,"Model";"Results",#N/A,TRUE,"Model"}</definedName>
    <definedName name="wrn.main._.CBO._.reports._5_2" localSheetId="1" hidden="1">{"LIBOR",#N/A,TRUE,"Model";"Caps",#N/A,TRUE,"Model";"Assets",#N/A,TRUE,"Model";"Liabilities",#N/A,TRUE,"Model";"Tests",#N/A,TRUE,"Model";"Results",#N/A,TRUE,"Model"}</definedName>
    <definedName name="wrn.main._.CBO._.reports._5_2" hidden="1">{"LIBOR",#N/A,TRUE,"Model";"Caps",#N/A,TRUE,"Model";"Assets",#N/A,TRUE,"Model";"Liabilities",#N/A,TRUE,"Model";"Tests",#N/A,TRUE,"Model";"Results",#N/A,TRUE,"Model"}</definedName>
    <definedName name="wrn.main._.CBO._.reports._5_2_1" localSheetId="3" hidden="1">{"LIBOR",#N/A,TRUE,"Model";"Caps",#N/A,TRUE,"Model";"Assets",#N/A,TRUE,"Model";"Liabilities",#N/A,TRUE,"Model";"Tests",#N/A,TRUE,"Model";"Results",#N/A,TRUE,"Model"}</definedName>
    <definedName name="wrn.main._.CBO._.reports._5_2_1" localSheetId="1" hidden="1">{"LIBOR",#N/A,TRUE,"Model";"Caps",#N/A,TRUE,"Model";"Assets",#N/A,TRUE,"Model";"Liabilities",#N/A,TRUE,"Model";"Tests",#N/A,TRUE,"Model";"Results",#N/A,TRUE,"Model"}</definedName>
    <definedName name="wrn.main._.CBO._.reports._5_2_1" hidden="1">{"LIBOR",#N/A,TRUE,"Model";"Caps",#N/A,TRUE,"Model";"Assets",#N/A,TRUE,"Model";"Liabilities",#N/A,TRUE,"Model";"Tests",#N/A,TRUE,"Model";"Results",#N/A,TRUE,"Model"}</definedName>
    <definedName name="wrn.main._.CBO._.reports._5_3" localSheetId="3" hidden="1">{"LIBOR",#N/A,TRUE,"Model";"Caps",#N/A,TRUE,"Model";"Assets",#N/A,TRUE,"Model";"Liabilities",#N/A,TRUE,"Model";"Tests",#N/A,TRUE,"Model";"Results",#N/A,TRUE,"Model"}</definedName>
    <definedName name="wrn.main._.CBO._.reports._5_3" localSheetId="1" hidden="1">{"LIBOR",#N/A,TRUE,"Model";"Caps",#N/A,TRUE,"Model";"Assets",#N/A,TRUE,"Model";"Liabilities",#N/A,TRUE,"Model";"Tests",#N/A,TRUE,"Model";"Results",#N/A,TRUE,"Model"}</definedName>
    <definedName name="wrn.main._.CBO._.reports._5_3" hidden="1">{"LIBOR",#N/A,TRUE,"Model";"Caps",#N/A,TRUE,"Model";"Assets",#N/A,TRUE,"Model";"Liabilities",#N/A,TRUE,"Model";"Tests",#N/A,TRUE,"Model";"Results",#N/A,TRUE,"Model"}</definedName>
    <definedName name="wrn.Memoria97." localSheetId="3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wrn.Memoria97." localSheetId="1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wrn.Memoria97.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wrn.MEMOTESA." localSheetId="3" hidden="1">{#N/A,#N/A,FALSE,"Personal y Lineas";#N/A,#N/A,FALSE,"Inmovilizado material";#N/A,#N/A,FALSE,"Inmovilizado inmaterial ";#N/A,#N/A,FALSE,"Instalaciones Telefónicas";#N/A,#N/A,FALSE,"Coeficientes amortización";#N/A,#N/A,FALSE,"Elementos amortizados";#N/A,#N/A,FALSE,"Cotizaciones";#N/A,#N/A,FALSE,"Participaciones";#N/A,#N/A,FALSE,"Venta Participaciones";#N/A,#N/A,FALSE,"Fondo Comercio";#N/A,#N/A,FALSE,"Gtos Distribuir";#N/A,#N/A,FALSE,"Dif. Cambio";#N/A,#N/A,FALSE,"Cilentes y deudores emp. grupo";#N/A,#N/A,FALSE,"Clientes";#N/A,#N/A,FALSE,"Fondos Própios";#N/A,#N/A,FALSE,"Movimiento Reservas";#N/A,#N/A,FALSE,"Socios Externos";#N/A,#N/A,FALSE,"Socios Externos Movimiento";#N/A,#N/A,FALSE,"Ingresos Distribuir Saldo";#N/A,#N/A,FALSE,"Prov. Riesgos y Gastos Movimien";#N/A,#N/A,FALSE,"Obligaciones Movimiento";#N/A,#N/A,FALSE,"Obligaciones Saldos";#N/A,#N/A,FALSE,"Coste Financiero";#N/A,#N/A,FALSE,"Préstamos Formato TESA";#N/A,#N/A,FALSE,"Prestamos Vencimientos";#N/A,#N/A,FALSE,"Admones. Pcas.";#N/A,#N/A,FALSE,"Ingresos y Gtos Extras";#N/A,#N/A,FALSE,"Gtos e Ingr empresas grupo";#N/A,#N/A,FALSE,"Acreedores diversos"}</definedName>
    <definedName name="wrn.MEMOTESA." localSheetId="1" hidden="1">{#N/A,#N/A,FALSE,"Personal y Lineas";#N/A,#N/A,FALSE,"Inmovilizado material";#N/A,#N/A,FALSE,"Inmovilizado inmaterial ";#N/A,#N/A,FALSE,"Instalaciones Telefónicas";#N/A,#N/A,FALSE,"Coeficientes amortización";#N/A,#N/A,FALSE,"Elementos amortizados";#N/A,#N/A,FALSE,"Cotizaciones";#N/A,#N/A,FALSE,"Participaciones";#N/A,#N/A,FALSE,"Venta Participaciones";#N/A,#N/A,FALSE,"Fondo Comercio";#N/A,#N/A,FALSE,"Gtos Distribuir";#N/A,#N/A,FALSE,"Dif. Cambio";#N/A,#N/A,FALSE,"Cilentes y deudores emp. grupo";#N/A,#N/A,FALSE,"Clientes";#N/A,#N/A,FALSE,"Fondos Própios";#N/A,#N/A,FALSE,"Movimiento Reservas";#N/A,#N/A,FALSE,"Socios Externos";#N/A,#N/A,FALSE,"Socios Externos Movimiento";#N/A,#N/A,FALSE,"Ingresos Distribuir Saldo";#N/A,#N/A,FALSE,"Prov. Riesgos y Gastos Movimien";#N/A,#N/A,FALSE,"Obligaciones Movimiento";#N/A,#N/A,FALSE,"Obligaciones Saldos";#N/A,#N/A,FALSE,"Coste Financiero";#N/A,#N/A,FALSE,"Préstamos Formato TESA";#N/A,#N/A,FALSE,"Prestamos Vencimientos";#N/A,#N/A,FALSE,"Admones. Pcas.";#N/A,#N/A,FALSE,"Ingresos y Gtos Extras";#N/A,#N/A,FALSE,"Gtos e Ingr empresas grupo";#N/A,#N/A,FALSE,"Acreedores diversos"}</definedName>
    <definedName name="wrn.MEMOTESA." hidden="1">{#N/A,#N/A,FALSE,"Personal y Lineas";#N/A,#N/A,FALSE,"Inmovilizado material";#N/A,#N/A,FALSE,"Inmovilizado inmaterial ";#N/A,#N/A,FALSE,"Instalaciones Telefónicas";#N/A,#N/A,FALSE,"Coeficientes amortización";#N/A,#N/A,FALSE,"Elementos amortizados";#N/A,#N/A,FALSE,"Cotizaciones";#N/A,#N/A,FALSE,"Participaciones";#N/A,#N/A,FALSE,"Venta Participaciones";#N/A,#N/A,FALSE,"Fondo Comercio";#N/A,#N/A,FALSE,"Gtos Distribuir";#N/A,#N/A,FALSE,"Dif. Cambio";#N/A,#N/A,FALSE,"Cilentes y deudores emp. grupo";#N/A,#N/A,FALSE,"Clientes";#N/A,#N/A,FALSE,"Fondos Própios";#N/A,#N/A,FALSE,"Movimiento Reservas";#N/A,#N/A,FALSE,"Socios Externos";#N/A,#N/A,FALSE,"Socios Externos Movimiento";#N/A,#N/A,FALSE,"Ingresos Distribuir Saldo";#N/A,#N/A,FALSE,"Prov. Riesgos y Gastos Movimien";#N/A,#N/A,FALSE,"Obligaciones Movimiento";#N/A,#N/A,FALSE,"Obligaciones Saldos";#N/A,#N/A,FALSE,"Coste Financiero";#N/A,#N/A,FALSE,"Préstamos Formato TESA";#N/A,#N/A,FALSE,"Prestamos Vencimientos";#N/A,#N/A,FALSE,"Admones. Pcas.";#N/A,#N/A,FALSE,"Ingresos y Gtos Extras";#N/A,#N/A,FALSE,"Gtos e Ingr empresas grupo";#N/A,#N/A,FALSE,"Acreedores diversos"}</definedName>
    <definedName name="wrn.new." localSheetId="3" hidden="1">{#N/A,#N/A,FALSE,"Impl";#N/A,#N/A,FALSE,"sum";#N/A,#N/A,FALSE,"cat";#N/A,#N/A,FALSE,"cum";#N/A,#N/A,FALSE,"varity";#N/A,#N/A,FALSE,"ddc";#N/A,#N/A,FALSE,"man";#N/A,#N/A,FALSE,"metra";#N/A,#N/A,FALSE,"volvo"}</definedName>
    <definedName name="wrn.new." localSheetId="1" hidden="1">{#N/A,#N/A,FALSE,"Impl";#N/A,#N/A,FALSE,"sum";#N/A,#N/A,FALSE,"cat";#N/A,#N/A,FALSE,"cum";#N/A,#N/A,FALSE,"varity";#N/A,#N/A,FALSE,"ddc";#N/A,#N/A,FALSE,"man";#N/A,#N/A,FALSE,"metra";#N/A,#N/A,FALSE,"volvo"}</definedName>
    <definedName name="wrn.new." hidden="1">{#N/A,#N/A,FALSE,"Impl";#N/A,#N/A,FALSE,"sum";#N/A,#N/A,FALSE,"cat";#N/A,#N/A,FALSE,"cum";#N/A,#N/A,FALSE,"varity";#N/A,#N/A,FALSE,"ddc";#N/A,#N/A,FALSE,"man";#N/A,#N/A,FALSE,"metra";#N/A,#N/A,FALSE,"volvo"}</definedName>
    <definedName name="wrn.Nico." localSheetId="3" hidden="1">{#N/A,#N/A,TRUE,"Cover";#N/A,#N/A,TRUE,"Transaction Summary";#N/A,#N/A,TRUE,"Earnings Impact";#N/A,#N/A,TRUE,"accretion dilution"}</definedName>
    <definedName name="wrn.Nico." localSheetId="1" hidden="1">{#N/A,#N/A,TRUE,"Cover";#N/A,#N/A,TRUE,"Transaction Summary";#N/A,#N/A,TRUE,"Earnings Impact";#N/A,#N/A,TRUE,"accretion dilution"}</definedName>
    <definedName name="wrn.Nico." hidden="1">{#N/A,#N/A,TRUE,"Cover";#N/A,#N/A,TRUE,"Transaction Summary";#N/A,#N/A,TRUE,"Earnings Impact";#N/A,#N/A,TRUE,"accretion dilution"}</definedName>
    <definedName name="wrn.ntfinance." localSheetId="3" hidden="1">{"Rate",#N/A,TRUE,"SUMMARY";"Ratios",#N/A,TRUE,"Ratios";"BUDGETREVENUE",#N/A,TRUE,"Revenue";"TOTALS",#N/A,TRUE,"DETAIL"}</definedName>
    <definedName name="wrn.ntfinance." localSheetId="1" hidden="1">{"Rate",#N/A,TRUE,"SUMMARY";"Ratios",#N/A,TRUE,"Ratios";"BUDGETREVENUE",#N/A,TRUE,"Revenue";"TOTALS",#N/A,TRUE,"DETAIL"}</definedName>
    <definedName name="wrn.ntfinance." hidden="1">{"Rate",#N/A,TRUE,"SUMMARY";"Ratios",#N/A,TRUE,"Ratios";"BUDGETREVENUE",#N/A,TRUE,"Revenue";"TOTALS",#N/A,TRUE,"DETAIL"}</definedName>
    <definedName name="wrn.print." localSheetId="3" hidden="1">{#N/A,#N/A,FALSE,"Japan 2003";#N/A,#N/A,FALSE,"Sheet2"}</definedName>
    <definedName name="wrn.print." localSheetId="1" hidden="1">{#N/A,#N/A,FALSE,"Japan 2003";#N/A,#N/A,FALSE,"Sheet2"}</definedName>
    <definedName name="wrn.print." hidden="1">{#N/A,#N/A,FALSE,"Japan 2003";#N/A,#N/A,FALSE,"Sheet2"}</definedName>
    <definedName name="wrn.print._.graphs." localSheetId="3" hidden="1">{"cap_structure",#N/A,FALSE,"Graph-Mkt Cap";"price",#N/A,FALSE,"Graph-Price";"ebit",#N/A,FALSE,"Graph-EBITDA";"ebitda",#N/A,FALSE,"Graph-EBITDA"}</definedName>
    <definedName name="wrn.print._.graphs." localSheetId="1" hidden="1">{"cap_structure",#N/A,FALSE,"Graph-Mkt Cap";"price",#N/A,FALSE,"Graph-Price";"ebit",#N/A,FALSE,"Graph-EBITDA";"ebitda",#N/A,FALSE,"Graph-EBITDA"}</definedName>
    <definedName name="wrn.print._.graphs." hidden="1">{"cap_structure",#N/A,FALSE,"Graph-Mkt Cap";"price",#N/A,FALSE,"Graph-Price";"ebit",#N/A,FALSE,"Graph-EBITDA";"ebitda",#N/A,FALSE,"Graph-EBITDA"}</definedName>
    <definedName name="wrn.print._.raw._.data._.entry." localSheetId="3" hidden="1">{"inputs raw data",#N/A,TRUE,"INPUT"}</definedName>
    <definedName name="wrn.print._.raw._.data._.entry." localSheetId="1" hidden="1">{"inputs raw data",#N/A,TRUE,"INPUT"}</definedName>
    <definedName name="wrn.print._.raw._.data._.entry." hidden="1">{"inputs raw data",#N/A,TRUE,"INPUT"}</definedName>
    <definedName name="wrn.print._.summary._.sheets." localSheetId="3" hidden="1">{"summary1",#N/A,TRUE,"Comps";"summary2",#N/A,TRUE,"Comps";"summary3",#N/A,TRUE,"Comps"}</definedName>
    <definedName name="wrn.print._.summary._.sheets." localSheetId="1" hidden="1">{"summary1",#N/A,TRUE,"Comps";"summary2",#N/A,TRUE,"Comps";"summary3",#N/A,TRUE,"Comps"}</definedName>
    <definedName name="wrn.print._.summary._.sheets." hidden="1">{"summary1",#N/A,TRUE,"Comps";"summary2",#N/A,TRUE,"Comps";"summary3",#N/A,TRUE,"Comps"}</definedName>
    <definedName name="wrn.Pro" localSheetId="3" hidden="1">{"i_Pro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Pro" localSheetId="1" hidden="1">{"i_Pro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Pro" hidden="1">{"i_Pro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Pro._.Forma." localSheetId="3" hidden="1">{"i_Pro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Pro._.Forma." localSheetId="1" hidden="1">{"i_Pro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Pro._.Forma." hidden="1">{"i_Pro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Pulp." localSheetId="3" hidden="1">{"Pulp Production",#N/A,FALSE,"Pulp";"Pulp Earnings",#N/A,FALSE,"Pulp"}</definedName>
    <definedName name="wrn.Pulp." localSheetId="1" hidden="1">{"Pulp Production",#N/A,FALSE,"Pulp";"Pulp Earnings",#N/A,FALSE,"Pulp"}</definedName>
    <definedName name="wrn.Pulp." hidden="1">{"Pulp Production",#N/A,FALSE,"Pulp";"Pulp Earnings",#N/A,FALSE,"Pulp"}</definedName>
    <definedName name="wrn.Relevant." localSheetId="3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rn.Relevant." localSheetId="1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rn.Relevant.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rn.Relevant1." localSheetId="3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rn.Relevant1." localSheetId="1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rn.Relevant1.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rn.Report." localSheetId="3" hidden="1">{#N/A,#N/A,FALSE,"Summary";#N/A,#N/A,FALSE,"BS";#N/A,#N/A,FALSE,"IS";#N/A,#N/A,FALSE,"CF";#N/A,#N/A,FALSE,"DebtSchedule";#N/A,#N/A,FALSE,"Depreciation";#N/A,#N/A,FALSE,"Taxes";#N/A,#N/A,FALSE,"Assumptions";#N/A,#N/A,FALSE,"Covenants";#N/A,#N/A,FALSE,"Disc CF";#N/A,#N/A,FALSE,"Dividend Discount Model";#N/A,#N/A,FALSE,"PF EPS Impact";#N/A,#N/A,FALSE,"Input";#N/A,#N/A,FALSE,"Cost of Debt";#N/A,#N/A,FALSE,"WACC";#N/A,#N/A,FALSE,"DCF_Assum";#N/A,#N/A,FALSE,"DCF_Check"}</definedName>
    <definedName name="wrn.Report." localSheetId="1" hidden="1">{#N/A,#N/A,FALSE,"Summary";#N/A,#N/A,FALSE,"BS";#N/A,#N/A,FALSE,"IS";#N/A,#N/A,FALSE,"CF";#N/A,#N/A,FALSE,"DebtSchedule";#N/A,#N/A,FALSE,"Depreciation";#N/A,#N/A,FALSE,"Taxes";#N/A,#N/A,FALSE,"Assumptions";#N/A,#N/A,FALSE,"Covenants";#N/A,#N/A,FALSE,"Disc CF";#N/A,#N/A,FALSE,"Dividend Discount Model";#N/A,#N/A,FALSE,"PF EPS Impact";#N/A,#N/A,FALSE,"Input";#N/A,#N/A,FALSE,"Cost of Debt";#N/A,#N/A,FALSE,"WACC";#N/A,#N/A,FALSE,"DCF_Assum";#N/A,#N/A,FALSE,"DCF_Check"}</definedName>
    <definedName name="wrn.Report." hidden="1">{#N/A,#N/A,FALSE,"Summary";#N/A,#N/A,FALSE,"BS";#N/A,#N/A,FALSE,"IS";#N/A,#N/A,FALSE,"CF";#N/A,#N/A,FALSE,"DebtSchedule";#N/A,#N/A,FALSE,"Depreciation";#N/A,#N/A,FALSE,"Taxes";#N/A,#N/A,FALSE,"Assumptions";#N/A,#N/A,FALSE,"Covenants";#N/A,#N/A,FALSE,"Disc CF";#N/A,#N/A,FALSE,"Dividend Discount Model";#N/A,#N/A,FALSE,"PF EPS Impact";#N/A,#N/A,FALSE,"Input";#N/A,#N/A,FALSE,"Cost of Debt";#N/A,#N/A,FALSE,"WACC";#N/A,#N/A,FALSE,"DCF_Assum";#N/A,#N/A,FALSE,"DCF_Check"}</definedName>
    <definedName name="wrn.Reset._.Data._.and._.Notice." localSheetId="3" hidden="1">{"Reset Data",#N/A,FALSE,"Reset Notice";"Reset Notice",#N/A,FALSE,"Reset Notice"}</definedName>
    <definedName name="wrn.Reset._.Data._.and._.Notice." localSheetId="1" hidden="1">{"Reset Data",#N/A,FALSE,"Reset Notice";"Reset Notice",#N/A,FALSE,"Reset Notice"}</definedName>
    <definedName name="wrn.Reset._.Data._.and._.Notice." hidden="1">{"Reset Data",#N/A,FALSE,"Reset Notice";"Reset Notice",#N/A,FALSE,"Reset Notice"}</definedName>
    <definedName name="wrn.Reset._.Data._.and._.Notice._1" localSheetId="3" hidden="1">{"Reset Data",#N/A,FALSE,"Reset Notice";"Reset Notice",#N/A,FALSE,"Reset Notice"}</definedName>
    <definedName name="wrn.Reset._.Data._.and._.Notice._1" localSheetId="1" hidden="1">{"Reset Data",#N/A,FALSE,"Reset Notice";"Reset Notice",#N/A,FALSE,"Reset Notice"}</definedName>
    <definedName name="wrn.Reset._.Data._.and._.Notice._1" hidden="1">{"Reset Data",#N/A,FALSE,"Reset Notice";"Reset Notice",#N/A,FALSE,"Reset Notice"}</definedName>
    <definedName name="wrn.Reset._.Data._.and._.Notice._1_1" localSheetId="3" hidden="1">{"Reset Data",#N/A,FALSE,"Reset Notice";"Reset Notice",#N/A,FALSE,"Reset Notice"}</definedName>
    <definedName name="wrn.Reset._.Data._.and._.Notice._1_1" localSheetId="1" hidden="1">{"Reset Data",#N/A,FALSE,"Reset Notice";"Reset Notice",#N/A,FALSE,"Reset Notice"}</definedName>
    <definedName name="wrn.Reset._.Data._.and._.Notice._1_1" hidden="1">{"Reset Data",#N/A,FALSE,"Reset Notice";"Reset Notice",#N/A,FALSE,"Reset Notice"}</definedName>
    <definedName name="wrn.Reset._.Data._.and._.Notice._1_1_1" localSheetId="3" hidden="1">{"Reset Data",#N/A,FALSE,"Reset Notice";"Reset Notice",#N/A,FALSE,"Reset Notice"}</definedName>
    <definedName name="wrn.Reset._.Data._.and._.Notice._1_1_1" localSheetId="1" hidden="1">{"Reset Data",#N/A,FALSE,"Reset Notice";"Reset Notice",#N/A,FALSE,"Reset Notice"}</definedName>
    <definedName name="wrn.Reset._.Data._.and._.Notice._1_1_1" hidden="1">{"Reset Data",#N/A,FALSE,"Reset Notice";"Reset Notice",#N/A,FALSE,"Reset Notice"}</definedName>
    <definedName name="wrn.Reset._.Data._.and._.Notice._1_1_1_1" localSheetId="3" hidden="1">{"Reset Data",#N/A,FALSE,"Reset Notice";"Reset Notice",#N/A,FALSE,"Reset Notice"}</definedName>
    <definedName name="wrn.Reset._.Data._.and._.Notice._1_1_1_1" localSheetId="1" hidden="1">{"Reset Data",#N/A,FALSE,"Reset Notice";"Reset Notice",#N/A,FALSE,"Reset Notice"}</definedName>
    <definedName name="wrn.Reset._.Data._.and._.Notice._1_1_1_1" hidden="1">{"Reset Data",#N/A,FALSE,"Reset Notice";"Reset Notice",#N/A,FALSE,"Reset Notice"}</definedName>
    <definedName name="wrn.Reset._.Data._.and._.Notice._1_2" localSheetId="3" hidden="1">{"Reset Data",#N/A,FALSE,"Reset Notice";"Reset Notice",#N/A,FALSE,"Reset Notice"}</definedName>
    <definedName name="wrn.Reset._.Data._.and._.Notice._1_2" localSheetId="1" hidden="1">{"Reset Data",#N/A,FALSE,"Reset Notice";"Reset Notice",#N/A,FALSE,"Reset Notice"}</definedName>
    <definedName name="wrn.Reset._.Data._.and._.Notice._1_2" hidden="1">{"Reset Data",#N/A,FALSE,"Reset Notice";"Reset Notice",#N/A,FALSE,"Reset Notice"}</definedName>
    <definedName name="wrn.Reset._.Data._.and._.Notice._1_2_1" localSheetId="3" hidden="1">{"Reset Data",#N/A,FALSE,"Reset Notice";"Reset Notice",#N/A,FALSE,"Reset Notice"}</definedName>
    <definedName name="wrn.Reset._.Data._.and._.Notice._1_2_1" localSheetId="1" hidden="1">{"Reset Data",#N/A,FALSE,"Reset Notice";"Reset Notice",#N/A,FALSE,"Reset Notice"}</definedName>
    <definedName name="wrn.Reset._.Data._.and._.Notice._1_2_1" hidden="1">{"Reset Data",#N/A,FALSE,"Reset Notice";"Reset Notice",#N/A,FALSE,"Reset Notice"}</definedName>
    <definedName name="wrn.Reset._.Data._.and._.Notice._1_3" localSheetId="3" hidden="1">{"Reset Data",#N/A,FALSE,"Reset Notice";"Reset Notice",#N/A,FALSE,"Reset Notice"}</definedName>
    <definedName name="wrn.Reset._.Data._.and._.Notice._1_3" localSheetId="1" hidden="1">{"Reset Data",#N/A,FALSE,"Reset Notice";"Reset Notice",#N/A,FALSE,"Reset Notice"}</definedName>
    <definedName name="wrn.Reset._.Data._.and._.Notice._1_3" hidden="1">{"Reset Data",#N/A,FALSE,"Reset Notice";"Reset Notice",#N/A,FALSE,"Reset Notice"}</definedName>
    <definedName name="wrn.Reset._.Data._.and._.Notice._1_3_1" localSheetId="3" hidden="1">{"Reset Data",#N/A,FALSE,"Reset Notice";"Reset Notice",#N/A,FALSE,"Reset Notice"}</definedName>
    <definedName name="wrn.Reset._.Data._.and._.Notice._1_3_1" localSheetId="1" hidden="1">{"Reset Data",#N/A,FALSE,"Reset Notice";"Reset Notice",#N/A,FALSE,"Reset Notice"}</definedName>
    <definedName name="wrn.Reset._.Data._.and._.Notice._1_3_1" hidden="1">{"Reset Data",#N/A,FALSE,"Reset Notice";"Reset Notice",#N/A,FALSE,"Reset Notice"}</definedName>
    <definedName name="wrn.Reset._.Data._.and._.Notice._1_4" localSheetId="3" hidden="1">{"Reset Data",#N/A,FALSE,"Reset Notice";"Reset Notice",#N/A,FALSE,"Reset Notice"}</definedName>
    <definedName name="wrn.Reset._.Data._.and._.Notice._1_4" localSheetId="1" hidden="1">{"Reset Data",#N/A,FALSE,"Reset Notice";"Reset Notice",#N/A,FALSE,"Reset Notice"}</definedName>
    <definedName name="wrn.Reset._.Data._.and._.Notice._1_4" hidden="1">{"Reset Data",#N/A,FALSE,"Reset Notice";"Reset Notice",#N/A,FALSE,"Reset Notice"}</definedName>
    <definedName name="wrn.Reset._.Data._.and._.Notice._2" localSheetId="3" hidden="1">{"Reset Data",#N/A,FALSE,"Reset Notice";"Reset Notice",#N/A,FALSE,"Reset Notice"}</definedName>
    <definedName name="wrn.Reset._.Data._.and._.Notice._2" localSheetId="1" hidden="1">{"Reset Data",#N/A,FALSE,"Reset Notice";"Reset Notice",#N/A,FALSE,"Reset Notice"}</definedName>
    <definedName name="wrn.Reset._.Data._.and._.Notice._2" hidden="1">{"Reset Data",#N/A,FALSE,"Reset Notice";"Reset Notice",#N/A,FALSE,"Reset Notice"}</definedName>
    <definedName name="wrn.Reset._.Data._.and._.Notice._2_1" localSheetId="3" hidden="1">{"Reset Data",#N/A,FALSE,"Reset Notice";"Reset Notice",#N/A,FALSE,"Reset Notice"}</definedName>
    <definedName name="wrn.Reset._.Data._.and._.Notice._2_1" localSheetId="1" hidden="1">{"Reset Data",#N/A,FALSE,"Reset Notice";"Reset Notice",#N/A,FALSE,"Reset Notice"}</definedName>
    <definedName name="wrn.Reset._.Data._.and._.Notice._2_1" hidden="1">{"Reset Data",#N/A,FALSE,"Reset Notice";"Reset Notice",#N/A,FALSE,"Reset Notice"}</definedName>
    <definedName name="wrn.Reset._.Data._.and._.Notice._2_1_1" localSheetId="3" hidden="1">{"Reset Data",#N/A,FALSE,"Reset Notice";"Reset Notice",#N/A,FALSE,"Reset Notice"}</definedName>
    <definedName name="wrn.Reset._.Data._.and._.Notice._2_1_1" localSheetId="1" hidden="1">{"Reset Data",#N/A,FALSE,"Reset Notice";"Reset Notice",#N/A,FALSE,"Reset Notice"}</definedName>
    <definedName name="wrn.Reset._.Data._.and._.Notice._2_1_1" hidden="1">{"Reset Data",#N/A,FALSE,"Reset Notice";"Reset Notice",#N/A,FALSE,"Reset Notice"}</definedName>
    <definedName name="wrn.Reset._.Data._.and._.Notice._2_1_1_1" localSheetId="3" hidden="1">{"Reset Data",#N/A,FALSE,"Reset Notice";"Reset Notice",#N/A,FALSE,"Reset Notice"}</definedName>
    <definedName name="wrn.Reset._.Data._.and._.Notice._2_1_1_1" localSheetId="1" hidden="1">{"Reset Data",#N/A,FALSE,"Reset Notice";"Reset Notice",#N/A,FALSE,"Reset Notice"}</definedName>
    <definedName name="wrn.Reset._.Data._.and._.Notice._2_1_1_1" hidden="1">{"Reset Data",#N/A,FALSE,"Reset Notice";"Reset Notice",#N/A,FALSE,"Reset Notice"}</definedName>
    <definedName name="wrn.Reset._.Data._.and._.Notice._2_2" localSheetId="3" hidden="1">{"Reset Data",#N/A,FALSE,"Reset Notice";"Reset Notice",#N/A,FALSE,"Reset Notice"}</definedName>
    <definedName name="wrn.Reset._.Data._.and._.Notice._2_2" localSheetId="1" hidden="1">{"Reset Data",#N/A,FALSE,"Reset Notice";"Reset Notice",#N/A,FALSE,"Reset Notice"}</definedName>
    <definedName name="wrn.Reset._.Data._.and._.Notice._2_2" hidden="1">{"Reset Data",#N/A,FALSE,"Reset Notice";"Reset Notice",#N/A,FALSE,"Reset Notice"}</definedName>
    <definedName name="wrn.Reset._.Data._.and._.Notice._2_2_1" localSheetId="3" hidden="1">{"Reset Data",#N/A,FALSE,"Reset Notice";"Reset Notice",#N/A,FALSE,"Reset Notice"}</definedName>
    <definedName name="wrn.Reset._.Data._.and._.Notice._2_2_1" localSheetId="1" hidden="1">{"Reset Data",#N/A,FALSE,"Reset Notice";"Reset Notice",#N/A,FALSE,"Reset Notice"}</definedName>
    <definedName name="wrn.Reset._.Data._.and._.Notice._2_2_1" hidden="1">{"Reset Data",#N/A,FALSE,"Reset Notice";"Reset Notice",#N/A,FALSE,"Reset Notice"}</definedName>
    <definedName name="wrn.Reset._.Data._.and._.Notice._2_3" localSheetId="3" hidden="1">{"Reset Data",#N/A,FALSE,"Reset Notice";"Reset Notice",#N/A,FALSE,"Reset Notice"}</definedName>
    <definedName name="wrn.Reset._.Data._.and._.Notice._2_3" localSheetId="1" hidden="1">{"Reset Data",#N/A,FALSE,"Reset Notice";"Reset Notice",#N/A,FALSE,"Reset Notice"}</definedName>
    <definedName name="wrn.Reset._.Data._.and._.Notice._2_3" hidden="1">{"Reset Data",#N/A,FALSE,"Reset Notice";"Reset Notice",#N/A,FALSE,"Reset Notice"}</definedName>
    <definedName name="wrn.Reset._.Data._.and._.Notice._3" localSheetId="3" hidden="1">{"Reset Data",#N/A,FALSE,"Reset Notice";"Reset Notice",#N/A,FALSE,"Reset Notice"}</definedName>
    <definedName name="wrn.Reset._.Data._.and._.Notice._3" localSheetId="1" hidden="1">{"Reset Data",#N/A,FALSE,"Reset Notice";"Reset Notice",#N/A,FALSE,"Reset Notice"}</definedName>
    <definedName name="wrn.Reset._.Data._.and._.Notice._3" hidden="1">{"Reset Data",#N/A,FALSE,"Reset Notice";"Reset Notice",#N/A,FALSE,"Reset Notice"}</definedName>
    <definedName name="wrn.Reset._.Data._.and._.Notice._3_1" localSheetId="3" hidden="1">{"Reset Data",#N/A,FALSE,"Reset Notice";"Reset Notice",#N/A,FALSE,"Reset Notice"}</definedName>
    <definedName name="wrn.Reset._.Data._.and._.Notice._3_1" localSheetId="1" hidden="1">{"Reset Data",#N/A,FALSE,"Reset Notice";"Reset Notice",#N/A,FALSE,"Reset Notice"}</definedName>
    <definedName name="wrn.Reset._.Data._.and._.Notice._3_1" hidden="1">{"Reset Data",#N/A,FALSE,"Reset Notice";"Reset Notice",#N/A,FALSE,"Reset Notice"}</definedName>
    <definedName name="wrn.Reset._.Data._.and._.Notice._3_1_1" localSheetId="3" hidden="1">{"Reset Data",#N/A,FALSE,"Reset Notice";"Reset Notice",#N/A,FALSE,"Reset Notice"}</definedName>
    <definedName name="wrn.Reset._.Data._.and._.Notice._3_1_1" localSheetId="1" hidden="1">{"Reset Data",#N/A,FALSE,"Reset Notice";"Reset Notice",#N/A,FALSE,"Reset Notice"}</definedName>
    <definedName name="wrn.Reset._.Data._.and._.Notice._3_1_1" hidden="1">{"Reset Data",#N/A,FALSE,"Reset Notice";"Reset Notice",#N/A,FALSE,"Reset Notice"}</definedName>
    <definedName name="wrn.Reset._.Data._.and._.Notice._3_1_1_1" localSheetId="3" hidden="1">{"Reset Data",#N/A,FALSE,"Reset Notice";"Reset Notice",#N/A,FALSE,"Reset Notice"}</definedName>
    <definedName name="wrn.Reset._.Data._.and._.Notice._3_1_1_1" localSheetId="1" hidden="1">{"Reset Data",#N/A,FALSE,"Reset Notice";"Reset Notice",#N/A,FALSE,"Reset Notice"}</definedName>
    <definedName name="wrn.Reset._.Data._.and._.Notice._3_1_1_1" hidden="1">{"Reset Data",#N/A,FALSE,"Reset Notice";"Reset Notice",#N/A,FALSE,"Reset Notice"}</definedName>
    <definedName name="wrn.Reset._.Data._.and._.Notice._3_2" localSheetId="3" hidden="1">{"Reset Data",#N/A,FALSE,"Reset Notice";"Reset Notice",#N/A,FALSE,"Reset Notice"}</definedName>
    <definedName name="wrn.Reset._.Data._.and._.Notice._3_2" localSheetId="1" hidden="1">{"Reset Data",#N/A,FALSE,"Reset Notice";"Reset Notice",#N/A,FALSE,"Reset Notice"}</definedName>
    <definedName name="wrn.Reset._.Data._.and._.Notice._3_2" hidden="1">{"Reset Data",#N/A,FALSE,"Reset Notice";"Reset Notice",#N/A,FALSE,"Reset Notice"}</definedName>
    <definedName name="wrn.Reset._.Data._.and._.Notice._3_2_1" localSheetId="3" hidden="1">{"Reset Data",#N/A,FALSE,"Reset Notice";"Reset Notice",#N/A,FALSE,"Reset Notice"}</definedName>
    <definedName name="wrn.Reset._.Data._.and._.Notice._3_2_1" localSheetId="1" hidden="1">{"Reset Data",#N/A,FALSE,"Reset Notice";"Reset Notice",#N/A,FALSE,"Reset Notice"}</definedName>
    <definedName name="wrn.Reset._.Data._.and._.Notice._3_2_1" hidden="1">{"Reset Data",#N/A,FALSE,"Reset Notice";"Reset Notice",#N/A,FALSE,"Reset Notice"}</definedName>
    <definedName name="wrn.Reset._.Data._.and._.Notice._3_3" localSheetId="3" hidden="1">{"Reset Data",#N/A,FALSE,"Reset Notice";"Reset Notice",#N/A,FALSE,"Reset Notice"}</definedName>
    <definedName name="wrn.Reset._.Data._.and._.Notice._3_3" localSheetId="1" hidden="1">{"Reset Data",#N/A,FALSE,"Reset Notice";"Reset Notice",#N/A,FALSE,"Reset Notice"}</definedName>
    <definedName name="wrn.Reset._.Data._.and._.Notice._3_3" hidden="1">{"Reset Data",#N/A,FALSE,"Reset Notice";"Reset Notice",#N/A,FALSE,"Reset Notice"}</definedName>
    <definedName name="wrn.Reset._.Data._.and._.Notice._4" localSheetId="3" hidden="1">{"Reset Data",#N/A,FALSE,"Reset Notice";"Reset Notice",#N/A,FALSE,"Reset Notice"}</definedName>
    <definedName name="wrn.Reset._.Data._.and._.Notice._4" localSheetId="1" hidden="1">{"Reset Data",#N/A,FALSE,"Reset Notice";"Reset Notice",#N/A,FALSE,"Reset Notice"}</definedName>
    <definedName name="wrn.Reset._.Data._.and._.Notice._4" hidden="1">{"Reset Data",#N/A,FALSE,"Reset Notice";"Reset Notice",#N/A,FALSE,"Reset Notice"}</definedName>
    <definedName name="wrn.Reset._.Data._.and._.Notice._4_1" localSheetId="3" hidden="1">{"Reset Data",#N/A,FALSE,"Reset Notice";"Reset Notice",#N/A,FALSE,"Reset Notice"}</definedName>
    <definedName name="wrn.Reset._.Data._.and._.Notice._4_1" localSheetId="1" hidden="1">{"Reset Data",#N/A,FALSE,"Reset Notice";"Reset Notice",#N/A,FALSE,"Reset Notice"}</definedName>
    <definedName name="wrn.Reset._.Data._.and._.Notice._4_1" hidden="1">{"Reset Data",#N/A,FALSE,"Reset Notice";"Reset Notice",#N/A,FALSE,"Reset Notice"}</definedName>
    <definedName name="wrn.Reset._.Data._.and._.Notice._4_1_1" localSheetId="3" hidden="1">{"Reset Data",#N/A,FALSE,"Reset Notice";"Reset Notice",#N/A,FALSE,"Reset Notice"}</definedName>
    <definedName name="wrn.Reset._.Data._.and._.Notice._4_1_1" localSheetId="1" hidden="1">{"Reset Data",#N/A,FALSE,"Reset Notice";"Reset Notice",#N/A,FALSE,"Reset Notice"}</definedName>
    <definedName name="wrn.Reset._.Data._.and._.Notice._4_1_1" hidden="1">{"Reset Data",#N/A,FALSE,"Reset Notice";"Reset Notice",#N/A,FALSE,"Reset Notice"}</definedName>
    <definedName name="wrn.Reset._.Data._.and._.Notice._4_1_1_1" localSheetId="3" hidden="1">{"Reset Data",#N/A,FALSE,"Reset Notice";"Reset Notice",#N/A,FALSE,"Reset Notice"}</definedName>
    <definedName name="wrn.Reset._.Data._.and._.Notice._4_1_1_1" localSheetId="1" hidden="1">{"Reset Data",#N/A,FALSE,"Reset Notice";"Reset Notice",#N/A,FALSE,"Reset Notice"}</definedName>
    <definedName name="wrn.Reset._.Data._.and._.Notice._4_1_1_1" hidden="1">{"Reset Data",#N/A,FALSE,"Reset Notice";"Reset Notice",#N/A,FALSE,"Reset Notice"}</definedName>
    <definedName name="wrn.Reset._.Data._.and._.Notice._4_2" localSheetId="3" hidden="1">{"Reset Data",#N/A,FALSE,"Reset Notice";"Reset Notice",#N/A,FALSE,"Reset Notice"}</definedName>
    <definedName name="wrn.Reset._.Data._.and._.Notice._4_2" localSheetId="1" hidden="1">{"Reset Data",#N/A,FALSE,"Reset Notice";"Reset Notice",#N/A,FALSE,"Reset Notice"}</definedName>
    <definedName name="wrn.Reset._.Data._.and._.Notice._4_2" hidden="1">{"Reset Data",#N/A,FALSE,"Reset Notice";"Reset Notice",#N/A,FALSE,"Reset Notice"}</definedName>
    <definedName name="wrn.Reset._.Data._.and._.Notice._4_2_1" localSheetId="3" hidden="1">{"Reset Data",#N/A,FALSE,"Reset Notice";"Reset Notice",#N/A,FALSE,"Reset Notice"}</definedName>
    <definedName name="wrn.Reset._.Data._.and._.Notice._4_2_1" localSheetId="1" hidden="1">{"Reset Data",#N/A,FALSE,"Reset Notice";"Reset Notice",#N/A,FALSE,"Reset Notice"}</definedName>
    <definedName name="wrn.Reset._.Data._.and._.Notice._4_2_1" hidden="1">{"Reset Data",#N/A,FALSE,"Reset Notice";"Reset Notice",#N/A,FALSE,"Reset Notice"}</definedName>
    <definedName name="wrn.Reset._.Data._.and._.Notice._4_3" localSheetId="3" hidden="1">{"Reset Data",#N/A,FALSE,"Reset Notice";"Reset Notice",#N/A,FALSE,"Reset Notice"}</definedName>
    <definedName name="wrn.Reset._.Data._.and._.Notice._4_3" localSheetId="1" hidden="1">{"Reset Data",#N/A,FALSE,"Reset Notice";"Reset Notice",#N/A,FALSE,"Reset Notice"}</definedName>
    <definedName name="wrn.Reset._.Data._.and._.Notice._4_3" hidden="1">{"Reset Data",#N/A,FALSE,"Reset Notice";"Reset Notice",#N/A,FALSE,"Reset Notice"}</definedName>
    <definedName name="wrn.Reset._.Data._.and._.Notice._5" localSheetId="3" hidden="1">{"Reset Data",#N/A,FALSE,"Reset Notice";"Reset Notice",#N/A,FALSE,"Reset Notice"}</definedName>
    <definedName name="wrn.Reset._.Data._.and._.Notice._5" localSheetId="1" hidden="1">{"Reset Data",#N/A,FALSE,"Reset Notice";"Reset Notice",#N/A,FALSE,"Reset Notice"}</definedName>
    <definedName name="wrn.Reset._.Data._.and._.Notice._5" hidden="1">{"Reset Data",#N/A,FALSE,"Reset Notice";"Reset Notice",#N/A,FALSE,"Reset Notice"}</definedName>
    <definedName name="wrn.Reset._.Data._.and._.Notice._5_1" localSheetId="3" hidden="1">{"Reset Data",#N/A,FALSE,"Reset Notice";"Reset Notice",#N/A,FALSE,"Reset Notice"}</definedName>
    <definedName name="wrn.Reset._.Data._.and._.Notice._5_1" localSheetId="1" hidden="1">{"Reset Data",#N/A,FALSE,"Reset Notice";"Reset Notice",#N/A,FALSE,"Reset Notice"}</definedName>
    <definedName name="wrn.Reset._.Data._.and._.Notice._5_1" hidden="1">{"Reset Data",#N/A,FALSE,"Reset Notice";"Reset Notice",#N/A,FALSE,"Reset Notice"}</definedName>
    <definedName name="wrn.Reset._.Data._.and._.Notice._5_1_1" localSheetId="3" hidden="1">{"Reset Data",#N/A,FALSE,"Reset Notice";"Reset Notice",#N/A,FALSE,"Reset Notice"}</definedName>
    <definedName name="wrn.Reset._.Data._.and._.Notice._5_1_1" localSheetId="1" hidden="1">{"Reset Data",#N/A,FALSE,"Reset Notice";"Reset Notice",#N/A,FALSE,"Reset Notice"}</definedName>
    <definedName name="wrn.Reset._.Data._.and._.Notice._5_1_1" hidden="1">{"Reset Data",#N/A,FALSE,"Reset Notice";"Reset Notice",#N/A,FALSE,"Reset Notice"}</definedName>
    <definedName name="wrn.Reset._.Data._.and._.Notice._5_1_1_1" localSheetId="3" hidden="1">{"Reset Data",#N/A,FALSE,"Reset Notice";"Reset Notice",#N/A,FALSE,"Reset Notice"}</definedName>
    <definedName name="wrn.Reset._.Data._.and._.Notice._5_1_1_1" localSheetId="1" hidden="1">{"Reset Data",#N/A,FALSE,"Reset Notice";"Reset Notice",#N/A,FALSE,"Reset Notice"}</definedName>
    <definedName name="wrn.Reset._.Data._.and._.Notice._5_1_1_1" hidden="1">{"Reset Data",#N/A,FALSE,"Reset Notice";"Reset Notice",#N/A,FALSE,"Reset Notice"}</definedName>
    <definedName name="wrn.Reset._.Data._.and._.Notice._5_2" localSheetId="3" hidden="1">{"Reset Data",#N/A,FALSE,"Reset Notice";"Reset Notice",#N/A,FALSE,"Reset Notice"}</definedName>
    <definedName name="wrn.Reset._.Data._.and._.Notice._5_2" localSheetId="1" hidden="1">{"Reset Data",#N/A,FALSE,"Reset Notice";"Reset Notice",#N/A,FALSE,"Reset Notice"}</definedName>
    <definedName name="wrn.Reset._.Data._.and._.Notice._5_2" hidden="1">{"Reset Data",#N/A,FALSE,"Reset Notice";"Reset Notice",#N/A,FALSE,"Reset Notice"}</definedName>
    <definedName name="wrn.Reset._.Data._.and._.Notice._5_2_1" localSheetId="3" hidden="1">{"Reset Data",#N/A,FALSE,"Reset Notice";"Reset Notice",#N/A,FALSE,"Reset Notice"}</definedName>
    <definedName name="wrn.Reset._.Data._.and._.Notice._5_2_1" localSheetId="1" hidden="1">{"Reset Data",#N/A,FALSE,"Reset Notice";"Reset Notice",#N/A,FALSE,"Reset Notice"}</definedName>
    <definedName name="wrn.Reset._.Data._.and._.Notice._5_2_1" hidden="1">{"Reset Data",#N/A,FALSE,"Reset Notice";"Reset Notice",#N/A,FALSE,"Reset Notice"}</definedName>
    <definedName name="wrn.Reset._.Data._.and._.Notice._5_3" localSheetId="3" hidden="1">{"Reset Data",#N/A,FALSE,"Reset Notice";"Reset Notice",#N/A,FALSE,"Reset Notice"}</definedName>
    <definedName name="wrn.Reset._.Data._.and._.Notice._5_3" localSheetId="1" hidden="1">{"Reset Data",#N/A,FALSE,"Reset Notice";"Reset Notice",#N/A,FALSE,"Reset Notice"}</definedName>
    <definedName name="wrn.Reset._.Data._.and._.Notice._5_3" hidden="1">{"Reset Data",#N/A,FALSE,"Reset Notice";"Reset Notice",#N/A,FALSE,"Reset Notice"}</definedName>
    <definedName name="wrn.review." localSheetId="3" hidden="1">{"review",#N/A,FALSE,"FACTSHT"}</definedName>
    <definedName name="wrn.review." localSheetId="1" hidden="1">{"review",#N/A,FALSE,"FACTSHT"}</definedName>
    <definedName name="wrn.review." hidden="1">{"review",#N/A,FALSE,"FACTSHT"}</definedName>
    <definedName name="wrn.review1." localSheetId="3" hidden="1">{"review",#N/A,FALSE,"FACTSHT"}</definedName>
    <definedName name="wrn.review1." localSheetId="1" hidden="1">{"review",#N/A,FALSE,"FACTSHT"}</definedName>
    <definedName name="wrn.review1." hidden="1">{"review",#N/A,FALSE,"FACTSHT"}</definedName>
    <definedName name="wrn.Revs." localSheetId="3" hidden="1">{"Base_rev",#N/A,FALSE,"Proj_IS_Base";"Projrev",#N/A,FALSE,"Proj_IS_wOTLC";"Delta",#N/A,FALSE,"Delta Rev_PV"}</definedName>
    <definedName name="wrn.Revs." localSheetId="1" hidden="1">{"Base_rev",#N/A,FALSE,"Proj_IS_Base";"Projrev",#N/A,FALSE,"Proj_IS_wOTLC";"Delta",#N/A,FALSE,"Delta Rev_PV"}</definedName>
    <definedName name="wrn.Revs." hidden="1">{"Base_rev",#N/A,FALSE,"Proj_IS_Base";"Projrev",#N/A,FALSE,"Proj_IS_wOTLC";"Delta",#N/A,FALSE,"Delta Rev_PV"}</definedName>
    <definedName name="wrn.Riverwood_comp_model." localSheetId="3" hidden="1">{#N/A,#N/A,FALSE,"Che-Ga";#N/A,#N/A,FALSE,"Iv-Sm";#N/A,#N/A,FALSE,"So-We";#N/A,#N/A,FALSE,"Me-Po";#N/A,#N/A,FALSE,"Be-Bo";#N/A,#N/A,FALSE,"Cha-Ki";#N/A,#N/A,FALSE,"In";#N/A,#N/A,FALSE,"Schedule 23";#N/A,#N/A,FALSE,"Schedule 22";#N/A,#N/A,FALSE,"WACC"}</definedName>
    <definedName name="wrn.Riverwood_comp_model." localSheetId="1" hidden="1">{#N/A,#N/A,FALSE,"Che-Ga";#N/A,#N/A,FALSE,"Iv-Sm";#N/A,#N/A,FALSE,"So-We";#N/A,#N/A,FALSE,"Me-Po";#N/A,#N/A,FALSE,"Be-Bo";#N/A,#N/A,FALSE,"Cha-Ki";#N/A,#N/A,FALSE,"In";#N/A,#N/A,FALSE,"Schedule 23";#N/A,#N/A,FALSE,"Schedule 22";#N/A,#N/A,FALSE,"WACC"}</definedName>
    <definedName name="wrn.Riverwood_comp_model." hidden="1">{#N/A,#N/A,FALSE,"Che-Ga";#N/A,#N/A,FALSE,"Iv-Sm";#N/A,#N/A,FALSE,"So-We";#N/A,#N/A,FALSE,"Me-Po";#N/A,#N/A,FALSE,"Be-Bo";#N/A,#N/A,FALSE,"Cha-Ki";#N/A,#N/A,FALSE,"In";#N/A,#N/A,FALSE,"Schedule 23";#N/A,#N/A,FALSE,"Schedule 22";#N/A,#N/A,FALSE,"WACC"}</definedName>
    <definedName name="wrn.rprt." localSheetId="3" hidden="1">{#N/A,#N/A,FALSE,"A";#N/A,#N/A,FALSE,"B-1";#N/A,#N/A,FALSE,"WACC";#N/A,#N/A,FALSE,"C-1 ";#N/A,#N/A,FALSE,"C-2";#N/A,#N/A,FALSE,"D-1";#N/A,#N/A,FALSE,"D-2";#N/A,#N/A,FALSE,"D-3"}</definedName>
    <definedName name="wrn.rprt." localSheetId="1" hidden="1">{#N/A,#N/A,FALSE,"A";#N/A,#N/A,FALSE,"B-1";#N/A,#N/A,FALSE,"WACC";#N/A,#N/A,FALSE,"C-1 ";#N/A,#N/A,FALSE,"C-2";#N/A,#N/A,FALSE,"D-1";#N/A,#N/A,FALSE,"D-2";#N/A,#N/A,FALSE,"D-3"}</definedName>
    <definedName name="wrn.rprt." hidden="1">{#N/A,#N/A,FALSE,"A";#N/A,#N/A,FALSE,"B-1";#N/A,#N/A,FALSE,"WACC";#N/A,#N/A,FALSE,"C-1 ";#N/A,#N/A,FALSE,"C-2";#N/A,#N/A,FALSE,"D-1";#N/A,#N/A,FALSE,"D-2";#N/A,#N/A,FALSE,"D-3"}</definedName>
    <definedName name="wrn.STAND_ALONE_BOTH." localSheetId="3" hidden="1">{"FCB_ALL",#N/A,FALSE,"FCB";"GREY_ALL",#N/A,FALSE,"GREY"}</definedName>
    <definedName name="wrn.STAND_ALONE_BOTH." localSheetId="1" hidden="1">{"FCB_ALL",#N/A,FALSE,"FCB";"GREY_ALL",#N/A,FALSE,"GREY"}</definedName>
    <definedName name="wrn.STAND_ALONE_BOTH." hidden="1">{"FCB_ALL",#N/A,FALSE,"FCB";"GREY_ALL",#N/A,FALSE,"GREY"}</definedName>
    <definedName name="wrn.sum." localSheetId="3" hidden="1">{"Opsys",#N/A,FALSE,"NPV_OPsys";"NT",#N/A,FALSE,"NPV_NT";"DevP",#N/A,FALSE,"NPV_DevPdt";"Office",#N/A,FALSE,"NPV_Office"}</definedName>
    <definedName name="wrn.sum." localSheetId="1" hidden="1">{"Opsys",#N/A,FALSE,"NPV_OPsys";"NT",#N/A,FALSE,"NPV_NT";"DevP",#N/A,FALSE,"NPV_DevPdt";"Office",#N/A,FALSE,"NPV_Office"}</definedName>
    <definedName name="wrn.sum." hidden="1">{"Opsys",#N/A,FALSE,"NPV_OPsys";"NT",#N/A,FALSE,"NPV_NT";"DevP",#N/A,FALSE,"NPV_DevPdt";"Office",#N/A,FALSE,"NPV_Office"}</definedName>
    <definedName name="wrn.Summ." localSheetId="3" hidden="1">{#N/A,#N/A,TRUE,"Months 2003";#N/A,#N/A,TRUE,"Months 2004";#N/A,#N/A,TRUE,"Months 2005"}</definedName>
    <definedName name="wrn.Summ." localSheetId="1" hidden="1">{#N/A,#N/A,TRUE,"Months 2003";#N/A,#N/A,TRUE,"Months 2004";#N/A,#N/A,TRUE,"Months 2005"}</definedName>
    <definedName name="wrn.Summ." hidden="1">{#N/A,#N/A,TRUE,"Months 2003";#N/A,#N/A,TRUE,"Months 2004";#N/A,#N/A,TRUE,"Months 2005"}</definedName>
    <definedName name="wrn.Summary." localSheetId="3" hidden="1">{#N/A,#N/A,FALSE,"Monthly 2003";#N/A,#N/A,FALSE,"Monthly 2004";#N/A,#N/A,FALSE,"Monthly 2005"}</definedName>
    <definedName name="wrn.Summary." localSheetId="1" hidden="1">{#N/A,#N/A,FALSE,"Monthly 2003";#N/A,#N/A,FALSE,"Monthly 2004";#N/A,#N/A,FALSE,"Monthly 2005"}</definedName>
    <definedName name="wrn.Summary." hidden="1">{#N/A,#N/A,FALSE,"Monthly 2003";#N/A,#N/A,FALSE,"Monthly 2004";#N/A,#N/A,FALSE,"Monthly 2005"}</definedName>
    <definedName name="wrn.SUPP." localSheetId="3" hidden="1">{#N/A,#N/A,FALSE,"COVER PAGE";#N/A,#N/A,FALSE,"TABLE OF CONTENTS";#N/A,#N/A,FALSE,"INCSTAT";#N/A,#N/A,FALSE,"SBU TRENDS";#N/A,#N/A,FALSE,"ASSETS";#N/A,#N/A,FALSE,"LIABILITIES";#N/A,#N/A,FALSE,"P &amp; L CURRENT";#N/A,#N/A,FALSE,"CASH FLOW";#N/A,#N/A,FALSE,"AGING";#N/A,#N/A,FALSE,"TOPTEN";#N/A,#N/A,FALSE,"LINE OF CREDIT";#N/A,#N/A,FALSE,"RV VAR P&amp;L";#N/A,#N/A,FALSE,"SUM LOCATION";#N/A,#N/A,FALSE,"HEADCOUNT";#N/A,#N/A,FALSE,"RV TRENDED";#N/A,#N/A,FALSE,"MV TRENDED";#N/A,#N/A,FALSE,"SG&amp;A TREND";#N/A,#N/A,FALSE,"SG&amp;A PLAN VS ACT";#N/A,#N/A,FALSE,"ADM SYS ACTUAL";#N/A,#N/A,FALSE,"SALES &amp; SBU ACTUAL";#N/A,#N/A,FALSE,"ADM SYS VAR";#N/A,#N/A,FALSE,"SALES &amp; SBU VAR"}</definedName>
    <definedName name="wrn.SUPP." localSheetId="1" hidden="1">{#N/A,#N/A,FALSE,"COVER PAGE";#N/A,#N/A,FALSE,"TABLE OF CONTENTS";#N/A,#N/A,FALSE,"INCSTAT";#N/A,#N/A,FALSE,"SBU TRENDS";#N/A,#N/A,FALSE,"ASSETS";#N/A,#N/A,FALSE,"LIABILITIES";#N/A,#N/A,FALSE,"P &amp; L CURRENT";#N/A,#N/A,FALSE,"CASH FLOW";#N/A,#N/A,FALSE,"AGING";#N/A,#N/A,FALSE,"TOPTEN";#N/A,#N/A,FALSE,"LINE OF CREDIT";#N/A,#N/A,FALSE,"RV VAR P&amp;L";#N/A,#N/A,FALSE,"SUM LOCATION";#N/A,#N/A,FALSE,"HEADCOUNT";#N/A,#N/A,FALSE,"RV TRENDED";#N/A,#N/A,FALSE,"MV TRENDED";#N/A,#N/A,FALSE,"SG&amp;A TREND";#N/A,#N/A,FALSE,"SG&amp;A PLAN VS ACT";#N/A,#N/A,FALSE,"ADM SYS ACTUAL";#N/A,#N/A,FALSE,"SALES &amp; SBU ACTUAL";#N/A,#N/A,FALSE,"ADM SYS VAR";#N/A,#N/A,FALSE,"SALES &amp; SBU VAR"}</definedName>
    <definedName name="wrn.SUPP." hidden="1">{#N/A,#N/A,FALSE,"COVER PAGE";#N/A,#N/A,FALSE,"TABLE OF CONTENTS";#N/A,#N/A,FALSE,"INCSTAT";#N/A,#N/A,FALSE,"SBU TRENDS";#N/A,#N/A,FALSE,"ASSETS";#N/A,#N/A,FALSE,"LIABILITIES";#N/A,#N/A,FALSE,"P &amp; L CURRENT";#N/A,#N/A,FALSE,"CASH FLOW";#N/A,#N/A,FALSE,"AGING";#N/A,#N/A,FALSE,"TOPTEN";#N/A,#N/A,FALSE,"LINE OF CREDIT";#N/A,#N/A,FALSE,"RV VAR P&amp;L";#N/A,#N/A,FALSE,"SUM LOCATION";#N/A,#N/A,FALSE,"HEADCOUNT";#N/A,#N/A,FALSE,"RV TRENDED";#N/A,#N/A,FALSE,"MV TRENDED";#N/A,#N/A,FALSE,"SG&amp;A TREND";#N/A,#N/A,FALSE,"SG&amp;A PLAN VS ACT";#N/A,#N/A,FALSE,"ADM SYS ACTUAL";#N/A,#N/A,FALSE,"SALES &amp; SBU ACTUAL";#N/A,#N/A,FALSE,"ADM SYS VAR";#N/A,#N/A,FALSE,"SALES &amp; SBU VAR"}</definedName>
    <definedName name="wrn.T" localSheetId="3" hidden="1">{"e_Target Assumptions",#N/A,FALSE,"Financials";"f_Target Income Statement",#N/A,FALSE,"Financials";"g_Target Balance Sheet",#N/A,FALSE,"Financials";"h_Target Cashflow Statement",#N/A,FALSE,"Financials"}</definedName>
    <definedName name="wrn.T" localSheetId="1" hidden="1">{"e_Target Assumptions",#N/A,FALSE,"Financials";"f_Target Income Statement",#N/A,FALSE,"Financials";"g_Target Balance Sheet",#N/A,FALSE,"Financials";"h_Target Cashflow Statement",#N/A,FALSE,"Financials"}</definedName>
    <definedName name="wrn.T" hidden="1">{"e_Target Assumptions",#N/A,FALSE,"Financials";"f_Target Income Statement",#N/A,FALSE,"Financials";"g_Target Balance Sheet",#N/A,FALSE,"Financials";"h_Target Cashflow Statement",#N/A,FALSE,"Financials"}</definedName>
    <definedName name="wrn.Target." localSheetId="3" hidden="1">{"e_Target Assumptions",#N/A,FALSE,"Financials";"f_Target Income Statement",#N/A,FALSE,"Financials";"g_Target Balance Sheet",#N/A,FALSE,"Financials";"h_Target Cashflow Statement",#N/A,FALSE,"Financials"}</definedName>
    <definedName name="wrn.Target." localSheetId="1" hidden="1">{"e_Target Assumptions",#N/A,FALSE,"Financials";"f_Target Income Statement",#N/A,FALSE,"Financials";"g_Target Balance Sheet",#N/A,FALSE,"Financials";"h_Target Cashflow Statement",#N/A,FALSE,"Financials"}</definedName>
    <definedName name="wrn.Target." hidden="1">{"e_Target Assumptions",#N/A,FALSE,"Financials";"f_Target Income Statement",#N/A,FALSE,"Financials";"g_Target Balance Sheet",#N/A,FALSE,"Financials";"h_Target Cashflow Statement",#N/A,FALSE,"Financials"}</definedName>
    <definedName name="wrn.TODO." localSheetId="3" hidden="1">{#N/A,#N/A,FALSE,"RESUMEN";#N/A,#N/A,FALSE,"PARQ_C";#N/A,#N/A,FALSE,"PARQ_P";#N/A,#N/A,FALSE,"MIN_S_C";#N/A,#N/A,FALSE,"MIN_S_P";#N/A,#N/A,FALSE,"MIN_E_M_M";#N/A,#N/A,FALSE,"MIN_E_FIJA";#N/A,#N/A,FALSE,"SUPUESTOS"}</definedName>
    <definedName name="wrn.TODO." localSheetId="1" hidden="1">{#N/A,#N/A,FALSE,"RESUMEN";#N/A,#N/A,FALSE,"PARQ_C";#N/A,#N/A,FALSE,"PARQ_P";#N/A,#N/A,FALSE,"MIN_S_C";#N/A,#N/A,FALSE,"MIN_S_P";#N/A,#N/A,FALSE,"MIN_E_M_M";#N/A,#N/A,FALSE,"MIN_E_FIJA";#N/A,#N/A,FALSE,"SUPUESTOS"}</definedName>
    <definedName name="wrn.TODO." hidden="1">{#N/A,#N/A,FALSE,"RESUMEN";#N/A,#N/A,FALSE,"PARQ_C";#N/A,#N/A,FALSE,"PARQ_P";#N/A,#N/A,FALSE,"MIN_S_C";#N/A,#N/A,FALSE,"MIN_S_P";#N/A,#N/A,FALSE,"MIN_E_M_M";#N/A,#N/A,FALSE,"MIN_E_FIJA";#N/A,#N/A,FALSE,"SUPUESTOS"}</definedName>
    <definedName name="wrn.TOTAL." localSheetId="3" hidden="1">{#N/A,#N/A,FALSE,"INVERSIONES Y AMORTIZ";#N/A,#N/A,FALSE,"BALANCE";#N/A,#N/A,FALSE,"CUENTA DE PYG";#N/A,#N/A,FALSE,"CUENTA DE PYG (2)";#N/A,#N/A,FALSE,"RATIOS";#N/A,#N/A,FALSE,"G. PERSONAL";#N/A,#N/A,FALSE,"G. SOCIALES";#N/A,#N/A,FALSE,"G. GENERALES";#N/A,#N/A,FALSE,"LINEAS DE PRODUCTOS"}</definedName>
    <definedName name="wrn.TOTAL." localSheetId="1" hidden="1">{#N/A,#N/A,FALSE,"INVERSIONES Y AMORTIZ";#N/A,#N/A,FALSE,"BALANCE";#N/A,#N/A,FALSE,"CUENTA DE PYG";#N/A,#N/A,FALSE,"CUENTA DE PYG (2)";#N/A,#N/A,FALSE,"RATIOS";#N/A,#N/A,FALSE,"G. PERSONAL";#N/A,#N/A,FALSE,"G. SOCIALES";#N/A,#N/A,FALSE,"G. GENERALES";#N/A,#N/A,FALSE,"LINEAS DE PRODUCTOS"}</definedName>
    <definedName name="wrn.TOTAL." hidden="1">{#N/A,#N/A,FALSE,"INVERSIONES Y AMORTIZ";#N/A,#N/A,FALSE,"BALANCE";#N/A,#N/A,FALSE,"CUENTA DE PYG";#N/A,#N/A,FALSE,"CUENTA DE PYG (2)";#N/A,#N/A,FALSE,"RATIOS";#N/A,#N/A,FALSE,"G. PERSONAL";#N/A,#N/A,FALSE,"G. SOCIALES";#N/A,#N/A,FALSE,"G. GENERALES";#N/A,#N/A,FALSE,"LINEAS DE PRODUCTOS"}</definedName>
    <definedName name="wrn.UK." localSheetId="3" hidden="1">{#N/A,#N/A,TRUE,"Combined";#N/A,#N/A,TRUE,"HotRoll";#N/A,#N/A,TRUE,"Gadd";#N/A,#N/A,TRUE,"Wesson";#N/A,#N/A,TRUE,"BrightBar";#N/A,#N/A,TRUE,"GB Longmore";#N/A,#N/A,TRUE,"MES";#N/A,#N/A,TRUE,"Wesson Bright";#N/A,#N/A,TRUE,"Macreadys";#N/A,#N/A,TRUE,"HeadOffice"}</definedName>
    <definedName name="wrn.UK." localSheetId="1" hidden="1">{#N/A,#N/A,TRUE,"Combined";#N/A,#N/A,TRUE,"HotRoll";#N/A,#N/A,TRUE,"Gadd";#N/A,#N/A,TRUE,"Wesson";#N/A,#N/A,TRUE,"BrightBar";#N/A,#N/A,TRUE,"GB Longmore";#N/A,#N/A,TRUE,"MES";#N/A,#N/A,TRUE,"Wesson Bright";#N/A,#N/A,TRUE,"Macreadys";#N/A,#N/A,TRUE,"HeadOffice"}</definedName>
    <definedName name="wrn.UK." hidden="1">{#N/A,#N/A,TRUE,"Combined";#N/A,#N/A,TRUE,"HotRoll";#N/A,#N/A,TRUE,"Gadd";#N/A,#N/A,TRUE,"Wesson";#N/A,#N/A,TRUE,"BrightBar";#N/A,#N/A,TRUE,"GB Longmore";#N/A,#N/A,TRUE,"MES";#N/A,#N/A,TRUE,"Wesson Bright";#N/A,#N/A,TRUE,"Macreadys";#N/A,#N/A,TRUE,"HeadOffice"}</definedName>
    <definedName name="wrn.Valuation._.Worksheets." localSheetId="3" hidden="1">{#N/A,#N/A,FALSE,"ID Page";#N/A,#N/A,FALSE,"Index";#N/A,#N/A,FALSE,"Assumptions";#N/A,#N/A,FALSE,"Equity Summary";#N/A,#N/A,FALSE,"Market";#N/A,#N/A,FALSE,"Description (Comps)";#N/A,#N/A,FALSE,"Comp Ratios";#N/A,#N/A,FALSE,"Sim Tran";#N/A,#N/A,FALSE,"Description (Sim Tran)";#N/A,#N/A,FALSE,"WACC";#N/A,#N/A,FALSE,"Income St";#N/A,#N/A,FALSE,"Balance Sheet";#N/A,#N/A,FALSE,"Working Capital";#N/A,#N/A,FALSE,"WC Trend (1)";#N/A,#N/A,FALSE,"WC trend (2)";#N/A,#N/A,FALSE,"Intangibles Indication"}</definedName>
    <definedName name="wrn.Valuation._.Worksheets." localSheetId="1" hidden="1">{#N/A,#N/A,FALSE,"ID Page";#N/A,#N/A,FALSE,"Index";#N/A,#N/A,FALSE,"Assumptions";#N/A,#N/A,FALSE,"Equity Summary";#N/A,#N/A,FALSE,"Market";#N/A,#N/A,FALSE,"Description (Comps)";#N/A,#N/A,FALSE,"Comp Ratios";#N/A,#N/A,FALSE,"Sim Tran";#N/A,#N/A,FALSE,"Description (Sim Tran)";#N/A,#N/A,FALSE,"WACC";#N/A,#N/A,FALSE,"Income St";#N/A,#N/A,FALSE,"Balance Sheet";#N/A,#N/A,FALSE,"Working Capital";#N/A,#N/A,FALSE,"WC Trend (1)";#N/A,#N/A,FALSE,"WC trend (2)";#N/A,#N/A,FALSE,"Intangibles Indication"}</definedName>
    <definedName name="wrn.Valuation._.Worksheets." hidden="1">{#N/A,#N/A,FALSE,"ID Page";#N/A,#N/A,FALSE,"Index";#N/A,#N/A,FALSE,"Assumptions";#N/A,#N/A,FALSE,"Equity Summary";#N/A,#N/A,FALSE,"Market";#N/A,#N/A,FALSE,"Description (Comps)";#N/A,#N/A,FALSE,"Comp Ratios";#N/A,#N/A,FALSE,"Sim Tran";#N/A,#N/A,FALSE,"Description (Sim Tran)";#N/A,#N/A,FALSE,"WACC";#N/A,#N/A,FALSE,"Income St";#N/A,#N/A,FALSE,"Balance Sheet";#N/A,#N/A,FALSE,"Working Capital";#N/A,#N/A,FALSE,"WC Trend (1)";#N/A,#N/A,FALSE,"WC trend (2)";#N/A,#N/A,FALSE,"Intangibles Indication"}</definedName>
    <definedName name="wrn.z_ALL." localSheetId="3" hidden="1">{"a_Acquiror Assumptions",#N/A,FALSE,"Financials";"b_Acquiror Income Statement",#N/A,FALSE,"Financials";"c_Acquiror Balance Sheet",#N/A,FALSE,"Financials";"d_Acquiror Cashflow Statement",#N/A,FALSE,"Financials";"e_Target Assumptions",#N/A,FALSE,"Financials";"f_Target Income Statement",#N/A,FALSE,"Financials";"g_Target Balance Sheet",#N/A,FALSE,"Financials";"h_Target Cashflow Statement",#N/A,FALSE,"Financials";"i_Pro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z_ALL." localSheetId="1" hidden="1">{"a_Acquiror Assumptions",#N/A,FALSE,"Financials";"b_Acquiror Income Statement",#N/A,FALSE,"Financials";"c_Acquiror Balance Sheet",#N/A,FALSE,"Financials";"d_Acquiror Cashflow Statement",#N/A,FALSE,"Financials";"e_Target Assumptions",#N/A,FALSE,"Financials";"f_Target Income Statement",#N/A,FALSE,"Financials";"g_Target Balance Sheet",#N/A,FALSE,"Financials";"h_Target Cashflow Statement",#N/A,FALSE,"Financials";"i_Pro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z_ALL." hidden="1">{"a_Acquiror Assumptions",#N/A,FALSE,"Financials";"b_Acquiror Income Statement",#N/A,FALSE,"Financials";"c_Acquiror Balance Sheet",#N/A,FALSE,"Financials";"d_Acquiror Cashflow Statement",#N/A,FALSE,"Financials";"e_Target Assumptions",#N/A,FALSE,"Financials";"f_Target Income Statement",#N/A,FALSE,"Financials";"g_Target Balance Sheet",#N/A,FALSE,"Financials";"h_Target Cashflow Statement",#N/A,FALSE,"Financials";"i_Pro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1.history" localSheetId="3" hidden="1">{#N/A,#N/A,FALSE,"model"}</definedName>
    <definedName name="wrn1.history" localSheetId="1" hidden="1">{#N/A,#N/A,FALSE,"model"}</definedName>
    <definedName name="wrn1.history" hidden="1">{#N/A,#N/A,FALSE,"model"}</definedName>
    <definedName name="wrn1.supp." localSheetId="3" hidden="1">{#N/A,#N/A,FALSE,"COVER PAGE";#N/A,#N/A,FALSE,"TABLE OF CONTENTS";#N/A,#N/A,FALSE,"INCSTAT";#N/A,#N/A,FALSE,"SBU TRENDS";#N/A,#N/A,FALSE,"ASSETS";#N/A,#N/A,FALSE,"LIABILITIES";#N/A,#N/A,FALSE,"P &amp; L CURRENT";#N/A,#N/A,FALSE,"CASH FLOW";#N/A,#N/A,FALSE,"AGING";#N/A,#N/A,FALSE,"TOPTEN";#N/A,#N/A,FALSE,"LINE OF CREDIT";#N/A,#N/A,FALSE,"RV VAR P&amp;L";#N/A,#N/A,FALSE,"SUM LOCATION";#N/A,#N/A,FALSE,"HEADCOUNT";#N/A,#N/A,FALSE,"RV TRENDED";#N/A,#N/A,FALSE,"MV TRENDED";#N/A,#N/A,FALSE,"SG&amp;A TREND";#N/A,#N/A,FALSE,"SG&amp;A PLAN VS ACT";#N/A,#N/A,FALSE,"ADM SYS ACTUAL";#N/A,#N/A,FALSE,"SALES &amp; SBU ACTUAL";#N/A,#N/A,FALSE,"ADM SYS VAR";#N/A,#N/A,FALSE,"SALES &amp; SBU VAR"}</definedName>
    <definedName name="wrn1.supp." localSheetId="1" hidden="1">{#N/A,#N/A,FALSE,"COVER PAGE";#N/A,#N/A,FALSE,"TABLE OF CONTENTS";#N/A,#N/A,FALSE,"INCSTAT";#N/A,#N/A,FALSE,"SBU TRENDS";#N/A,#N/A,FALSE,"ASSETS";#N/A,#N/A,FALSE,"LIABILITIES";#N/A,#N/A,FALSE,"P &amp; L CURRENT";#N/A,#N/A,FALSE,"CASH FLOW";#N/A,#N/A,FALSE,"AGING";#N/A,#N/A,FALSE,"TOPTEN";#N/A,#N/A,FALSE,"LINE OF CREDIT";#N/A,#N/A,FALSE,"RV VAR P&amp;L";#N/A,#N/A,FALSE,"SUM LOCATION";#N/A,#N/A,FALSE,"HEADCOUNT";#N/A,#N/A,FALSE,"RV TRENDED";#N/A,#N/A,FALSE,"MV TRENDED";#N/A,#N/A,FALSE,"SG&amp;A TREND";#N/A,#N/A,FALSE,"SG&amp;A PLAN VS ACT";#N/A,#N/A,FALSE,"ADM SYS ACTUAL";#N/A,#N/A,FALSE,"SALES &amp; SBU ACTUAL";#N/A,#N/A,FALSE,"ADM SYS VAR";#N/A,#N/A,FALSE,"SALES &amp; SBU VAR"}</definedName>
    <definedName name="wrn1.supp." hidden="1">{#N/A,#N/A,FALSE,"COVER PAGE";#N/A,#N/A,FALSE,"TABLE OF CONTENTS";#N/A,#N/A,FALSE,"INCSTAT";#N/A,#N/A,FALSE,"SBU TRENDS";#N/A,#N/A,FALSE,"ASSETS";#N/A,#N/A,FALSE,"LIABILITIES";#N/A,#N/A,FALSE,"P &amp; L CURRENT";#N/A,#N/A,FALSE,"CASH FLOW";#N/A,#N/A,FALSE,"AGING";#N/A,#N/A,FALSE,"TOPTEN";#N/A,#N/A,FALSE,"LINE OF CREDIT";#N/A,#N/A,FALSE,"RV VAR P&amp;L";#N/A,#N/A,FALSE,"SUM LOCATION";#N/A,#N/A,FALSE,"HEADCOUNT";#N/A,#N/A,FALSE,"RV TRENDED";#N/A,#N/A,FALSE,"MV TRENDED";#N/A,#N/A,FALSE,"SG&amp;A TREND";#N/A,#N/A,FALSE,"SG&amp;A PLAN VS ACT";#N/A,#N/A,FALSE,"ADM SYS ACTUAL";#N/A,#N/A,FALSE,"SALES &amp; SBU ACTUAL";#N/A,#N/A,FALSE,"ADM SYS VAR";#N/A,#N/A,FALSE,"SALES &amp; SBU VAR"}</definedName>
    <definedName name="wrn3.histroic" localSheetId="3" hidden="1">{#N/A,#N/A,FALSE,"model"}</definedName>
    <definedName name="wrn3.histroic" localSheetId="1" hidden="1">{#N/A,#N/A,FALSE,"model"}</definedName>
    <definedName name="wrn3.histroic" hidden="1">{#N/A,#N/A,FALSE,"model"}</definedName>
    <definedName name="wvu.inputs._.raw._.data." localSheetId="3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" localSheetId="1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moody." localSheetId="3" hidden="1">{TRUE,TRUE,-1.25,-15.5,604.5,369.75,FALSE,TRUE,TRUE,TRUE,0,1,#N/A,1,#N/A,6.6078431372549,19.2727272727273,1,FALSE,FALSE,3,TRUE,1,FALSE,100,"Swvu.moody.","ACwvu.moody.",#N/A,FALSE,FALSE,0.36,0.35,0.62,0.81,1,"&amp;LML CBO Series 1997-P-2","&amp;L&amp;""Times New Roman,Regular""Merrill Lynch
Structured Products Group&amp;R&amp;""Times New Roman,Regular""&amp;F
&amp;D
&amp;T",TRUE,FALSE,FALSE,FALSE,1,#N/A,1,1,"=R1C2:R42C9","=R1",#N/A,#N/A,FALSE,FALSE,FALSE,1,600,600,FALSE,FALSE,TRUE,TRUE,TRUE}</definedName>
    <definedName name="wvu.moody." localSheetId="1" hidden="1">{TRUE,TRUE,-1.25,-15.5,604.5,369.75,FALSE,TRUE,TRUE,TRUE,0,1,#N/A,1,#N/A,6.6078431372549,19.2727272727273,1,FALSE,FALSE,3,TRUE,1,FALSE,100,"Swvu.moody.","ACwvu.moody.",#N/A,FALSE,FALSE,0.36,0.35,0.62,0.81,1,"&amp;LML CBO Series 1997-P-2","&amp;L&amp;""Times New Roman,Regular""Merrill Lynch
Structured Products Group&amp;R&amp;""Times New Roman,Regular""&amp;F
&amp;D
&amp;T",TRUE,FALSE,FALSE,FALSE,1,#N/A,1,1,"=R1C2:R42C9","=R1",#N/A,#N/A,FALSE,FALSE,FALSE,1,600,600,FALSE,FALSE,TRUE,TRUE,TRUE}</definedName>
    <definedName name="wvu.moody." hidden="1">{TRUE,TRUE,-1.25,-15.5,604.5,369.75,FALSE,TRUE,TRUE,TRUE,0,1,#N/A,1,#N/A,6.6078431372549,19.2727272727273,1,FALSE,FALSE,3,TRUE,1,FALSE,100,"Swvu.moody.","ACwvu.moody.",#N/A,FALSE,FALSE,0.36,0.35,0.62,0.81,1,"&amp;LML CBO Series 1997-P-2","&amp;L&amp;""Times New Roman,Regular""Merrill Lynch
Structured Products Group&amp;R&amp;""Times New Roman,Regular""&amp;F
&amp;D
&amp;T",TRUE,FALSE,FALSE,FALSE,1,#N/A,1,1,"=R1C2:R42C9","=R1",#N/A,#N/A,FALSE,FALSE,FALSE,1,600,600,FALSE,FALSE,TRUE,TRUE,TRUE}</definedName>
    <definedName name="wvu.sp." localSheetId="3" hidden="1">{TRUE,TRUE,-1.25,-15.5,604.5,369.75,FALSE,TRUE,TRUE,TRUE,0,1,#N/A,34,#N/A,6.6078431372549,20.1904761904762,1,FALSE,FALSE,3,TRUE,1,FALSE,100,"Swvu.sp.","ACwvu.sp.",#N/A,FALSE,FALSE,0.36,0.35,0.62,0.81,1,"&amp;LML CBO Series 1997-P-2","&amp;L&amp;""Times New Roman,Regular""Merrill Lynch
Structured Products Group&amp;R&amp;""Times New Roman,Regular""&amp;F
&amp;D
&amp;T",TRUE,FALSE,FALSE,FALSE,1,#N/A,1,1,"=R44C2:R89C6","=R1",#N/A,#N/A,FALSE,FALSE,FALSE,1,600,600,FALSE,FALSE,TRUE,TRUE,TRUE}</definedName>
    <definedName name="wvu.sp." localSheetId="1" hidden="1">{TRUE,TRUE,-1.25,-15.5,604.5,369.75,FALSE,TRUE,TRUE,TRUE,0,1,#N/A,34,#N/A,6.6078431372549,20.1904761904762,1,FALSE,FALSE,3,TRUE,1,FALSE,100,"Swvu.sp.","ACwvu.sp.",#N/A,FALSE,FALSE,0.36,0.35,0.62,0.81,1,"&amp;LML CBO Series 1997-P-2","&amp;L&amp;""Times New Roman,Regular""Merrill Lynch
Structured Products Group&amp;R&amp;""Times New Roman,Regular""&amp;F
&amp;D
&amp;T",TRUE,FALSE,FALSE,FALSE,1,#N/A,1,1,"=R44C2:R89C6","=R1",#N/A,#N/A,FALSE,FALSE,FALSE,1,600,600,FALSE,FALSE,TRUE,TRUE,TRUE}</definedName>
    <definedName name="wvu.sp." hidden="1">{TRUE,TRUE,-1.25,-15.5,604.5,369.75,FALSE,TRUE,TRUE,TRUE,0,1,#N/A,34,#N/A,6.6078431372549,20.1904761904762,1,FALSE,FALSE,3,TRUE,1,FALSE,100,"Swvu.sp.","ACwvu.sp.",#N/A,FALSE,FALSE,0.36,0.35,0.62,0.81,1,"&amp;LML CBO Series 1997-P-2","&amp;L&amp;""Times New Roman,Regular""Merrill Lynch
Structured Products Group&amp;R&amp;""Times New Roman,Regular""&amp;F
&amp;D
&amp;T",TRUE,FALSE,FALSE,FALSE,1,#N/A,1,1,"=R44C2:R89C6","=R1",#N/A,#N/A,FALSE,FALSE,FALSE,1,600,600,FALSE,FALSE,TRUE,TRUE,TRUE}</definedName>
    <definedName name="wvu.sp2." localSheetId="3" hidden="1">{TRUE,TRUE,-1.25,-15.5,604.5,369.75,FALSE,TRUE,TRUE,TRUE,0,19,#N/A,1,#N/A,9.77215189873418,19.2727272727273,1,FALSE,FALSE,3,TRUE,1,FALSE,100,"Swvu.sp2.","ACwvu.sp2.",#N/A,FALSE,FALSE,0.36,0.35,0.62,0.81,1,"&amp;LML CBO Series 1997-P-2","&amp;L&amp;""Times New Roman,Regular""Merrill Lynch
Structured Products Group&amp;R&amp;""Times New Roman,Regular""&amp;F
&amp;D
&amp;T",TRUE,FALSE,FALSE,FALSE,1,#N/A,1,1,"=R1C24:R41C33","=R1",#N/A,#N/A,FALSE,FALSE,FALSE,1,600,600,FALSE,FALSE,TRUE,TRUE,TRUE}</definedName>
    <definedName name="wvu.sp2." localSheetId="1" hidden="1">{TRUE,TRUE,-1.25,-15.5,604.5,369.75,FALSE,TRUE,TRUE,TRUE,0,19,#N/A,1,#N/A,9.77215189873418,19.2727272727273,1,FALSE,FALSE,3,TRUE,1,FALSE,100,"Swvu.sp2.","ACwvu.sp2.",#N/A,FALSE,FALSE,0.36,0.35,0.62,0.81,1,"&amp;LML CBO Series 1997-P-2","&amp;L&amp;""Times New Roman,Regular""Merrill Lynch
Structured Products Group&amp;R&amp;""Times New Roman,Regular""&amp;F
&amp;D
&amp;T",TRUE,FALSE,FALSE,FALSE,1,#N/A,1,1,"=R1C24:R41C33","=R1",#N/A,#N/A,FALSE,FALSE,FALSE,1,600,600,FALSE,FALSE,TRUE,TRUE,TRUE}</definedName>
    <definedName name="wvu.sp2." hidden="1">{TRUE,TRUE,-1.25,-15.5,604.5,369.75,FALSE,TRUE,TRUE,TRUE,0,19,#N/A,1,#N/A,9.77215189873418,19.2727272727273,1,FALSE,FALSE,3,TRUE,1,FALSE,100,"Swvu.sp2.","ACwvu.sp2.",#N/A,FALSE,FALSE,0.36,0.35,0.62,0.81,1,"&amp;LML CBO Series 1997-P-2","&amp;L&amp;""Times New Roman,Regular""Merrill Lynch
Structured Products Group&amp;R&amp;""Times New Roman,Regular""&amp;F
&amp;D
&amp;T",TRUE,FALSE,FALSE,FALSE,1,#N/A,1,1,"=R1C24:R41C33","=R1",#N/A,#N/A,FALSE,FALSE,FALSE,1,600,600,FALSE,FALSE,TRUE,TRUE,TRUE}</definedName>
    <definedName name="wvu.sum." localSheetId="3" hidden="1">{TRUE,TRUE,-1.25,-15.5,604.5,369.75,FALSE,TRUE,TRUE,TRUE,0,10,#N/A,1,#N/A,6.65591397849462,19.2727272727273,1,FALSE,FALSE,3,TRUE,1,FALSE,100,"Swvu.sum.","ACwvu.sum.",#N/A,FALSE,FALSE,0.36,0.35,0.62,0.81,1,"&amp;LML CBO Series 1997-P-2","&amp;L&amp;""Times New Roman,Regular""Merrill Lynch
Structured Products Group&amp;R&amp;""Times New Roman,Regular""&amp;F
&amp;D
&amp;T",TRUE,FALSE,FALSE,FALSE,1,#N/A,1,1,"=R1C11:R41C15","=R1",#N/A,#N/A,FALSE,FALSE,FALSE,1,600,600,FALSE,FALSE,TRUE,TRUE,TRUE}</definedName>
    <definedName name="wvu.sum." localSheetId="1" hidden="1">{TRUE,TRUE,-1.25,-15.5,604.5,369.75,FALSE,TRUE,TRUE,TRUE,0,10,#N/A,1,#N/A,6.65591397849462,19.2727272727273,1,FALSE,FALSE,3,TRUE,1,FALSE,100,"Swvu.sum.","ACwvu.sum.",#N/A,FALSE,FALSE,0.36,0.35,0.62,0.81,1,"&amp;LML CBO Series 1997-P-2","&amp;L&amp;""Times New Roman,Regular""Merrill Lynch
Structured Products Group&amp;R&amp;""Times New Roman,Regular""&amp;F
&amp;D
&amp;T",TRUE,FALSE,FALSE,FALSE,1,#N/A,1,1,"=R1C11:R41C15","=R1",#N/A,#N/A,FALSE,FALSE,FALSE,1,600,600,FALSE,FALSE,TRUE,TRUE,TRUE}</definedName>
    <definedName name="wvu.sum." hidden="1">{TRUE,TRUE,-1.25,-15.5,604.5,369.75,FALSE,TRUE,TRUE,TRUE,0,10,#N/A,1,#N/A,6.65591397849462,19.2727272727273,1,FALSE,FALSE,3,TRUE,1,FALSE,100,"Swvu.sum.","ACwvu.sum.",#N/A,FALSE,FALSE,0.36,0.35,0.62,0.81,1,"&amp;LML CBO Series 1997-P-2","&amp;L&amp;""Times New Roman,Regular""Merrill Lynch
Structured Products Group&amp;R&amp;""Times New Roman,Regular""&amp;F
&amp;D
&amp;T",TRUE,FALSE,FALSE,FALSE,1,#N/A,1,1,"=R1C11:R41C15","=R1",#N/A,#N/A,FALSE,FALSE,FALSE,1,600,600,FALSE,FALSE,TRUE,TRUE,TRUE}</definedName>
    <definedName name="wvu.summary1." localSheetId="3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" localSheetId="1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localSheetId="3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" localSheetId="1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localSheetId="3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" localSheetId="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w" localSheetId="3" hidden="1">{"Assumptions",#N/A,FALSE,"Model"}</definedName>
    <definedName name="ww" localSheetId="1" hidden="1">{"Assumptions",#N/A,FALSE,"Model"}</definedName>
    <definedName name="ww" hidden="1">{"Assumptions",#N/A,FALSE,"Model"}</definedName>
    <definedName name="ww.Rele" localSheetId="3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w.Rele" localSheetId="1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w.Rele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w_1" localSheetId="3" hidden="1">{"Assumptions",#N/A,FALSE,"Model"}</definedName>
    <definedName name="ww_1" localSheetId="1" hidden="1">{"Assumptions",#N/A,FALSE,"Model"}</definedName>
    <definedName name="ww_1" hidden="1">{"Assumptions",#N/A,FALSE,"Model"}</definedName>
    <definedName name="ww_1_1" localSheetId="3" hidden="1">{"Assumptions",#N/A,FALSE,"Model"}</definedName>
    <definedName name="ww_1_1" localSheetId="1" hidden="1">{"Assumptions",#N/A,FALSE,"Model"}</definedName>
    <definedName name="ww_1_1" hidden="1">{"Assumptions",#N/A,FALSE,"Model"}</definedName>
    <definedName name="ww_1_1_1" localSheetId="3" hidden="1">{"Assumptions",#N/A,FALSE,"Model"}</definedName>
    <definedName name="ww_1_1_1" localSheetId="1" hidden="1">{"Assumptions",#N/A,FALSE,"Model"}</definedName>
    <definedName name="ww_1_1_1" hidden="1">{"Assumptions",#N/A,FALSE,"Model"}</definedName>
    <definedName name="ww_1_1_1_1" localSheetId="3" hidden="1">{"Assumptions",#N/A,FALSE,"Model"}</definedName>
    <definedName name="ww_1_1_1_1" localSheetId="1" hidden="1">{"Assumptions",#N/A,FALSE,"Model"}</definedName>
    <definedName name="ww_1_1_1_1" hidden="1">{"Assumptions",#N/A,FALSE,"Model"}</definedName>
    <definedName name="ww_1_2" localSheetId="3" hidden="1">{"Assumptions",#N/A,FALSE,"Model"}</definedName>
    <definedName name="ww_1_2" localSheetId="1" hidden="1">{"Assumptions",#N/A,FALSE,"Model"}</definedName>
    <definedName name="ww_1_2" hidden="1">{"Assumptions",#N/A,FALSE,"Model"}</definedName>
    <definedName name="ww_1_2_1" localSheetId="3" hidden="1">{"Assumptions",#N/A,FALSE,"Model"}</definedName>
    <definedName name="ww_1_2_1" localSheetId="1" hidden="1">{"Assumptions",#N/A,FALSE,"Model"}</definedName>
    <definedName name="ww_1_2_1" hidden="1">{"Assumptions",#N/A,FALSE,"Model"}</definedName>
    <definedName name="ww_1_3" localSheetId="3" hidden="1">{"Assumptions",#N/A,FALSE,"Model"}</definedName>
    <definedName name="ww_1_3" localSheetId="1" hidden="1">{"Assumptions",#N/A,FALSE,"Model"}</definedName>
    <definedName name="ww_1_3" hidden="1">{"Assumptions",#N/A,FALSE,"Model"}</definedName>
    <definedName name="ww_1_3_1" localSheetId="3" hidden="1">{"Assumptions",#N/A,FALSE,"Model"}</definedName>
    <definedName name="ww_1_3_1" localSheetId="1" hidden="1">{"Assumptions",#N/A,FALSE,"Model"}</definedName>
    <definedName name="ww_1_3_1" hidden="1">{"Assumptions",#N/A,FALSE,"Model"}</definedName>
    <definedName name="ww_1_4" localSheetId="3" hidden="1">{"Assumptions",#N/A,FALSE,"Model"}</definedName>
    <definedName name="ww_1_4" localSheetId="1" hidden="1">{"Assumptions",#N/A,FALSE,"Model"}</definedName>
    <definedName name="ww_1_4" hidden="1">{"Assumptions",#N/A,FALSE,"Model"}</definedName>
    <definedName name="ww_2" localSheetId="3" hidden="1">{"Assumptions",#N/A,FALSE,"Model"}</definedName>
    <definedName name="ww_2" localSheetId="1" hidden="1">{"Assumptions",#N/A,FALSE,"Model"}</definedName>
    <definedName name="ww_2" hidden="1">{"Assumptions",#N/A,FALSE,"Model"}</definedName>
    <definedName name="ww_2_1" localSheetId="3" hidden="1">{"Assumptions",#N/A,FALSE,"Model"}</definedName>
    <definedName name="ww_2_1" localSheetId="1" hidden="1">{"Assumptions",#N/A,FALSE,"Model"}</definedName>
    <definedName name="ww_2_1" hidden="1">{"Assumptions",#N/A,FALSE,"Model"}</definedName>
    <definedName name="ww_2_1_1" localSheetId="3" hidden="1">{"Assumptions",#N/A,FALSE,"Model"}</definedName>
    <definedName name="ww_2_1_1" localSheetId="1" hidden="1">{"Assumptions",#N/A,FALSE,"Model"}</definedName>
    <definedName name="ww_2_1_1" hidden="1">{"Assumptions",#N/A,FALSE,"Model"}</definedName>
    <definedName name="ww_2_1_1_1" localSheetId="3" hidden="1">{"Assumptions",#N/A,FALSE,"Model"}</definedName>
    <definedName name="ww_2_1_1_1" localSheetId="1" hidden="1">{"Assumptions",#N/A,FALSE,"Model"}</definedName>
    <definedName name="ww_2_1_1_1" hidden="1">{"Assumptions",#N/A,FALSE,"Model"}</definedName>
    <definedName name="ww_2_2" localSheetId="3" hidden="1">{"Assumptions",#N/A,FALSE,"Model"}</definedName>
    <definedName name="ww_2_2" localSheetId="1" hidden="1">{"Assumptions",#N/A,FALSE,"Model"}</definedName>
    <definedName name="ww_2_2" hidden="1">{"Assumptions",#N/A,FALSE,"Model"}</definedName>
    <definedName name="ww_2_2_1" localSheetId="3" hidden="1">{"Assumptions",#N/A,FALSE,"Model"}</definedName>
    <definedName name="ww_2_2_1" localSheetId="1" hidden="1">{"Assumptions",#N/A,FALSE,"Model"}</definedName>
    <definedName name="ww_2_2_1" hidden="1">{"Assumptions",#N/A,FALSE,"Model"}</definedName>
    <definedName name="ww_2_3" localSheetId="3" hidden="1">{"Assumptions",#N/A,FALSE,"Model"}</definedName>
    <definedName name="ww_2_3" localSheetId="1" hidden="1">{"Assumptions",#N/A,FALSE,"Model"}</definedName>
    <definedName name="ww_2_3" hidden="1">{"Assumptions",#N/A,FALSE,"Model"}</definedName>
    <definedName name="ww_3" localSheetId="3" hidden="1">{"Assumptions",#N/A,FALSE,"Model"}</definedName>
    <definedName name="ww_3" localSheetId="1" hidden="1">{"Assumptions",#N/A,FALSE,"Model"}</definedName>
    <definedName name="ww_3" hidden="1">{"Assumptions",#N/A,FALSE,"Model"}</definedName>
    <definedName name="ww_3_1" localSheetId="3" hidden="1">{"Assumptions",#N/A,FALSE,"Model"}</definedName>
    <definedName name="ww_3_1" localSheetId="1" hidden="1">{"Assumptions",#N/A,FALSE,"Model"}</definedName>
    <definedName name="ww_3_1" hidden="1">{"Assumptions",#N/A,FALSE,"Model"}</definedName>
    <definedName name="ww_3_1_1" localSheetId="3" hidden="1">{"Assumptions",#N/A,FALSE,"Model"}</definedName>
    <definedName name="ww_3_1_1" localSheetId="1" hidden="1">{"Assumptions",#N/A,FALSE,"Model"}</definedName>
    <definedName name="ww_3_1_1" hidden="1">{"Assumptions",#N/A,FALSE,"Model"}</definedName>
    <definedName name="ww_3_1_1_1" localSheetId="3" hidden="1">{"Assumptions",#N/A,FALSE,"Model"}</definedName>
    <definedName name="ww_3_1_1_1" localSheetId="1" hidden="1">{"Assumptions",#N/A,FALSE,"Model"}</definedName>
    <definedName name="ww_3_1_1_1" hidden="1">{"Assumptions",#N/A,FALSE,"Model"}</definedName>
    <definedName name="ww_3_2" localSheetId="3" hidden="1">{"Assumptions",#N/A,FALSE,"Model"}</definedName>
    <definedName name="ww_3_2" localSheetId="1" hidden="1">{"Assumptions",#N/A,FALSE,"Model"}</definedName>
    <definedName name="ww_3_2" hidden="1">{"Assumptions",#N/A,FALSE,"Model"}</definedName>
    <definedName name="ww_3_2_1" localSheetId="3" hidden="1">{"Assumptions",#N/A,FALSE,"Model"}</definedName>
    <definedName name="ww_3_2_1" localSheetId="1" hidden="1">{"Assumptions",#N/A,FALSE,"Model"}</definedName>
    <definedName name="ww_3_2_1" hidden="1">{"Assumptions",#N/A,FALSE,"Model"}</definedName>
    <definedName name="ww_3_3" localSheetId="3" hidden="1">{"Assumptions",#N/A,FALSE,"Model"}</definedName>
    <definedName name="ww_3_3" localSheetId="1" hidden="1">{"Assumptions",#N/A,FALSE,"Model"}</definedName>
    <definedName name="ww_3_3" hidden="1">{"Assumptions",#N/A,FALSE,"Model"}</definedName>
    <definedName name="ww_4" localSheetId="3" hidden="1">{"Assumptions",#N/A,FALSE,"Model"}</definedName>
    <definedName name="ww_4" localSheetId="1" hidden="1">{"Assumptions",#N/A,FALSE,"Model"}</definedName>
    <definedName name="ww_4" hidden="1">{"Assumptions",#N/A,FALSE,"Model"}</definedName>
    <definedName name="ww_4_1" localSheetId="3" hidden="1">{"Assumptions",#N/A,FALSE,"Model"}</definedName>
    <definedName name="ww_4_1" localSheetId="1" hidden="1">{"Assumptions",#N/A,FALSE,"Model"}</definedName>
    <definedName name="ww_4_1" hidden="1">{"Assumptions",#N/A,FALSE,"Model"}</definedName>
    <definedName name="ww_4_1_1" localSheetId="3" hidden="1">{"Assumptions",#N/A,FALSE,"Model"}</definedName>
    <definedName name="ww_4_1_1" localSheetId="1" hidden="1">{"Assumptions",#N/A,FALSE,"Model"}</definedName>
    <definedName name="ww_4_1_1" hidden="1">{"Assumptions",#N/A,FALSE,"Model"}</definedName>
    <definedName name="ww_4_1_1_1" localSheetId="3" hidden="1">{"Assumptions",#N/A,FALSE,"Model"}</definedName>
    <definedName name="ww_4_1_1_1" localSheetId="1" hidden="1">{"Assumptions",#N/A,FALSE,"Model"}</definedName>
    <definedName name="ww_4_1_1_1" hidden="1">{"Assumptions",#N/A,FALSE,"Model"}</definedName>
    <definedName name="ww_4_2" localSheetId="3" hidden="1">{"Assumptions",#N/A,FALSE,"Model"}</definedName>
    <definedName name="ww_4_2" localSheetId="1" hidden="1">{"Assumptions",#N/A,FALSE,"Model"}</definedName>
    <definedName name="ww_4_2" hidden="1">{"Assumptions",#N/A,FALSE,"Model"}</definedName>
    <definedName name="ww_4_2_1" localSheetId="3" hidden="1">{"Assumptions",#N/A,FALSE,"Model"}</definedName>
    <definedName name="ww_4_2_1" localSheetId="1" hidden="1">{"Assumptions",#N/A,FALSE,"Model"}</definedName>
    <definedName name="ww_4_2_1" hidden="1">{"Assumptions",#N/A,FALSE,"Model"}</definedName>
    <definedName name="ww_4_3" localSheetId="3" hidden="1">{"Assumptions",#N/A,FALSE,"Model"}</definedName>
    <definedName name="ww_4_3" localSheetId="1" hidden="1">{"Assumptions",#N/A,FALSE,"Model"}</definedName>
    <definedName name="ww_4_3" hidden="1">{"Assumptions",#N/A,FALSE,"Model"}</definedName>
    <definedName name="ww_5" localSheetId="3" hidden="1">{"Assumptions",#N/A,FALSE,"Model"}</definedName>
    <definedName name="ww_5" localSheetId="1" hidden="1">{"Assumptions",#N/A,FALSE,"Model"}</definedName>
    <definedName name="ww_5" hidden="1">{"Assumptions",#N/A,FALSE,"Model"}</definedName>
    <definedName name="ww_5_1" localSheetId="3" hidden="1">{"Assumptions",#N/A,FALSE,"Model"}</definedName>
    <definedName name="ww_5_1" localSheetId="1" hidden="1">{"Assumptions",#N/A,FALSE,"Model"}</definedName>
    <definedName name="ww_5_1" hidden="1">{"Assumptions",#N/A,FALSE,"Model"}</definedName>
    <definedName name="ww_5_1_1" localSheetId="3" hidden="1">{"Assumptions",#N/A,FALSE,"Model"}</definedName>
    <definedName name="ww_5_1_1" localSheetId="1" hidden="1">{"Assumptions",#N/A,FALSE,"Model"}</definedName>
    <definedName name="ww_5_1_1" hidden="1">{"Assumptions",#N/A,FALSE,"Model"}</definedName>
    <definedName name="ww_5_1_1_1" localSheetId="3" hidden="1">{"Assumptions",#N/A,FALSE,"Model"}</definedName>
    <definedName name="ww_5_1_1_1" localSheetId="1" hidden="1">{"Assumptions",#N/A,FALSE,"Model"}</definedName>
    <definedName name="ww_5_1_1_1" hidden="1">{"Assumptions",#N/A,FALSE,"Model"}</definedName>
    <definedName name="ww_5_2" localSheetId="3" hidden="1">{"Assumptions",#N/A,FALSE,"Model"}</definedName>
    <definedName name="ww_5_2" localSheetId="1" hidden="1">{"Assumptions",#N/A,FALSE,"Model"}</definedName>
    <definedName name="ww_5_2" hidden="1">{"Assumptions",#N/A,FALSE,"Model"}</definedName>
    <definedName name="ww_5_2_1" localSheetId="3" hidden="1">{"Assumptions",#N/A,FALSE,"Model"}</definedName>
    <definedName name="ww_5_2_1" localSheetId="1" hidden="1">{"Assumptions",#N/A,FALSE,"Model"}</definedName>
    <definedName name="ww_5_2_1" hidden="1">{"Assumptions",#N/A,FALSE,"Model"}</definedName>
    <definedName name="ww_5_3" localSheetId="3" hidden="1">{"Assumptions",#N/A,FALSE,"Model"}</definedName>
    <definedName name="ww_5_3" localSheetId="1" hidden="1">{"Assumptions",#N/A,FALSE,"Model"}</definedName>
    <definedName name="ww_5_3" hidden="1">{"Assumptions",#N/A,FALSE,"Model"}</definedName>
    <definedName name="wwrwe" localSheetId="3" hidden="1">{#N/A,#N/A,FALSE,"Balance Sheet";#N/A,#N/A,FALSE,"Income Statement";#N/A,#N/A,FALSE,"Partners Capital";#N/A,#N/A,FALSE,"Cash Flows";#N/A,#N/A,FALSE,"Support"}</definedName>
    <definedName name="wwrwe" localSheetId="1" hidden="1">{#N/A,#N/A,FALSE,"Balance Sheet";#N/A,#N/A,FALSE,"Income Statement";#N/A,#N/A,FALSE,"Partners Capital";#N/A,#N/A,FALSE,"Cash Flows";#N/A,#N/A,FALSE,"Support"}</definedName>
    <definedName name="wwrwe" hidden="1">{#N/A,#N/A,FALSE,"Balance Sheet";#N/A,#N/A,FALSE,"Income Statement";#N/A,#N/A,FALSE,"Partners Capital";#N/A,#N/A,FALSE,"Cash Flows";#N/A,#N/A,FALSE,"Support"}</definedName>
    <definedName name="wwwwwww" localSheetId="3" hidden="1">{"Assumptions",#N/A,FALSE,"Model"}</definedName>
    <definedName name="wwwwwww" localSheetId="1" hidden="1">{"Assumptions",#N/A,FALSE,"Model"}</definedName>
    <definedName name="wwwwwww" hidden="1">{"Assumptions",#N/A,FALSE,"Model"}</definedName>
    <definedName name="wwwwwww_1" localSheetId="3" hidden="1">{"Assumptions",#N/A,FALSE,"Model"}</definedName>
    <definedName name="wwwwwww_1" localSheetId="1" hidden="1">{"Assumptions",#N/A,FALSE,"Model"}</definedName>
    <definedName name="wwwwwww_1" hidden="1">{"Assumptions",#N/A,FALSE,"Model"}</definedName>
    <definedName name="wwwwwww_1_1" localSheetId="3" hidden="1">{"Assumptions",#N/A,FALSE,"Model"}</definedName>
    <definedName name="wwwwwww_1_1" localSheetId="1" hidden="1">{"Assumptions",#N/A,FALSE,"Model"}</definedName>
    <definedName name="wwwwwww_1_1" hidden="1">{"Assumptions",#N/A,FALSE,"Model"}</definedName>
    <definedName name="wwwwwww_1_1_1" localSheetId="3" hidden="1">{"Assumptions",#N/A,FALSE,"Model"}</definedName>
    <definedName name="wwwwwww_1_1_1" localSheetId="1" hidden="1">{"Assumptions",#N/A,FALSE,"Model"}</definedName>
    <definedName name="wwwwwww_1_1_1" hidden="1">{"Assumptions",#N/A,FALSE,"Model"}</definedName>
    <definedName name="wwwwwww_1_1_1_1" localSheetId="3" hidden="1">{"Assumptions",#N/A,FALSE,"Model"}</definedName>
    <definedName name="wwwwwww_1_1_1_1" localSheetId="1" hidden="1">{"Assumptions",#N/A,FALSE,"Model"}</definedName>
    <definedName name="wwwwwww_1_1_1_1" hidden="1">{"Assumptions",#N/A,FALSE,"Model"}</definedName>
    <definedName name="wwwwwww_1_2" localSheetId="3" hidden="1">{"Assumptions",#N/A,FALSE,"Model"}</definedName>
    <definedName name="wwwwwww_1_2" localSheetId="1" hidden="1">{"Assumptions",#N/A,FALSE,"Model"}</definedName>
    <definedName name="wwwwwww_1_2" hidden="1">{"Assumptions",#N/A,FALSE,"Model"}</definedName>
    <definedName name="wwwwwww_1_2_1" localSheetId="3" hidden="1">{"Assumptions",#N/A,FALSE,"Model"}</definedName>
    <definedName name="wwwwwww_1_2_1" localSheetId="1" hidden="1">{"Assumptions",#N/A,FALSE,"Model"}</definedName>
    <definedName name="wwwwwww_1_2_1" hidden="1">{"Assumptions",#N/A,FALSE,"Model"}</definedName>
    <definedName name="wwwwwww_1_3" localSheetId="3" hidden="1">{"Assumptions",#N/A,FALSE,"Model"}</definedName>
    <definedName name="wwwwwww_1_3" localSheetId="1" hidden="1">{"Assumptions",#N/A,FALSE,"Model"}</definedName>
    <definedName name="wwwwwww_1_3" hidden="1">{"Assumptions",#N/A,FALSE,"Model"}</definedName>
    <definedName name="wwwwwww_1_3_1" localSheetId="3" hidden="1">{"Assumptions",#N/A,FALSE,"Model"}</definedName>
    <definedName name="wwwwwww_1_3_1" localSheetId="1" hidden="1">{"Assumptions",#N/A,FALSE,"Model"}</definedName>
    <definedName name="wwwwwww_1_3_1" hidden="1">{"Assumptions",#N/A,FALSE,"Model"}</definedName>
    <definedName name="wwwwwww_1_4" localSheetId="3" hidden="1">{"Assumptions",#N/A,FALSE,"Model"}</definedName>
    <definedName name="wwwwwww_1_4" localSheetId="1" hidden="1">{"Assumptions",#N/A,FALSE,"Model"}</definedName>
    <definedName name="wwwwwww_1_4" hidden="1">{"Assumptions",#N/A,FALSE,"Model"}</definedName>
    <definedName name="wwwwwww_2" localSheetId="3" hidden="1">{"Assumptions",#N/A,FALSE,"Model"}</definedName>
    <definedName name="wwwwwww_2" localSheetId="1" hidden="1">{"Assumptions",#N/A,FALSE,"Model"}</definedName>
    <definedName name="wwwwwww_2" hidden="1">{"Assumptions",#N/A,FALSE,"Model"}</definedName>
    <definedName name="wwwwwww_2_1" localSheetId="3" hidden="1">{"Assumptions",#N/A,FALSE,"Model"}</definedName>
    <definedName name="wwwwwww_2_1" localSheetId="1" hidden="1">{"Assumptions",#N/A,FALSE,"Model"}</definedName>
    <definedName name="wwwwwww_2_1" hidden="1">{"Assumptions",#N/A,FALSE,"Model"}</definedName>
    <definedName name="wwwwwww_2_1_1" localSheetId="3" hidden="1">{"Assumptions",#N/A,FALSE,"Model"}</definedName>
    <definedName name="wwwwwww_2_1_1" localSheetId="1" hidden="1">{"Assumptions",#N/A,FALSE,"Model"}</definedName>
    <definedName name="wwwwwww_2_1_1" hidden="1">{"Assumptions",#N/A,FALSE,"Model"}</definedName>
    <definedName name="wwwwwww_2_1_1_1" localSheetId="3" hidden="1">{"Assumptions",#N/A,FALSE,"Model"}</definedName>
    <definedName name="wwwwwww_2_1_1_1" localSheetId="1" hidden="1">{"Assumptions",#N/A,FALSE,"Model"}</definedName>
    <definedName name="wwwwwww_2_1_1_1" hidden="1">{"Assumptions",#N/A,FALSE,"Model"}</definedName>
    <definedName name="wwwwwww_2_2" localSheetId="3" hidden="1">{"Assumptions",#N/A,FALSE,"Model"}</definedName>
    <definedName name="wwwwwww_2_2" localSheetId="1" hidden="1">{"Assumptions",#N/A,FALSE,"Model"}</definedName>
    <definedName name="wwwwwww_2_2" hidden="1">{"Assumptions",#N/A,FALSE,"Model"}</definedName>
    <definedName name="wwwwwww_2_2_1" localSheetId="3" hidden="1">{"Assumptions",#N/A,FALSE,"Model"}</definedName>
    <definedName name="wwwwwww_2_2_1" localSheetId="1" hidden="1">{"Assumptions",#N/A,FALSE,"Model"}</definedName>
    <definedName name="wwwwwww_2_2_1" hidden="1">{"Assumptions",#N/A,FALSE,"Model"}</definedName>
    <definedName name="wwwwwww_2_3" localSheetId="3" hidden="1">{"Assumptions",#N/A,FALSE,"Model"}</definedName>
    <definedName name="wwwwwww_2_3" localSheetId="1" hidden="1">{"Assumptions",#N/A,FALSE,"Model"}</definedName>
    <definedName name="wwwwwww_2_3" hidden="1">{"Assumptions",#N/A,FALSE,"Model"}</definedName>
    <definedName name="wwwwwww_3" localSheetId="3" hidden="1">{"Assumptions",#N/A,FALSE,"Model"}</definedName>
    <definedName name="wwwwwww_3" localSheetId="1" hidden="1">{"Assumptions",#N/A,FALSE,"Model"}</definedName>
    <definedName name="wwwwwww_3" hidden="1">{"Assumptions",#N/A,FALSE,"Model"}</definedName>
    <definedName name="wwwwwww_3_1" localSheetId="3" hidden="1">{"Assumptions",#N/A,FALSE,"Model"}</definedName>
    <definedName name="wwwwwww_3_1" localSheetId="1" hidden="1">{"Assumptions",#N/A,FALSE,"Model"}</definedName>
    <definedName name="wwwwwww_3_1" hidden="1">{"Assumptions",#N/A,FALSE,"Model"}</definedName>
    <definedName name="wwwwwww_3_1_1" localSheetId="3" hidden="1">{"Assumptions",#N/A,FALSE,"Model"}</definedName>
    <definedName name="wwwwwww_3_1_1" localSheetId="1" hidden="1">{"Assumptions",#N/A,FALSE,"Model"}</definedName>
    <definedName name="wwwwwww_3_1_1" hidden="1">{"Assumptions",#N/A,FALSE,"Model"}</definedName>
    <definedName name="wwwwwww_3_1_1_1" localSheetId="3" hidden="1">{"Assumptions",#N/A,FALSE,"Model"}</definedName>
    <definedName name="wwwwwww_3_1_1_1" localSheetId="1" hidden="1">{"Assumptions",#N/A,FALSE,"Model"}</definedName>
    <definedName name="wwwwwww_3_1_1_1" hidden="1">{"Assumptions",#N/A,FALSE,"Model"}</definedName>
    <definedName name="wwwwwww_3_2" localSheetId="3" hidden="1">{"Assumptions",#N/A,FALSE,"Model"}</definedName>
    <definedName name="wwwwwww_3_2" localSheetId="1" hidden="1">{"Assumptions",#N/A,FALSE,"Model"}</definedName>
    <definedName name="wwwwwww_3_2" hidden="1">{"Assumptions",#N/A,FALSE,"Model"}</definedName>
    <definedName name="wwwwwww_3_2_1" localSheetId="3" hidden="1">{"Assumptions",#N/A,FALSE,"Model"}</definedName>
    <definedName name="wwwwwww_3_2_1" localSheetId="1" hidden="1">{"Assumptions",#N/A,FALSE,"Model"}</definedName>
    <definedName name="wwwwwww_3_2_1" hidden="1">{"Assumptions",#N/A,FALSE,"Model"}</definedName>
    <definedName name="wwwwwww_3_3" localSheetId="3" hidden="1">{"Assumptions",#N/A,FALSE,"Model"}</definedName>
    <definedName name="wwwwwww_3_3" localSheetId="1" hidden="1">{"Assumptions",#N/A,FALSE,"Model"}</definedName>
    <definedName name="wwwwwww_3_3" hidden="1">{"Assumptions",#N/A,FALSE,"Model"}</definedName>
    <definedName name="wwwwwww_4" localSheetId="3" hidden="1">{"Assumptions",#N/A,FALSE,"Model"}</definedName>
    <definedName name="wwwwwww_4" localSheetId="1" hidden="1">{"Assumptions",#N/A,FALSE,"Model"}</definedName>
    <definedName name="wwwwwww_4" hidden="1">{"Assumptions",#N/A,FALSE,"Model"}</definedName>
    <definedName name="wwwwwww_4_1" localSheetId="3" hidden="1">{"Assumptions",#N/A,FALSE,"Model"}</definedName>
    <definedName name="wwwwwww_4_1" localSheetId="1" hidden="1">{"Assumptions",#N/A,FALSE,"Model"}</definedName>
    <definedName name="wwwwwww_4_1" hidden="1">{"Assumptions",#N/A,FALSE,"Model"}</definedName>
    <definedName name="wwwwwww_4_1_1" localSheetId="3" hidden="1">{"Assumptions",#N/A,FALSE,"Model"}</definedName>
    <definedName name="wwwwwww_4_1_1" localSheetId="1" hidden="1">{"Assumptions",#N/A,FALSE,"Model"}</definedName>
    <definedName name="wwwwwww_4_1_1" hidden="1">{"Assumptions",#N/A,FALSE,"Model"}</definedName>
    <definedName name="wwwwwww_4_1_1_1" localSheetId="3" hidden="1">{"Assumptions",#N/A,FALSE,"Model"}</definedName>
    <definedName name="wwwwwww_4_1_1_1" localSheetId="1" hidden="1">{"Assumptions",#N/A,FALSE,"Model"}</definedName>
    <definedName name="wwwwwww_4_1_1_1" hidden="1">{"Assumptions",#N/A,FALSE,"Model"}</definedName>
    <definedName name="wwwwwww_4_2" localSheetId="3" hidden="1">{"Assumptions",#N/A,FALSE,"Model"}</definedName>
    <definedName name="wwwwwww_4_2" localSheetId="1" hidden="1">{"Assumptions",#N/A,FALSE,"Model"}</definedName>
    <definedName name="wwwwwww_4_2" hidden="1">{"Assumptions",#N/A,FALSE,"Model"}</definedName>
    <definedName name="wwwwwww_4_2_1" localSheetId="3" hidden="1">{"Assumptions",#N/A,FALSE,"Model"}</definedName>
    <definedName name="wwwwwww_4_2_1" localSheetId="1" hidden="1">{"Assumptions",#N/A,FALSE,"Model"}</definedName>
    <definedName name="wwwwwww_4_2_1" hidden="1">{"Assumptions",#N/A,FALSE,"Model"}</definedName>
    <definedName name="wwwwwww_4_3" localSheetId="3" hidden="1">{"Assumptions",#N/A,FALSE,"Model"}</definedName>
    <definedName name="wwwwwww_4_3" localSheetId="1" hidden="1">{"Assumptions",#N/A,FALSE,"Model"}</definedName>
    <definedName name="wwwwwww_4_3" hidden="1">{"Assumptions",#N/A,FALSE,"Model"}</definedName>
    <definedName name="wwwwwww_5" localSheetId="3" hidden="1">{"Assumptions",#N/A,FALSE,"Model"}</definedName>
    <definedName name="wwwwwww_5" localSheetId="1" hidden="1">{"Assumptions",#N/A,FALSE,"Model"}</definedName>
    <definedName name="wwwwwww_5" hidden="1">{"Assumptions",#N/A,FALSE,"Model"}</definedName>
    <definedName name="wwwwwww_5_1" localSheetId="3" hidden="1">{"Assumptions",#N/A,FALSE,"Model"}</definedName>
    <definedName name="wwwwwww_5_1" localSheetId="1" hidden="1">{"Assumptions",#N/A,FALSE,"Model"}</definedName>
    <definedName name="wwwwwww_5_1" hidden="1">{"Assumptions",#N/A,FALSE,"Model"}</definedName>
    <definedName name="wwwwwww_5_1_1" localSheetId="3" hidden="1">{"Assumptions",#N/A,FALSE,"Model"}</definedName>
    <definedName name="wwwwwww_5_1_1" localSheetId="1" hidden="1">{"Assumptions",#N/A,FALSE,"Model"}</definedName>
    <definedName name="wwwwwww_5_1_1" hidden="1">{"Assumptions",#N/A,FALSE,"Model"}</definedName>
    <definedName name="wwwwwww_5_1_1_1" localSheetId="3" hidden="1">{"Assumptions",#N/A,FALSE,"Model"}</definedName>
    <definedName name="wwwwwww_5_1_1_1" localSheetId="1" hidden="1">{"Assumptions",#N/A,FALSE,"Model"}</definedName>
    <definedName name="wwwwwww_5_1_1_1" hidden="1">{"Assumptions",#N/A,FALSE,"Model"}</definedName>
    <definedName name="wwwwwww_5_2" localSheetId="3" hidden="1">{"Assumptions",#N/A,FALSE,"Model"}</definedName>
    <definedName name="wwwwwww_5_2" localSheetId="1" hidden="1">{"Assumptions",#N/A,FALSE,"Model"}</definedName>
    <definedName name="wwwwwww_5_2" hidden="1">{"Assumptions",#N/A,FALSE,"Model"}</definedName>
    <definedName name="wwwwwww_5_2_1" localSheetId="3" hidden="1">{"Assumptions",#N/A,FALSE,"Model"}</definedName>
    <definedName name="wwwwwww_5_2_1" localSheetId="1" hidden="1">{"Assumptions",#N/A,FALSE,"Model"}</definedName>
    <definedName name="wwwwwww_5_2_1" hidden="1">{"Assumptions",#N/A,FALSE,"Model"}</definedName>
    <definedName name="wwwwwww_5_3" localSheetId="3" hidden="1">{"Assumptions",#N/A,FALSE,"Model"}</definedName>
    <definedName name="wwwwwww_5_3" localSheetId="1" hidden="1">{"Assumptions",#N/A,FALSE,"Model"}</definedName>
    <definedName name="wwwwwww_5_3" hidden="1">{"Assumptions",#N/A,FALSE,"Model"}</definedName>
    <definedName name="x" hidden="1">#REF!</definedName>
    <definedName name="XREF_COLUMN_1" hidden="1">#REF!</definedName>
    <definedName name="XREF_COLUMN_10" hidden="1">#REF!</definedName>
    <definedName name="XREF_COLUMN_11" hidden="1">#REF!</definedName>
    <definedName name="XREF_COLUMN_13" hidden="1">#REF!</definedName>
    <definedName name="XREF_COLUMN_14" localSheetId="1" hidden="1">#REF!</definedName>
    <definedName name="XREF_COLUMN_14" hidden="1">#REF!</definedName>
    <definedName name="XREF_COLUMN_15" localSheetId="1" hidden="1">#REF!</definedName>
    <definedName name="XREF_COLUMN_15" hidden="1">#REF!</definedName>
    <definedName name="XREF_COLUMN_16" hidden="1">#REF!</definedName>
    <definedName name="XREF_COLUMN_17" hidden="1">#REF!</definedName>
    <definedName name="XREF_COLUMN_18" hidden="1">#REF!</definedName>
    <definedName name="XREF_COLUMN_19" localSheetId="1" hidden="1">#REF!</definedName>
    <definedName name="XREF_COLUMN_19" hidden="1">#REF!</definedName>
    <definedName name="XREF_COLUMN_2" hidden="1">#REF!</definedName>
    <definedName name="XREF_COLUMN_20" hidden="1">#REF!</definedName>
    <definedName name="XREF_COLUMN_21" localSheetId="1" hidden="1">#REF!</definedName>
    <definedName name="XREF_COLUMN_21" hidden="1">#REF!</definedName>
    <definedName name="XREF_COLUMN_22" hidden="1">#REF!</definedName>
    <definedName name="XREF_COLUMN_24" hidden="1">#REF!</definedName>
    <definedName name="XREF_COLUMN_3" localSheetId="1" hidden="1">#REF!</definedName>
    <definedName name="XREF_COLUMN_3" hidden="1">#REF!</definedName>
    <definedName name="XREF_COLUMN_4" localSheetId="1" hidden="1">#REF!</definedName>
    <definedName name="XREF_COLUMN_4" hidden="1">#REF!</definedName>
    <definedName name="XREF_COLUMN_5" localSheetId="1" hidden="1">#REF!</definedName>
    <definedName name="XREF_COLUMN_5" hidden="1">#REF!</definedName>
    <definedName name="XREF_COLUMN_6" localSheetId="1" hidden="1">#REF!</definedName>
    <definedName name="XREF_COLUMN_6" hidden="1">#REF!</definedName>
    <definedName name="XREF_COLUMN_7" localSheetId="1" hidden="1">#REF!</definedName>
    <definedName name="XREF_COLUMN_7" hidden="1">#REF!</definedName>
    <definedName name="XREF_COLUMN_8" localSheetId="1" hidden="1">#REF!</definedName>
    <definedName name="XREF_COLUMN_8" hidden="1">#REF!</definedName>
    <definedName name="XREF_COLUMN_9" localSheetId="1" hidden="1">#REF!</definedName>
    <definedName name="XREF_COLUMN_9" hidden="1">#REF!</definedName>
    <definedName name="XRefActiveRow" hidden="1">#REF!</definedName>
    <definedName name="XRefColumnsCount" hidden="1">9</definedName>
    <definedName name="XRefCopy1" hidden="1">#REF!</definedName>
    <definedName name="XRefCopy10" localSheetId="1" hidden="1">#REF!</definedName>
    <definedName name="XRefCopy10" hidden="1">#REF!</definedName>
    <definedName name="XRefCopy10Row" hidden="1">#REF!</definedName>
    <definedName name="XRefCopy11" hidden="1">#REF!</definedName>
    <definedName name="XRefCopy11Row" hidden="1">#REF!</definedName>
    <definedName name="XRefCopy12" hidden="1">#REF!</definedName>
    <definedName name="XRefCopy12Row" hidden="1">#REF!</definedName>
    <definedName name="XRefCopy13" hidden="1">#REF!</definedName>
    <definedName name="XRefCopy13Row" hidden="1">#REF!</definedName>
    <definedName name="XRefCopy14" hidden="1">#REF!</definedName>
    <definedName name="XRefCopy14Row" hidden="1">#REF!</definedName>
    <definedName name="XRefCopy15Row" hidden="1">#REF!</definedName>
    <definedName name="XRefCopy16" hidden="1">#REF!</definedName>
    <definedName name="XRefCopy16Row" hidden="1">#REF!</definedName>
    <definedName name="XRefCopy17" hidden="1">#REF!</definedName>
    <definedName name="XRefCopy17Row" hidden="1">#REF!</definedName>
    <definedName name="XRefCopy18" hidden="1">#REF!</definedName>
    <definedName name="XRefCopy18Row" hidden="1">#REF!</definedName>
    <definedName name="XRefCopy19Row" hidden="1">#REF!</definedName>
    <definedName name="XRefCopy1Row" hidden="1">#REF!</definedName>
    <definedName name="XRefCopy2" hidden="1">#REF!</definedName>
    <definedName name="XRefCopy20Row" hidden="1">#REF!</definedName>
    <definedName name="XRefCopy21Row" hidden="1">#REF!</definedName>
    <definedName name="XRefCopy22Row" hidden="1">#REF!</definedName>
    <definedName name="XRefCopy23Row" hidden="1">#REF!</definedName>
    <definedName name="XRefCopy24Row" hidden="1">#REF!</definedName>
    <definedName name="XRefCopy25Row" hidden="1">#REF!</definedName>
    <definedName name="XRefCopy26Row" hidden="1">#REF!</definedName>
    <definedName name="XRefCopy27" localSheetId="1" hidden="1">#REF!</definedName>
    <definedName name="XRefCopy27" hidden="1">#REF!</definedName>
    <definedName name="XRefCopy27Row" hidden="1">#REF!</definedName>
    <definedName name="XRefCopy28Row" hidden="1">#REF!</definedName>
    <definedName name="XRefCopy29Row" hidden="1">#REF!</definedName>
    <definedName name="XRefCopy2Row" localSheetId="1" hidden="1">#REF!</definedName>
    <definedName name="XRefCopy2Row" hidden="1">#REF!</definedName>
    <definedName name="XRefCopy3" hidden="1">#REF!</definedName>
    <definedName name="XRefCopy30Row" hidden="1">#REF!</definedName>
    <definedName name="XRefCopy31Row" hidden="1">#REF!</definedName>
    <definedName name="XRefCopy32Row" hidden="1">#REF!</definedName>
    <definedName name="XRefCopy33" hidden="1">#REF!</definedName>
    <definedName name="XRefCopy33Row" hidden="1">#REF!</definedName>
    <definedName name="XRefCopy34Row" hidden="1">#REF!</definedName>
    <definedName name="XRefCopy35Row" hidden="1">#REF!</definedName>
    <definedName name="XRefCopy36Row" hidden="1">#REF!</definedName>
    <definedName name="XRefCopy37Row" hidden="1">#REF!</definedName>
    <definedName name="XRefCopy38" hidden="1">#REF!</definedName>
    <definedName name="XRefCopy38Row" hidden="1">#REF!</definedName>
    <definedName name="XRefCopy39" hidden="1">#REF!</definedName>
    <definedName name="XRefCopy39Row" hidden="1">#REF!</definedName>
    <definedName name="XRefCopy3Row" localSheetId="1" hidden="1">#REF!</definedName>
    <definedName name="XRefCopy3Row" hidden="1">#REF!</definedName>
    <definedName name="XRefCopy4" hidden="1">#REF!</definedName>
    <definedName name="XRefCopy40Row" hidden="1">#REF!</definedName>
    <definedName name="XRefCopy41Row" hidden="1">#REF!</definedName>
    <definedName name="XRefCopy42" hidden="1">#REF!</definedName>
    <definedName name="XRefCopy42Row" hidden="1">#REF!</definedName>
    <definedName name="XRefCopy43" hidden="1">#REF!</definedName>
    <definedName name="XRefCopy43Row" hidden="1">#REF!</definedName>
    <definedName name="XRefCopy44" hidden="1">#REF!</definedName>
    <definedName name="XRefCopy45" hidden="1">#REF!</definedName>
    <definedName name="XRefCopy45Row" hidden="1">#REF!</definedName>
    <definedName name="XRefCopy4Row" hidden="1">#REF!</definedName>
    <definedName name="XRefCopy5" hidden="1">#REF!</definedName>
    <definedName name="XRefCopy51" hidden="1">#REF!</definedName>
    <definedName name="XRefCopy52" hidden="1">#REF!</definedName>
    <definedName name="XRefCopy53" hidden="1">#REF!</definedName>
    <definedName name="XRefCopy54" hidden="1">#REF!</definedName>
    <definedName name="XRefCopy5Row" localSheetId="1" hidden="1">#REF!</definedName>
    <definedName name="XRefCopy5Row" hidden="1">#REF!</definedName>
    <definedName name="XRefCopy6" localSheetId="1" hidden="1">#REF!</definedName>
    <definedName name="XRefCopy6" hidden="1">#REF!</definedName>
    <definedName name="XRefCopy6Row" hidden="1">#REF!</definedName>
    <definedName name="XRefCopy7" hidden="1">#REF!</definedName>
    <definedName name="XRefCopy7Row" hidden="1">#REF!</definedName>
    <definedName name="XRefCopy8" hidden="1">#REF!</definedName>
    <definedName name="XRefCopy8Row" hidden="1">#REF!</definedName>
    <definedName name="XRefCopy9" hidden="1">#REF!</definedName>
    <definedName name="XRefCopy9Row" hidden="1">#REF!</definedName>
    <definedName name="XRefCopyRangeCount" hidden="1">37</definedName>
    <definedName name="XRefPaste1" hidden="1">#REF!</definedName>
    <definedName name="XRefPaste10" hidden="1">#REF!</definedName>
    <definedName name="XRefPaste10Row" hidden="1">#REF!</definedName>
    <definedName name="XRefPaste11" hidden="1">#REF!</definedName>
    <definedName name="XRefPaste11Row" hidden="1">#REF!</definedName>
    <definedName name="XRefPaste12" localSheetId="1" hidden="1">#REF!</definedName>
    <definedName name="XRefPaste12" hidden="1">#REF!</definedName>
    <definedName name="XRefPaste12Row" hidden="1">#REF!</definedName>
    <definedName name="XRefPaste13" hidden="1">#REF!</definedName>
    <definedName name="XRefPaste13Row" hidden="1">#REF!</definedName>
    <definedName name="XRefPaste14" hidden="1">#REF!</definedName>
    <definedName name="XRefPaste14Row" hidden="1">#REF!</definedName>
    <definedName name="XRefPaste15Row" hidden="1">#REF!</definedName>
    <definedName name="XRefPaste16" hidden="1">#REF!</definedName>
    <definedName name="XRefPaste16Row" hidden="1">#REF!</definedName>
    <definedName name="XRefPaste17" hidden="1">#REF!</definedName>
    <definedName name="XRefPaste17Row" hidden="1">#REF!</definedName>
    <definedName name="XRefPaste18" hidden="1">#REF!</definedName>
    <definedName name="XRefPaste18Row" hidden="1">#REF!</definedName>
    <definedName name="XRefPaste19" hidden="1">#REF!</definedName>
    <definedName name="XRefPaste19Row" hidden="1">#REF!</definedName>
    <definedName name="XRefPaste1Row" hidden="1">#REF!</definedName>
    <definedName name="XRefPaste2" hidden="1">#REF!</definedName>
    <definedName name="XRefPaste20" hidden="1">#REF!</definedName>
    <definedName name="XRefPaste20Row" hidden="1">#REF!</definedName>
    <definedName name="XRefPaste21" hidden="1">#REF!</definedName>
    <definedName name="XRefPaste21Row" hidden="1">#REF!</definedName>
    <definedName name="XRefPaste22" hidden="1">#REF!</definedName>
    <definedName name="XRefPaste22Row" hidden="1">#REF!</definedName>
    <definedName name="XRefPaste23Row" hidden="1">#REF!</definedName>
    <definedName name="XRefPaste24" hidden="1">#REF!</definedName>
    <definedName name="XRefPaste24Row" hidden="1">#REF!</definedName>
    <definedName name="XRefPaste25Row" hidden="1">#REF!</definedName>
    <definedName name="XRefPaste26" hidden="1">#REF!</definedName>
    <definedName name="XRefPaste26Row" hidden="1">#REF!</definedName>
    <definedName name="XRefPaste27" hidden="1">#REF!</definedName>
    <definedName name="XRefPaste27Row" hidden="1">#REF!</definedName>
    <definedName name="XRefPaste28" hidden="1">#REF!</definedName>
    <definedName name="XRefPaste28Row" hidden="1">#REF!</definedName>
    <definedName name="XRefPaste29" hidden="1">#REF!</definedName>
    <definedName name="XRefPaste29Row" hidden="1">#REF!</definedName>
    <definedName name="XRefPaste2Row" localSheetId="1" hidden="1">#REF!</definedName>
    <definedName name="XRefPaste2Row" hidden="1">#REF!</definedName>
    <definedName name="XRefPaste3" hidden="1">#REF!</definedName>
    <definedName name="XRefPaste30Row" hidden="1">#REF!</definedName>
    <definedName name="XRefPaste31Row" hidden="1">#REF!</definedName>
    <definedName name="XRefPaste32Row" hidden="1">#REF!</definedName>
    <definedName name="XRefPaste33" hidden="1">#REF!</definedName>
    <definedName name="XRefPaste33Row" hidden="1">#REF!</definedName>
    <definedName name="XRefPaste34" hidden="1">#REF!</definedName>
    <definedName name="XRefPaste34Row" hidden="1">#REF!</definedName>
    <definedName name="XRefPaste35" hidden="1">#REF!</definedName>
    <definedName name="XRefPaste35Row" hidden="1">#REF!</definedName>
    <definedName name="XRefPaste36" hidden="1">#REF!</definedName>
    <definedName name="XRefPaste36Row" hidden="1">#REF!</definedName>
    <definedName name="XRefPaste37" hidden="1">#REF!</definedName>
    <definedName name="XRefPaste37Row" hidden="1">#REF!</definedName>
    <definedName name="XRefPaste38" hidden="1">#REF!</definedName>
    <definedName name="XRefPaste38Row" hidden="1">#REF!</definedName>
    <definedName name="XRefPaste39" hidden="1">#REF!</definedName>
    <definedName name="XRefPaste39Row" hidden="1">#REF!</definedName>
    <definedName name="XRefPaste3Row" hidden="1">#REF!</definedName>
    <definedName name="XRefPaste4" hidden="1">#REF!</definedName>
    <definedName name="XRefPaste40" localSheetId="1" hidden="1">#REF!</definedName>
    <definedName name="XRefPaste40" hidden="1">#REF!</definedName>
    <definedName name="XRefPaste40Row" hidden="1">#REF!</definedName>
    <definedName name="XRefPaste41" hidden="1">#REF!</definedName>
    <definedName name="XRefPaste41Row" hidden="1">#REF!</definedName>
    <definedName name="XRefPaste42" hidden="1">#REF!</definedName>
    <definedName name="XRefPaste42Row" hidden="1">#REF!</definedName>
    <definedName name="XRefPaste43" hidden="1">#REF!</definedName>
    <definedName name="XRefPaste43Row" hidden="1">#REF!</definedName>
    <definedName name="XRefPaste44" hidden="1">#REF!</definedName>
    <definedName name="XRefPaste45" hidden="1">#REF!</definedName>
    <definedName name="XRefPaste46" hidden="1">#REF!</definedName>
    <definedName name="XRefPaste47" hidden="1">#REF!</definedName>
    <definedName name="XRefPaste48" hidden="1">#REF!</definedName>
    <definedName name="XRefPaste49" hidden="1">#REF!</definedName>
    <definedName name="XRefPaste4Row" hidden="1">#REF!</definedName>
    <definedName name="XRefPaste5" hidden="1">#REF!</definedName>
    <definedName name="XRefPaste50" hidden="1">#REF!</definedName>
    <definedName name="XRefPaste51" hidden="1">#REF!</definedName>
    <definedName name="XRefPaste52" hidden="1">#REF!</definedName>
    <definedName name="XRefPaste5Row" hidden="1">#REF!</definedName>
    <definedName name="XRefPaste6" hidden="1">#REF!</definedName>
    <definedName name="XRefPaste6Row" hidden="1">#REF!</definedName>
    <definedName name="XRefPaste7" hidden="1">#REF!</definedName>
    <definedName name="XRefPaste7Row" hidden="1">#REF!</definedName>
    <definedName name="XRefPaste8" hidden="1">#REF!</definedName>
    <definedName name="XRefPaste8Row" hidden="1">#REF!</definedName>
    <definedName name="XRefPaste9" hidden="1">#REF!</definedName>
    <definedName name="XRefPaste9Row" hidden="1">#REF!</definedName>
    <definedName name="XRefPasteRangeCount" hidden="1">18</definedName>
    <definedName name="Y1Q1Base" localSheetId="1">#REF!</definedName>
    <definedName name="Y1Q1Base">#REF!</definedName>
    <definedName name="Y1Q1BaseCOS" localSheetId="1">#REF!</definedName>
    <definedName name="Y1Q1BaseCOS">#REF!</definedName>
    <definedName name="Y1Q1Health" localSheetId="1">#REF!</definedName>
    <definedName name="Y1Q1Health">#REF!</definedName>
    <definedName name="Y1Q1Ic" localSheetId="1">#REF!</definedName>
    <definedName name="Y1Q1Ic">#REF!</definedName>
    <definedName name="Y1Q1IcCOS" localSheetId="1">#REF!</definedName>
    <definedName name="Y1Q1IcCOS">#REF!</definedName>
    <definedName name="Y1Q1Sic" localSheetId="1">#REF!</definedName>
    <definedName name="Y1Q1Sic">#REF!</definedName>
    <definedName name="Y1Q1SicCOS" localSheetId="1">#REF!</definedName>
    <definedName name="Y1Q1SicCOS">#REF!</definedName>
    <definedName name="Y1Q1Vic" localSheetId="1">#REF!</definedName>
    <definedName name="Y1Q1Vic">#REF!</definedName>
    <definedName name="Y1Q1VicCOS" localSheetId="1">#REF!</definedName>
    <definedName name="Y1Q1VicCOS">#REF!</definedName>
    <definedName name="Y1Q2Base" localSheetId="1">#REF!</definedName>
    <definedName name="Y1Q2Base">#REF!</definedName>
    <definedName name="Y1Q2BaseCOS" localSheetId="1">#REF!</definedName>
    <definedName name="Y1Q2BaseCOS">#REF!</definedName>
    <definedName name="Y1Q2Health" localSheetId="1">#REF!</definedName>
    <definedName name="Y1Q2Health">#REF!</definedName>
    <definedName name="Y1Q2Ic" localSheetId="1">#REF!</definedName>
    <definedName name="Y1Q2Ic">#REF!</definedName>
    <definedName name="Y1Q2IcCOS" localSheetId="1">#REF!</definedName>
    <definedName name="Y1Q2IcCOS">#REF!</definedName>
    <definedName name="Y1Q2Sic" localSheetId="1">#REF!</definedName>
    <definedName name="Y1Q2Sic">#REF!</definedName>
    <definedName name="Y1Q2SicCOS" localSheetId="1">#REF!</definedName>
    <definedName name="Y1Q2SicCOS">#REF!</definedName>
    <definedName name="Y1Q2Vic" localSheetId="1">#REF!</definedName>
    <definedName name="Y1Q2Vic">#REF!</definedName>
    <definedName name="Y1Q2VicCOS" localSheetId="1">#REF!</definedName>
    <definedName name="Y1Q2VicCOS">#REF!</definedName>
    <definedName name="Y1Q3Base" localSheetId="1">#REF!</definedName>
    <definedName name="Y1Q3Base">#REF!</definedName>
    <definedName name="Y1Q3BaseCOS" localSheetId="1">#REF!</definedName>
    <definedName name="Y1Q3BaseCOS">#REF!</definedName>
    <definedName name="Y1Q3Health" localSheetId="1">#REF!</definedName>
    <definedName name="Y1Q3Health">#REF!</definedName>
    <definedName name="Y1Q3Ic" localSheetId="1">#REF!</definedName>
    <definedName name="Y1Q3Ic">#REF!</definedName>
    <definedName name="Y1Q3IcCOS" localSheetId="1">#REF!</definedName>
    <definedName name="Y1Q3IcCOS">#REF!</definedName>
    <definedName name="Y1Q3Sic" localSheetId="1">#REF!</definedName>
    <definedName name="Y1Q3Sic">#REF!</definedName>
    <definedName name="Y1Q3SicCOS" localSheetId="1">#REF!</definedName>
    <definedName name="Y1Q3SicCOS">#REF!</definedName>
    <definedName name="Y1Q3Vic" localSheetId="1">#REF!</definedName>
    <definedName name="Y1Q3Vic">#REF!</definedName>
    <definedName name="Y1Q3VicCOS" localSheetId="1">#REF!</definedName>
    <definedName name="Y1Q3VicCOS">#REF!</definedName>
    <definedName name="Y1Q4Base" localSheetId="1">#REF!</definedName>
    <definedName name="Y1Q4Base">#REF!</definedName>
    <definedName name="Y1Q4BaseCOS" localSheetId="1">#REF!</definedName>
    <definedName name="Y1Q4BaseCOS">#REF!</definedName>
    <definedName name="Y1Q4Health" localSheetId="1">#REF!</definedName>
    <definedName name="Y1Q4Health">#REF!</definedName>
    <definedName name="Y1Q4Ic" localSheetId="1">#REF!</definedName>
    <definedName name="Y1Q4Ic">#REF!</definedName>
    <definedName name="Y1Q4IcCOS" localSheetId="1">#REF!</definedName>
    <definedName name="Y1Q4IcCOS">#REF!</definedName>
    <definedName name="Y1Q4Sic" localSheetId="1">#REF!</definedName>
    <definedName name="Y1Q4Sic">#REF!</definedName>
    <definedName name="Y1Q4SicCOS" localSheetId="1">#REF!</definedName>
    <definedName name="Y1Q4SicCOS">#REF!</definedName>
    <definedName name="Y1Q4Vic" localSheetId="1">#REF!</definedName>
    <definedName name="Y1Q4Vic">#REF!</definedName>
    <definedName name="Y1Q4VicCOS" localSheetId="1">#REF!</definedName>
    <definedName name="Y1Q4VicCOS">#REF!</definedName>
    <definedName name="Y2Q1Base" localSheetId="1">#REF!</definedName>
    <definedName name="Y2Q1Base">#REF!</definedName>
    <definedName name="Y2Q1BaseCOS" localSheetId="1">#REF!</definedName>
    <definedName name="Y2Q1BaseCOS">#REF!</definedName>
    <definedName name="Y2Q1Health" localSheetId="1">#REF!</definedName>
    <definedName name="Y2Q1Health">#REF!</definedName>
    <definedName name="Y2Q1Ic" localSheetId="1">#REF!</definedName>
    <definedName name="Y2Q1Ic">#REF!</definedName>
    <definedName name="Y2Q1IcCOS" localSheetId="1">#REF!</definedName>
    <definedName name="Y2Q1IcCOS">#REF!</definedName>
    <definedName name="Y2Q1Sic" localSheetId="1">#REF!</definedName>
    <definedName name="Y2Q1Sic">#REF!</definedName>
    <definedName name="Y2Q1SicCOS" localSheetId="1">#REF!</definedName>
    <definedName name="Y2Q1SicCOS">#REF!</definedName>
    <definedName name="Y2Q1Vic" localSheetId="1">#REF!</definedName>
    <definedName name="Y2Q1Vic">#REF!</definedName>
    <definedName name="Y2Q1VicCOS" localSheetId="1">#REF!</definedName>
    <definedName name="Y2Q1VicCOS">#REF!</definedName>
    <definedName name="Y2Q2Base" localSheetId="1">#REF!</definedName>
    <definedName name="Y2Q2Base">#REF!</definedName>
    <definedName name="Y2Q2BaseCos" localSheetId="1">#REF!</definedName>
    <definedName name="Y2Q2BaseCos">#REF!</definedName>
    <definedName name="Y2Q2Health" localSheetId="1">#REF!</definedName>
    <definedName name="Y2Q2Health">#REF!</definedName>
    <definedName name="Y2Q2Ic" localSheetId="1">#REF!</definedName>
    <definedName name="Y2Q2Ic">#REF!</definedName>
    <definedName name="Y2Q2IcCOS" localSheetId="1">#REF!</definedName>
    <definedName name="Y2Q2IcCOS">#REF!</definedName>
    <definedName name="Y2Q2Sic" localSheetId="1">#REF!</definedName>
    <definedName name="Y2Q2Sic">#REF!</definedName>
    <definedName name="Y2Q2SicCOS" localSheetId="1">#REF!</definedName>
    <definedName name="Y2Q2SicCOS">#REF!</definedName>
    <definedName name="Y2Q2Vic" localSheetId="1">#REF!</definedName>
    <definedName name="Y2Q2Vic">#REF!</definedName>
    <definedName name="Y2Q2VicCOS" localSheetId="1">#REF!</definedName>
    <definedName name="Y2Q2VicCOS">#REF!</definedName>
    <definedName name="Y2Q3Base" localSheetId="1">#REF!</definedName>
    <definedName name="Y2Q3Base">#REF!</definedName>
    <definedName name="Y2Q3BaseCOS" localSheetId="1">#REF!</definedName>
    <definedName name="Y2Q3BaseCOS">#REF!</definedName>
    <definedName name="Y2Q3Health" localSheetId="1">#REF!</definedName>
    <definedName name="Y2Q3Health">#REF!</definedName>
    <definedName name="Y2Q3Ic" localSheetId="1">#REF!</definedName>
    <definedName name="Y2Q3Ic">#REF!</definedName>
    <definedName name="Y2Q3IcCOS" localSheetId="1">#REF!</definedName>
    <definedName name="Y2Q3IcCOS">#REF!</definedName>
    <definedName name="Y2Q3Sic" localSheetId="1">#REF!</definedName>
    <definedName name="Y2Q3Sic">#REF!</definedName>
    <definedName name="Y2Q3SicCOS" localSheetId="1">#REF!</definedName>
    <definedName name="Y2Q3SicCOS">#REF!</definedName>
    <definedName name="Y2Q3Vic" localSheetId="1">#REF!</definedName>
    <definedName name="Y2Q3Vic">#REF!</definedName>
    <definedName name="Y2Q3VicCOS" localSheetId="1">#REF!</definedName>
    <definedName name="Y2Q3VicCOS">#REF!</definedName>
    <definedName name="Y2Q4Base" localSheetId="1">#REF!</definedName>
    <definedName name="Y2Q4Base">#REF!</definedName>
    <definedName name="Y2Q4BaseCOS" localSheetId="1">#REF!</definedName>
    <definedName name="Y2Q4BaseCOS">#REF!</definedName>
    <definedName name="Y2Q4Health" localSheetId="1">#REF!</definedName>
    <definedName name="Y2Q4Health">#REF!</definedName>
    <definedName name="Y2Q4Ic" localSheetId="1">#REF!</definedName>
    <definedName name="Y2Q4Ic">#REF!</definedName>
    <definedName name="Y2Q4IcCOS" localSheetId="1">#REF!</definedName>
    <definedName name="Y2Q4IcCOS">#REF!</definedName>
    <definedName name="Y2Q4Sic" localSheetId="1">#REF!</definedName>
    <definedName name="Y2Q4Sic">#REF!</definedName>
    <definedName name="Y2Q4SicCOS" localSheetId="1">#REF!</definedName>
    <definedName name="Y2Q4SicCOS">#REF!</definedName>
    <definedName name="Y2Q4Vic" localSheetId="1">#REF!</definedName>
    <definedName name="Y2Q4Vic">#REF!</definedName>
    <definedName name="Y2Q4VicCOS" localSheetId="1">#REF!</definedName>
    <definedName name="Y2Q4VicCOS">#REF!</definedName>
    <definedName name="Y3Q1Base" localSheetId="1">#REF!</definedName>
    <definedName name="Y3Q1Base">#REF!</definedName>
    <definedName name="Y3Q1BaseCOS" localSheetId="1">#REF!</definedName>
    <definedName name="Y3Q1BaseCOS">#REF!</definedName>
    <definedName name="Y3Q1Health" localSheetId="1">#REF!</definedName>
    <definedName name="Y3Q1Health">#REF!</definedName>
    <definedName name="Y3Q1Ic" localSheetId="1">#REF!</definedName>
    <definedName name="Y3Q1Ic">#REF!</definedName>
    <definedName name="Y3Q1IcCOS" localSheetId="1">#REF!</definedName>
    <definedName name="Y3Q1IcCOS">#REF!</definedName>
    <definedName name="Y3Q1Sic" localSheetId="1">#REF!</definedName>
    <definedName name="Y3Q1Sic">#REF!</definedName>
    <definedName name="Y3Q1SicCOS" localSheetId="1">#REF!</definedName>
    <definedName name="Y3Q1SicCOS">#REF!</definedName>
    <definedName name="Y3Q1Vic" localSheetId="1">#REF!</definedName>
    <definedName name="Y3Q1Vic">#REF!</definedName>
    <definedName name="Y3Q1VicCOS" localSheetId="1">#REF!</definedName>
    <definedName name="Y3Q1VicCOS">#REF!</definedName>
    <definedName name="Y3Q2Base" localSheetId="1">#REF!</definedName>
    <definedName name="Y3Q2Base">#REF!</definedName>
    <definedName name="Y3Q2BaseCOS" localSheetId="1">#REF!</definedName>
    <definedName name="Y3Q2BaseCOS">#REF!</definedName>
    <definedName name="Y3Q2Health" localSheetId="1">#REF!</definedName>
    <definedName name="Y3Q2Health">#REF!</definedName>
    <definedName name="Y3Q2Ic" localSheetId="1">#REF!</definedName>
    <definedName name="Y3Q2Ic">#REF!</definedName>
    <definedName name="Y3Q2IcCOS" localSheetId="1">#REF!</definedName>
    <definedName name="Y3Q2IcCOS">#REF!</definedName>
    <definedName name="Y3Q2Sic" localSheetId="1">#REF!</definedName>
    <definedName name="Y3Q2Sic">#REF!</definedName>
    <definedName name="Y3Q2SicCOS" localSheetId="1">#REF!</definedName>
    <definedName name="Y3Q2SicCOS">#REF!</definedName>
    <definedName name="Y3Q2Vic" localSheetId="1">#REF!</definedName>
    <definedName name="Y3Q2Vic">#REF!</definedName>
    <definedName name="Y3Q2VicCOS" localSheetId="1">#REF!</definedName>
    <definedName name="Y3Q2VicCOS">#REF!</definedName>
    <definedName name="Y3Q3Base" localSheetId="1">#REF!</definedName>
    <definedName name="Y3Q3Base">#REF!</definedName>
    <definedName name="Y3Q3BaseCOS" localSheetId="1">#REF!</definedName>
    <definedName name="Y3Q3BaseCOS">#REF!</definedName>
    <definedName name="Y3Q3Health" localSheetId="1">#REF!</definedName>
    <definedName name="Y3Q3Health">#REF!</definedName>
    <definedName name="Y3Q3Ic" localSheetId="1">#REF!</definedName>
    <definedName name="Y3Q3Ic">#REF!</definedName>
    <definedName name="Y3Q3IcCOS" localSheetId="1">#REF!</definedName>
    <definedName name="Y3Q3IcCOS">#REF!</definedName>
    <definedName name="Y3Q3Sic" localSheetId="1">#REF!</definedName>
    <definedName name="Y3Q3Sic">#REF!</definedName>
    <definedName name="Y3Q3SicCOS" localSheetId="1">#REF!</definedName>
    <definedName name="Y3Q3SicCOS">#REF!</definedName>
    <definedName name="Y3Q3Vic" localSheetId="1">#REF!</definedName>
    <definedName name="Y3Q3Vic">#REF!</definedName>
    <definedName name="Y3Q3VicCOS" localSheetId="1">#REF!</definedName>
    <definedName name="Y3Q3VicCOS">#REF!</definedName>
    <definedName name="Y3Q4Base" localSheetId="1">#REF!</definedName>
    <definedName name="Y3Q4Base">#REF!</definedName>
    <definedName name="Y3Q4BaseCOS" localSheetId="1">#REF!</definedName>
    <definedName name="Y3Q4BaseCOS">#REF!</definedName>
    <definedName name="Y3Q4Health" localSheetId="1">#REF!</definedName>
    <definedName name="Y3Q4Health">#REF!</definedName>
    <definedName name="Y3Q4Ic" localSheetId="1">#REF!</definedName>
    <definedName name="Y3Q4Ic">#REF!</definedName>
    <definedName name="Y3Q4IcCOS" localSheetId="1">#REF!</definedName>
    <definedName name="Y3Q4IcCOS">#REF!</definedName>
    <definedName name="Y3Q4Sic" localSheetId="1">#REF!</definedName>
    <definedName name="Y3Q4Sic">#REF!</definedName>
    <definedName name="Y3Q4SicCOS" localSheetId="1">#REF!</definedName>
    <definedName name="Y3Q4SicCOS">#REF!</definedName>
    <definedName name="Y3Q4Vic" localSheetId="1">#REF!</definedName>
    <definedName name="Y3Q4Vic">#REF!</definedName>
    <definedName name="Y3Q4VicCOS" localSheetId="1">#REF!</definedName>
    <definedName name="Y3Q4VicCOS">#REF!</definedName>
    <definedName name="Year1" localSheetId="1">#REF!</definedName>
    <definedName name="Year1">#REF!</definedName>
    <definedName name="Year1AwardPerHead" localSheetId="1">#REF!</definedName>
    <definedName name="Year1AwardPerHead">#REF!</definedName>
    <definedName name="Year1BaseCOS" localSheetId="1">#REF!</definedName>
    <definedName name="Year1BaseCOS">#REF!</definedName>
    <definedName name="Year1BaseIncrease" localSheetId="1">#REF!</definedName>
    <definedName name="Year1BaseIncrease">#REF!</definedName>
    <definedName name="Year1Days" localSheetId="1">#REF!</definedName>
    <definedName name="Year1Days">#REF!</definedName>
    <definedName name="Year1ICCOS" localSheetId="1">#REF!</definedName>
    <definedName name="Year1ICCOS">#REF!</definedName>
    <definedName name="Year1ICIncrease" localSheetId="1">#REF!</definedName>
    <definedName name="Year1ICIncrease">#REF!</definedName>
    <definedName name="Year1OtherCBPerHead" localSheetId="1">#REF!</definedName>
    <definedName name="Year1OtherCBPerHead">#REF!</definedName>
    <definedName name="Year1OtherRange" localSheetId="1">#REF!</definedName>
    <definedName name="Year1OtherRange">#REF!</definedName>
    <definedName name="Year1SICCOS" localSheetId="1">#REF!</definedName>
    <definedName name="Year1SICCOS">#REF!</definedName>
    <definedName name="Year1SICIncrease" localSheetId="1">#REF!</definedName>
    <definedName name="Year1SICIncrease">#REF!</definedName>
    <definedName name="Year1TrainingPerHead" localSheetId="1">#REF!</definedName>
    <definedName name="Year1TrainingPerHead">#REF!</definedName>
    <definedName name="Year1VICCOS" localSheetId="1">#REF!</definedName>
    <definedName name="Year1VICCOS">#REF!</definedName>
    <definedName name="Year1VICIncrease" localSheetId="1">#REF!</definedName>
    <definedName name="Year1VICIncrease">#REF!</definedName>
    <definedName name="Year2" localSheetId="1">#REF!</definedName>
    <definedName name="Year2">#REF!</definedName>
    <definedName name="Year2AwardPerHead" localSheetId="1">#REF!</definedName>
    <definedName name="Year2AwardPerHead">#REF!</definedName>
    <definedName name="Year2BaseCOS" localSheetId="1">#REF!</definedName>
    <definedName name="Year2BaseCOS">#REF!</definedName>
    <definedName name="Year2BaseIncrease" localSheetId="1">#REF!</definedName>
    <definedName name="Year2BaseIncrease">#REF!</definedName>
    <definedName name="Year2Days" localSheetId="1">#REF!</definedName>
    <definedName name="Year2Days">#REF!</definedName>
    <definedName name="Year2ICCOS" localSheetId="1">#REF!</definedName>
    <definedName name="Year2ICCOS">#REF!</definedName>
    <definedName name="Year2ICIncrease" localSheetId="1">#REF!</definedName>
    <definedName name="Year2ICIncrease">#REF!</definedName>
    <definedName name="Year2OtherCBPerHead" localSheetId="1">#REF!</definedName>
    <definedName name="Year2OtherCBPerHead">#REF!</definedName>
    <definedName name="Year2SICCOS" localSheetId="1">#REF!</definedName>
    <definedName name="Year2SICCOS">#REF!</definedName>
    <definedName name="Year2SICIncrease" localSheetId="1">#REF!</definedName>
    <definedName name="Year2SICIncrease">#REF!</definedName>
    <definedName name="Year2TrainingPerHead" localSheetId="1">#REF!</definedName>
    <definedName name="Year2TrainingPerHead">#REF!</definedName>
    <definedName name="Year2VICCOS" localSheetId="1">#REF!</definedName>
    <definedName name="Year2VICCOS">#REF!</definedName>
    <definedName name="Year2VICIncrease" localSheetId="1">#REF!</definedName>
    <definedName name="Year2VICIncrease">#REF!</definedName>
    <definedName name="Year3" localSheetId="1">#REF!</definedName>
    <definedName name="Year3">#REF!</definedName>
    <definedName name="Year3AwardPerHead" localSheetId="1">#REF!</definedName>
    <definedName name="Year3AwardPerHead">#REF!</definedName>
    <definedName name="Year3BaseCOS" localSheetId="1">#REF!</definedName>
    <definedName name="Year3BaseCOS">#REF!</definedName>
    <definedName name="Year3BaseIncrease" localSheetId="1">#REF!</definedName>
    <definedName name="Year3BaseIncrease">#REF!</definedName>
    <definedName name="Year3Days" localSheetId="1">#REF!</definedName>
    <definedName name="Year3Days">#REF!</definedName>
    <definedName name="Year3ICCOS" localSheetId="1">#REF!</definedName>
    <definedName name="Year3ICCOS">#REF!</definedName>
    <definedName name="Year3ICIncrease" localSheetId="1">#REF!</definedName>
    <definedName name="Year3ICIncrease">#REF!</definedName>
    <definedName name="Year3OtherCBPerHead" localSheetId="1">#REF!</definedName>
    <definedName name="Year3OtherCBPerHead">#REF!</definedName>
    <definedName name="Year3SICCOS" localSheetId="1">#REF!</definedName>
    <definedName name="Year3SICCOS">#REF!</definedName>
    <definedName name="Year3SICIncrease" localSheetId="1">#REF!</definedName>
    <definedName name="Year3SICIncrease">#REF!</definedName>
    <definedName name="Year3TrainingPerHead" localSheetId="1">#REF!</definedName>
    <definedName name="Year3TrainingPerHead">#REF!</definedName>
    <definedName name="Year3VICCOS" localSheetId="1">#REF!</definedName>
    <definedName name="Year3VICCOS">#REF!</definedName>
    <definedName name="Year3VICIncrease" localSheetId="1">#REF!</definedName>
    <definedName name="Year3VICIncrease">#REF!</definedName>
    <definedName name="YearPick" localSheetId="1">#REF!</definedName>
    <definedName name="YearPick">#REF!</definedName>
    <definedName name="YearPickPrior" localSheetId="1">#REF!</definedName>
    <definedName name="YearPickPrior">#REF!</definedName>
    <definedName name="YearSelectionRange" localSheetId="1">#REF!</definedName>
    <definedName name="YearSelectionRange">#REF!</definedName>
    <definedName name="ysfdngsdr" localSheetId="1" hidden="1">#REF!</definedName>
    <definedName name="ysfdngsdr" hidden="1">#REF!</definedName>
    <definedName name="Z_7C4298AD_8F24_46B9_B78E_F7AB605EF027_.wvu.Cols" hidden="1">#REF!,#REF!</definedName>
    <definedName name="Z_7C4298AD_8F24_46B9_B78E_F7AB605EF027_.wvu.PrintArea" hidden="1">#REF!,#REF!</definedName>
    <definedName name="Z_7C4298AD_8F24_46B9_B78E_F7AB605EF027_.wvu.Rows" hidden="1">#REF!,#REF!</definedName>
    <definedName name="Z_ABB84380_5919_11D2_BBB7_00104B2ACF13_.wvu.Rows" localSheetId="1" hidden="1">#REF!,#REF!,#REF!,#REF!</definedName>
    <definedName name="Z_ABB84380_5919_11D2_BBB7_00104B2ACF13_.wvu.Rows" hidden="1">#REF!,#REF!,#REF!,#REF!</definedName>
    <definedName name="Z_B290B61F_FED0_11D0_B0F4_00A0C972699E_.wvu.FilterData" localSheetId="1" hidden="1">#REF!</definedName>
    <definedName name="Z_B290B61F_FED0_11D0_B0F4_00A0C972699E_.wvu.FilterData" hidden="1">#REF!</definedName>
    <definedName name="Z_B290B620_FED0_11D0_B0F4_00A0C972699E_.wvu.FilterData" localSheetId="1" hidden="1">#REF!</definedName>
    <definedName name="Z_B290B620_FED0_11D0_B0F4_00A0C972699E_.wvu.FilterData" hidden="1">#REF!</definedName>
    <definedName name="Z_B290B621_FED0_11D0_B0F4_00A0C972699E_.wvu.FilterData" localSheetId="1" hidden="1">#REF!</definedName>
    <definedName name="Z_B290B621_FED0_11D0_B0F4_00A0C972699E_.wvu.FilterData" hidden="1">#REF!</definedName>
    <definedName name="Z_B290B622_FED0_11D0_B0F4_00A0C972699E_.wvu.FilterData" localSheetId="1" hidden="1">#REF!</definedName>
    <definedName name="Z_B290B622_FED0_11D0_B0F4_00A0C972699E_.wvu.FilterData" hidden="1">#REF!</definedName>
    <definedName name="Z_B35CEEC0_CC5B_11D5_B91B_0050BA3CDE56_.wvu.PrintArea" hidden="1">#REF!</definedName>
    <definedName name="Z_B35CEEC0_CC5B_11D5_B91B_0050BA3CDE56_.wvu.Rows" hidden="1">#REF!,#REF!</definedName>
    <definedName name="zzz" localSheetId="3" hidden="1">{#N/A,#N/A,FALSE,"Balance Sheet";#N/A,#N/A,FALSE,"Income Statement";#N/A,#N/A,FALSE,"Partners Capital";#N/A,#N/A,FALSE,"Cash Flows";#N/A,#N/A,FALSE,"Support"}</definedName>
    <definedName name="zzz" localSheetId="1" hidden="1">{#N/A,#N/A,FALSE,"Balance Sheet";#N/A,#N/A,FALSE,"Income Statement";#N/A,#N/A,FALSE,"Partners Capital";#N/A,#N/A,FALSE,"Cash Flows";#N/A,#N/A,FALSE,"Support"}</definedName>
    <definedName name="zzz" hidden="1">{#N/A,#N/A,FALSE,"Balance Sheet";#N/A,#N/A,FALSE,"Income Statement";#N/A,#N/A,FALSE,"Partners Capital";#N/A,#N/A,FALSE,"Cash Flows";#N/A,#N/A,FALSE,"Support"}</definedName>
    <definedName name="zzz.com" localSheetId="3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zzz.com" localSheetId="1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zzz.com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</definedNames>
  <calcPr calcId="191028"/>
  <pivotCaches>
    <pivotCache cacheId="521" r:id="rId7"/>
    <pivotCache cacheId="522" r:id="rId8"/>
    <pivotCache cacheId="523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154" i="88" l="1"/>
  <c r="AI153" i="88"/>
  <c r="BP151" i="88"/>
  <c r="AA151" i="88"/>
  <c r="U151" i="88"/>
  <c r="T151" i="88"/>
  <c r="BT149" i="88"/>
  <c r="BQ149" i="88"/>
  <c r="BN149" i="88"/>
  <c r="BM149" i="88"/>
  <c r="BL149" i="88"/>
  <c r="BK149" i="88"/>
  <c r="BJ149" i="88"/>
  <c r="BI149" i="88"/>
  <c r="BH149" i="88"/>
  <c r="BG149" i="88"/>
  <c r="BF149" i="88"/>
  <c r="BE149" i="88"/>
  <c r="BD149" i="88"/>
  <c r="BC149" i="88"/>
  <c r="BB149" i="88"/>
  <c r="AO149" i="88"/>
  <c r="AN149" i="88"/>
  <c r="K149" i="88"/>
  <c r="BT148" i="88"/>
  <c r="BQ148" i="88"/>
  <c r="BN148" i="88"/>
  <c r="BM148" i="88"/>
  <c r="BL148" i="88"/>
  <c r="BK148" i="88"/>
  <c r="BJ148" i="88"/>
  <c r="BI148" i="88"/>
  <c r="BH148" i="88"/>
  <c r="BG148" i="88"/>
  <c r="BF148" i="88"/>
  <c r="BE148" i="88"/>
  <c r="BD148" i="88"/>
  <c r="BC148" i="88"/>
  <c r="BO148" i="88" s="1"/>
  <c r="BB148" i="88"/>
  <c r="AO148" i="88"/>
  <c r="BS148" i="88" s="1"/>
  <c r="BU148" i="88" s="1"/>
  <c r="AN148" i="88"/>
  <c r="W148" i="88"/>
  <c r="BR148" i="88" s="1"/>
  <c r="BT147" i="88"/>
  <c r="BQ147" i="88"/>
  <c r="BN147" i="88"/>
  <c r="BM147" i="88"/>
  <c r="BL147" i="88"/>
  <c r="BK147" i="88"/>
  <c r="BJ147" i="88"/>
  <c r="BI147" i="88"/>
  <c r="BH147" i="88"/>
  <c r="BG147" i="88"/>
  <c r="BF147" i="88"/>
  <c r="BE147" i="88"/>
  <c r="BD147" i="88"/>
  <c r="BO147" i="88" s="1"/>
  <c r="BC147" i="88"/>
  <c r="BB147" i="88"/>
  <c r="AO147" i="88"/>
  <c r="AN147" i="88"/>
  <c r="W147" i="88"/>
  <c r="K147" i="88"/>
  <c r="BT146" i="88"/>
  <c r="BQ146" i="88"/>
  <c r="BN146" i="88"/>
  <c r="BM146" i="88"/>
  <c r="BL146" i="88"/>
  <c r="BK146" i="88"/>
  <c r="BJ146" i="88"/>
  <c r="BI146" i="88"/>
  <c r="BH146" i="88"/>
  <c r="BG146" i="88"/>
  <c r="BF146" i="88"/>
  <c r="BO146" i="88" s="1"/>
  <c r="BE146" i="88"/>
  <c r="BD146" i="88"/>
  <c r="BC146" i="88"/>
  <c r="BB146" i="88"/>
  <c r="AO146" i="88"/>
  <c r="W146" i="88" s="1"/>
  <c r="AN146" i="88"/>
  <c r="Y146" i="88"/>
  <c r="K146" i="88"/>
  <c r="BT145" i="88"/>
  <c r="BQ145" i="88"/>
  <c r="BN145" i="88"/>
  <c r="BM145" i="88"/>
  <c r="BL145" i="88"/>
  <c r="BK145" i="88"/>
  <c r="BJ145" i="88"/>
  <c r="BI145" i="88"/>
  <c r="BH145" i="88"/>
  <c r="BG145" i="88"/>
  <c r="BF145" i="88"/>
  <c r="BE145" i="88"/>
  <c r="BO145" i="88" s="1"/>
  <c r="BD145" i="88"/>
  <c r="BC145" i="88"/>
  <c r="BB145" i="88"/>
  <c r="AO145" i="88"/>
  <c r="W145" i="88" s="1"/>
  <c r="AN145" i="88"/>
  <c r="V145" i="88"/>
  <c r="K145" i="88"/>
  <c r="BT144" i="88"/>
  <c r="BQ144" i="88"/>
  <c r="BN144" i="88"/>
  <c r="BM144" i="88"/>
  <c r="BL144" i="88"/>
  <c r="BK144" i="88"/>
  <c r="BJ144" i="88"/>
  <c r="BI144" i="88"/>
  <c r="BH144" i="88"/>
  <c r="BG144" i="88"/>
  <c r="BF144" i="88"/>
  <c r="BE144" i="88"/>
  <c r="BD144" i="88"/>
  <c r="BC144" i="88"/>
  <c r="BO144" i="88" s="1"/>
  <c r="BB144" i="88"/>
  <c r="AO144" i="88"/>
  <c r="AN144" i="88"/>
  <c r="W144" i="88"/>
  <c r="BR144" i="88" s="1"/>
  <c r="BS144" i="88" s="1"/>
  <c r="BU144" i="88" s="1"/>
  <c r="BT143" i="88"/>
  <c r="BQ143" i="88"/>
  <c r="BN143" i="88"/>
  <c r="BM143" i="88"/>
  <c r="BL143" i="88"/>
  <c r="BK143" i="88"/>
  <c r="BJ143" i="88"/>
  <c r="BI143" i="88"/>
  <c r="BH143" i="88"/>
  <c r="BG143" i="88"/>
  <c r="BF143" i="88"/>
  <c r="BE143" i="88"/>
  <c r="BD143" i="88"/>
  <c r="BC143" i="88"/>
  <c r="BO143" i="88" s="1"/>
  <c r="BB143" i="88"/>
  <c r="AO143" i="88"/>
  <c r="AN143" i="88"/>
  <c r="W143" i="88"/>
  <c r="BT142" i="88"/>
  <c r="BQ142" i="88"/>
  <c r="BN142" i="88"/>
  <c r="BM142" i="88"/>
  <c r="BL142" i="88"/>
  <c r="BK142" i="88"/>
  <c r="BJ142" i="88"/>
  <c r="BI142" i="88"/>
  <c r="BH142" i="88"/>
  <c r="BG142" i="88"/>
  <c r="BF142" i="88"/>
  <c r="BE142" i="88"/>
  <c r="BO142" i="88" s="1"/>
  <c r="BD142" i="88"/>
  <c r="BC142" i="88"/>
  <c r="BB142" i="88"/>
  <c r="AO142" i="88"/>
  <c r="AN142" i="88"/>
  <c r="Y142" i="88"/>
  <c r="X142" i="88"/>
  <c r="Z142" i="88" s="1"/>
  <c r="W142" i="88"/>
  <c r="BR142" i="88" s="1"/>
  <c r="BS142" i="88" s="1"/>
  <c r="BU142" i="88" s="1"/>
  <c r="K142" i="88"/>
  <c r="BT141" i="88"/>
  <c r="BI141" i="88"/>
  <c r="BH141" i="88"/>
  <c r="BG141" i="88"/>
  <c r="BA141" i="88"/>
  <c r="BN141" i="88" s="1"/>
  <c r="AZ141" i="88"/>
  <c r="BM141" i="88" s="1"/>
  <c r="AY141" i="88"/>
  <c r="BL141" i="88" s="1"/>
  <c r="AX141" i="88"/>
  <c r="BK141" i="88" s="1"/>
  <c r="AW141" i="88"/>
  <c r="BJ141" i="88" s="1"/>
  <c r="AV141" i="88"/>
  <c r="AU141" i="88"/>
  <c r="AT141" i="88"/>
  <c r="AS141" i="88"/>
  <c r="BF141" i="88" s="1"/>
  <c r="AR141" i="88"/>
  <c r="BE141" i="88" s="1"/>
  <c r="AQ141" i="88"/>
  <c r="AP141" i="88"/>
  <c r="BC141" i="88" s="1"/>
  <c r="AO141" i="88"/>
  <c r="AN141" i="88"/>
  <c r="K141" i="88"/>
  <c r="BT140" i="88"/>
  <c r="BN140" i="88"/>
  <c r="BM140" i="88"/>
  <c r="BG140" i="88"/>
  <c r="BF140" i="88"/>
  <c r="BE140" i="88"/>
  <c r="BA140" i="88"/>
  <c r="AZ140" i="88"/>
  <c r="AY140" i="88"/>
  <c r="BL140" i="88" s="1"/>
  <c r="AX140" i="88"/>
  <c r="BK140" i="88" s="1"/>
  <c r="AW140" i="88"/>
  <c r="BJ140" i="88" s="1"/>
  <c r="AV140" i="88"/>
  <c r="BI140" i="88" s="1"/>
  <c r="AU140" i="88"/>
  <c r="BH140" i="88" s="1"/>
  <c r="AT140" i="88"/>
  <c r="AS140" i="88"/>
  <c r="AR140" i="88"/>
  <c r="AQ140" i="88"/>
  <c r="BD140" i="88" s="1"/>
  <c r="AP140" i="88"/>
  <c r="BC140" i="88" s="1"/>
  <c r="AO140" i="88"/>
  <c r="AN140" i="88"/>
  <c r="K140" i="88"/>
  <c r="BT139" i="88"/>
  <c r="BQ139" i="88"/>
  <c r="BN139" i="88"/>
  <c r="BM139" i="88"/>
  <c r="BL139" i="88"/>
  <c r="BK139" i="88"/>
  <c r="BJ139" i="88"/>
  <c r="BI139" i="88"/>
  <c r="BH139" i="88"/>
  <c r="BG139" i="88"/>
  <c r="BF139" i="88"/>
  <c r="BE139" i="88"/>
  <c r="BD139" i="88"/>
  <c r="BC139" i="88"/>
  <c r="BO139" i="88" s="1"/>
  <c r="BB139" i="88"/>
  <c r="AO139" i="88"/>
  <c r="AN139" i="88"/>
  <c r="W139" i="88"/>
  <c r="BR139" i="88" s="1"/>
  <c r="BS139" i="88" s="1"/>
  <c r="BU139" i="88" s="1"/>
  <c r="K139" i="88"/>
  <c r="BT138" i="88"/>
  <c r="BQ138" i="88"/>
  <c r="BN138" i="88"/>
  <c r="BM138" i="88"/>
  <c r="BL138" i="88"/>
  <c r="BK138" i="88"/>
  <c r="BJ138" i="88"/>
  <c r="BI138" i="88"/>
  <c r="BH138" i="88"/>
  <c r="BG138" i="88"/>
  <c r="BF138" i="88"/>
  <c r="BE138" i="88"/>
  <c r="BO138" i="88" s="1"/>
  <c r="BD138" i="88"/>
  <c r="BC138" i="88"/>
  <c r="BB138" i="88"/>
  <c r="AO138" i="88"/>
  <c r="AN138" i="88"/>
  <c r="Y138" i="88"/>
  <c r="X138" i="88"/>
  <c r="Z138" i="88" s="1"/>
  <c r="W138" i="88"/>
  <c r="BR138" i="88" s="1"/>
  <c r="BS138" i="88" s="1"/>
  <c r="BU138" i="88" s="1"/>
  <c r="K138" i="88"/>
  <c r="BT137" i="88"/>
  <c r="BQ137" i="88"/>
  <c r="BN137" i="88"/>
  <c r="BM137" i="88"/>
  <c r="BL137" i="88"/>
  <c r="BK137" i="88"/>
  <c r="BJ137" i="88"/>
  <c r="BI137" i="88"/>
  <c r="BH137" i="88"/>
  <c r="BG137" i="88"/>
  <c r="BO137" i="88" s="1"/>
  <c r="BF137" i="88"/>
  <c r="BE137" i="88"/>
  <c r="BD137" i="88"/>
  <c r="BC137" i="88"/>
  <c r="BB137" i="88"/>
  <c r="AO137" i="88"/>
  <c r="W137" i="88" s="1"/>
  <c r="AN137" i="88"/>
  <c r="K137" i="88"/>
  <c r="BT136" i="88"/>
  <c r="BQ136" i="88"/>
  <c r="BN136" i="88"/>
  <c r="BM136" i="88"/>
  <c r="BL136" i="88"/>
  <c r="BK136" i="88"/>
  <c r="BJ136" i="88"/>
  <c r="BI136" i="88"/>
  <c r="BH136" i="88"/>
  <c r="BG136" i="88"/>
  <c r="BO136" i="88" s="1"/>
  <c r="BF136" i="88"/>
  <c r="BE136" i="88"/>
  <c r="BD136" i="88"/>
  <c r="BC136" i="88"/>
  <c r="BB136" i="88"/>
  <c r="AO136" i="88"/>
  <c r="AN136" i="88"/>
  <c r="K136" i="88"/>
  <c r="BT135" i="88"/>
  <c r="BQ135" i="88"/>
  <c r="BN135" i="88"/>
  <c r="BM135" i="88"/>
  <c r="BL135" i="88"/>
  <c r="BK135" i="88"/>
  <c r="BJ135" i="88"/>
  <c r="BI135" i="88"/>
  <c r="BH135" i="88"/>
  <c r="BG135" i="88"/>
  <c r="BF135" i="88"/>
  <c r="BE135" i="88"/>
  <c r="BD135" i="88"/>
  <c r="BC135" i="88"/>
  <c r="BO135" i="88" s="1"/>
  <c r="BB135" i="88"/>
  <c r="AO135" i="88"/>
  <c r="AN135" i="88"/>
  <c r="K135" i="88"/>
  <c r="BT134" i="88"/>
  <c r="BQ134" i="88"/>
  <c r="BN134" i="88"/>
  <c r="BM134" i="88"/>
  <c r="BL134" i="88"/>
  <c r="BK134" i="88"/>
  <c r="BJ134" i="88"/>
  <c r="BI134" i="88"/>
  <c r="BH134" i="88"/>
  <c r="BG134" i="88"/>
  <c r="BF134" i="88"/>
  <c r="BE134" i="88"/>
  <c r="BD134" i="88"/>
  <c r="BC134" i="88"/>
  <c r="BO134" i="88" s="1"/>
  <c r="BB134" i="88"/>
  <c r="AO134" i="88"/>
  <c r="AN134" i="88"/>
  <c r="Y134" i="88"/>
  <c r="X134" i="88"/>
  <c r="Z134" i="88" s="1"/>
  <c r="W134" i="88"/>
  <c r="BR134" i="88" s="1"/>
  <c r="BS134" i="88" s="1"/>
  <c r="BU134" i="88" s="1"/>
  <c r="K134" i="88"/>
  <c r="BT133" i="88"/>
  <c r="BQ133" i="88"/>
  <c r="BN133" i="88"/>
  <c r="BM133" i="88"/>
  <c r="BL133" i="88"/>
  <c r="BK133" i="88"/>
  <c r="BJ133" i="88"/>
  <c r="BI133" i="88"/>
  <c r="BH133" i="88"/>
  <c r="BG133" i="88"/>
  <c r="BO133" i="88" s="1"/>
  <c r="BF133" i="88"/>
  <c r="BE133" i="88"/>
  <c r="BD133" i="88"/>
  <c r="BC133" i="88"/>
  <c r="BB133" i="88"/>
  <c r="AO133" i="88"/>
  <c r="W133" i="88" s="1"/>
  <c r="AN133" i="88"/>
  <c r="K133" i="88"/>
  <c r="BT132" i="88"/>
  <c r="BQ132" i="88"/>
  <c r="BN132" i="88"/>
  <c r="BM132" i="88"/>
  <c r="BL132" i="88"/>
  <c r="BK132" i="88"/>
  <c r="BJ132" i="88"/>
  <c r="BI132" i="88"/>
  <c r="BH132" i="88"/>
  <c r="BG132" i="88"/>
  <c r="BO132" i="88" s="1"/>
  <c r="BF132" i="88"/>
  <c r="BE132" i="88"/>
  <c r="BD132" i="88"/>
  <c r="BC132" i="88"/>
  <c r="BB132" i="88"/>
  <c r="AO132" i="88"/>
  <c r="AN132" i="88"/>
  <c r="K132" i="88"/>
  <c r="BT131" i="88"/>
  <c r="BQ131" i="88"/>
  <c r="BN131" i="88"/>
  <c r="BM131" i="88"/>
  <c r="BL131" i="88"/>
  <c r="BK131" i="88"/>
  <c r="BJ131" i="88"/>
  <c r="BI131" i="88"/>
  <c r="BH131" i="88"/>
  <c r="BG131" i="88"/>
  <c r="BF131" i="88"/>
  <c r="BE131" i="88"/>
  <c r="BD131" i="88"/>
  <c r="BC131" i="88"/>
  <c r="BO131" i="88" s="1"/>
  <c r="BB131" i="88"/>
  <c r="AO131" i="88"/>
  <c r="AN131" i="88"/>
  <c r="K131" i="88"/>
  <c r="BT130" i="88"/>
  <c r="BQ130" i="88"/>
  <c r="BN130" i="88"/>
  <c r="BM130" i="88"/>
  <c r="BL130" i="88"/>
  <c r="BK130" i="88"/>
  <c r="BJ130" i="88"/>
  <c r="BI130" i="88"/>
  <c r="BH130" i="88"/>
  <c r="BG130" i="88"/>
  <c r="BF130" i="88"/>
  <c r="BE130" i="88"/>
  <c r="BD130" i="88"/>
  <c r="BC130" i="88"/>
  <c r="BO130" i="88" s="1"/>
  <c r="BB130" i="88"/>
  <c r="AO130" i="88"/>
  <c r="AN130" i="88"/>
  <c r="Y130" i="88"/>
  <c r="X130" i="88"/>
  <c r="Z130" i="88" s="1"/>
  <c r="W130" i="88"/>
  <c r="BR130" i="88" s="1"/>
  <c r="BS130" i="88" s="1"/>
  <c r="BU130" i="88" s="1"/>
  <c r="K130" i="88"/>
  <c r="BT129" i="88"/>
  <c r="BQ129" i="88"/>
  <c r="BN129" i="88"/>
  <c r="BM129" i="88"/>
  <c r="BL129" i="88"/>
  <c r="BK129" i="88"/>
  <c r="BJ129" i="88"/>
  <c r="BI129" i="88"/>
  <c r="BH129" i="88"/>
  <c r="BG129" i="88"/>
  <c r="BO129" i="88" s="1"/>
  <c r="BF129" i="88"/>
  <c r="BE129" i="88"/>
  <c r="BD129" i="88"/>
  <c r="BC129" i="88"/>
  <c r="BB129" i="88"/>
  <c r="AO129" i="88"/>
  <c r="W129" i="88" s="1"/>
  <c r="AN129" i="88"/>
  <c r="K129" i="88"/>
  <c r="BT128" i="88"/>
  <c r="BQ128" i="88"/>
  <c r="BN128" i="88"/>
  <c r="BM128" i="88"/>
  <c r="BL128" i="88"/>
  <c r="BK128" i="88"/>
  <c r="BJ128" i="88"/>
  <c r="BI128" i="88"/>
  <c r="BH128" i="88"/>
  <c r="BG128" i="88"/>
  <c r="BF128" i="88"/>
  <c r="BE128" i="88"/>
  <c r="BD128" i="88"/>
  <c r="BC128" i="88"/>
  <c r="BB128" i="88"/>
  <c r="AO128" i="88"/>
  <c r="AN128" i="88"/>
  <c r="K128" i="88"/>
  <c r="BT127" i="88"/>
  <c r="BQ127" i="88"/>
  <c r="BN127" i="88"/>
  <c r="BM127" i="88"/>
  <c r="BL127" i="88"/>
  <c r="BK127" i="88"/>
  <c r="BJ127" i="88"/>
  <c r="BI127" i="88"/>
  <c r="BH127" i="88"/>
  <c r="BG127" i="88"/>
  <c r="BF127" i="88"/>
  <c r="BE127" i="88"/>
  <c r="BD127" i="88"/>
  <c r="BC127" i="88"/>
  <c r="BO127" i="88" s="1"/>
  <c r="BB127" i="88"/>
  <c r="AO127" i="88"/>
  <c r="AN127" i="88"/>
  <c r="K127" i="88"/>
  <c r="BT126" i="88"/>
  <c r="BQ126" i="88"/>
  <c r="BN126" i="88"/>
  <c r="BM126" i="88"/>
  <c r="BL126" i="88"/>
  <c r="BK126" i="88"/>
  <c r="BJ126" i="88"/>
  <c r="BI126" i="88"/>
  <c r="BH126" i="88"/>
  <c r="BG126" i="88"/>
  <c r="BF126" i="88"/>
  <c r="BE126" i="88"/>
  <c r="BD126" i="88"/>
  <c r="BC126" i="88"/>
  <c r="BB126" i="88"/>
  <c r="AO126" i="88"/>
  <c r="AN126" i="88"/>
  <c r="Y126" i="88"/>
  <c r="X126" i="88"/>
  <c r="Z126" i="88" s="1"/>
  <c r="W126" i="88"/>
  <c r="BR126" i="88" s="1"/>
  <c r="BS126" i="88" s="1"/>
  <c r="BU126" i="88" s="1"/>
  <c r="K126" i="88"/>
  <c r="BT125" i="88"/>
  <c r="BQ125" i="88"/>
  <c r="BN125" i="88"/>
  <c r="BM125" i="88"/>
  <c r="BL125" i="88"/>
  <c r="BK125" i="88"/>
  <c r="BJ125" i="88"/>
  <c r="BI125" i="88"/>
  <c r="BH125" i="88"/>
  <c r="BG125" i="88"/>
  <c r="BO125" i="88" s="1"/>
  <c r="BF125" i="88"/>
  <c r="BE125" i="88"/>
  <c r="BD125" i="88"/>
  <c r="BC125" i="88"/>
  <c r="BB125" i="88"/>
  <c r="AO125" i="88"/>
  <c r="W125" i="88" s="1"/>
  <c r="AN125" i="88"/>
  <c r="K125" i="88"/>
  <c r="BT124" i="88"/>
  <c r="BQ124" i="88"/>
  <c r="BN124" i="88"/>
  <c r="BM124" i="88"/>
  <c r="BL124" i="88"/>
  <c r="BK124" i="88"/>
  <c r="BJ124" i="88"/>
  <c r="BI124" i="88"/>
  <c r="BH124" i="88"/>
  <c r="BG124" i="88"/>
  <c r="BO124" i="88" s="1"/>
  <c r="BF124" i="88"/>
  <c r="BE124" i="88"/>
  <c r="BD124" i="88"/>
  <c r="BC124" i="88"/>
  <c r="BB124" i="88"/>
  <c r="AO124" i="88"/>
  <c r="AN124" i="88"/>
  <c r="K124" i="88"/>
  <c r="BT123" i="88"/>
  <c r="BQ123" i="88"/>
  <c r="BN123" i="88"/>
  <c r="BM123" i="88"/>
  <c r="BL123" i="88"/>
  <c r="BK123" i="88"/>
  <c r="BJ123" i="88"/>
  <c r="BI123" i="88"/>
  <c r="BH123" i="88"/>
  <c r="BG123" i="88"/>
  <c r="BF123" i="88"/>
  <c r="BE123" i="88"/>
  <c r="BD123" i="88"/>
  <c r="BC123" i="88"/>
  <c r="BO123" i="88" s="1"/>
  <c r="BB123" i="88"/>
  <c r="AO123" i="88"/>
  <c r="AN123" i="88"/>
  <c r="K123" i="88"/>
  <c r="BT122" i="88"/>
  <c r="BN122" i="88"/>
  <c r="BM122" i="88"/>
  <c r="BL122" i="88"/>
  <c r="BK122" i="88"/>
  <c r="BF122" i="88"/>
  <c r="BE122" i="88"/>
  <c r="BC122" i="88"/>
  <c r="AX122" i="88"/>
  <c r="AW122" i="88"/>
  <c r="AV122" i="88"/>
  <c r="BI122" i="88" s="1"/>
  <c r="AU122" i="88"/>
  <c r="BH122" i="88" s="1"/>
  <c r="AT122" i="88"/>
  <c r="BG122" i="88" s="1"/>
  <c r="AS122" i="88"/>
  <c r="AR122" i="88"/>
  <c r="AQ122" i="88"/>
  <c r="AP122" i="88"/>
  <c r="AJ122" i="88"/>
  <c r="AI122" i="88"/>
  <c r="BJ122" i="88" s="1"/>
  <c r="AH122" i="88"/>
  <c r="AG122" i="88"/>
  <c r="AO122" i="88" s="1"/>
  <c r="AF122" i="88"/>
  <c r="AE122" i="88"/>
  <c r="AD122" i="88"/>
  <c r="AC122" i="88"/>
  <c r="BD122" i="88" s="1"/>
  <c r="AB122" i="88"/>
  <c r="AN122" i="88" s="1"/>
  <c r="K122" i="88"/>
  <c r="BT121" i="88"/>
  <c r="BQ121" i="88"/>
  <c r="BN121" i="88"/>
  <c r="BM121" i="88"/>
  <c r="BL121" i="88"/>
  <c r="BK121" i="88"/>
  <c r="BJ121" i="88"/>
  <c r="BI121" i="88"/>
  <c r="BH121" i="88"/>
  <c r="BG121" i="88"/>
  <c r="BO121" i="88" s="1"/>
  <c r="BF121" i="88"/>
  <c r="BE121" i="88"/>
  <c r="BD121" i="88"/>
  <c r="BC121" i="88"/>
  <c r="BB121" i="88"/>
  <c r="AO121" i="88"/>
  <c r="AN121" i="88"/>
  <c r="K121" i="88"/>
  <c r="BT120" i="88"/>
  <c r="BN120" i="88"/>
  <c r="BM120" i="88"/>
  <c r="BL120" i="88"/>
  <c r="BK120" i="88"/>
  <c r="BJ120" i="88"/>
  <c r="BI120" i="88"/>
  <c r="BH120" i="88"/>
  <c r="BG120" i="88"/>
  <c r="BE120" i="88"/>
  <c r="BD120" i="88"/>
  <c r="BC120" i="88"/>
  <c r="AS120" i="88"/>
  <c r="BB120" i="88" s="1"/>
  <c r="AO120" i="88"/>
  <c r="AN120" i="88"/>
  <c r="W120" i="88"/>
  <c r="K120" i="88"/>
  <c r="BT119" i="88"/>
  <c r="BN119" i="88"/>
  <c r="BM119" i="88"/>
  <c r="BL119" i="88"/>
  <c r="BK119" i="88"/>
  <c r="BJ119" i="88"/>
  <c r="BI119" i="88"/>
  <c r="BH119" i="88"/>
  <c r="BG119" i="88"/>
  <c r="BF119" i="88"/>
  <c r="BD119" i="88"/>
  <c r="BC119" i="88"/>
  <c r="AR119" i="88"/>
  <c r="AO119" i="88"/>
  <c r="W119" i="88" s="1"/>
  <c r="AN119" i="88"/>
  <c r="K119" i="88"/>
  <c r="BT118" i="88"/>
  <c r="BN118" i="88"/>
  <c r="BM118" i="88"/>
  <c r="BL118" i="88"/>
  <c r="BK118" i="88"/>
  <c r="BJ118" i="88"/>
  <c r="BI118" i="88"/>
  <c r="BH118" i="88"/>
  <c r="BG118" i="88"/>
  <c r="BE118" i="88"/>
  <c r="BD118" i="88"/>
  <c r="BC118" i="88"/>
  <c r="AS118" i="88"/>
  <c r="AP118" i="88"/>
  <c r="AO118" i="88"/>
  <c r="AN118" i="88"/>
  <c r="K118" i="88"/>
  <c r="BT117" i="88"/>
  <c r="BQ117" i="88"/>
  <c r="BN117" i="88"/>
  <c r="BM117" i="88"/>
  <c r="BL117" i="88"/>
  <c r="BK117" i="88"/>
  <c r="BJ117" i="88"/>
  <c r="BI117" i="88"/>
  <c r="BH117" i="88"/>
  <c r="BG117" i="88"/>
  <c r="BF117" i="88"/>
  <c r="BE117" i="88"/>
  <c r="BD117" i="88"/>
  <c r="BC117" i="88"/>
  <c r="BB117" i="88"/>
  <c r="AO117" i="88"/>
  <c r="AN117" i="88"/>
  <c r="Y117" i="88"/>
  <c r="X117" i="88"/>
  <c r="Z117" i="88" s="1"/>
  <c r="W117" i="88"/>
  <c r="K117" i="88"/>
  <c r="BT116" i="88"/>
  <c r="BQ116" i="88"/>
  <c r="BN116" i="88"/>
  <c r="BM116" i="88"/>
  <c r="BL116" i="88"/>
  <c r="BK116" i="88"/>
  <c r="BJ116" i="88"/>
  <c r="BI116" i="88"/>
  <c r="BH116" i="88"/>
  <c r="BG116" i="88"/>
  <c r="BO116" i="88" s="1"/>
  <c r="BF116" i="88"/>
  <c r="BE116" i="88"/>
  <c r="BD116" i="88"/>
  <c r="BC116" i="88"/>
  <c r="BB116" i="88"/>
  <c r="AO116" i="88"/>
  <c r="W116" i="88" s="1"/>
  <c r="AN116" i="88"/>
  <c r="K116" i="88"/>
  <c r="BT115" i="88"/>
  <c r="BQ115" i="88"/>
  <c r="BN115" i="88"/>
  <c r="BM115" i="88"/>
  <c r="BL115" i="88"/>
  <c r="BK115" i="88"/>
  <c r="BJ115" i="88"/>
  <c r="BI115" i="88"/>
  <c r="BH115" i="88"/>
  <c r="BG115" i="88"/>
  <c r="BF115" i="88"/>
  <c r="BE115" i="88"/>
  <c r="BD115" i="88"/>
  <c r="BO115" i="88" s="1"/>
  <c r="BC115" i="88"/>
  <c r="BB115" i="88"/>
  <c r="AO115" i="88"/>
  <c r="AN115" i="88"/>
  <c r="W115" i="88"/>
  <c r="K115" i="88"/>
  <c r="BT114" i="88"/>
  <c r="BQ114" i="88"/>
  <c r="BN114" i="88"/>
  <c r="BM114" i="88"/>
  <c r="BL114" i="88"/>
  <c r="BK114" i="88"/>
  <c r="BJ114" i="88"/>
  <c r="BI114" i="88"/>
  <c r="BH114" i="88"/>
  <c r="BG114" i="88"/>
  <c r="BF114" i="88"/>
  <c r="BE114" i="88"/>
  <c r="BD114" i="88"/>
  <c r="BC114" i="88"/>
  <c r="BB114" i="88"/>
  <c r="AO114" i="88"/>
  <c r="AN114" i="88"/>
  <c r="K114" i="88"/>
  <c r="BT113" i="88"/>
  <c r="BQ113" i="88"/>
  <c r="BN113" i="88"/>
  <c r="BM113" i="88"/>
  <c r="BL113" i="88"/>
  <c r="BK113" i="88"/>
  <c r="BJ113" i="88"/>
  <c r="BI113" i="88"/>
  <c r="BH113" i="88"/>
  <c r="BG113" i="88"/>
  <c r="BF113" i="88"/>
  <c r="BE113" i="88"/>
  <c r="BD113" i="88"/>
  <c r="BC113" i="88"/>
  <c r="BB113" i="88"/>
  <c r="AO113" i="88"/>
  <c r="BS113" i="88" s="1"/>
  <c r="AN113" i="88"/>
  <c r="Y113" i="88"/>
  <c r="X113" i="88"/>
  <c r="Z113" i="88" s="1"/>
  <c r="W113" i="88"/>
  <c r="BR113" i="88" s="1"/>
  <c r="K113" i="88"/>
  <c r="BQ112" i="88"/>
  <c r="BM112" i="88"/>
  <c r="BJ112" i="88"/>
  <c r="BG112" i="88"/>
  <c r="BE112" i="88"/>
  <c r="BC112" i="88"/>
  <c r="BB112" i="88"/>
  <c r="AM112" i="88"/>
  <c r="BN112" i="88" s="1"/>
  <c r="AL112" i="88"/>
  <c r="AK112" i="88"/>
  <c r="BL112" i="88" s="1"/>
  <c r="AJ112" i="88"/>
  <c r="BK112" i="88" s="1"/>
  <c r="AI112" i="88"/>
  <c r="AH112" i="88"/>
  <c r="BI112" i="88" s="1"/>
  <c r="AG112" i="88"/>
  <c r="AF112" i="88"/>
  <c r="AE112" i="88"/>
  <c r="BF112" i="88" s="1"/>
  <c r="AD112" i="88"/>
  <c r="AC112" i="88"/>
  <c r="BD112" i="88" s="1"/>
  <c r="AB112" i="88"/>
  <c r="K112" i="88"/>
  <c r="BT111" i="88"/>
  <c r="BQ111" i="88"/>
  <c r="BN111" i="88"/>
  <c r="BM111" i="88"/>
  <c r="BL111" i="88"/>
  <c r="BK111" i="88"/>
  <c r="BJ111" i="88"/>
  <c r="BI111" i="88"/>
  <c r="BH111" i="88"/>
  <c r="BG111" i="88"/>
  <c r="BF111" i="88"/>
  <c r="BE111" i="88"/>
  <c r="BD111" i="88"/>
  <c r="BC111" i="88"/>
  <c r="BB111" i="88"/>
  <c r="AO111" i="88"/>
  <c r="AN111" i="88"/>
  <c r="Y111" i="88"/>
  <c r="X111" i="88"/>
  <c r="Z111" i="88" s="1"/>
  <c r="W111" i="88"/>
  <c r="BR111" i="88" s="1"/>
  <c r="K111" i="88"/>
  <c r="BT110" i="88"/>
  <c r="BQ110" i="88"/>
  <c r="BN110" i="88"/>
  <c r="BM110" i="88"/>
  <c r="BL110" i="88"/>
  <c r="BK110" i="88"/>
  <c r="BJ110" i="88"/>
  <c r="BI110" i="88"/>
  <c r="BH110" i="88"/>
  <c r="BG110" i="88"/>
  <c r="BO110" i="88" s="1"/>
  <c r="BF110" i="88"/>
  <c r="BE110" i="88"/>
  <c r="BD110" i="88"/>
  <c r="BC110" i="88"/>
  <c r="BB110" i="88"/>
  <c r="AO110" i="88"/>
  <c r="W110" i="88" s="1"/>
  <c r="AN110" i="88"/>
  <c r="K110" i="88"/>
  <c r="BT109" i="88"/>
  <c r="BQ109" i="88"/>
  <c r="BN109" i="88"/>
  <c r="BM109" i="88"/>
  <c r="BL109" i="88"/>
  <c r="BK109" i="88"/>
  <c r="BJ109" i="88"/>
  <c r="BI109" i="88"/>
  <c r="BH109" i="88"/>
  <c r="BG109" i="88"/>
  <c r="BF109" i="88"/>
  <c r="BE109" i="88"/>
  <c r="BD109" i="88"/>
  <c r="BC109" i="88"/>
  <c r="BB109" i="88"/>
  <c r="AO109" i="88"/>
  <c r="AN109" i="88"/>
  <c r="K109" i="88"/>
  <c r="BT108" i="88"/>
  <c r="BQ108" i="88"/>
  <c r="BN108" i="88"/>
  <c r="BM108" i="88"/>
  <c r="BL108" i="88"/>
  <c r="BK108" i="88"/>
  <c r="BJ108" i="88"/>
  <c r="BI108" i="88"/>
  <c r="BH108" i="88"/>
  <c r="BG108" i="88"/>
  <c r="BF108" i="88"/>
  <c r="BE108" i="88"/>
  <c r="BD108" i="88"/>
  <c r="BC108" i="88"/>
  <c r="BB108" i="88"/>
  <c r="AO108" i="88"/>
  <c r="AN108" i="88"/>
  <c r="K108" i="88"/>
  <c r="BT107" i="88"/>
  <c r="BQ107" i="88"/>
  <c r="BN107" i="88"/>
  <c r="BM107" i="88"/>
  <c r="BL107" i="88"/>
  <c r="BK107" i="88"/>
  <c r="BJ107" i="88"/>
  <c r="BI107" i="88"/>
  <c r="BH107" i="88"/>
  <c r="BG107" i="88"/>
  <c r="BE107" i="88"/>
  <c r="BD107" i="88"/>
  <c r="BC107" i="88"/>
  <c r="AS107" i="88"/>
  <c r="BB107" i="88" s="1"/>
  <c r="AO107" i="88"/>
  <c r="AN107" i="88"/>
  <c r="AE107" i="88"/>
  <c r="BF107" i="88" s="1"/>
  <c r="K107" i="88"/>
  <c r="BT106" i="88"/>
  <c r="BQ106" i="88"/>
  <c r="BN106" i="88"/>
  <c r="BM106" i="88"/>
  <c r="BL106" i="88"/>
  <c r="BK106" i="88"/>
  <c r="BJ106" i="88"/>
  <c r="BI106" i="88"/>
  <c r="BH106" i="88"/>
  <c r="BG106" i="88"/>
  <c r="BO106" i="88" s="1"/>
  <c r="BF106" i="88"/>
  <c r="BE106" i="88"/>
  <c r="BD106" i="88"/>
  <c r="BC106" i="88"/>
  <c r="BB106" i="88"/>
  <c r="AO106" i="88"/>
  <c r="AN106" i="88"/>
  <c r="K106" i="88"/>
  <c r="BT105" i="88"/>
  <c r="BN105" i="88"/>
  <c r="BM105" i="88"/>
  <c r="BL105" i="88"/>
  <c r="BK105" i="88"/>
  <c r="BJ105" i="88"/>
  <c r="BI105" i="88"/>
  <c r="BH105" i="88"/>
  <c r="BG105" i="88"/>
  <c r="BF105" i="88"/>
  <c r="BE105" i="88"/>
  <c r="BD105" i="88"/>
  <c r="BC105" i="88"/>
  <c r="BO105" i="88" s="1"/>
  <c r="AS105" i="88"/>
  <c r="AM105" i="88"/>
  <c r="K105" i="88"/>
  <c r="BT104" i="88"/>
  <c r="BQ104" i="88"/>
  <c r="BM104" i="88"/>
  <c r="BL104" i="88"/>
  <c r="BK104" i="88"/>
  <c r="BJ104" i="88"/>
  <c r="BI104" i="88"/>
  <c r="BH104" i="88"/>
  <c r="BG104" i="88"/>
  <c r="BF104" i="88"/>
  <c r="BE104" i="88"/>
  <c r="BD104" i="88"/>
  <c r="BC104" i="88"/>
  <c r="BB104" i="88"/>
  <c r="AM104" i="88"/>
  <c r="K104" i="88"/>
  <c r="BT103" i="88"/>
  <c r="BN103" i="88"/>
  <c r="BM103" i="88"/>
  <c r="BL103" i="88"/>
  <c r="BK103" i="88"/>
  <c r="BJ103" i="88"/>
  <c r="BI103" i="88"/>
  <c r="BH103" i="88"/>
  <c r="BG103" i="88"/>
  <c r="BF103" i="88"/>
  <c r="BE103" i="88"/>
  <c r="BC103" i="88"/>
  <c r="AR103" i="88"/>
  <c r="AQ103" i="88"/>
  <c r="AP103" i="88"/>
  <c r="AO103" i="88"/>
  <c r="AN103" i="88"/>
  <c r="K103" i="88"/>
  <c r="BT102" i="88"/>
  <c r="BM102" i="88"/>
  <c r="BI102" i="88"/>
  <c r="BH102" i="88"/>
  <c r="BE102" i="88"/>
  <c r="BA102" i="88"/>
  <c r="BN102" i="88" s="1"/>
  <c r="AZ102" i="88"/>
  <c r="AY102" i="88"/>
  <c r="BL102" i="88" s="1"/>
  <c r="AX102" i="88"/>
  <c r="BK102" i="88" s="1"/>
  <c r="AW102" i="88"/>
  <c r="BJ102" i="88" s="1"/>
  <c r="AV102" i="88"/>
  <c r="AU102" i="88"/>
  <c r="AT102" i="88"/>
  <c r="BG102" i="88" s="1"/>
  <c r="AS102" i="88"/>
  <c r="BF102" i="88" s="1"/>
  <c r="AR102" i="88"/>
  <c r="AQ102" i="88"/>
  <c r="AP102" i="88"/>
  <c r="BC102" i="88" s="1"/>
  <c r="AO102" i="88"/>
  <c r="AN102" i="88"/>
  <c r="K102" i="88"/>
  <c r="BT101" i="88"/>
  <c r="BQ101" i="88"/>
  <c r="BN101" i="88"/>
  <c r="BM101" i="88"/>
  <c r="BL101" i="88"/>
  <c r="BK101" i="88"/>
  <c r="BJ101" i="88"/>
  <c r="BI101" i="88"/>
  <c r="BH101" i="88"/>
  <c r="BG101" i="88"/>
  <c r="BF101" i="88"/>
  <c r="BE101" i="88"/>
  <c r="BD101" i="88"/>
  <c r="BC101" i="88"/>
  <c r="BO101" i="88" s="1"/>
  <c r="BB101" i="88"/>
  <c r="AO101" i="88"/>
  <c r="AN101" i="88"/>
  <c r="Y101" i="88"/>
  <c r="Z101" i="88" s="1"/>
  <c r="X101" i="88"/>
  <c r="W101" i="88"/>
  <c r="BR101" i="88" s="1"/>
  <c r="K101" i="88"/>
  <c r="BI100" i="88"/>
  <c r="BA100" i="88"/>
  <c r="BN100" i="88" s="1"/>
  <c r="AZ100" i="88"/>
  <c r="BM100" i="88" s="1"/>
  <c r="AY100" i="88"/>
  <c r="AX100" i="88"/>
  <c r="BK100" i="88" s="1"/>
  <c r="AW100" i="88"/>
  <c r="BJ100" i="88" s="1"/>
  <c r="AV100" i="88"/>
  <c r="AU100" i="88"/>
  <c r="AT100" i="88"/>
  <c r="BG100" i="88" s="1"/>
  <c r="AS100" i="88"/>
  <c r="BF100" i="88" s="1"/>
  <c r="AR100" i="88"/>
  <c r="BE100" i="88" s="1"/>
  <c r="AQ100" i="88"/>
  <c r="AP100" i="88"/>
  <c r="BC100" i="88" s="1"/>
  <c r="AM100" i="88"/>
  <c r="AL100" i="88"/>
  <c r="AK100" i="88"/>
  <c r="AJ100" i="88"/>
  <c r="AI100" i="88"/>
  <c r="AH100" i="88"/>
  <c r="AG100" i="88"/>
  <c r="BH100" i="88" s="1"/>
  <c r="AF100" i="88"/>
  <c r="AE100" i="88"/>
  <c r="AD100" i="88"/>
  <c r="AC100" i="88"/>
  <c r="AB100" i="88"/>
  <c r="K100" i="88"/>
  <c r="BT99" i="88"/>
  <c r="BI99" i="88"/>
  <c r="AV99" i="88"/>
  <c r="AU99" i="88"/>
  <c r="BH99" i="88" s="1"/>
  <c r="AT99" i="88"/>
  <c r="BG99" i="88" s="1"/>
  <c r="AS99" i="88"/>
  <c r="BF99" i="88" s="1"/>
  <c r="AR99" i="88"/>
  <c r="BE99" i="88" s="1"/>
  <c r="AQ99" i="88"/>
  <c r="BD99" i="88" s="1"/>
  <c r="AP99" i="88"/>
  <c r="AI99" i="88"/>
  <c r="AJ99" i="88" s="1"/>
  <c r="AK99" i="88" s="1"/>
  <c r="BL99" i="88" s="1"/>
  <c r="K99" i="88"/>
  <c r="BQ98" i="88"/>
  <c r="BN98" i="88"/>
  <c r="BM98" i="88"/>
  <c r="BL98" i="88"/>
  <c r="BK98" i="88"/>
  <c r="BJ98" i="88"/>
  <c r="BI98" i="88"/>
  <c r="BG98" i="88"/>
  <c r="BE98" i="88"/>
  <c r="BB98" i="88"/>
  <c r="AG98" i="88"/>
  <c r="AO98" i="88" s="1"/>
  <c r="AF98" i="88"/>
  <c r="AE98" i="88"/>
  <c r="BF98" i="88" s="1"/>
  <c r="AD98" i="88"/>
  <c r="AC98" i="88"/>
  <c r="BD98" i="88" s="1"/>
  <c r="AB98" i="88"/>
  <c r="K98" i="88"/>
  <c r="BT97" i="88"/>
  <c r="BQ97" i="88"/>
  <c r="BN97" i="88"/>
  <c r="BM97" i="88"/>
  <c r="BL97" i="88"/>
  <c r="BK97" i="88"/>
  <c r="BJ97" i="88"/>
  <c r="BI97" i="88"/>
  <c r="BH97" i="88"/>
  <c r="BG97" i="88"/>
  <c r="BF97" i="88"/>
  <c r="BE97" i="88"/>
  <c r="BO97" i="88" s="1"/>
  <c r="BD97" i="88"/>
  <c r="BC97" i="88"/>
  <c r="BB97" i="88"/>
  <c r="AO97" i="88"/>
  <c r="W97" i="88" s="1"/>
  <c r="Y97" i="88" s="1"/>
  <c r="AN97" i="88"/>
  <c r="K97" i="88"/>
  <c r="BT96" i="88"/>
  <c r="BQ96" i="88"/>
  <c r="BN96" i="88"/>
  <c r="BM96" i="88"/>
  <c r="BL96" i="88"/>
  <c r="BK96" i="88"/>
  <c r="BJ96" i="88"/>
  <c r="BI96" i="88"/>
  <c r="BH96" i="88"/>
  <c r="BG96" i="88"/>
  <c r="BF96" i="88"/>
  <c r="BE96" i="88"/>
  <c r="BD96" i="88"/>
  <c r="BC96" i="88"/>
  <c r="BO96" i="88" s="1"/>
  <c r="BB96" i="88"/>
  <c r="AO96" i="88"/>
  <c r="W96" i="88" s="1"/>
  <c r="AN96" i="88"/>
  <c r="K96" i="88"/>
  <c r="BT95" i="88"/>
  <c r="BR95" i="88"/>
  <c r="BQ95" i="88"/>
  <c r="BN95" i="88"/>
  <c r="BM95" i="88"/>
  <c r="BL95" i="88"/>
  <c r="BK95" i="88"/>
  <c r="BJ95" i="88"/>
  <c r="BI95" i="88"/>
  <c r="BH95" i="88"/>
  <c r="BG95" i="88"/>
  <c r="BF95" i="88"/>
  <c r="BE95" i="88"/>
  <c r="BD95" i="88"/>
  <c r="BC95" i="88"/>
  <c r="BB95" i="88"/>
  <c r="AO95" i="88"/>
  <c r="AN95" i="88"/>
  <c r="W95" i="88"/>
  <c r="Y95" i="88" s="1"/>
  <c r="K95" i="88"/>
  <c r="BQ94" i="88"/>
  <c r="BF94" i="88"/>
  <c r="BE94" i="88"/>
  <c r="BA94" i="88"/>
  <c r="BN94" i="88" s="1"/>
  <c r="AZ94" i="88"/>
  <c r="BM94" i="88" s="1"/>
  <c r="AY94" i="88"/>
  <c r="BL94" i="88" s="1"/>
  <c r="AX94" i="88"/>
  <c r="BK94" i="88" s="1"/>
  <c r="AW94" i="88"/>
  <c r="AV94" i="88"/>
  <c r="AU94" i="88"/>
  <c r="BH94" i="88" s="1"/>
  <c r="AT94" i="88"/>
  <c r="AS94" i="88"/>
  <c r="AR94" i="88"/>
  <c r="AQ94" i="88"/>
  <c r="BD94" i="88" s="1"/>
  <c r="AP94" i="88"/>
  <c r="AM94" i="88"/>
  <c r="AL94" i="88"/>
  <c r="AK94" i="88"/>
  <c r="AJ94" i="88"/>
  <c r="AI94" i="88"/>
  <c r="AH94" i="88"/>
  <c r="BI94" i="88" s="1"/>
  <c r="AG94" i="88"/>
  <c r="AO94" i="88" s="1"/>
  <c r="AF94" i="88"/>
  <c r="BG94" i="88" s="1"/>
  <c r="AE94" i="88"/>
  <c r="BT94" i="88" s="1"/>
  <c r="AD94" i="88"/>
  <c r="AC94" i="88"/>
  <c r="AB94" i="88"/>
  <c r="K94" i="88"/>
  <c r="BT93" i="88"/>
  <c r="BN93" i="88"/>
  <c r="BM93" i="88"/>
  <c r="BL93" i="88"/>
  <c r="BK93" i="88"/>
  <c r="BJ93" i="88"/>
  <c r="BI93" i="88"/>
  <c r="BH93" i="88"/>
  <c r="BG93" i="88"/>
  <c r="BE93" i="88"/>
  <c r="AU93" i="88"/>
  <c r="AT93" i="88"/>
  <c r="AS93" i="88"/>
  <c r="BF93" i="88" s="1"/>
  <c r="AR93" i="88"/>
  <c r="AQ93" i="88"/>
  <c r="BD93" i="88" s="1"/>
  <c r="AP93" i="88"/>
  <c r="BB93" i="88" s="1"/>
  <c r="AO93" i="88"/>
  <c r="AN93" i="88"/>
  <c r="K93" i="88"/>
  <c r="BM92" i="88"/>
  <c r="BL92" i="88"/>
  <c r="BK92" i="88"/>
  <c r="BJ92" i="88"/>
  <c r="BI92" i="88"/>
  <c r="BH92" i="88"/>
  <c r="BG92" i="88"/>
  <c r="BD92" i="88"/>
  <c r="BC92" i="88"/>
  <c r="BO92" i="88" s="1"/>
  <c r="AS92" i="88"/>
  <c r="AR92" i="88"/>
  <c r="BE92" i="88" s="1"/>
  <c r="AP92" i="88"/>
  <c r="BB92" i="88" s="1"/>
  <c r="AM92" i="88"/>
  <c r="BN92" i="88" s="1"/>
  <c r="AE92" i="88"/>
  <c r="BF92" i="88" s="1"/>
  <c r="AD92" i="88"/>
  <c r="K92" i="88"/>
  <c r="BT91" i="88"/>
  <c r="BQ91" i="88"/>
  <c r="BN91" i="88"/>
  <c r="BM91" i="88"/>
  <c r="BL91" i="88"/>
  <c r="BK91" i="88"/>
  <c r="BJ91" i="88"/>
  <c r="BI91" i="88"/>
  <c r="BH91" i="88"/>
  <c r="BG91" i="88"/>
  <c r="BF91" i="88"/>
  <c r="BE91" i="88"/>
  <c r="BD91" i="88"/>
  <c r="BC91" i="88"/>
  <c r="BO91" i="88" s="1"/>
  <c r="BB91" i="88"/>
  <c r="AO91" i="88"/>
  <c r="BS91" i="88" s="1"/>
  <c r="BU91" i="88" s="1"/>
  <c r="AN91" i="88"/>
  <c r="W91" i="88"/>
  <c r="BR91" i="88" s="1"/>
  <c r="K91" i="88"/>
  <c r="BT90" i="88"/>
  <c r="BQ90" i="88"/>
  <c r="BN90" i="88"/>
  <c r="BM90" i="88"/>
  <c r="BL90" i="88"/>
  <c r="BK90" i="88"/>
  <c r="BJ90" i="88"/>
  <c r="BI90" i="88"/>
  <c r="BH90" i="88"/>
  <c r="BG90" i="88"/>
  <c r="BF90" i="88"/>
  <c r="BE90" i="88"/>
  <c r="BO90" i="88" s="1"/>
  <c r="BD90" i="88"/>
  <c r="BC90" i="88"/>
  <c r="BB90" i="88"/>
  <c r="AO90" i="88"/>
  <c r="W90" i="88" s="1"/>
  <c r="AN90" i="88"/>
  <c r="K90" i="88"/>
  <c r="BT89" i="88"/>
  <c r="BQ89" i="88"/>
  <c r="BN89" i="88"/>
  <c r="BM89" i="88"/>
  <c r="BL89" i="88"/>
  <c r="BK89" i="88"/>
  <c r="BI89" i="88"/>
  <c r="BH89" i="88"/>
  <c r="BG89" i="88"/>
  <c r="BF89" i="88"/>
  <c r="BE89" i="88"/>
  <c r="BD89" i="88"/>
  <c r="BC89" i="88"/>
  <c r="BB89" i="88"/>
  <c r="AN89" i="88"/>
  <c r="AI89" i="88"/>
  <c r="BJ89" i="88" s="1"/>
  <c r="K89" i="88"/>
  <c r="BT88" i="88"/>
  <c r="BQ88" i="88"/>
  <c r="BN88" i="88"/>
  <c r="BM88" i="88"/>
  <c r="BL88" i="88"/>
  <c r="BK88" i="88"/>
  <c r="BJ88" i="88"/>
  <c r="BI88" i="88"/>
  <c r="BH88" i="88"/>
  <c r="BG88" i="88"/>
  <c r="BF88" i="88"/>
  <c r="BE88" i="88"/>
  <c r="BD88" i="88"/>
  <c r="BC88" i="88"/>
  <c r="BO88" i="88" s="1"/>
  <c r="BB88" i="88"/>
  <c r="AO88" i="88"/>
  <c r="AN88" i="88"/>
  <c r="X88" i="88"/>
  <c r="W88" i="88"/>
  <c r="BR88" i="88" s="1"/>
  <c r="BS88" i="88" s="1"/>
  <c r="BU88" i="88" s="1"/>
  <c r="K88" i="88"/>
  <c r="BT87" i="88"/>
  <c r="BQ87" i="88"/>
  <c r="BM87" i="88"/>
  <c r="BL87" i="88"/>
  <c r="BK87" i="88"/>
  <c r="BJ87" i="88"/>
  <c r="BI87" i="88"/>
  <c r="BH87" i="88"/>
  <c r="BG87" i="88"/>
  <c r="BF87" i="88"/>
  <c r="BE87" i="88"/>
  <c r="BD87" i="88"/>
  <c r="BC87" i="88"/>
  <c r="BB87" i="88"/>
  <c r="AM87" i="88"/>
  <c r="AO87" i="88" s="1"/>
  <c r="K87" i="88"/>
  <c r="BT86" i="88"/>
  <c r="BQ86" i="88"/>
  <c r="BN86" i="88"/>
  <c r="BM86" i="88"/>
  <c r="BL86" i="88"/>
  <c r="BK86" i="88"/>
  <c r="BJ86" i="88"/>
  <c r="BI86" i="88"/>
  <c r="BH86" i="88"/>
  <c r="BG86" i="88"/>
  <c r="BO86" i="88" s="1"/>
  <c r="BF86" i="88"/>
  <c r="BE86" i="88"/>
  <c r="BD86" i="88"/>
  <c r="BC86" i="88"/>
  <c r="BB86" i="88"/>
  <c r="AO86" i="88"/>
  <c r="W86" i="88" s="1"/>
  <c r="AN86" i="88"/>
  <c r="K86" i="88"/>
  <c r="BT85" i="88"/>
  <c r="BM85" i="88"/>
  <c r="BL85" i="88"/>
  <c r="BK85" i="88"/>
  <c r="BJ85" i="88"/>
  <c r="BI85" i="88"/>
  <c r="BE85" i="88"/>
  <c r="BD85" i="88"/>
  <c r="BC85" i="88"/>
  <c r="BA85" i="88"/>
  <c r="BN85" i="88" s="1"/>
  <c r="AZ85" i="88"/>
  <c r="AY85" i="88"/>
  <c r="AX85" i="88"/>
  <c r="AW85" i="88"/>
  <c r="AV85" i="88"/>
  <c r="AU85" i="88"/>
  <c r="BH85" i="88" s="1"/>
  <c r="AT85" i="88"/>
  <c r="BG85" i="88" s="1"/>
  <c r="AS85" i="88"/>
  <c r="BQ85" i="88" s="1"/>
  <c r="AO85" i="88"/>
  <c r="AN85" i="88"/>
  <c r="K85" i="88"/>
  <c r="BT84" i="88"/>
  <c r="BQ84" i="88"/>
  <c r="BN84" i="88"/>
  <c r="BM84" i="88"/>
  <c r="BL84" i="88"/>
  <c r="BK84" i="88"/>
  <c r="BJ84" i="88"/>
  <c r="BI84" i="88"/>
  <c r="BH84" i="88"/>
  <c r="BG84" i="88"/>
  <c r="BF84" i="88"/>
  <c r="BE84" i="88"/>
  <c r="BD84" i="88"/>
  <c r="BO84" i="88" s="1"/>
  <c r="BC84" i="88"/>
  <c r="BB84" i="88"/>
  <c r="AO84" i="88"/>
  <c r="BS84" i="88" s="1"/>
  <c r="BU84" i="88" s="1"/>
  <c r="AN84" i="88"/>
  <c r="X84" i="88"/>
  <c r="W84" i="88"/>
  <c r="BR84" i="88" s="1"/>
  <c r="K84" i="88"/>
  <c r="BT83" i="88"/>
  <c r="BQ83" i="88"/>
  <c r="BN83" i="88"/>
  <c r="BM83" i="88"/>
  <c r="BL83" i="88"/>
  <c r="BK83" i="88"/>
  <c r="BJ83" i="88"/>
  <c r="BI83" i="88"/>
  <c r="BH83" i="88"/>
  <c r="BG83" i="88"/>
  <c r="BO83" i="88" s="1"/>
  <c r="BF83" i="88"/>
  <c r="BE83" i="88"/>
  <c r="BD83" i="88"/>
  <c r="BC83" i="88"/>
  <c r="BB83" i="88"/>
  <c r="AO83" i="88"/>
  <c r="W83" i="88" s="1"/>
  <c r="AN83" i="88"/>
  <c r="K83" i="88"/>
  <c r="BQ82" i="88"/>
  <c r="BN82" i="88"/>
  <c r="BM82" i="88"/>
  <c r="BL82" i="88"/>
  <c r="BK82" i="88"/>
  <c r="BI82" i="88"/>
  <c r="BC82" i="88"/>
  <c r="AW82" i="88"/>
  <c r="BJ82" i="88" s="1"/>
  <c r="AV82" i="88"/>
  <c r="AU82" i="88"/>
  <c r="AT82" i="88"/>
  <c r="BG82" i="88" s="1"/>
  <c r="AS82" i="88"/>
  <c r="BF82" i="88" s="1"/>
  <c r="AR82" i="88"/>
  <c r="BE82" i="88" s="1"/>
  <c r="AQ82" i="88"/>
  <c r="BD82" i="88" s="1"/>
  <c r="AP82" i="88"/>
  <c r="BB82" i="88" s="1"/>
  <c r="AM82" i="88"/>
  <c r="AL82" i="88"/>
  <c r="AK82" i="88"/>
  <c r="AJ82" i="88"/>
  <c r="AI82" i="88"/>
  <c r="AH82" i="88"/>
  <c r="AG82" i="88"/>
  <c r="AO82" i="88" s="1"/>
  <c r="AF82" i="88"/>
  <c r="BT82" i="88" s="1"/>
  <c r="AE82" i="88"/>
  <c r="AD82" i="88"/>
  <c r="AC82" i="88"/>
  <c r="AB82" i="88"/>
  <c r="K82" i="88"/>
  <c r="BT81" i="88"/>
  <c r="BQ81" i="88"/>
  <c r="BN81" i="88"/>
  <c r="BM81" i="88"/>
  <c r="BL81" i="88"/>
  <c r="BK81" i="88"/>
  <c r="BJ81" i="88"/>
  <c r="BI81" i="88"/>
  <c r="BH81" i="88"/>
  <c r="BG81" i="88"/>
  <c r="BO81" i="88" s="1"/>
  <c r="BF81" i="88"/>
  <c r="BE81" i="88"/>
  <c r="BD81" i="88"/>
  <c r="BC81" i="88"/>
  <c r="BB81" i="88"/>
  <c r="AO81" i="88"/>
  <c r="W81" i="88" s="1"/>
  <c r="AN81" i="88"/>
  <c r="K81" i="88"/>
  <c r="BT80" i="88"/>
  <c r="BQ80" i="88"/>
  <c r="BN80" i="88"/>
  <c r="BM80" i="88"/>
  <c r="BL80" i="88"/>
  <c r="BK80" i="88"/>
  <c r="BJ80" i="88"/>
  <c r="BI80" i="88"/>
  <c r="BH80" i="88"/>
  <c r="BG80" i="88"/>
  <c r="BF80" i="88"/>
  <c r="BE80" i="88"/>
  <c r="BD80" i="88"/>
  <c r="BC80" i="88"/>
  <c r="BO80" i="88" s="1"/>
  <c r="BB80" i="88"/>
  <c r="AO80" i="88"/>
  <c r="W80" i="88" s="1"/>
  <c r="AN80" i="88"/>
  <c r="K80" i="88"/>
  <c r="BT79" i="88"/>
  <c r="BQ79" i="88"/>
  <c r="BN79" i="88"/>
  <c r="BM79" i="88"/>
  <c r="BL79" i="88"/>
  <c r="BK79" i="88"/>
  <c r="BJ79" i="88"/>
  <c r="BI79" i="88"/>
  <c r="BH79" i="88"/>
  <c r="BG79" i="88"/>
  <c r="BF79" i="88"/>
  <c r="BE79" i="88"/>
  <c r="BD79" i="88"/>
  <c r="BC79" i="88"/>
  <c r="BO79" i="88" s="1"/>
  <c r="BB79" i="88"/>
  <c r="AO79" i="88"/>
  <c r="AN79" i="88"/>
  <c r="X79" i="88"/>
  <c r="W79" i="88"/>
  <c r="BR79" i="88" s="1"/>
  <c r="BS79" i="88" s="1"/>
  <c r="BU79" i="88" s="1"/>
  <c r="K79" i="88"/>
  <c r="BT78" i="88"/>
  <c r="BQ78" i="88"/>
  <c r="BM78" i="88"/>
  <c r="BL78" i="88"/>
  <c r="BK78" i="88"/>
  <c r="BJ78" i="88"/>
  <c r="BI78" i="88"/>
  <c r="BH78" i="88"/>
  <c r="BG78" i="88"/>
  <c r="BF78" i="88"/>
  <c r="BE78" i="88"/>
  <c r="BD78" i="88"/>
  <c r="BC78" i="88"/>
  <c r="BB78" i="88"/>
  <c r="AM78" i="88"/>
  <c r="AO78" i="88" s="1"/>
  <c r="K78" i="88"/>
  <c r="BT77" i="88"/>
  <c r="BQ77" i="88"/>
  <c r="BN77" i="88"/>
  <c r="BM77" i="88"/>
  <c r="BL77" i="88"/>
  <c r="BK77" i="88"/>
  <c r="BJ77" i="88"/>
  <c r="BI77" i="88"/>
  <c r="BH77" i="88"/>
  <c r="BG77" i="88"/>
  <c r="BO77" i="88" s="1"/>
  <c r="BF77" i="88"/>
  <c r="BE77" i="88"/>
  <c r="BD77" i="88"/>
  <c r="BC77" i="88"/>
  <c r="BB77" i="88"/>
  <c r="AO77" i="88"/>
  <c r="W77" i="88" s="1"/>
  <c r="AN77" i="88"/>
  <c r="K77" i="88"/>
  <c r="BT76" i="88"/>
  <c r="BM76" i="88"/>
  <c r="BL76" i="88"/>
  <c r="BK76" i="88"/>
  <c r="BJ76" i="88"/>
  <c r="BI76" i="88"/>
  <c r="BG76" i="88"/>
  <c r="BF76" i="88"/>
  <c r="BE76" i="88"/>
  <c r="BD76" i="88"/>
  <c r="BB76" i="88"/>
  <c r="AU76" i="88"/>
  <c r="BH76" i="88" s="1"/>
  <c r="AT76" i="88"/>
  <c r="AS76" i="88"/>
  <c r="AR76" i="88"/>
  <c r="AQ76" i="88"/>
  <c r="AP76" i="88"/>
  <c r="BQ76" i="88" s="1"/>
  <c r="AN76" i="88"/>
  <c r="AM76" i="88"/>
  <c r="BN76" i="88" s="1"/>
  <c r="K76" i="88"/>
  <c r="BT75" i="88"/>
  <c r="BQ75" i="88"/>
  <c r="BN75" i="88"/>
  <c r="BM75" i="88"/>
  <c r="BL75" i="88"/>
  <c r="BK75" i="88"/>
  <c r="BJ75" i="88"/>
  <c r="BI75" i="88"/>
  <c r="BH75" i="88"/>
  <c r="BG75" i="88"/>
  <c r="BF75" i="88"/>
  <c r="BE75" i="88"/>
  <c r="BD75" i="88"/>
  <c r="BC75" i="88"/>
  <c r="BO75" i="88" s="1"/>
  <c r="BB75" i="88"/>
  <c r="AO75" i="88"/>
  <c r="AN75" i="88"/>
  <c r="X75" i="88"/>
  <c r="W75" i="88"/>
  <c r="BR75" i="88" s="1"/>
  <c r="BS75" i="88" s="1"/>
  <c r="BU75" i="88" s="1"/>
  <c r="K75" i="88"/>
  <c r="BT74" i="88"/>
  <c r="BQ74" i="88"/>
  <c r="BN74" i="88"/>
  <c r="BM74" i="88"/>
  <c r="BL74" i="88"/>
  <c r="BK74" i="88"/>
  <c r="BJ74" i="88"/>
  <c r="BI74" i="88"/>
  <c r="BH74" i="88"/>
  <c r="BG74" i="88"/>
  <c r="BF74" i="88"/>
  <c r="BE74" i="88"/>
  <c r="BD74" i="88"/>
  <c r="BO74" i="88" s="1"/>
  <c r="BC74" i="88"/>
  <c r="BB74" i="88"/>
  <c r="AO74" i="88"/>
  <c r="AN74" i="88"/>
  <c r="X74" i="88"/>
  <c r="W74" i="88"/>
  <c r="BR74" i="88" s="1"/>
  <c r="K74" i="88"/>
  <c r="BT73" i="88"/>
  <c r="BQ73" i="88"/>
  <c r="BN73" i="88"/>
  <c r="BM73" i="88"/>
  <c r="BL73" i="88"/>
  <c r="BK73" i="88"/>
  <c r="BJ73" i="88"/>
  <c r="BI73" i="88"/>
  <c r="BH73" i="88"/>
  <c r="BG73" i="88"/>
  <c r="BO73" i="88" s="1"/>
  <c r="BF73" i="88"/>
  <c r="BE73" i="88"/>
  <c r="BD73" i="88"/>
  <c r="BC73" i="88"/>
  <c r="BB73" i="88"/>
  <c r="AO73" i="88"/>
  <c r="W73" i="88" s="1"/>
  <c r="AN73" i="88"/>
  <c r="K73" i="88"/>
  <c r="BT72" i="88"/>
  <c r="BQ72" i="88"/>
  <c r="BN72" i="88"/>
  <c r="BM72" i="88"/>
  <c r="BL72" i="88"/>
  <c r="BK72" i="88"/>
  <c r="BJ72" i="88"/>
  <c r="BI72" i="88"/>
  <c r="BH72" i="88"/>
  <c r="BG72" i="88"/>
  <c r="BF72" i="88"/>
  <c r="BE72" i="88"/>
  <c r="BD72" i="88"/>
  <c r="BC72" i="88"/>
  <c r="BO72" i="88" s="1"/>
  <c r="BB72" i="88"/>
  <c r="AO72" i="88"/>
  <c r="W72" i="88" s="1"/>
  <c r="AN72" i="88"/>
  <c r="K72" i="88"/>
  <c r="BT71" i="88"/>
  <c r="BQ71" i="88"/>
  <c r="BN71" i="88"/>
  <c r="BM71" i="88"/>
  <c r="BL71" i="88"/>
  <c r="BK71" i="88"/>
  <c r="BJ71" i="88"/>
  <c r="BI71" i="88"/>
  <c r="BH71" i="88"/>
  <c r="BG71" i="88"/>
  <c r="BF71" i="88"/>
  <c r="BE71" i="88"/>
  <c r="BD71" i="88"/>
  <c r="BC71" i="88"/>
  <c r="BO71" i="88" s="1"/>
  <c r="BB71" i="88"/>
  <c r="AK71" i="88"/>
  <c r="AO71" i="88" s="1"/>
  <c r="K71" i="88"/>
  <c r="BT70" i="88"/>
  <c r="BQ70" i="88"/>
  <c r="BN70" i="88"/>
  <c r="BM70" i="88"/>
  <c r="BL70" i="88"/>
  <c r="BK70" i="88"/>
  <c r="BJ70" i="88"/>
  <c r="BI70" i="88"/>
  <c r="BH70" i="88"/>
  <c r="BG70" i="88"/>
  <c r="BF70" i="88"/>
  <c r="BE70" i="88"/>
  <c r="BO70" i="88" s="1"/>
  <c r="BD70" i="88"/>
  <c r="BC70" i="88"/>
  <c r="BB70" i="88"/>
  <c r="AO70" i="88"/>
  <c r="W70" i="88" s="1"/>
  <c r="AN70" i="88"/>
  <c r="K70" i="88"/>
  <c r="BT69" i="88"/>
  <c r="BQ69" i="88"/>
  <c r="BN69" i="88"/>
  <c r="BM69" i="88"/>
  <c r="BL69" i="88"/>
  <c r="BK69" i="88"/>
  <c r="BJ69" i="88"/>
  <c r="BI69" i="88"/>
  <c r="BH69" i="88"/>
  <c r="BG69" i="88"/>
  <c r="BO69" i="88" s="1"/>
  <c r="BF69" i="88"/>
  <c r="BE69" i="88"/>
  <c r="BD69" i="88"/>
  <c r="BC69" i="88"/>
  <c r="BB69" i="88"/>
  <c r="AO69" i="88"/>
  <c r="W69" i="88" s="1"/>
  <c r="AN69" i="88"/>
  <c r="K69" i="88"/>
  <c r="AX68" i="88"/>
  <c r="BK68" i="88" s="1"/>
  <c r="AW68" i="88"/>
  <c r="AV68" i="88"/>
  <c r="AU68" i="88"/>
  <c r="BH68" i="88" s="1"/>
  <c r="AT68" i="88"/>
  <c r="BG68" i="88" s="1"/>
  <c r="AS68" i="88"/>
  <c r="BF68" i="88" s="1"/>
  <c r="AR68" i="88"/>
  <c r="BE68" i="88" s="1"/>
  <c r="AQ68" i="88"/>
  <c r="BD68" i="88" s="1"/>
  <c r="AP68" i="88"/>
  <c r="BQ68" i="88" s="1"/>
  <c r="AM68" i="88"/>
  <c r="BN68" i="88" s="1"/>
  <c r="AL68" i="88"/>
  <c r="BM68" i="88" s="1"/>
  <c r="AK68" i="88"/>
  <c r="BL68" i="88" s="1"/>
  <c r="AJ68" i="88"/>
  <c r="AI68" i="88"/>
  <c r="BJ68" i="88" s="1"/>
  <c r="AH68" i="88"/>
  <c r="BI68" i="88" s="1"/>
  <c r="AG68" i="88"/>
  <c r="AO68" i="88" s="1"/>
  <c r="AF68" i="88"/>
  <c r="AE68" i="88"/>
  <c r="AD68" i="88"/>
  <c r="AC68" i="88"/>
  <c r="AB68" i="88"/>
  <c r="K68" i="88"/>
  <c r="BT67" i="88"/>
  <c r="BQ67" i="88"/>
  <c r="BN67" i="88"/>
  <c r="BM67" i="88"/>
  <c r="BL67" i="88"/>
  <c r="BK67" i="88"/>
  <c r="BJ67" i="88"/>
  <c r="BI67" i="88"/>
  <c r="BH67" i="88"/>
  <c r="BG67" i="88"/>
  <c r="BF67" i="88"/>
  <c r="BE67" i="88"/>
  <c r="BD67" i="88"/>
  <c r="BC67" i="88"/>
  <c r="BB67" i="88"/>
  <c r="AO67" i="88"/>
  <c r="AN67" i="88"/>
  <c r="AL67" i="88"/>
  <c r="K67" i="88"/>
  <c r="BT66" i="88"/>
  <c r="BQ66" i="88"/>
  <c r="BN66" i="88"/>
  <c r="BM66" i="88"/>
  <c r="BL66" i="88"/>
  <c r="BK66" i="88"/>
  <c r="BJ66" i="88"/>
  <c r="BI66" i="88"/>
  <c r="BH66" i="88"/>
  <c r="BG66" i="88"/>
  <c r="BF66" i="88"/>
  <c r="BE66" i="88"/>
  <c r="BD66" i="88"/>
  <c r="BC66" i="88"/>
  <c r="BB66" i="88"/>
  <c r="AO66" i="88"/>
  <c r="AN66" i="88"/>
  <c r="W66" i="88"/>
  <c r="K66" i="88"/>
  <c r="BT65" i="88"/>
  <c r="BQ65" i="88"/>
  <c r="BN65" i="88"/>
  <c r="BM65" i="88"/>
  <c r="BL65" i="88"/>
  <c r="BK65" i="88"/>
  <c r="BJ65" i="88"/>
  <c r="BI65" i="88"/>
  <c r="BH65" i="88"/>
  <c r="BG65" i="88"/>
  <c r="BF65" i="88"/>
  <c r="BE65" i="88"/>
  <c r="BO65" i="88" s="1"/>
  <c r="BD65" i="88"/>
  <c r="BC65" i="88"/>
  <c r="BB65" i="88"/>
  <c r="AO65" i="88"/>
  <c r="W65" i="88" s="1"/>
  <c r="BR65" i="88" s="1"/>
  <c r="AN65" i="88"/>
  <c r="K65" i="88"/>
  <c r="BT64" i="88"/>
  <c r="BQ64" i="88"/>
  <c r="BN64" i="88"/>
  <c r="BM64" i="88"/>
  <c r="BL64" i="88"/>
  <c r="BK64" i="88"/>
  <c r="BJ64" i="88"/>
  <c r="BI64" i="88"/>
  <c r="BH64" i="88"/>
  <c r="BG64" i="88"/>
  <c r="BO64" i="88" s="1"/>
  <c r="BF64" i="88"/>
  <c r="BE64" i="88"/>
  <c r="BD64" i="88"/>
  <c r="BC64" i="88"/>
  <c r="BB64" i="88"/>
  <c r="AO64" i="88"/>
  <c r="W64" i="88" s="1"/>
  <c r="AN64" i="88"/>
  <c r="K64" i="88"/>
  <c r="BT63" i="88"/>
  <c r="BQ63" i="88"/>
  <c r="BN63" i="88"/>
  <c r="BM63" i="88"/>
  <c r="BL63" i="88"/>
  <c r="BK63" i="88"/>
  <c r="BJ63" i="88"/>
  <c r="BI63" i="88"/>
  <c r="BH63" i="88"/>
  <c r="BG63" i="88"/>
  <c r="BF63" i="88"/>
  <c r="BE63" i="88"/>
  <c r="BD63" i="88"/>
  <c r="BC63" i="88"/>
  <c r="BO63" i="88" s="1"/>
  <c r="BB63" i="88"/>
  <c r="AO63" i="88"/>
  <c r="W63" i="88" s="1"/>
  <c r="BR63" i="88" s="1"/>
  <c r="AN63" i="88"/>
  <c r="K63" i="88"/>
  <c r="BT62" i="88"/>
  <c r="BQ62" i="88"/>
  <c r="BN62" i="88"/>
  <c r="BM62" i="88"/>
  <c r="BL62" i="88"/>
  <c r="BK62" i="88"/>
  <c r="BJ62" i="88"/>
  <c r="BI62" i="88"/>
  <c r="BH62" i="88"/>
  <c r="BG62" i="88"/>
  <c r="BF62" i="88"/>
  <c r="BE62" i="88"/>
  <c r="BD62" i="88"/>
  <c r="BC62" i="88"/>
  <c r="BB62" i="88"/>
  <c r="AO62" i="88"/>
  <c r="AN62" i="88"/>
  <c r="W62" i="88"/>
  <c r="K62" i="88"/>
  <c r="BT61" i="88"/>
  <c r="BN61" i="88"/>
  <c r="BM61" i="88"/>
  <c r="BH61" i="88"/>
  <c r="BG61" i="88"/>
  <c r="BF61" i="88"/>
  <c r="BE61" i="88"/>
  <c r="AZ61" i="88"/>
  <c r="AY61" i="88"/>
  <c r="BL61" i="88" s="1"/>
  <c r="AX61" i="88"/>
  <c r="BK61" i="88" s="1"/>
  <c r="AW61" i="88"/>
  <c r="BJ61" i="88" s="1"/>
  <c r="AV61" i="88"/>
  <c r="BI61" i="88" s="1"/>
  <c r="AU61" i="88"/>
  <c r="AT61" i="88"/>
  <c r="AS61" i="88"/>
  <c r="AR61" i="88"/>
  <c r="AQ61" i="88"/>
  <c r="BD61" i="88" s="1"/>
  <c r="AP61" i="88"/>
  <c r="BC61" i="88" s="1"/>
  <c r="AO61" i="88"/>
  <c r="AN61" i="88"/>
  <c r="K61" i="88"/>
  <c r="BT60" i="88"/>
  <c r="BN60" i="88"/>
  <c r="BM60" i="88"/>
  <c r="BL60" i="88"/>
  <c r="BK60" i="88"/>
  <c r="BJ60" i="88"/>
  <c r="BI60" i="88"/>
  <c r="BH60" i="88"/>
  <c r="BG60" i="88"/>
  <c r="BF60" i="88"/>
  <c r="BE60" i="88"/>
  <c r="BD60" i="88"/>
  <c r="BC60" i="88"/>
  <c r="BB60" i="88"/>
  <c r="AT60" i="88"/>
  <c r="AS60" i="88"/>
  <c r="AR60" i="88"/>
  <c r="AQ60" i="88"/>
  <c r="AP60" i="88"/>
  <c r="BQ60" i="88" s="1"/>
  <c r="AO60" i="88"/>
  <c r="W60" i="88" s="1"/>
  <c r="AN60" i="88"/>
  <c r="K60" i="88"/>
  <c r="BL59" i="88"/>
  <c r="BK59" i="88"/>
  <c r="BJ59" i="88"/>
  <c r="BI59" i="88"/>
  <c r="BD59" i="88"/>
  <c r="BC59" i="88"/>
  <c r="AT59" i="88"/>
  <c r="BG59" i="88" s="1"/>
  <c r="AS59" i="88"/>
  <c r="AR59" i="88"/>
  <c r="AQ59" i="88"/>
  <c r="AP59" i="88"/>
  <c r="AM59" i="88"/>
  <c r="BN59" i="88" s="1"/>
  <c r="AL59" i="88"/>
  <c r="BM59" i="88" s="1"/>
  <c r="AK59" i="88"/>
  <c r="AJ59" i="88"/>
  <c r="AI59" i="88"/>
  <c r="AH59" i="88"/>
  <c r="AG59" i="88"/>
  <c r="BH59" i="88" s="1"/>
  <c r="AF59" i="88"/>
  <c r="AE59" i="88"/>
  <c r="BF59" i="88" s="1"/>
  <c r="AD59" i="88"/>
  <c r="AC59" i="88"/>
  <c r="AB59" i="88"/>
  <c r="K59" i="88"/>
  <c r="BT58" i="88"/>
  <c r="BQ58" i="88"/>
  <c r="BN58" i="88"/>
  <c r="BM58" i="88"/>
  <c r="BL58" i="88"/>
  <c r="BK58" i="88"/>
  <c r="BJ58" i="88"/>
  <c r="BI58" i="88"/>
  <c r="BH58" i="88"/>
  <c r="BG58" i="88"/>
  <c r="BO58" i="88" s="1"/>
  <c r="BF58" i="88"/>
  <c r="BE58" i="88"/>
  <c r="BD58" i="88"/>
  <c r="BC58" i="88"/>
  <c r="BB58" i="88"/>
  <c r="AO58" i="88"/>
  <c r="AN58" i="88"/>
  <c r="Z58" i="88"/>
  <c r="Y58" i="88"/>
  <c r="X58" i="88"/>
  <c r="W58" i="88"/>
  <c r="BR58" i="88" s="1"/>
  <c r="K58" i="88"/>
  <c r="BT57" i="88"/>
  <c r="BQ57" i="88"/>
  <c r="BN57" i="88"/>
  <c r="BM57" i="88"/>
  <c r="BL57" i="88"/>
  <c r="BK57" i="88"/>
  <c r="BJ57" i="88"/>
  <c r="BI57" i="88"/>
  <c r="BH57" i="88"/>
  <c r="BG57" i="88"/>
  <c r="BO57" i="88" s="1"/>
  <c r="BF57" i="88"/>
  <c r="BE57" i="88"/>
  <c r="BD57" i="88"/>
  <c r="BC57" i="88"/>
  <c r="BB57" i="88"/>
  <c r="AO57" i="88"/>
  <c r="AN57" i="88"/>
  <c r="K57" i="88"/>
  <c r="BT56" i="88"/>
  <c r="BQ56" i="88"/>
  <c r="BN56" i="88"/>
  <c r="BM56" i="88"/>
  <c r="BL56" i="88"/>
  <c r="BK56" i="88"/>
  <c r="BJ56" i="88"/>
  <c r="BI56" i="88"/>
  <c r="BH56" i="88"/>
  <c r="BG56" i="88"/>
  <c r="BF56" i="88"/>
  <c r="BE56" i="88"/>
  <c r="BD56" i="88"/>
  <c r="BC56" i="88"/>
  <c r="BB56" i="88"/>
  <c r="AO56" i="88"/>
  <c r="AN56" i="88"/>
  <c r="W56" i="88"/>
  <c r="Y56" i="88" s="1"/>
  <c r="K56" i="88"/>
  <c r="BT55" i="88"/>
  <c r="BQ55" i="88"/>
  <c r="BN55" i="88"/>
  <c r="BM55" i="88"/>
  <c r="BL55" i="88"/>
  <c r="BK55" i="88"/>
  <c r="BJ55" i="88"/>
  <c r="BI55" i="88"/>
  <c r="BH55" i="88"/>
  <c r="BG55" i="88"/>
  <c r="BF55" i="88"/>
  <c r="BE55" i="88"/>
  <c r="BD55" i="88"/>
  <c r="BC55" i="88"/>
  <c r="BO55" i="88" s="1"/>
  <c r="BB55" i="88"/>
  <c r="AO55" i="88"/>
  <c r="AN55" i="88"/>
  <c r="X55" i="88"/>
  <c r="W55" i="88"/>
  <c r="BR55" i="88" s="1"/>
  <c r="BS55" i="88" s="1"/>
  <c r="BU55" i="88" s="1"/>
  <c r="K55" i="88"/>
  <c r="BT54" i="88"/>
  <c r="BQ54" i="88"/>
  <c r="BN54" i="88"/>
  <c r="BM54" i="88"/>
  <c r="BL54" i="88"/>
  <c r="BK54" i="88"/>
  <c r="BJ54" i="88"/>
  <c r="BI54" i="88"/>
  <c r="BH54" i="88"/>
  <c r="BG54" i="88"/>
  <c r="BF54" i="88"/>
  <c r="BE54" i="88"/>
  <c r="BO54" i="88" s="1"/>
  <c r="BD54" i="88"/>
  <c r="BC54" i="88"/>
  <c r="BB54" i="88"/>
  <c r="AO54" i="88"/>
  <c r="AN54" i="88"/>
  <c r="Y54" i="88"/>
  <c r="X54" i="88"/>
  <c r="Z54" i="88" s="1"/>
  <c r="W54" i="88"/>
  <c r="BR54" i="88" s="1"/>
  <c r="K54" i="88"/>
  <c r="BT53" i="88"/>
  <c r="BQ53" i="88"/>
  <c r="BN53" i="88"/>
  <c r="BM53" i="88"/>
  <c r="BL53" i="88"/>
  <c r="BK53" i="88"/>
  <c r="BJ53" i="88"/>
  <c r="BI53" i="88"/>
  <c r="BH53" i="88"/>
  <c r="BG53" i="88"/>
  <c r="BF53" i="88"/>
  <c r="BO53" i="88" s="1"/>
  <c r="BE53" i="88"/>
  <c r="BD53" i="88"/>
  <c r="BC53" i="88"/>
  <c r="BB53" i="88"/>
  <c r="AO53" i="88"/>
  <c r="W53" i="88" s="1"/>
  <c r="X53" i="88" s="1"/>
  <c r="AN53" i="88"/>
  <c r="Y53" i="88"/>
  <c r="Z53" i="88" s="1"/>
  <c r="K53" i="88"/>
  <c r="J53" i="88"/>
  <c r="BT52" i="88"/>
  <c r="BQ52" i="88"/>
  <c r="BN52" i="88"/>
  <c r="BM52" i="88"/>
  <c r="BL52" i="88"/>
  <c r="BK52" i="88"/>
  <c r="BJ52" i="88"/>
  <c r="BI52" i="88"/>
  <c r="BH52" i="88"/>
  <c r="BG52" i="88"/>
  <c r="BF52" i="88"/>
  <c r="BE52" i="88"/>
  <c r="BD52" i="88"/>
  <c r="BC52" i="88"/>
  <c r="BB52" i="88"/>
  <c r="AO52" i="88"/>
  <c r="W52" i="88" s="1"/>
  <c r="AN52" i="88"/>
  <c r="K52" i="88"/>
  <c r="BQ51" i="88"/>
  <c r="BN51" i="88"/>
  <c r="BM51" i="88"/>
  <c r="BL51" i="88"/>
  <c r="BK51" i="88"/>
  <c r="BJ51" i="88"/>
  <c r="BI51" i="88"/>
  <c r="BH51" i="88"/>
  <c r="BF51" i="88"/>
  <c r="BE51" i="88"/>
  <c r="BD51" i="88"/>
  <c r="BC51" i="88"/>
  <c r="AT51" i="88"/>
  <c r="BB51" i="88" s="1"/>
  <c r="AO51" i="88"/>
  <c r="AF51" i="88"/>
  <c r="BT51" i="88" s="1"/>
  <c r="K51" i="88"/>
  <c r="J51" i="88"/>
  <c r="BT50" i="88"/>
  <c r="BQ50" i="88"/>
  <c r="BN50" i="88"/>
  <c r="BM50" i="88"/>
  <c r="BL50" i="88"/>
  <c r="BK50" i="88"/>
  <c r="BJ50" i="88"/>
  <c r="BI50" i="88"/>
  <c r="BH50" i="88"/>
  <c r="BG50" i="88"/>
  <c r="BF50" i="88"/>
  <c r="BE50" i="88"/>
  <c r="BD50" i="88"/>
  <c r="BC50" i="88"/>
  <c r="BO50" i="88" s="1"/>
  <c r="BB50" i="88"/>
  <c r="AO50" i="88"/>
  <c r="AN50" i="88"/>
  <c r="W50" i="88"/>
  <c r="BR50" i="88" s="1"/>
  <c r="BS50" i="88" s="1"/>
  <c r="BU50" i="88" s="1"/>
  <c r="K50" i="88"/>
  <c r="BT49" i="88"/>
  <c r="BQ49" i="88"/>
  <c r="BN49" i="88"/>
  <c r="BM49" i="88"/>
  <c r="BL49" i="88"/>
  <c r="BK49" i="88"/>
  <c r="BJ49" i="88"/>
  <c r="BI49" i="88"/>
  <c r="BH49" i="88"/>
  <c r="BG49" i="88"/>
  <c r="BF49" i="88"/>
  <c r="BE49" i="88"/>
  <c r="BD49" i="88"/>
  <c r="BC49" i="88"/>
  <c r="BO49" i="88" s="1"/>
  <c r="BB49" i="88"/>
  <c r="AO49" i="88"/>
  <c r="AN49" i="88"/>
  <c r="W49" i="88"/>
  <c r="BR49" i="88" s="1"/>
  <c r="K49" i="88"/>
  <c r="BT48" i="88"/>
  <c r="BQ48" i="88"/>
  <c r="BN48" i="88"/>
  <c r="BM48" i="88"/>
  <c r="BL48" i="88"/>
  <c r="BK48" i="88"/>
  <c r="BJ48" i="88"/>
  <c r="BI48" i="88"/>
  <c r="BH48" i="88"/>
  <c r="BG48" i="88"/>
  <c r="BF48" i="88"/>
  <c r="BO48" i="88" s="1"/>
  <c r="BE48" i="88"/>
  <c r="BD48" i="88"/>
  <c r="BC48" i="88"/>
  <c r="BB48" i="88"/>
  <c r="AO48" i="88"/>
  <c r="W48" i="88" s="1"/>
  <c r="AN48" i="88"/>
  <c r="K48" i="88"/>
  <c r="BT47" i="88"/>
  <c r="BQ47" i="88"/>
  <c r="BN47" i="88"/>
  <c r="BM47" i="88"/>
  <c r="BL47" i="88"/>
  <c r="BK47" i="88"/>
  <c r="BJ47" i="88"/>
  <c r="BI47" i="88"/>
  <c r="BH47" i="88"/>
  <c r="BG47" i="88"/>
  <c r="BF47" i="88"/>
  <c r="BE47" i="88"/>
  <c r="BO47" i="88" s="1"/>
  <c r="BD47" i="88"/>
  <c r="BC47" i="88"/>
  <c r="BB47" i="88"/>
  <c r="AO47" i="88"/>
  <c r="W47" i="88" s="1"/>
  <c r="AN47" i="88"/>
  <c r="AG47" i="88"/>
  <c r="K47" i="88"/>
  <c r="BT46" i="88"/>
  <c r="BQ46" i="88"/>
  <c r="BN46" i="88"/>
  <c r="BM46" i="88"/>
  <c r="BL46" i="88"/>
  <c r="BK46" i="88"/>
  <c r="BJ46" i="88"/>
  <c r="BI46" i="88"/>
  <c r="BH46" i="88"/>
  <c r="BG46" i="88"/>
  <c r="BF46" i="88"/>
  <c r="BE46" i="88"/>
  <c r="BD46" i="88"/>
  <c r="BC46" i="88"/>
  <c r="BO46" i="88" s="1"/>
  <c r="BB46" i="88"/>
  <c r="AO46" i="88"/>
  <c r="AN46" i="88"/>
  <c r="W46" i="88"/>
  <c r="BR46" i="88" s="1"/>
  <c r="BS46" i="88" s="1"/>
  <c r="BU46" i="88" s="1"/>
  <c r="K46" i="88"/>
  <c r="BT45" i="88"/>
  <c r="BQ45" i="88"/>
  <c r="BN45" i="88"/>
  <c r="BM45" i="88"/>
  <c r="BL45" i="88"/>
  <c r="BK45" i="88"/>
  <c r="BJ45" i="88"/>
  <c r="BI45" i="88"/>
  <c r="BH45" i="88"/>
  <c r="BG45" i="88"/>
  <c r="BF45" i="88"/>
  <c r="BE45" i="88"/>
  <c r="BO45" i="88" s="1"/>
  <c r="BD45" i="88"/>
  <c r="BC45" i="88"/>
  <c r="BB45" i="88"/>
  <c r="AO45" i="88"/>
  <c r="AN45" i="88"/>
  <c r="Y45" i="88"/>
  <c r="X45" i="88"/>
  <c r="Z45" i="88" s="1"/>
  <c r="W45" i="88"/>
  <c r="BR45" i="88" s="1"/>
  <c r="BS45" i="88" s="1"/>
  <c r="BU45" i="88" s="1"/>
  <c r="K45" i="88"/>
  <c r="BT44" i="88"/>
  <c r="BQ44" i="88"/>
  <c r="BM44" i="88"/>
  <c r="BL44" i="88"/>
  <c r="BK44" i="88"/>
  <c r="BJ44" i="88"/>
  <c r="BI44" i="88"/>
  <c r="BH44" i="88"/>
  <c r="BG44" i="88"/>
  <c r="BO44" i="88" s="1"/>
  <c r="BF44" i="88"/>
  <c r="BE44" i="88"/>
  <c r="BD44" i="88"/>
  <c r="BC44" i="88"/>
  <c r="BB44" i="88"/>
  <c r="AM44" i="88"/>
  <c r="BN44" i="88" s="1"/>
  <c r="K44" i="88"/>
  <c r="BT43" i="88"/>
  <c r="BQ43" i="88"/>
  <c r="BM43" i="88"/>
  <c r="BL43" i="88"/>
  <c r="BK43" i="88"/>
  <c r="BJ43" i="88"/>
  <c r="BI43" i="88"/>
  <c r="BH43" i="88"/>
  <c r="BG43" i="88"/>
  <c r="BF43" i="88"/>
  <c r="BE43" i="88"/>
  <c r="BD43" i="88"/>
  <c r="BC43" i="88"/>
  <c r="BB43" i="88"/>
  <c r="AO43" i="88"/>
  <c r="AM43" i="88"/>
  <c r="AN43" i="88" s="1"/>
  <c r="W43" i="88"/>
  <c r="BR43" i="88" s="1"/>
  <c r="BS43" i="88" s="1"/>
  <c r="BU43" i="88" s="1"/>
  <c r="K43" i="88"/>
  <c r="BN42" i="88"/>
  <c r="BM42" i="88"/>
  <c r="AV42" i="88"/>
  <c r="BI42" i="88" s="1"/>
  <c r="AU42" i="88"/>
  <c r="BH42" i="88" s="1"/>
  <c r="AT42" i="88"/>
  <c r="BG42" i="88" s="1"/>
  <c r="AS42" i="88"/>
  <c r="BF42" i="88" s="1"/>
  <c r="AR42" i="88"/>
  <c r="BE42" i="88" s="1"/>
  <c r="AQ42" i="88"/>
  <c r="BD42" i="88" s="1"/>
  <c r="AP42" i="88"/>
  <c r="BC42" i="88" s="1"/>
  <c r="AM42" i="88"/>
  <c r="AL42" i="88"/>
  <c r="AK42" i="88"/>
  <c r="BL42" i="88" s="1"/>
  <c r="AJ42" i="88"/>
  <c r="BK42" i="88" s="1"/>
  <c r="AI42" i="88"/>
  <c r="BJ42" i="88" s="1"/>
  <c r="AH42" i="88"/>
  <c r="AG42" i="88"/>
  <c r="AO42" i="88" s="1"/>
  <c r="AF42" i="88"/>
  <c r="AE42" i="88"/>
  <c r="AD42" i="88"/>
  <c r="AC42" i="88"/>
  <c r="AB42" i="88"/>
  <c r="BT42" i="88" s="1"/>
  <c r="K42" i="88"/>
  <c r="BT41" i="88"/>
  <c r="BM41" i="88"/>
  <c r="BL41" i="88"/>
  <c r="BK41" i="88"/>
  <c r="BJ41" i="88"/>
  <c r="BI41" i="88"/>
  <c r="BG41" i="88"/>
  <c r="BE41" i="88"/>
  <c r="BD41" i="88"/>
  <c r="BC41" i="88"/>
  <c r="BO41" i="88" s="1"/>
  <c r="BB41" i="88"/>
  <c r="AU41" i="88"/>
  <c r="BH41" i="88" s="1"/>
  <c r="AT41" i="88"/>
  <c r="AS41" i="88"/>
  <c r="BF41" i="88" s="1"/>
  <c r="AR41" i="88"/>
  <c r="AQ41" i="88"/>
  <c r="AP41" i="88"/>
  <c r="BQ41" i="88" s="1"/>
  <c r="AO41" i="88"/>
  <c r="W41" i="88" s="1"/>
  <c r="AN41" i="88"/>
  <c r="AM41" i="88"/>
  <c r="BN41" i="88" s="1"/>
  <c r="K41" i="88"/>
  <c r="BT40" i="88"/>
  <c r="BQ40" i="88"/>
  <c r="BN40" i="88"/>
  <c r="BM40" i="88"/>
  <c r="BL40" i="88"/>
  <c r="BK40" i="88"/>
  <c r="BJ40" i="88"/>
  <c r="BI40" i="88"/>
  <c r="BH40" i="88"/>
  <c r="BE40" i="88"/>
  <c r="BD40" i="88"/>
  <c r="BC40" i="88"/>
  <c r="BB40" i="88"/>
  <c r="AO40" i="88"/>
  <c r="AM40" i="88"/>
  <c r="AF40" i="88"/>
  <c r="BG40" i="88" s="1"/>
  <c r="AE40" i="88"/>
  <c r="AN40" i="88" s="1"/>
  <c r="Y40" i="88"/>
  <c r="Z40" i="88" s="1"/>
  <c r="X40" i="88"/>
  <c r="W40" i="88"/>
  <c r="BR40" i="88" s="1"/>
  <c r="BS40" i="88" s="1"/>
  <c r="BU40" i="88" s="1"/>
  <c r="K40" i="88"/>
  <c r="BH39" i="88"/>
  <c r="BD39" i="88"/>
  <c r="BC39" i="88"/>
  <c r="BA39" i="88"/>
  <c r="BN39" i="88" s="1"/>
  <c r="AZ39" i="88"/>
  <c r="BM39" i="88" s="1"/>
  <c r="AY39" i="88"/>
  <c r="BL39" i="88" s="1"/>
  <c r="AX39" i="88"/>
  <c r="BK39" i="88" s="1"/>
  <c r="AW39" i="88"/>
  <c r="AV39" i="88"/>
  <c r="AU39" i="88"/>
  <c r="AT39" i="88"/>
  <c r="BG39" i="88" s="1"/>
  <c r="AS39" i="88"/>
  <c r="BF39" i="88" s="1"/>
  <c r="AR39" i="88"/>
  <c r="BE39" i="88" s="1"/>
  <c r="AM39" i="88"/>
  <c r="AL39" i="88"/>
  <c r="AK39" i="88"/>
  <c r="AJ39" i="88"/>
  <c r="AI39" i="88"/>
  <c r="BJ39" i="88" s="1"/>
  <c r="AH39" i="88"/>
  <c r="BI39" i="88" s="1"/>
  <c r="AG39" i="88"/>
  <c r="AO39" i="88" s="1"/>
  <c r="AF39" i="88"/>
  <c r="AE39" i="88"/>
  <c r="AN39" i="88" s="1"/>
  <c r="AD39" i="88"/>
  <c r="K39" i="88"/>
  <c r="BH38" i="88"/>
  <c r="BG38" i="88"/>
  <c r="BF38" i="88"/>
  <c r="AU38" i="88"/>
  <c r="AV38" i="88" s="1"/>
  <c r="AT38" i="88"/>
  <c r="AS38" i="88"/>
  <c r="AR38" i="88"/>
  <c r="BE38" i="88" s="1"/>
  <c r="AQ38" i="88"/>
  <c r="BD38" i="88" s="1"/>
  <c r="AP38" i="88"/>
  <c r="BC38" i="88" s="1"/>
  <c r="AH38" i="88"/>
  <c r="AI38" i="88" s="1"/>
  <c r="AJ38" i="88" s="1"/>
  <c r="AK38" i="88" s="1"/>
  <c r="AL38" i="88" s="1"/>
  <c r="AM38" i="88" s="1"/>
  <c r="AG38" i="88"/>
  <c r="AO38" i="88" s="1"/>
  <c r="AF38" i="88"/>
  <c r="AE38" i="88"/>
  <c r="AD38" i="88"/>
  <c r="AC38" i="88"/>
  <c r="AB38" i="88"/>
  <c r="AN38" i="88" s="1"/>
  <c r="K38" i="88"/>
  <c r="BJ37" i="88"/>
  <c r="BI37" i="88"/>
  <c r="AU37" i="88"/>
  <c r="BH37" i="88" s="1"/>
  <c r="AT37" i="88"/>
  <c r="BG37" i="88" s="1"/>
  <c r="AS37" i="88"/>
  <c r="BF37" i="88" s="1"/>
  <c r="AR37" i="88"/>
  <c r="AQ37" i="88"/>
  <c r="BD37" i="88" s="1"/>
  <c r="AP37" i="88"/>
  <c r="AM37" i="88"/>
  <c r="BN37" i="88" s="1"/>
  <c r="AL37" i="88"/>
  <c r="BM37" i="88" s="1"/>
  <c r="AK37" i="88"/>
  <c r="BL37" i="88" s="1"/>
  <c r="AJ37" i="88"/>
  <c r="BK37" i="88" s="1"/>
  <c r="AI37" i="88"/>
  <c r="AH37" i="88"/>
  <c r="AG37" i="88"/>
  <c r="AO37" i="88" s="1"/>
  <c r="AF37" i="88"/>
  <c r="AE37" i="88"/>
  <c r="AD37" i="88"/>
  <c r="BE37" i="88" s="1"/>
  <c r="AC37" i="88"/>
  <c r="AB37" i="88"/>
  <c r="BT37" i="88" s="1"/>
  <c r="K37" i="88"/>
  <c r="BT36" i="88"/>
  <c r="BN36" i="88"/>
  <c r="BM36" i="88"/>
  <c r="BL36" i="88"/>
  <c r="BK36" i="88"/>
  <c r="BJ36" i="88"/>
  <c r="BI36" i="88"/>
  <c r="BH36" i="88"/>
  <c r="BG36" i="88"/>
  <c r="BF36" i="88"/>
  <c r="BE36" i="88"/>
  <c r="BD36" i="88"/>
  <c r="AP36" i="88"/>
  <c r="BC36" i="88" s="1"/>
  <c r="BO36" i="88" s="1"/>
  <c r="AO36" i="88"/>
  <c r="AN36" i="88"/>
  <c r="K36" i="88"/>
  <c r="BT35" i="88"/>
  <c r="BI35" i="88"/>
  <c r="BH35" i="88"/>
  <c r="BG35" i="88"/>
  <c r="BA35" i="88"/>
  <c r="AZ35" i="88"/>
  <c r="AY35" i="88"/>
  <c r="AX35" i="88"/>
  <c r="BK35" i="88" s="1"/>
  <c r="AW35" i="88"/>
  <c r="BJ35" i="88" s="1"/>
  <c r="AV35" i="88"/>
  <c r="AU35" i="88"/>
  <c r="AT35" i="88"/>
  <c r="AS35" i="88"/>
  <c r="BF35" i="88" s="1"/>
  <c r="AR35" i="88"/>
  <c r="BE35" i="88" s="1"/>
  <c r="AQ35" i="88"/>
  <c r="BD35" i="88" s="1"/>
  <c r="AP35" i="88"/>
  <c r="BC35" i="88" s="1"/>
  <c r="AO35" i="88"/>
  <c r="AN35" i="88"/>
  <c r="W35" i="88"/>
  <c r="Y35" i="88" s="1"/>
  <c r="K35" i="88"/>
  <c r="BT34" i="88"/>
  <c r="BN34" i="88"/>
  <c r="BM34" i="88"/>
  <c r="BL34" i="88"/>
  <c r="BK34" i="88"/>
  <c r="BJ34" i="88"/>
  <c r="BI34" i="88"/>
  <c r="BH34" i="88"/>
  <c r="BG34" i="88"/>
  <c r="BF34" i="88"/>
  <c r="AU34" i="88"/>
  <c r="AT34" i="88"/>
  <c r="AS34" i="88"/>
  <c r="AR34" i="88"/>
  <c r="BE34" i="88" s="1"/>
  <c r="AQ34" i="88"/>
  <c r="BD34" i="88" s="1"/>
  <c r="AP34" i="88"/>
  <c r="BC34" i="88" s="1"/>
  <c r="AO34" i="88"/>
  <c r="AN34" i="88"/>
  <c r="AK34" i="88"/>
  <c r="K34" i="88"/>
  <c r="BT33" i="88"/>
  <c r="BQ33" i="88"/>
  <c r="BN33" i="88"/>
  <c r="BM33" i="88"/>
  <c r="BL33" i="88"/>
  <c r="BK33" i="88"/>
  <c r="BJ33" i="88"/>
  <c r="BI33" i="88"/>
  <c r="BH33" i="88"/>
  <c r="BG33" i="88"/>
  <c r="BF33" i="88"/>
  <c r="BO33" i="88" s="1"/>
  <c r="BE33" i="88"/>
  <c r="BD33" i="88"/>
  <c r="BC33" i="88"/>
  <c r="BB33" i="88"/>
  <c r="AO33" i="88"/>
  <c r="AN33" i="88"/>
  <c r="Y33" i="88"/>
  <c r="W33" i="88"/>
  <c r="X33" i="88" s="1"/>
  <c r="Z33" i="88" s="1"/>
  <c r="K33" i="88"/>
  <c r="BQ32" i="88"/>
  <c r="BK32" i="88"/>
  <c r="BJ32" i="88"/>
  <c r="BI32" i="88"/>
  <c r="BE32" i="88"/>
  <c r="BD32" i="88"/>
  <c r="BB32" i="88"/>
  <c r="AM32" i="88"/>
  <c r="BN32" i="88" s="1"/>
  <c r="AL32" i="88"/>
  <c r="BM32" i="88" s="1"/>
  <c r="AK32" i="88"/>
  <c r="BL32" i="88" s="1"/>
  <c r="AJ32" i="88"/>
  <c r="AI32" i="88"/>
  <c r="AH32" i="88"/>
  <c r="AG32" i="88"/>
  <c r="AO32" i="88" s="1"/>
  <c r="AF32" i="88"/>
  <c r="BG32" i="88" s="1"/>
  <c r="AE32" i="88"/>
  <c r="BF32" i="88" s="1"/>
  <c r="AB32" i="88"/>
  <c r="BT32" i="88" s="1"/>
  <c r="K32" i="88"/>
  <c r="BQ31" i="88"/>
  <c r="BN31" i="88"/>
  <c r="BM31" i="88"/>
  <c r="BG31" i="88"/>
  <c r="BF31" i="88"/>
  <c r="BE31" i="88"/>
  <c r="BB31" i="88"/>
  <c r="AM31" i="88"/>
  <c r="AL31" i="88"/>
  <c r="AK31" i="88"/>
  <c r="BL31" i="88" s="1"/>
  <c r="AJ31" i="88"/>
  <c r="BK31" i="88" s="1"/>
  <c r="AI31" i="88"/>
  <c r="BJ31" i="88" s="1"/>
  <c r="AH31" i="88"/>
  <c r="BI31" i="88" s="1"/>
  <c r="AG31" i="88"/>
  <c r="AO31" i="88" s="1"/>
  <c r="AF31" i="88"/>
  <c r="AE31" i="88"/>
  <c r="AD31" i="88"/>
  <c r="AC31" i="88"/>
  <c r="BD31" i="88" s="1"/>
  <c r="AB31" i="88"/>
  <c r="BT31" i="88" s="1"/>
  <c r="K31" i="88"/>
  <c r="BT30" i="88"/>
  <c r="BQ30" i="88"/>
  <c r="BM30" i="88"/>
  <c r="BL30" i="88"/>
  <c r="BK30" i="88"/>
  <c r="BH30" i="88"/>
  <c r="BE30" i="88"/>
  <c r="BD30" i="88"/>
  <c r="BC30" i="88"/>
  <c r="BB30" i="88"/>
  <c r="AM30" i="88"/>
  <c r="BN30" i="88" s="1"/>
  <c r="AL30" i="88"/>
  <c r="AK30" i="88"/>
  <c r="AJ30" i="88"/>
  <c r="AI30" i="88"/>
  <c r="BJ30" i="88" s="1"/>
  <c r="AH30" i="88"/>
  <c r="BI30" i="88" s="1"/>
  <c r="AG30" i="88"/>
  <c r="AO30" i="88" s="1"/>
  <c r="AF30" i="88"/>
  <c r="BG30" i="88" s="1"/>
  <c r="AE30" i="88"/>
  <c r="BF30" i="88" s="1"/>
  <c r="AD30" i="88"/>
  <c r="AC30" i="88"/>
  <c r="AB30" i="88"/>
  <c r="AN30" i="88" s="1"/>
  <c r="K30" i="88"/>
  <c r="BM29" i="88"/>
  <c r="BI29" i="88"/>
  <c r="BH29" i="88"/>
  <c r="BE29" i="88"/>
  <c r="AQ29" i="88"/>
  <c r="BD29" i="88" s="1"/>
  <c r="AP29" i="88"/>
  <c r="BC29" i="88" s="1"/>
  <c r="AM29" i="88"/>
  <c r="BN29" i="88" s="1"/>
  <c r="AL29" i="88"/>
  <c r="AK29" i="88"/>
  <c r="BL29" i="88" s="1"/>
  <c r="AJ29" i="88"/>
  <c r="BK29" i="88" s="1"/>
  <c r="AI29" i="88"/>
  <c r="BJ29" i="88" s="1"/>
  <c r="AH29" i="88"/>
  <c r="AG29" i="88"/>
  <c r="AO29" i="88" s="1"/>
  <c r="AF29" i="88"/>
  <c r="BG29" i="88" s="1"/>
  <c r="AE29" i="88"/>
  <c r="BF29" i="88" s="1"/>
  <c r="AD29" i="88"/>
  <c r="AC29" i="88"/>
  <c r="AB29" i="88"/>
  <c r="AN29" i="88" s="1"/>
  <c r="K29" i="88"/>
  <c r="BQ28" i="88"/>
  <c r="BN28" i="88"/>
  <c r="BM28" i="88"/>
  <c r="BL28" i="88"/>
  <c r="BK28" i="88"/>
  <c r="BJ28" i="88"/>
  <c r="BI28" i="88"/>
  <c r="BH28" i="88"/>
  <c r="BG28" i="88"/>
  <c r="BF28" i="88"/>
  <c r="BE28" i="88"/>
  <c r="BB28" i="88"/>
  <c r="AO28" i="88"/>
  <c r="AN28" i="88"/>
  <c r="AC28" i="88"/>
  <c r="BD28" i="88" s="1"/>
  <c r="AB28" i="88"/>
  <c r="BT28" i="88" s="1"/>
  <c r="K28" i="88"/>
  <c r="BT27" i="88"/>
  <c r="BQ27" i="88"/>
  <c r="BN27" i="88"/>
  <c r="BM27" i="88"/>
  <c r="BL27" i="88"/>
  <c r="BK27" i="88"/>
  <c r="BJ27" i="88"/>
  <c r="BI27" i="88"/>
  <c r="BH27" i="88"/>
  <c r="BG27" i="88"/>
  <c r="BF27" i="88"/>
  <c r="BE27" i="88"/>
  <c r="BD27" i="88"/>
  <c r="BC27" i="88"/>
  <c r="BO27" i="88" s="1"/>
  <c r="BB27" i="88"/>
  <c r="AO27" i="88"/>
  <c r="AN27" i="88"/>
  <c r="X27" i="88"/>
  <c r="W27" i="88"/>
  <c r="BR27" i="88" s="1"/>
  <c r="K27" i="88"/>
  <c r="BN26" i="88"/>
  <c r="BK26" i="88"/>
  <c r="BF26" i="88"/>
  <c r="BC26" i="88"/>
  <c r="AT26" i="88"/>
  <c r="AS26" i="88"/>
  <c r="BB26" i="88" s="1"/>
  <c r="AM26" i="88"/>
  <c r="AL26" i="88"/>
  <c r="BM26" i="88" s="1"/>
  <c r="AK26" i="88"/>
  <c r="BL26" i="88" s="1"/>
  <c r="AJ26" i="88"/>
  <c r="AI26" i="88"/>
  <c r="BJ26" i="88" s="1"/>
  <c r="AH26" i="88"/>
  <c r="BI26" i="88" s="1"/>
  <c r="AG26" i="88"/>
  <c r="BH26" i="88" s="1"/>
  <c r="AF26" i="88"/>
  <c r="BG26" i="88" s="1"/>
  <c r="AE26" i="88"/>
  <c r="AD26" i="88"/>
  <c r="BE26" i="88" s="1"/>
  <c r="AC26" i="88"/>
  <c r="BD26" i="88" s="1"/>
  <c r="BO26" i="88" s="1"/>
  <c r="AB26" i="88"/>
  <c r="K26" i="88"/>
  <c r="BQ25" i="88"/>
  <c r="BL25" i="88"/>
  <c r="BI25" i="88"/>
  <c r="BH25" i="88"/>
  <c r="BG25" i="88"/>
  <c r="BD25" i="88"/>
  <c r="BB25" i="88"/>
  <c r="AM25" i="88"/>
  <c r="BN25" i="88" s="1"/>
  <c r="AL25" i="88"/>
  <c r="BM25" i="88" s="1"/>
  <c r="AK25" i="88"/>
  <c r="AJ25" i="88"/>
  <c r="BK25" i="88" s="1"/>
  <c r="AI25" i="88"/>
  <c r="BJ25" i="88" s="1"/>
  <c r="AH25" i="88"/>
  <c r="AG25" i="88"/>
  <c r="AO25" i="88" s="1"/>
  <c r="AF25" i="88"/>
  <c r="AE25" i="88"/>
  <c r="BF25" i="88" s="1"/>
  <c r="AD25" i="88"/>
  <c r="BE25" i="88" s="1"/>
  <c r="AC25" i="88"/>
  <c r="AB25" i="88"/>
  <c r="K25" i="88"/>
  <c r="BT24" i="88"/>
  <c r="BM24" i="88"/>
  <c r="BL24" i="88"/>
  <c r="BJ24" i="88"/>
  <c r="BI24" i="88"/>
  <c r="BF24" i="88"/>
  <c r="BE24" i="88"/>
  <c r="BD24" i="88"/>
  <c r="BC24" i="88"/>
  <c r="AT24" i="88"/>
  <c r="BB24" i="88" s="1"/>
  <c r="AS24" i="88"/>
  <c r="AR24" i="88"/>
  <c r="BQ24" i="88" s="1"/>
  <c r="AM24" i="88"/>
  <c r="BN24" i="88" s="1"/>
  <c r="AL24" i="88"/>
  <c r="AK24" i="88"/>
  <c r="AJ24" i="88"/>
  <c r="BK24" i="88" s="1"/>
  <c r="AI24" i="88"/>
  <c r="AH24" i="88"/>
  <c r="AG24" i="88"/>
  <c r="BH24" i="88" s="1"/>
  <c r="V24" i="88"/>
  <c r="V151" i="88" s="1"/>
  <c r="K24" i="88"/>
  <c r="BQ23" i="88"/>
  <c r="BN23" i="88"/>
  <c r="BL23" i="88"/>
  <c r="BK23" i="88"/>
  <c r="BJ23" i="88"/>
  <c r="BI23" i="88"/>
  <c r="BG23" i="88"/>
  <c r="BD23" i="88"/>
  <c r="BC23" i="88"/>
  <c r="BB23" i="88"/>
  <c r="AM23" i="88"/>
  <c r="AL23" i="88"/>
  <c r="BM23" i="88" s="1"/>
  <c r="AK23" i="88"/>
  <c r="AJ23" i="88"/>
  <c r="AI23" i="88"/>
  <c r="AH23" i="88"/>
  <c r="AO23" i="88" s="1"/>
  <c r="AG23" i="88"/>
  <c r="BH23" i="88" s="1"/>
  <c r="AF23" i="88"/>
  <c r="AE23" i="88"/>
  <c r="BF23" i="88" s="1"/>
  <c r="AD23" i="88"/>
  <c r="AC23" i="88"/>
  <c r="AB23" i="88"/>
  <c r="K23" i="88"/>
  <c r="BQ22" i="88"/>
  <c r="BN22" i="88"/>
  <c r="BM22" i="88"/>
  <c r="BL22" i="88"/>
  <c r="BK22" i="88"/>
  <c r="BJ22" i="88"/>
  <c r="BI22" i="88"/>
  <c r="BH22" i="88"/>
  <c r="BG22" i="88"/>
  <c r="BF22" i="88"/>
  <c r="BE22" i="88"/>
  <c r="BD22" i="88"/>
  <c r="BB22" i="88"/>
  <c r="AO22" i="88"/>
  <c r="AB22" i="88"/>
  <c r="K22" i="88"/>
  <c r="BT21" i="88"/>
  <c r="BQ21" i="88"/>
  <c r="BN21" i="88"/>
  <c r="BM21" i="88"/>
  <c r="BL21" i="88"/>
  <c r="BK21" i="88"/>
  <c r="BJ21" i="88"/>
  <c r="BI21" i="88"/>
  <c r="BH21" i="88"/>
  <c r="BG21" i="88"/>
  <c r="BO21" i="88" s="1"/>
  <c r="BF21" i="88"/>
  <c r="BE21" i="88"/>
  <c r="BD21" i="88"/>
  <c r="BC21" i="88"/>
  <c r="BB21" i="88"/>
  <c r="AO21" i="88"/>
  <c r="W21" i="88" s="1"/>
  <c r="AN21" i="88"/>
  <c r="K21" i="88"/>
  <c r="BT20" i="88"/>
  <c r="BQ20" i="88"/>
  <c r="BN20" i="88"/>
  <c r="BM20" i="88"/>
  <c r="BL20" i="88"/>
  <c r="BK20" i="88"/>
  <c r="BJ20" i="88"/>
  <c r="BI20" i="88"/>
  <c r="BH20" i="88"/>
  <c r="BG20" i="88"/>
  <c r="BF20" i="88"/>
  <c r="BE20" i="88"/>
  <c r="BD20" i="88"/>
  <c r="BC20" i="88"/>
  <c r="BB20" i="88"/>
  <c r="AO20" i="88"/>
  <c r="W20" i="88" s="1"/>
  <c r="AN20" i="88"/>
  <c r="K20" i="88"/>
  <c r="BT19" i="88"/>
  <c r="BQ19" i="88"/>
  <c r="BN19" i="88"/>
  <c r="BM19" i="88"/>
  <c r="BL19" i="88"/>
  <c r="BK19" i="88"/>
  <c r="BJ19" i="88"/>
  <c r="BI19" i="88"/>
  <c r="BH19" i="88"/>
  <c r="BG19" i="88"/>
  <c r="BO19" i="88" s="1"/>
  <c r="BF19" i="88"/>
  <c r="BE19" i="88"/>
  <c r="BD19" i="88"/>
  <c r="BC19" i="88"/>
  <c r="BB19" i="88"/>
  <c r="AO19" i="88"/>
  <c r="AN19" i="88"/>
  <c r="W19" i="88"/>
  <c r="Y19" i="88" s="1"/>
  <c r="K19" i="88"/>
  <c r="BT18" i="88"/>
  <c r="BQ18" i="88"/>
  <c r="BN18" i="88"/>
  <c r="BM18" i="88"/>
  <c r="BL18" i="88"/>
  <c r="BK18" i="88"/>
  <c r="BJ18" i="88"/>
  <c r="BI18" i="88"/>
  <c r="BH18" i="88"/>
  <c r="BG18" i="88"/>
  <c r="BF18" i="88"/>
  <c r="BE18" i="88"/>
  <c r="BD18" i="88"/>
  <c r="BC18" i="88"/>
  <c r="BO18" i="88" s="1"/>
  <c r="BB18" i="88"/>
  <c r="AO18" i="88"/>
  <c r="W18" i="88" s="1"/>
  <c r="Y18" i="88" s="1"/>
  <c r="AN18" i="88"/>
  <c r="K18" i="88"/>
  <c r="BT17" i="88"/>
  <c r="BQ17" i="88"/>
  <c r="BN17" i="88"/>
  <c r="BM17" i="88"/>
  <c r="BL17" i="88"/>
  <c r="BK17" i="88"/>
  <c r="BJ17" i="88"/>
  <c r="BI17" i="88"/>
  <c r="BH17" i="88"/>
  <c r="BG17" i="88"/>
  <c r="BF17" i="88"/>
  <c r="BE17" i="88"/>
  <c r="BD17" i="88"/>
  <c r="BC17" i="88"/>
  <c r="BO17" i="88" s="1"/>
  <c r="BB17" i="88"/>
  <c r="AO17" i="88"/>
  <c r="W17" i="88" s="1"/>
  <c r="AN17" i="88"/>
  <c r="K17" i="88"/>
  <c r="BT16" i="88"/>
  <c r="BQ16" i="88"/>
  <c r="BN16" i="88"/>
  <c r="BM16" i="88"/>
  <c r="BL16" i="88"/>
  <c r="BK16" i="88"/>
  <c r="BJ16" i="88"/>
  <c r="BI16" i="88"/>
  <c r="BH16" i="88"/>
  <c r="BG16" i="88"/>
  <c r="BF16" i="88"/>
  <c r="BE16" i="88"/>
  <c r="BD16" i="88"/>
  <c r="BC16" i="88"/>
  <c r="BO16" i="88" s="1"/>
  <c r="BB16" i="88"/>
  <c r="AO16" i="88"/>
  <c r="AN16" i="88"/>
  <c r="W16" i="88"/>
  <c r="BR16" i="88" s="1"/>
  <c r="K16" i="88"/>
  <c r="BT15" i="88"/>
  <c r="BQ15" i="88"/>
  <c r="BN15" i="88"/>
  <c r="BM15" i="88"/>
  <c r="BL15" i="88"/>
  <c r="BK15" i="88"/>
  <c r="BJ15" i="88"/>
  <c r="BI15" i="88"/>
  <c r="BH15" i="88"/>
  <c r="BG15" i="88"/>
  <c r="BF15" i="88"/>
  <c r="BE15" i="88"/>
  <c r="BO15" i="88" s="1"/>
  <c r="BD15" i="88"/>
  <c r="BC15" i="88"/>
  <c r="BB15" i="88"/>
  <c r="AO15" i="88"/>
  <c r="W15" i="88" s="1"/>
  <c r="AN15" i="88"/>
  <c r="K15" i="88"/>
  <c r="BT14" i="88"/>
  <c r="BQ14" i="88"/>
  <c r="BN14" i="88"/>
  <c r="BM14" i="88"/>
  <c r="BL14" i="88"/>
  <c r="BK14" i="88"/>
  <c r="BJ14" i="88"/>
  <c r="BI14" i="88"/>
  <c r="BH14" i="88"/>
  <c r="BG14" i="88"/>
  <c r="BO14" i="88" s="1"/>
  <c r="BF14" i="88"/>
  <c r="BE14" i="88"/>
  <c r="BD14" i="88"/>
  <c r="BC14" i="88"/>
  <c r="BB14" i="88"/>
  <c r="AO14" i="88"/>
  <c r="AN14" i="88"/>
  <c r="W14" i="88"/>
  <c r="Y14" i="88" s="1"/>
  <c r="K14" i="88"/>
  <c r="BT13" i="88"/>
  <c r="BQ13" i="88"/>
  <c r="BN13" i="88"/>
  <c r="BM13" i="88"/>
  <c r="BL13" i="88"/>
  <c r="BK13" i="88"/>
  <c r="BJ13" i="88"/>
  <c r="BI13" i="88"/>
  <c r="BH13" i="88"/>
  <c r="BG13" i="88"/>
  <c r="BF13" i="88"/>
  <c r="BE13" i="88"/>
  <c r="BD13" i="88"/>
  <c r="BC13" i="88"/>
  <c r="BO13" i="88" s="1"/>
  <c r="BB13" i="88"/>
  <c r="AO13" i="88"/>
  <c r="W13" i="88" s="1"/>
  <c r="AN13" i="88"/>
  <c r="K13" i="88"/>
  <c r="BQ12" i="88"/>
  <c r="BM12" i="88"/>
  <c r="BL12" i="88"/>
  <c r="BI12" i="88"/>
  <c r="BH12" i="88"/>
  <c r="BE12" i="88"/>
  <c r="BD12" i="88"/>
  <c r="BB12" i="88"/>
  <c r="AM12" i="88"/>
  <c r="BN12" i="88" s="1"/>
  <c r="AL12" i="88"/>
  <c r="AK12" i="88"/>
  <c r="AJ12" i="88"/>
  <c r="BK12" i="88" s="1"/>
  <c r="AI12" i="88"/>
  <c r="BJ12" i="88" s="1"/>
  <c r="AH12" i="88"/>
  <c r="AG12" i="88"/>
  <c r="AO12" i="88" s="1"/>
  <c r="AF12" i="88"/>
  <c r="BG12" i="88" s="1"/>
  <c r="AE12" i="88"/>
  <c r="BF12" i="88" s="1"/>
  <c r="AD12" i="88"/>
  <c r="AC12" i="88"/>
  <c r="AB12" i="88"/>
  <c r="AN12" i="88" s="1"/>
  <c r="K12" i="88"/>
  <c r="BT11" i="88"/>
  <c r="BN11" i="88"/>
  <c r="BM11" i="88"/>
  <c r="BL11" i="88"/>
  <c r="BK11" i="88"/>
  <c r="BJ11" i="88"/>
  <c r="BI11" i="88"/>
  <c r="BG11" i="88"/>
  <c r="BF11" i="88"/>
  <c r="BE11" i="88"/>
  <c r="BD11" i="88"/>
  <c r="BB11" i="88"/>
  <c r="AU11" i="88"/>
  <c r="AU151" i="88" s="1"/>
  <c r="AT11" i="88"/>
  <c r="AS11" i="88"/>
  <c r="AP11" i="88"/>
  <c r="BQ11" i="88" s="1"/>
  <c r="AM11" i="88"/>
  <c r="AO11" i="88" s="1"/>
  <c r="K11" i="88"/>
  <c r="BT10" i="88"/>
  <c r="BQ10" i="88"/>
  <c r="BN10" i="88"/>
  <c r="BM10" i="88"/>
  <c r="BL10" i="88"/>
  <c r="BK10" i="88"/>
  <c r="BJ10" i="88"/>
  <c r="BI10" i="88"/>
  <c r="BH10" i="88"/>
  <c r="BG10" i="88"/>
  <c r="BF10" i="88"/>
  <c r="BE10" i="88"/>
  <c r="BD10" i="88"/>
  <c r="BC10" i="88"/>
  <c r="BO10" i="88" s="1"/>
  <c r="BB10" i="88"/>
  <c r="AO10" i="88"/>
  <c r="W10" i="88" s="1"/>
  <c r="AN10" i="88"/>
  <c r="K10" i="88"/>
  <c r="BT9" i="88"/>
  <c r="BQ9" i="88"/>
  <c r="BN9" i="88"/>
  <c r="BL9" i="88"/>
  <c r="BK9" i="88"/>
  <c r="BJ9" i="88"/>
  <c r="BG9" i="88"/>
  <c r="BF9" i="88"/>
  <c r="BD9" i="88"/>
  <c r="BC9" i="88"/>
  <c r="BB9" i="88"/>
  <c r="AL9" i="88"/>
  <c r="BM9" i="88" s="1"/>
  <c r="AK9" i="88"/>
  <c r="AJ9" i="88"/>
  <c r="AI9" i="88"/>
  <c r="AH9" i="88"/>
  <c r="BI9" i="88" s="1"/>
  <c r="AG9" i="88"/>
  <c r="AO9" i="88" s="1"/>
  <c r="AF9" i="88"/>
  <c r="AE9" i="88"/>
  <c r="AD9" i="88"/>
  <c r="BE9" i="88" s="1"/>
  <c r="AC9" i="88"/>
  <c r="AB9" i="88"/>
  <c r="AN9" i="88" s="1"/>
  <c r="K9" i="88"/>
  <c r="BT8" i="88"/>
  <c r="BQ8" i="88"/>
  <c r="BM8" i="88"/>
  <c r="BL8" i="88"/>
  <c r="BK8" i="88"/>
  <c r="BJ8" i="88"/>
  <c r="BI8" i="88"/>
  <c r="BH8" i="88"/>
  <c r="BG8" i="88"/>
  <c r="BO8" i="88" s="1"/>
  <c r="BF8" i="88"/>
  <c r="BE8" i="88"/>
  <c r="BD8" i="88"/>
  <c r="BC8" i="88"/>
  <c r="BB8" i="88"/>
  <c r="AM8" i="88"/>
  <c r="BN8" i="88" s="1"/>
  <c r="K8" i="88"/>
  <c r="BT7" i="88"/>
  <c r="BQ7" i="88"/>
  <c r="BN7" i="88"/>
  <c r="BM7" i="88"/>
  <c r="BL7" i="88"/>
  <c r="BK7" i="88"/>
  <c r="BJ7" i="88"/>
  <c r="BI7" i="88"/>
  <c r="BH7" i="88"/>
  <c r="BG7" i="88"/>
  <c r="BF7" i="88"/>
  <c r="BE7" i="88"/>
  <c r="BD7" i="88"/>
  <c r="BC7" i="88"/>
  <c r="BO7" i="88" s="1"/>
  <c r="BB7" i="88"/>
  <c r="AO7" i="88"/>
  <c r="AN7" i="88"/>
  <c r="W7" i="88"/>
  <c r="BR7" i="88" s="1"/>
  <c r="BS7" i="88" s="1"/>
  <c r="BU7" i="88" s="1"/>
  <c r="K7" i="88"/>
  <c r="BT6" i="88"/>
  <c r="BQ6" i="88"/>
  <c r="BN6" i="88"/>
  <c r="BM6" i="88"/>
  <c r="BL6" i="88"/>
  <c r="BK6" i="88"/>
  <c r="BJ6" i="88"/>
  <c r="BI6" i="88"/>
  <c r="BH6" i="88"/>
  <c r="BG6" i="88"/>
  <c r="BF6" i="88"/>
  <c r="BE6" i="88"/>
  <c r="BD6" i="88"/>
  <c r="BO6" i="88" s="1"/>
  <c r="BC6" i="88"/>
  <c r="BB6" i="88"/>
  <c r="AO6" i="88"/>
  <c r="AN6" i="88"/>
  <c r="W6" i="88"/>
  <c r="BR6" i="88" s="1"/>
  <c r="K6" i="88"/>
  <c r="BT5" i="88"/>
  <c r="BQ5" i="88"/>
  <c r="BN5" i="88"/>
  <c r="BM5" i="88"/>
  <c r="BL5" i="88"/>
  <c r="BK5" i="88"/>
  <c r="BJ5" i="88"/>
  <c r="BI5" i="88"/>
  <c r="BH5" i="88"/>
  <c r="BG5" i="88"/>
  <c r="BF5" i="88"/>
  <c r="BO5" i="88" s="1"/>
  <c r="BE5" i="88"/>
  <c r="BD5" i="88"/>
  <c r="BC5" i="88"/>
  <c r="BB5" i="88"/>
  <c r="AM5" i="88"/>
  <c r="AO5" i="88" s="1"/>
  <c r="K5" i="88"/>
  <c r="BT4" i="88"/>
  <c r="BQ4" i="88"/>
  <c r="BN4" i="88"/>
  <c r="BM4" i="88"/>
  <c r="BL4" i="88"/>
  <c r="BK4" i="88"/>
  <c r="BJ4" i="88"/>
  <c r="BI4" i="88"/>
  <c r="BH4" i="88"/>
  <c r="BG4" i="88"/>
  <c r="BF4" i="88"/>
  <c r="BE4" i="88"/>
  <c r="BD4" i="88"/>
  <c r="BC4" i="88"/>
  <c r="BO4" i="88" s="1"/>
  <c r="BB4" i="88"/>
  <c r="AO4" i="88"/>
  <c r="AM4" i="88"/>
  <c r="AN4" i="88" s="1"/>
  <c r="K4" i="88"/>
  <c r="BN3" i="88"/>
  <c r="BM3" i="88"/>
  <c r="BL3" i="88"/>
  <c r="BF3" i="88"/>
  <c r="BE3" i="88"/>
  <c r="BD3" i="88"/>
  <c r="AT3" i="88"/>
  <c r="BG3" i="88" s="1"/>
  <c r="AS3" i="88"/>
  <c r="AR3" i="88"/>
  <c r="AQ3" i="88"/>
  <c r="AP3" i="88"/>
  <c r="BC3" i="88" s="1"/>
  <c r="AM3" i="88"/>
  <c r="AL3" i="88"/>
  <c r="AK3" i="88"/>
  <c r="AJ3" i="88"/>
  <c r="BK3" i="88" s="1"/>
  <c r="AI3" i="88"/>
  <c r="BJ3" i="88" s="1"/>
  <c r="AH3" i="88"/>
  <c r="BI3" i="88" s="1"/>
  <c r="AG3" i="88"/>
  <c r="AO3" i="88" s="1"/>
  <c r="AF3" i="88"/>
  <c r="AE3" i="88"/>
  <c r="AD3" i="88"/>
  <c r="AC3" i="88"/>
  <c r="AB3" i="88"/>
  <c r="BT3" i="88" s="1"/>
  <c r="K3" i="88"/>
  <c r="BJ2" i="88"/>
  <c r="BI2" i="88"/>
  <c r="BH2" i="88"/>
  <c r="BG2" i="88"/>
  <c r="AT2" i="88"/>
  <c r="AT151" i="88" s="1"/>
  <c r="AS2" i="88"/>
  <c r="AS151" i="88" s="1"/>
  <c r="AR2" i="88"/>
  <c r="AR151" i="88" s="1"/>
  <c r="AQ2" i="88"/>
  <c r="AP2" i="88"/>
  <c r="AM2" i="88"/>
  <c r="AL2" i="88"/>
  <c r="AK2" i="88"/>
  <c r="AK151" i="88" s="1"/>
  <c r="AJ2" i="88"/>
  <c r="AJ151" i="88" s="1"/>
  <c r="AI2" i="88"/>
  <c r="AH2" i="88"/>
  <c r="AG2" i="88"/>
  <c r="AF2" i="88"/>
  <c r="AF151" i="88" s="1"/>
  <c r="AE2" i="88"/>
  <c r="AE151" i="88" s="1"/>
  <c r="AD2" i="88"/>
  <c r="AD151" i="88" s="1"/>
  <c r="AC2" i="88"/>
  <c r="AC151" i="88" s="1"/>
  <c r="AB2" i="88"/>
  <c r="AB151" i="88" s="1"/>
  <c r="K2" i="88"/>
  <c r="F13" i="83"/>
  <c r="BR15" i="88" l="1"/>
  <c r="BS15" i="88" s="1"/>
  <c r="Y15" i="88"/>
  <c r="X15" i="88"/>
  <c r="Z15" i="88" s="1"/>
  <c r="W12" i="88"/>
  <c r="W11" i="88"/>
  <c r="Y13" i="88"/>
  <c r="X13" i="88"/>
  <c r="Z13" i="88" s="1"/>
  <c r="BR13" i="88"/>
  <c r="BS16" i="88"/>
  <c r="BU16" i="88" s="1"/>
  <c r="Y10" i="88"/>
  <c r="X10" i="88"/>
  <c r="BR10" i="88"/>
  <c r="Y17" i="88"/>
  <c r="X17" i="88"/>
  <c r="Z17" i="88" s="1"/>
  <c r="BR17" i="88"/>
  <c r="BS17" i="88" s="1"/>
  <c r="BU17" i="88" s="1"/>
  <c r="W23" i="88"/>
  <c r="W3" i="88"/>
  <c r="BS6" i="88"/>
  <c r="BU6" i="88" s="1"/>
  <c r="BS14" i="88"/>
  <c r="BU14" i="88" s="1"/>
  <c r="BU15" i="88"/>
  <c r="Y21" i="88"/>
  <c r="X21" i="88"/>
  <c r="Z21" i="88" s="1"/>
  <c r="BR21" i="88"/>
  <c r="BS21" i="88" s="1"/>
  <c r="BU21" i="88" s="1"/>
  <c r="W5" i="88"/>
  <c r="X20" i="88"/>
  <c r="Z20" i="88" s="1"/>
  <c r="BR20" i="88"/>
  <c r="Y20" i="88"/>
  <c r="W9" i="88"/>
  <c r="BC12" i="88"/>
  <c r="BO12" i="88" s="1"/>
  <c r="BT12" i="88"/>
  <c r="W25" i="88"/>
  <c r="W32" i="88"/>
  <c r="W37" i="88"/>
  <c r="BR41" i="88"/>
  <c r="Y41" i="88"/>
  <c r="X41" i="88"/>
  <c r="Z41" i="88" s="1"/>
  <c r="W42" i="88"/>
  <c r="X52" i="88"/>
  <c r="Z52" i="88" s="1"/>
  <c r="BR52" i="88"/>
  <c r="Y52" i="88"/>
  <c r="AN8" i="88"/>
  <c r="BS13" i="88"/>
  <c r="BU13" i="88" s="1"/>
  <c r="BR18" i="88"/>
  <c r="BS18" i="88" s="1"/>
  <c r="BU18" i="88" s="1"/>
  <c r="BT22" i="88"/>
  <c r="BC22" i="88"/>
  <c r="BO22" i="88" s="1"/>
  <c r="AN23" i="88"/>
  <c r="BE23" i="88"/>
  <c r="BT23" i="88"/>
  <c r="BU41" i="88"/>
  <c r="BQ2" i="88"/>
  <c r="X6" i="88"/>
  <c r="W4" i="88"/>
  <c r="AN5" i="88"/>
  <c r="Y6" i="88"/>
  <c r="AO8" i="88"/>
  <c r="BS10" i="88"/>
  <c r="BU10" i="88" s="1"/>
  <c r="BC11" i="88"/>
  <c r="BR14" i="88"/>
  <c r="X16" i="88"/>
  <c r="BR19" i="88"/>
  <c r="BS19" i="88" s="1"/>
  <c r="BU19" i="88" s="1"/>
  <c r="AN22" i="88"/>
  <c r="BS49" i="88"/>
  <c r="BU49" i="88" s="1"/>
  <c r="BB2" i="88"/>
  <c r="X7" i="88"/>
  <c r="AN11" i="88"/>
  <c r="Y16" i="88"/>
  <c r="BS20" i="88"/>
  <c r="BU20" i="88" s="1"/>
  <c r="W22" i="88"/>
  <c r="BT25" i="88"/>
  <c r="BO29" i="88"/>
  <c r="BO39" i="88"/>
  <c r="AN2" i="88"/>
  <c r="BC2" i="88"/>
  <c r="BK2" i="88"/>
  <c r="BT2" i="88"/>
  <c r="BH3" i="88"/>
  <c r="BH151" i="88" s="1"/>
  <c r="BQ3" i="88"/>
  <c r="Y7" i="88"/>
  <c r="AN24" i="88"/>
  <c r="W29" i="88"/>
  <c r="AW38" i="88"/>
  <c r="BI38" i="88"/>
  <c r="BI151" i="88" s="1"/>
  <c r="W39" i="88"/>
  <c r="AG151" i="88"/>
  <c r="BL2" i="88"/>
  <c r="X18" i="88"/>
  <c r="Z18" i="88" s="1"/>
  <c r="BO20" i="88"/>
  <c r="BO23" i="88"/>
  <c r="BS27" i="88"/>
  <c r="BU27" i="88" s="1"/>
  <c r="W38" i="88"/>
  <c r="Y47" i="88"/>
  <c r="X47" i="88"/>
  <c r="BR47" i="88"/>
  <c r="BD2" i="88"/>
  <c r="AP151" i="88"/>
  <c r="BE2" i="88"/>
  <c r="BM2" i="88"/>
  <c r="BB3" i="88"/>
  <c r="BH9" i="88"/>
  <c r="BO9" i="88" s="1"/>
  <c r="X14" i="88"/>
  <c r="Z14" i="88" s="1"/>
  <c r="X19" i="88"/>
  <c r="Z19" i="88" s="1"/>
  <c r="W31" i="88"/>
  <c r="BO34" i="88"/>
  <c r="AO2" i="88"/>
  <c r="AH151" i="88"/>
  <c r="AI151" i="88"/>
  <c r="AQ151" i="88"/>
  <c r="BF2" i="88"/>
  <c r="BN2" i="88"/>
  <c r="AN3" i="88"/>
  <c r="BH11" i="88"/>
  <c r="W30" i="88"/>
  <c r="BO30" i="88"/>
  <c r="BO42" i="88"/>
  <c r="X48" i="88"/>
  <c r="Z48" i="88" s="1"/>
  <c r="BR48" i="88"/>
  <c r="Y48" i="88"/>
  <c r="AN26" i="88"/>
  <c r="BQ29" i="88"/>
  <c r="AN32" i="88"/>
  <c r="BH32" i="88"/>
  <c r="W34" i="88"/>
  <c r="BQ37" i="88"/>
  <c r="BQ39" i="88"/>
  <c r="BS41" i="88"/>
  <c r="BG51" i="88"/>
  <c r="BO51" i="88" s="1"/>
  <c r="W67" i="88"/>
  <c r="W68" i="88"/>
  <c r="W78" i="88"/>
  <c r="Y86" i="88"/>
  <c r="X86" i="88"/>
  <c r="BR86" i="88"/>
  <c r="BS86" i="88" s="1"/>
  <c r="BU86" i="88" s="1"/>
  <c r="AO26" i="88"/>
  <c r="BQ35" i="88"/>
  <c r="AN44" i="88"/>
  <c r="X49" i="88"/>
  <c r="AN51" i="88"/>
  <c r="X73" i="88"/>
  <c r="BR73" i="88"/>
  <c r="Y73" i="88"/>
  <c r="W87" i="88"/>
  <c r="AO24" i="88"/>
  <c r="AN25" i="88"/>
  <c r="BQ26" i="88"/>
  <c r="Y27" i="88"/>
  <c r="Z27" i="88" s="1"/>
  <c r="W28" i="88"/>
  <c r="BB29" i="88"/>
  <c r="X35" i="88"/>
  <c r="Z35" i="88" s="1"/>
  <c r="BR35" i="88"/>
  <c r="BS35" i="88" s="1"/>
  <c r="AN37" i="88"/>
  <c r="BB37" i="88"/>
  <c r="BQ38" i="88"/>
  <c r="BB39" i="88"/>
  <c r="X43" i="88"/>
  <c r="AO44" i="88"/>
  <c r="X46" i="88"/>
  <c r="BS47" i="88"/>
  <c r="BU47" i="88" s="1"/>
  <c r="Y49" i="88"/>
  <c r="W51" i="88"/>
  <c r="Y55" i="88"/>
  <c r="Z55" i="88" s="1"/>
  <c r="X56" i="88"/>
  <c r="Z56" i="88" s="1"/>
  <c r="BE59" i="88"/>
  <c r="BT59" i="88"/>
  <c r="BR62" i="88"/>
  <c r="Y62" i="88"/>
  <c r="X62" i="88"/>
  <c r="BR66" i="88"/>
  <c r="Y66" i="88"/>
  <c r="X66" i="88"/>
  <c r="Z66" i="88" s="1"/>
  <c r="BO67" i="88"/>
  <c r="Y69" i="88"/>
  <c r="X69" i="88"/>
  <c r="Z69" i="88" s="1"/>
  <c r="BR69" i="88"/>
  <c r="BS69" i="88" s="1"/>
  <c r="BU69" i="88" s="1"/>
  <c r="BG24" i="88"/>
  <c r="BO24" i="88" s="1"/>
  <c r="BC28" i="88"/>
  <c r="BO28" i="88" s="1"/>
  <c r="BT29" i="88"/>
  <c r="BC32" i="88"/>
  <c r="BO32" i="88" s="1"/>
  <c r="BR33" i="88"/>
  <c r="BS33" i="88" s="1"/>
  <c r="BU33" i="88" s="1"/>
  <c r="BQ34" i="88"/>
  <c r="BB35" i="88"/>
  <c r="BC37" i="88"/>
  <c r="BO37" i="88" s="1"/>
  <c r="BT39" i="88"/>
  <c r="BF40" i="88"/>
  <c r="BO40" i="88" s="1"/>
  <c r="BQ42" i="88"/>
  <c r="Y43" i="88"/>
  <c r="Y46" i="88"/>
  <c r="X50" i="88"/>
  <c r="BS52" i="88"/>
  <c r="BU52" i="88" s="1"/>
  <c r="BR53" i="88"/>
  <c r="BS53" i="88" s="1"/>
  <c r="BU53" i="88" s="1"/>
  <c r="BR56" i="88"/>
  <c r="BS56" i="88" s="1"/>
  <c r="BU56" i="88" s="1"/>
  <c r="W57" i="88"/>
  <c r="BS58" i="88"/>
  <c r="BU58" i="88" s="1"/>
  <c r="BB59" i="88"/>
  <c r="AN68" i="88"/>
  <c r="W94" i="88"/>
  <c r="AN31" i="88"/>
  <c r="BH31" i="88"/>
  <c r="BQ36" i="88"/>
  <c r="AN42" i="88"/>
  <c r="BN43" i="88"/>
  <c r="BO43" i="88" s="1"/>
  <c r="BS48" i="88"/>
  <c r="BU48" i="88" s="1"/>
  <c r="Y50" i="88"/>
  <c r="BS54" i="88"/>
  <c r="BU54" i="88" s="1"/>
  <c r="AN59" i="88"/>
  <c r="BO59" i="88"/>
  <c r="BS62" i="88"/>
  <c r="BU62" i="88" s="1"/>
  <c r="Y64" i="88"/>
  <c r="X64" i="88"/>
  <c r="BR64" i="88"/>
  <c r="BS64" i="88" s="1"/>
  <c r="BU64" i="88" s="1"/>
  <c r="BS66" i="88"/>
  <c r="BU66" i="88" s="1"/>
  <c r="BR70" i="88"/>
  <c r="Y70" i="88"/>
  <c r="X70" i="88"/>
  <c r="BO89" i="88"/>
  <c r="BC25" i="88"/>
  <c r="BO25" i="88" s="1"/>
  <c r="BT26" i="88"/>
  <c r="BB34" i="88"/>
  <c r="AV151" i="88"/>
  <c r="BL35" i="88"/>
  <c r="BO35" i="88" s="1"/>
  <c r="BT38" i="88"/>
  <c r="BB42" i="88"/>
  <c r="BO52" i="88"/>
  <c r="AO59" i="88"/>
  <c r="W71" i="88"/>
  <c r="BS74" i="88"/>
  <c r="BU74" i="88" s="1"/>
  <c r="Y80" i="88"/>
  <c r="X80" i="88"/>
  <c r="Z80" i="88" s="1"/>
  <c r="BR80" i="88"/>
  <c r="W82" i="88"/>
  <c r="X83" i="88"/>
  <c r="Z83" i="88" s="1"/>
  <c r="BR83" i="88"/>
  <c r="Y83" i="88"/>
  <c r="BO85" i="88"/>
  <c r="AW151" i="88"/>
  <c r="BM35" i="88"/>
  <c r="BB36" i="88"/>
  <c r="BO56" i="88"/>
  <c r="BQ59" i="88"/>
  <c r="BO60" i="88"/>
  <c r="W61" i="88"/>
  <c r="BO62" i="88"/>
  <c r="X65" i="88"/>
  <c r="BO66" i="88"/>
  <c r="BC31" i="88"/>
  <c r="BO31" i="88" s="1"/>
  <c r="BN35" i="88"/>
  <c r="W36" i="88"/>
  <c r="BR60" i="88"/>
  <c r="BS60" i="88" s="1"/>
  <c r="BU60" i="88" s="1"/>
  <c r="Y60" i="88"/>
  <c r="X60" i="88"/>
  <c r="Z60" i="88" s="1"/>
  <c r="BO61" i="88"/>
  <c r="Y63" i="88"/>
  <c r="X63" i="88"/>
  <c r="BS63" i="88"/>
  <c r="BU63" i="88" s="1"/>
  <c r="Y65" i="88"/>
  <c r="Y72" i="88"/>
  <c r="X72" i="88"/>
  <c r="Z72" i="88" s="1"/>
  <c r="BR72" i="88"/>
  <c r="Z75" i="88"/>
  <c r="Y77" i="88"/>
  <c r="X77" i="88"/>
  <c r="BR77" i="88"/>
  <c r="BS77" i="88" s="1"/>
  <c r="BU77" i="88" s="1"/>
  <c r="X81" i="88"/>
  <c r="BR81" i="88"/>
  <c r="Y81" i="88"/>
  <c r="Z84" i="88"/>
  <c r="BR90" i="88"/>
  <c r="BS90" i="88" s="1"/>
  <c r="BU90" i="88" s="1"/>
  <c r="Y90" i="88"/>
  <c r="X90" i="88"/>
  <c r="Y96" i="88"/>
  <c r="X96" i="88"/>
  <c r="Z96" i="88" s="1"/>
  <c r="BR96" i="88"/>
  <c r="BS96" i="88" s="1"/>
  <c r="BU96" i="88" s="1"/>
  <c r="W98" i="88"/>
  <c r="AN82" i="88"/>
  <c r="BH82" i="88"/>
  <c r="BO82" i="88" s="1"/>
  <c r="BT92" i="88"/>
  <c r="BC93" i="88"/>
  <c r="BO93" i="88" s="1"/>
  <c r="BR97" i="88"/>
  <c r="BS97" i="88" s="1"/>
  <c r="AO100" i="88"/>
  <c r="BB102" i="88"/>
  <c r="W103" i="88"/>
  <c r="BD103" i="88"/>
  <c r="BO103" i="88" s="1"/>
  <c r="Y120" i="88"/>
  <c r="X120" i="88"/>
  <c r="Z120" i="88" s="1"/>
  <c r="BR143" i="88"/>
  <c r="BS143" i="88" s="1"/>
  <c r="BU143" i="88" s="1"/>
  <c r="Y143" i="88"/>
  <c r="X143" i="88"/>
  <c r="Y145" i="88"/>
  <c r="X145" i="88"/>
  <c r="Z145" i="88" s="1"/>
  <c r="BR145" i="88"/>
  <c r="BB68" i="88"/>
  <c r="BB85" i="88"/>
  <c r="AN94" i="88"/>
  <c r="BJ99" i="88"/>
  <c r="Y119" i="88"/>
  <c r="X119" i="88"/>
  <c r="Z119" i="88" s="1"/>
  <c r="BR119" i="88"/>
  <c r="BS119" i="88" s="1"/>
  <c r="W128" i="88"/>
  <c r="Y137" i="88"/>
  <c r="X137" i="88"/>
  <c r="BR137" i="88"/>
  <c r="BS137" i="88" s="1"/>
  <c r="BU137" i="88" s="1"/>
  <c r="BC68" i="88"/>
  <c r="BO68" i="88" s="1"/>
  <c r="BT68" i="88"/>
  <c r="BS72" i="88"/>
  <c r="BU72" i="88" s="1"/>
  <c r="Y74" i="88"/>
  <c r="Z74" i="88" s="1"/>
  <c r="AO76" i="88"/>
  <c r="BC76" i="88"/>
  <c r="BO76" i="88" s="1"/>
  <c r="BN78" i="88"/>
  <c r="BO78" i="88" s="1"/>
  <c r="BS80" i="88"/>
  <c r="BU80" i="88" s="1"/>
  <c r="Y84" i="88"/>
  <c r="W85" i="88"/>
  <c r="BN87" i="88"/>
  <c r="BO87" i="88" s="1"/>
  <c r="AO89" i="88"/>
  <c r="X91" i="88"/>
  <c r="Z91" i="88" s="1"/>
  <c r="AN92" i="88"/>
  <c r="BJ94" i="88"/>
  <c r="BS95" i="88"/>
  <c r="BU95" i="88" s="1"/>
  <c r="BH98" i="88"/>
  <c r="AL99" i="88"/>
  <c r="BK99" i="88"/>
  <c r="BD100" i="88"/>
  <c r="BO100" i="88" s="1"/>
  <c r="BL100" i="88"/>
  <c r="BB103" i="88"/>
  <c r="W107" i="88"/>
  <c r="BU111" i="88"/>
  <c r="BO113" i="88"/>
  <c r="BU116" i="88"/>
  <c r="BE119" i="88"/>
  <c r="BB119" i="88"/>
  <c r="BQ119" i="88"/>
  <c r="W121" i="88"/>
  <c r="W122" i="88"/>
  <c r="BQ61" i="88"/>
  <c r="Y91" i="88"/>
  <c r="AO92" i="88"/>
  <c r="W93" i="88"/>
  <c r="BB94" i="88"/>
  <c r="W102" i="88"/>
  <c r="BN104" i="88"/>
  <c r="BO104" i="88" s="1"/>
  <c r="AO104" i="88"/>
  <c r="AN104" i="88"/>
  <c r="BO109" i="88"/>
  <c r="AO112" i="88"/>
  <c r="Y116" i="88"/>
  <c r="X116" i="88"/>
  <c r="BR116" i="88"/>
  <c r="BS116" i="88" s="1"/>
  <c r="W124" i="88"/>
  <c r="Y133" i="88"/>
  <c r="X133" i="88"/>
  <c r="BR133" i="88"/>
  <c r="BS133" i="88" s="1"/>
  <c r="BU133" i="88" s="1"/>
  <c r="BD141" i="88"/>
  <c r="BO141" i="88" s="1"/>
  <c r="BQ141" i="88"/>
  <c r="W141" i="88"/>
  <c r="X146" i="88"/>
  <c r="Z146" i="88" s="1"/>
  <c r="BR146" i="88"/>
  <c r="BS146" i="88" s="1"/>
  <c r="BU146" i="88" s="1"/>
  <c r="W149" i="88"/>
  <c r="BS73" i="88"/>
  <c r="BU73" i="88" s="1"/>
  <c r="Y75" i="88"/>
  <c r="AN78" i="88"/>
  <c r="Y79" i="88"/>
  <c r="Z79" i="88" s="1"/>
  <c r="BS81" i="88"/>
  <c r="BU81" i="88" s="1"/>
  <c r="BS83" i="88"/>
  <c r="BU83" i="88" s="1"/>
  <c r="AN87" i="88"/>
  <c r="Y88" i="88"/>
  <c r="Z88" i="88" s="1"/>
  <c r="BQ93" i="88"/>
  <c r="BO95" i="88"/>
  <c r="BB99" i="88"/>
  <c r="AN100" i="88"/>
  <c r="BT100" i="88"/>
  <c r="BO107" i="88"/>
  <c r="W108" i="88"/>
  <c r="BS111" i="88"/>
  <c r="Y115" i="88"/>
  <c r="X115" i="88"/>
  <c r="Z115" i="88" s="1"/>
  <c r="BO117" i="88"/>
  <c r="BO119" i="88"/>
  <c r="W140" i="88"/>
  <c r="BR147" i="88"/>
  <c r="Y147" i="88"/>
  <c r="X147" i="88"/>
  <c r="BB61" i="88"/>
  <c r="BS65" i="88"/>
  <c r="BU65" i="88" s="1"/>
  <c r="BS70" i="88"/>
  <c r="BU70" i="88" s="1"/>
  <c r="BF85" i="88"/>
  <c r="BQ92" i="88"/>
  <c r="X97" i="88"/>
  <c r="Z97" i="88" s="1"/>
  <c r="AN98" i="88"/>
  <c r="BQ99" i="88"/>
  <c r="BC99" i="88"/>
  <c r="BB100" i="88"/>
  <c r="BQ100" i="88"/>
  <c r="BD102" i="88"/>
  <c r="BO102" i="88" s="1"/>
  <c r="BQ102" i="88"/>
  <c r="Y110" i="88"/>
  <c r="X110" i="88"/>
  <c r="Z110" i="88" s="1"/>
  <c r="BR110" i="88"/>
  <c r="BS110" i="88" s="1"/>
  <c r="BU110" i="88" s="1"/>
  <c r="BO114" i="88"/>
  <c r="BR115" i="88"/>
  <c r="Y129" i="88"/>
  <c r="X129" i="88"/>
  <c r="Z129" i="88" s="1"/>
  <c r="BR129" i="88"/>
  <c r="BS129" i="88" s="1"/>
  <c r="BU129" i="88" s="1"/>
  <c r="W136" i="88"/>
  <c r="BO140" i="88"/>
  <c r="BO149" i="88"/>
  <c r="AN71" i="88"/>
  <c r="X95" i="88"/>
  <c r="Z95" i="88" s="1"/>
  <c r="BS101" i="88"/>
  <c r="BU101" i="88" s="1"/>
  <c r="BQ103" i="88"/>
  <c r="AO105" i="88"/>
  <c r="AN105" i="88"/>
  <c r="BO108" i="88"/>
  <c r="W109" i="88"/>
  <c r="BO111" i="88"/>
  <c r="BT112" i="88"/>
  <c r="BU113" i="88"/>
  <c r="BS115" i="88"/>
  <c r="BU115" i="88" s="1"/>
  <c r="BR117" i="88"/>
  <c r="BS117" i="88" s="1"/>
  <c r="BU117" i="88" s="1"/>
  <c r="BQ118" i="88"/>
  <c r="BQ122" i="88"/>
  <c r="BS147" i="88"/>
  <c r="BU147" i="88" s="1"/>
  <c r="BC94" i="88"/>
  <c r="BO94" i="88" s="1"/>
  <c r="BU97" i="88"/>
  <c r="BT98" i="88"/>
  <c r="BC98" i="88"/>
  <c r="BO98" i="88" s="1"/>
  <c r="BB105" i="88"/>
  <c r="BQ105" i="88"/>
  <c r="W106" i="88"/>
  <c r="BF118" i="88"/>
  <c r="BO118" i="88" s="1"/>
  <c r="BB118" i="88"/>
  <c r="BB122" i="88"/>
  <c r="BO122" i="88"/>
  <c r="Y125" i="88"/>
  <c r="X125" i="88"/>
  <c r="Z125" i="88" s="1"/>
  <c r="BR125" i="88"/>
  <c r="BO126" i="88"/>
  <c r="BO128" i="88"/>
  <c r="W132" i="88"/>
  <c r="AN112" i="88"/>
  <c r="BH112" i="88"/>
  <c r="BO112" i="88" s="1"/>
  <c r="W114" i="88"/>
  <c r="W118" i="88"/>
  <c r="W123" i="88"/>
  <c r="W127" i="88"/>
  <c r="W131" i="88"/>
  <c r="W135" i="88"/>
  <c r="X139" i="88"/>
  <c r="X144" i="88"/>
  <c r="BS145" i="88"/>
  <c r="BU145" i="88" s="1"/>
  <c r="X148" i="88"/>
  <c r="BF120" i="88"/>
  <c r="BO120" i="88" s="1"/>
  <c r="BS125" i="88"/>
  <c r="BU125" i="88" s="1"/>
  <c r="Y139" i="88"/>
  <c r="BQ140" i="88"/>
  <c r="BB141" i="88"/>
  <c r="Y144" i="88"/>
  <c r="Y148" i="88"/>
  <c r="BQ120" i="88"/>
  <c r="BR120" i="88" s="1"/>
  <c r="BS120" i="88" s="1"/>
  <c r="BB140" i="88"/>
  <c r="BR127" i="88" l="1"/>
  <c r="BS127" i="88" s="1"/>
  <c r="BU127" i="88" s="1"/>
  <c r="Y127" i="88"/>
  <c r="X127" i="88"/>
  <c r="Z127" i="88" s="1"/>
  <c r="W105" i="88"/>
  <c r="Y136" i="88"/>
  <c r="X136" i="88"/>
  <c r="Z136" i="88" s="1"/>
  <c r="BR136" i="88"/>
  <c r="BS136" i="88" s="1"/>
  <c r="BU136" i="88" s="1"/>
  <c r="X108" i="88"/>
  <c r="BR108" i="88"/>
  <c r="BS108" i="88" s="1"/>
  <c r="BU108" i="88" s="1"/>
  <c r="Y108" i="88"/>
  <c r="Z116" i="88"/>
  <c r="Z90" i="88"/>
  <c r="Z77" i="88"/>
  <c r="Z64" i="88"/>
  <c r="Z62" i="88"/>
  <c r="Y28" i="88"/>
  <c r="X28" i="88"/>
  <c r="Z28" i="88" s="1"/>
  <c r="BR28" i="88"/>
  <c r="BS28" i="88" s="1"/>
  <c r="BU28" i="88" s="1"/>
  <c r="BU37" i="88"/>
  <c r="BG151" i="88"/>
  <c r="Y37" i="88"/>
  <c r="X37" i="88"/>
  <c r="BR37" i="88"/>
  <c r="BS37" i="88" s="1"/>
  <c r="BR23" i="88"/>
  <c r="BS23" i="88" s="1"/>
  <c r="BU23" i="88" s="1"/>
  <c r="Y23" i="88"/>
  <c r="X23" i="88"/>
  <c r="Z23" i="88" s="1"/>
  <c r="Z10" i="88"/>
  <c r="Y102" i="88"/>
  <c r="BR102" i="88"/>
  <c r="BS102" i="88" s="1"/>
  <c r="BU102" i="88" s="1"/>
  <c r="X102" i="88"/>
  <c r="BR36" i="88"/>
  <c r="BS36" i="88" s="1"/>
  <c r="Y36" i="88"/>
  <c r="X36" i="88"/>
  <c r="Z36" i="88" s="1"/>
  <c r="Z65" i="88"/>
  <c r="Y82" i="88"/>
  <c r="BR82" i="88"/>
  <c r="BS82" i="88" s="1"/>
  <c r="BU82" i="88" s="1"/>
  <c r="X82" i="88"/>
  <c r="Z82" i="88" s="1"/>
  <c r="Y51" i="88"/>
  <c r="X51" i="88"/>
  <c r="BR51" i="88"/>
  <c r="BS51" i="88" s="1"/>
  <c r="BU51" i="88" s="1"/>
  <c r="W26" i="88"/>
  <c r="X68" i="88"/>
  <c r="Z68" i="88" s="1"/>
  <c r="BR68" i="88"/>
  <c r="BS68" i="88" s="1"/>
  <c r="BU68" i="88" s="1"/>
  <c r="Y68" i="88"/>
  <c r="Y39" i="88"/>
  <c r="BR39" i="88"/>
  <c r="BS39" i="88" s="1"/>
  <c r="X39" i="88"/>
  <c r="Z39" i="88" s="1"/>
  <c r="W8" i="88"/>
  <c r="Y12" i="88"/>
  <c r="BR12" i="88"/>
  <c r="BS12" i="88" s="1"/>
  <c r="BU12" i="88" s="1"/>
  <c r="X12" i="88"/>
  <c r="X118" i="88"/>
  <c r="BR118" i="88"/>
  <c r="BS118" i="88" s="1"/>
  <c r="Y118" i="88"/>
  <c r="Y149" i="88"/>
  <c r="X149" i="88"/>
  <c r="BR149" i="88"/>
  <c r="BS149" i="88" s="1"/>
  <c r="BU149" i="88" s="1"/>
  <c r="Y122" i="88"/>
  <c r="X122" i="88"/>
  <c r="BR122" i="88"/>
  <c r="BS122" i="88" s="1"/>
  <c r="BR103" i="88"/>
  <c r="BS103" i="88" s="1"/>
  <c r="BU103" i="88" s="1"/>
  <c r="Y103" i="88"/>
  <c r="X103" i="88"/>
  <c r="Z103" i="88" s="1"/>
  <c r="BU42" i="88"/>
  <c r="BR34" i="88"/>
  <c r="BS34" i="88" s="1"/>
  <c r="Y34" i="88"/>
  <c r="X34" i="88"/>
  <c r="Z34" i="88" s="1"/>
  <c r="BF151" i="88"/>
  <c r="Y31" i="88"/>
  <c r="BR31" i="88"/>
  <c r="BS31" i="88" s="1"/>
  <c r="BU31" i="88" s="1"/>
  <c r="X31" i="88"/>
  <c r="Z31" i="88" s="1"/>
  <c r="BR114" i="88"/>
  <c r="BS114" i="88" s="1"/>
  <c r="BU114" i="88" s="1"/>
  <c r="X114" i="88"/>
  <c r="Z114" i="88" s="1"/>
  <c r="Y114" i="88"/>
  <c r="Z147" i="88"/>
  <c r="Z133" i="88"/>
  <c r="W112" i="88"/>
  <c r="W76" i="88"/>
  <c r="Z137" i="88"/>
  <c r="Z63" i="88"/>
  <c r="Y61" i="88"/>
  <c r="X61" i="88"/>
  <c r="BR61" i="88"/>
  <c r="BS61" i="88" s="1"/>
  <c r="BR71" i="88"/>
  <c r="BS71" i="88" s="1"/>
  <c r="BU71" i="88" s="1"/>
  <c r="Y71" i="88"/>
  <c r="X71" i="88"/>
  <c r="Z70" i="88"/>
  <c r="X57" i="88"/>
  <c r="BR57" i="88"/>
  <c r="BS57" i="88" s="1"/>
  <c r="BU57" i="88" s="1"/>
  <c r="Y57" i="88"/>
  <c r="Z73" i="88"/>
  <c r="Z86" i="88"/>
  <c r="Y67" i="88"/>
  <c r="X67" i="88"/>
  <c r="BR67" i="88"/>
  <c r="BS67" i="88" s="1"/>
  <c r="BU67" i="88" s="1"/>
  <c r="BE151" i="88"/>
  <c r="Z47" i="88"/>
  <c r="Z7" i="88"/>
  <c r="Y42" i="88"/>
  <c r="X42" i="88"/>
  <c r="BR42" i="88"/>
  <c r="BS42" i="88" s="1"/>
  <c r="Y32" i="88"/>
  <c r="X32" i="88"/>
  <c r="Z32" i="88" s="1"/>
  <c r="BR32" i="88"/>
  <c r="BS32" i="88" s="1"/>
  <c r="BU32" i="88" s="1"/>
  <c r="Y5" i="88"/>
  <c r="X5" i="88"/>
  <c r="BR5" i="88"/>
  <c r="BS5" i="88" s="1"/>
  <c r="BU5" i="88" s="1"/>
  <c r="Z144" i="88"/>
  <c r="BR93" i="88"/>
  <c r="BS93" i="88" s="1"/>
  <c r="BU93" i="88" s="1"/>
  <c r="Y93" i="88"/>
  <c r="X93" i="88"/>
  <c r="Z93" i="88" s="1"/>
  <c r="W89" i="88"/>
  <c r="W100" i="88"/>
  <c r="Y98" i="88"/>
  <c r="X98" i="88"/>
  <c r="Z98" i="88" s="1"/>
  <c r="BR98" i="88"/>
  <c r="BS98" i="88" s="1"/>
  <c r="BU98" i="88" s="1"/>
  <c r="W59" i="88"/>
  <c r="BU36" i="88"/>
  <c r="W24" i="88"/>
  <c r="BJ38" i="88"/>
  <c r="AX38" i="88"/>
  <c r="Y4" i="88"/>
  <c r="X4" i="88"/>
  <c r="BR4" i="88"/>
  <c r="BS4" i="88" s="1"/>
  <c r="BU4" i="88" s="1"/>
  <c r="BR9" i="88"/>
  <c r="BS9" i="88" s="1"/>
  <c r="BU9" i="88" s="1"/>
  <c r="Y9" i="88"/>
  <c r="X9" i="88"/>
  <c r="X3" i="88"/>
  <c r="BR3" i="88"/>
  <c r="BS3" i="88" s="1"/>
  <c r="BU3" i="88" s="1"/>
  <c r="Y3" i="88"/>
  <c r="Z148" i="88"/>
  <c r="Y106" i="88"/>
  <c r="X106" i="88"/>
  <c r="Z106" i="88" s="1"/>
  <c r="BR106" i="88"/>
  <c r="BS106" i="88" s="1"/>
  <c r="BU106" i="88" s="1"/>
  <c r="Z139" i="88"/>
  <c r="Y109" i="88"/>
  <c r="X109" i="88"/>
  <c r="BR109" i="88"/>
  <c r="BS109" i="88" s="1"/>
  <c r="BU109" i="88" s="1"/>
  <c r="W92" i="88"/>
  <c r="AM99" i="88"/>
  <c r="BM99" i="88"/>
  <c r="Z46" i="88"/>
  <c r="Z49" i="88"/>
  <c r="BD151" i="88"/>
  <c r="BC151" i="88"/>
  <c r="BO2" i="88"/>
  <c r="Z16" i="88"/>
  <c r="Y25" i="88"/>
  <c r="BR25" i="88"/>
  <c r="BS25" i="88" s="1"/>
  <c r="BU25" i="88" s="1"/>
  <c r="X25" i="88"/>
  <c r="Z25" i="88" s="1"/>
  <c r="Y141" i="88"/>
  <c r="BR141" i="88"/>
  <c r="BS141" i="88" s="1"/>
  <c r="BU141" i="88" s="1"/>
  <c r="X141" i="88"/>
  <c r="Y121" i="88"/>
  <c r="X121" i="88"/>
  <c r="Z121" i="88" s="1"/>
  <c r="BR121" i="88"/>
  <c r="BS121" i="88" s="1"/>
  <c r="BU121" i="88" s="1"/>
  <c r="BU122" i="88"/>
  <c r="Y140" i="88"/>
  <c r="BR140" i="88"/>
  <c r="BS140" i="88" s="1"/>
  <c r="BU140" i="88" s="1"/>
  <c r="X140" i="88"/>
  <c r="Z140" i="88" s="1"/>
  <c r="AO99" i="88"/>
  <c r="Y124" i="88"/>
  <c r="X124" i="88"/>
  <c r="Z124" i="88" s="1"/>
  <c r="BR124" i="88"/>
  <c r="BS124" i="88" s="1"/>
  <c r="BU124" i="88" s="1"/>
  <c r="W104" i="88"/>
  <c r="Y107" i="88"/>
  <c r="BR107" i="88"/>
  <c r="BS107" i="88" s="1"/>
  <c r="BU107" i="88" s="1"/>
  <c r="X107" i="88"/>
  <c r="Y85" i="88"/>
  <c r="X85" i="88"/>
  <c r="Z85" i="88" s="1"/>
  <c r="BR85" i="88"/>
  <c r="BS85" i="88" s="1"/>
  <c r="BU85" i="88" s="1"/>
  <c r="Y128" i="88"/>
  <c r="X128" i="88"/>
  <c r="Z128" i="88" s="1"/>
  <c r="BR128" i="88"/>
  <c r="BS128" i="88" s="1"/>
  <c r="BU128" i="88" s="1"/>
  <c r="Z81" i="88"/>
  <c r="W44" i="88"/>
  <c r="BR78" i="88"/>
  <c r="BS78" i="88" s="1"/>
  <c r="BU78" i="88" s="1"/>
  <c r="Y78" i="88"/>
  <c r="X78" i="88"/>
  <c r="Z78" i="88" s="1"/>
  <c r="BR30" i="88"/>
  <c r="BS30" i="88" s="1"/>
  <c r="BU30" i="88" s="1"/>
  <c r="X30" i="88"/>
  <c r="Y30" i="88"/>
  <c r="AO151" i="88"/>
  <c r="W2" i="88"/>
  <c r="X29" i="88"/>
  <c r="BR29" i="88"/>
  <c r="BS29" i="88" s="1"/>
  <c r="BU29" i="88" s="1"/>
  <c r="Y29" i="88"/>
  <c r="X22" i="88"/>
  <c r="BR22" i="88"/>
  <c r="BS22" i="88" s="1"/>
  <c r="BU22" i="88" s="1"/>
  <c r="Y22" i="88"/>
  <c r="Z6" i="88"/>
  <c r="BO3" i="88"/>
  <c r="BR123" i="88"/>
  <c r="BS123" i="88" s="1"/>
  <c r="BU123" i="88" s="1"/>
  <c r="Y123" i="88"/>
  <c r="X123" i="88"/>
  <c r="BU120" i="88"/>
  <c r="BR135" i="88"/>
  <c r="BS135" i="88" s="1"/>
  <c r="BU135" i="88" s="1"/>
  <c r="Y135" i="88"/>
  <c r="X135" i="88"/>
  <c r="Z135" i="88" s="1"/>
  <c r="BR131" i="88"/>
  <c r="BS131" i="88" s="1"/>
  <c r="BU131" i="88" s="1"/>
  <c r="Y131" i="88"/>
  <c r="X131" i="88"/>
  <c r="Y132" i="88"/>
  <c r="X132" i="88"/>
  <c r="Z132" i="88" s="1"/>
  <c r="BR132" i="88"/>
  <c r="BS132" i="88" s="1"/>
  <c r="BU132" i="88" s="1"/>
  <c r="BU118" i="88"/>
  <c r="BU61" i="88"/>
  <c r="BU119" i="88"/>
  <c r="Z143" i="88"/>
  <c r="Y94" i="88"/>
  <c r="BR94" i="88"/>
  <c r="BS94" i="88" s="1"/>
  <c r="BU94" i="88" s="1"/>
  <c r="X94" i="88"/>
  <c r="Z94" i="88" s="1"/>
  <c r="Z50" i="88"/>
  <c r="BU34" i="88"/>
  <c r="Z43" i="88"/>
  <c r="BR87" i="88"/>
  <c r="BS87" i="88" s="1"/>
  <c r="BU87" i="88" s="1"/>
  <c r="Y87" i="88"/>
  <c r="X87" i="88"/>
  <c r="Z87" i="88" s="1"/>
  <c r="BU35" i="88"/>
  <c r="BU39" i="88"/>
  <c r="AL151" i="88"/>
  <c r="X38" i="88"/>
  <c r="Z38" i="88" s="1"/>
  <c r="BR38" i="88"/>
  <c r="BS38" i="88" s="1"/>
  <c r="BU38" i="88" s="1"/>
  <c r="Y38" i="88"/>
  <c r="BO11" i="88"/>
  <c r="BQ151" i="88"/>
  <c r="X11" i="88"/>
  <c r="BR11" i="88"/>
  <c r="BS11" i="88" s="1"/>
  <c r="BU11" i="88" s="1"/>
  <c r="Y11" i="88"/>
  <c r="BR24" i="88" l="1"/>
  <c r="BS24" i="88" s="1"/>
  <c r="BU24" i="88" s="1"/>
  <c r="Y24" i="88"/>
  <c r="X24" i="88"/>
  <c r="Z24" i="88" s="1"/>
  <c r="BR112" i="88"/>
  <c r="BS112" i="88" s="1"/>
  <c r="BU112" i="88" s="1"/>
  <c r="X112" i="88"/>
  <c r="Y112" i="88"/>
  <c r="Z102" i="88"/>
  <c r="Z37" i="88"/>
  <c r="Y100" i="88"/>
  <c r="BR100" i="88"/>
  <c r="BS100" i="88" s="1"/>
  <c r="BU100" i="88" s="1"/>
  <c r="X100" i="88"/>
  <c r="Z100" i="88" s="1"/>
  <c r="Z5" i="88"/>
  <c r="Z61" i="88"/>
  <c r="Z149" i="88"/>
  <c r="Y8" i="88"/>
  <c r="X8" i="88"/>
  <c r="BR8" i="88"/>
  <c r="BS8" i="88" s="1"/>
  <c r="BU8" i="88" s="1"/>
  <c r="X104" i="88"/>
  <c r="BR104" i="88"/>
  <c r="BS104" i="88" s="1"/>
  <c r="BU104" i="88" s="1"/>
  <c r="Y104" i="88"/>
  <c r="Z109" i="88"/>
  <c r="Z4" i="88"/>
  <c r="Y89" i="88"/>
  <c r="X89" i="88"/>
  <c r="Z89" i="88" s="1"/>
  <c r="BR89" i="88"/>
  <c r="BS89" i="88" s="1"/>
  <c r="BU89" i="88" s="1"/>
  <c r="Z57" i="88"/>
  <c r="BR26" i="88"/>
  <c r="BS26" i="88" s="1"/>
  <c r="BU26" i="88" s="1"/>
  <c r="Y26" i="88"/>
  <c r="X26" i="88"/>
  <c r="Z26" i="88" s="1"/>
  <c r="Y105" i="88"/>
  <c r="X105" i="88"/>
  <c r="Z105" i="88" s="1"/>
  <c r="BR105" i="88"/>
  <c r="BS105" i="88" s="1"/>
  <c r="BU105" i="88" s="1"/>
  <c r="Z11" i="88"/>
  <c r="Z29" i="88"/>
  <c r="Y59" i="88"/>
  <c r="X59" i="88"/>
  <c r="Z59" i="88" s="1"/>
  <c r="BR59" i="88"/>
  <c r="BS59" i="88" s="1"/>
  <c r="BU59" i="88" s="1"/>
  <c r="W151" i="88"/>
  <c r="Y2" i="88"/>
  <c r="X2" i="88"/>
  <c r="BR2" i="88"/>
  <c r="BS2" i="88" s="1"/>
  <c r="BU2" i="88" s="1"/>
  <c r="Y44" i="88"/>
  <c r="X44" i="88"/>
  <c r="Z44" i="88" s="1"/>
  <c r="BR44" i="88"/>
  <c r="BS44" i="88" s="1"/>
  <c r="BU44" i="88" s="1"/>
  <c r="Z67" i="88"/>
  <c r="Z71" i="88"/>
  <c r="Z118" i="88"/>
  <c r="Z131" i="88"/>
  <c r="Z22" i="88"/>
  <c r="Z107" i="88"/>
  <c r="BN99" i="88"/>
  <c r="BO99" i="88" s="1"/>
  <c r="AM151" i="88"/>
  <c r="AN99" i="88"/>
  <c r="AN151" i="88" s="1"/>
  <c r="Z3" i="88"/>
  <c r="BK38" i="88"/>
  <c r="BK151" i="88" s="1"/>
  <c r="AY38" i="88"/>
  <c r="AX151" i="88"/>
  <c r="Y76" i="88"/>
  <c r="X76" i="88"/>
  <c r="Z76" i="88" s="1"/>
  <c r="BR76" i="88"/>
  <c r="BS76" i="88" s="1"/>
  <c r="BU76" i="88" s="1"/>
  <c r="Z122" i="88"/>
  <c r="Z12" i="88"/>
  <c r="Z123" i="88"/>
  <c r="Z30" i="88"/>
  <c r="W99" i="88"/>
  <c r="Z141" i="88"/>
  <c r="BR92" i="88"/>
  <c r="BS92" i="88" s="1"/>
  <c r="BU92" i="88" s="1"/>
  <c r="Y92" i="88"/>
  <c r="X92" i="88"/>
  <c r="Z92" i="88" s="1"/>
  <c r="Z9" i="88"/>
  <c r="BJ151" i="88"/>
  <c r="Z42" i="88"/>
  <c r="Z51" i="88"/>
  <c r="Z108" i="88"/>
  <c r="BL38" i="88" l="1"/>
  <c r="BL151" i="88" s="1"/>
  <c r="AZ38" i="88"/>
  <c r="AY151" i="88"/>
  <c r="Z8" i="88"/>
  <c r="Z112" i="88"/>
  <c r="Y151" i="88"/>
  <c r="Z104" i="88"/>
  <c r="X151" i="88"/>
  <c r="Z2" i="88"/>
  <c r="Y99" i="88"/>
  <c r="X99" i="88"/>
  <c r="Z99" i="88" s="1"/>
  <c r="BR99" i="88"/>
  <c r="BS99" i="88" s="1"/>
  <c r="BU99" i="88" s="1"/>
  <c r="AN8" i="87"/>
  <c r="AO8" i="87"/>
  <c r="BB8" i="87"/>
  <c r="AR8" i="87"/>
  <c r="Z151" i="88" l="1"/>
  <c r="BM38" i="88"/>
  <c r="BA38" i="88"/>
  <c r="AZ151" i="88"/>
  <c r="BN38" i="88" l="1"/>
  <c r="BN151" i="88" s="1"/>
  <c r="BA151" i="88"/>
  <c r="BB38" i="88"/>
  <c r="BB151" i="88" s="1"/>
  <c r="BM151" i="88"/>
  <c r="BO38" i="88"/>
  <c r="BO151" i="88" s="1"/>
  <c r="J3" i="65"/>
  <c r="AJ5" i="87" l="1"/>
  <c r="V5" i="87"/>
  <c r="V10" i="87" s="1"/>
  <c r="BA10" i="87"/>
  <c r="AZ10" i="87"/>
  <c r="AY10" i="87"/>
  <c r="AX10" i="87"/>
  <c r="AW10" i="87"/>
  <c r="AV10" i="87"/>
  <c r="AU10" i="87"/>
  <c r="AT10" i="87"/>
  <c r="AS10" i="87"/>
  <c r="AR10" i="87"/>
  <c r="AQ10" i="87"/>
  <c r="AP10" i="87"/>
  <c r="AM10" i="87"/>
  <c r="AL10" i="87"/>
  <c r="AK10" i="87"/>
  <c r="AJ10" i="87"/>
  <c r="AI10" i="87"/>
  <c r="AH10" i="87"/>
  <c r="AG10" i="87"/>
  <c r="AF10" i="87"/>
  <c r="AE10" i="87"/>
  <c r="AD10" i="87"/>
  <c r="AC10" i="87"/>
  <c r="AB10" i="87"/>
  <c r="AM2" i="87" l="1"/>
  <c r="AL2" i="87"/>
  <c r="AK2" i="87"/>
  <c r="AJ2" i="87"/>
  <c r="AI2" i="87"/>
  <c r="AH2" i="87"/>
  <c r="AG2" i="87"/>
  <c r="AF2" i="87"/>
  <c r="AE2" i="87"/>
  <c r="AD2" i="87"/>
  <c r="AC2" i="87"/>
  <c r="AB2" i="87"/>
  <c r="BB3" i="87" l="1"/>
  <c r="BB4" i="87"/>
  <c r="BB5" i="87"/>
  <c r="BB10" i="87" s="1"/>
  <c r="BB6" i="87"/>
  <c r="BB7" i="87"/>
  <c r="BB2" i="87"/>
  <c r="AN3" i="87"/>
  <c r="AO3" i="87"/>
  <c r="W3" i="87" s="1"/>
  <c r="X3" i="87" s="1"/>
  <c r="AN4" i="87"/>
  <c r="AO4" i="87"/>
  <c r="W4" i="87" s="1"/>
  <c r="AN5" i="87"/>
  <c r="AO5" i="87"/>
  <c r="AN6" i="87"/>
  <c r="AO6" i="87"/>
  <c r="AN7" i="87"/>
  <c r="AO7" i="87"/>
  <c r="W7" i="87"/>
  <c r="X7" i="87" s="1"/>
  <c r="AN10" i="87" l="1"/>
  <c r="W6" i="87"/>
  <c r="AO10" i="87"/>
  <c r="W5" i="87"/>
  <c r="Y4" i="87"/>
  <c r="X4" i="87"/>
  <c r="Y7" i="87"/>
  <c r="Z7" i="87" s="1"/>
  <c r="Y3" i="87"/>
  <c r="Z3" i="87" s="1"/>
  <c r="W10" i="87" l="1"/>
  <c r="Y6" i="87"/>
  <c r="X6" i="87"/>
  <c r="X5" i="87"/>
  <c r="Y5" i="87"/>
  <c r="Z4" i="87"/>
  <c r="AN2" i="87"/>
  <c r="AO2" i="87"/>
  <c r="Z5" i="87" l="1"/>
  <c r="X10" i="87"/>
  <c r="Y10" i="87"/>
  <c r="Z6" i="87"/>
  <c r="Z10" i="87" s="1"/>
  <c r="I146" i="86" l="1"/>
  <c r="H146" i="86"/>
  <c r="G146" i="86"/>
  <c r="F146" i="86"/>
  <c r="E146" i="86"/>
  <c r="I132" i="86"/>
  <c r="H132" i="86"/>
  <c r="G132" i="86"/>
  <c r="F132" i="86"/>
  <c r="E132" i="86"/>
  <c r="I127" i="86"/>
  <c r="H127" i="86"/>
  <c r="G127" i="86"/>
  <c r="F127" i="86"/>
  <c r="E127" i="86"/>
  <c r="I123" i="86"/>
  <c r="H123" i="86"/>
  <c r="G123" i="86"/>
  <c r="F123" i="86"/>
  <c r="E123" i="86"/>
  <c r="I111" i="86"/>
  <c r="H111" i="86"/>
  <c r="G111" i="86"/>
  <c r="F111" i="86"/>
  <c r="E111" i="86"/>
  <c r="I101" i="86"/>
  <c r="H101" i="86"/>
  <c r="G101" i="86"/>
  <c r="F101" i="86"/>
  <c r="E101" i="86"/>
  <c r="I91" i="86"/>
  <c r="H91" i="86"/>
  <c r="G91" i="86"/>
  <c r="F91" i="86"/>
  <c r="E91" i="86"/>
  <c r="I89" i="86"/>
  <c r="H89" i="86"/>
  <c r="G89" i="86"/>
  <c r="F89" i="86"/>
  <c r="E89" i="86"/>
  <c r="I84" i="86"/>
  <c r="H84" i="86"/>
  <c r="G84" i="86"/>
  <c r="F84" i="86"/>
  <c r="E84" i="86"/>
  <c r="I82" i="86"/>
  <c r="H82" i="86"/>
  <c r="G82" i="86"/>
  <c r="F82" i="86"/>
  <c r="E82" i="86"/>
  <c r="I80" i="86"/>
  <c r="H80" i="86"/>
  <c r="G80" i="86"/>
  <c r="F80" i="86"/>
  <c r="E80" i="86"/>
  <c r="I71" i="86"/>
  <c r="H71" i="86"/>
  <c r="G71" i="86"/>
  <c r="F71" i="86"/>
  <c r="E71" i="86"/>
  <c r="I69" i="86"/>
  <c r="H69" i="86"/>
  <c r="G69" i="86"/>
  <c r="F69" i="86"/>
  <c r="E69" i="86"/>
  <c r="I66" i="86"/>
  <c r="H66" i="86"/>
  <c r="G66" i="86"/>
  <c r="F66" i="86"/>
  <c r="E66" i="86"/>
  <c r="I64" i="86"/>
  <c r="H64" i="86"/>
  <c r="G64" i="86"/>
  <c r="F64" i="86"/>
  <c r="E64" i="86"/>
  <c r="I62" i="86"/>
  <c r="H62" i="86"/>
  <c r="G62" i="86"/>
  <c r="F62" i="86"/>
  <c r="E62" i="86"/>
  <c r="I57" i="86"/>
  <c r="H57" i="86"/>
  <c r="G57" i="86"/>
  <c r="F57" i="86"/>
  <c r="E57" i="86"/>
  <c r="I53" i="86"/>
  <c r="H53" i="86"/>
  <c r="G53" i="86"/>
  <c r="F53" i="86"/>
  <c r="E53" i="86"/>
  <c r="I51" i="86"/>
  <c r="H51" i="86"/>
  <c r="G51" i="86"/>
  <c r="F51" i="86"/>
  <c r="E51" i="86"/>
  <c r="I48" i="86"/>
  <c r="H48" i="86"/>
  <c r="G48" i="86"/>
  <c r="F48" i="86"/>
  <c r="E48" i="86"/>
  <c r="I46" i="86"/>
  <c r="H46" i="86"/>
  <c r="G46" i="86"/>
  <c r="F46" i="86"/>
  <c r="E46" i="86"/>
  <c r="I40" i="86"/>
  <c r="H40" i="86"/>
  <c r="G40" i="86"/>
  <c r="F40" i="86"/>
  <c r="E40" i="86"/>
  <c r="I37" i="86"/>
  <c r="I41" i="86" s="1"/>
  <c r="H37" i="86"/>
  <c r="G37" i="86"/>
  <c r="F37" i="86"/>
  <c r="E37" i="86"/>
  <c r="I19" i="86"/>
  <c r="H19" i="86"/>
  <c r="G19" i="86"/>
  <c r="F19" i="86"/>
  <c r="E19" i="86"/>
  <c r="I16" i="86"/>
  <c r="H16" i="86"/>
  <c r="G16" i="86"/>
  <c r="F16" i="86"/>
  <c r="E16" i="86"/>
  <c r="I13" i="86"/>
  <c r="H13" i="86"/>
  <c r="G13" i="86"/>
  <c r="F13" i="86"/>
  <c r="E13" i="86"/>
  <c r="I10" i="86"/>
  <c r="H10" i="86"/>
  <c r="G10" i="86"/>
  <c r="F10" i="86"/>
  <c r="E10" i="86"/>
  <c r="I8" i="86"/>
  <c r="H8" i="86"/>
  <c r="G8" i="86"/>
  <c r="F8" i="86"/>
  <c r="E8" i="86"/>
  <c r="I4" i="86"/>
  <c r="H4" i="86"/>
  <c r="G4" i="86"/>
  <c r="F4" i="86"/>
  <c r="E4" i="86"/>
  <c r="E41" i="86" l="1"/>
  <c r="F14" i="86"/>
  <c r="F20" i="86"/>
  <c r="F58" i="86"/>
  <c r="E58" i="86"/>
  <c r="I58" i="86"/>
  <c r="E72" i="86"/>
  <c r="I72" i="86"/>
  <c r="H92" i="86"/>
  <c r="G14" i="86"/>
  <c r="H147" i="86"/>
  <c r="F147" i="86"/>
  <c r="H14" i="86"/>
  <c r="H20" i="86"/>
  <c r="H58" i="86"/>
  <c r="F92" i="86"/>
  <c r="E92" i="86"/>
  <c r="I92" i="86"/>
  <c r="E147" i="86"/>
  <c r="I147" i="86"/>
  <c r="G41" i="86"/>
  <c r="H72" i="86"/>
  <c r="G147" i="86"/>
  <c r="E14" i="86"/>
  <c r="I14" i="86"/>
  <c r="E20" i="86"/>
  <c r="I20" i="86"/>
  <c r="F41" i="86"/>
  <c r="G58" i="86"/>
  <c r="F72" i="86"/>
  <c r="G20" i="86"/>
  <c r="H41" i="86"/>
  <c r="G72" i="86"/>
  <c r="G92" i="86"/>
  <c r="E25" i="65" l="1"/>
  <c r="F25" i="65"/>
  <c r="C25" i="65"/>
  <c r="D25" i="65"/>
  <c r="B25" i="65"/>
  <c r="W2" i="87" l="1"/>
  <c r="X2" i="87" l="1"/>
  <c r="Y2" i="87"/>
  <c r="Z2" i="87" l="1"/>
</calcChain>
</file>

<file path=xl/sharedStrings.xml><?xml version="1.0" encoding="utf-8"?>
<sst xmlns="http://schemas.openxmlformats.org/spreadsheetml/2006/main" count="3905" uniqueCount="909">
  <si>
    <t>Transaction Type</t>
  </si>
  <si>
    <t>(Multiple Items)</t>
  </si>
  <si>
    <t>Overall YTD Results</t>
  </si>
  <si>
    <t>2026 Final Approved Budget</t>
  </si>
  <si>
    <t>Category</t>
  </si>
  <si>
    <t>Sum of 2026 Final Budget</t>
  </si>
  <si>
    <t>Sum of 2026 (Actuals + Forecast)</t>
  </si>
  <si>
    <t>Sum of 2026 Risk</t>
  </si>
  <si>
    <t>Sum of 2026 Opportunity</t>
  </si>
  <si>
    <t>Sum of 2026 Net Position</t>
  </si>
  <si>
    <t>FPC</t>
  </si>
  <si>
    <t>Hardware</t>
  </si>
  <si>
    <t>Infrastructure</t>
  </si>
  <si>
    <t>Labor/ T&amp;M</t>
  </si>
  <si>
    <t>MS</t>
  </si>
  <si>
    <t>OOE</t>
  </si>
  <si>
    <t>Software</t>
  </si>
  <si>
    <t>Grand Total</t>
  </si>
  <si>
    <t>Sub-Category1</t>
  </si>
  <si>
    <t>Row Labels</t>
  </si>
  <si>
    <t>Dan Royer</t>
  </si>
  <si>
    <t>Danny Borkowski</t>
  </si>
  <si>
    <t>Devang Shah</t>
  </si>
  <si>
    <t>Erik Wynkoop</t>
  </si>
  <si>
    <t>John Spencer</t>
  </si>
  <si>
    <t>Melissa Tumminia</t>
  </si>
  <si>
    <t>N/A</t>
  </si>
  <si>
    <t xml:space="preserve">$ in Millions </t>
  </si>
  <si>
    <t>Domain Level YTD Results</t>
  </si>
  <si>
    <t>Values</t>
  </si>
  <si>
    <t>Domain Owner</t>
  </si>
  <si>
    <t>YTD Actuals</t>
  </si>
  <si>
    <t>Spend Category</t>
  </si>
  <si>
    <t>Domain Name</t>
  </si>
  <si>
    <t>D365 Legal Vendor name</t>
  </si>
  <si>
    <t>2026 Final Budget</t>
  </si>
  <si>
    <t>Forecast (Jan-Mar)</t>
  </si>
  <si>
    <t>Actuals (Jan-Mar)</t>
  </si>
  <si>
    <t>Forecast (Apr - Dec)</t>
  </si>
  <si>
    <t>2026 Net Position</t>
  </si>
  <si>
    <t>Notes - Risk/Opportunity - Swati</t>
  </si>
  <si>
    <t>Notes - Risk/Opportunity</t>
  </si>
  <si>
    <t>Risk/Opportunity Type</t>
  </si>
  <si>
    <t>Enterprise Architecture, Data Analytics &amp; AI</t>
  </si>
  <si>
    <t>Coforge DPA NA Inc.</t>
  </si>
  <si>
    <t>$98K OPP: L1/L2 COE BoW 2026 - unutilized funds for new initiatives planned in 2026.</t>
  </si>
  <si>
    <t>1. $98K Opportunity: L1/L2 COE BoW 2026 - unutilized funds for new initiatives planned in 2026.
Driver: Unutilized funds for planned initiatives.</t>
  </si>
  <si>
    <t>Hard Opportunity</t>
  </si>
  <si>
    <t>Indus Valley Partners Corporation</t>
  </si>
  <si>
    <t>$884K OPP:
• IVP Implementation $384K  saving on contract (Budget $1.34M vs Actual $960K)
• IVP Odyssey BoW 2026 $300K - unutilized funds for new initiatives planned in 2026
• IVP Internal Audit BoW 2026 $200K - unutilized funds for new initiatives planned in 2026</t>
  </si>
  <si>
    <t>1. $884K opportunity identified.
2. IVP Implementation $384K saving on contract (Budget $1.34M vs Actual $960K)
3. IVP Odyssey BoW 2026 $300K - unutilized funds for new initiatives planned in 2026
4. IVP Internal Audit BoW 2026 $200K - unutilized funds for new initiatives planned in 2026
Driver: Unutilized funds for planned initiatives.</t>
  </si>
  <si>
    <t>Soft Opportunity</t>
  </si>
  <si>
    <t>Dan Royer Total</t>
  </si>
  <si>
    <t>$982K OPP: 
$ 598K Unutilized funds for new initiatives planned in 2026 - Coforge COE BoW 2026 ($98K) + IVP BoW 2026 ($500K) .
$ 384K Contract Saving IVP (Budget $1.34M vs Actual $960K)</t>
  </si>
  <si>
    <t>1. $982K opportunity identified.
2. $598K Unutilized funds for new initiatives planned in 2026 - Coforge COE BoW 2026 ($98K) + IVP BoW 2026 ($500K).
3. $384K Contract Saving IVP (Budget $1.34M vs Actual $960K)
Driver: Unutilized funds for planned initiatives.</t>
  </si>
  <si>
    <t>Credit, Finance &amp; Operations &amp; Treasury Technology</t>
  </si>
  <si>
    <t>2026 PH</t>
  </si>
  <si>
    <t>On track. Placeholder budget for future projects.</t>
  </si>
  <si>
    <t>On track. Placeholder budget for future projects.
Driver: Tracking to plan.</t>
  </si>
  <si>
    <t>Neutral</t>
  </si>
  <si>
    <t>Finastra Technology, Inc</t>
  </si>
  <si>
    <t>On track. FPC component tracking to budget.</t>
  </si>
  <si>
    <t>On track. FPC component tracking to budget.
Driver: Tracking to plan.</t>
  </si>
  <si>
    <t>MARKIT NORTH AMERICA, INC.</t>
  </si>
  <si>
    <t>$330K OPP: Markit BoW 2026 - unutilized funds for new initiatives planned in 2026.</t>
  </si>
  <si>
    <t>1. $330K Opportunity: Markit BoW 2026 - unutilized funds for new initiatives planned in 2026.
Driver: Unutilized funds for planned initiatives.</t>
  </si>
  <si>
    <t>Devang Shah Total</t>
  </si>
  <si>
    <t>$330K NET OPP: Markit BoW 2026 - unutilized funds for new initiatives planned in 2026.</t>
  </si>
  <si>
    <t>1. $330K net opportunity: Markit BoW 2026 - unutilized funds for new initiatives planned in 2026.
Driver: Unutilized funds for planned initiatives.</t>
  </si>
  <si>
    <t>Asset Management Technology &amp; Data Services</t>
  </si>
  <si>
    <t>$42K OPP: FPC Coforge QA COE BoW 2026 - unutilized funds for new initiatives planned in 2026.</t>
  </si>
  <si>
    <t>1. $42K Opportunity: FPC Coforge QA COE BoW 2026 - unutilized funds for new initiatives planned in 2026.
Driver: Unutilized funds for planned initiatives.</t>
  </si>
  <si>
    <t>Erik Wynkoop Total</t>
  </si>
  <si>
    <t>$42K NET OPP: Coforge FPC BoW 2026 - unutilized funds for new initiatives planned in 2026.</t>
  </si>
  <si>
    <t>1. $42K net opportunity: Coforge FPC BoW 2026 - unutilized funds for new initiatives planned in 2026.
Driver: Unutilized funds for planned initiatives.</t>
  </si>
  <si>
    <t>Chief of Staff, PMO &amp; Enterprise Technology</t>
  </si>
  <si>
    <t>On track. Placeholder budget, no actuals expected.</t>
  </si>
  <si>
    <t>On track. Placeholder budget, no actuals expected.
Driver: Tracking to plan.</t>
  </si>
  <si>
    <t>On track. FPC BoW 2026 - funds reserved for new initiatives planned in 2026.</t>
  </si>
  <si>
    <t>On track. FPC BoW 2026 - funds reserved for new initiatives planned in 2026.
Driver: Tracking to plan.</t>
  </si>
  <si>
    <t>Melissa Tumminia Total</t>
  </si>
  <si>
    <t>On track. FPC tracking to budget.</t>
  </si>
  <si>
    <t>On track. FPC tracking to budget.
Driver: Tracking to plan.</t>
  </si>
  <si>
    <t>FPC Total</t>
  </si>
  <si>
    <t>$1.35M NET OPP:
- $384K Contract Saving IVP (Budget $1.34M vs Actual $960K)
- $970K Unutilized funds for new initiatives planned in 2026 (IVP - $500K  + Coforge - $140K + Markit $330K)</t>
  </si>
  <si>
    <t>1. $1.35M net opportunity identified.
2. $384K Contract Saving IVP (Budget $1.34M vs Actual $960K)
3. $970K Unutilized funds for new initiatives planned in 2026 (IVP - $500K + Coforge - $140K + Markit $330K)
Driver: Unutilized funds for planned initiatives.</t>
  </si>
  <si>
    <t>SHI International Corp</t>
  </si>
  <si>
    <t>$15K OPP: Q1 Forecasted $20K v/s Actual $5K</t>
  </si>
  <si>
    <t>1. $15K Opportunity: Q1 Forecasted $20K v/s Actual $5K
Driver: Favorable variance vs budget.</t>
  </si>
  <si>
    <t>$15K NET OPP: Hardware budget $20K v/s actuals 5K favorable variance.</t>
  </si>
  <si>
    <t>1. $15K net opportunity: Hardware budget $20K v/s actuals 5K favorable variance.
Driver: Favorable budget vs actual variance.</t>
  </si>
  <si>
    <t>Infrastructure Services, Controls &amp; User Enablement</t>
  </si>
  <si>
    <t>CDW DIRECT LLC</t>
  </si>
  <si>
    <t>$68K RISK: $75K - Unbudgeted 2026 laptops (committed spend per Danny) and -$7k Budget $34k v/s Actual+FC $27K favorable variance</t>
  </si>
  <si>
    <t>1. $68K Risk: $75K - Unbudgeted 2026 laptops (committed spend per Danny) and -$7k Budget $34k v/s Actual+FC $27K favorable variance
Driver: Unbudgeted hardware purchases.</t>
  </si>
  <si>
    <t>Hard Risk</t>
  </si>
  <si>
    <t>$7K RISK: Unplanned and unbudgeted hardware purchases from SHI</t>
  </si>
  <si>
    <t>1. $7K Risk: Unplanned and unbudgeted hardware purchases from SHI
Driver: Unbudgeted spend.</t>
  </si>
  <si>
    <t>Danny Borkowski Total</t>
  </si>
  <si>
    <t>$75K NET RISK: (Unbudgeted laptops) $75K + SHI $7K (unplanned purchases).
Offset by CDW - $7k Budget $34k v/s Actual+FC $27K favorable variance</t>
  </si>
  <si>
    <t>1. $75K net risk identified.
2. (Unbudgeted laptops) $75K + SHI $7K (unplanned purchases).
3. Offset by CDW - $7k Budget $34k v/s Actual+FC $27K favorable variance
Driver: Unbudgeted hardware purchases.</t>
  </si>
  <si>
    <t>Hardware Total</t>
  </si>
  <si>
    <t>$59K NET RISK: 
+$82K - CDW Unbudgeted laptops ($75K) + $7K SHI unplanned hardware purchase 
-$22K - Offset by favorable budget v/s actuals  
SHI ($15K) + CDW ($7K)</t>
  </si>
  <si>
    <t>1. $59K net risk identified.
2. +$82K - CDW Unbudgeted laptops ($75K) + $7K SHI unplanned hardware purchase
3. -$22K - Offset by favorable budget v/s actuals - SHI ($15K) + CDW ($7K)
Driver: Unbudgeted hardware purchases.</t>
  </si>
  <si>
    <t>AT&amp;T Corp</t>
  </si>
  <si>
    <t>On track. Telecom costs tracking to budget.</t>
  </si>
  <si>
    <t>On track. Telecom costs tracking to budget.
Driver: Tracking to plan.</t>
  </si>
  <si>
    <t>Beanfield Technologies, Inc.</t>
  </si>
  <si>
    <t>On track. Minor variance (&lt;$100). Budget v/s Actuals</t>
  </si>
  <si>
    <t>On track. Minor variance (&lt;$100). Budget v/s Actuals
Driver: Tracking to plan.</t>
  </si>
  <si>
    <t>Soft Risk</t>
  </si>
  <si>
    <t>Bell Mobility Inc.</t>
  </si>
  <si>
    <t>On track. Costs tracking to budget.</t>
  </si>
  <si>
    <t>On track. Costs tracking to budget.
Driver: Tracking to plan.</t>
  </si>
  <si>
    <t>$12K OPP: NOC managed services Q1 Budget $45K vs Actuals $33K = ($12K) favorable variance. Full year budget $180K.</t>
  </si>
  <si>
    <t>1. $12K Opportunity: NOC managed services Q1 Budget $45K vs Actuals $33K = ($12K) favorable variance. Full year budget $180K.
Driver: Favorable budget vs actual variance.</t>
  </si>
  <si>
    <t>Cisco Systems, Inc.</t>
  </si>
  <si>
    <t>$1.7K OPP: Webex cancelled in Dec'25 - Budget $1.7K, no 2026 spend expected.</t>
  </si>
  <si>
    <t>1. $1.7K Opportunity: Webex cancelled in Dec'25 - Budget $1.7K, no 2026 spend expected.
Driver: Service/resource exit generating savings.</t>
  </si>
  <si>
    <t>Cogent Canada, Inc.</t>
  </si>
  <si>
    <t>On track. Minor variance (&lt;$200). Budget v/s Actuals</t>
  </si>
  <si>
    <t>On track. Minor variance (&lt;$200). Budget v/s Actuals
Driver: Tracking to plan.</t>
  </si>
  <si>
    <t>COGENT COMMUNICATIONS, INC</t>
  </si>
  <si>
    <t>$421 OPP: Bandwidth costs tracking favorable. Budget v/s Actuals</t>
  </si>
  <si>
    <t>1. $421 Opportunity: Bandwidth costs tracking favorable. Budget v/s Actuals
Driver: Favorable budget vs actual variance.</t>
  </si>
  <si>
    <t>j2 Cloud Services, Inc.</t>
  </si>
  <si>
    <t>$323 RISK: Minor usage variance. Budget v/s Actuals</t>
  </si>
  <si>
    <t>1. $323 Risk: Minor usage variance. Budget v/s Actuals
Driver: Actual spend exceeding budget.</t>
  </si>
  <si>
    <t>LEVEL 3 COMMUNICATIONS</t>
  </si>
  <si>
    <t>$302 OPP: Costs tracking slightly below budget. Budget v/s Actuals</t>
  </si>
  <si>
    <t>1. $302 Opportunity: Costs tracking slightly below budget. Budget v/s Actuals
Driver: Favorable budget vs actual variance.</t>
  </si>
  <si>
    <t>LoopUp</t>
  </si>
  <si>
    <t>$410 OPP: Costs tracking slightly below budget. Budget v/s Actuals</t>
  </si>
  <si>
    <t>1. $410 Opportunity: Costs tracking slightly below budget. Budget v/s Actuals
Driver: Favorable budget vs actual variance.</t>
  </si>
  <si>
    <t>Microsoft Corporation</t>
  </si>
  <si>
    <t>On track. EA tracking to budget.</t>
  </si>
  <si>
    <t>On track. EA tracking to budget.
Driver: Tracking to plan.</t>
  </si>
  <si>
    <t>Other</t>
  </si>
  <si>
    <t>On track. Placeholder budget, no material R/O.</t>
  </si>
  <si>
    <t>On track. Placeholder budget, no material R/O.
Driver: Tracking to plan.</t>
  </si>
  <si>
    <t>SaferKid, Inc. (FirmScribe)</t>
  </si>
  <si>
    <t>$150 OPP: Minor favorable variance. Budget v/s Actuals</t>
  </si>
  <si>
    <t>1. $150 Opportunity: Minor favorable variance. Budget v/s Actuals
Driver: Favorable budget vs actual variance.</t>
  </si>
  <si>
    <t>$74 RISK: Minor actual over budget variance. Budget v/s Actuals</t>
  </si>
  <si>
    <t>1. $74 Risk: Minor actual over budget variance. Budget v/s Actuals
Driver: Actual spend exceeding budget.</t>
  </si>
  <si>
    <t>Verizon Wireless Services LLC</t>
  </si>
  <si>
    <t>On track. Wireless costs tracking to budget.</t>
  </si>
  <si>
    <t>On track. Wireless costs tracking to budget.
Driver: Tracking to plan.</t>
  </si>
  <si>
    <t>Zoom Video Communications, Inc.</t>
  </si>
  <si>
    <t>On track. Contract tracking to budget.</t>
  </si>
  <si>
    <t>On track. Contract tracking to budget.
Driver: Tracking to plan.</t>
  </si>
  <si>
    <t>$13K NET OPP: NOC services ($12K)  minor budget v/s actual infra savings.</t>
  </si>
  <si>
    <t>1. $13K net opportunity: NOC services ($12K) minor budget v/s actual infra savings.
Driver: Budget vs actuals favorable variance.</t>
  </si>
  <si>
    <t>Amazon Capital Services, Inc.</t>
  </si>
  <si>
    <t>On track. No actuals expected.</t>
  </si>
  <si>
    <t>On track. No actuals expected.
Driver: Tracking to plan.</t>
  </si>
  <si>
    <t>General Office Expense - Refer to Concur</t>
  </si>
  <si>
    <t>On track. Minor variance (&lt;$1).</t>
  </si>
  <si>
    <t>On track. Minor variance (&lt;$1).
Driver: Tracking to plan.</t>
  </si>
  <si>
    <t>On track. Infrastructure tracking to budget.</t>
  </si>
  <si>
    <t>On track. Infrastructure tracking to budget.
Driver: Tracking to plan.</t>
  </si>
  <si>
    <t>Infrastructure Total</t>
  </si>
  <si>
    <t>$14K NET OPP:
• CDW NOC ($12K): Q1 Budget $45K vs Actuals $33K
• Cisco ($1.7K): Webex cancelled Dec'25
• Minor telecom savings ($2K): Cogent + Level3 + LoopUp + SaferKid
• Minor risks (&lt;$1K): j2 + Beanfield + Cogent CA + SHI</t>
  </si>
  <si>
    <t>1. $14K net opportunity identified.
2. CDW NOC ($12K): Q1 Budget $45K vs Actuals $33K
3. Cisco ($1.7K): Webex cancelled Dec'25
4. Minor telecom savings ($2K): Cogent + Level3 + LoopUp + SaferKid
5. Minor risks (&lt;$1K): j2 + Beanfield + Cogent CA + SHI
Driver: Budget variance from unplanned costs.</t>
  </si>
  <si>
    <t>Andersen Tax Holdings</t>
  </si>
  <si>
    <t>$12K OPP: 1Rivet Support SOW - YTD Q1 actuals ($348K) tracking below forecast ($360K). 11 resources running ~3% under budget due to time off/holiday by resources</t>
  </si>
  <si>
    <t>1. $12K Opportunity: 1Rivet support spend is slightly below expectations.
2. Q1 YTD: $348K actual vs. $360K forecast.
3. Team: 11 resources, running ~3% under plan.
Driver: Normal time off and holidays (not delivery-related).</t>
  </si>
  <si>
    <t>$109K RISK: 
   • Annual Budget: $403,200 | Q1 Budget: $100,800 - Only 1 resource (Arun) v/s Q1 Actual: $99,120 saving by $1,680
• Unbudgeted Resources (5 resources causing ~$110K overage Q1):  All working on Prj000353 - L1/L2 CoE for Additional Platforms (Eshaan Kaul , Akshath Ashok , Deepak Gupta , Vishal Pandita, Mayank Verma)</t>
  </si>
  <si>
    <t>1. $109K risk identified: Driven by unplanned resource usage in Q1.
2. Budget context: Annual budget $403.2K; Q1 budget $100.8K v/s actuals: $99.1K spent with 1 planned resource (Arun), resulting in a $1.7K Q1 savings on the core plan.
3. Primary driver of risk: 5 unbudgeted resources supporting Prj000353 – L1/L2 CoE for Additional Platforms. (Eshaan Kaul , Akshath Ashok , Deepak Gupta , Vishal Pandita, Mayank Verma)
Driver: Unplanned staffing is contributing to an approximate $110K Q1 overage</t>
  </si>
  <si>
    <t>$807K RISK: Contract:
 +$312K  - Q1&amp;Q2 Actual Contract $528K vs Budget: $216K 4 resources (Rahul, Vaibhav, Josep, Vedang) @$88K/mo vs 2 budgeted (Rahul &amp; Vaibhav) @ $36K/mo
+$528k - Q3 &amp; Q4 Unbudgeted extension 
Offset by
-$32.8K - Jan &amp; Feb saving on actual billing  due to time off/holiday by resources</t>
  </si>
  <si>
    <t>1. $807K risk identified: Driven by contract scope extending beyond the original budget.
2. Q1–Q2 actuals: $528K spent vs. $216K budget, reflecting 4 active resources (Rahul, Vaibhav, Josep, Vedang) at ~$88K/month, compared to 2 budgeted resources at ~$36K/month.
3. Q3–Q4 impact: $528K unbudgeted contract extension currently not included in plan.
Offset: $32.8K savings in Jan–Feb due to normal time off and holidays across the team.
Driver: Unbudgeted resource additions.</t>
  </si>
  <si>
    <t>Intelligent Business Platforms LLC</t>
  </si>
  <si>
    <t>$917K RISK:
• Q1: ($24K) OPP - YTD actuals ($446K) below forecast ($470K) due to time off/holiday by resources, 6 running resources 
• Q3 &amp; Q4: $941K RISK - Unbudgeted extension Jul-Dec</t>
  </si>
  <si>
    <t>1. $917K risk identified: Net impact across timing savings and an unplanned contract extension.
2. Q1 performance: $24K under plan with $446K actual vs. $470K forecast, driven by normal time off and holidays.
3. Q3–Q4 exposure: $941K risk related to an unbudgeted extension from July–December.
4. Team coverage: 6 resources supporting the work
Overall takeaway: Near‑term savings offset slightly, but the primary risk is future scope not yet budgeted.
Driver: Unbudgeted extension.</t>
  </si>
  <si>
    <t>$1.82M NET RISK:
• IVP $807K: 4 HC vs 2 budgeted ($279K) Hard Risk + H2 extension ($528K) Soft Risk until confirmed
• Intellibus $917K: H2 unbudgeted renewal (Jul-Dec)
• Coforge $109K: 5 unbudgeted L1/L2 COE resources (Eshaan, Akshath, Deepak, Vishal, Mayank)
• Offset: Andersen ($12K) favorable - time off/holiday savings</t>
  </si>
  <si>
    <t>1. $1.82M net risk identified: Driven by unbudgeted staffing and contract extensions across multiple vendors.
2. IVP – $807K risk: 
	a) 4 resources vs. 2 budgeted, increasing monthly run rate
	b) Includes a $528K unbudgeted H2 extension
3. Intellibus – $917K risk: 
	a) Unbudgeted contract renewal for Jul–Dec (H2)
4. Coforge – $109K risk: 
	a) 5 unbudgeted L1/L2 CoE resources supporting operations (Eshaan, Akshath, Deepak, Vishal, Mayank)
Offset: $12K favorable variance from Andersen due to normal time off and holiday savings
Driver: Unbudgeted resource additions and contract extensions</t>
  </si>
  <si>
    <t>$67K NET RISK:
•+$85K -2 unbudgeted resource from 1Rivet to replace Acenture resource (Arif - $37K for 6 months &amp; Sailesh $48K over YTD budget)
•+$19KOffset by Q1 Budget ($115K )v/s actual ($96.5K) favorable saving due to time off/holiday by resources, 4 running resources</t>
  </si>
  <si>
    <t>1. $67K net risk identified: Unplanned contractor changes partially offset by timing savings.
2. Primary risk ($85K): Two unbudgeted 1Rivet resources hired to replace an Accenture contractor — Arif ($37K for 6 months) and Sailesh ($48K over YTD budget).
3. Partial offset ($19K savings): Q1 actuals came in at $96.5K vs. $115K budget due to normal time off and holidays across a 4-person team.
Driver: Unplanned contractor replacement strategy driving the net overage.</t>
  </si>
  <si>
    <t>$67K NET RISK:
•+$85K -2 unbudgeted resource from 1Rivet to replace Acenture resource (Arif - $37K for 6 months &amp; Sailesh $48K over YTD budget)
•+$19KOffset by Q1 Budget ($115K )v/s actual ($96.5K) favorable saving due to time off/holiday by resources</t>
  </si>
  <si>
    <t>1. $67K net risk identified.
2. +$85K - 2 unbudgeted resources from 1Rivet to replace Accenture resource (Arif - $37K for 6 months &amp; Sailesh $48K over YTD budget)
3. -$19K Offset by Q1 Budget ($115K) v/s actual ($96.5K) favorable saving due to time off/holiday by resources
Driver: Unbudgeted resource additions.</t>
  </si>
  <si>
    <t>$34K OPP: 1Rivet Support SOW - YTD actuals ($343K) running 9% below Q1 forecast ($376K) due to resource time off/holiday driving favorable variance.</t>
  </si>
  <si>
    <t>1. $34K Opportunity: 1Rivet Support SOW - YTD actuals ($343K) running 9% below Q1 forecast ($376K) due to resource time off/holiday driving favorable variance.
Driver: Resource time off/holiday driving favorable variance.</t>
  </si>
  <si>
    <t>$1K RISK: Coforge T&amp;M (Nilesh Ramnani) actuals ($64K) slightly over Q1 forecast ($63K). Minor variance, tracking close to budget.</t>
  </si>
  <si>
    <t>1. $1K Risk: Coforge T&amp;M (Nilesh Ramnani) actuals ($64K) slightly over Q1 forecast ($63K). Minor variance, tracking close to budget.
Driver: Actual spend exceeding budget.</t>
  </si>
  <si>
    <t>$33K NET OPP: Andersen favorable ($34K) offset by Coforge minor overspend ($1K). 1Rivet resource time off/holiday driving savings.</t>
  </si>
  <si>
    <t>1. $33K net opportunity: Andersen favorable ($34K) offset by Coforge minor overspend ($1K). 1Rivet resource time off/holiday driving savings.
Driver: Resource time off/holiday driving favorable variance.</t>
  </si>
  <si>
    <t>$86K OPP breakdown:
RAYMOND ALFONSO:
• Budget: $312K ($26K/mo x 12) | Exited Feb'26
• Saving: $286K annual T&amp;M exit
CONTRACT RESTRUCTURE (Budget Neutral):
• Raymond's $26K/mo T&amp;M exit → 4 QA resources hired at same cost ($247K)
• Net swap saving: ($39K) - QA cost lower than Raymond's full year
• May onwards: UAT Lead @ $28.8K/mo ($230K May-Dec) - Unbudgeted
•Q1 TOTAL: Budget $98K vs Actual $67.6K = ($30.4K) OPP 
Vivek Pandey: Q1: Budget $72K vs Actual $45.6K = ($26.4K) favorable
Raymond Alfonso: Budget $26K vs Actual $22K (Jan only billed) = ($3K) favorable</t>
  </si>
  <si>
    <t>1. $86K opportunity identified.
2. RAYMOND ALFONSO: Budget $312K ($26K/mo x 12) | Exited Feb'26. Saving: $286K annual T&amp;M exit.
3. CONTRACT RESTRUCTURE (Budget Neutral): Raymond's $26K/mo T&amp;M exit → 4 QA resources hired at same cost ($247K). Net swap saving: ($39K) - QA cost lower than Raymond's full year.
4. May onwards: UAT Lead @ $28.8K/mo ($230K May-Dec) - Unbudgeted.
5. Q1 TOTAL: Budget $98K vs Actual $67.6K = ($30.4K) OPP. Vivek Pandey: Q1 Budget $72K vs Actual $45.6K = ($26.4K) favorable. Raymond Alfonso: Budget $26K vs Actual $22K (Jan only billed) = ($3K) favorable.
Driver: Contract savings vs budget.</t>
  </si>
  <si>
    <t>$86K NET OPP (T&amp;M Only): -$30.4K-$286K+$230K
• Coforge: ($86K) - Q1: Budget $98K vs Actual $67.6K = ($30.4K) favorable saving on invoices
• UAT Lead unbudgted hire $230K (May-Dec)
•Raymond's exit $286K annual saving offset by QA swap (in MS category) $247K = ($39K) favorbale saving
Note: $247K QA RISK shown separately in MS category (contract restructure from T&amp;M to QA). Net T&amp;M + MS impact: $161K RISK ($247K QA - $86K T&amp;M savings)</t>
  </si>
  <si>
    <t>1. $86K net opportunity (T&amp;M Only) identified.
2. Coforge: ($86K) - Q1 Budget $98K vs Actual $67.6K = ($30.4K) favorable saving on invoices.
3. UAT Lead unbudgeted hire $230K (May-Dec).
4. Raymond's exit $286K annual saving offset by QA swap (in MS category) $247K = ($39K) favorable saving.
Note: $247K QA RISK shown separately in MS category. Net T&amp;M + MS impact: $161K RISK.
Driver: Unbudgeted spend.</t>
  </si>
  <si>
    <t>$74K RISK:
• $71K - Swati Yadav added from 1Rivet (unbudgeted replacement for Shanky Modi from Coforge)
• $3K - Q1 variance: actuals ($75K) vs forecast ($77K), 2 running resources
Resource swap net impact: +$71K Anderson/1Rivet offset with $72K for Coforge</t>
  </si>
  <si>
    <t>1. $74K risk identified.
2. $71K - Swati Yadav added from 1Rivet (unbudgeted replacement for Shanky Modi from Coforge)
3. $3K - Q1 variance: actuals ($75K) vs forecast ($77K), 2 running resources
Resource swap net impact: ($1k) +$71K Anderson/1Rivet offset with $72K for Coforge
Driver: Unbudgeted resource additions.</t>
  </si>
  <si>
    <t>$76K OPP:
• $72K - Shanky Modi exit savings (offset by $71K rsik for  Swati/Anderson)
• $4K - Q1 variance: actuals ($36K) below forecast ($40K), 1 running resource</t>
  </si>
  <si>
    <t>1. $76K opportunity identified.
2. $72K - Shanky Modi exit savings (offset by $71K risk for Swati/Anderson)
3. $4K - Q1 variance: actuals ($36K) below forecast ($40K), 1 running resource
Driver: Actual spend exceeding budget.</t>
  </si>
  <si>
    <t>Cognizant Worldwide Limited</t>
  </si>
  <si>
    <t>$6K OPP: Cognizant T&amp;M (4 resources) - Q1 actuals ($49K) tracking 10% below forecast ($55K). Favorable variance from resource time off/holiday</t>
  </si>
  <si>
    <t>1. $6K Opportunity: Cognizant T&amp;M (4 resources) - Q1 actuals ($49K) tracking 10% below forecast ($55K). Favorable variance from resource time off/holiday.
Driver: Resource time off/holiday driving favorable variance.</t>
  </si>
  <si>
    <t>$8K NET OPP:
• Resource swap: Net $1K cost (Shanky $72K Coforge saving vs Swati $71K Anderson cost)
• Budget variance: $7K favorable (Coforge $4K + Cognizant $6K - Anderson $3K)</t>
  </si>
  <si>
    <t>1. $8K net opportunity identified.
2. Resource swap: Net $1K cost (Shanky $72K Coforge saving vs Swati $71K Anderson cost)
3. Budget variance: $7K favorable (Coforge $4K + Cognizant $6K - Anderson $3K)
Driver: Favorable budget vs actual variance.</t>
  </si>
  <si>
    <t>Labor/ T&amp;M Total</t>
  </si>
  <si>
    <t>$1.76M NET RISK:
RISKS ($2.0M):
• IVP $807K: 4 HC vs 2 budgeted + $528K H2 extension
• Intellibus $917K: Unbudgeted H2 renewal (Jul-Dec)
• Coforge COE $109K: 5 unbudgeted L1/L2 resources
• Danny 1Rivet $67K: 2 Accenture replacements (Arif &amp; Sailesh)
• Melissa 1Rivet $74K: Swati Yadav (Shanky replacement)
OPPS ($237K):
• Erik ($86K): Raymond exit + invoice favorbale savings
• Devang ($33K): 1Rivet invoice favorbale savings
• Dan ($12K): 11 resources ~3% under
• Melissa ($82K): Shanky exit + Cognizant favorable
Note: Erik's $247K QA swap in MS category</t>
  </si>
  <si>
    <t>1. $1.76M net risk identified.
2. RISKS ($2.0M): IVP $807K ($279K 4 HC vs 2 budgeted + $528K H2 extension), Intellibus $917K (Unbudgeted H2 renewal Jul-Dec), Coforge COE $109K (5 unbudgeted L1/L2 resources), Danny 1Rivet $67K (2 Accenture replacements),  1Rivet $74K (Swati Yadav replacing Shanky/Coforge).
3. OPPS ($237K): Erik ($86K) Raymond exit + invoice savings, 1Rivet ($33K)  invoice savings + ($12K) 11 resources ~3% under,  ($82K) Coforge Shanky exit + Cognizant favorable.
Note: Erik's $247K QA swap in MS category.
Driver: Unbudgeted resource additions and contract extensions</t>
  </si>
  <si>
    <t>On track. L2 SOW FPC tracking to budget.</t>
  </si>
  <si>
    <t>On track. L2 SOW FPC tracking to budget.
Driver: Tracking to plan.</t>
  </si>
  <si>
    <t>$21K OPP: IVP L2 Tech Data Managed Services - Budget $281K vs Contract $260K. Q1 tracking on target ($67K).</t>
  </si>
  <si>
    <t>1. $21K Opportunity: IVP L2 Tech Data Managed Services - Budget $281K vs Contract $260K. Q1 tracking on target ($67K).
Driver: Favorable variance vs budget.</t>
  </si>
  <si>
    <t>Virteva LLC</t>
  </si>
  <si>
    <t>$10K OPP: Virteva Managed Services - Budget $190K vs Contract $180K. Q1 actuals ($45K) on track.</t>
  </si>
  <si>
    <t>1. $10K Opportunity: Virteva Managed Services - Budget $190K vs Contract $180K. Q1 actuals ($45K) on track.
Driver: Budget vs actuals favorable variance.</t>
  </si>
  <si>
    <t>$31K NET OPP: Budget v/s Contract savings
• IVP ($21K): L2 Tech Data Managed Services favorable
• Virteva ($10K): Managed services below budget
Q1 tracking on target for both vendors.</t>
  </si>
  <si>
    <t>1. $31K net opportunity identified.
2. IVP ($21K): L2 Tech Data Managed Services favorable
3. Virteva ($10K): Managed services below budget
Q1 tracking on target for both vendors.
Driver: Favorable budget vs actual variance.</t>
  </si>
  <si>
    <t>NewRocket, LLC</t>
  </si>
  <si>
    <t>$4K OPP: NewRocket ServiceNow MS - Budget $179K vs FC/contract $174K. Q1 actuals ($87K) tracking favorable.</t>
  </si>
  <si>
    <t>1. $4K Opportunity: NewRocket ServiceNow MS - Budget $179K vs FC/contract $174K. Q1 actuals ($87K) tracking favorable.
Driver: Favorable budget vs actual variance.</t>
  </si>
  <si>
    <t>$4K NET OPP: NewRocket MS - Budget $179K vs FC/contract $174K favorable variance.</t>
  </si>
  <si>
    <t>1. $4K net opportunity: NewRocket MS - Budget $179K vs FC/contract $174K favorable variance.
Driver: Favorable budget vs actual variance.</t>
  </si>
  <si>
    <t>Archetype Consulting, Inc.</t>
  </si>
  <si>
    <t>$8K OPP: Archetype Finance App Support - Budget $100K vs FC $91K. Q1 actuals ($24K) slightly over forecast ($23K).</t>
  </si>
  <si>
    <t>1. $8K Opportunity: Archetype Finance App Support - Budget $100K vs FC $91K. Q1 actuals ($24K) slightly over forecast ($23K).
Driver: Budget vs actuals favorable variance.</t>
  </si>
  <si>
    <t>$8K NET OPP: Archetype Finance App Support - Budget $100K vs FC $91K favorable.</t>
  </si>
  <si>
    <t>1. $8K net opportunity: Archetype Finance App Support - Budget $100K vs FC $91K favorable.
Driver: Favorable budget vs actual variance.</t>
  </si>
  <si>
    <t>$247K RISK: QA Contract Restructure - 4 QA resources hired to replace Raymond Alfonso's T&amp;M exit.
• Budget: $345K vs Revised QA Contract/FC: $592K
• Offset: $86K T&amp;M savings (Raymond exit ($286K) + Resource timeoff saving ($30K) + Unbudgeted UAT Lead ($230K)
• Net MS+T&amp;M impact: $161K RISK</t>
  </si>
  <si>
    <t>1. $247K risk identified: QA Contract Restructure - 4 QA resources hired to replace Raymond Alfonso's T&amp;M exit.
2. Budget: $345K vs Revised QA Contract/FC: $592K
3. Offset: $86K T&amp;M savings (Raymond exit ($286K) + Resource timeoff saving ($30K) + Unbudgeted UAT Lead ($230K))
4. Net MS+T&amp;M impact: $161K RISK
Driver: Unbudgeted resource additions.</t>
  </si>
  <si>
    <t>On track. IVP BoW 2026 - $100K reserved for QA initiatives. No Q1 spend expected.</t>
  </si>
  <si>
    <t>On track. IVP BoW 2026 - $100K reserved for QA initiatives. No Q1 spend expected.
Driver: Tracking to plan.</t>
  </si>
  <si>
    <t>$247K NET RISK:
• Coforge QA ($247K): 4 resources hired as T&amp;M-to-QA contract swap
• IVP BoW ($0): Reserved for 2026 initiatives
Note: $86K T&amp;M savings offset shown in Labor/T&amp;M category. Net MS+T&amp;M: $161K RISK</t>
  </si>
  <si>
    <t>1. $247K net risk identified.
2. Coforge QA ($247K): 4 resources hired as T&amp;M-to-QA contract swap
Note: $86K T&amp;M savings offset shown in Labor/T&amp;M category. Net MS+T&amp;M: $161K RISK
Driver: Contract restructuring.</t>
  </si>
  <si>
    <t>BWise Internal Control Inc.</t>
  </si>
  <si>
    <t>$391 OPP: BWise Internal Control - Budget $32.4K vs Actuals $32K. Minor favorable variance.</t>
  </si>
  <si>
    <t>1. $391 Opportunity: BWise Internal Control - Budget $32.4K vs Actuals $32K. Minor favorable variance.
Driver: Favorable budget vs actual variance.</t>
  </si>
  <si>
    <t>$391 NET OPP: BWise minor favorable - Budget $32.4K vs Actuals $32K.</t>
  </si>
  <si>
    <t>1. $391 net opportunity: BWise minor favorable - Budget $32.4K vs Actuals $32K.
Driver: Favorable budget vs actual variance.</t>
  </si>
  <si>
    <t>MS Total</t>
  </si>
  <si>
    <t>$203K NET RISK:
• Coforge QA $247K: 4 QA resources (Budget $345K vs FC $592K) - Raymond T&amp;M-to-QA swap
• Offset ($44K): IVP $21K + Virteva $10K + NewRocket $4K + Archetype $8K + BWise $0.4K
Note: $86K T&amp;M savings in Labor. Net MS+T&amp;M: $161K RISK</t>
  </si>
  <si>
    <t>1. $203K net risk identified.
2. Coforge QA $247K: 4 QA resources (Budget $345K vs FC $592K) - Raymond T&amp;M-to-QA swap
3. Offset ($44K): IVP $21K + Virteva $10K + NewRocket $4K + Archetype $8K + BWise $0.4K
Note: $86K T&amp;M savings in Labor. Net MS+T&amp;M: $161K RISK
Driver: Budget variance from unplanned costs.</t>
  </si>
  <si>
    <t>ASX Benchmarks PTY limited</t>
  </si>
  <si>
    <t>$574 RISK: Minor actual over budget variance.</t>
  </si>
  <si>
    <t>1. $574 Risk: Minor actual over budget variance.
Driver: Actual spend exceeding budget.</t>
  </si>
  <si>
    <t>Bloomberg Finance L.P.</t>
  </si>
  <si>
    <t>$2K OPP: Subscription costs below budget.</t>
  </si>
  <si>
    <t>1. $2K Opportunity: Subscription costs below budget.
Driver: Favorable budget vs actual variance.</t>
  </si>
  <si>
    <t>G Treasury SS, LLC</t>
  </si>
  <si>
    <t>$41K RISK: New cash application subscription, unbudgeted.</t>
  </si>
  <si>
    <t>1. $41K Risk: New cash application subscription, unbudgeted.
Driver: Unbudgeted subscription costs.</t>
  </si>
  <si>
    <t>ICE Benchmark Administration Ltd</t>
  </si>
  <si>
    <t>$400 OPP: Subscription below budget.</t>
  </si>
  <si>
    <t>1. $400 Opportunity: Subscription below budget.
Driver: Favorable budget vs actual variance.</t>
  </si>
  <si>
    <t>THOMSON REUTERS MARKETS LLC</t>
  </si>
  <si>
    <t>On track. Subscription tracking to budget.</t>
  </si>
  <si>
    <t>On track. Subscription tracking to budget.
Driver: Tracking to plan.</t>
  </si>
  <si>
    <t>TSX Inc.</t>
  </si>
  <si>
    <t>Norske Finansielle Referanser AS</t>
  </si>
  <si>
    <t>$15K RISK: New vendor cost not budgeted. (Refinitive data source)</t>
  </si>
  <si>
    <t>1. $15K Risk: New vendor cost not budgeted. (Refinitiv data source)
Driver: Budget variance from unplanned costs.</t>
  </si>
  <si>
    <t>$55K NET RISK: Unbudgeted - G Treasury ($41K)  Norske ($15K) offset by Bloomberg/ICE ($2K) budgte v/s actual saving.</t>
  </si>
  <si>
    <t>1. $55K net risk: Unbudgeted - G Treasury ($41K) + Norske ($15K) offset by Bloomberg/ICE ($2K) budget v/s actual saving.
Driver: Unbudgeted spend.</t>
  </si>
  <si>
    <t>PitchBook Data, Inc.</t>
  </si>
  <si>
    <t>On track. Subscription paid, tracking to budget.</t>
  </si>
  <si>
    <t>On track. Subscription paid, tracking to budget.
Driver: Tracking to plan.</t>
  </si>
  <si>
    <t>On track. OOE tracking to budget.</t>
  </si>
  <si>
    <t>On track. OOE tracking to budget.
Driver: Tracking to plan.</t>
  </si>
  <si>
    <t>Liquidity Solutions Tech</t>
  </si>
  <si>
    <t>Fitch Solutions, Inc.</t>
  </si>
  <si>
    <t>On track. No material R/O.</t>
  </si>
  <si>
    <t>On track. No material R/O.
Driver: Tracking to plan.</t>
  </si>
  <si>
    <t>John Spencer Total</t>
  </si>
  <si>
    <t>City of Chicago</t>
  </si>
  <si>
    <t>On track. Sales tax placeholder, no material R/O.</t>
  </si>
  <si>
    <t>On track. Sales tax placeholder, no material R/O.
Driver: Tracking to plan.</t>
  </si>
  <si>
    <t>New York State Department of Taxation and Finance</t>
  </si>
  <si>
    <t>Nterone Corporation</t>
  </si>
  <si>
    <t>On track. Training budget tracking to plan.</t>
  </si>
  <si>
    <t>On track. Training budget tracking to plan.
Driver: Tracking to plan.</t>
  </si>
  <si>
    <t>T&amp;E - Refer to Concur</t>
  </si>
  <si>
    <t>On track. T&amp;E buffer in Dec for unpredictable reimbursements.</t>
  </si>
  <si>
    <t>On track. T&amp;E buffer in Dec for unpredictable reimbursements.
Driver: Tracking to plan.</t>
  </si>
  <si>
    <t>Amortization/Multiple</t>
  </si>
  <si>
    <t>$20K RISK: Amortization timing variance/under budgeted</t>
  </si>
  <si>
    <t>1. $20K Risk: Amortization timing variance/under budgeted
Driver: Amortization timing variance.</t>
  </si>
  <si>
    <t>N/A Total</t>
  </si>
  <si>
    <t>$20K NET RISK: Amortization timing variance/under budgeted</t>
  </si>
  <si>
    <t>1. $20K net risk: Amortization timing variance/under budgeted
Driver: Amortization timing variance.</t>
  </si>
  <si>
    <t>OOE Total</t>
  </si>
  <si>
    <t>$74K NET RISK:
• Devang $55K: G Treasury ($41K) + Norske ($15K) unbudgeted, offset by Bloomberg/ICE ($2K) budget v/s actuals savings
• Amortization $20K: Timing variance/under budgeted
Budget $2.03M | Q1 FC $409K vs AC $398K</t>
  </si>
  <si>
    <t>1. $74K net risk identified.
2. Devang $55K: G Treasury ($41K) + Norske ($15K) unbudgeted, offset by Bloomberg/ICE ($2K) budget v/s actuals savings
3. Amortization $20K: Timing variance/under budgeted
Budget $2.03M | Q1 FC $409K vs AC $398K
Driver: Unbudgeted spend.</t>
  </si>
  <si>
    <t>Alation Inc.</t>
  </si>
  <si>
    <t>$47K OPP: Alation prepaid - $22K Budget $191K (12 months) v/s Actuals $171K (12 months). 
$25K Timing variance on prepaid recognition (Jan-Mar 2027)</t>
  </si>
  <si>
    <t>1. $47K opportunity identified.
2. Alation prepaid - $22K Budget $191K (12 months) v/s Actuals $171K (12 months).
3. $25K Timing variance on prepaid recognition (Jan-Mar 2027)
Driver: Prepaid/timing variance.</t>
  </si>
  <si>
    <t>Cloud Navigators LLC</t>
  </si>
  <si>
    <t>On track. Tracking to budget.</t>
  </si>
  <si>
    <t>On track. Tracking to budget.
Driver: Tracking to plan.</t>
  </si>
  <si>
    <t>Cloud Software Group (formally Tibco)</t>
  </si>
  <si>
    <t>On track. Prepaid tracking to budget.</t>
  </si>
  <si>
    <t>On track. Prepaid tracking to budget.
Driver: Tracking to plan.</t>
  </si>
  <si>
    <t>$5K OPP: UiPath license favorable (Budget $101K vs $96K actual).</t>
  </si>
  <si>
    <t>1. $5K Opportunity: UiPath license favorable (Budget $101K vs $96K actual).
Driver: Favorable budget vs actual variance.</t>
  </si>
  <si>
    <t>Datadog, Inc.</t>
  </si>
  <si>
    <t>$216K OPP: IVP Software - Overall Budget $1.41M vs FC $1.19M
• EDM/Polaris/SecMast SaaS ($1.05M) v/s FC $835K - ($216K)
• BoW placeholders ($360K): Reserved for 2026 initiatives</t>
  </si>
  <si>
    <t>1. $216K opportunity identified.
2. IVP Software - Overall Budget $1.41M vs FC $1.19M
3. EDM/Polaris/SecMast SaaS ($1.05M) v/s FC $835K - ($216K)
4. BoW placeholders ($360K): Reserved for 2026 initiatives
Driver: Unutilized funds for planned initiatives.</t>
  </si>
  <si>
    <t>SALESFORCE COM INC</t>
  </si>
  <si>
    <t>$2K RISK: Salesforce - Budget $52K vs FC $54K . Minor overspend on licensing.</t>
  </si>
  <si>
    <t>1. $2K Risk: Salesforce - Budget $52K vs FC $54K. Minor overspend on licensing.
Driver: Budget variance from unplanned costs.</t>
  </si>
  <si>
    <t>$266K NET OPP:
• IVP ($216K): Budget $1.41M vs FC $1.2M - SaaS favorable ($216K) -budget ($1.05M) v/s Actuals ($835K) + BoW reserves ($300K) for next quarteres
• Alation ($48K): Budget $192K vs FC $144K prepaid timing
• Coforge ($5K): UiPath Budget $101K vs Actual $96K
• Offset: Salesforce $2K overspend</t>
  </si>
  <si>
    <t>1. $266K net opportunity identified.
2. IVP ($216K): Budget $1.41M vs FC $1.2M - SaaS favorable ($216K) - budget ($1.05M) v/s Actuals ($835K) + BoW reserves ($300K) for next quarters
3. Alation ($48K): Budget $192K vs FC $144K prepaid timing
4. Coforge ($5K): UiPath Budget $101K vs Actual $96K
5. Offset: Salesforce $2K overspend
Driver: Prepaid/timing variance.</t>
  </si>
  <si>
    <t>$6K OPP: NCE 365 E5 Software License Q1 Budgte ($9K) v/s Actual ($3K)</t>
  </si>
  <si>
    <t>1. $6K Opportunity: NCE 365 E5 Software License Q1 Budget ($9K) v/s Actual ($3K)
Driver: Budget vs actuals favorable variance.</t>
  </si>
  <si>
    <t>DigiCert, Inc.</t>
  </si>
  <si>
    <t>On track. Certificate costs tracking to budget.</t>
  </si>
  <si>
    <t>On track. Certificate costs tracking to budget.
Driver: Tracking to plan.</t>
  </si>
  <si>
    <t>Lucid Software, Inc.</t>
  </si>
  <si>
    <t>On track. Licensing tracking to budget.</t>
  </si>
  <si>
    <t>On track. Licensing tracking to budget.
Driver: Tracking to plan.</t>
  </si>
  <si>
    <t>Monday.com Ltd</t>
  </si>
  <si>
    <t>$4K OPP: Subscription below budget.</t>
  </si>
  <si>
    <t>1. $4K Opportunity: Subscription below budget.
Driver: Favorable budget vs actual variance.</t>
  </si>
  <si>
    <t>$73K RISK:
• NewRocket $101K - Additional ServiceNow licenses required for 2026. These licenses were initially expected to be covered by Cybersecurity budget; however, it was subsequently confirmed that IT will absorb this cost for 2026. 
Offeset by 
• NewRocket $28K - Budget vs actuals favorable variance on base ServiceNow licensing</t>
  </si>
  <si>
    <t>1. $73K Risk: $101K Additional ServiceNow licenses absorbed by IT not in budget
2. $28K Budget over actuals savings offset
Driver: Budget variance from unplanned costs.</t>
  </si>
  <si>
    <t>$74K RISK:</t>
  </si>
  <si>
    <t xml:space="preserve">• NewRocket $101K - Additional ServiceNow licenses required for 2026. These licenses were initially expected to be covered by Cybersecurity budget; however, it was subsequently confirmed that IT will absorb this cost for 2026. </t>
  </si>
  <si>
    <t>SonarSource SA</t>
  </si>
  <si>
    <t>OPPORTUNITY:</t>
  </si>
  <si>
    <t>VPMA Global Services LLC</t>
  </si>
  <si>
    <t>On track. Control M tracking to budget.</t>
  </si>
  <si>
    <t>On track. Control M tracking to budget.
Driver: Tracking to plan.</t>
  </si>
  <si>
    <t>• NewRocket $28K - Budget vs actuals favorable variance on base ServiceNow licensing</t>
  </si>
  <si>
    <t>$63K NET RISK: Unbudgeted NewRocket ServiceNow ($73K) offset by CDW/Monday ($10K) budget v/s actual.</t>
  </si>
  <si>
    <t>1. $63K net risk: Unbudgeted NewRocket ServiceNow ($73K) offset by CDW/Monday ($10K) budget v/s actual.
Driver: Unbudgeted spend.</t>
  </si>
  <si>
    <t>Allvue Systems, LLC</t>
  </si>
  <si>
    <t>$86K RISK: CPI increase  + tax component not budgeted.</t>
  </si>
  <si>
    <t>1. $86K Risk: CPI increase + tax component not budgeted.
Driver: CPI increase and/or tax components not budgeted.</t>
  </si>
  <si>
    <t>CME Group</t>
  </si>
  <si>
    <t>$92K RISK: SOFR license not in initial budget (new requirement).</t>
  </si>
  <si>
    <t>1. $92K Risk: SOFR license not in initial budget (new requirement).
Driver: Budget variance from unplanned costs.</t>
  </si>
  <si>
    <t>$456K RISK: Sales tax  Jan 1-14 maintenance fees unbudgeted.</t>
  </si>
  <si>
    <t>1. $456K Risk: Sales tax + Jan 1-14 maintenance fees unbudgeted.
Driver: Unbudgeted spend.</t>
  </si>
  <si>
    <t>HSO Enterprise Solutions LLC</t>
  </si>
  <si>
    <t>$600 OPP: Minor favorable variance.</t>
  </si>
  <si>
    <t>1. $600 Opportunity: Minor favorable variance.
Driver: Favorable budget vs actual variance.</t>
  </si>
  <si>
    <t>Macabacus, Inc.</t>
  </si>
  <si>
    <t>On track. Minor variance (&lt;$100).</t>
  </si>
  <si>
    <t>On track. Minor variance (&lt;$100).
Driver: Tracking to plan.</t>
  </si>
  <si>
    <t>$232K RISK: WSO  2025 overusage variance expected to be chargedback to Operations</t>
  </si>
  <si>
    <t>1. $232K Risk: WSO 2025 overusage variance expected to be charged back to Operations
Driver: Actual spend exceeding budget.</t>
  </si>
  <si>
    <t>OneStream Software, LLC</t>
  </si>
  <si>
    <t>$14K OPP: Budget vs actuals favorable.</t>
  </si>
  <si>
    <t>1. $14K Opportunity: Budget vs actuals favorable.
Driver: Favorable budget vs actual variance.</t>
  </si>
  <si>
    <t>Oracle America, Inc.</t>
  </si>
  <si>
    <t>PactFi Inc.</t>
  </si>
  <si>
    <t>$133K RISK: Contract $544K vs $411K POC budget; to capitalize Q2.</t>
  </si>
  <si>
    <t>1. $133K Risk: Contract $544K vs $411K POC budget; to capitalize Q2.
Driver: Budget variance from unplanned costs.</t>
  </si>
  <si>
    <t>$985K NET RISK: Unbudgeted items (CME SOFR $92K, Allvue CPI/tax $86K, Finastra sales tax $456K, PactFi contract variance $133K), WSO 2025 overusage ($232K), offset by minor savings ($15K).</t>
  </si>
  <si>
    <t>1. $985K net risk identified.
2. Unbudgeted items: CME SOFR $92K, Allvue CPI/tax $86K, Finastra sales tax $456K, PactFi contract variance $133K
3. WSO 2025 overusage ($232K)
4. Offset by minor savings ($15K)
Driver: Unbudgeted spend.</t>
  </si>
  <si>
    <t>Inogic Tech India Private Limited</t>
  </si>
  <si>
    <t>On track. License paid, tracking to budget.</t>
  </si>
  <si>
    <t>On track. License paid, tracking to budget.
Driver: Tracking to plan.</t>
  </si>
  <si>
    <t>Siemens Industry Software, Inc.</t>
  </si>
  <si>
    <t>SS&amp;C GIDS, Inc.</t>
  </si>
  <si>
    <t>On track. Software tracking to budget.</t>
  </si>
  <si>
    <t>On track. Software tracking to budget.
Driver: Tracking to plan.</t>
  </si>
  <si>
    <t>Broadridge Output  Solutions</t>
  </si>
  <si>
    <t>$2K RISK: Minor actual over budget variance.</t>
  </si>
  <si>
    <t>1. $2K Risk: Minor actual over budget variance.
Driver: Actual spend exceeding budget.</t>
  </si>
  <si>
    <t>FinDox Inc.</t>
  </si>
  <si>
    <t>$6K OPP: Favorable contract variance.</t>
  </si>
  <si>
    <t>1. $6K Opportunity: Favorable contract variance.
Driver: Favorable budget vs actual variance.</t>
  </si>
  <si>
    <t>Sky Road</t>
  </si>
  <si>
    <t>SuperTrader, Inc.</t>
  </si>
  <si>
    <t>On track. Minor variance (&lt;$3).</t>
  </si>
  <si>
    <t>On track. Minor variance (&lt;$3).
Driver: Tracking to plan.</t>
  </si>
  <si>
    <t>$4K NET OPP: FinDox favorable ($6K) offset by Broadridge ($2K) budget v/s actuals</t>
  </si>
  <si>
    <t>1. $4K net opportunity: FinDox favorable ($6K) offset by Broadridge ($2K) budget v/s actuals
Driver: Favorable budget vs actual variance.</t>
  </si>
  <si>
    <t>BroadVantage</t>
  </si>
  <si>
    <t>ClickTime.com Inc.</t>
  </si>
  <si>
    <t>CloudFlare</t>
  </si>
  <si>
    <t>Equisolve, Inc.</t>
  </si>
  <si>
    <t>Incloud, LLC</t>
  </si>
  <si>
    <t>Litera</t>
  </si>
  <si>
    <t>OpenAI, L.L.C. (“OpenAI”)</t>
  </si>
  <si>
    <t>RFPIO INC. (Responsive)</t>
  </si>
  <si>
    <t>$3K OPP: Actuals below budget.</t>
  </si>
  <si>
    <t>1. $3K Opportunity: Actuals below budget.
Driver: Favorable budget vs actual variance.</t>
  </si>
  <si>
    <t>Seismic Software Inc.</t>
  </si>
  <si>
    <t>$1K OPP: Actuals below budget.</t>
  </si>
  <si>
    <t>1. $1K Opportunity: Actuals below budget.
Driver: Favorable budget vs actual variance.</t>
  </si>
  <si>
    <t>Smarsh Inc.</t>
  </si>
  <si>
    <t>Workday, Inc.</t>
  </si>
  <si>
    <t>$5K NET OPP: RFPIO ($3K)  Seismic ($1K) favorable budget v/s actuals</t>
  </si>
  <si>
    <t>1. $5K net opportunity: RFPIO ($3K) + Seismic ($1K) favorable budget v/s actuals
Driver: Favorable budget vs actual variance.</t>
  </si>
  <si>
    <t>Software Total</t>
  </si>
  <si>
    <t>$772K NET RISK:
RISKS ($1.1M): Finastra tax $456K + WSO overusage $232K + PactFi $133K + CME SOFR $92K + Allvue CPI $86K + NewRocket $73K
OPPS ($329K): IVP/Alation prepaid ($266K) + RFPIO/Seismic ($5K) + FinDox ($4K)</t>
  </si>
  <si>
    <t>1. $772K net risk identified.
2. RISKS ($1.1M): Finastra tax $456K + WSO overusage $232K + PactFi $133K + CME SOFR $92K + Allvue CPI $86K + NewRocket $73K
3. OPPS ($329K): IVP/Alation prepaid ($266K) + RFPIO/Seismic ($5K) + FinDox ($4K)
Driver: CPI increase and/or tax components not budgeted.</t>
  </si>
  <si>
    <t>Sum of Jan FC</t>
  </si>
  <si>
    <t>Sum of Jan AC</t>
  </si>
  <si>
    <t>Sum of Jan Opp/Risk</t>
  </si>
  <si>
    <t>Sum of Feb FC</t>
  </si>
  <si>
    <t>Sum of Feb AC</t>
  </si>
  <si>
    <t>Sum of Feb Opp./Risk</t>
  </si>
  <si>
    <t>Sum of Mar FC</t>
  </si>
  <si>
    <t>Sum of Mar AC</t>
  </si>
  <si>
    <t>Sum of Mar Opp./Risk</t>
  </si>
  <si>
    <t>Sum of Apr FC</t>
  </si>
  <si>
    <t>Sum of Apr AC</t>
  </si>
  <si>
    <t>Sum of Apr Opp./Risk</t>
  </si>
  <si>
    <t>Sum of May FC</t>
  </si>
  <si>
    <t>Sum of May AC</t>
  </si>
  <si>
    <t>Sum of May Opp./Risk</t>
  </si>
  <si>
    <t>Note - All bills are not yet received and recorded for May.</t>
  </si>
  <si>
    <t>DBA / AKA / Passthrough</t>
  </si>
  <si>
    <t>Project ID</t>
  </si>
  <si>
    <t>Project Name</t>
  </si>
  <si>
    <t>Domain</t>
  </si>
  <si>
    <t>Contract Start</t>
  </si>
  <si>
    <t>Contract End</t>
  </si>
  <si>
    <t>Application</t>
  </si>
  <si>
    <t>Project Details</t>
  </si>
  <si>
    <t>Sub-Category2</t>
  </si>
  <si>
    <t>Contract Type</t>
  </si>
  <si>
    <t>MGMT View Category (OneStream)</t>
  </si>
  <si>
    <t>Onestream Account</t>
  </si>
  <si>
    <t>A/P Account Name</t>
  </si>
  <si>
    <t>Accounting Treatment</t>
  </si>
  <si>
    <t>2025 Actuals</t>
  </si>
  <si>
    <t>2026 Initial Budget</t>
  </si>
  <si>
    <t>2026 (Actuals + Forecast)</t>
  </si>
  <si>
    <t>2026 Opportunity</t>
  </si>
  <si>
    <t>2026 Risk</t>
  </si>
  <si>
    <t>Notes</t>
  </si>
  <si>
    <t>Jan FC</t>
  </si>
  <si>
    <t>Feb FC</t>
  </si>
  <si>
    <t>Mar FC</t>
  </si>
  <si>
    <t>Apr FC</t>
  </si>
  <si>
    <t>May FC</t>
  </si>
  <si>
    <t>Jun FC</t>
  </si>
  <si>
    <t>Jul FC</t>
  </si>
  <si>
    <t>Aug FC</t>
  </si>
  <si>
    <t>Sep FC</t>
  </si>
  <si>
    <t>Oct FC</t>
  </si>
  <si>
    <t>Nov FC</t>
  </si>
  <si>
    <t>Dec FC</t>
  </si>
  <si>
    <t>Total - FC</t>
  </si>
  <si>
    <t>Jun-Dec FC</t>
  </si>
  <si>
    <t>Jan AC</t>
  </si>
  <si>
    <t>Feb AC</t>
  </si>
  <si>
    <t>Mar AC</t>
  </si>
  <si>
    <t>Apr AC</t>
  </si>
  <si>
    <t>May AC</t>
  </si>
  <si>
    <t>Jun AC</t>
  </si>
  <si>
    <t>Jul AC</t>
  </si>
  <si>
    <t>Aug AC</t>
  </si>
  <si>
    <t>Sep AC</t>
  </si>
  <si>
    <t>Oct AC</t>
  </si>
  <si>
    <t>Nov AC</t>
  </si>
  <si>
    <t>Dec AC</t>
  </si>
  <si>
    <t>Total Actuals</t>
  </si>
  <si>
    <t>Jan Opp/Risk</t>
  </si>
  <si>
    <t>Feb Opp./Risk</t>
  </si>
  <si>
    <t>Mar Opp./Risk</t>
  </si>
  <si>
    <t>Apr Opp./Risk</t>
  </si>
  <si>
    <t>May Opp./Risk</t>
  </si>
  <si>
    <t>Jun Opp./Risk</t>
  </si>
  <si>
    <t>Jul Opp./Risk</t>
  </si>
  <si>
    <t>Aug Opp./Risk</t>
  </si>
  <si>
    <t>Sep Opp./Risk</t>
  </si>
  <si>
    <t>Oct Opp./Risk</t>
  </si>
  <si>
    <t>Nov Opp./Risk</t>
  </si>
  <si>
    <t>Dec Opp./Risk</t>
  </si>
  <si>
    <t>Total Opp./Risk</t>
  </si>
  <si>
    <t>Notes - Swati</t>
  </si>
  <si>
    <t>Jan-May Actuals</t>
  </si>
  <si>
    <t xml:space="preserve">Jan-May Forecast </t>
  </si>
  <si>
    <t>Forecast Jun-Dec</t>
  </si>
  <si>
    <t>Forecast Jan-May</t>
  </si>
  <si>
    <t>Actual+Forecast</t>
  </si>
  <si>
    <t>Contract</t>
  </si>
  <si>
    <t>Microsoft D365 F&amp;O and CRM</t>
  </si>
  <si>
    <t>Prj000350</t>
  </si>
  <si>
    <t>Support - Infrastructure for Tech</t>
  </si>
  <si>
    <t>CRM Lic</t>
  </si>
  <si>
    <t>Non-Labor</t>
  </si>
  <si>
    <t>Information Technology</t>
  </si>
  <si>
    <t>Software - Licenses</t>
  </si>
  <si>
    <t>Annual Prepaid</t>
  </si>
  <si>
    <t>Renewed 6/1/25, anniversary date true-up-CRM (Prepaid)</t>
  </si>
  <si>
    <t>F&amp;O Lic</t>
  </si>
  <si>
    <t>Renewed 6/1/25, anniversary date true-up-F&amp;O (Prepaid)</t>
  </si>
  <si>
    <t>event driven</t>
  </si>
  <si>
    <t>Prj000266</t>
  </si>
  <si>
    <t>Support - Internal Tech Workforce Activities</t>
  </si>
  <si>
    <t>Cos, PMO &amp; Enterprise Technology</t>
  </si>
  <si>
    <t>NA</t>
  </si>
  <si>
    <t>Travel &amp; Entertainment</t>
  </si>
  <si>
    <t>Travel &amp; Entertainment Expense</t>
  </si>
  <si>
    <t>T&amp;E (Multiple)</t>
  </si>
  <si>
    <t>Refer to Concur</t>
  </si>
  <si>
    <t>$100K not to be utilised as per Leon's instructions</t>
  </si>
  <si>
    <t>Concur project reimbursement cost can't be predicted, hence buffer kept in Dec</t>
  </si>
  <si>
    <t>Prj000344</t>
  </si>
  <si>
    <t>Support - Prod support for Finance Applications</t>
  </si>
  <si>
    <t>Finance &amp; Treasury Technology</t>
  </si>
  <si>
    <t>Labor</t>
  </si>
  <si>
    <t>RTB- MS</t>
  </si>
  <si>
    <t>Outsourced</t>
  </si>
  <si>
    <t>Run the Business Contractors and Outsource Services</t>
  </si>
  <si>
    <t>RTB Expenses - Contractor</t>
  </si>
  <si>
    <t>Monthly Expensed</t>
  </si>
  <si>
    <t>check for contract copy</t>
  </si>
  <si>
    <t>Budget v/s Actuals, additional work for April'26 invoiced in May</t>
  </si>
  <si>
    <t>Control M</t>
  </si>
  <si>
    <t>Annual Expensed</t>
  </si>
  <si>
    <t>Managed Service - Core</t>
  </si>
  <si>
    <t>Support Services</t>
  </si>
  <si>
    <t>Potential Opportunity</t>
  </si>
  <si>
    <t>Potential Opp.</t>
  </si>
  <si>
    <t>Prj000603</t>
  </si>
  <si>
    <t>Implement - Cash Matching Recon Solution</t>
  </si>
  <si>
    <t>Solvexia Bank Reconciliation ImplementationFees</t>
  </si>
  <si>
    <t>New risk, unbudgeted - cash matching Gtreausry</t>
  </si>
  <si>
    <t>LevPro</t>
  </si>
  <si>
    <t>Prj000290</t>
  </si>
  <si>
    <t>Support - Asset Management Applications</t>
  </si>
  <si>
    <t>Asset Management Tech</t>
  </si>
  <si>
    <t>Monthly</t>
  </si>
  <si>
    <t>CTB Expenses - Consulting</t>
  </si>
  <si>
    <t>Monthly Expensed; Potential Opportunity</t>
  </si>
  <si>
    <t>For LevPro Support work</t>
  </si>
  <si>
    <t>This cost is not fixed and will be fluctuating per month,</t>
  </si>
  <si>
    <t>Managed Service - Network</t>
  </si>
  <si>
    <t>Network Managed Services (Network Operation Centre (NOC))</t>
  </si>
  <si>
    <t>Budget v/s Actuals, revised rate as per new contract, ad hoc 240/hr charge for engeenering support part of contract</t>
  </si>
  <si>
    <t>MS Network</t>
  </si>
  <si>
    <t xml:space="preserve">  </t>
  </si>
  <si>
    <t>Budget v/s Actuals</t>
  </si>
  <si>
    <t>Lumen</t>
  </si>
  <si>
    <t>Utility</t>
  </si>
  <si>
    <t>Office expense</t>
  </si>
  <si>
    <t>General Office Expense</t>
  </si>
  <si>
    <t>Office Expense - Telephone &amp; FAX</t>
  </si>
  <si>
    <t>Quarterly Expensed</t>
  </si>
  <si>
    <t>Zoom</t>
  </si>
  <si>
    <t>Contract lower than 3+9</t>
  </si>
  <si>
    <t>Invoice Driven</t>
  </si>
  <si>
    <t>Prj000381</t>
  </si>
  <si>
    <t>Support - Prod Support for Credit Apps</t>
  </si>
  <si>
    <t>Credit Technology</t>
  </si>
  <si>
    <t>Subscriptions</t>
  </si>
  <si>
    <t>Subscription Services</t>
  </si>
  <si>
    <t>Office Expense</t>
  </si>
  <si>
    <t>Subscription</t>
  </si>
  <si>
    <t>Prj000426</t>
  </si>
  <si>
    <t>Implement - Minor Enhancements for Sales</t>
  </si>
  <si>
    <t>2 Yrs yr1 11845 (paid in 2025) &amp; yr2 12200 (to be paid in 2026)</t>
  </si>
  <si>
    <t>Sales VAT Tax</t>
  </si>
  <si>
    <t>HST &amp; sales VAT tax</t>
  </si>
  <si>
    <t>Sales Tax VAT</t>
  </si>
  <si>
    <t>Sales Tax Expense</t>
  </si>
  <si>
    <t>Parked for 2026 Sales Tax</t>
  </si>
  <si>
    <t>Nterone</t>
  </si>
  <si>
    <t>Training/Seminars/Conference Spend</t>
  </si>
  <si>
    <t>External Training</t>
  </si>
  <si>
    <t>Prj000403</t>
  </si>
  <si>
    <t>Support - L2 CoE Management for Tech Horizontals</t>
  </si>
  <si>
    <t>Tech Shared Services</t>
  </si>
  <si>
    <t>L2 SOW FPC</t>
  </si>
  <si>
    <t>L2 DBA resource starting July 1 to expand coverage</t>
  </si>
  <si>
    <t>T&amp;M</t>
  </si>
  <si>
    <t/>
  </si>
  <si>
    <t>D365 CRM</t>
  </si>
  <si>
    <t>RTB- T&amp;M</t>
  </si>
  <si>
    <t>Budget v/s Actuals, allocations are based on capacity planning forecast</t>
  </si>
  <si>
    <t>1Rivet</t>
  </si>
  <si>
    <t>Support SOW + Desktop Support- T&amp;M, QA is not part of our budget</t>
  </si>
  <si>
    <t>Danny's share in initial contract was $372K, but 2 additional resources were hired to replace Acenture resources, difference $41.6K between budget ($3.65M) and Actual contract( $3.7M) has been added for Danny to cover partial risk of swap, Arif is added separately while Shailesh annual forecast is $90640 but after adjusting against $41600 additional unbudgeted risk is $48640. Saving of $99/hour on Piyush exit from May (replaced by Survesh)</t>
  </si>
  <si>
    <t>Budget v/s Actuals, saving of $21K/m on Nilesh's exit, Akram's exit saving from Aug $112</t>
  </si>
  <si>
    <t>Crossfuze</t>
  </si>
  <si>
    <t>Prj000467</t>
  </si>
  <si>
    <t>Support - Enterprise Tech Helpdesk</t>
  </si>
  <si>
    <t>Revised contract - $5950/pm from June previously $15K/pm, new contract aligns more with cost as per actual consumption</t>
  </si>
  <si>
    <t>Prj000404</t>
  </si>
  <si>
    <t>Support - QA CoE Management for Tech Horizontals</t>
  </si>
  <si>
    <t>QA SOW FPC</t>
  </si>
  <si>
    <t>QA SOW FPC - [KA - Feb23] - Updated forecast from Mar to Dec based on the new contract that superseeded the original one</t>
  </si>
  <si>
    <t>QA book work reallocation from L1/L2 support per new QA contract that superseded original.
This is a category shift - work previously in Labor/T&amp;M now flows through MS under the new QA contract structure. The offsetting $70K opportunity in Labor/T&amp;M category partially mitigates this risk.</t>
  </si>
  <si>
    <t>T&amp;M - [KA - Feb 23] - Forcast updated from Feb to Dec, based on Raymond's exit. This T&amp;M forecast is adjusted in the new QA contract. Adjusted monthly rate starting Apr based on Shanky's exit</t>
  </si>
  <si>
    <t>Raymonds exit gave 26k T&amp;M oppurtunity since Feb but QA resources were hired at same cost, QA book work reallocation from L1/L2 support per new QA contract that superseded original.</t>
  </si>
  <si>
    <t>Opp offset with 1Rivet risk (Swati replacinf Shanky) + Budget v/s Actuals</t>
  </si>
  <si>
    <t>New UAT hired, New 2026 BoW utilised, WSO</t>
  </si>
  <si>
    <t>New UAT lead Anand, WSO placeholder utilised</t>
  </si>
  <si>
    <t>Centry CLO</t>
  </si>
  <si>
    <t>License</t>
  </si>
  <si>
    <t>Software - Core</t>
  </si>
  <si>
    <t>Quarterly Prepaid</t>
  </si>
  <si>
    <t>Quarterly Prepaid, Manor park license fees unbudgeted</t>
  </si>
  <si>
    <t>Budget v/s Actuals, ends this year will be renewed next year for half the cost of this year</t>
  </si>
  <si>
    <t>LIQ</t>
  </si>
  <si>
    <t>Prj000469</t>
  </si>
  <si>
    <t>Support - Prod Support for Ops Apps</t>
  </si>
  <si>
    <t>Operations Technology</t>
  </si>
  <si>
    <t>LIQ - Loan IQ</t>
  </si>
  <si>
    <t>Recurring License Fee/Maintenance for the period 1-Jan-2026 to 14-Jan-2026 and Subscription Fees for the period 15-Jan-2026 to 14-Jan-2027</t>
  </si>
  <si>
    <t>Sales tax unbudgeted + actual over budget estimated</t>
  </si>
  <si>
    <t>IVP</t>
  </si>
  <si>
    <t>Prj000458</t>
  </si>
  <si>
    <t>Support - Data Analytics Office</t>
  </si>
  <si>
    <t>Polaris/EDM/SecMast Core</t>
  </si>
  <si>
    <t>IVP EDM, Polaris, Security Master Year 3 SaaS Fees/ Production License Fee + Annual Consulting Fee for IVP EDM, Polaris, Security Master-Prepaid</t>
  </si>
  <si>
    <t>Prj000548</t>
  </si>
  <si>
    <t>Implement - Reporting for Internal Audit</t>
  </si>
  <si>
    <t>Polaris/EDM/SecMast Hosting</t>
  </si>
  <si>
    <t>Polaris/EDM/SecMast- Prod. &amp; UAT Hosting Fee-Prepaid till Jun2026, to be renewed post Jun2026</t>
  </si>
  <si>
    <t>Polaris/EDM/SecMast- Disaster Recovery Hosting Fee-Prepaid till Apr2027, to be renewed post Apr2027</t>
  </si>
  <si>
    <t>Prj000446</t>
  </si>
  <si>
    <t>Implement - Minor Enhancements for Enterprise Apps</t>
  </si>
  <si>
    <t>Workday</t>
  </si>
  <si>
    <t>Misposting PREPAID in 2025; paid $419,687/- in Mar2025. Renewed as Prepaid in Mar 2026.-Added opportunity in Dec for extra support work as rec. my Melissa</t>
  </si>
  <si>
    <t>Extra added in Dec for extra support work requested by Melissa</t>
  </si>
  <si>
    <t>Monthly Incremental</t>
  </si>
  <si>
    <t>Monthly Incremental - Potential Opportunity-Monthly Incremental - Potential Opportunity</t>
  </si>
  <si>
    <t>Fluctuation per month, Dec has buffer</t>
  </si>
  <si>
    <t>Prj000342</t>
  </si>
  <si>
    <t>Support - Site Reliability Engineering for Tech</t>
  </si>
  <si>
    <t>MS Cloud</t>
  </si>
  <si>
    <t>Managed Service - Cloud</t>
  </si>
  <si>
    <t>3 YR $16MM Commitment;
Potential Incremental spend for Project Evolution-MS Cloud</t>
  </si>
  <si>
    <t>Fluctuation per month, Risk adjusted in Dec</t>
  </si>
  <si>
    <t>SAI360</t>
  </si>
  <si>
    <t>Software License</t>
  </si>
  <si>
    <t>Prepaid-Prepaid</t>
  </si>
  <si>
    <t>CDW (b)</t>
  </si>
  <si>
    <t>NCE M365 Jan - Dec Mthly Invoice</t>
  </si>
  <si>
    <t>NCE M365 E5</t>
  </si>
  <si>
    <t>Microsoft 365 E5 &amp; Teams Room Pro</t>
  </si>
  <si>
    <t>Proofpoint</t>
  </si>
  <si>
    <t>Proofpoint Sftwr, paid in 2025. To be renewed in Q3/Q4 2026</t>
  </si>
  <si>
    <t>proofpoint patrol for organisation</t>
  </si>
  <si>
    <t>CDW Microsoft (a)</t>
  </si>
  <si>
    <t>Syskit Point</t>
  </si>
  <si>
    <t>Syskit Point Sftwr</t>
  </si>
  <si>
    <t>Prj000358</t>
  </si>
  <si>
    <t>Support - Security Operations for Cybersecurity</t>
  </si>
  <si>
    <t>Misc Other Software - New Joiners-Potential Opp</t>
  </si>
  <si>
    <t>Cloud Navigator</t>
  </si>
  <si>
    <t>IAM Cloud – Cloud Drive Mapper Corporate 300 users - 1 year</t>
  </si>
  <si>
    <t>Maybe an opportunity unless any further contract pending</t>
  </si>
  <si>
    <t>FinDox is now Octus</t>
  </si>
  <si>
    <t>FinDox Core</t>
  </si>
  <si>
    <t>Annual Software</t>
  </si>
  <si>
    <t>Total contract - 342k IT cost 232k recharge to Liquid Credit 109k</t>
  </si>
  <si>
    <t>Saving on budget v/s actual, prepaid cost of 232k expected for 12 months. Kindly spread for 9 months, total 342k our cost 232k, 109k is of liquid credit team</t>
  </si>
  <si>
    <t>AKA Enterprises</t>
  </si>
  <si>
    <t>Ontra</t>
  </si>
  <si>
    <t>Ontra / Insight Funds</t>
  </si>
  <si>
    <t>Prepaid in 2025-confirm if IT is taking this cost in 2026</t>
  </si>
  <si>
    <t>Recon, this annual cost was projected at 96K but actuals cost was 101k since over threshold it is spread over 12 months as prepaid from May'26-Apr'26 in accounting records</t>
  </si>
  <si>
    <t>Prepaid, to be deferred</t>
  </si>
  <si>
    <t>ExpMgr Hositng</t>
  </si>
  <si>
    <t>ExpMgr</t>
  </si>
  <si>
    <t>Navigate</t>
  </si>
  <si>
    <t>Maplytics</t>
  </si>
  <si>
    <t>Prj000427</t>
  </si>
  <si>
    <t>Implement - Minor Enhancements for Marketing</t>
  </si>
  <si>
    <t>Lucid Software</t>
  </si>
  <si>
    <t>Prj000410</t>
  </si>
  <si>
    <t>Support - Tech Enablement 2026</t>
  </si>
  <si>
    <t>Lucidscale Team / Suite</t>
  </si>
  <si>
    <t xml:space="preserve">  Lucid Suite</t>
  </si>
  <si>
    <t xml:space="preserve">  Lucid Suite and Cloud Accelerator</t>
  </si>
  <si>
    <t>Macabacus</t>
  </si>
  <si>
    <t>XLS Modeler - Annual</t>
  </si>
  <si>
    <t>Suit License</t>
  </si>
  <si>
    <t>TBD could be CDW Microsoft (a)</t>
  </si>
  <si>
    <t>MS Enterprise</t>
  </si>
  <si>
    <t>Entpr Lic</t>
  </si>
  <si>
    <t>Renewed 6/1/25, anniversary date true-up-Entpr Lic (Prepaid)</t>
  </si>
  <si>
    <t>Monday.com</t>
  </si>
  <si>
    <t>Management Enterprise 600 Seats</t>
  </si>
  <si>
    <t>Paid as Prepaid in 2025; to be renewed in 2026-Paid as Prepaid in 2025; to be renewed in 2026</t>
  </si>
  <si>
    <t>Unbudgeted tax</t>
  </si>
  <si>
    <t>ServiceNow Liac</t>
  </si>
  <si>
    <t>ServiceNow Agile Team + Various</t>
  </si>
  <si>
    <t>Software License 1</t>
  </si>
  <si>
    <t>Prepaid in 2025; to be renewed in Dec 2026-Prepaid in 2025; to be renewed in Dec 2026</t>
  </si>
  <si>
    <t>This was to be charged back to Cyber, but now tech has to bear the cost. Danny's email is proof</t>
  </si>
  <si>
    <t>ServiceNow Security Operations Enterprise - VR NRUSCINV-000450</t>
  </si>
  <si>
    <t>Amount per Invoice</t>
  </si>
  <si>
    <t>Paid for 2025 in Dec 2024, need to renew in 2026-Paid for 2025 in Dec 2024, need to renew in 2026</t>
  </si>
  <si>
    <t>Strategic Portfolio Management (SPM) Pro</t>
  </si>
  <si>
    <t>Software License 3</t>
  </si>
  <si>
    <t>Strategic Portfolio Management (SPM) Pro, paid in Dec2025, to be renewed in Dec2026-Strategic Portfolio Management (SPM) Pro, paid in Dec2025, to be renewed in Dec2026</t>
  </si>
  <si>
    <t>Oracle</t>
  </si>
  <si>
    <t xml:space="preserve">Oracle Java </t>
  </si>
  <si>
    <t>LIQ Java</t>
  </si>
  <si>
    <t>Responsive</t>
  </si>
  <si>
    <t>Salesforce</t>
  </si>
  <si>
    <t>Tableau Creator (5) + Viewer (40) + Explorer (10)</t>
  </si>
  <si>
    <t>SAAS Lics</t>
  </si>
  <si>
    <t>Mendix</t>
  </si>
  <si>
    <t>Wealth Distribution Tool (Vendor TBD)</t>
  </si>
  <si>
    <t>Walletshare Alts</t>
  </si>
  <si>
    <t>Walletshare renews Sep2026, Set as Prepaid in 2025-Walletshare renews Sep2026, Set as Prepaid in 2025</t>
  </si>
  <si>
    <t>Sonarsource</t>
  </si>
  <si>
    <t>SHI</t>
  </si>
  <si>
    <t>Quest Software &amp; Maintenance</t>
  </si>
  <si>
    <t>Quest Software- One Identity-Cost of Quest Sofware for 2 years - material diff if we renew for 1 vs 2 yrs</t>
  </si>
  <si>
    <t>Adobe</t>
  </si>
  <si>
    <t xml:space="preserve"> Erwin Data Modeler License</t>
  </si>
  <si>
    <t>Erwin Data Modeler License</t>
  </si>
  <si>
    <t>Rocket Softwre</t>
  </si>
  <si>
    <t>Desktop</t>
  </si>
  <si>
    <t>Rocket Software - 7K/Yr</t>
  </si>
  <si>
    <t>Coforge UI Path</t>
  </si>
  <si>
    <t>UiPath</t>
  </si>
  <si>
    <t>UiPath Sftwr-UiPath Sftwr</t>
  </si>
  <si>
    <t>Smarsh</t>
  </si>
  <si>
    <t>Levpro</t>
  </si>
  <si>
    <t>estimated</t>
  </si>
  <si>
    <t>Software (Prepaid)</t>
  </si>
  <si>
    <t>Digicert</t>
  </si>
  <si>
    <t>DataDog</t>
  </si>
  <si>
    <t>Sftwr- Potential Risk to look for</t>
  </si>
  <si>
    <t>Budget v/s actuals</t>
  </si>
  <si>
    <t>Sftwr- Mis-posting Prepaid</t>
  </si>
  <si>
    <t>ClickTime</t>
  </si>
  <si>
    <t>Renewed/ paid in Dec2025, to be renewed in Dec2026-Renewed/ paid in Dec2025, to be renewed in Dec2026</t>
  </si>
  <si>
    <t>15% - Chicago Personal Property Lease Transaction Tax (PPLTT)</t>
  </si>
  <si>
    <t>Think-Cell</t>
  </si>
  <si>
    <t>Think-cell parnership</t>
  </si>
  <si>
    <t>Think Cell</t>
  </si>
  <si>
    <t>Thinkcell renewal higher than budgted</t>
  </si>
  <si>
    <t>TIBCO Spotfire</t>
  </si>
  <si>
    <t>Spotfire</t>
  </si>
  <si>
    <t>Production</t>
  </si>
  <si>
    <t>Paid as prepaid in 2025, to be renewed in Aug/Sep 2026</t>
  </si>
  <si>
    <t>Potential Opp.- we moved to Equisolve to host our website</t>
  </si>
  <si>
    <t>Litera Compare Desktop</t>
  </si>
  <si>
    <t>Alation</t>
  </si>
  <si>
    <t>Contract is Apr-Mar Budegetd 26 - 191K v/s Actual 172K</t>
  </si>
  <si>
    <t>$43K is prepaid for Jan-Mar 2027, actual saving is $19K budet vs actuals</t>
  </si>
  <si>
    <t>BoardVantage</t>
  </si>
  <si>
    <t>Software for Board of Directors - Potential Opportunity - No activity in 2025 as well</t>
  </si>
  <si>
    <t>Modelling fees</t>
  </si>
  <si>
    <t>No cost noted in Mar &amp; Apr</t>
  </si>
  <si>
    <t>TBC with Danny</t>
  </si>
  <si>
    <t>Comprised of 7 different invoices - SmartNet, Prisma and PA until Jul'25; New Price effective Aug'25 for 5 yr contract
5 years starting Aug is only Prisma and PA. No SmartNet.</t>
  </si>
  <si>
    <t>Polaris/EDM/SecMast Core l2</t>
  </si>
  <si>
    <t>Managed Services</t>
  </si>
  <si>
    <t>IVP L2 Tech MS</t>
  </si>
  <si>
    <t>Budget v/s Actuals, incremental recon hosting fees CPI -5.3% since May</t>
  </si>
  <si>
    <t>Data MS</t>
  </si>
  <si>
    <t>Data Managed Srvc</t>
  </si>
  <si>
    <t>Errouneously paid by BDC CC -32K, Incremental spend 20K-LoungeLizard budget transferred to Equisolve</t>
  </si>
  <si>
    <t>Addditional work - Site Refresh in March $9.9K &amp; Form modification in April $195</t>
  </si>
  <si>
    <t>S&amp;P Global</t>
  </si>
  <si>
    <t>RISK AUM-Potential Dec. Opp WSO</t>
  </si>
  <si>
    <t>WSO Web service + Orion CLO + Levpro implementation $10k in March</t>
  </si>
  <si>
    <t>MS Core, Co-pilot, Azure-Prepaid, renewed in June at $687K 1 year</t>
  </si>
  <si>
    <t>Renewal at $687K from June26-May-27, paid upfront</t>
  </si>
  <si>
    <t>Infra Svcs &amp; User Enblt Tech</t>
  </si>
  <si>
    <t>Prj Mgmt T&amp;M</t>
  </si>
  <si>
    <t>T&amp;M IVP Mgmt (TOM)- Rahul &amp; Vaibhav + 2</t>
  </si>
  <si>
    <t>Budgeted only for 2 headcount, actual contract was signed for 4 headcounts</t>
  </si>
  <si>
    <t>Prj000472</t>
  </si>
  <si>
    <t>Implement - Build Pipes from CORE Systems to IVP</t>
  </si>
  <si>
    <t>Polaris/EDM/SecMast Core Implementation</t>
  </si>
  <si>
    <t>RTB- FPC</t>
  </si>
  <si>
    <t>FPC- IVP Implementation Post Contract - Capitalizable-160K per month from Jan to June 2026 - Capitalizable</t>
  </si>
  <si>
    <t>Intellibus</t>
  </si>
  <si>
    <t>CTB- T&amp;M</t>
  </si>
  <si>
    <t>Consulting</t>
  </si>
  <si>
    <t>Consulting Change the Business</t>
  </si>
  <si>
    <t>T&amp;M - Intellibus</t>
  </si>
  <si>
    <t>FPC TBD Dependent on Investor Reporting Integration into Seismic - Prepaid</t>
  </si>
  <si>
    <t>Capitalization</t>
  </si>
  <si>
    <t>Software Capitalization</t>
  </si>
  <si>
    <t>CTB- FPC</t>
  </si>
  <si>
    <t>Software Cap</t>
  </si>
  <si>
    <t>Management cap on Capitalized Software</t>
  </si>
  <si>
    <t>Capitalisation target</t>
  </si>
  <si>
    <t>Amortization</t>
  </si>
  <si>
    <t>Hosting Agreement Amortization</t>
  </si>
  <si>
    <t>Amortization - Capitalized costs for hosting arrangements</t>
  </si>
  <si>
    <t>Amortisation expense relating to pre-2025 capitalised costs was missed from budget. We recommend offsetting this gap against a placeholder.</t>
  </si>
  <si>
    <t>All the amortization lines have been merged to one, source is capitalization schedule shared by Darlene. This risk could be setoff againt PH and any other opp on YTD</t>
  </si>
  <si>
    <t>PactFi Annual Platform Fee</t>
  </si>
  <si>
    <t>Year 1 of 3: 1/26/26 to 1/25/27 - Capitalizable</t>
  </si>
  <si>
    <t>ACC Business</t>
  </si>
  <si>
    <t>Network</t>
  </si>
  <si>
    <t>We are trying to get the invoices from vendor, incorporate new contract</t>
  </si>
  <si>
    <t>In CAD</t>
  </si>
  <si>
    <t>Office Exp / Supplies / Misc Software</t>
  </si>
  <si>
    <t>Office Exp / Supplies / Misc Software/ Printing/ Photocopying/ Stationery</t>
  </si>
  <si>
    <t>AI Budget reclass pending</t>
  </si>
  <si>
    <t>Claude purchased by Danny for AI Initiative $6495</t>
  </si>
  <si>
    <t>Libor Historical (may be Tax Invoice)</t>
  </si>
  <si>
    <t>Libor Historical Data</t>
  </si>
  <si>
    <t>Office Expense - IT Subscriptions</t>
  </si>
  <si>
    <t>For Libor Historical Data tax inovice</t>
  </si>
  <si>
    <t>General Exp</t>
  </si>
  <si>
    <t>Webex service  has been cancelled in Dec'25, confirmed by Danny</t>
  </si>
  <si>
    <t>in AUD</t>
  </si>
  <si>
    <t>LSEG / Refinitive</t>
  </si>
  <si>
    <t>Market Data</t>
  </si>
  <si>
    <t>Hardware - Desktop Equipment</t>
  </si>
  <si>
    <t>Budget v/s Actuals, Techsmith renewal for 1 year included in April</t>
  </si>
  <si>
    <t>Papercut SaaS Maintenance</t>
  </si>
  <si>
    <t>Not part of original budget; risk added, category updated from software to hardware since laptop purchase, Unplanned expansion not budgeted by HR and Tech</t>
  </si>
  <si>
    <t>Surface laptop 7, Logitech keyboard and Mouse, Starlite Cable, Monitor unbudgeted, 3 laptops to be charged back to Private Credit</t>
  </si>
  <si>
    <t>Variable Monthly Usage</t>
  </si>
  <si>
    <t>Variable Monthly Usage - Not budgeted</t>
  </si>
  <si>
    <t>Hard Risk, unbudgeted</t>
  </si>
  <si>
    <t>Prj000228</t>
  </si>
  <si>
    <t>Implement - Portfolio Optimization Tool for LC</t>
  </si>
  <si>
    <t>Capitalizable</t>
  </si>
  <si>
    <t>Prj000556</t>
  </si>
  <si>
    <t>Implement - QA CoE to Additional Platforms</t>
  </si>
  <si>
    <t>New 2026 BoW</t>
  </si>
  <si>
    <t>Placeholder funds for new initiatives have been forecasted as per Leon's instruction for utilisation and potential opportunities</t>
  </si>
  <si>
    <t>Prj000353</t>
  </si>
  <si>
    <t>Implement - L1/L2 CoE for Additional Platforms</t>
  </si>
  <si>
    <t>Prj000489</t>
  </si>
  <si>
    <t>Implement - Strategic Modules for LIQ</t>
  </si>
  <si>
    <t>New 2026 BoW (Capitalizable)</t>
  </si>
  <si>
    <t>Prj000482</t>
  </si>
  <si>
    <t>Implement - WSO Own Instance (AM)</t>
  </si>
  <si>
    <t>New 2026 BoW, WSO not to be utilised</t>
  </si>
  <si>
    <t>Placeholder funds for new initiatives have been forecasted as per Leon's instruction for utilisation and potential opportunities. Onetime implementation cost for WSO migration web to hosting</t>
  </si>
  <si>
    <t>New 2026 BoW, WSO</t>
  </si>
  <si>
    <t xml:space="preserve"> Onetime implementation cost for WSO migration web to hosting,$10K is part of WSO web to hosting transistion and should be part of $504K</t>
  </si>
  <si>
    <t>WSO Migration – IVP Apps Integration, New 2026 BoW utilised</t>
  </si>
  <si>
    <t>New FPC &amp; T&amp;M contract with IVP for WSO Migration, we have allocated unutilised funds from Markit to this contract and not considered this as risk</t>
  </si>
  <si>
    <t>Prj000211</t>
  </si>
  <si>
    <t>Implement - WSO Balance Sheet Mig &amp; Reporting</t>
  </si>
  <si>
    <t>New 2026 BoW (Capitalizable)  Full opportunity as per Leon</t>
  </si>
  <si>
    <t>Prj000477</t>
  </si>
  <si>
    <t>Implement - Odyssey Reporting &amp; Exception Mgmt</t>
  </si>
  <si>
    <t>New FPC BOW</t>
  </si>
  <si>
    <t>New 2026 BoW full opportunity as per Leon</t>
  </si>
  <si>
    <t>Prj000447</t>
  </si>
  <si>
    <t>Implement - Minor Enhancements SNOW - Phase 2</t>
  </si>
  <si>
    <t>ServiceNow</t>
  </si>
  <si>
    <t>Monthly SOW</t>
  </si>
  <si>
    <t>Prj000476</t>
  </si>
  <si>
    <t>Implement - Reporting to Support DGC</t>
  </si>
  <si>
    <t>Tableau Licenses</t>
  </si>
  <si>
    <t>Paid till Mar2026, might need till 03/2027- Capitalizable</t>
  </si>
  <si>
    <t>Prj000402</t>
  </si>
  <si>
    <t>Implement - Minor Enhancements for Data Services</t>
  </si>
  <si>
    <t>Prj000278</t>
  </si>
  <si>
    <t>Implement - Fund Acctn Modules to Support BS Transition</t>
  </si>
  <si>
    <t>Prj000296</t>
  </si>
  <si>
    <t>Support - PMO Governance &amp; Reporting Activities</t>
  </si>
  <si>
    <t>Unbudgeted tax, new 2026 bow utilised</t>
  </si>
  <si>
    <t>T&amp;M- Implementing CoE for L1/L2 Platforms, new 2026 bow</t>
  </si>
  <si>
    <t>Changed from T&amp;M to FPC as per Shanky's KT, March billing to decide final Opp/Risk</t>
  </si>
  <si>
    <t>New 2026 BoW (batch orchestraion work)</t>
  </si>
  <si>
    <t>2026 Laptops - Danny- Risk</t>
  </si>
  <si>
    <t>New laptops, unbudgeted</t>
  </si>
  <si>
    <t>BMS</t>
  </si>
  <si>
    <t>Prepaid 2026</t>
  </si>
  <si>
    <t>OneStream</t>
  </si>
  <si>
    <t>S&amp;P Global/ WSO</t>
  </si>
  <si>
    <t>WSO Web Services - Subs/ WSO Web/AUM/SubVar- Potential Risk</t>
  </si>
  <si>
    <t>Unbudgeted risk for 2025 AUM Overusage to be charged back to Operations</t>
  </si>
  <si>
    <t>T&amp;M-T&amp;M</t>
  </si>
  <si>
    <t>T&amp;M- H2-2026 Risk unbudgeted extension</t>
  </si>
  <si>
    <t>Contract expected to extend in second half of 2026, unbudgeted</t>
  </si>
  <si>
    <t>Renaissance, H2 unbudgeted extension</t>
  </si>
  <si>
    <t>Contract expected to extend in second half of 2026, unbudgeted.  Viabhav-0 .5 Rahul-0 .5 Vedang, + 2 Offshore FTE</t>
  </si>
  <si>
    <t>Hard Opportunity- Variance from OneStream Budget vs IT Budget</t>
  </si>
  <si>
    <t>This place holder is a difference between Onestream the amount initiall budgeted as part of 5 year projection v/s 2026 budget finalised by previous budget preparers, initially the amount was $10848, Then added $2048 to total same as final budget in onestream and final approved amount</t>
  </si>
  <si>
    <t>Swati Yadav</t>
  </si>
  <si>
    <t>Cost to be setoff with Coforge (Swati replacing Shanky)</t>
  </si>
  <si>
    <t>Danny's extra 1Rivet HC - Risk</t>
  </si>
  <si>
    <t>Extra resource requested by Danny from 1Rivet to replace Acenture resources, unbudgeted (Arif Inamdar)</t>
  </si>
  <si>
    <t>Nore</t>
  </si>
  <si>
    <t>Prj000469-Support - Prod Support for Ops Apps</t>
  </si>
  <si>
    <t>Nore is data source provider for Refinitive - not part of initial budget</t>
  </si>
  <si>
    <t>This was not part of initial budget</t>
  </si>
  <si>
    <t>Unbudgeted, New risk - CME Group SOFR License, $1K per month charge back expected from</t>
  </si>
  <si>
    <t>SUBTOTAL</t>
  </si>
  <si>
    <t>May-Dec FC</t>
  </si>
  <si>
    <t>Budget</t>
  </si>
  <si>
    <t>AI Initiatives</t>
  </si>
  <si>
    <t>Prj000599</t>
  </si>
  <si>
    <t>Implement - Antares AI Capabilities</t>
  </si>
  <si>
    <t>Capco</t>
  </si>
  <si>
    <t>Milestone</t>
  </si>
  <si>
    <t xml:space="preserve">Nimble Gravity </t>
  </si>
  <si>
    <t>MS -Core</t>
  </si>
  <si>
    <t>Milestone - FPC</t>
  </si>
  <si>
    <t>Nimble Gravity cost is $0 to Antares because the full $84.4K project is funded by End Customer Investment Funds (Microsoft program)</t>
  </si>
  <si>
    <t>Graphwise or GraphDB</t>
  </si>
  <si>
    <t>Graph DB</t>
  </si>
  <si>
    <t>POC</t>
  </si>
  <si>
    <t>Contract is of 3 years with different amounts each year, POC for 4 months so no cost</t>
  </si>
  <si>
    <t>1 year prepaid</t>
  </si>
  <si>
    <t>Metaphacts</t>
  </si>
  <si>
    <t>Platform Fees</t>
  </si>
  <si>
    <t>First 5 months: MVP / pilot phase, Then: converts into full 3-year subscription</t>
  </si>
  <si>
    <t>$200K is 1 year</t>
  </si>
  <si>
    <t>Figma</t>
  </si>
  <si>
    <t>Quarter Expense</t>
  </si>
  <si>
    <t>Figma Platform – Enterprise Subscription</t>
  </si>
  <si>
    <t>Anthropic</t>
  </si>
  <si>
    <t>Claude</t>
  </si>
  <si>
    <t>Contract pending</t>
  </si>
  <si>
    <t>Balance left</t>
  </si>
  <si>
    <t>(All)</t>
  </si>
  <si>
    <t>Sum of Total - FC</t>
  </si>
  <si>
    <t>Sum of Total Actuals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</si>
</sst>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6" formatCode="&quot;$&quot;#,##0_);[Red]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[$-409]d\-mmm\-yy;@"/>
    <numFmt numFmtId="166" formatCode="&quot;$&quot;#,##0"/>
    <numFmt numFmtId="167" formatCode="_(&quot;$&quot;* #,##0_);_(&quot;$&quot;* \(#,##0\);_(&quot;$&quot;* &quot;-&quot;??_);_(@_)"/>
  </numFmts>
  <fonts count="2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002060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rial"/>
      <family val="1"/>
    </font>
    <font>
      <b/>
      <sz val="11"/>
      <color rgb="FF000000"/>
      <name val="Aptos Narrow"/>
      <family val="2"/>
    </font>
    <font>
      <sz val="11"/>
      <name val="Calibri"/>
      <family val="2"/>
    </font>
    <font>
      <sz val="11"/>
      <color rgb="FF7030A0"/>
      <name val="Aptos Narrow"/>
      <family val="2"/>
      <scheme val="minor"/>
    </font>
    <font>
      <b/>
      <sz val="11"/>
      <color theme="1"/>
      <name val="Aptos"/>
      <family val="2"/>
    </font>
    <font>
      <sz val="11"/>
      <color theme="1"/>
      <name val="Aptos"/>
      <family val="2"/>
    </font>
    <font>
      <b/>
      <sz val="11"/>
      <color rgb="FF7030A0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theme="9" tint="-0.249977111117893"/>
      <name val="Aptos Narrow"/>
      <family val="2"/>
      <scheme val="minor"/>
    </font>
    <font>
      <b/>
      <sz val="11"/>
      <color theme="9" tint="-0.249977111117893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theme="1" tint="0.34998626667073579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rgb="FFBE5014"/>
      <name val="Aptos Narrow"/>
      <family val="2"/>
      <scheme val="minor"/>
    </font>
    <font>
      <sz val="11"/>
      <color theme="5" tint="-0.249977111117893"/>
      <name val="Aptos Narrow"/>
      <family val="2"/>
      <scheme val="minor"/>
    </font>
    <font>
      <sz val="11"/>
      <color rgb="FF00B050"/>
      <name val="Aptos Narrow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E6F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6" fillId="0" borderId="0"/>
    <xf numFmtId="43" fontId="1" fillId="0" borderId="0" applyFont="0" applyFill="0" applyBorder="0" applyAlignment="0" applyProtection="0"/>
    <xf numFmtId="0" fontId="7" fillId="0" borderId="0"/>
    <xf numFmtId="9" fontId="1" fillId="0" borderId="0" applyFont="0" applyFill="0" applyBorder="0" applyAlignment="0" applyProtection="0"/>
  </cellStyleXfs>
  <cellXfs count="176">
    <xf numFmtId="0" fontId="0" fillId="0" borderId="0" xfId="0"/>
    <xf numFmtId="164" fontId="0" fillId="0" borderId="1" xfId="0" applyNumberFormat="1" applyBorder="1"/>
    <xf numFmtId="164" fontId="0" fillId="0" borderId="1" xfId="0" applyNumberFormat="1" applyBorder="1" applyAlignment="1">
      <alignment horizontal="center"/>
    </xf>
    <xf numFmtId="0" fontId="0" fillId="0" borderId="1" xfId="0" applyBorder="1"/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/>
    <xf numFmtId="166" fontId="0" fillId="0" borderId="0" xfId="0" applyNumberFormat="1"/>
    <xf numFmtId="0" fontId="0" fillId="9" borderId="1" xfId="0" applyFill="1" applyBorder="1"/>
    <xf numFmtId="0" fontId="0" fillId="0" borderId="0" xfId="0" pivotButton="1"/>
    <xf numFmtId="0" fontId="0" fillId="0" borderId="0" xfId="0" applyAlignment="1">
      <alignment horizontal="left"/>
    </xf>
    <xf numFmtId="0" fontId="0" fillId="9" borderId="1" xfId="0" applyFill="1" applyBorder="1" applyAlignment="1">
      <alignment horizontal="left"/>
    </xf>
    <xf numFmtId="0" fontId="0" fillId="0" borderId="1" xfId="0" applyBorder="1" applyAlignment="1">
      <alignment wrapText="1"/>
    </xf>
    <xf numFmtId="165" fontId="0" fillId="8" borderId="1" xfId="0" applyNumberFormat="1" applyFill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1" xfId="1" applyNumberFormat="1" applyFont="1" applyBorder="1"/>
    <xf numFmtId="166" fontId="0" fillId="0" borderId="1" xfId="1" applyNumberFormat="1" applyFont="1" applyBorder="1"/>
    <xf numFmtId="0" fontId="0" fillId="0" borderId="0" xfId="0" applyAlignment="1">
      <alignment horizontal="center"/>
    </xf>
    <xf numFmtId="166" fontId="0" fillId="0" borderId="1" xfId="1" applyNumberFormat="1" applyFont="1" applyFill="1" applyBorder="1"/>
    <xf numFmtId="0" fontId="0" fillId="0" borderId="0" xfId="0" applyAlignment="1">
      <alignment vertical="center"/>
    </xf>
    <xf numFmtId="164" fontId="3" fillId="3" borderId="1" xfId="0" applyNumberFormat="1" applyFont="1" applyFill="1" applyBorder="1"/>
    <xf numFmtId="6" fontId="8" fillId="11" borderId="1" xfId="0" applyNumberFormat="1" applyFont="1" applyFill="1" applyBorder="1" applyAlignment="1">
      <alignment horizontal="center" vertical="center"/>
    </xf>
    <xf numFmtId="0" fontId="9" fillId="0" borderId="1" xfId="0" applyFont="1" applyBorder="1"/>
    <xf numFmtId="0" fontId="9" fillId="0" borderId="2" xfId="0" applyFont="1" applyBorder="1"/>
    <xf numFmtId="0" fontId="5" fillId="2" borderId="3" xfId="0" applyFont="1" applyFill="1" applyBorder="1" applyAlignment="1">
      <alignment horizontal="center" vertical="center"/>
    </xf>
    <xf numFmtId="165" fontId="5" fillId="2" borderId="3" xfId="0" applyNumberFormat="1" applyFont="1" applyFill="1" applyBorder="1" applyAlignment="1">
      <alignment horizontal="center" vertical="center"/>
    </xf>
    <xf numFmtId="166" fontId="5" fillId="2" borderId="3" xfId="0" applyNumberFormat="1" applyFont="1" applyFill="1" applyBorder="1" applyAlignment="1">
      <alignment horizontal="center" vertical="center"/>
    </xf>
    <xf numFmtId="166" fontId="5" fillId="2" borderId="3" xfId="1" applyNumberFormat="1" applyFont="1" applyFill="1" applyBorder="1" applyAlignment="1">
      <alignment horizontal="center" vertical="center"/>
    </xf>
    <xf numFmtId="166" fontId="5" fillId="8" borderId="3" xfId="1" applyNumberFormat="1" applyFont="1" applyFill="1" applyBorder="1" applyAlignment="1">
      <alignment horizontal="center" vertical="center"/>
    </xf>
    <xf numFmtId="166" fontId="5" fillId="10" borderId="3" xfId="1" applyNumberFormat="1" applyFont="1" applyFill="1" applyBorder="1" applyAlignment="1">
      <alignment horizontal="center" vertical="center"/>
    </xf>
    <xf numFmtId="164" fontId="5" fillId="4" borderId="3" xfId="1" applyNumberFormat="1" applyFont="1" applyFill="1" applyBorder="1" applyAlignment="1">
      <alignment horizontal="center" vertical="center"/>
    </xf>
    <xf numFmtId="166" fontId="5" fillId="5" borderId="3" xfId="1" applyNumberFormat="1" applyFont="1" applyFill="1" applyBorder="1" applyAlignment="1">
      <alignment horizontal="center" vertical="center"/>
    </xf>
    <xf numFmtId="164" fontId="5" fillId="5" borderId="3" xfId="1" applyNumberFormat="1" applyFont="1" applyFill="1" applyBorder="1" applyAlignment="1">
      <alignment horizontal="center" vertical="center"/>
    </xf>
    <xf numFmtId="0" fontId="9" fillId="0" borderId="5" xfId="0" applyFont="1" applyBorder="1"/>
    <xf numFmtId="0" fontId="9" fillId="0" borderId="4" xfId="0" applyFont="1" applyBorder="1"/>
    <xf numFmtId="0" fontId="0" fillId="9" borderId="4" xfId="0" applyFill="1" applyBorder="1"/>
    <xf numFmtId="0" fontId="0" fillId="0" borderId="4" xfId="0" applyBorder="1"/>
    <xf numFmtId="166" fontId="0" fillId="0" borderId="4" xfId="0" applyNumberFormat="1" applyBorder="1"/>
    <xf numFmtId="166" fontId="0" fillId="0" borderId="4" xfId="1" applyNumberFormat="1" applyFont="1" applyBorder="1"/>
    <xf numFmtId="166" fontId="0" fillId="0" borderId="4" xfId="1" applyNumberFormat="1" applyFont="1" applyBorder="1" applyAlignment="1">
      <alignment vertical="center"/>
    </xf>
    <xf numFmtId="164" fontId="9" fillId="0" borderId="4" xfId="0" applyNumberFormat="1" applyFont="1" applyBorder="1"/>
    <xf numFmtId="164" fontId="0" fillId="0" borderId="4" xfId="0" applyNumberFormat="1" applyBorder="1"/>
    <xf numFmtId="164" fontId="0" fillId="7" borderId="4" xfId="1" applyNumberFormat="1" applyFont="1" applyFill="1" applyBorder="1"/>
    <xf numFmtId="164" fontId="0" fillId="0" borderId="4" xfId="1" applyNumberFormat="1" applyFont="1" applyBorder="1"/>
    <xf numFmtId="44" fontId="0" fillId="0" borderId="0" xfId="2" applyFont="1"/>
    <xf numFmtId="0" fontId="10" fillId="0" borderId="1" xfId="0" applyFont="1" applyBorder="1" applyAlignment="1">
      <alignment wrapText="1"/>
    </xf>
    <xf numFmtId="6" fontId="0" fillId="0" borderId="0" xfId="0" applyNumberFormat="1"/>
    <xf numFmtId="166" fontId="0" fillId="12" borderId="1" xfId="1" applyNumberFormat="1" applyFont="1" applyFill="1" applyBorder="1"/>
    <xf numFmtId="166" fontId="0" fillId="6" borderId="7" xfId="1" applyNumberFormat="1" applyFont="1" applyFill="1" applyBorder="1"/>
    <xf numFmtId="166" fontId="0" fillId="6" borderId="7" xfId="1" applyNumberFormat="1" applyFont="1" applyFill="1" applyBorder="1" applyAlignment="1">
      <alignment vertical="center"/>
    </xf>
    <xf numFmtId="166" fontId="0" fillId="6" borderId="4" xfId="1" applyNumberFormat="1" applyFont="1" applyFill="1" applyBorder="1" applyAlignment="1">
      <alignment wrapText="1"/>
    </xf>
    <xf numFmtId="0" fontId="0" fillId="0" borderId="6" xfId="0" applyBorder="1" applyAlignment="1">
      <alignment horizontal="center"/>
    </xf>
    <xf numFmtId="166" fontId="0" fillId="13" borderId="1" xfId="0" applyNumberFormat="1" applyFill="1" applyBorder="1"/>
    <xf numFmtId="166" fontId="0" fillId="13" borderId="1" xfId="1" applyNumberFormat="1" applyFont="1" applyFill="1" applyBorder="1"/>
    <xf numFmtId="166" fontId="0" fillId="13" borderId="1" xfId="1" applyNumberFormat="1" applyFont="1" applyFill="1" applyBorder="1" applyAlignment="1">
      <alignment vertical="center"/>
    </xf>
    <xf numFmtId="166" fontId="0" fillId="13" borderId="4" xfId="1" applyNumberFormat="1" applyFont="1" applyFill="1" applyBorder="1"/>
    <xf numFmtId="164" fontId="0" fillId="13" borderId="1" xfId="0" applyNumberFormat="1" applyFill="1" applyBorder="1"/>
    <xf numFmtId="166" fontId="4" fillId="13" borderId="1" xfId="1" applyNumberFormat="1" applyFont="1" applyFill="1" applyBorder="1"/>
    <xf numFmtId="164" fontId="2" fillId="13" borderId="1" xfId="0" applyNumberFormat="1" applyFont="1" applyFill="1" applyBorder="1"/>
    <xf numFmtId="43" fontId="0" fillId="13" borderId="1" xfId="0" applyNumberFormat="1" applyFill="1" applyBorder="1"/>
    <xf numFmtId="0" fontId="0" fillId="13" borderId="1" xfId="0" applyFill="1" applyBorder="1"/>
    <xf numFmtId="166" fontId="0" fillId="14" borderId="1" xfId="0" applyNumberFormat="1" applyFill="1" applyBorder="1"/>
    <xf numFmtId="166" fontId="0" fillId="14" borderId="1" xfId="1" applyNumberFormat="1" applyFont="1" applyFill="1" applyBorder="1"/>
    <xf numFmtId="166" fontId="0" fillId="14" borderId="1" xfId="1" applyNumberFormat="1" applyFont="1" applyFill="1" applyBorder="1" applyAlignment="1">
      <alignment vertical="center"/>
    </xf>
    <xf numFmtId="166" fontId="0" fillId="14" borderId="4" xfId="1" applyNumberFormat="1" applyFont="1" applyFill="1" applyBorder="1"/>
    <xf numFmtId="164" fontId="0" fillId="14" borderId="1" xfId="0" applyNumberFormat="1" applyFill="1" applyBorder="1"/>
    <xf numFmtId="166" fontId="4" fillId="14" borderId="1" xfId="1" applyNumberFormat="1" applyFont="1" applyFill="1" applyBorder="1"/>
    <xf numFmtId="164" fontId="2" fillId="14" borderId="1" xfId="0" applyNumberFormat="1" applyFont="1" applyFill="1" applyBorder="1"/>
    <xf numFmtId="43" fontId="0" fillId="14" borderId="1" xfId="0" applyNumberFormat="1" applyFill="1" applyBorder="1"/>
    <xf numFmtId="0" fontId="0" fillId="14" borderId="1" xfId="0" applyFill="1" applyBorder="1"/>
    <xf numFmtId="166" fontId="5" fillId="9" borderId="3" xfId="1" applyNumberFormat="1" applyFont="1" applyFill="1" applyBorder="1" applyAlignment="1">
      <alignment horizontal="center" vertical="center"/>
    </xf>
    <xf numFmtId="166" fontId="5" fillId="9" borderId="3" xfId="0" applyNumberFormat="1" applyFont="1" applyFill="1" applyBorder="1" applyAlignment="1">
      <alignment horizontal="center" vertical="center"/>
    </xf>
    <xf numFmtId="166" fontId="0" fillId="15" borderId="3" xfId="1" applyNumberFormat="1" applyFont="1" applyFill="1" applyBorder="1"/>
    <xf numFmtId="166" fontId="5" fillId="13" borderId="6" xfId="1" applyNumberFormat="1" applyFont="1" applyFill="1" applyBorder="1" applyAlignment="1">
      <alignment horizontal="center" vertical="center"/>
    </xf>
    <xf numFmtId="166" fontId="5" fillId="13" borderId="6" xfId="0" applyNumberFormat="1" applyFont="1" applyFill="1" applyBorder="1" applyAlignment="1">
      <alignment horizontal="center" vertical="center"/>
    </xf>
    <xf numFmtId="166" fontId="5" fillId="13" borderId="8" xfId="0" applyNumberFormat="1" applyFont="1" applyFill="1" applyBorder="1" applyAlignment="1">
      <alignment horizontal="center" vertical="center"/>
    </xf>
    <xf numFmtId="166" fontId="0" fillId="10" borderId="1" xfId="1" applyNumberFormat="1" applyFont="1" applyFill="1" applyBorder="1"/>
    <xf numFmtId="166" fontId="0" fillId="10" borderId="1" xfId="1" applyNumberFormat="1" applyFont="1" applyFill="1" applyBorder="1" applyAlignment="1">
      <alignment vertical="center"/>
    </xf>
    <xf numFmtId="166" fontId="0" fillId="10" borderId="1" xfId="0" applyNumberFormat="1" applyFill="1" applyBorder="1"/>
    <xf numFmtId="166" fontId="5" fillId="9" borderId="6" xfId="0" applyNumberFormat="1" applyFont="1" applyFill="1" applyBorder="1" applyAlignment="1">
      <alignment horizontal="center" vertical="center"/>
    </xf>
    <xf numFmtId="166" fontId="0" fillId="14" borderId="3" xfId="0" applyNumberFormat="1" applyFill="1" applyBorder="1"/>
    <xf numFmtId="166" fontId="0" fillId="14" borderId="3" xfId="1" applyNumberFormat="1" applyFont="1" applyFill="1" applyBorder="1"/>
    <xf numFmtId="166" fontId="0" fillId="14" borderId="3" xfId="1" applyNumberFormat="1" applyFont="1" applyFill="1" applyBorder="1" applyAlignment="1">
      <alignment vertical="center"/>
    </xf>
    <xf numFmtId="166" fontId="0" fillId="14" borderId="7" xfId="1" applyNumberFormat="1" applyFont="1" applyFill="1" applyBorder="1"/>
    <xf numFmtId="166" fontId="0" fillId="15" borderId="0" xfId="1" applyNumberFormat="1" applyFont="1" applyFill="1" applyBorder="1"/>
    <xf numFmtId="166" fontId="0" fillId="15" borderId="7" xfId="1" applyNumberFormat="1" applyFont="1" applyFill="1" applyBorder="1"/>
    <xf numFmtId="166" fontId="0" fillId="16" borderId="1" xfId="1" applyNumberFormat="1" applyFont="1" applyFill="1" applyBorder="1"/>
    <xf numFmtId="164" fontId="10" fillId="0" borderId="1" xfId="0" applyNumberFormat="1" applyFont="1" applyBorder="1"/>
    <xf numFmtId="0" fontId="10" fillId="0" borderId="1" xfId="0" applyFont="1" applyBorder="1"/>
    <xf numFmtId="43" fontId="10" fillId="0" borderId="1" xfId="0" applyNumberFormat="1" applyFont="1" applyBorder="1"/>
    <xf numFmtId="166" fontId="10" fillId="0" borderId="1" xfId="0" applyNumberFormat="1" applyFont="1" applyBorder="1"/>
    <xf numFmtId="166" fontId="10" fillId="0" borderId="1" xfId="1" applyNumberFormat="1" applyFont="1" applyBorder="1"/>
    <xf numFmtId="0" fontId="10" fillId="0" borderId="0" xfId="0" applyFont="1"/>
    <xf numFmtId="166" fontId="10" fillId="0" borderId="4" xfId="1" applyNumberFormat="1" applyFont="1" applyFill="1" applyBorder="1"/>
    <xf numFmtId="0" fontId="10" fillId="0" borderId="1" xfId="1" applyNumberFormat="1" applyFont="1" applyFill="1" applyBorder="1" applyAlignment="1"/>
    <xf numFmtId="43" fontId="10" fillId="0" borderId="4" xfId="0" applyNumberFormat="1" applyFont="1" applyBorder="1"/>
    <xf numFmtId="166" fontId="10" fillId="0" borderId="4" xfId="1" applyNumberFormat="1" applyFont="1" applyBorder="1" applyAlignment="1">
      <alignment wrapText="1"/>
    </xf>
    <xf numFmtId="44" fontId="0" fillId="0" borderId="0" xfId="0" applyNumberFormat="1"/>
    <xf numFmtId="167" fontId="0" fillId="0" borderId="0" xfId="0" applyNumberFormat="1"/>
    <xf numFmtId="0" fontId="0" fillId="14" borderId="0" xfId="0" applyFill="1"/>
    <xf numFmtId="0" fontId="11" fillId="2" borderId="0" xfId="0" applyFont="1" applyFill="1" applyAlignment="1">
      <alignment horizontal="left"/>
    </xf>
    <xf numFmtId="44" fontId="11" fillId="2" borderId="0" xfId="2" applyFont="1" applyFill="1"/>
    <xf numFmtId="44" fontId="12" fillId="2" borderId="0" xfId="2" applyFont="1" applyFill="1"/>
    <xf numFmtId="0" fontId="0" fillId="0" borderId="0" xfId="0" pivotButton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15" fontId="0" fillId="0" borderId="1" xfId="0" applyNumberFormat="1" applyBorder="1" applyAlignment="1">
      <alignment horizontal="center" vertical="center"/>
    </xf>
    <xf numFmtId="0" fontId="0" fillId="13" borderId="0" xfId="0" applyFill="1"/>
    <xf numFmtId="0" fontId="0" fillId="0" borderId="0" xfId="0" applyAlignment="1">
      <alignment wrapText="1"/>
    </xf>
    <xf numFmtId="0" fontId="14" fillId="18" borderId="0" xfId="0" applyFont="1" applyFill="1"/>
    <xf numFmtId="0" fontId="14" fillId="18" borderId="0" xfId="0" applyFont="1" applyFill="1" applyAlignment="1">
      <alignment horizontal="center" vertical="center" wrapText="1"/>
    </xf>
    <xf numFmtId="0" fontId="15" fillId="0" borderId="0" xfId="0" applyFont="1"/>
    <xf numFmtId="166" fontId="15" fillId="0" borderId="0" xfId="0" applyNumberFormat="1" applyFont="1"/>
    <xf numFmtId="0" fontId="16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0" fontId="18" fillId="0" borderId="0" xfId="0" applyFont="1"/>
    <xf numFmtId="166" fontId="18" fillId="0" borderId="0" xfId="0" applyNumberFormat="1" applyFont="1"/>
    <xf numFmtId="0" fontId="19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 wrapText="1"/>
    </xf>
    <xf numFmtId="0" fontId="0" fillId="15" borderId="0" xfId="0" applyFill="1"/>
    <xf numFmtId="0" fontId="22" fillId="0" borderId="0" xfId="0" applyFont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0" fontId="3" fillId="19" borderId="0" xfId="0" applyFont="1" applyFill="1"/>
    <xf numFmtId="0" fontId="3" fillId="19" borderId="0" xfId="0" applyFont="1" applyFill="1" applyAlignment="1">
      <alignment horizontal="left"/>
    </xf>
    <xf numFmtId="165" fontId="3" fillId="19" borderId="0" xfId="0" applyNumberFormat="1" applyFont="1" applyFill="1" applyAlignment="1">
      <alignment horizontal="center"/>
    </xf>
    <xf numFmtId="166" fontId="3" fillId="19" borderId="0" xfId="0" applyNumberFormat="1" applyFont="1" applyFill="1"/>
    <xf numFmtId="166" fontId="0" fillId="12" borderId="1" xfId="0" applyNumberFormat="1" applyFill="1" applyBorder="1"/>
    <xf numFmtId="166" fontId="0" fillId="20" borderId="1" xfId="1" applyNumberFormat="1" applyFont="1" applyFill="1" applyBorder="1"/>
    <xf numFmtId="0" fontId="5" fillId="2" borderId="1" xfId="0" applyFont="1" applyFill="1" applyBorder="1" applyAlignment="1">
      <alignment horizontal="center" vertical="center"/>
    </xf>
    <xf numFmtId="165" fontId="5" fillId="2" borderId="1" xfId="0" applyNumberFormat="1" applyFont="1" applyFill="1" applyBorder="1" applyAlignment="1">
      <alignment horizontal="center" vertical="center"/>
    </xf>
    <xf numFmtId="166" fontId="5" fillId="2" borderId="1" xfId="0" applyNumberFormat="1" applyFont="1" applyFill="1" applyBorder="1" applyAlignment="1">
      <alignment horizontal="center" vertical="center"/>
    </xf>
    <xf numFmtId="166" fontId="5" fillId="2" borderId="1" xfId="1" applyNumberFormat="1" applyFont="1" applyFill="1" applyBorder="1" applyAlignment="1">
      <alignment horizontal="center" vertical="center"/>
    </xf>
    <xf numFmtId="166" fontId="5" fillId="10" borderId="1" xfId="1" applyNumberFormat="1" applyFont="1" applyFill="1" applyBorder="1" applyAlignment="1">
      <alignment horizontal="center" vertical="center"/>
    </xf>
    <xf numFmtId="166" fontId="5" fillId="8" borderId="1" xfId="1" applyNumberFormat="1" applyFont="1" applyFill="1" applyBorder="1" applyAlignment="1">
      <alignment horizontal="center" vertical="center"/>
    </xf>
    <xf numFmtId="164" fontId="5" fillId="4" borderId="1" xfId="1" applyNumberFormat="1" applyFont="1" applyFill="1" applyBorder="1" applyAlignment="1">
      <alignment horizontal="center" vertical="center"/>
    </xf>
    <xf numFmtId="166" fontId="5" fillId="5" borderId="1" xfId="1" applyNumberFormat="1" applyFont="1" applyFill="1" applyBorder="1" applyAlignment="1">
      <alignment horizontal="center" vertical="center"/>
    </xf>
    <xf numFmtId="166" fontId="5" fillId="9" borderId="1" xfId="1" applyNumberFormat="1" applyFont="1" applyFill="1" applyBorder="1" applyAlignment="1">
      <alignment horizontal="center" vertical="center"/>
    </xf>
    <xf numFmtId="166" fontId="5" fillId="9" borderId="1" xfId="0" applyNumberFormat="1" applyFont="1" applyFill="1" applyBorder="1" applyAlignment="1">
      <alignment horizontal="center" vertical="center"/>
    </xf>
    <xf numFmtId="166" fontId="5" fillId="9" borderId="21" xfId="0" applyNumberFormat="1" applyFont="1" applyFill="1" applyBorder="1" applyAlignment="1">
      <alignment horizontal="center" vertical="center"/>
    </xf>
    <xf numFmtId="164" fontId="5" fillId="5" borderId="1" xfId="1" applyNumberFormat="1" applyFont="1" applyFill="1" applyBorder="1" applyAlignment="1">
      <alignment horizontal="center" vertical="center"/>
    </xf>
    <xf numFmtId="0" fontId="9" fillId="3" borderId="1" xfId="0" applyFont="1" applyFill="1" applyBorder="1"/>
    <xf numFmtId="0" fontId="0" fillId="3" borderId="1" xfId="0" applyFill="1" applyBorder="1"/>
    <xf numFmtId="165" fontId="0" fillId="3" borderId="1" xfId="0" applyNumberFormat="1" applyFill="1" applyBorder="1" applyAlignment="1">
      <alignment horizontal="center"/>
    </xf>
    <xf numFmtId="166" fontId="0" fillId="3" borderId="1" xfId="0" applyNumberFormat="1" applyFill="1" applyBorder="1"/>
    <xf numFmtId="166" fontId="0" fillId="3" borderId="1" xfId="1" applyNumberFormat="1" applyFont="1" applyFill="1" applyBorder="1"/>
    <xf numFmtId="166" fontId="0" fillId="14" borderId="20" xfId="0" applyNumberFormat="1" applyFill="1" applyBorder="1"/>
    <xf numFmtId="164" fontId="10" fillId="3" borderId="1" xfId="0" applyNumberFormat="1" applyFont="1" applyFill="1" applyBorder="1"/>
    <xf numFmtId="43" fontId="0" fillId="3" borderId="1" xfId="1" applyFont="1" applyFill="1" applyBorder="1"/>
    <xf numFmtId="0" fontId="3" fillId="15" borderId="0" xfId="0" applyFont="1" applyFill="1"/>
    <xf numFmtId="166" fontId="3" fillId="15" borderId="0" xfId="0" applyNumberFormat="1" applyFont="1" applyFill="1"/>
    <xf numFmtId="2" fontId="0" fillId="0" borderId="0" xfId="6" applyNumberFormat="1" applyFont="1"/>
    <xf numFmtId="166" fontId="0" fillId="12" borderId="1" xfId="1" applyNumberFormat="1" applyFont="1" applyFill="1" applyBorder="1" applyAlignment="1">
      <alignment vertical="center"/>
    </xf>
    <xf numFmtId="9" fontId="0" fillId="0" borderId="0" xfId="6" applyFont="1"/>
    <xf numFmtId="167" fontId="0" fillId="0" borderId="0" xfId="2" applyNumberFormat="1" applyFont="1"/>
    <xf numFmtId="166" fontId="0" fillId="0" borderId="0" xfId="6" applyNumberFormat="1" applyFont="1"/>
    <xf numFmtId="0" fontId="9" fillId="0" borderId="0" xfId="0" applyFont="1"/>
    <xf numFmtId="164" fontId="9" fillId="0" borderId="0" xfId="0" applyNumberFormat="1" applyFont="1"/>
    <xf numFmtId="164" fontId="0" fillId="0" borderId="0" xfId="0" applyNumberFormat="1"/>
    <xf numFmtId="166" fontId="0" fillId="0" borderId="0" xfId="1" applyNumberFormat="1" applyFont="1" applyBorder="1"/>
    <xf numFmtId="166" fontId="0" fillId="0" borderId="0" xfId="1" applyNumberFormat="1" applyFont="1" applyBorder="1" applyAlignment="1">
      <alignment vertical="center"/>
    </xf>
    <xf numFmtId="166" fontId="0" fillId="0" borderId="0" xfId="0" applyNumberFormat="1" applyAlignment="1">
      <alignment vertical="center"/>
    </xf>
    <xf numFmtId="3" fontId="0" fillId="0" borderId="0" xfId="0" applyNumberFormat="1"/>
    <xf numFmtId="0" fontId="13" fillId="17" borderId="0" xfId="0" applyFont="1" applyFill="1" applyAlignment="1">
      <alignment horizontal="center" vertical="center"/>
    </xf>
    <xf numFmtId="43" fontId="13" fillId="17" borderId="0" xfId="1" applyFont="1" applyFill="1" applyAlignment="1">
      <alignment horizontal="center" vertical="center"/>
    </xf>
    <xf numFmtId="44" fontId="13" fillId="13" borderId="17" xfId="2" applyFont="1" applyFill="1" applyBorder="1" applyAlignment="1">
      <alignment horizontal="center" vertical="center"/>
    </xf>
    <xf numFmtId="44" fontId="13" fillId="13" borderId="18" xfId="2" applyFont="1" applyFill="1" applyBorder="1" applyAlignment="1">
      <alignment horizontal="center" vertical="center"/>
    </xf>
    <xf numFmtId="44" fontId="13" fillId="13" borderId="19" xfId="2" applyFont="1" applyFill="1" applyBorder="1" applyAlignment="1">
      <alignment horizontal="center" vertical="center"/>
    </xf>
    <xf numFmtId="0" fontId="13" fillId="13" borderId="9" xfId="0" applyFont="1" applyFill="1" applyBorder="1" applyAlignment="1">
      <alignment horizontal="center" vertical="center" wrapText="1"/>
    </xf>
    <xf numFmtId="0" fontId="13" fillId="13" borderId="10" xfId="0" applyFont="1" applyFill="1" applyBorder="1" applyAlignment="1">
      <alignment horizontal="center" vertical="center" wrapText="1"/>
    </xf>
    <xf numFmtId="0" fontId="13" fillId="13" borderId="11" xfId="0" applyFont="1" applyFill="1" applyBorder="1" applyAlignment="1">
      <alignment horizontal="center" vertical="center" wrapText="1"/>
    </xf>
    <xf numFmtId="0" fontId="13" fillId="13" borderId="12" xfId="0" applyFont="1" applyFill="1" applyBorder="1" applyAlignment="1">
      <alignment horizontal="center" vertical="center" wrapText="1"/>
    </xf>
    <xf numFmtId="0" fontId="13" fillId="13" borderId="0" xfId="0" applyFont="1" applyFill="1" applyAlignment="1">
      <alignment horizontal="center" vertical="center" wrapText="1"/>
    </xf>
    <xf numFmtId="0" fontId="13" fillId="13" borderId="13" xfId="0" applyFont="1" applyFill="1" applyBorder="1" applyAlignment="1">
      <alignment horizontal="center" vertical="center" wrapText="1"/>
    </xf>
    <xf numFmtId="0" fontId="13" fillId="13" borderId="14" xfId="0" applyFont="1" applyFill="1" applyBorder="1" applyAlignment="1">
      <alignment horizontal="center" vertical="center" wrapText="1"/>
    </xf>
    <xf numFmtId="0" fontId="13" fillId="13" borderId="15" xfId="0" applyFont="1" applyFill="1" applyBorder="1" applyAlignment="1">
      <alignment horizontal="center" vertical="center" wrapText="1"/>
    </xf>
    <xf numFmtId="0" fontId="13" fillId="13" borderId="16" xfId="0" applyFont="1" applyFill="1" applyBorder="1" applyAlignment="1">
      <alignment horizontal="center" vertical="center" wrapText="1"/>
    </xf>
  </cellXfs>
  <cellStyles count="7">
    <cellStyle name="Comma" xfId="1" builtinId="3"/>
    <cellStyle name="Comma 3" xfId="4" xr:uid="{0B48DACF-9847-48CD-8C64-FB41B65096B6}"/>
    <cellStyle name="Currency" xfId="2" builtinId="4"/>
    <cellStyle name="Normal" xfId="0" builtinId="0"/>
    <cellStyle name="Normal 2" xfId="5" xr:uid="{F416585D-8BE6-48C1-8EE6-239906BEF0C5}"/>
    <cellStyle name="Normal 4" xfId="3" xr:uid="{D5A3155D-C94D-4C5A-A3D7-D1FEEB5C8D6C}"/>
    <cellStyle name="Percent" xfId="6" builtinId="5"/>
  </cellStyles>
  <dxfs count="105">
    <dxf>
      <font>
        <b/>
        <i val="0"/>
        <color theme="0"/>
      </font>
      <fill>
        <patternFill>
          <bgColor rgb="FFFF0000"/>
        </patternFill>
      </fill>
    </dxf>
    <dxf>
      <numFmt numFmtId="166" formatCode="&quot;$&quot;#,##0"/>
    </dxf>
    <dxf>
      <numFmt numFmtId="166" formatCode="&quot;$&quot;#,##0"/>
    </dxf>
    <dxf>
      <numFmt numFmtId="166" formatCode="&quot;$&quot;#,##0"/>
    </dxf>
    <dxf>
      <numFmt numFmtId="166" formatCode="&quot;$&quot;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&quot;$&quot;#,##0"/>
      <fill>
        <patternFill patternType="solid">
          <fgColor indexed="64"/>
          <bgColor theme="7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1"/>
        <color rgb="FF7030A0"/>
        <name val="Aptos Narrow"/>
        <family val="2"/>
        <scheme val="minor"/>
      </font>
      <numFmt numFmtId="35" formatCode="_(* #,##0.00_);_(* \(#,##0.00\);_(* &quot;-&quot;??_);_(@_)"/>
      <fill>
        <patternFill patternType="solid">
          <fgColor indexed="64"/>
          <bgColor theme="7" tint="0.59999389629810485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&quot;$&quot;#,##0"/>
      <fill>
        <patternFill patternType="solid">
          <fgColor indexed="64"/>
          <bgColor theme="9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&quot;$&quot;#,##0"/>
      <fill>
        <patternFill patternType="solid">
          <fgColor indexed="64"/>
          <bgColor theme="9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&quot;$&quot;#,##0"/>
      <fill>
        <patternFill patternType="solid">
          <fgColor indexed="64"/>
          <bgColor theme="9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&quot;$&quot;#,##0"/>
      <fill>
        <patternFill patternType="solid">
          <fgColor indexed="64"/>
          <bgColor theme="9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&quot;$&quot;#,##0"/>
      <fill>
        <patternFill patternType="solid">
          <fgColor indexed="64"/>
          <bgColor theme="9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&quot;$&quot;#,##0"/>
      <fill>
        <patternFill patternType="solid">
          <fgColor indexed="64"/>
          <bgColor theme="9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&quot;$&quot;#,##0"/>
      <fill>
        <patternFill patternType="solid">
          <fgColor indexed="64"/>
          <bgColor theme="9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&quot;$&quot;#,##0"/>
      <fill>
        <patternFill patternType="solid">
          <fgColor indexed="64"/>
          <bgColor theme="9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&quot;$&quot;#,##0"/>
      <fill>
        <patternFill patternType="solid">
          <fgColor indexed="64"/>
          <bgColor theme="9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&quot;$&quot;#,##0"/>
      <fill>
        <patternFill patternType="solid">
          <fgColor indexed="64"/>
          <bgColor theme="9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&quot;$&quot;#,##0"/>
      <fill>
        <patternFill patternType="solid">
          <fgColor indexed="64"/>
          <bgColor theme="9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&quot;$&quot;#,##0"/>
      <fill>
        <patternFill patternType="solid">
          <fgColor indexed="64"/>
          <bgColor theme="9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&quot;$&quot;#,##0"/>
      <fill>
        <patternFill patternType="solid">
          <fgColor indexed="64"/>
          <bgColor theme="9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&quot;$&quot;#,##0"/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&quot;$&quot;#,##0"/>
      <fill>
        <patternFill patternType="solid">
          <fgColor indexed="64"/>
          <bgColor theme="7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&quot;$&quot;#,##0"/>
      <fill>
        <patternFill patternType="solid">
          <fgColor indexed="64"/>
          <bgColor theme="7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&quot;$&quot;#,##0"/>
      <fill>
        <patternFill patternType="solid">
          <fgColor indexed="64"/>
          <bgColor theme="7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&quot;$&quot;#,##0"/>
      <fill>
        <patternFill patternType="solid">
          <fgColor indexed="64"/>
          <bgColor theme="7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&quot;$&quot;#,##0"/>
      <fill>
        <patternFill patternType="solid">
          <fgColor indexed="64"/>
          <bgColor theme="7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&quot;$&quot;#,##0"/>
      <fill>
        <patternFill patternType="solid">
          <fgColor indexed="64"/>
          <bgColor theme="7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&quot;$&quot;#,##0"/>
      <fill>
        <patternFill patternType="solid">
          <fgColor indexed="64"/>
          <bgColor theme="7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&quot;$&quot;#,##0"/>
      <fill>
        <patternFill patternType="solid">
          <fgColor indexed="64"/>
          <bgColor theme="7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&quot;$&quot;#,##0"/>
      <fill>
        <patternFill patternType="solid">
          <fgColor indexed="64"/>
          <bgColor theme="7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&quot;$&quot;#,##0"/>
      <fill>
        <patternFill patternType="solid">
          <fgColor indexed="64"/>
          <bgColor theme="7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&quot;$&quot;#,##0"/>
      <fill>
        <patternFill patternType="solid">
          <fgColor indexed="64"/>
          <bgColor theme="7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&quot;$&quot;#,##0"/>
      <fill>
        <patternFill patternType="solid">
          <fgColor indexed="64"/>
          <bgColor theme="7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&quot;$&quot;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&quot;$&quot;#,##0"/>
      <fill>
        <patternFill patternType="solid">
          <fgColor indexed="64"/>
          <bgColor theme="5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&quot;$&quot;#,##0"/>
      <fill>
        <patternFill patternType="solid">
          <fgColor indexed="64"/>
          <bgColor theme="5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&quot;$&quot;#,##0"/>
      <fill>
        <patternFill patternType="solid">
          <fgColor indexed="64"/>
          <bgColor theme="5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&quot;$&quot;#,##0"/>
      <fill>
        <patternFill patternType="solid">
          <fgColor indexed="64"/>
          <bgColor theme="5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&quot;$&quot;#,##0"/>
      <fill>
        <patternFill patternType="solid">
          <fgColor indexed="64"/>
          <bgColor theme="5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&quot;$&quot;#,##0"/>
      <fill>
        <patternFill patternType="solid">
          <fgColor indexed="64"/>
          <bgColor theme="5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&quot;$&quot;#,##0"/>
      <fill>
        <patternFill patternType="solid">
          <fgColor indexed="64"/>
          <bgColor theme="5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&quot;$&quot;#,##0"/>
      <fill>
        <patternFill patternType="solid">
          <fgColor indexed="64"/>
          <bgColor theme="5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&quot;$&quot;#,##0"/>
      <fill>
        <patternFill patternType="solid">
          <fgColor indexed="64"/>
          <bgColor theme="5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&quot;$&quot;#,##0"/>
      <fill>
        <patternFill patternType="solid">
          <fgColor indexed="64"/>
          <bgColor theme="5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&quot;$&quot;#,##0"/>
      <fill>
        <patternFill patternType="solid">
          <fgColor indexed="64"/>
          <bgColor theme="5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&quot;$&quot;#,##0"/>
      <fill>
        <patternFill patternType="solid">
          <fgColor indexed="64"/>
          <bgColor theme="5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&quot;$&quot;#,##0"/>
      <fill>
        <patternFill patternType="solid">
          <fgColor indexed="64"/>
          <bgColor theme="5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_(* #,##0_);_(* \(#,##0\);_(* &quot;-&quot;??_);_(@_)"/>
      <fill>
        <patternFill patternType="solid">
          <fgColor indexed="64"/>
          <bgColor rgb="FFFFFF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&quot;$&quot;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&quot;$&quot;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&quot;$&quot;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&quot;$&quot;#,##0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&quot;$&quot;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&quot;$&quot;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6" formatCode="&quot;$&quot;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6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rgb="FFFFFF00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  <dxf>
      <font>
        <b/>
        <i val="0"/>
        <color theme="0"/>
      </font>
      <fill>
        <patternFill>
          <bgColor rgb="FFFF0000"/>
        </patternFill>
      </fill>
    </dxf>
    <dxf>
      <font>
        <color rgb="FF000000"/>
      </font>
      <fill>
        <patternFill patternType="solid">
          <fgColor indexed="64"/>
          <bgColor rgb="FFF2F2F2"/>
        </patternFill>
      </fill>
    </dxf>
    <dxf>
      <font>
        <color rgb="FF000000"/>
      </font>
      <fill>
        <patternFill patternType="solid">
          <fgColor indexed="64"/>
          <bgColor rgb="FFC6EFCE"/>
        </patternFill>
      </fill>
    </dxf>
    <dxf>
      <font>
        <color rgb="FFFFFFFF"/>
      </font>
      <fill>
        <patternFill patternType="solid">
          <fgColor indexed="64"/>
          <bgColor rgb="FF00B050"/>
        </patternFill>
      </fill>
    </dxf>
    <dxf>
      <font>
        <color rgb="FF000000"/>
      </font>
      <fill>
        <patternFill patternType="solid">
          <fgColor indexed="64"/>
          <bgColor rgb="FFFFCCCC"/>
        </patternFill>
      </fill>
    </dxf>
    <dxf>
      <font>
        <color rgb="FFFFFFFF"/>
      </font>
      <fill>
        <patternFill patternType="solid">
          <fgColor indexed="64"/>
          <bgColor rgb="FFBE5014"/>
        </patternFill>
      </fill>
    </dxf>
    <dxf>
      <numFmt numFmtId="167" formatCode="_(&quot;$&quot;* #,##0_);_(&quot;$&quot;* \(#,##0\);_(&quot;$&quot;* &quot;-&quot;??_);_(@_)"/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numFmt numFmtId="167" formatCode="_(&quot;$&quot;* #,##0_);_(&quot;$&quot;* \(#,##0\);_(&quot;$&quot;* &quot;-&quot;??_);_(@_)"/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numFmt numFmtId="167" formatCode="_(&quot;$&quot;* #,##0_);_(&quot;$&quot;* \(#,##0\);_(&quot;$&quot;* &quot;-&quot;??_);_(@_)"/>
    </dxf>
    <dxf>
      <numFmt numFmtId="34" formatCode="_(&quot;$&quot;* #,##0.00_);_(&quot;$&quot;* \(#,##0.00\);_(&quot;$&quot;* &quot;-&quot;??_);_(@_)"/>
    </dxf>
    <dxf>
      <alignment wrapText="1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numFmt numFmtId="166" formatCode="&quot;$&quot;#,##0"/>
    </dxf>
    <dxf>
      <numFmt numFmtId="166" formatCode="&quot;$&quot;#,##0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calcChain" Target="calcChain.xml"/><Relationship Id="rId18" Type="http://schemas.openxmlformats.org/officeDocument/2006/relationships/customXml" Target="../customXml/item5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wati Yadav (Contractor)" refreshedDate="46196.752168402774" createdVersion="8" refreshedVersion="8" minRefreshableVersion="3" recordCount="147" xr:uid="{02F01C8D-CA36-4005-B3A6-FC08ED20AB5C}">
  <cacheSource type="worksheet">
    <worksheetSource name="Financials2026"/>
  </cacheSource>
  <cacheFields count="69">
    <cacheField name="Transaction Type" numFmtId="0">
      <sharedItems count="5">
        <s v="Contract"/>
        <s v="event driven"/>
        <s v="Invoice Driven"/>
        <s v="Capitalization"/>
        <s v="Amortization"/>
      </sharedItems>
    </cacheField>
    <cacheField name="D365 Legal Vendor name" numFmtId="0">
      <sharedItems/>
    </cacheField>
    <cacheField name="DBA / AKA / Passthrough" numFmtId="0">
      <sharedItems containsBlank="1"/>
    </cacheField>
    <cacheField name="Project ID" numFmtId="0">
      <sharedItems/>
    </cacheField>
    <cacheField name="Project Name" numFmtId="0">
      <sharedItems/>
    </cacheField>
    <cacheField name="Domain" numFmtId="0">
      <sharedItems/>
    </cacheField>
    <cacheField name="Domain Owner" numFmtId="0">
      <sharedItems containsBlank="1" count="10">
        <s v="Danny Borkowski"/>
        <s v="Melissa Tumminia"/>
        <s v="Devang Shah"/>
        <s v="John Spencer"/>
        <s v="Erik Wynkoop"/>
        <s v="Dan Royer"/>
        <s v="N/A"/>
        <e v="#N/A" u="1"/>
        <m u="1"/>
        <s v="George Kazamia" u="1"/>
      </sharedItems>
    </cacheField>
    <cacheField name="Contract Start" numFmtId="0">
      <sharedItems containsDate="1" containsBlank="1" containsMixedTypes="1" minDate="2021-12-15T00:00:00" maxDate="2026-07-02T00:00:00"/>
    </cacheField>
    <cacheField name="Contract End" numFmtId="0">
      <sharedItems containsDate="1" containsBlank="1" containsMixedTypes="1" minDate="2025-03-03T00:00:00" maxDate="2029-04-20T00:00:00"/>
    </cacheField>
    <cacheField name="Application" numFmtId="0">
      <sharedItems containsBlank="1"/>
    </cacheField>
    <cacheField name="Project Details" numFmtId="0">
      <sharedItems/>
    </cacheField>
    <cacheField name="Category" numFmtId="0">
      <sharedItems/>
    </cacheField>
    <cacheField name="Sub-Category1" numFmtId="0">
      <sharedItems containsBlank="1" count="9">
        <s v="Software"/>
        <s v="OOE"/>
        <s v="MS"/>
        <s v="Infrastructure"/>
        <s v="Labor/ T&amp;M"/>
        <s v="FPC"/>
        <s v="Capitalization"/>
        <s v="Hardware"/>
        <m u="1"/>
      </sharedItems>
    </cacheField>
    <cacheField name="Sub-Category2" numFmtId="0">
      <sharedItems/>
    </cacheField>
    <cacheField name="Contract Type" numFmtId="0">
      <sharedItems containsBlank="1"/>
    </cacheField>
    <cacheField name="MGMT View Category (OneStream)" numFmtId="0">
      <sharedItems/>
    </cacheField>
    <cacheField name="Onestream Account" numFmtId="0">
      <sharedItems/>
    </cacheField>
    <cacheField name="A/P Account Name" numFmtId="0">
      <sharedItems/>
    </cacheField>
    <cacheField name="Accounting Treatment" numFmtId="0">
      <sharedItems/>
    </cacheField>
    <cacheField name="2025 Actuals" numFmtId="166">
      <sharedItems containsString="0" containsBlank="1" containsNumber="1" minValue="-3700000" maxValue="7121037.5"/>
    </cacheField>
    <cacheField name="2026 Initial Budget" numFmtId="166">
      <sharedItems containsString="0" containsBlank="1" containsNumber="1" minValue="-4000000" maxValue="7500000"/>
    </cacheField>
    <cacheField name="2026 Final Budget" numFmtId="166">
      <sharedItems containsString="0" containsBlank="1" containsNumber="1" minValue="-4000000" maxValue="7500000"/>
    </cacheField>
    <cacheField name="2026 (Actuals + Forecast)" numFmtId="166">
      <sharedItems containsSemiMixedTypes="0" containsString="0" containsNumber="1" minValue="-4000000.0000000005" maxValue="6852968.5600000005"/>
    </cacheField>
    <cacheField name="2026 Opportunity" numFmtId="166">
      <sharedItems containsSemiMixedTypes="0" containsString="0" containsNumber="1" minValue="-647031.43999999948" maxValue="0"/>
    </cacheField>
    <cacheField name="2026 Risk" numFmtId="166">
      <sharedItems containsSemiMixedTypes="0" containsString="0" containsNumber="1" minValue="0" maxValue="1557600"/>
    </cacheField>
    <cacheField name="2026 Net Position" numFmtId="166">
      <sharedItems containsSemiMixedTypes="0" containsString="0" containsNumber="1" minValue="-647031.43999999948" maxValue="1557600"/>
    </cacheField>
    <cacheField name="Notes" numFmtId="0">
      <sharedItems containsBlank="1"/>
    </cacheField>
    <cacheField name="Jan FC" numFmtId="166">
      <sharedItems containsString="0" containsBlank="1" containsNumber="1" minValue="-333333.33333333331" maxValue="625000"/>
    </cacheField>
    <cacheField name="Feb FC" numFmtId="166">
      <sharedItems containsString="0" containsBlank="1" containsNumber="1" minValue="-333333.33333333331" maxValue="625000"/>
    </cacheField>
    <cacheField name="Mar FC" numFmtId="0">
      <sharedItems containsString="0" containsBlank="1" containsNumber="1" minValue="-333333.33333333331" maxValue="625000"/>
    </cacheField>
    <cacheField name="Apr FC" numFmtId="166">
      <sharedItems containsString="0" containsBlank="1" containsNumber="1" minValue="-333333.33333333331" maxValue="625000"/>
    </cacheField>
    <cacheField name="May FC" numFmtId="166">
      <sharedItems containsString="0" containsBlank="1" containsNumber="1" minValue="-333333.33333333331" maxValue="625000"/>
    </cacheField>
    <cacheField name="Jun FC" numFmtId="166">
      <sharedItems containsString="0" containsBlank="1" containsNumber="1" minValue="-333333.33333333331" maxValue="625000"/>
    </cacheField>
    <cacheField name="Jul FC" numFmtId="0">
      <sharedItems containsString="0" containsBlank="1" containsNumber="1" minValue="-333333.33333333331" maxValue="625000"/>
    </cacheField>
    <cacheField name="Aug FC" numFmtId="166">
      <sharedItems containsString="0" containsBlank="1" containsNumber="1" minValue="-333333.33333333331" maxValue="625000"/>
    </cacheField>
    <cacheField name="Sep FC" numFmtId="0">
      <sharedItems containsString="0" containsBlank="1" containsNumber="1" minValue="-333333.33333333331" maxValue="625000"/>
    </cacheField>
    <cacheField name="Oct FC" numFmtId="0">
      <sharedItems containsString="0" containsBlank="1" containsNumber="1" minValue="-333333.33333333331" maxValue="625000"/>
    </cacheField>
    <cacheField name="Nov FC" numFmtId="0">
      <sharedItems containsString="0" containsBlank="1" containsNumber="1" minValue="-333333.33333333331" maxValue="625000"/>
    </cacheField>
    <cacheField name="Dec FC" numFmtId="166">
      <sharedItems containsString="0" containsBlank="1" containsNumber="1" minValue="-333333.33333333331" maxValue="725503"/>
    </cacheField>
    <cacheField name="Total - FC" numFmtId="166">
      <sharedItems containsSemiMixedTypes="0" containsString="0" containsNumber="1" minValue="-4000000.0000000005" maxValue="7483224"/>
    </cacheField>
    <cacheField name="Jun-Dec FC" numFmtId="166">
      <sharedItems containsSemiMixedTypes="0" containsString="0" containsNumber="1" minValue="-2333333.333333333" maxValue="4358224"/>
    </cacheField>
    <cacheField name="Jan AC" numFmtId="166">
      <sharedItems containsString="0" containsBlank="1" containsNumber="1" minValue="-333333.33333333331" maxValue="660370.4"/>
    </cacheField>
    <cacheField name="Feb AC" numFmtId="166">
      <sharedItems containsString="0" containsBlank="1" containsNumber="1" minValue="-333333.33333333331" maxValue="603859.57000000007"/>
    </cacheField>
    <cacheField name="Mar AC" numFmtId="0">
      <sharedItems containsString="0" containsBlank="1" containsNumber="1" minValue="-333333.33333333331" maxValue="627545.69000000006"/>
    </cacheField>
    <cacheField name="Apr AC" numFmtId="166">
      <sharedItems containsString="0" containsBlank="1" containsNumber="1" minValue="-333333.33333333331" maxValue="602395.04999999993"/>
    </cacheField>
    <cacheField name="May AC" numFmtId="166">
      <sharedItems containsString="0" containsBlank="1" containsNumber="1" minValue="-333333.33333333331" maxValue="333776.63"/>
    </cacheField>
    <cacheField name="Jun AC" numFmtId="166">
      <sharedItems containsString="0" containsBlank="1" containsNumber="1" minValue="-333333.33333333331" maxValue="633397.85"/>
    </cacheField>
    <cacheField name="Jul AC" numFmtId="0">
      <sharedItems containsString="0" containsBlank="1" containsNumber="1" minValue="-333333.33333333331" maxValue="333776.63"/>
    </cacheField>
    <cacheField name="Aug AC" numFmtId="166">
      <sharedItems containsString="0" containsBlank="1" containsNumber="1" minValue="-333333.33333333331" maxValue="333776.63"/>
    </cacheField>
    <cacheField name="Sep AC" numFmtId="0">
      <sharedItems containsString="0" containsBlank="1" containsNumber="1" minValue="-333333.33333333331" maxValue="333776.63"/>
    </cacheField>
    <cacheField name="Oct AC" numFmtId="0">
      <sharedItems containsString="0" containsBlank="1" containsNumber="1" minValue="-333333.33333333331" maxValue="333776.63"/>
    </cacheField>
    <cacheField name="Nov AC" numFmtId="0">
      <sharedItems containsString="0" containsBlank="1" containsNumber="1" minValue="-333333.33333333331" maxValue="333776.63"/>
    </cacheField>
    <cacheField name="Dec AC" numFmtId="166">
      <sharedItems containsString="0" containsBlank="1" containsNumber="1" minValue="-333333.33333333331" maxValue="333776.63"/>
    </cacheField>
    <cacheField name="Total Actuals" numFmtId="166">
      <sharedItems containsSemiMixedTypes="0" containsString="0" containsNumber="1" minValue="-4000000.0000000005" maxValue="4073475.3699999992"/>
    </cacheField>
    <cacheField name="Jan Opp/Risk" numFmtId="166">
      <sharedItems containsSemiMixedTypes="0" containsString="0" containsNumber="1" minValue="-16576" maxValue="68155.81"/>
    </cacheField>
    <cacheField name="Feb Opp./Risk" numFmtId="166">
      <sharedItems containsSemiMixedTypes="0" containsString="0" containsNumber="1" minValue="-21256" maxValue="55922.8"/>
    </cacheField>
    <cacheField name="Mar Opp./Risk" numFmtId="166">
      <sharedItems containsSemiMixedTypes="0" containsString="0" containsNumber="1" minValue="-34875" maxValue="72920.559999999983"/>
    </cacheField>
    <cacheField name="Apr Opp./Risk" numFmtId="166">
      <sharedItems containsSemiMixedTypes="0" containsString="0" containsNumber="1" minValue="-232868.65" maxValue="8814.31"/>
    </cacheField>
    <cacheField name="May Opp./Risk" numFmtId="166">
      <sharedItems containsSemiMixedTypes="0" containsString="0" containsNumber="1" minValue="-624426.15" maxValue="50309.000000000015"/>
    </cacheField>
    <cacheField name="Jun Opp./Risk" numFmtId="166">
      <sharedItems containsSemiMixedTypes="0" containsString="0" containsNumber="1" minValue="-183156.23333333331" maxValue="8397.8499999999767"/>
    </cacheField>
    <cacheField name="Jul Opp./Risk" numFmtId="166">
      <sharedItems containsSemiMixedTypes="0" containsString="0" containsNumber="1" minValue="-625000" maxValue="6533.8508333333302"/>
    </cacheField>
    <cacheField name="Aug Opp./Risk" numFmtId="166">
      <sharedItems containsSemiMixedTypes="0" containsString="0" containsNumber="1" minValue="-625000" maxValue="6533.8508333333302"/>
    </cacheField>
    <cacheField name="Sep Opp./Risk" numFmtId="166">
      <sharedItems containsSemiMixedTypes="0" containsString="0" containsNumber="1" minValue="-625000" maxValue="6533.8508333333302"/>
    </cacheField>
    <cacheField name="Oct Opp./Risk" numFmtId="166">
      <sharedItems containsSemiMixedTypes="0" containsString="0" containsNumber="1" minValue="-625000" maxValue="6533.8508333333302"/>
    </cacheField>
    <cacheField name="Nov Opp./Risk" numFmtId="166">
      <sharedItems containsSemiMixedTypes="0" containsString="0" containsNumber="1" minValue="-625000" maxValue="6533.8508333333302"/>
    </cacheField>
    <cacheField name="Dec Opp./Risk" numFmtId="166">
      <sharedItems containsSemiMixedTypes="0" containsString="0" containsNumber="1" minValue="-725503" maxValue="6533.8508333333302"/>
    </cacheField>
    <cacheField name="Total Opp./Risk" numFmtId="166">
      <sharedItems containsSemiMixedTypes="0" containsString="0" containsNumber="1" minValue="-4355081.59" maxValue="78406.209999999963"/>
    </cacheField>
    <cacheField name="Notes - Swati" numFmtId="0">
      <sharedItems containsBlank="1" longText="1"/>
    </cacheField>
    <cacheField name="Jan-Apr Actuals" numFmtId="166">
      <sharedItems containsSemiMixedTypes="0" containsString="0" containsNumber="1" minValue="-1333333.3333333333" maxValue="2494170.7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wati Yadav (Contractor)" refreshedDate="46196.752212037034" createdVersion="8" refreshedVersion="8" minRefreshableVersion="3" recordCount="147" xr:uid="{17190919-F5DB-453B-BFEE-CA7BB8BD005A}">
  <cacheSource type="worksheet">
    <worksheetSource name="Financials2026[[Transaction Type]:[Notes - Swati]]"/>
  </cacheSource>
  <cacheFields count="68">
    <cacheField name="Transaction Type" numFmtId="0">
      <sharedItems containsBlank="1" count="7">
        <s v="Contract"/>
        <s v="event driven"/>
        <s v="Invoice Driven"/>
        <s v="Capitalization"/>
        <s v="Amortization"/>
        <m u="1"/>
        <s v="Subtotal" u="1"/>
      </sharedItems>
    </cacheField>
    <cacheField name="D365 Legal Vendor name" numFmtId="0">
      <sharedItems containsBlank="1" count="82">
        <s v="Microsoft Corporation"/>
        <s v="T&amp;E - Refer to Concur"/>
        <s v="Archetype Consulting, Inc."/>
        <s v="VPMA Global Services LLC"/>
        <s v="G Treasury SS, LLC"/>
        <s v="SuperTrader, Inc."/>
        <s v="CDW DIRECT LLC"/>
        <s v="COGENT COMMUNICATIONS, INC"/>
        <s v="LEVEL 3 COMMUNICATIONS"/>
        <s v="Bell Mobility Inc."/>
        <s v="Zoom Video Communications, Inc."/>
        <s v="Other"/>
        <s v="Bloomberg Finance L.P."/>
        <s v="PitchBook Data, Inc."/>
        <s v="City of Chicago"/>
        <s v="New York State Department of Taxation and Finance"/>
        <s v="Nterone Corporation"/>
        <s v="Coforge DPA NA Inc."/>
        <s v="Cognizant Worldwide Limited"/>
        <s v="Andersen Tax Holdings"/>
        <s v="Virteva LLC"/>
        <s v="Broadridge Output  Solutions"/>
        <s v="Finastra Technology, Inc"/>
        <s v="Indus Valley Partners Corporation"/>
        <s v="Workday, Inc."/>
        <s v="BWise Internal Control Inc."/>
        <s v="Cloud Navigators LLC"/>
        <s v="FinDox Inc."/>
        <s v="HSO Enterprise Solutions LLC"/>
        <s v="Incloud, LLC"/>
        <s v="Inogic Tech India Private Limited"/>
        <s v="Lucid Software, Inc."/>
        <s v="Macabacus, Inc."/>
        <s v="Monday.com Ltd"/>
        <s v="NewRocket, LLC"/>
        <s v="Oracle America, Inc."/>
        <s v="RFPIO INC. (Responsive)"/>
        <s v="SALESFORCE COM INC"/>
        <s v="Siemens Industry Software, Inc."/>
        <s v="SS&amp;C GIDS, Inc."/>
        <s v="SonarSource SA"/>
        <s v="SHI International Corp"/>
        <s v="Smarsh Inc."/>
        <s v="DigiCert, Inc."/>
        <s v="Datadog, Inc."/>
        <s v="ClickTime.com Inc."/>
        <s v="Cloud Software Group (formally Tibco)"/>
        <s v="CloudFlare"/>
        <s v="Litera"/>
        <s v="Alation Inc."/>
        <s v="BroadVantage"/>
        <s v="Equisolve, Inc."/>
        <s v="MARKIT NORTH AMERICA, INC."/>
        <s v="Intelligent Business Platforms LLC"/>
        <s v="Seismic Software Inc."/>
        <s v="Software Capitalization"/>
        <s v="Amortization/Multiple"/>
        <s v="PactFi Inc."/>
        <s v="AT&amp;T Corp"/>
        <s v="Beanfield Technologies, Inc."/>
        <s v="Cogent Canada, Inc."/>
        <s v="Amazon Capital Services, Inc."/>
        <s v="General Office Expense - Refer to Concur"/>
        <s v="ICE Benchmark Administration Ltd"/>
        <s v="SaferKid, Inc. (FirmScribe)"/>
        <s v="Cisco Systems, Inc."/>
        <s v="j2 Cloud Services, Inc."/>
        <s v="LoopUp"/>
        <s v="Verizon Wireless Services LLC"/>
        <s v="ASX Benchmarks PTY limited"/>
        <s v="Fitch Solutions, Inc."/>
        <s v="THOMSON REUTERS MARKETS LLC"/>
        <s v="TSX Inc."/>
        <s v="Sky Road"/>
        <s v="2026 PH"/>
        <s v="OpenAI, L.L.C. (“OpenAI”)"/>
        <s v="Allvue Systems, LLC"/>
        <s v="OneStream Software, LLC"/>
        <s v="Norske Finansielle Referanser AS"/>
        <s v="CME Group"/>
        <m u="1"/>
        <s v="Nore" u="1"/>
      </sharedItems>
    </cacheField>
    <cacheField name="DBA / AKA / Passthrough" numFmtId="0">
      <sharedItems containsBlank="1"/>
    </cacheField>
    <cacheField name="Project ID" numFmtId="0">
      <sharedItems count="35">
        <s v="Prj000350"/>
        <s v="Prj000266"/>
        <s v="Prj000344"/>
        <s v="Prj000603"/>
        <s v="Prj000290"/>
        <s v="Prj000381"/>
        <s v="Prj000426"/>
        <s v="Prj000403"/>
        <s v="T&amp;M"/>
        <s v="Prj000467"/>
        <s v="Prj000404"/>
        <s v="Prj000469"/>
        <s v="Prj000458"/>
        <s v="Prj000548"/>
        <s v="Prj000446"/>
        <s v="Prj000342"/>
        <s v="Prj000358"/>
        <s v="Prj000427"/>
        <s v="Prj000410"/>
        <s v="Prj000472"/>
        <s v="N/A"/>
        <s v="Amortization"/>
        <s v="Prj000228"/>
        <s v="Prj000556"/>
        <s v="Prj000353"/>
        <s v="Prj000489"/>
        <s v="Prj000482"/>
        <s v="Prj000211"/>
        <s v="Prj000477"/>
        <s v="Prj000447"/>
        <s v="Prj000476"/>
        <s v="Prj000402"/>
        <s v="Prj000278"/>
        <s v="Prj000296"/>
        <s v="TBC" u="1"/>
      </sharedItems>
    </cacheField>
    <cacheField name="Project Name" numFmtId="0">
      <sharedItems/>
    </cacheField>
    <cacheField name="Domain" numFmtId="0">
      <sharedItems/>
    </cacheField>
    <cacheField name="Domain Owner" numFmtId="0">
      <sharedItems count="8">
        <s v="Danny Borkowski"/>
        <s v="Melissa Tumminia"/>
        <s v="Devang Shah"/>
        <s v="John Spencer"/>
        <s v="Erik Wynkoop"/>
        <s v="Dan Royer"/>
        <s v="N/A"/>
        <e v="#N/A" u="1"/>
      </sharedItems>
    </cacheField>
    <cacheField name="Contract Start" numFmtId="0">
      <sharedItems containsDate="1" containsBlank="1" containsMixedTypes="1" minDate="2021-12-15T00:00:00" maxDate="2026-07-02T00:00:00"/>
    </cacheField>
    <cacheField name="Contract End" numFmtId="0">
      <sharedItems containsDate="1" containsBlank="1" containsMixedTypes="1" minDate="2025-03-03T00:00:00" maxDate="2029-04-20T00:00:00"/>
    </cacheField>
    <cacheField name="Application" numFmtId="0">
      <sharedItems containsBlank="1"/>
    </cacheField>
    <cacheField name="Project Details" numFmtId="0">
      <sharedItems/>
    </cacheField>
    <cacheField name="Category" numFmtId="0">
      <sharedItems/>
    </cacheField>
    <cacheField name="Sub-Category1" numFmtId="0">
      <sharedItems containsBlank="1" count="9">
        <s v="Software"/>
        <s v="OOE"/>
        <s v="MS"/>
        <s v="Infrastructure"/>
        <s v="Labor/ T&amp;M"/>
        <s v="FPC"/>
        <s v="Capitalization"/>
        <s v="Hardware"/>
        <m u="1"/>
      </sharedItems>
    </cacheField>
    <cacheField name="Sub-Category2" numFmtId="0">
      <sharedItems/>
    </cacheField>
    <cacheField name="Contract Type" numFmtId="0">
      <sharedItems containsBlank="1"/>
    </cacheField>
    <cacheField name="MGMT View Category (OneStream)" numFmtId="0">
      <sharedItems/>
    </cacheField>
    <cacheField name="Onestream Account" numFmtId="0">
      <sharedItems/>
    </cacheField>
    <cacheField name="A/P Account Name" numFmtId="0">
      <sharedItems/>
    </cacheField>
    <cacheField name="Accounting Treatment" numFmtId="0">
      <sharedItems/>
    </cacheField>
    <cacheField name="2025 Actuals" numFmtId="166">
      <sharedItems containsString="0" containsBlank="1" containsNumber="1" minValue="-3700000" maxValue="7121037.5"/>
    </cacheField>
    <cacheField name="2026 Initial Budget" numFmtId="166">
      <sharedItems containsString="0" containsBlank="1" containsNumber="1" minValue="-4000000" maxValue="7500000"/>
    </cacheField>
    <cacheField name="2026 Final Budget" numFmtId="166">
      <sharedItems containsString="0" containsBlank="1" containsNumber="1" minValue="-4000000" maxValue="7500000"/>
    </cacheField>
    <cacheField name="2026 (Actuals + Forecast)" numFmtId="166">
      <sharedItems containsSemiMixedTypes="0" containsString="0" containsNumber="1" minValue="-4000000.0000000005" maxValue="6852968.5600000005"/>
    </cacheField>
    <cacheField name="2026 Opportunity" numFmtId="166">
      <sharedItems containsSemiMixedTypes="0" containsString="0" containsNumber="1" minValue="-647031.43999999948" maxValue="0"/>
    </cacheField>
    <cacheField name="2026 Risk" numFmtId="166">
      <sharedItems containsSemiMixedTypes="0" containsString="0" containsNumber="1" minValue="0" maxValue="1557600"/>
    </cacheField>
    <cacheField name="2026 Net Position" numFmtId="166">
      <sharedItems containsSemiMixedTypes="0" containsString="0" containsNumber="1" minValue="-647031.43999999948" maxValue="1557600"/>
    </cacheField>
    <cacheField name="Notes" numFmtId="0">
      <sharedItems containsBlank="1"/>
    </cacheField>
    <cacheField name="Jan FC" numFmtId="166">
      <sharedItems containsString="0" containsBlank="1" containsNumber="1" minValue="-333333.33333333331" maxValue="625000"/>
    </cacheField>
    <cacheField name="Feb FC" numFmtId="166">
      <sharedItems containsString="0" containsBlank="1" containsNumber="1" minValue="-333333.33333333331" maxValue="625000"/>
    </cacheField>
    <cacheField name="Mar FC" numFmtId="0">
      <sharedItems containsString="0" containsBlank="1" containsNumber="1" minValue="-333333.33333333331" maxValue="625000"/>
    </cacheField>
    <cacheField name="Apr FC" numFmtId="166">
      <sharedItems containsString="0" containsBlank="1" containsNumber="1" minValue="-333333.33333333331" maxValue="625000"/>
    </cacheField>
    <cacheField name="May FC" numFmtId="166">
      <sharedItems containsString="0" containsBlank="1" containsNumber="1" minValue="-333333.33333333331" maxValue="625000"/>
    </cacheField>
    <cacheField name="Jun FC" numFmtId="166">
      <sharedItems containsString="0" containsBlank="1" containsNumber="1" minValue="-333333.33333333331" maxValue="625000"/>
    </cacheField>
    <cacheField name="Jul FC" numFmtId="0">
      <sharedItems containsString="0" containsBlank="1" containsNumber="1" minValue="-333333.33333333331" maxValue="625000"/>
    </cacheField>
    <cacheField name="Aug FC" numFmtId="166">
      <sharedItems containsString="0" containsBlank="1" containsNumber="1" minValue="-333333.33333333331" maxValue="625000"/>
    </cacheField>
    <cacheField name="Sep FC" numFmtId="0">
      <sharedItems containsString="0" containsBlank="1" containsNumber="1" minValue="-333333.33333333331" maxValue="625000"/>
    </cacheField>
    <cacheField name="Oct FC" numFmtId="0">
      <sharedItems containsString="0" containsBlank="1" containsNumber="1" minValue="-333333.33333333331" maxValue="625000"/>
    </cacheField>
    <cacheField name="Nov FC" numFmtId="0">
      <sharedItems containsString="0" containsBlank="1" containsNumber="1" minValue="-333333.33333333331" maxValue="625000"/>
    </cacheField>
    <cacheField name="Dec FC" numFmtId="166">
      <sharedItems containsString="0" containsBlank="1" containsNumber="1" minValue="-333333.33333333331" maxValue="725503"/>
    </cacheField>
    <cacheField name="Total - FC" numFmtId="166">
      <sharedItems containsSemiMixedTypes="0" containsString="0" containsNumber="1" minValue="-4000000.0000000005" maxValue="7483224"/>
    </cacheField>
    <cacheField name="Jun-Dec FC" numFmtId="166">
      <sharedItems containsSemiMixedTypes="0" containsString="0" containsNumber="1" minValue="-2333333.333333333" maxValue="4358224"/>
    </cacheField>
    <cacheField name="Jan AC" numFmtId="166">
      <sharedItems containsString="0" containsBlank="1" containsNumber="1" minValue="-333333.33333333331" maxValue="660370.4"/>
    </cacheField>
    <cacheField name="Feb AC" numFmtId="166">
      <sharedItems containsString="0" containsBlank="1" containsNumber="1" minValue="-333333.33333333331" maxValue="603859.57000000007"/>
    </cacheField>
    <cacheField name="Mar AC" numFmtId="0">
      <sharedItems containsString="0" containsBlank="1" containsNumber="1" minValue="-333333.33333333331" maxValue="627545.69000000006"/>
    </cacheField>
    <cacheField name="Apr AC" numFmtId="166">
      <sharedItems containsString="0" containsBlank="1" containsNumber="1" minValue="-333333.33333333331" maxValue="602395.04999999993"/>
    </cacheField>
    <cacheField name="May AC" numFmtId="166">
      <sharedItems containsString="0" containsBlank="1" containsNumber="1" minValue="-333333.33333333331" maxValue="333776.63"/>
    </cacheField>
    <cacheField name="Jun AC" numFmtId="166">
      <sharedItems containsString="0" containsBlank="1" containsNumber="1" minValue="-333333.33333333331" maxValue="633397.85"/>
    </cacheField>
    <cacheField name="Jul AC" numFmtId="0">
      <sharedItems containsString="0" containsBlank="1" containsNumber="1" minValue="-333333.33333333331" maxValue="333776.63"/>
    </cacheField>
    <cacheField name="Aug AC" numFmtId="166">
      <sharedItems containsString="0" containsBlank="1" containsNumber="1" minValue="-333333.33333333331" maxValue="333776.63"/>
    </cacheField>
    <cacheField name="Sep AC" numFmtId="0">
      <sharedItems containsString="0" containsBlank="1" containsNumber="1" minValue="-333333.33333333331" maxValue="333776.63"/>
    </cacheField>
    <cacheField name="Oct AC" numFmtId="0">
      <sharedItems containsString="0" containsBlank="1" containsNumber="1" minValue="-333333.33333333331" maxValue="333776.63"/>
    </cacheField>
    <cacheField name="Nov AC" numFmtId="0">
      <sharedItems containsString="0" containsBlank="1" containsNumber="1" minValue="-333333.33333333331" maxValue="333776.63"/>
    </cacheField>
    <cacheField name="Dec AC" numFmtId="166">
      <sharedItems containsString="0" containsBlank="1" containsNumber="1" minValue="-333333.33333333331" maxValue="333776.63"/>
    </cacheField>
    <cacheField name="Total Actuals" numFmtId="166">
      <sharedItems containsSemiMixedTypes="0" containsString="0" containsNumber="1" minValue="-4000000.0000000005" maxValue="4073475.3699999992"/>
    </cacheField>
    <cacheField name="Jan Opp/Risk" numFmtId="166">
      <sharedItems containsSemiMixedTypes="0" containsString="0" containsNumber="1" minValue="-16576" maxValue="68155.81"/>
    </cacheField>
    <cacheField name="Feb Opp./Risk" numFmtId="166">
      <sharedItems containsSemiMixedTypes="0" containsString="0" containsNumber="1" minValue="-21256" maxValue="55922.8"/>
    </cacheField>
    <cacheField name="Mar Opp./Risk" numFmtId="166">
      <sharedItems containsSemiMixedTypes="0" containsString="0" containsNumber="1" minValue="-34875" maxValue="72920.559999999983"/>
    </cacheField>
    <cacheField name="Apr Opp./Risk" numFmtId="166">
      <sharedItems containsSemiMixedTypes="0" containsString="0" containsNumber="1" minValue="-232868.65" maxValue="8814.31"/>
    </cacheField>
    <cacheField name="May Opp./Risk" numFmtId="166">
      <sharedItems containsSemiMixedTypes="0" containsString="0" containsNumber="1" minValue="-624426.15" maxValue="50309.000000000015"/>
    </cacheField>
    <cacheField name="Jun Opp./Risk" numFmtId="166">
      <sharedItems containsSemiMixedTypes="0" containsString="0" containsNumber="1" minValue="-183156.23333333331" maxValue="8397.8499999999767"/>
    </cacheField>
    <cacheField name="Jul Opp./Risk" numFmtId="166">
      <sharedItems containsSemiMixedTypes="0" containsString="0" containsNumber="1" minValue="-625000" maxValue="6533.8508333333302"/>
    </cacheField>
    <cacheField name="Aug Opp./Risk" numFmtId="166">
      <sharedItems containsSemiMixedTypes="0" containsString="0" containsNumber="1" minValue="-625000" maxValue="6533.8508333333302"/>
    </cacheField>
    <cacheField name="Sep Opp./Risk" numFmtId="166">
      <sharedItems containsSemiMixedTypes="0" containsString="0" containsNumber="1" minValue="-625000" maxValue="6533.8508333333302"/>
    </cacheField>
    <cacheField name="Oct Opp./Risk" numFmtId="166">
      <sharedItems containsSemiMixedTypes="0" containsString="0" containsNumber="1" minValue="-625000" maxValue="6533.8508333333302"/>
    </cacheField>
    <cacheField name="Nov Opp./Risk" numFmtId="166">
      <sharedItems containsSemiMixedTypes="0" containsString="0" containsNumber="1" minValue="-625000" maxValue="6533.8508333333302"/>
    </cacheField>
    <cacheField name="Dec Opp./Risk" numFmtId="166">
      <sharedItems containsSemiMixedTypes="0" containsString="0" containsNumber="1" minValue="-725503" maxValue="6533.8508333333302"/>
    </cacheField>
    <cacheField name="Total Opp./Risk" numFmtId="166">
      <sharedItems containsSemiMixedTypes="0" containsString="0" containsNumber="1" minValue="-4355081.59" maxValue="78406.209999999963"/>
    </cacheField>
    <cacheField name="Notes - Swati" numFmtId="0">
      <sharedItems containsBlank="1" longText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wati Yadav (Contractor)" refreshedDate="46198.004473958332" createdVersion="8" refreshedVersion="8" minRefreshableVersion="3" recordCount="148" xr:uid="{14834CBE-76E0-4F7D-A076-F066E6A489B9}">
  <cacheSource type="worksheet">
    <worksheetSource name="Financials20263"/>
  </cacheSource>
  <cacheFields count="73">
    <cacheField name="Transaction Type" numFmtId="0">
      <sharedItems count="5">
        <s v="Contract"/>
        <s v="event driven"/>
        <s v="Invoice Driven"/>
        <s v="Capitalization"/>
        <s v="Amortization"/>
      </sharedItems>
    </cacheField>
    <cacheField name="D365 Legal Vendor name" numFmtId="0">
      <sharedItems/>
    </cacheField>
    <cacheField name="DBA / AKA / Passthrough" numFmtId="0">
      <sharedItems containsBlank="1"/>
    </cacheField>
    <cacheField name="Project ID" numFmtId="0">
      <sharedItems/>
    </cacheField>
    <cacheField name="Project Name" numFmtId="0">
      <sharedItems/>
    </cacheField>
    <cacheField name="Domain" numFmtId="0">
      <sharedItems/>
    </cacheField>
    <cacheField name="Domain Owner" numFmtId="0">
      <sharedItems count="7">
        <s v="Danny Borkowski"/>
        <s v="Melissa Tumminia"/>
        <s v="Devang Shah"/>
        <s v="John Spencer"/>
        <s v="Erik Wynkoop"/>
        <s v="Dan Royer"/>
        <s v="N/A"/>
      </sharedItems>
    </cacheField>
    <cacheField name="Contract Start" numFmtId="0">
      <sharedItems containsDate="1" containsBlank="1" containsMixedTypes="1" minDate="2021-12-15T00:00:00" maxDate="2026-07-02T00:00:00"/>
    </cacheField>
    <cacheField name="Contract End" numFmtId="0">
      <sharedItems containsDate="1" containsBlank="1" containsMixedTypes="1" minDate="2025-03-03T00:00:00" maxDate="2029-04-20T00:00:00"/>
    </cacheField>
    <cacheField name="Application" numFmtId="0">
      <sharedItems containsBlank="1"/>
    </cacheField>
    <cacheField name="Project Details" numFmtId="0">
      <sharedItems/>
    </cacheField>
    <cacheField name="Category" numFmtId="0">
      <sharedItems/>
    </cacheField>
    <cacheField name="Sub-Category1" numFmtId="0">
      <sharedItems count="8">
        <s v="Software"/>
        <s v="OOE"/>
        <s v="MS"/>
        <s v="Infrastructure"/>
        <s v="Labor/ T&amp;M"/>
        <s v="FPC"/>
        <s v="Capitalization"/>
        <s v="Hardware"/>
      </sharedItems>
    </cacheField>
    <cacheField name="Sub-Category2" numFmtId="0">
      <sharedItems/>
    </cacheField>
    <cacheField name="Contract Type" numFmtId="0">
      <sharedItems containsBlank="1"/>
    </cacheField>
    <cacheField name="MGMT View Category (OneStream)" numFmtId="0">
      <sharedItems/>
    </cacheField>
    <cacheField name="Onestream Account" numFmtId="0">
      <sharedItems/>
    </cacheField>
    <cacheField name="A/P Account Name" numFmtId="0">
      <sharedItems/>
    </cacheField>
    <cacheField name="Accounting Treatment" numFmtId="0">
      <sharedItems/>
    </cacheField>
    <cacheField name="2025 Actuals" numFmtId="166">
      <sharedItems containsString="0" containsBlank="1" containsNumber="1" minValue="-3700000" maxValue="7121037.5"/>
    </cacheField>
    <cacheField name="2026 Initial Budget" numFmtId="166">
      <sharedItems containsString="0" containsBlank="1" containsNumber="1" minValue="-4000000" maxValue="7500000"/>
    </cacheField>
    <cacheField name="2026 Final Budget" numFmtId="166">
      <sharedItems containsString="0" containsBlank="1" containsNumber="1" minValue="-4000000" maxValue="7500000"/>
    </cacheField>
    <cacheField name="2026 (Actuals + Forecast)" numFmtId="166">
      <sharedItems containsSemiMixedTypes="0" containsString="0" containsNumber="1" minValue="-4000000.0000000005" maxValue="7499999.5600000005"/>
    </cacheField>
    <cacheField name="2026 Opportunity" numFmtId="166">
      <sharedItems containsSemiMixedTypes="0" containsString="0" containsNumber="1" minValue="-500000" maxValue="0"/>
    </cacheField>
    <cacheField name="2026 Risk" numFmtId="166">
      <sharedItems containsSemiMixedTypes="0" containsString="0" containsNumber="1" minValue="0" maxValue="1557600"/>
    </cacheField>
    <cacheField name="2026 Net Position" numFmtId="166">
      <sharedItems containsSemiMixedTypes="0" containsString="0" containsNumber="1" minValue="-500000" maxValue="1557600"/>
    </cacheField>
    <cacheField name="Notes" numFmtId="0">
      <sharedItems containsBlank="1"/>
    </cacheField>
    <cacheField name="Jan FC" numFmtId="166">
      <sharedItems containsString="0" containsBlank="1" containsNumber="1" minValue="-333333.33333333331" maxValue="625000"/>
    </cacheField>
    <cacheField name="Feb FC" numFmtId="166">
      <sharedItems containsString="0" containsBlank="1" containsNumber="1" minValue="-333333.33333333331" maxValue="625000"/>
    </cacheField>
    <cacheField name="Mar FC" numFmtId="0">
      <sharedItems containsString="0" containsBlank="1" containsNumber="1" minValue="-333333.33333333331" maxValue="625000"/>
    </cacheField>
    <cacheField name="Apr FC" numFmtId="166">
      <sharedItems containsString="0" containsBlank="1" containsNumber="1" minValue="-333333.33333333331" maxValue="625000"/>
    </cacheField>
    <cacheField name="May FC" numFmtId="166">
      <sharedItems containsString="0" containsBlank="1" containsNumber="1" minValue="-333333.33333333331" maxValue="625000"/>
    </cacheField>
    <cacheField name="Jun FC" numFmtId="166">
      <sharedItems containsString="0" containsBlank="1" containsNumber="1" minValue="-333333.33333333331" maxValue="625000"/>
    </cacheField>
    <cacheField name="Jul FC" numFmtId="0">
      <sharedItems containsString="0" containsBlank="1" containsNumber="1" minValue="-333333.33333333331" maxValue="625000"/>
    </cacheField>
    <cacheField name="Aug FC" numFmtId="166">
      <sharedItems containsString="0" containsBlank="1" containsNumber="1" minValue="-333333.33333333331" maxValue="625000"/>
    </cacheField>
    <cacheField name="Sep FC" numFmtId="0">
      <sharedItems containsString="0" containsBlank="1" containsNumber="1" minValue="-333333.33333333331" maxValue="625000"/>
    </cacheField>
    <cacheField name="Oct FC" numFmtId="0">
      <sharedItems containsString="0" containsBlank="1" containsNumber="1" minValue="-333333.33333333331" maxValue="625000"/>
    </cacheField>
    <cacheField name="Nov FC" numFmtId="0">
      <sharedItems containsString="0" containsBlank="1" containsNumber="1" minValue="-333333.33333333331" maxValue="625000"/>
    </cacheField>
    <cacheField name="Dec FC" numFmtId="166">
      <sharedItems containsString="0" containsBlank="1" containsNumber="1" minValue="-333333.33333333331" maxValue="725503"/>
    </cacheField>
    <cacheField name="Total - FC" numFmtId="166">
      <sharedItems containsSemiMixedTypes="0" containsString="0" containsNumber="1" minValue="-4000000.0000000005" maxValue="7497431"/>
    </cacheField>
    <cacheField name="Jun-Dec FC" numFmtId="166">
      <sharedItems containsSemiMixedTypes="0" containsString="0" containsNumber="1" minValue="-2333333.333333333" maxValue="4372431"/>
    </cacheField>
    <cacheField name="Jan AC" numFmtId="166">
      <sharedItems containsString="0" containsBlank="1" containsNumber="1" minValue="-333333.33333333331" maxValue="660370.4"/>
    </cacheField>
    <cacheField name="Feb AC" numFmtId="166">
      <sharedItems containsString="0" containsBlank="1" containsNumber="1" minValue="-333333.33333333331" maxValue="603859.57000000007"/>
    </cacheField>
    <cacheField name="Mar AC" numFmtId="0">
      <sharedItems containsString="0" containsBlank="1" containsNumber="1" minValue="-333333.33333333331" maxValue="627545.69000000006"/>
    </cacheField>
    <cacheField name="Apr AC" numFmtId="166">
      <sharedItems containsString="0" containsBlank="1" containsNumber="1" minValue="-333333.33333333331" maxValue="602395.04999999993"/>
    </cacheField>
    <cacheField name="May AC" numFmtId="166">
      <sharedItems containsString="0" containsBlank="1" containsNumber="1" minValue="-333333.33333333331" maxValue="633397.85"/>
    </cacheField>
    <cacheField name="Jun AC" numFmtId="166">
      <sharedItems containsString="0" containsBlank="1" containsNumber="1" minValue="-333333.33333333331" maxValue="333776.63"/>
    </cacheField>
    <cacheField name="Jul AC" numFmtId="0">
      <sharedItems containsString="0" containsBlank="1" containsNumber="1" minValue="-333333.33333333331" maxValue="333776.63"/>
    </cacheField>
    <cacheField name="Aug AC" numFmtId="166">
      <sharedItems containsString="0" containsBlank="1" containsNumber="1" minValue="-333333.33333333331" maxValue="333776.63"/>
    </cacheField>
    <cacheField name="Sep AC" numFmtId="0">
      <sharedItems containsString="0" containsBlank="1" containsNumber="1" minValue="-333333.33333333331" maxValue="333776.63"/>
    </cacheField>
    <cacheField name="Oct AC" numFmtId="0">
      <sharedItems containsString="0" containsBlank="1" containsNumber="1" minValue="-333333.33333333331" maxValue="333776.63"/>
    </cacheField>
    <cacheField name="Nov AC" numFmtId="0">
      <sharedItems containsString="0" containsBlank="1" containsNumber="1" minValue="-333333.33333333331" maxValue="333776.63"/>
    </cacheField>
    <cacheField name="Dec AC" numFmtId="166">
      <sharedItems containsString="0" containsBlank="1" containsNumber="1" minValue="-333333.33333333331" maxValue="333776.63"/>
    </cacheField>
    <cacheField name="Total Actuals" numFmtId="166">
      <sharedItems containsSemiMixedTypes="0" containsString="0" containsNumber="1" minValue="-4000000.0000000005" maxValue="4073475.3699999992"/>
    </cacheField>
    <cacheField name="Jan Opp/Risk" numFmtId="166">
      <sharedItems containsSemiMixedTypes="0" containsString="0" containsNumber="1" minValue="-16576" maxValue="68155.81"/>
    </cacheField>
    <cacheField name="Feb Opp./Risk" numFmtId="166">
      <sharedItems containsSemiMixedTypes="0" containsString="0" containsNumber="1" minValue="-21256" maxValue="55922.8"/>
    </cacheField>
    <cacheField name="Mar Opp./Risk" numFmtId="166">
      <sharedItems containsSemiMixedTypes="0" containsString="0" containsNumber="1" minValue="-34875" maxValue="72920.559999999983"/>
    </cacheField>
    <cacheField name="Apr Opp./Risk" numFmtId="166">
      <sharedItems containsSemiMixedTypes="0" containsString="0" containsNumber="1" minValue="-232868.65" maxValue="31824"/>
    </cacheField>
    <cacheField name="May Opp./Risk" numFmtId="166">
      <sharedItems containsSemiMixedTypes="0" containsString="0" containsNumber="1" minValue="-88000" maxValue="50309.000000000015"/>
    </cacheField>
    <cacheField name="Jun Opp./Risk" numFmtId="166">
      <sharedItems containsSemiMixedTypes="0" containsString="0" containsNumber="1" minValue="-624426.15" maxValue="7764.78"/>
    </cacheField>
    <cacheField name="Jul Opp./Risk" numFmtId="166">
      <sharedItems containsSemiMixedTypes="0" containsString="0" containsNumber="1" minValue="-625000" maxValue="1.3333333336049691E-2"/>
    </cacheField>
    <cacheField name="Aug Opp./Risk" numFmtId="166">
      <sharedItems containsSemiMixedTypes="0" containsString="0" containsNumber="1" minValue="-625000" maxValue="1.3333333336049691E-2"/>
    </cacheField>
    <cacheField name="Sep Opp./Risk" numFmtId="166">
      <sharedItems containsSemiMixedTypes="0" containsString="0" containsNumber="1" minValue="-625000" maxValue="1.3333333336049691E-2"/>
    </cacheField>
    <cacheField name="Oct Opp./Risk" numFmtId="166">
      <sharedItems containsSemiMixedTypes="0" containsString="0" containsNumber="1" minValue="-625000" maxValue="1.3333333336049691E-2"/>
    </cacheField>
    <cacheField name="Nov Opp./Risk" numFmtId="166">
      <sharedItems containsSemiMixedTypes="0" containsString="0" containsNumber="1" minValue="-625000" maxValue="1.3333333336049691E-2"/>
    </cacheField>
    <cacheField name="Dec Opp./Risk" numFmtId="166">
      <sharedItems containsSemiMixedTypes="0" containsString="0" containsNumber="1" minValue="-725503" maxValue="1.3333333336049691E-2"/>
    </cacheField>
    <cacheField name="Total Opp./Risk" numFmtId="166">
      <sharedItems containsSemiMixedTypes="0" containsString="0" containsNumber="1" minValue="-4369288.59" maxValue="68155.81"/>
    </cacheField>
    <cacheField name="Notes - Swati" numFmtId="0">
      <sharedItems containsBlank="1" longText="1"/>
    </cacheField>
    <cacheField name="Jan-May Actuals" numFmtId="166">
      <sharedItems containsSemiMixedTypes="0" containsString="0" containsNumber="1" minValue="-1666666.6666666665" maxValue="3127568.56"/>
    </cacheField>
    <cacheField name="Jan-May Forecast " numFmtId="166">
      <sharedItems containsSemiMixedTypes="0" containsString="0" containsNumber="1" minValue="0" maxValue="232868.65"/>
    </cacheField>
    <cacheField name="Forecast Jun-Dec" numFmtId="166">
      <sharedItems containsSemiMixedTypes="0" containsString="0" containsNumber="1" minValue="-2333333.333333333" maxValue="4372431"/>
    </cacheField>
    <cacheField name="Forecast Jan-May" numFmtId="166">
      <sharedItems containsSemiMixedTypes="0" containsString="0" containsNumber="1" minValue="-1666666.6666666665" maxValue="3125000"/>
    </cacheField>
    <cacheField name="Actual+Forecast" numFmtId="166">
      <sharedItems containsSemiMixedTypes="0" containsString="0" containsNumber="1" minValue="-3999999.9999999995" maxValue="7499999.560000000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">
  <r>
    <x v="0"/>
    <s v="Microsoft Corporation"/>
    <s v="Microsoft D365 F&amp;O and CRM"/>
    <s v="Prj000350"/>
    <s v="Support - Infrastructure for Tech"/>
    <s v="Infrastructure Services, Controls &amp; User Enablement"/>
    <x v="0"/>
    <d v="2025-06-01T00:00:00"/>
    <d v="2028-05-31T00:00:00"/>
    <s v="CRM Lic"/>
    <s v="Prj000350-Support - Infrastructure for Tech"/>
    <s v="Non-Labor"/>
    <x v="0"/>
    <s v="Software"/>
    <s v="CRM Lic"/>
    <s v="Information Technology"/>
    <s v="Software - Licenses"/>
    <s v="Software - Licenses"/>
    <s v="Annual Prepaid"/>
    <n v="351839.43333333335"/>
    <n v="361000"/>
    <n v="361000"/>
    <n v="371392.66666666663"/>
    <n v="0"/>
    <n v="10392.666666666628"/>
    <n v="10392.666666666628"/>
    <s v="Renewed 6/1/25, anniversary date true-up-CRM (Prepaid)"/>
    <n v="30083.333333333332"/>
    <n v="30083.333333333332"/>
    <n v="30083.333333333332"/>
    <n v="30083.333333333332"/>
    <n v="30083.333333333332"/>
    <n v="31568"/>
    <n v="31568"/>
    <n v="31568"/>
    <n v="31568"/>
    <n v="31568"/>
    <n v="31568"/>
    <n v="31568"/>
    <n v="371392.66666666663"/>
    <n v="220976"/>
    <n v="30083.333333333332"/>
    <n v="30083.333333333332"/>
    <n v="30083.333333333332"/>
    <n v="30083.333333333332"/>
    <n v="30083.333333333332"/>
    <m/>
    <m/>
    <m/>
    <m/>
    <m/>
    <m/>
    <m/>
    <n v="150416.66666666666"/>
    <n v="0"/>
    <n v="0"/>
    <n v="0"/>
    <n v="0"/>
    <n v="0"/>
    <n v="-31568"/>
    <n v="-31568"/>
    <n v="-31568"/>
    <n v="-31568"/>
    <n v="-31568"/>
    <n v="-31568"/>
    <n v="-31568"/>
    <n v="-220976"/>
    <m/>
    <n v="120333.33333333333"/>
  </r>
  <r>
    <x v="0"/>
    <s v="Microsoft Corporation"/>
    <s v="Microsoft D365 F&amp;O and CRM"/>
    <s v="Prj000350"/>
    <s v="Support - Infrastructure for Tech"/>
    <s v="Infrastructure Services, Controls &amp; User Enablement"/>
    <x v="0"/>
    <d v="2025-06-01T00:00:00"/>
    <d v="2028-05-31T00:00:00"/>
    <s v="F&amp;O Lic"/>
    <s v="Prj000350-Support - Infrastructure for Tech"/>
    <s v="Non-Labor"/>
    <x v="0"/>
    <s v="Software"/>
    <s v="F&amp;O Lic"/>
    <s v="Information Technology"/>
    <s v="Software - Licenses"/>
    <s v="Software - Licenses"/>
    <s v="Annual Prepaid"/>
    <n v="104417"/>
    <n v="179000"/>
    <n v="179000"/>
    <n v="273923.73333333334"/>
    <n v="0"/>
    <n v="94923.733333333337"/>
    <n v="94923.733333333337"/>
    <s v="Renewed 6/1/25, anniversary date true-up-F&amp;O (Prepaid)"/>
    <n v="14916.666666666666"/>
    <n v="14916.666666666666"/>
    <n v="14916.666666666666"/>
    <n v="14916.666666666666"/>
    <n v="14916.666666666666"/>
    <n v="28477.200000000001"/>
    <n v="28477.200000000001"/>
    <n v="28477.200000000001"/>
    <n v="28477.200000000001"/>
    <n v="28477.200000000001"/>
    <n v="28477.200000000001"/>
    <n v="28477.200000000001"/>
    <n v="273923.7333333334"/>
    <n v="199340.40000000002"/>
    <n v="14916.666666666666"/>
    <n v="14916.666666666666"/>
    <n v="14916.666666666666"/>
    <n v="14916.666666666666"/>
    <n v="14916.666666666666"/>
    <m/>
    <m/>
    <m/>
    <m/>
    <m/>
    <m/>
    <m/>
    <n v="74583.333333333328"/>
    <n v="0"/>
    <n v="0"/>
    <n v="0"/>
    <n v="0"/>
    <n v="0"/>
    <n v="-28477.200000000001"/>
    <n v="-28477.200000000001"/>
    <n v="-28477.200000000001"/>
    <n v="-28477.200000000001"/>
    <n v="-28477.200000000001"/>
    <n v="-28477.200000000001"/>
    <n v="-28477.200000000001"/>
    <n v="-199340.40000000002"/>
    <m/>
    <n v="59666.666666666664"/>
  </r>
  <r>
    <x v="1"/>
    <s v="T&amp;E - Refer to Concur"/>
    <m/>
    <s v="Prj000266"/>
    <s v="Support - Internal Tech Workforce Activities"/>
    <s v="Cos, PMO &amp; Enterprise Technology"/>
    <x v="1"/>
    <s v="NA"/>
    <s v="NA"/>
    <m/>
    <s v="Prj000266-Support - Internal Tech Workforce Activities"/>
    <s v="Non-Labor"/>
    <x v="1"/>
    <s v="OOE"/>
    <m/>
    <s v="Travel &amp; Entertainment"/>
    <s v="Travel &amp; Entertainment Expense"/>
    <s v="T&amp;E (Multiple)"/>
    <s v="Refer to Concur"/>
    <n v="211257"/>
    <n v="259449"/>
    <n v="259449"/>
    <n v="159448.85000000003"/>
    <n v="-100000.14999999997"/>
    <n v="0"/>
    <n v="-100000.14999999997"/>
    <s v="$100K not to be utilised as per Leon's instructions"/>
    <n v="11185.549999999997"/>
    <n v="7399.97"/>
    <n v="16129.190000000002"/>
    <n v="25262"/>
    <n v="23681.14"/>
    <m/>
    <m/>
    <m/>
    <m/>
    <m/>
    <m/>
    <n v="75791"/>
    <n v="159448.85"/>
    <n v="75791"/>
    <n v="11185.549999999997"/>
    <n v="7399.97"/>
    <n v="16129.190000000002"/>
    <n v="25262"/>
    <n v="23681.14"/>
    <m/>
    <m/>
    <m/>
    <m/>
    <m/>
    <m/>
    <m/>
    <n v="83657.850000000006"/>
    <n v="0"/>
    <n v="0"/>
    <n v="0"/>
    <n v="0"/>
    <n v="0"/>
    <n v="0"/>
    <n v="0"/>
    <n v="0"/>
    <n v="0"/>
    <n v="0"/>
    <n v="0"/>
    <n v="-75791"/>
    <n v="-75791"/>
    <s v="Concur project reimbursement cost can't be predicted, hence buffer kept in Dec"/>
    <n v="59976.71"/>
  </r>
  <r>
    <x v="0"/>
    <s v="Archetype Consulting, Inc."/>
    <m/>
    <s v="Prj000344"/>
    <s v="Support - Prod support for Finance Applications"/>
    <s v="Finance &amp; Treasury Technology"/>
    <x v="2"/>
    <d v="2025-01-09T00:00:00"/>
    <d v="2026-01-09T00:00:00"/>
    <m/>
    <s v="Prj000344-Support - Prod support for Finance Applications"/>
    <s v="Labor"/>
    <x v="2"/>
    <s v="RTB- MS"/>
    <s v="FPC"/>
    <s v="Outsourced"/>
    <s v="Run the Business Contractors and Outsource Services"/>
    <s v="RTB Expenses - Contractor"/>
    <s v="Monthly Expensed"/>
    <n v="91200"/>
    <n v="100000"/>
    <n v="100000"/>
    <n v="100015"/>
    <n v="0"/>
    <n v="15"/>
    <n v="15"/>
    <s v="check for contract copy"/>
    <n v="7600"/>
    <n v="7600"/>
    <n v="7600"/>
    <n v="7600"/>
    <n v="7600"/>
    <n v="7600"/>
    <n v="7600"/>
    <n v="7600"/>
    <n v="7600"/>
    <n v="7600"/>
    <n v="7600"/>
    <n v="7600"/>
    <n v="91200"/>
    <n v="53200"/>
    <n v="7600"/>
    <n v="7600"/>
    <n v="8675"/>
    <n v="7600"/>
    <n v="15340"/>
    <n v="7600"/>
    <m/>
    <m/>
    <m/>
    <m/>
    <m/>
    <m/>
    <n v="54415"/>
    <n v="0"/>
    <n v="0"/>
    <n v="1075"/>
    <n v="0"/>
    <n v="7740"/>
    <n v="0"/>
    <n v="-7600"/>
    <n v="-7600"/>
    <n v="-7600"/>
    <n v="-7600"/>
    <n v="-7600"/>
    <n v="-7600"/>
    <n v="-36785"/>
    <s v="Budget v/s Actuals, additional work for April'26 invoiced in May"/>
    <n v="31475"/>
  </r>
  <r>
    <x v="0"/>
    <s v="VPMA Global Services LLC"/>
    <s v="Control M"/>
    <s v="Prj000350"/>
    <s v="Support - Infrastructure for Tech"/>
    <s v="Infrastructure Services, Controls &amp; User Enablement"/>
    <x v="0"/>
    <d v="2025-07-15T00:00:00"/>
    <d v="2026-07-14T00:00:00"/>
    <s v="Control M"/>
    <s v="Prj000350-Support - Infrastructure for Tech"/>
    <s v="Non-Labor"/>
    <x v="0"/>
    <s v="Software"/>
    <m/>
    <s v="Information Technology"/>
    <s v="Software - Licenses"/>
    <s v="Software - Licenses"/>
    <s v="Annual Expensed"/>
    <n v="37630"/>
    <n v="39512"/>
    <n v="39512"/>
    <n v="39512"/>
    <n v="0"/>
    <n v="0"/>
    <n v="0"/>
    <m/>
    <m/>
    <m/>
    <m/>
    <m/>
    <m/>
    <m/>
    <n v="39512"/>
    <m/>
    <m/>
    <m/>
    <m/>
    <m/>
    <n v="39512"/>
    <n v="39512"/>
    <m/>
    <m/>
    <m/>
    <m/>
    <m/>
    <m/>
    <m/>
    <m/>
    <m/>
    <m/>
    <m/>
    <m/>
    <n v="0"/>
    <n v="0"/>
    <n v="0"/>
    <n v="0"/>
    <n v="0"/>
    <n v="0"/>
    <n v="0"/>
    <n v="-39512"/>
    <n v="0"/>
    <n v="0"/>
    <n v="0"/>
    <n v="0"/>
    <n v="0"/>
    <n v="-39512"/>
    <m/>
    <n v="0"/>
  </r>
  <r>
    <x v="0"/>
    <s v="G Treasury SS, LLC"/>
    <m/>
    <s v="Prj000344"/>
    <s v="Support - Prod support for Finance Applications"/>
    <s v="Finance &amp; Treasury Technology"/>
    <x v="2"/>
    <s v="NA"/>
    <s v="NA"/>
    <m/>
    <s v="Prj000344-Support - Prod support for Finance Applications"/>
    <s v="Non-Labor"/>
    <x v="0"/>
    <s v="Software"/>
    <m/>
    <s v="Information Technology"/>
    <s v="Managed Service - Core"/>
    <s v="Support Services"/>
    <s v="Potential Opportunity"/>
    <n v="14000"/>
    <n v="14700"/>
    <n v="14700"/>
    <n v="14700"/>
    <n v="0"/>
    <n v="0"/>
    <n v="0"/>
    <s v="Potential Opp."/>
    <m/>
    <m/>
    <m/>
    <m/>
    <m/>
    <m/>
    <m/>
    <m/>
    <m/>
    <m/>
    <m/>
    <n v="14700"/>
    <n v="14700"/>
    <n v="1470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-14700"/>
    <n v="-14700"/>
    <m/>
    <n v="0"/>
  </r>
  <r>
    <x v="0"/>
    <s v="G Treasury SS, LLC"/>
    <m/>
    <s v="Prj000603"/>
    <s v="Implement - Cash Matching Recon Solution"/>
    <s v="Finance &amp; Treasury Technology"/>
    <x v="2"/>
    <d v="2026-04-08T00:00:00"/>
    <d v="2027-04-07T00:00:00"/>
    <m/>
    <s v="Prj000603-Implement - Cash Matching Recon Solution"/>
    <s v="Non-Labor"/>
    <x v="0"/>
    <s v="Software"/>
    <m/>
    <s v="Information Technology"/>
    <s v="Managed Service - Core"/>
    <s v="Support Services"/>
    <s v="Annual Expensed"/>
    <m/>
    <m/>
    <m/>
    <n v="41250"/>
    <n v="0"/>
    <n v="41250"/>
    <n v="41250"/>
    <s v="Solvexia Bank Reconciliation ImplementationFees"/>
    <m/>
    <m/>
    <m/>
    <n v="7500"/>
    <n v="2400"/>
    <m/>
    <m/>
    <m/>
    <m/>
    <m/>
    <m/>
    <n v="31350"/>
    <n v="41250"/>
    <n v="31350"/>
    <m/>
    <m/>
    <m/>
    <n v="7500"/>
    <n v="2400"/>
    <m/>
    <m/>
    <m/>
    <m/>
    <m/>
    <m/>
    <m/>
    <n v="9900"/>
    <n v="0"/>
    <n v="0"/>
    <n v="0"/>
    <n v="0"/>
    <n v="0"/>
    <n v="0"/>
    <n v="0"/>
    <n v="0"/>
    <n v="0"/>
    <n v="0"/>
    <n v="0"/>
    <n v="-31350"/>
    <n v="-31350"/>
    <s v="New risk, unbudgeted - cash matching Gtreausry"/>
    <n v="7500"/>
  </r>
  <r>
    <x v="0"/>
    <s v="SuperTrader, Inc."/>
    <s v="LevPro"/>
    <s v="Prj000290"/>
    <s v="Support - Asset Management Applications"/>
    <s v="Asset Management Tech"/>
    <x v="3"/>
    <s v="Monthly"/>
    <s v="Monthly"/>
    <m/>
    <s v="Prj000290-Support - Asset Management Applications"/>
    <s v="Non-Labor"/>
    <x v="0"/>
    <s v="Software"/>
    <s v="FPC"/>
    <s v="Information Technology"/>
    <s v="Software - Licenses"/>
    <s v="CTB Expenses - Consulting"/>
    <s v="Monthly Expensed; Potential Opportunity"/>
    <n v="40000"/>
    <n v="42000"/>
    <n v="42000"/>
    <n v="35500"/>
    <n v="-6500"/>
    <n v="0"/>
    <n v="-6500"/>
    <s v="For LevPro Support work"/>
    <n v="3500"/>
    <n v="3500"/>
    <n v="3500"/>
    <n v="3500"/>
    <n v="3500"/>
    <n v="3500"/>
    <n v="3500"/>
    <n v="3500"/>
    <n v="3500"/>
    <n v="3500"/>
    <n v="3500"/>
    <n v="500"/>
    <n v="39000"/>
    <n v="21500"/>
    <n v="1000"/>
    <n v="2500"/>
    <m/>
    <m/>
    <m/>
    <m/>
    <m/>
    <m/>
    <m/>
    <m/>
    <m/>
    <m/>
    <n v="3500"/>
    <n v="-2500"/>
    <n v="-1000"/>
    <n v="-3500"/>
    <n v="-3500"/>
    <n v="-3500"/>
    <n v="-3500"/>
    <n v="-3500"/>
    <n v="-3500"/>
    <n v="-3500"/>
    <n v="-3500"/>
    <n v="-3500"/>
    <n v="-500"/>
    <n v="-35500"/>
    <s v="This cost is not fixed and will be fluctuating per month, $10K is part of WSO web to hosting transistion and should be part of $504K"/>
    <n v="3500"/>
  </r>
  <r>
    <x v="0"/>
    <s v="CDW DIRECT LLC"/>
    <m/>
    <s v="Prj000350"/>
    <s v="Support - Infrastructure for Tech"/>
    <s v="Infrastructure Services, Controls &amp; User Enablement"/>
    <x v="0"/>
    <s v="Monthly"/>
    <s v="Monthly"/>
    <m/>
    <s v="Prj000350-Support - Infrastructure for Tech"/>
    <s v="Non-Labor"/>
    <x v="3"/>
    <s v="Infrastructure"/>
    <m/>
    <s v="Information Technology"/>
    <s v="Managed Service - Network"/>
    <s v="Managed Service - Network"/>
    <s v="Monthly Expensed"/>
    <n v="237545.39"/>
    <n v="180000"/>
    <n v="180000"/>
    <n v="165100.70000000001"/>
    <n v="-14899.299999999988"/>
    <n v="0"/>
    <n v="-14899.299999999988"/>
    <s v="Network Managed Services (Network Operation Centre (NOC))"/>
    <n v="15000"/>
    <n v="15000"/>
    <n v="15000"/>
    <n v="15000"/>
    <n v="15000"/>
    <n v="15725"/>
    <n v="15725"/>
    <n v="15725"/>
    <n v="15725"/>
    <n v="15725"/>
    <n v="15725"/>
    <n v="15725"/>
    <n v="185075"/>
    <n v="110075"/>
    <n v="11005.14"/>
    <n v="11005.14"/>
    <n v="11005.14"/>
    <n v="11005.14"/>
    <n v="11005.14"/>
    <m/>
    <m/>
    <m/>
    <m/>
    <m/>
    <m/>
    <m/>
    <n v="55025.7"/>
    <n v="-3994.8600000000006"/>
    <n v="-3994.8600000000006"/>
    <n v="-3994.8600000000006"/>
    <n v="-3994.8600000000006"/>
    <n v="-3994.8600000000006"/>
    <n v="-15725"/>
    <n v="-15725"/>
    <n v="-15725"/>
    <n v="-15725"/>
    <n v="-15725"/>
    <n v="-15725"/>
    <n v="-15725"/>
    <n v="-130049.3"/>
    <s v="Budget v/s Actuals, revised rate as per new contract, ad hoc 240/hr charge for engeenering support part of contract"/>
    <n v="44020.56"/>
  </r>
  <r>
    <x v="0"/>
    <s v="COGENT COMMUNICATIONS, INC"/>
    <m/>
    <s v="Prj000350"/>
    <s v="Support - Infrastructure for Tech"/>
    <s v="Infrastructure Services, Controls &amp; User Enablement"/>
    <x v="0"/>
    <s v="Monthly"/>
    <s v="Monthly"/>
    <m/>
    <s v="Prj000350-Support - Infrastructure for Tech"/>
    <s v="Non-Labor"/>
    <x v="3"/>
    <s v="Infrastructure"/>
    <s v="MS Network"/>
    <s v="Information Technology"/>
    <s v="Managed Service - Network"/>
    <s v="Managed Service - Network"/>
    <s v="Monthly Expensed"/>
    <n v="32767"/>
    <n v="35314"/>
    <n v="35314"/>
    <n v="35702.549999999996"/>
    <n v="0"/>
    <n v="388.54999999999563"/>
    <n v="388.54999999999563"/>
    <s v="  "/>
    <n v="2943"/>
    <n v="2943"/>
    <n v="2943"/>
    <n v="2943"/>
    <n v="2943"/>
    <n v="2943"/>
    <n v="2943"/>
    <n v="2943"/>
    <n v="2943"/>
    <n v="2943"/>
    <n v="2943"/>
    <n v="2941"/>
    <n v="35314"/>
    <n v="20599"/>
    <n v="2802.71"/>
    <n v="2802.71"/>
    <n v="2802.71"/>
    <n v="3742.71"/>
    <n v="2952.71"/>
    <n v="2952.71"/>
    <m/>
    <m/>
    <m/>
    <m/>
    <m/>
    <m/>
    <n v="18056.259999999998"/>
    <n v="-140.28999999999996"/>
    <n v="-140.28999999999996"/>
    <n v="-140.28999999999996"/>
    <n v="799.71"/>
    <n v="9.7100000000000364"/>
    <n v="9.7100000000000364"/>
    <n v="-2943"/>
    <n v="-2943"/>
    <n v="-2943"/>
    <n v="-2943"/>
    <n v="-2943"/>
    <n v="-2941"/>
    <n v="-17257.739999999998"/>
    <s v="Budget v/s Actuals"/>
    <n v="12150.84"/>
  </r>
  <r>
    <x v="0"/>
    <s v="LEVEL 3 COMMUNICATIONS"/>
    <s v="Lumen"/>
    <s v="Prj000350"/>
    <s v="Support - Infrastructure for Tech"/>
    <s v="Infrastructure Services, Controls &amp; User Enablement"/>
    <x v="0"/>
    <s v="Monthly"/>
    <s v="Monthly"/>
    <m/>
    <s v="Prj000350-Support - Infrastructure for Tech"/>
    <s v="Non-Labor"/>
    <x v="3"/>
    <s v="Infrastructure"/>
    <s v="MS Network"/>
    <s v="Information Technology"/>
    <s v="Managed Service - Network"/>
    <s v="Managed Service - Network"/>
    <s v="Monthly Expensed"/>
    <n v="23746"/>
    <n v="25439"/>
    <n v="25439"/>
    <n v="24935.936666666668"/>
    <n v="-503.06333333333168"/>
    <n v="0"/>
    <n v="-503.06333333333168"/>
    <s v="  "/>
    <n v="2119.9166666666665"/>
    <n v="2119.9166666666665"/>
    <n v="2119.9166666666665"/>
    <n v="2119.9166666666665"/>
    <n v="2119.9166666666665"/>
    <n v="2119.9166666666665"/>
    <n v="2119.9166666666665"/>
    <n v="2119.9166666666665"/>
    <n v="2119.9166666666665"/>
    <n v="2119.9166666666665"/>
    <n v="2119.9166666666665"/>
    <n v="2119.9166666666665"/>
    <n v="25439.000000000004"/>
    <n v="14839.416666666664"/>
    <n v="2019.14"/>
    <n v="2019.24"/>
    <n v="2019.24"/>
    <n v="2019.45"/>
    <n v="2019.45"/>
    <n v="2019.45"/>
    <m/>
    <m/>
    <m/>
    <m/>
    <m/>
    <m/>
    <n v="12115.970000000001"/>
    <n v="-100.77666666666642"/>
    <n v="-100.67666666666651"/>
    <n v="-100.67666666666651"/>
    <n v="-100.46666666666647"/>
    <n v="-100.46666666666647"/>
    <n v="-100.46666666666647"/>
    <n v="-2119.9166666666665"/>
    <n v="-2119.9166666666665"/>
    <n v="-2119.9166666666665"/>
    <n v="-2119.9166666666665"/>
    <n v="-2119.9166666666665"/>
    <n v="-2119.9166666666665"/>
    <n v="-13323.029999999997"/>
    <s v="Budget v/s Actuals"/>
    <n v="8077.07"/>
  </r>
  <r>
    <x v="0"/>
    <s v="Bell Mobility Inc."/>
    <m/>
    <s v="Prj000350"/>
    <s v="Support - Infrastructure for Tech"/>
    <s v="Infrastructure Services, Controls &amp; User Enablement"/>
    <x v="0"/>
    <d v="2025-01-01T00:00:00"/>
    <d v="2025-12-31T00:00:00"/>
    <m/>
    <s v="Prj000350-Support - Infrastructure for Tech"/>
    <s v="Non-Labor"/>
    <x v="3"/>
    <s v="Infrastructure"/>
    <s v="Utility"/>
    <s v="Office expense"/>
    <s v="General Office Expense"/>
    <s v="Office Expense - Telephone &amp; FAX"/>
    <s v="Quarterly Expensed"/>
    <n v="2726"/>
    <n v="2863"/>
    <n v="2863"/>
    <n v="2863"/>
    <n v="0"/>
    <n v="0"/>
    <n v="0"/>
    <m/>
    <m/>
    <m/>
    <n v="715.75"/>
    <m/>
    <m/>
    <n v="715.75"/>
    <m/>
    <m/>
    <n v="715.75"/>
    <m/>
    <m/>
    <n v="715.75"/>
    <n v="2863"/>
    <n v="2147.25"/>
    <m/>
    <m/>
    <m/>
    <m/>
    <m/>
    <m/>
    <m/>
    <m/>
    <m/>
    <m/>
    <m/>
    <m/>
    <n v="0"/>
    <n v="0"/>
    <n v="0"/>
    <n v="-715.75"/>
    <n v="0"/>
    <n v="0"/>
    <n v="-715.75"/>
    <n v="0"/>
    <n v="0"/>
    <n v="-715.75"/>
    <n v="0"/>
    <n v="0"/>
    <n v="-715.75"/>
    <n v="-2863"/>
    <m/>
    <n v="0"/>
  </r>
  <r>
    <x v="0"/>
    <s v="Zoom Video Communications, Inc."/>
    <m/>
    <s v="Prj000350"/>
    <s v="Support - Infrastructure for Tech"/>
    <s v="Infrastructure Services, Controls &amp; User Enablement"/>
    <x v="0"/>
    <d v="2025-10-17T00:00:00"/>
    <d v="2026-10-16T00:00:00"/>
    <s v="Zoom"/>
    <s v="Prj000350-Support - Infrastructure for Tech"/>
    <s v="Non-Labor"/>
    <x v="3"/>
    <s v="Infrastructure"/>
    <m/>
    <s v="Office expense"/>
    <s v="General Office Expense"/>
    <s v="Office Expense - Telephone &amp; FAX"/>
    <s v="Annual Expensed"/>
    <n v="14686"/>
    <n v="15750"/>
    <n v="15750"/>
    <n v="15750"/>
    <n v="0"/>
    <n v="0"/>
    <n v="0"/>
    <s v="Contract lower than 3+9"/>
    <m/>
    <m/>
    <m/>
    <m/>
    <m/>
    <m/>
    <m/>
    <m/>
    <m/>
    <n v="15750"/>
    <m/>
    <m/>
    <n v="15750"/>
    <n v="15750"/>
    <m/>
    <m/>
    <m/>
    <m/>
    <m/>
    <m/>
    <m/>
    <m/>
    <m/>
    <m/>
    <m/>
    <m/>
    <n v="0"/>
    <n v="0"/>
    <n v="0"/>
    <n v="0"/>
    <n v="0"/>
    <n v="0"/>
    <n v="0"/>
    <n v="0"/>
    <n v="0"/>
    <n v="0"/>
    <n v="-15750"/>
    <n v="0"/>
    <n v="0"/>
    <n v="-15750"/>
    <m/>
    <n v="0"/>
  </r>
  <r>
    <x v="2"/>
    <s v="Other"/>
    <m/>
    <s v="Prj000350"/>
    <s v="Support - Infrastructure for Tech"/>
    <s v="Infrastructure Services, Controls &amp; User Enablement"/>
    <x v="0"/>
    <s v="NA"/>
    <s v="NA"/>
    <m/>
    <s v="Prj000350-Support - Infrastructure for Tech"/>
    <s v="Non-Labor"/>
    <x v="3"/>
    <s v="Infrastructure"/>
    <m/>
    <s v="Office expense"/>
    <s v="General Office Expense"/>
    <s v="Office Expense - Telephone &amp; FAX"/>
    <s v="Potential Opportunity"/>
    <n v="0"/>
    <n v="52500"/>
    <n v="52500"/>
    <n v="52500"/>
    <n v="0"/>
    <n v="0"/>
    <n v="0"/>
    <s v="Hard Opportunity"/>
    <m/>
    <m/>
    <m/>
    <m/>
    <m/>
    <m/>
    <m/>
    <m/>
    <m/>
    <m/>
    <m/>
    <n v="52500"/>
    <n v="52500"/>
    <n v="5250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-52500"/>
    <n v="-52500"/>
    <m/>
    <n v="0"/>
  </r>
  <r>
    <x v="0"/>
    <s v="Bloomberg Finance L.P."/>
    <m/>
    <s v="Prj000381"/>
    <s v="Support - Prod Support for Credit Apps"/>
    <s v="Credit Technology"/>
    <x v="2"/>
    <s v="Monthly"/>
    <s v="Monthly"/>
    <m/>
    <s v="Prj000381-Support - Prod Support for Credit Apps"/>
    <s v="Non-Labor"/>
    <x v="1"/>
    <s v="OOE"/>
    <s v="Subscriptions"/>
    <s v="Subscription Services"/>
    <s v="Subscription Services"/>
    <s v="Office Expense"/>
    <s v="Monthly Expensed"/>
    <n v="13064.939999999999"/>
    <n v="14886"/>
    <n v="14886"/>
    <n v="13065.06"/>
    <n v="-1820.9400000000005"/>
    <n v="0"/>
    <n v="-1820.9400000000005"/>
    <s v="Subscription"/>
    <n v="1088.76"/>
    <n v="1088.76"/>
    <n v="1088.76"/>
    <n v="1088.76"/>
    <n v="1088.76"/>
    <n v="1088.76"/>
    <n v="1088.76"/>
    <n v="1088.76"/>
    <n v="1088.76"/>
    <n v="1088.76"/>
    <n v="1088.76"/>
    <n v="1088.76"/>
    <n v="13065.12"/>
    <n v="7621.3200000000006"/>
    <n v="1088.76"/>
    <n v="1088.74"/>
    <n v="1088.76"/>
    <n v="1088.74"/>
    <n v="1088.74"/>
    <m/>
    <m/>
    <m/>
    <m/>
    <m/>
    <m/>
    <m/>
    <n v="5443.74"/>
    <n v="0"/>
    <n v="-1.999999999998181E-2"/>
    <n v="0"/>
    <n v="-1.999999999998181E-2"/>
    <n v="-1.999999999998181E-2"/>
    <n v="-1088.76"/>
    <n v="-1088.76"/>
    <n v="-1088.76"/>
    <n v="-1088.76"/>
    <n v="-1088.76"/>
    <n v="-1088.76"/>
    <n v="-1088.76"/>
    <n v="-7621.380000000001"/>
    <s v="Budget v/s Actuals"/>
    <n v="4355"/>
  </r>
  <r>
    <x v="0"/>
    <s v="PitchBook Data, Inc."/>
    <m/>
    <s v="Prj000426"/>
    <s v="Implement - Minor Enhancements for Sales"/>
    <s v="Asset Management Technology &amp; Data Services"/>
    <x v="4"/>
    <d v="2025-06-30T00:00:00"/>
    <d v="2027-06-29T00:00:00"/>
    <m/>
    <s v="Prj000426-Implement - Minor Enhancements for Sales"/>
    <s v="Non-Labor"/>
    <x v="1"/>
    <s v="OOE"/>
    <m/>
    <s v="Subscription Services"/>
    <s v="Subscription Services"/>
    <s v="Office Expense"/>
    <s v="Annual Expensed"/>
    <n v="11845"/>
    <n v="12200"/>
    <n v="12200"/>
    <n v="12200"/>
    <n v="0"/>
    <n v="0"/>
    <n v="0"/>
    <s v="2 Yrs yr1 11845 (paid in 2025) &amp; yr2 12200 (to be paid in 2026)"/>
    <m/>
    <m/>
    <m/>
    <m/>
    <m/>
    <m/>
    <m/>
    <m/>
    <m/>
    <m/>
    <m/>
    <n v="12200"/>
    <n v="12200"/>
    <n v="1220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-12200"/>
    <n v="-12200"/>
    <m/>
    <n v="0"/>
  </r>
  <r>
    <x v="1"/>
    <s v="City of Chicago"/>
    <s v="Sales VAT Tax"/>
    <s v="Prj000266"/>
    <s v="Support - Internal Tech Workforce Activities"/>
    <s v="Cos, PMO &amp; Enterprise Technology"/>
    <x v="1"/>
    <s v="NA"/>
    <s v="NA"/>
    <m/>
    <s v="Prj000266-Support - Internal Tech Workforce Activities"/>
    <s v="Non-Labor"/>
    <x v="1"/>
    <s v="OOE"/>
    <m/>
    <s v="HST &amp; sales VAT tax"/>
    <s v="Sales Tax VAT"/>
    <s v="Sales Tax Expense"/>
    <s v="Annual Expensed"/>
    <n v="225000"/>
    <n v="236250"/>
    <n v="236250"/>
    <n v="236250"/>
    <n v="0"/>
    <n v="0"/>
    <n v="0"/>
    <s v="Parked for 2026 Sales Tax"/>
    <m/>
    <m/>
    <m/>
    <m/>
    <m/>
    <m/>
    <m/>
    <m/>
    <m/>
    <m/>
    <m/>
    <n v="236250"/>
    <n v="236250"/>
    <n v="23625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-236250"/>
    <n v="-236250"/>
    <m/>
    <n v="0"/>
  </r>
  <r>
    <x v="1"/>
    <s v="New York State Department of Taxation and Finance"/>
    <s v="Sales VAT Tax"/>
    <s v="Prj000266"/>
    <s v="Support - Internal Tech Workforce Activities"/>
    <s v="Cos, PMO &amp; Enterprise Technology"/>
    <x v="1"/>
    <s v="NA"/>
    <s v="NA"/>
    <m/>
    <s v="Prj000266-Support - Internal Tech Workforce Activities"/>
    <s v="Non-Labor"/>
    <x v="1"/>
    <s v="OOE"/>
    <m/>
    <s v="HST &amp; sales VAT tax"/>
    <s v="Sales Tax VAT"/>
    <s v="Sales Tax Expense"/>
    <s v="Annual Expensed"/>
    <n v="135000"/>
    <n v="141750"/>
    <n v="141750"/>
    <n v="141750"/>
    <n v="0"/>
    <n v="0"/>
    <n v="0"/>
    <s v="Parked for 2026 Sales Tax"/>
    <m/>
    <m/>
    <m/>
    <m/>
    <m/>
    <m/>
    <m/>
    <m/>
    <m/>
    <m/>
    <m/>
    <n v="141750"/>
    <n v="141750"/>
    <n v="14175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-141750"/>
    <n v="-141750"/>
    <m/>
    <n v="0"/>
  </r>
  <r>
    <x v="1"/>
    <s v="Nterone Corporation"/>
    <s v="Nterone"/>
    <s v="Prj000266"/>
    <s v="Support - Internal Tech Workforce Activities"/>
    <s v="Cos, PMO &amp; Enterprise Technology"/>
    <x v="1"/>
    <s v="NA"/>
    <s v="NA"/>
    <m/>
    <s v="Prj000266-Support - Internal Tech Workforce Activities"/>
    <s v="Non-Labor"/>
    <x v="1"/>
    <s v="OOE"/>
    <m/>
    <s v="Travel &amp; Entertainment"/>
    <s v="Training/Seminars/Conference Spend"/>
    <s v="External Training"/>
    <s v="Potential Opportunity"/>
    <n v="16285"/>
    <n v="17099"/>
    <n v="17099"/>
    <n v="17099"/>
    <n v="0"/>
    <n v="0"/>
    <n v="0"/>
    <s v="  "/>
    <m/>
    <m/>
    <m/>
    <m/>
    <m/>
    <m/>
    <m/>
    <m/>
    <m/>
    <m/>
    <m/>
    <n v="17099"/>
    <n v="17099"/>
    <n v="17099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-17099"/>
    <n v="-17099"/>
    <m/>
    <n v="0"/>
  </r>
  <r>
    <x v="0"/>
    <s v="Coforge DPA NA Inc."/>
    <m/>
    <s v="Prj000403"/>
    <s v="Support - L2 CoE Management for Tech Horizontals"/>
    <s v="Tech Shared Services"/>
    <x v="5"/>
    <d v="2026-01-01T00:00:00"/>
    <d v="2026-12-31T00:00:00"/>
    <m/>
    <s v="Prj000403-Support - L2 CoE Management for Tech Horizontals"/>
    <s v="Labor"/>
    <x v="2"/>
    <s v="RTB- MS"/>
    <s v="L2 SOW FPC"/>
    <s v="Information Technology"/>
    <s v="Managed Service - Core"/>
    <s v="Managed Service - Core"/>
    <s v="Monthly Expensed"/>
    <n v="1357227"/>
    <n v="1359552"/>
    <n v="1359552"/>
    <n v="1446139"/>
    <n v="0"/>
    <n v="86587"/>
    <n v="86587"/>
    <s v="L2 SOW FPC"/>
    <n v="113296"/>
    <n v="113296"/>
    <n v="113296"/>
    <n v="113296"/>
    <n v="124084"/>
    <n v="120637"/>
    <n v="123837"/>
    <n v="127037"/>
    <n v="127037"/>
    <n v="127037"/>
    <n v="127037"/>
    <n v="127037"/>
    <n v="1456927"/>
    <n v="879659"/>
    <n v="113296"/>
    <n v="113296"/>
    <n v="113296"/>
    <n v="113296"/>
    <n v="113296"/>
    <m/>
    <m/>
    <m/>
    <m/>
    <m/>
    <m/>
    <m/>
    <n v="566480"/>
    <n v="0"/>
    <n v="0"/>
    <n v="0"/>
    <n v="0"/>
    <n v="-10788"/>
    <n v="-120637"/>
    <n v="-123837"/>
    <n v="-127037"/>
    <n v="-127037"/>
    <n v="-127037"/>
    <n v="-127037"/>
    <n v="-127037"/>
    <n v="-890447"/>
    <m/>
    <n v="453184"/>
  </r>
  <r>
    <x v="0"/>
    <s v="Cognizant Worldwide Limited"/>
    <m/>
    <s v="T&amp;M"/>
    <s v="T&amp;M"/>
    <s v=""/>
    <x v="1"/>
    <d v="2026-01-01T00:00:00"/>
    <d v="2026-12-31T00:00:00"/>
    <s v="D365 CRM"/>
    <s v="T&amp;M-T&amp;M"/>
    <s v="Labor"/>
    <x v="4"/>
    <s v="RTB- T&amp;M"/>
    <s v="T&amp;M"/>
    <s v="Outsourced"/>
    <s v="Run the Business Contractors and Outsource Services"/>
    <s v="RTB Expenses - Contractor"/>
    <s v="Monthly Expensed"/>
    <n v="302712"/>
    <n v="32832.000000000007"/>
    <n v="218880"/>
    <n v="213572"/>
    <n v="-5308"/>
    <n v="0"/>
    <n v="-5308"/>
    <s v="T&amp;M"/>
    <n v="18240"/>
    <n v="18240"/>
    <n v="18240"/>
    <n v="18240"/>
    <n v="18240"/>
    <n v="18240"/>
    <n v="18240"/>
    <n v="18240"/>
    <n v="18240"/>
    <n v="18240"/>
    <n v="18240"/>
    <n v="18240"/>
    <n v="218880"/>
    <n v="127680"/>
    <n v="16128"/>
    <n v="16464"/>
    <n v="16588"/>
    <n v="19104"/>
    <n v="17608"/>
    <m/>
    <m/>
    <m/>
    <m/>
    <m/>
    <m/>
    <m/>
    <n v="85892"/>
    <n v="-2112"/>
    <n v="-1776"/>
    <n v="-1652"/>
    <n v="864"/>
    <n v="-632"/>
    <n v="-18240"/>
    <n v="-18240"/>
    <n v="-18240"/>
    <n v="-18240"/>
    <n v="-18240"/>
    <n v="-18240"/>
    <n v="-18240"/>
    <n v="-132988"/>
    <s v="Budget v/s Actuals, allocations are based on capacity planning forecast"/>
    <n v="68284"/>
  </r>
  <r>
    <x v="0"/>
    <s v="Andersen Tax Holdings"/>
    <s v="1Rivet"/>
    <s v="T&amp;M"/>
    <s v="T&amp;M"/>
    <s v=""/>
    <x v="5"/>
    <d v="2026-01-01T00:00:00"/>
    <d v="2026-12-31T00:00:00"/>
    <m/>
    <s v="T&amp;M-T&amp;M"/>
    <s v="Labor"/>
    <x v="4"/>
    <s v="RTB- T&amp;M"/>
    <s v="T&amp;M"/>
    <s v="Outsourced"/>
    <s v="Run the Business Contractors and Outsource Services"/>
    <s v="RTB Expenses - Contractor"/>
    <s v="Monthly Expensed"/>
    <n v="3007993"/>
    <n v="1580266.3960475361"/>
    <n v="1438080"/>
    <n v="1426303"/>
    <n v="-11777"/>
    <n v="0"/>
    <n v="-11777"/>
    <s v="Support SOW + Desktop Support- T&amp;M, QA is not part of our budget"/>
    <n v="119840"/>
    <n v="119840"/>
    <n v="119840"/>
    <n v="119840"/>
    <n v="119840"/>
    <n v="119840"/>
    <n v="119840"/>
    <n v="119840"/>
    <n v="119840"/>
    <n v="119840"/>
    <n v="119840"/>
    <n v="119840"/>
    <n v="1438080"/>
    <n v="838880"/>
    <n v="115160"/>
    <n v="107611"/>
    <n v="124972"/>
    <m/>
    <m/>
    <m/>
    <m/>
    <m/>
    <m/>
    <m/>
    <m/>
    <m/>
    <n v="347743"/>
    <n v="-4680"/>
    <n v="-12229"/>
    <n v="5132"/>
    <n v="-119840"/>
    <n v="-119840"/>
    <n v="-119840"/>
    <n v="-119840"/>
    <n v="-119840"/>
    <n v="-119840"/>
    <n v="-119840"/>
    <n v="-119840"/>
    <n v="-119840"/>
    <n v="-1090337"/>
    <s v="Budget v/s Actuals, allocations are based on capacity planning forecast"/>
    <n v="347743"/>
  </r>
  <r>
    <x v="0"/>
    <s v="Andersen Tax Holdings"/>
    <s v="1Rivet"/>
    <s v="T&amp;M"/>
    <s v="T&amp;M"/>
    <s v=""/>
    <x v="0"/>
    <d v="2026-01-01T00:00:00"/>
    <d v="2026-12-31T00:00:00"/>
    <m/>
    <s v="T&amp;M-T&amp;M"/>
    <s v="Labor"/>
    <x v="4"/>
    <s v="RTB- T&amp;M"/>
    <s v="T&amp;M"/>
    <s v="Outsourced"/>
    <s v="Run the Business Contractors and Outsource Services"/>
    <s v="RTB Expenses - Contractor"/>
    <s v="Monthly Expensed"/>
    <n v="3007993"/>
    <n v="424425.54146080924"/>
    <n v="414080"/>
    <n v="332698"/>
    <n v="-81382"/>
    <n v="0"/>
    <n v="-81382"/>
    <s v="Support SOW + Desktop Support- T&amp;M, QA is not part of our budget"/>
    <n v="38560"/>
    <n v="38560"/>
    <n v="38560"/>
    <n v="38560"/>
    <n v="38560"/>
    <n v="22720"/>
    <n v="22720"/>
    <n v="22720"/>
    <n v="22720"/>
    <n v="22720"/>
    <n v="22720"/>
    <n v="22720"/>
    <n v="351840"/>
    <n v="159040"/>
    <n v="30336"/>
    <n v="27266"/>
    <n v="38936"/>
    <m/>
    <m/>
    <m/>
    <m/>
    <m/>
    <m/>
    <m/>
    <m/>
    <m/>
    <n v="96538"/>
    <n v="-8224"/>
    <n v="-11294"/>
    <n v="376"/>
    <n v="-38560"/>
    <n v="-38560"/>
    <n v="-22720"/>
    <n v="-22720"/>
    <n v="-22720"/>
    <n v="-22720"/>
    <n v="-22720"/>
    <n v="-22720"/>
    <n v="-22720"/>
    <n v="-255302"/>
    <s v="Danny's share in initial contract was $372K, but 2 additional resources were hired to replace Acenture resources, difference $41.6K between budget ($3.65M) and Actual contract( $3.7M) has been added for Danny to cover partial risk of swap, Arif is added separately while Shailesh annual forecast is $90640 but after adjusting against $41600 additional unbudgeted risk is $48640. Saving of $99/hour on Piyush exit from May (replaced by Survesh)"/>
    <n v="96538"/>
  </r>
  <r>
    <x v="0"/>
    <s v="Andersen Tax Holdings"/>
    <s v="1Rivet"/>
    <s v="T&amp;M"/>
    <s v="T&amp;M"/>
    <s v=""/>
    <x v="2"/>
    <d v="2026-01-01T00:00:00"/>
    <d v="2026-12-31T00:00:00"/>
    <m/>
    <s v="T&amp;M-T&amp;M"/>
    <s v="Labor"/>
    <x v="4"/>
    <s v="RTB- T&amp;M"/>
    <s v="T&amp;M"/>
    <s v="Outsourced"/>
    <s v="Run the Business Contractors and Outsource Services"/>
    <s v="RTB Expenses - Contractor"/>
    <s v="Monthly Expensed"/>
    <n v="3007993"/>
    <n v="1527639.5780478038"/>
    <n v="1505280"/>
    <n v="1234896"/>
    <n v="-270384"/>
    <n v="0"/>
    <n v="-270384"/>
    <s v="Support SOW + Desktop Support- T&amp;M, QA is not part of our budget"/>
    <n v="125440"/>
    <n v="125440"/>
    <n v="125440"/>
    <n v="125440"/>
    <n v="125440"/>
    <n v="104440"/>
    <n v="104440"/>
    <n v="86520"/>
    <n v="86520"/>
    <n v="86520"/>
    <n v="86520"/>
    <n v="86520"/>
    <n v="1268680"/>
    <n v="641480"/>
    <n v="108864"/>
    <n v="104184"/>
    <n v="129488"/>
    <m/>
    <m/>
    <m/>
    <m/>
    <m/>
    <m/>
    <m/>
    <m/>
    <m/>
    <n v="342536"/>
    <n v="-16576"/>
    <n v="-21256"/>
    <n v="4048"/>
    <n v="-125440"/>
    <n v="-125440"/>
    <n v="-104440"/>
    <n v="-104440"/>
    <n v="-86520"/>
    <n v="-86520"/>
    <n v="-86520"/>
    <n v="-86520"/>
    <n v="-86520"/>
    <n v="-926144"/>
    <s v="Budget v/s Actuals, saving of $21K/m on Nilesh's exit, Akram's exit saving from Aug $112"/>
    <n v="342536"/>
  </r>
  <r>
    <x v="0"/>
    <s v="Andersen Tax Holdings"/>
    <s v="1Rivet"/>
    <s v="T&amp;M"/>
    <s v="T&amp;M"/>
    <s v=""/>
    <x v="1"/>
    <d v="2026-01-01T00:00:00"/>
    <d v="2026-12-31T00:00:00"/>
    <m/>
    <s v="T&amp;M-T&amp;M"/>
    <s v="Labor"/>
    <x v="4"/>
    <s v="RTB- T&amp;M"/>
    <s v="T&amp;M"/>
    <s v="Outsourced"/>
    <s v="Run the Business Contractors and Outsource Services"/>
    <s v="RTB Expenses - Contractor"/>
    <s v="Monthly Expensed"/>
    <n v="3007993"/>
    <n v="116948.48444385102"/>
    <n v="291840"/>
    <n v="294272"/>
    <n v="0"/>
    <n v="2432"/>
    <n v="2432"/>
    <s v="Support SOW + Desktop Support- T&amp;M, QA is not part of our budget"/>
    <n v="24320"/>
    <n v="24320"/>
    <n v="24320"/>
    <n v="24320"/>
    <n v="24320"/>
    <n v="24320"/>
    <n v="24320"/>
    <n v="24320"/>
    <n v="24320"/>
    <n v="24320"/>
    <n v="24320"/>
    <n v="24320"/>
    <n v="291840"/>
    <n v="170240"/>
    <n v="24320"/>
    <n v="24320"/>
    <n v="26752"/>
    <m/>
    <m/>
    <m/>
    <m/>
    <m/>
    <m/>
    <m/>
    <m/>
    <m/>
    <n v="75392"/>
    <n v="0"/>
    <n v="0"/>
    <n v="2432"/>
    <n v="-24320"/>
    <n v="-24320"/>
    <n v="-24320"/>
    <n v="-24320"/>
    <n v="-24320"/>
    <n v="-24320"/>
    <n v="-24320"/>
    <n v="-24320"/>
    <n v="-24320"/>
    <n v="-216448"/>
    <s v="Budget v/s Actuals, allocations are based on capacity planning forecast"/>
    <n v="75392"/>
  </r>
  <r>
    <x v="0"/>
    <s v="Virteva LLC"/>
    <s v="Crossfuze"/>
    <s v="Prj000467"/>
    <s v="Support - Enterprise Tech Helpdesk"/>
    <s v="Tech Shared Services"/>
    <x v="5"/>
    <s v="Monthly"/>
    <s v="Monthly"/>
    <m/>
    <s v="Prj000467-Support - Enterprise Tech Helpdesk"/>
    <s v="Labor"/>
    <x v="2"/>
    <s v="RTB- MS"/>
    <s v="FPC"/>
    <s v="Outsourced"/>
    <s v="Run the Business Contractors and Outsource Services"/>
    <s v="RTB Expenses - Contractor"/>
    <s v="Monthly Expensed"/>
    <n v="178950"/>
    <n v="190000"/>
    <n v="190000"/>
    <n v="116650"/>
    <n v="-73350"/>
    <n v="0"/>
    <n v="-73350"/>
    <s v="Revised contract - $5950/pm from June previously $15K/pm, new contract aligns more with cost as per actual consumption"/>
    <n v="15000"/>
    <n v="15000"/>
    <n v="15000"/>
    <n v="15000"/>
    <n v="15000"/>
    <n v="5950"/>
    <n v="5950"/>
    <n v="5950"/>
    <n v="5950"/>
    <n v="5950"/>
    <n v="5950"/>
    <n v="5950"/>
    <n v="116650"/>
    <n v="41650"/>
    <n v="15000"/>
    <n v="15000"/>
    <n v="15000"/>
    <n v="15000"/>
    <n v="15000"/>
    <n v="5950"/>
    <m/>
    <m/>
    <m/>
    <m/>
    <m/>
    <m/>
    <n v="80950"/>
    <n v="0"/>
    <n v="0"/>
    <n v="0"/>
    <n v="0"/>
    <n v="0"/>
    <n v="0"/>
    <n v="-5950"/>
    <n v="-5950"/>
    <n v="-5950"/>
    <n v="-5950"/>
    <n v="-5950"/>
    <n v="-5950"/>
    <n v="-35700"/>
    <s v="Budget v/s Actuals"/>
    <n v="60000"/>
  </r>
  <r>
    <x v="0"/>
    <s v="Coforge DPA NA Inc."/>
    <m/>
    <s v="Prj000404"/>
    <s v="Support - QA CoE Management for Tech Horizontals"/>
    <s v="Tech Shared Services"/>
    <x v="4"/>
    <d v="2026-01-01T00:00:00"/>
    <d v="2026-12-31T00:00:00"/>
    <m/>
    <s v="Prj000404-Support - QA CoE Management for Tech Horizontals"/>
    <s v="Labor"/>
    <x v="2"/>
    <s v="RTB- MS"/>
    <s v="QA SOW FPC"/>
    <s v="Outsourced"/>
    <s v="Run the Business Contractors and Outsource Services"/>
    <s v="RTB Expenses - Contractor"/>
    <s v="Monthly Expensed"/>
    <n v="780191"/>
    <n v="345000"/>
    <n v="345000"/>
    <n v="592000"/>
    <n v="0"/>
    <n v="247000"/>
    <n v="247000"/>
    <s v="QA SOW FPC - [KA - Feb23] - Updated forecast from Mar to Dec based on the new contract that superseeded the original one"/>
    <n v="28750"/>
    <n v="28750"/>
    <n v="41750"/>
    <n v="54750"/>
    <n v="54750"/>
    <n v="54750"/>
    <n v="54750"/>
    <n v="54750"/>
    <n v="54750"/>
    <n v="54750"/>
    <n v="54750"/>
    <n v="54750"/>
    <n v="592000"/>
    <n v="383250"/>
    <n v="28750"/>
    <n v="28750"/>
    <n v="41750"/>
    <n v="54750"/>
    <m/>
    <m/>
    <m/>
    <m/>
    <m/>
    <m/>
    <m/>
    <m/>
    <n v="154000"/>
    <n v="0"/>
    <n v="0"/>
    <n v="0"/>
    <n v="0"/>
    <n v="-54750"/>
    <n v="-54750"/>
    <n v="-54750"/>
    <n v="-54750"/>
    <n v="-54750"/>
    <n v="-54750"/>
    <n v="-54750"/>
    <n v="-54750"/>
    <n v="-438000"/>
    <s v="QA book work reallocation from L1/L2 support per new QA contract that superseded original._x000a_This is a category shift - work previously in Labor/T&amp;M now flows through MS under the new QA contract structure. The offsetting $70K opportunity in Labor/T&amp;M category partially mitigates this risk."/>
    <n v="154000"/>
  </r>
  <r>
    <x v="0"/>
    <s v="Coforge DPA NA Inc."/>
    <m/>
    <s v="T&amp;M"/>
    <s v="T&amp;M"/>
    <s v=""/>
    <x v="5"/>
    <d v="2026-01-01T00:00:00"/>
    <d v="2026-12-31T00:00:00"/>
    <m/>
    <s v="T&amp;M-T&amp;M"/>
    <s v="Labor"/>
    <x v="4"/>
    <s v="RTB- T&amp;M"/>
    <s v="T&amp;M"/>
    <s v="Outsourced"/>
    <s v="Run the Business Contractors and Outsource Services"/>
    <s v="RTB Expenses - Contractor"/>
    <s v="Monthly Expensed"/>
    <n v="1019762.75"/>
    <n v="180884.67598475222"/>
    <n v="403200"/>
    <n v="558763.91999999993"/>
    <n v="0"/>
    <n v="155563.91999999993"/>
    <n v="155563.91999999993"/>
    <s v="T&amp;M - [KA - Feb 23] - Forcast updated from Feb to Dec, based on Raymond's exit. This T&amp;M forecast is adjusted in the new QA contract. Adjusted monthly rate starting Apr based on Shanky's exit"/>
    <n v="33600"/>
    <n v="33600"/>
    <n v="33600"/>
    <n v="33600"/>
    <n v="33600"/>
    <n v="33600"/>
    <n v="33600"/>
    <n v="33600"/>
    <n v="33600"/>
    <n v="33600"/>
    <n v="33600"/>
    <n v="33600"/>
    <n v="403200"/>
    <n v="235200"/>
    <n v="56960.56"/>
    <n v="89522.8"/>
    <n v="106520.55999999998"/>
    <n v="36960"/>
    <n v="33600"/>
    <m/>
    <m/>
    <m/>
    <m/>
    <m/>
    <m/>
    <m/>
    <n v="323563.92"/>
    <n v="23360.559999999998"/>
    <n v="55922.8"/>
    <n v="72920.559999999983"/>
    <n v="3360"/>
    <n v="0"/>
    <n v="-33600"/>
    <n v="-33600"/>
    <n v="-33600"/>
    <n v="-33600"/>
    <n v="-33600"/>
    <n v="-33600"/>
    <n v="-33600"/>
    <n v="-79636.080000000016"/>
    <s v="Budget v/s Actuals, allocations are based on capacity planning forecast"/>
    <n v="289963.92"/>
  </r>
  <r>
    <x v="0"/>
    <s v="Coforge DPA NA Inc."/>
    <m/>
    <s v="T&amp;M"/>
    <s v="T&amp;M"/>
    <s v=""/>
    <x v="2"/>
    <d v="2026-01-01T00:00:00"/>
    <d v="2026-12-31T00:00:00"/>
    <m/>
    <s v="T&amp;M-T&amp;M"/>
    <s v="Labor"/>
    <x v="4"/>
    <s v="RTB- T&amp;M"/>
    <s v="T&amp;M"/>
    <s v="Outsourced"/>
    <s v="Run the Business Contractors and Outsource Services"/>
    <s v="RTB Expenses - Contractor"/>
    <s v="Monthly Expensed"/>
    <n v="1019762.75"/>
    <n v="245679.18678526054"/>
    <n v="252000"/>
    <n v="244650"/>
    <n v="-7350"/>
    <n v="0"/>
    <n v="-7350"/>
    <s v="T&amp;M - [KA - Feb 23] - Forcast updated from Feb to Dec, based on Raymond's exit. This T&amp;M forecast is adjusted in the new QA contract. Adjusted monthly rate starting Apr based on Shanky's exit"/>
    <n v="21000"/>
    <n v="21000"/>
    <n v="21000"/>
    <n v="21000"/>
    <n v="21000"/>
    <n v="21000"/>
    <n v="21000"/>
    <n v="21000"/>
    <n v="21000"/>
    <n v="21000"/>
    <n v="21000"/>
    <n v="21000"/>
    <n v="252000"/>
    <n v="147000"/>
    <n v="21000"/>
    <n v="19950"/>
    <n v="23100"/>
    <n v="17850"/>
    <n v="15750"/>
    <m/>
    <m/>
    <m/>
    <m/>
    <m/>
    <m/>
    <m/>
    <n v="97650"/>
    <n v="0"/>
    <n v="-1050"/>
    <n v="2100"/>
    <n v="-3150"/>
    <n v="-5250"/>
    <n v="-21000"/>
    <n v="-21000"/>
    <n v="-21000"/>
    <n v="-21000"/>
    <n v="-21000"/>
    <n v="-21000"/>
    <n v="-21000"/>
    <n v="-154350"/>
    <s v="Budget v/s Actuals, allocations are based on capacity planning forecast"/>
    <n v="81900"/>
  </r>
  <r>
    <x v="0"/>
    <s v="Coforge DPA NA Inc."/>
    <m/>
    <s v="T&amp;M"/>
    <s v="T&amp;M"/>
    <s v=""/>
    <x v="4"/>
    <d v="2026-01-01T00:00:00"/>
    <d v="2026-12-31T00:00:00"/>
    <m/>
    <s v="T&amp;M-T&amp;M"/>
    <s v="Labor"/>
    <x v="4"/>
    <s v="RTB- T&amp;M"/>
    <s v="T&amp;M"/>
    <s v="Outsourced"/>
    <s v="Run the Business Contractors and Outsource Services"/>
    <s v="RTB Expenses - Contractor"/>
    <s v="Monthly Expensed"/>
    <n v="1019762.75"/>
    <n v="539054.33290978405"/>
    <n v="600000"/>
    <n v="294640"/>
    <n v="-305360"/>
    <n v="0"/>
    <n v="-305360"/>
    <s v="T&amp;M - [KA - Feb 23] - Forcast updated from Feb to Dec, based on Raymond's exit. This T&amp;M forecast is adjusted in the new QA contract. Adjusted monthly rate starting Apr based on Shanky's exit"/>
    <n v="50000"/>
    <n v="24000"/>
    <n v="24000"/>
    <n v="24000"/>
    <n v="24000"/>
    <n v="24000"/>
    <n v="24000"/>
    <n v="24000"/>
    <n v="24000"/>
    <n v="24000"/>
    <n v="24000"/>
    <n v="24000"/>
    <n v="314000"/>
    <n v="168000"/>
    <n v="44800"/>
    <n v="22800"/>
    <n v="0"/>
    <n v="26400"/>
    <n v="32640"/>
    <m/>
    <m/>
    <m/>
    <m/>
    <m/>
    <m/>
    <m/>
    <n v="126640"/>
    <n v="-5200"/>
    <n v="-1200"/>
    <n v="-24000"/>
    <n v="2400"/>
    <n v="8640"/>
    <n v="-24000"/>
    <n v="-24000"/>
    <n v="-24000"/>
    <n v="-24000"/>
    <n v="-24000"/>
    <n v="-24000"/>
    <n v="-24000"/>
    <n v="-187360"/>
    <s v="Raymonds exit gave 26k T&amp;M oppurtunity since Feb but QA resources were hired at same cost, QA book work reallocation from L1/L2 support per new QA contract that superseded original."/>
    <n v="94000"/>
  </r>
  <r>
    <x v="0"/>
    <s v="Coforge DPA NA Inc."/>
    <m/>
    <s v="T&amp;M"/>
    <s v="T&amp;M"/>
    <s v=""/>
    <x v="1"/>
    <d v="2026-01-01T00:00:00"/>
    <d v="2026-12-31T00:00:00"/>
    <m/>
    <s v="T&amp;M-T&amp;M"/>
    <s v="Labor"/>
    <x v="4"/>
    <s v="RTB- T&amp;M"/>
    <s v="T&amp;M"/>
    <s v="Outsourced"/>
    <s v="Run the Business Contractors and Outsource Services"/>
    <s v="RTB Expenses - Contractor"/>
    <s v="Monthly Expensed"/>
    <n v="1019762.75"/>
    <n v="431963.4053367218"/>
    <n v="161280"/>
    <n v="84176"/>
    <n v="-77104"/>
    <n v="0"/>
    <n v="-77104"/>
    <s v="T&amp;M - [KA - Feb 23] - Forcast updated from Feb to Dec, based on Raymond's exit. This T&amp;M forecast is adjusted in the new QA contract. Adjusted monthly rate starting Apr based on Shanky's exit"/>
    <n v="13440"/>
    <n v="13440"/>
    <n v="13440"/>
    <n v="5440"/>
    <n v="5440"/>
    <n v="5440"/>
    <n v="5440"/>
    <n v="5440"/>
    <n v="5440"/>
    <n v="5440"/>
    <n v="5440"/>
    <n v="5440"/>
    <n v="89280"/>
    <n v="38080"/>
    <n v="11152"/>
    <n v="11296"/>
    <n v="13584"/>
    <n v="4624"/>
    <n v="5440"/>
    <m/>
    <m/>
    <m/>
    <m/>
    <m/>
    <m/>
    <m/>
    <n v="46096"/>
    <n v="-2288"/>
    <n v="-2144"/>
    <n v="144"/>
    <n v="-816"/>
    <n v="0"/>
    <n v="-5440"/>
    <n v="-5440"/>
    <n v="-5440"/>
    <n v="-5440"/>
    <n v="-5440"/>
    <n v="-5440"/>
    <n v="-5440"/>
    <n v="-43184"/>
    <s v="Opp offset with 1Rivet risk (Swati replacinf Shanky) + Budget v/s Actuals"/>
    <n v="40656"/>
  </r>
  <r>
    <x v="0"/>
    <s v="Coforge DPA NA Inc."/>
    <m/>
    <s v="T&amp;M"/>
    <s v="T&amp;M"/>
    <s v=""/>
    <x v="4"/>
    <d v="2026-05-15T00:00:00"/>
    <d v="2026-12-31T00:00:00"/>
    <m/>
    <s v="T&amp;M-T&amp;M"/>
    <s v="Labor"/>
    <x v="4"/>
    <s v="RTB- T&amp;M"/>
    <s v="T&amp;M"/>
    <s v="Outsourced"/>
    <s v="Run the Business Contractors and Outsource Services"/>
    <s v="RTB Expenses - Contractor"/>
    <s v="Monthly Expensed"/>
    <n v="0"/>
    <n v="0"/>
    <n v="230400"/>
    <n v="230400"/>
    <n v="0"/>
    <n v="0"/>
    <n v="0"/>
    <s v="New UAT hired, New 2026 BoW utilised"/>
    <m/>
    <m/>
    <m/>
    <m/>
    <n v="15360"/>
    <n v="30720"/>
    <n v="30720"/>
    <n v="30720"/>
    <n v="30720"/>
    <n v="30720"/>
    <n v="30720"/>
    <n v="30720"/>
    <n v="230400"/>
    <n v="215040"/>
    <m/>
    <m/>
    <m/>
    <m/>
    <m/>
    <m/>
    <m/>
    <m/>
    <m/>
    <m/>
    <m/>
    <m/>
    <n v="0"/>
    <n v="0"/>
    <n v="0"/>
    <n v="0"/>
    <n v="0"/>
    <n v="-15360"/>
    <n v="-30720"/>
    <n v="-30720"/>
    <n v="-30720"/>
    <n v="-30720"/>
    <n v="-30720"/>
    <n v="-30720"/>
    <n v="-30720"/>
    <n v="-230400"/>
    <s v="New UAT lead Anand, WSO placeholder utilised"/>
    <n v="0"/>
  </r>
  <r>
    <x v="0"/>
    <s v="Broadridge Output  Solutions"/>
    <m/>
    <s v="Prj000290"/>
    <s v="Support - Asset Management Applications"/>
    <s v="Asset Management Tech"/>
    <x v="3"/>
    <d v="2021-12-15T00:00:00"/>
    <d v="2026-12-14T00:00:00"/>
    <s v="Centry CLO"/>
    <s v="Prj000290-Support - Asset Management Applications"/>
    <s v="Non-Labor"/>
    <x v="0"/>
    <s v="Software"/>
    <s v="License"/>
    <s v="Information Technology"/>
    <s v="Software - Core"/>
    <s v="Software - Core"/>
    <s v="Quarterly Prepaid"/>
    <n v="1039565.6499999999"/>
    <n v="1091543.9324999999"/>
    <n v="1091543.9324999999"/>
    <n v="1141852.6399999999"/>
    <n v="0"/>
    <n v="50308.707500000019"/>
    <n v="50308.707500000019"/>
    <s v="Quarterly Prepaid, Manor park license fees unbudgeted"/>
    <n v="117486.73333333334"/>
    <n v="92793.753333333341"/>
    <n v="117939.75333333334"/>
    <n v="149042.80666666667"/>
    <n v="98639.296666666676"/>
    <n v="98639.296666666676"/>
    <n v="208501"/>
    <m/>
    <m/>
    <n v="208501"/>
    <m/>
    <m/>
    <n v="1091543.6400000001"/>
    <n v="515641.29666666669"/>
    <n v="117486.73333333334"/>
    <n v="92793.753333333341"/>
    <n v="117939.75333333334"/>
    <n v="149042.80666666667"/>
    <n v="148948.29666666669"/>
    <n v="98639.296666666676"/>
    <m/>
    <m/>
    <m/>
    <m/>
    <m/>
    <m/>
    <n v="724850.64000000013"/>
    <n v="0"/>
    <n v="0"/>
    <n v="0"/>
    <n v="0"/>
    <n v="50309.000000000015"/>
    <n v="0"/>
    <n v="-208501"/>
    <n v="0"/>
    <n v="0"/>
    <n v="-208501"/>
    <n v="0"/>
    <n v="0"/>
    <n v="-366693"/>
    <s v="Budget v/s Actuals, ends this year will be renewed next year for half the cost of this year"/>
    <n v="477263.04666666675"/>
  </r>
  <r>
    <x v="0"/>
    <s v="Finastra Technology, Inc"/>
    <s v="LIQ"/>
    <s v="Prj000469"/>
    <s v="Support - Prod Support for Ops Apps"/>
    <s v="Operations Technology"/>
    <x v="2"/>
    <d v="2026-01-15T00:00:00"/>
    <d v="2027-01-14T00:00:00"/>
    <s v="LIQ - Loan IQ"/>
    <s v="Prj000469-Support - Prod Support for Ops Apps"/>
    <s v="Non-Labor"/>
    <x v="0"/>
    <s v="Software"/>
    <s v="Software"/>
    <s v="Information Technology"/>
    <s v="Software - Core"/>
    <s v="Software - Core"/>
    <s v="Annual Prepaid"/>
    <n v="2866540"/>
    <n v="3617396"/>
    <n v="3617396"/>
    <n v="4073475.3699999992"/>
    <n v="0"/>
    <n v="456079.36999999918"/>
    <n v="456079.36999999918"/>
    <s v="Recurring License Fee/Maintenance for the period 1-Jan-2026 to 14-Jan-2026 and Subscription Fees for the period 15-Jan-2026 to 14-Jan-2027"/>
    <n v="333776.63"/>
    <n v="333776.63"/>
    <n v="333776.63"/>
    <n v="333776.63"/>
    <n v="333776.63"/>
    <n v="333776.63"/>
    <n v="333776.63"/>
    <n v="333776.63"/>
    <n v="333776.63"/>
    <n v="333776.63"/>
    <n v="333776.63"/>
    <n v="333776.63"/>
    <n v="4005319.5599999991"/>
    <n v="2336436.4099999997"/>
    <n v="401932.44"/>
    <n v="333776.63"/>
    <n v="333776.63"/>
    <n v="333776.63"/>
    <n v="333776.63"/>
    <n v="333776.63"/>
    <n v="333776.63"/>
    <n v="333776.63"/>
    <n v="333776.63"/>
    <n v="333776.63"/>
    <n v="333776.63"/>
    <n v="333776.63"/>
    <n v="4073475.3699999992"/>
    <n v="68155.81"/>
    <n v="0"/>
    <n v="0"/>
    <n v="0"/>
    <n v="0"/>
    <n v="0"/>
    <n v="0"/>
    <n v="0"/>
    <n v="0"/>
    <n v="0"/>
    <n v="0"/>
    <n v="0"/>
    <n v="68155.81"/>
    <s v="Sales tax unbudgeted + actual over budget estimated"/>
    <n v="1403262.33"/>
  </r>
  <r>
    <x v="0"/>
    <s v="Indus Valley Partners Corporation"/>
    <s v="IVP"/>
    <s v="Prj000458"/>
    <s v="Support - Data Analytics Office"/>
    <s v="Enterprise Architecture, Data Analytics &amp; AI"/>
    <x v="5"/>
    <d v="2025-11-07T00:00:00"/>
    <d v="2026-11-06T00:00:00"/>
    <s v="Polaris/EDM/SecMast Core"/>
    <s v="Prj000458-Support - Data Analytics Office"/>
    <s v="Non-Labor"/>
    <x v="0"/>
    <s v="Software"/>
    <s v="Software"/>
    <s v="Information Technology"/>
    <s v="Software - Core"/>
    <s v="Software - Core"/>
    <s v="Annual Prepaid"/>
    <n v="889688"/>
    <n v="1051185.52165"/>
    <n v="1051185.52165"/>
    <n v="835409.9"/>
    <n v="-215775.62164999999"/>
    <n v="0"/>
    <n v="-215775.62164999999"/>
    <s v="IVP EDM, Polaris, Security Master Year 3 SaaS Fees/ Production License Fee + Annual Consulting Fee for IVP EDM, Polaris, Security Master-Prepaid"/>
    <n v="103138.49"/>
    <n v="81363.490000000005"/>
    <n v="81363.490000000005"/>
    <n v="81363.490000000005"/>
    <n v="81363.490000000005"/>
    <n v="81363.490000000005"/>
    <n v="81363.490000000005"/>
    <n v="81363.490000000005"/>
    <n v="81363.490000000005"/>
    <n v="81363.490000000005"/>
    <m/>
    <m/>
    <n v="835409.9"/>
    <n v="406817.45"/>
    <n v="103138.49"/>
    <n v="81363.490000000005"/>
    <n v="81363.490000000005"/>
    <n v="81363.490000000005"/>
    <n v="81363.490000000005"/>
    <n v="81363.490000000005"/>
    <n v="81363.490000000005"/>
    <n v="81363.490000000005"/>
    <n v="81363.490000000005"/>
    <n v="81363.490000000005"/>
    <m/>
    <m/>
    <n v="835409.9"/>
    <n v="0"/>
    <n v="0"/>
    <n v="0"/>
    <n v="0"/>
    <n v="0"/>
    <n v="0"/>
    <n v="0"/>
    <n v="0"/>
    <n v="0"/>
    <n v="0"/>
    <n v="0"/>
    <n v="0"/>
    <n v="0"/>
    <s v="Budget v/s Actuals"/>
    <n v="347228.96"/>
  </r>
  <r>
    <x v="0"/>
    <s v="Indus Valley Partners Corporation"/>
    <s v="IVP"/>
    <s v="Prj000548"/>
    <s v="Implement - Reporting for Internal Audit"/>
    <s v="Enterprise Architecture, Data Analytics &amp; AI"/>
    <x v="5"/>
    <d v="2025-07-01T00:00:00"/>
    <d v="2026-06-30T00:00:00"/>
    <s v="Polaris/EDM/SecMast Hosting"/>
    <s v="Prj000548-Implement - Reporting for Internal Audit"/>
    <s v="Non-Labor"/>
    <x v="0"/>
    <s v="Software"/>
    <m/>
    <s v="Information Technology"/>
    <s v="Software - Core"/>
    <s v="Software - Core"/>
    <s v="Annual Prepaid"/>
    <n v="100000"/>
    <n v="200000"/>
    <n v="200000"/>
    <n v="199999.99999999997"/>
    <n v="-2.9103830456733704E-11"/>
    <n v="0"/>
    <n v="-2.9103830456733704E-11"/>
    <s v="Polaris/EDM/SecMast- Prod. &amp; UAT Hosting Fee-Prepaid till Jun2026, to be renewed post Jun2026"/>
    <n v="16666.666666666668"/>
    <n v="16666.666666666668"/>
    <n v="16666.666666666668"/>
    <n v="16666.666666666668"/>
    <n v="16666.666666666668"/>
    <n v="16666.666666666668"/>
    <n v="16666.666666666668"/>
    <n v="16666.666666666668"/>
    <n v="16666.666666666668"/>
    <n v="16666.666666666668"/>
    <n v="16666.666666666668"/>
    <n v="16666.666666666668"/>
    <n v="199999.99999999997"/>
    <n v="116666.66666666669"/>
    <n v="16666.666666666668"/>
    <n v="16666.666666666668"/>
    <n v="16666.666666666668"/>
    <n v="16666.666666666668"/>
    <n v="16666.666666666668"/>
    <n v="16666.666666666668"/>
    <m/>
    <m/>
    <m/>
    <m/>
    <m/>
    <m/>
    <n v="100000.00000000001"/>
    <n v="0"/>
    <n v="0"/>
    <n v="0"/>
    <n v="0"/>
    <n v="0"/>
    <n v="0"/>
    <n v="-16666.666666666668"/>
    <n v="-16666.666666666668"/>
    <n v="-16666.666666666668"/>
    <n v="-16666.666666666668"/>
    <n v="-16666.666666666668"/>
    <n v="-16666.666666666668"/>
    <n v="-100000.00000000001"/>
    <m/>
    <n v="66666.666666666672"/>
  </r>
  <r>
    <x v="0"/>
    <s v="Indus Valley Partners Corporation"/>
    <s v="IVP"/>
    <s v="Prj000458"/>
    <s v="Support - Data Analytics Office"/>
    <s v="Enterprise Architecture, Data Analytics &amp; AI"/>
    <x v="5"/>
    <d v="2026-05-01T00:00:00"/>
    <d v="2027-04-30T00:00:00"/>
    <s v="Polaris/EDM/SecMast Hosting"/>
    <s v="Prj000458-Support - Data Analytics Office"/>
    <s v="Non-Labor"/>
    <x v="0"/>
    <s v="Software"/>
    <s v="Software"/>
    <s v="Information Technology"/>
    <s v="Software - Core"/>
    <s v="Software - Core"/>
    <s v="Annual Prepaid"/>
    <n v="66666.666666666672"/>
    <n v="100000"/>
    <n v="100000"/>
    <n v="99999.999999999985"/>
    <n v="-1.4551915228366852E-11"/>
    <n v="0"/>
    <n v="-1.4551915228366852E-11"/>
    <s v="Polaris/EDM/SecMast- Disaster Recovery Hosting Fee-Prepaid till Apr2027, to be renewed post Apr2027"/>
    <n v="8333.3333333333339"/>
    <n v="8333.3333333333339"/>
    <n v="8333.3333333333339"/>
    <n v="8333.3333333333339"/>
    <n v="8333.3333333333339"/>
    <n v="8333.3333333333339"/>
    <n v="8333.3333333333339"/>
    <n v="8333.3333333333339"/>
    <n v="8333.3333333333339"/>
    <n v="8333.3333333333339"/>
    <n v="8333.3333333333339"/>
    <n v="8333.3333333333339"/>
    <n v="99999.999999999985"/>
    <n v="58333.333333333343"/>
    <n v="8333.3333333333339"/>
    <n v="8333.3333333333339"/>
    <n v="8333.3333333333339"/>
    <n v="8333.3333333333339"/>
    <n v="8333.3333333333339"/>
    <n v="8333.3333333333339"/>
    <n v="8333.3333333333339"/>
    <n v="8333.3333333333339"/>
    <n v="8333.3333333333339"/>
    <n v="8333.3333333333339"/>
    <n v="8333.3333333333339"/>
    <n v="8333.3333333333339"/>
    <n v="99999.999999999985"/>
    <n v="0"/>
    <n v="0"/>
    <n v="0"/>
    <n v="0"/>
    <n v="0"/>
    <n v="0"/>
    <n v="0"/>
    <n v="0"/>
    <n v="0"/>
    <n v="0"/>
    <n v="0"/>
    <n v="0"/>
    <n v="0"/>
    <m/>
    <n v="33333.333333333336"/>
  </r>
  <r>
    <x v="0"/>
    <s v="Workday, Inc."/>
    <m/>
    <s v="Prj000446"/>
    <s v="Implement - Minor Enhancements for Enterprise Apps"/>
    <s v="Cos, PMO &amp; Enterprise Technology"/>
    <x v="1"/>
    <d v="2026-03-01T00:00:00"/>
    <d v="2027-02-28T00:00:00"/>
    <s v="Workday"/>
    <s v="Prj000446-Implement - Minor Enhancements for Enterprise Apps"/>
    <s v="Non-Labor"/>
    <x v="0"/>
    <s v="Software"/>
    <s v="Software"/>
    <s v="Information Technology"/>
    <s v="Software - Core"/>
    <s v="Software - Core"/>
    <s v="Annual Prepaid"/>
    <n v="464992"/>
    <n v="440671.35000000003"/>
    <n v="440671.35000000003"/>
    <n v="440671.00000000006"/>
    <n v="-0.34999999997671694"/>
    <n v="0"/>
    <n v="-0.34999999997671694"/>
    <s v="Misposting PREPAID in 2025; paid $419,687/- in Mar2025. Renewed as Prepaid in Mar 2026.-Added opportunity in Dec for extra support work as rec. my Melissa"/>
    <m/>
    <m/>
    <n v="36234.200000000004"/>
    <n v="36234.200000000004"/>
    <n v="36234.200000000004"/>
    <n v="36234.200000000004"/>
    <n v="36234.200000000004"/>
    <n v="36234.200000000004"/>
    <n v="36234.200000000004"/>
    <n v="36234.200000000004"/>
    <n v="36234.200000000004"/>
    <n v="114563.20000000001"/>
    <n v="440671.00000000006"/>
    <n v="331968.40000000002"/>
    <m/>
    <m/>
    <n v="36234.200000000004"/>
    <n v="36234.200000000004"/>
    <n v="36234.200000000004"/>
    <n v="36234.200000000004"/>
    <n v="36234.200000000004"/>
    <n v="36234.200000000004"/>
    <n v="36234.200000000004"/>
    <n v="36234.200000000004"/>
    <n v="36234.200000000004"/>
    <n v="36234.200000000004"/>
    <n v="362342.00000000006"/>
    <n v="0"/>
    <n v="0"/>
    <n v="0"/>
    <n v="0"/>
    <n v="0"/>
    <n v="0"/>
    <n v="0"/>
    <n v="0"/>
    <n v="0"/>
    <n v="0"/>
    <n v="0"/>
    <n v="-78329"/>
    <n v="-78329"/>
    <s v="Extra added in Dec for extra support work requested by Melissa"/>
    <n v="72468.400000000009"/>
  </r>
  <r>
    <x v="0"/>
    <s v="Microsoft Corporation"/>
    <m/>
    <s v="Prj000350"/>
    <s v="Support - Infrastructure for Tech"/>
    <s v="Infrastructure Services, Controls &amp; User Enablement"/>
    <x v="0"/>
    <s v="Monthly"/>
    <s v="Monthly"/>
    <m/>
    <s v="Prj000350-Support - Infrastructure for Tech"/>
    <s v="Non-Labor"/>
    <x v="0"/>
    <s v="Software"/>
    <s v="Monthly Incremental"/>
    <s v="Information Technology"/>
    <s v="Software - Licenses"/>
    <s v="Software - Licenses"/>
    <s v="Monthly Expensed"/>
    <n v="12685"/>
    <n v="15000"/>
    <n v="15000"/>
    <n v="14999.48"/>
    <n v="-0.52000000000043656"/>
    <n v="0"/>
    <n v="-0.52000000000043656"/>
    <s v="Monthly Incremental - Potential Opportunity-Monthly Incremental - Potential Opportunity"/>
    <n v="1250"/>
    <n v="1250"/>
    <n v="1250"/>
    <n v="1967"/>
    <n v="1967"/>
    <n v="1250"/>
    <n v="1250"/>
    <n v="1250"/>
    <n v="1250"/>
    <n v="1250"/>
    <n v="1250"/>
    <n v="2871"/>
    <n v="18055"/>
    <n v="10371"/>
    <n v="0"/>
    <n v="0"/>
    <n v="696.32"/>
    <n v="1966.08"/>
    <n v="1966.08"/>
    <n v="1966.08"/>
    <m/>
    <m/>
    <m/>
    <m/>
    <m/>
    <m/>
    <n v="6594.5599999999995"/>
    <n v="-1250"/>
    <n v="-1250"/>
    <n v="-553.67999999999995"/>
    <n v="-0.92000000000007276"/>
    <n v="-0.92000000000007276"/>
    <n v="716.07999999999993"/>
    <n v="-1250"/>
    <n v="-1250"/>
    <n v="-1250"/>
    <n v="-1250"/>
    <n v="-1250"/>
    <n v="-2871"/>
    <n v="-11460.44"/>
    <s v="Fluctuation per month, Dec has buffer"/>
    <n v="2662.4"/>
  </r>
  <r>
    <x v="0"/>
    <s v="Microsoft Corporation"/>
    <m/>
    <s v="Prj000342"/>
    <s v="Support - Site Reliability Engineering for Tech"/>
    <s v="Infrastructure Services, Controls &amp; User Enablement"/>
    <x v="0"/>
    <d v="2024-06-01T00:00:00"/>
    <d v="2027-05-31T00:00:00"/>
    <m/>
    <s v="Prj000342-Support - Site Reliability Engineering for Tech"/>
    <s v="Non-Labor"/>
    <x v="3"/>
    <s v="Infrastructure"/>
    <s v="MS Cloud"/>
    <s v="Information Technology"/>
    <s v="Managed Service - Cloud"/>
    <s v="Managed Service - Cloud"/>
    <s v="Monthly Expensed"/>
    <n v="7121037.5"/>
    <n v="7500000"/>
    <n v="7500000"/>
    <n v="6852968.5600000005"/>
    <n v="-647031.43999999948"/>
    <n v="0"/>
    <n v="-647031.43999999948"/>
    <s v="3 YR $16MM Commitment;_x000a_Potential Incremental spend for Project Evolution-MS Cloud"/>
    <n v="625000"/>
    <n v="625000"/>
    <n v="625000"/>
    <n v="625000"/>
    <n v="625000"/>
    <n v="625000"/>
    <n v="625000"/>
    <n v="625000"/>
    <n v="625000"/>
    <n v="625000"/>
    <n v="625000"/>
    <n v="608224"/>
    <n v="7483224"/>
    <n v="4358224"/>
    <n v="660370.4"/>
    <n v="603859.57000000007"/>
    <n v="627545.69000000006"/>
    <n v="602395.04999999993"/>
    <n v="573.85"/>
    <n v="633397.85"/>
    <m/>
    <m/>
    <m/>
    <m/>
    <m/>
    <m/>
    <n v="3128142.41"/>
    <n v="35370.400000000023"/>
    <n v="-21140.429999999935"/>
    <n v="2545.6900000000605"/>
    <n v="-22604.95000000007"/>
    <n v="-624426.15"/>
    <n v="8397.8499999999767"/>
    <n v="-625000"/>
    <n v="-625000"/>
    <n v="-625000"/>
    <n v="-625000"/>
    <n v="-625000"/>
    <n v="-608224"/>
    <n v="-4355081.59"/>
    <s v="Fluctuation per month, Risk adjusted in Dec"/>
    <n v="2494170.71"/>
  </r>
  <r>
    <x v="0"/>
    <s v="BWise Internal Control Inc."/>
    <s v="SAI360"/>
    <s v="Prj000446"/>
    <s v="Implement - Minor Enhancements for Enterprise Apps"/>
    <s v="Cos, PMO &amp; Enterprise Technology"/>
    <x v="1"/>
    <d v="2025-08-01T00:00:00"/>
    <d v="2026-07-31T00:00:00"/>
    <m/>
    <s v="Prj000446-Implement - Minor Enhancements for Enterprise Apps"/>
    <s v="Non-Labor"/>
    <x v="0"/>
    <s v="Software"/>
    <s v="Software License"/>
    <s v="Information Technology"/>
    <s v="Software - Licenses"/>
    <s v="Software - Licenses"/>
    <s v="Annual Prepaid"/>
    <n v="40500"/>
    <n v="99225"/>
    <n v="99225"/>
    <n v="99225"/>
    <n v="0"/>
    <n v="0"/>
    <n v="0"/>
    <s v="Prepaid-Prepaid"/>
    <n v="8100"/>
    <n v="8100"/>
    <n v="8100"/>
    <n v="8100"/>
    <n v="8100"/>
    <n v="8100"/>
    <n v="8100"/>
    <n v="8505"/>
    <n v="8505"/>
    <n v="8505"/>
    <n v="8505"/>
    <n v="8505"/>
    <n v="99225"/>
    <n v="58725"/>
    <n v="8100"/>
    <n v="8100"/>
    <n v="8100"/>
    <n v="8100"/>
    <n v="8100"/>
    <n v="8100"/>
    <n v="8100"/>
    <m/>
    <m/>
    <m/>
    <m/>
    <m/>
    <n v="56700"/>
    <n v="0"/>
    <n v="0"/>
    <n v="0"/>
    <n v="0"/>
    <n v="0"/>
    <n v="0"/>
    <n v="0"/>
    <n v="-8505"/>
    <n v="-8505"/>
    <n v="-8505"/>
    <n v="-8505"/>
    <n v="-8505"/>
    <n v="-42525"/>
    <m/>
    <n v="32400"/>
  </r>
  <r>
    <x v="0"/>
    <s v="CDW DIRECT LLC"/>
    <s v="CDW (b)"/>
    <s v="Prj000350"/>
    <s v="Support - Infrastructure for Tech"/>
    <s v="Infrastructure Services, Controls &amp; User Enablement"/>
    <x v="0"/>
    <d v="2026-01-01T00:00:00"/>
    <d v="2026-12-31T00:00:00"/>
    <s v="NCE M365 Jan - Dec Mthly Invoice"/>
    <s v="Prj000350-Support - Infrastructure for Tech"/>
    <s v="Non-Labor"/>
    <x v="0"/>
    <s v="Software"/>
    <m/>
    <s v="Information Technology"/>
    <s v="Software - Licenses"/>
    <s v="Software - Licenses"/>
    <s v="Monthly Expensed"/>
    <n v="59388.740000000013"/>
    <n v="86949.723000000013"/>
    <n v="86949.723000000013"/>
    <n v="86949.882000000012"/>
    <n v="0"/>
    <n v="0.15899999999965075"/>
    <n v="0.15899999999965075"/>
    <s v="NCE M365 E5"/>
    <n v="840.88"/>
    <n v="1681.7600000000002"/>
    <n v="7245.8102500000014"/>
    <n v="7245.8102500000014"/>
    <n v="7245.8102500000014"/>
    <n v="7245.8102500000014"/>
    <n v="7245.8102500000014"/>
    <n v="7245.8102500000014"/>
    <n v="7245.8102500000014"/>
    <n v="7245.8102500000014"/>
    <n v="7245.8102500000014"/>
    <n v="32024.810250000002"/>
    <n v="99759.742500000022"/>
    <n v="75499.671750000009"/>
    <n v="840.88"/>
    <n v="1681.7600000000002"/>
    <n v="840.88000000000011"/>
    <m/>
    <n v="840.88000000000011"/>
    <n v="4347.6899999999996"/>
    <m/>
    <m/>
    <m/>
    <m/>
    <m/>
    <m/>
    <n v="8552.09"/>
    <n v="0"/>
    <n v="0"/>
    <n v="-6404.9302500000013"/>
    <n v="-7245.8102500000014"/>
    <n v="-6404.9302500000013"/>
    <n v="-2898.1202500000018"/>
    <n v="-7245.8102500000014"/>
    <n v="-7245.8102500000014"/>
    <n v="-7245.8102500000014"/>
    <n v="-7245.8102500000014"/>
    <n v="-7245.8102500000014"/>
    <n v="-32024.810250000002"/>
    <n v="-91207.652500000026"/>
    <s v="Microsoft 365 E5 &amp; Teams Room Pro"/>
    <n v="3363.5200000000004"/>
  </r>
  <r>
    <x v="0"/>
    <s v="CDW DIRECT LLC"/>
    <s v="CDW (b)"/>
    <s v="Prj000350"/>
    <s v="Support - Infrastructure for Tech"/>
    <s v="Infrastructure Services, Controls &amp; User Enablement"/>
    <x v="0"/>
    <d v="2025-10-01T00:00:00"/>
    <d v="2026-09-30T00:00:00"/>
    <s v="Proofpoint"/>
    <s v="Prj000350-Support - Infrastructure for Tech"/>
    <s v="Non-Labor"/>
    <x v="0"/>
    <s v="Software"/>
    <m/>
    <s v="Information Technology"/>
    <s v="Software - Licenses"/>
    <s v="Software - Licenses"/>
    <s v="Annual Expensed"/>
    <n v="79876"/>
    <n v="63000"/>
    <n v="63000"/>
    <n v="63000.37"/>
    <n v="0"/>
    <n v="0.37000000000261934"/>
    <n v="0.37000000000261934"/>
    <s v="Proofpoint Sftwr, paid in 2025. To be renewed in Q3/Q4 2026"/>
    <m/>
    <m/>
    <m/>
    <m/>
    <n v="2274.37"/>
    <m/>
    <m/>
    <m/>
    <m/>
    <m/>
    <m/>
    <n v="60726"/>
    <n v="63000.37"/>
    <n v="60726"/>
    <m/>
    <m/>
    <m/>
    <m/>
    <n v="2274.37"/>
    <m/>
    <m/>
    <m/>
    <m/>
    <m/>
    <m/>
    <m/>
    <n v="2274.37"/>
    <n v="0"/>
    <n v="0"/>
    <n v="0"/>
    <n v="0"/>
    <n v="0"/>
    <n v="0"/>
    <n v="0"/>
    <n v="0"/>
    <n v="0"/>
    <n v="0"/>
    <n v="0"/>
    <n v="-60726"/>
    <n v="-60726"/>
    <s v="proofpoint patrol for organisation"/>
    <n v="0"/>
  </r>
  <r>
    <x v="0"/>
    <s v="CDW DIRECT LLC"/>
    <s v="CDW Microsoft (a)"/>
    <s v="Prj000342"/>
    <s v="Support - Site Reliability Engineering for Tech"/>
    <s v="Infrastructure Services, Controls &amp; User Enablement"/>
    <x v="0"/>
    <d v="2025-09-01T00:00:00"/>
    <d v="2026-08-31T00:00:00"/>
    <s v="Syskit Point"/>
    <s v="Prj000342-Support - Site Reliability Engineering for Tech"/>
    <s v="Non-Labor"/>
    <x v="0"/>
    <s v="Software"/>
    <m/>
    <s v="Information Technology"/>
    <s v="Software - Licenses"/>
    <s v="Software - Licenses"/>
    <s v="Annual Expensed"/>
    <n v="31521"/>
    <n v="33096.819000000003"/>
    <n v="33096.819000000003"/>
    <n v="33096.819000000003"/>
    <n v="0"/>
    <n v="0"/>
    <n v="0"/>
    <s v="Syskit Point Sftwr"/>
    <m/>
    <m/>
    <m/>
    <m/>
    <m/>
    <m/>
    <m/>
    <m/>
    <n v="33096.819000000003"/>
    <m/>
    <m/>
    <m/>
    <n v="33096.819000000003"/>
    <n v="33096.819000000003"/>
    <m/>
    <m/>
    <m/>
    <m/>
    <m/>
    <m/>
    <m/>
    <m/>
    <m/>
    <m/>
    <m/>
    <m/>
    <n v="0"/>
    <n v="0"/>
    <n v="0"/>
    <n v="0"/>
    <n v="0"/>
    <n v="0"/>
    <n v="0"/>
    <n v="0"/>
    <n v="0"/>
    <n v="-33096.819000000003"/>
    <n v="0"/>
    <n v="0"/>
    <n v="0"/>
    <n v="-33096.819000000003"/>
    <m/>
    <n v="0"/>
  </r>
  <r>
    <x v="0"/>
    <s v="CDW DIRECT LLC"/>
    <s v="CDW Microsoft (a)"/>
    <s v="Prj000358"/>
    <s v="Support - Security Operations for Cybersecurity"/>
    <s v="Infrastructure Services, Controls &amp; User Enablement"/>
    <x v="0"/>
    <s v="NA"/>
    <s v="NA"/>
    <m/>
    <s v="Prj000358-Support - Security Operations for Cybersecurity"/>
    <s v="Non-Labor"/>
    <x v="0"/>
    <s v="Software"/>
    <m/>
    <s v="Information Technology"/>
    <s v="Software - Licenses"/>
    <s v="Software - Licenses"/>
    <s v="Annual Expensed"/>
    <n v="60310"/>
    <n v="63325.5"/>
    <n v="63325.5"/>
    <n v="63325.5"/>
    <n v="0"/>
    <n v="0"/>
    <n v="0"/>
    <s v="Misc Other Software - New Joiners-Potential Opp"/>
    <m/>
    <m/>
    <n v="1100.47"/>
    <m/>
    <m/>
    <m/>
    <m/>
    <n v="62225.03"/>
    <m/>
    <m/>
    <m/>
    <m/>
    <n v="63325.5"/>
    <n v="62225.03"/>
    <m/>
    <m/>
    <n v="1100.47"/>
    <m/>
    <m/>
    <m/>
    <m/>
    <m/>
    <m/>
    <m/>
    <m/>
    <m/>
    <n v="1100.47"/>
    <n v="0"/>
    <n v="0"/>
    <n v="0"/>
    <n v="0"/>
    <n v="0"/>
    <n v="0"/>
    <n v="0"/>
    <n v="-62225.03"/>
    <n v="0"/>
    <n v="0"/>
    <n v="0"/>
    <n v="0"/>
    <n v="-62225.03"/>
    <m/>
    <n v="1100.47"/>
  </r>
  <r>
    <x v="0"/>
    <s v="Cloud Navigators LLC"/>
    <s v="Cloud Navigator"/>
    <s v="Prj000403"/>
    <s v="Support - L2 CoE Management for Tech Horizontals"/>
    <s v="Tech Shared Services"/>
    <x v="5"/>
    <d v="2026-06-01T00:00:00"/>
    <d v="2027-05-31T00:00:00"/>
    <m/>
    <s v="Prj000403-Support - L2 CoE Management for Tech Horizontals"/>
    <s v="Non-Labor"/>
    <x v="0"/>
    <s v="Software"/>
    <s v="Software"/>
    <s v="Information Technology"/>
    <s v="Software - Licenses"/>
    <s v="Software - Licenses"/>
    <s v="Annual Expensed"/>
    <n v="9600"/>
    <n v="10080"/>
    <n v="10080"/>
    <n v="10080"/>
    <n v="0"/>
    <n v="0"/>
    <n v="0"/>
    <s v="IAM Cloud – Cloud Drive Mapper Corporate 300 users - 1 year"/>
    <m/>
    <m/>
    <m/>
    <m/>
    <n v="4800"/>
    <n v="5280"/>
    <m/>
    <m/>
    <m/>
    <m/>
    <m/>
    <m/>
    <n v="10080"/>
    <n v="5280"/>
    <m/>
    <m/>
    <m/>
    <m/>
    <n v="4800"/>
    <m/>
    <m/>
    <m/>
    <m/>
    <m/>
    <m/>
    <m/>
    <n v="4800"/>
    <n v="0"/>
    <n v="0"/>
    <n v="0"/>
    <n v="0"/>
    <n v="0"/>
    <n v="-5280"/>
    <n v="0"/>
    <n v="0"/>
    <n v="0"/>
    <n v="0"/>
    <n v="0"/>
    <n v="0"/>
    <n v="-5280"/>
    <s v="Maybe an opportunity unless any further contract pending"/>
    <n v="0"/>
  </r>
  <r>
    <x v="0"/>
    <s v="FinDox Inc."/>
    <s v="FinDox is now Octus"/>
    <s v="Prj000290"/>
    <s v="Support - Asset Management Applications"/>
    <s v="Asset Management Tech"/>
    <x v="3"/>
    <d v="2026-04-01T00:00:00"/>
    <d v="2027-03-31T00:00:00"/>
    <s v="FinDox Core"/>
    <s v="Prj000290-Support - Asset Management Applications"/>
    <s v="Non-Labor"/>
    <x v="0"/>
    <s v="Software"/>
    <s v="Annual Software"/>
    <s v="Information Technology"/>
    <s v="Software - Licenses"/>
    <s v="Software - Licenses"/>
    <s v="Annual Expensed"/>
    <n v="230262.5"/>
    <n v="238897.86250000002"/>
    <n v="238897.86250000002"/>
    <n v="232868.65"/>
    <n v="-6029.2125000000233"/>
    <n v="0"/>
    <n v="-6029.2125000000233"/>
    <s v="Total contract - 342k IT cost 232k recharge to Liquid Credit 109k"/>
    <m/>
    <m/>
    <m/>
    <n v="232868.65"/>
    <m/>
    <m/>
    <m/>
    <m/>
    <m/>
    <m/>
    <m/>
    <m/>
    <n v="232868.65"/>
    <n v="0"/>
    <m/>
    <m/>
    <m/>
    <m/>
    <m/>
    <m/>
    <m/>
    <m/>
    <m/>
    <m/>
    <m/>
    <m/>
    <n v="0"/>
    <n v="0"/>
    <n v="0"/>
    <n v="0"/>
    <n v="-232868.65"/>
    <n v="0"/>
    <n v="0"/>
    <n v="0"/>
    <n v="0"/>
    <n v="0"/>
    <n v="0"/>
    <n v="0"/>
    <n v="0"/>
    <n v="-232868.65"/>
    <s v="Saving on budget v/s actual, prepaid cost of 232k expected for 12 months. Kindly spread for 9 months, total 342k our cost 232k, 109k is of liquid credit team"/>
    <n v="0"/>
  </r>
  <r>
    <x v="0"/>
    <s v="HSO Enterprise Solutions LLC"/>
    <s v="AKA Enterprises"/>
    <s v="Prj000344"/>
    <s v="Support - Prod support for Finance Applications"/>
    <s v="Finance &amp; Treasury Technology"/>
    <x v="2"/>
    <d v="2026-02-01T00:00:00"/>
    <d v="2027-01-31T00:00:00"/>
    <m/>
    <s v="Prj000344-Support - Prod support for Finance Applications"/>
    <s v="Non-Labor"/>
    <x v="0"/>
    <s v="Software"/>
    <m/>
    <s v="Information Technology"/>
    <s v="Software - Licenses"/>
    <s v="Software - Licenses"/>
    <s v="Annual Expensed"/>
    <n v="12000"/>
    <n v="12600"/>
    <n v="12600"/>
    <n v="12000"/>
    <n v="-600"/>
    <n v="0"/>
    <n v="-600"/>
    <s v="  "/>
    <m/>
    <n v="12600"/>
    <m/>
    <m/>
    <m/>
    <m/>
    <m/>
    <m/>
    <m/>
    <m/>
    <m/>
    <m/>
    <n v="12600"/>
    <n v="0"/>
    <m/>
    <n v="12000"/>
    <m/>
    <m/>
    <m/>
    <m/>
    <m/>
    <m/>
    <m/>
    <m/>
    <m/>
    <m/>
    <n v="12000"/>
    <n v="0"/>
    <n v="-600"/>
    <n v="0"/>
    <n v="0"/>
    <n v="0"/>
    <n v="0"/>
    <n v="0"/>
    <n v="0"/>
    <n v="0"/>
    <n v="0"/>
    <n v="0"/>
    <n v="0"/>
    <n v="-600"/>
    <s v="Budget v/s Actuals"/>
    <n v="12000"/>
  </r>
  <r>
    <x v="0"/>
    <s v="Incloud, LLC"/>
    <s v="Ontra"/>
    <s v="Prj000446"/>
    <s v="Implement - Minor Enhancements for Enterprise Apps"/>
    <s v="Cos, PMO &amp; Enterprise Technology"/>
    <x v="1"/>
    <d v="2025-07-19T00:00:00"/>
    <d v="2026-07-18T00:00:00"/>
    <s v="Ontra / Insight Funds"/>
    <s v="Prj000446-Implement - Minor Enhancements for Enterprise Apps"/>
    <s v="Non-Labor"/>
    <x v="0"/>
    <s v="Software"/>
    <m/>
    <s v="Information Technology"/>
    <s v="Software - Licenses"/>
    <s v="Software - Licenses"/>
    <s v="Annual Expensed"/>
    <n v="85330.79"/>
    <n v="90000"/>
    <n v="90000"/>
    <n v="90000"/>
    <n v="0"/>
    <n v="0"/>
    <n v="0"/>
    <s v="Prepaid in 2025-confirm if IT is taking this cost in 2026"/>
    <m/>
    <m/>
    <m/>
    <m/>
    <m/>
    <m/>
    <m/>
    <n v="90000"/>
    <m/>
    <m/>
    <m/>
    <m/>
    <n v="90000"/>
    <n v="90000"/>
    <m/>
    <m/>
    <m/>
    <m/>
    <m/>
    <m/>
    <m/>
    <m/>
    <m/>
    <m/>
    <m/>
    <m/>
    <n v="0"/>
    <n v="0"/>
    <n v="0"/>
    <n v="0"/>
    <n v="0"/>
    <n v="0"/>
    <n v="0"/>
    <n v="0"/>
    <n v="-90000"/>
    <n v="0"/>
    <n v="0"/>
    <n v="0"/>
    <n v="0"/>
    <n v="-90000"/>
    <m/>
    <n v="0"/>
  </r>
  <r>
    <x v="0"/>
    <s v="Indus Valley Partners Corporation"/>
    <s v="IVP"/>
    <s v="Prj000344"/>
    <s v="Support - Prod support for Finance Applications"/>
    <s v="Finance &amp; Treasury Technology"/>
    <x v="2"/>
    <d v="2026-04-20T00:00:00"/>
    <d v="2029-04-19T00:00:00"/>
    <s v="Recon, this annual cost was projected at 96K but actuals cost was 101k since over threshold it is spread over 12 months as prepaid from May'26-Apr'26 in accounting records"/>
    <s v="Prj000344-Support - Prod support for Finance Applications"/>
    <s v="Non-Labor"/>
    <x v="0"/>
    <s v="Software"/>
    <s v="Software"/>
    <s v="Information Technology"/>
    <s v="Software - Licenses"/>
    <s v="Software - Licenses"/>
    <s v="Annual Expensed"/>
    <n v="80119"/>
    <n v="96543"/>
    <n v="96543"/>
    <n v="101291"/>
    <n v="0"/>
    <n v="4748"/>
    <n v="4748"/>
    <s v="Recon, this annual cost was projected at 96K but actuals cost was 101k since over threshold it is spread over 12 months as prepaid from May'26-Apr'26 in accounting records"/>
    <m/>
    <m/>
    <m/>
    <m/>
    <n v="96543"/>
    <m/>
    <m/>
    <m/>
    <m/>
    <m/>
    <m/>
    <m/>
    <n v="96543"/>
    <n v="0"/>
    <m/>
    <m/>
    <m/>
    <m/>
    <n v="101291"/>
    <m/>
    <m/>
    <m/>
    <m/>
    <m/>
    <m/>
    <m/>
    <n v="101291"/>
    <n v="0"/>
    <n v="0"/>
    <n v="0"/>
    <n v="0"/>
    <n v="4748"/>
    <n v="0"/>
    <n v="0"/>
    <n v="0"/>
    <n v="0"/>
    <n v="0"/>
    <n v="0"/>
    <n v="0"/>
    <n v="4748"/>
    <s v="Prepaid, to be deferred"/>
    <n v="0"/>
  </r>
  <r>
    <x v="0"/>
    <s v="Indus Valley Partners Corporation"/>
    <s v="IVP"/>
    <s v="Prj000344"/>
    <s v="Support - Prod support for Finance Applications"/>
    <s v="Finance &amp; Treasury Technology"/>
    <x v="2"/>
    <d v="2024-12-14T00:00:00"/>
    <d v="2025-12-13T00:00:00"/>
    <s v="ExpMgr Hositng"/>
    <s v="Prj000344-Support - Prod support for Finance Applications"/>
    <s v="Non-Labor"/>
    <x v="0"/>
    <s v="Software"/>
    <s v="Software"/>
    <s v="Information Technology"/>
    <s v="Software - Licenses"/>
    <s v="Software - Licenses"/>
    <s v="Annual Expensed"/>
    <n v="12000"/>
    <n v="14460"/>
    <n v="14460"/>
    <n v="14460"/>
    <n v="0"/>
    <n v="0"/>
    <n v="0"/>
    <s v="ExpMgr"/>
    <m/>
    <m/>
    <m/>
    <n v="14460"/>
    <m/>
    <m/>
    <m/>
    <m/>
    <m/>
    <m/>
    <m/>
    <m/>
    <n v="14460"/>
    <n v="0"/>
    <m/>
    <m/>
    <m/>
    <m/>
    <m/>
    <m/>
    <m/>
    <m/>
    <m/>
    <m/>
    <m/>
    <m/>
    <n v="0"/>
    <n v="0"/>
    <n v="0"/>
    <n v="0"/>
    <n v="-14460"/>
    <n v="0"/>
    <n v="0"/>
    <n v="0"/>
    <n v="0"/>
    <n v="0"/>
    <n v="0"/>
    <n v="0"/>
    <n v="0"/>
    <n v="-14460"/>
    <m/>
    <n v="0"/>
  </r>
  <r>
    <x v="0"/>
    <s v="Indus Valley Partners Corporation"/>
    <s v="IVP"/>
    <s v="Prj000458"/>
    <s v="Support - Data Analytics Office"/>
    <s v="Enterprise Architecture, Data Analytics &amp; AI"/>
    <x v="5"/>
    <d v="2024-11-07T00:00:00"/>
    <d v="2025-11-06T00:00:00"/>
    <s v="Navigate"/>
    <s v="Prj000458-Support - Data Analytics Office"/>
    <s v="Non-Labor"/>
    <x v="0"/>
    <s v="Software"/>
    <s v="Software"/>
    <s v="Information Technology"/>
    <s v="Software - Licenses"/>
    <s v="Software - Licenses"/>
    <s v="Annual Expensed"/>
    <n v="80161"/>
    <n v="59783.0625"/>
    <n v="59783.0625"/>
    <n v="59783.0625"/>
    <n v="0"/>
    <n v="0"/>
    <n v="0"/>
    <s v="Navigate"/>
    <m/>
    <m/>
    <m/>
    <m/>
    <m/>
    <m/>
    <m/>
    <m/>
    <m/>
    <m/>
    <n v="59783.0625"/>
    <m/>
    <n v="59783.0625"/>
    <n v="59783.0625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-59783.0625"/>
    <n v="0"/>
    <n v="-59783.0625"/>
    <m/>
    <n v="0"/>
  </r>
  <r>
    <x v="0"/>
    <s v="Inogic Tech India Private Limited"/>
    <s v="Maplytics"/>
    <s v="Prj000427"/>
    <s v="Implement - Minor Enhancements for Marketing"/>
    <s v="Asset Management Technology &amp; Data Services"/>
    <x v="4"/>
    <d v="2026-01-21T00:00:00"/>
    <d v="2027-01-30T00:00:00"/>
    <m/>
    <s v="Prj000427-Implement - Minor Enhancements for Marketing"/>
    <s v="Non-Labor"/>
    <x v="0"/>
    <s v="Software"/>
    <m/>
    <s v="Information Technology"/>
    <s v="Software - Licenses"/>
    <s v="Software - Licenses"/>
    <s v="Annual Expensed"/>
    <n v="1200"/>
    <n v="1260"/>
    <n v="1260"/>
    <n v="1260"/>
    <n v="0"/>
    <n v="0"/>
    <n v="0"/>
    <s v="  "/>
    <n v="1260"/>
    <n v="0"/>
    <n v="0"/>
    <n v="0"/>
    <n v="0"/>
    <n v="0"/>
    <n v="0"/>
    <n v="0"/>
    <n v="0"/>
    <n v="0"/>
    <n v="0"/>
    <n v="0"/>
    <n v="1260"/>
    <n v="0"/>
    <n v="1260"/>
    <n v="0"/>
    <n v="0"/>
    <n v="0"/>
    <n v="0"/>
    <n v="0"/>
    <n v="0"/>
    <n v="0"/>
    <n v="0"/>
    <n v="0"/>
    <n v="0"/>
    <n v="0"/>
    <n v="1260"/>
    <n v="0"/>
    <n v="0"/>
    <n v="0"/>
    <n v="0"/>
    <n v="0"/>
    <n v="0"/>
    <n v="0"/>
    <n v="0"/>
    <n v="0"/>
    <n v="0"/>
    <n v="0"/>
    <n v="0"/>
    <n v="0"/>
    <m/>
    <n v="1260"/>
  </r>
  <r>
    <x v="0"/>
    <s v="Lucid Software, Inc."/>
    <s v="Lucid Software"/>
    <s v="Prj000410"/>
    <s v="Support - Tech Enablement 2026"/>
    <s v="Infrastructure Services, Controls &amp; User Enablement"/>
    <x v="0"/>
    <d v="2025-09-12T00:00:00"/>
    <d v="2026-06-01T00:00:00"/>
    <s v="Lucidscale Team / Suite"/>
    <s v="Prj000410-Support - Tech Enablement 2026"/>
    <s v="Non-Labor"/>
    <x v="0"/>
    <s v="Software"/>
    <m/>
    <s v="Information Technology"/>
    <s v="Software - Licenses"/>
    <s v="Software - Licenses"/>
    <s v="Annual Expensed"/>
    <n v="1643.58"/>
    <n v="1725.759"/>
    <n v="1725.759"/>
    <n v="1726"/>
    <n v="0"/>
    <n v="0.24099999999998545"/>
    <n v="0.24099999999998545"/>
    <s v="  Lucid Suite"/>
    <m/>
    <m/>
    <m/>
    <m/>
    <m/>
    <m/>
    <m/>
    <m/>
    <n v="1726"/>
    <m/>
    <m/>
    <m/>
    <n v="1726"/>
    <n v="1726"/>
    <m/>
    <m/>
    <m/>
    <m/>
    <m/>
    <m/>
    <m/>
    <m/>
    <m/>
    <m/>
    <m/>
    <m/>
    <n v="0"/>
    <n v="0"/>
    <n v="0"/>
    <n v="0"/>
    <n v="0"/>
    <n v="0"/>
    <n v="0"/>
    <n v="0"/>
    <n v="0"/>
    <n v="-1726"/>
    <n v="0"/>
    <n v="0"/>
    <n v="0"/>
    <n v="-1726"/>
    <m/>
    <n v="0"/>
  </r>
  <r>
    <x v="0"/>
    <s v="Lucid Software, Inc."/>
    <s v="Lucid Software"/>
    <s v="Prj000410"/>
    <s v="Support - Tech Enablement 2026"/>
    <s v="Infrastructure Services, Controls &amp; User Enablement"/>
    <x v="0"/>
    <d v="2025-06-01T00:00:00"/>
    <d v="2026-06-02T00:00:00"/>
    <s v="Lucidscale Team / Suite"/>
    <s v="Prj000410-Support - Tech Enablement 2026"/>
    <s v="Non-Labor"/>
    <x v="0"/>
    <s v="Software"/>
    <m/>
    <s v="Information Technology"/>
    <s v="Software - Licenses"/>
    <s v="Software - Licenses"/>
    <s v="Annual Expensed"/>
    <n v="24823.59"/>
    <n v="26064.769500000002"/>
    <n v="26064.769500000002"/>
    <n v="26065"/>
    <n v="0"/>
    <n v="0.23049999999784632"/>
    <n v="0.23049999999784632"/>
    <s v="  Lucid Suite and Cloud Accelerator"/>
    <m/>
    <m/>
    <m/>
    <m/>
    <n v="26065"/>
    <m/>
    <m/>
    <m/>
    <m/>
    <m/>
    <m/>
    <m/>
    <n v="26065"/>
    <n v="0"/>
    <m/>
    <m/>
    <m/>
    <m/>
    <m/>
    <m/>
    <m/>
    <m/>
    <m/>
    <m/>
    <m/>
    <m/>
    <n v="0"/>
    <n v="0"/>
    <n v="0"/>
    <n v="0"/>
    <n v="0"/>
    <n v="-26065"/>
    <n v="0"/>
    <n v="0"/>
    <n v="0"/>
    <n v="0"/>
    <n v="0"/>
    <n v="0"/>
    <n v="0"/>
    <n v="-26065"/>
    <m/>
    <n v="0"/>
  </r>
  <r>
    <x v="0"/>
    <s v="Macabacus, Inc."/>
    <s v="Macabacus"/>
    <s v="Prj000344"/>
    <s v="Support - Prod support for Finance Applications"/>
    <s v="Finance &amp; Treasury Technology"/>
    <x v="2"/>
    <d v="2025-04-23T00:00:00"/>
    <d v="2026-04-23T00:00:00"/>
    <s v="XLS Modeler - Annual"/>
    <s v="Prj000344-Support - Prod support for Finance Applications"/>
    <s v="Non-Labor"/>
    <x v="0"/>
    <s v="Software"/>
    <m/>
    <s v="Information Technology"/>
    <s v="Software - Licenses"/>
    <s v="Software - Licenses"/>
    <s v="Annual Expensed"/>
    <n v="1297"/>
    <n v="1361.8500000000001"/>
    <n v="1361.8500000000001"/>
    <n v="1719.9"/>
    <n v="0"/>
    <n v="358.04999999999995"/>
    <n v="358.04999999999995"/>
    <s v="  "/>
    <m/>
    <m/>
    <m/>
    <n v="1362"/>
    <m/>
    <m/>
    <m/>
    <m/>
    <m/>
    <m/>
    <m/>
    <m/>
    <n v="1362"/>
    <n v="0"/>
    <m/>
    <m/>
    <m/>
    <n v="1719.9"/>
    <m/>
    <m/>
    <m/>
    <m/>
    <m/>
    <m/>
    <m/>
    <m/>
    <n v="1719.9"/>
    <n v="0"/>
    <n v="0"/>
    <n v="0"/>
    <n v="357.90000000000009"/>
    <n v="0"/>
    <n v="0"/>
    <n v="0"/>
    <n v="0"/>
    <n v="0"/>
    <n v="0"/>
    <n v="0"/>
    <n v="0"/>
    <n v="357.90000000000009"/>
    <s v="Budget v/s Actuals"/>
    <n v="1719.9"/>
  </r>
  <r>
    <x v="0"/>
    <s v="Macabacus, Inc."/>
    <s v="Macabacus"/>
    <s v="Prj000344"/>
    <s v="Support - Prod support for Finance Applications"/>
    <s v="Finance &amp; Treasury Technology"/>
    <x v="2"/>
    <d v="2026-02-03T00:00:00"/>
    <d v="2027-02-03T00:00:00"/>
    <s v="Suit License"/>
    <s v="Prj000344-Support - Prod support for Finance Applications"/>
    <s v="Non-Labor"/>
    <x v="0"/>
    <s v="Software"/>
    <m/>
    <s v="Information Technology"/>
    <s v="Software - Licenses"/>
    <s v="Software - Licenses"/>
    <s v="Annual Expensed"/>
    <n v="1323"/>
    <n v="1389.15"/>
    <n v="1389.15"/>
    <n v="1472.85"/>
    <n v="0"/>
    <n v="83.699999999999818"/>
    <n v="83.699999999999818"/>
    <s v="  "/>
    <m/>
    <n v="1389"/>
    <m/>
    <m/>
    <m/>
    <m/>
    <m/>
    <m/>
    <m/>
    <m/>
    <m/>
    <m/>
    <n v="1389"/>
    <n v="0"/>
    <m/>
    <n v="1472.85"/>
    <m/>
    <m/>
    <m/>
    <m/>
    <m/>
    <m/>
    <m/>
    <m/>
    <m/>
    <m/>
    <n v="1472.85"/>
    <n v="0"/>
    <n v="83.849999999999909"/>
    <n v="0"/>
    <n v="0"/>
    <n v="0"/>
    <n v="0"/>
    <n v="0"/>
    <n v="0"/>
    <n v="0"/>
    <n v="0"/>
    <n v="0"/>
    <n v="0"/>
    <n v="83.849999999999909"/>
    <s v="Budget v/s Actuals"/>
    <n v="1472.85"/>
  </r>
  <r>
    <x v="0"/>
    <s v="Microsoft Corporation"/>
    <s v="TBD could be CDW Microsoft (a)"/>
    <s v="Prj000350"/>
    <s v="Support - Infrastructure for Tech"/>
    <s v="Infrastructure Services, Controls &amp; User Enablement"/>
    <x v="0"/>
    <d v="2025-06-01T00:00:00"/>
    <d v="2028-05-31T00:00:00"/>
    <s v="MS Enterprise"/>
    <s v="Prj000350-Support - Infrastructure for Tech"/>
    <s v="Non-Labor"/>
    <x v="0"/>
    <s v="Software"/>
    <s v="Entpr Lic"/>
    <s v="Information Technology"/>
    <s v="Software - Licenses"/>
    <s v="Software - Licenses"/>
    <s v="Annual Prepaid"/>
    <n v="1916944.1866666665"/>
    <n v="1900385"/>
    <n v="1900385"/>
    <n v="2073920.716666667"/>
    <n v="0"/>
    <n v="173535.71666666702"/>
    <n v="173535.71666666702"/>
    <s v="Renewed 6/1/25, anniversary date true-up-Entpr Lic (Prepaid)"/>
    <n v="158365.41666666666"/>
    <n v="158365.41666666666"/>
    <n v="158365.41666666666"/>
    <n v="158365.41666666666"/>
    <n v="158365.41666666666"/>
    <n v="183156.23333333331"/>
    <n v="183156.23333333331"/>
    <n v="183156.23333333331"/>
    <n v="183156.23333333331"/>
    <n v="183156.23333333331"/>
    <n v="183156.23333333331"/>
    <n v="183156.23333333331"/>
    <n v="2073920.7166666668"/>
    <n v="1282093.6333333333"/>
    <n v="158365.41666666666"/>
    <n v="158365.41666666666"/>
    <n v="158365.41666666666"/>
    <n v="158365.41666666666"/>
    <n v="158365.41666666666"/>
    <m/>
    <m/>
    <m/>
    <m/>
    <m/>
    <m/>
    <m/>
    <n v="791827.08333333326"/>
    <n v="0"/>
    <n v="0"/>
    <n v="0"/>
    <n v="0"/>
    <n v="0"/>
    <n v="-183156.23333333331"/>
    <n v="-183156.23333333331"/>
    <n v="-183156.23333333331"/>
    <n v="-183156.23333333331"/>
    <n v="-183156.23333333331"/>
    <n v="-183156.23333333331"/>
    <n v="-183156.23333333331"/>
    <n v="-1282093.6333333333"/>
    <m/>
    <n v="633461.66666666663"/>
  </r>
  <r>
    <x v="0"/>
    <s v="Monday.com Ltd"/>
    <s v="Monday.com"/>
    <s v="Prj000410"/>
    <s v="Support - Tech Enablement 2026"/>
    <s v="Infrastructure Services, Controls &amp; User Enablement"/>
    <x v="0"/>
    <d v="2025-06-14T00:00:00"/>
    <d v="2026-06-13T00:00:00"/>
    <s v="Management Enterprise 600 Seats"/>
    <s v="Prj000410-Support - Tech Enablement 2026"/>
    <s v="Non-Labor"/>
    <x v="0"/>
    <s v="Software"/>
    <m/>
    <s v="Information Technology"/>
    <s v="Software - Licenses"/>
    <s v="Software - Licenses"/>
    <s v="Annual Prepaid"/>
    <n v="174358"/>
    <n v="307613.80000000005"/>
    <n v="307613.80000000005"/>
    <n v="305666.66666666669"/>
    <n v="-1947.1333333333605"/>
    <n v="0"/>
    <n v="-1947.1333333333605"/>
    <s v="Paid as Prepaid in 2025; to be renewed in 2026-Paid as Prepaid in 2025; to be renewed in 2026"/>
    <n v="24908.333333333332"/>
    <n v="24908.333333333332"/>
    <n v="24908.333333333332"/>
    <n v="24908.333333333332"/>
    <n v="24908.333333333332"/>
    <n v="25875"/>
    <n v="25875"/>
    <n v="25875"/>
    <n v="25875"/>
    <n v="25875"/>
    <n v="25875"/>
    <n v="25875"/>
    <n v="305666.66666666663"/>
    <n v="181125"/>
    <n v="24908.333333333332"/>
    <n v="24908.333333333332"/>
    <n v="24908.333333333332"/>
    <n v="24908.333333333332"/>
    <n v="24908.333333333332"/>
    <n v="25875"/>
    <n v="25875"/>
    <n v="25875"/>
    <n v="25875"/>
    <n v="25875"/>
    <n v="25875"/>
    <n v="25875"/>
    <n v="305666.66666666663"/>
    <n v="0"/>
    <n v="0"/>
    <n v="0"/>
    <n v="0"/>
    <n v="0"/>
    <n v="0"/>
    <n v="0"/>
    <n v="0"/>
    <n v="0"/>
    <n v="0"/>
    <n v="0"/>
    <n v="0"/>
    <n v="0"/>
    <s v="Budget v/s Actuals"/>
    <n v="99633.333333333328"/>
  </r>
  <r>
    <x v="0"/>
    <s v="NewRocket, LLC"/>
    <s v="ServiceNow Liac"/>
    <s v="Prj000350"/>
    <s v="Support - Infrastructure for Tech"/>
    <s v="Infrastructure Services, Controls &amp; User Enablement"/>
    <x v="0"/>
    <d v="2025-12-19T00:00:00"/>
    <d v="2026-12-18T00:00:00"/>
    <s v="ServiceNow Agile Team + Various"/>
    <s v="Prj000350-Support - Infrastructure for Tech"/>
    <s v="Non-Labor"/>
    <x v="0"/>
    <s v="Software"/>
    <s v="Software License 1"/>
    <s v="Information Technology"/>
    <s v="Software - Licenses"/>
    <s v="Software - Licenses"/>
    <s v="Annual Prepaid"/>
    <n v="437527.60583333333"/>
    <n v="361049"/>
    <n v="361049"/>
    <n v="461680.95416666666"/>
    <n v="0"/>
    <n v="100631.95416666666"/>
    <n v="100631.95416666666"/>
    <s v="Prepaid in 2025; to be renewed in Dec 2026-Prepaid in 2025; to be renewed in Dec 2026"/>
    <n v="41970.995833333327"/>
    <n v="41970.995833333327"/>
    <n v="41970.995833333327"/>
    <n v="41970.995833333327"/>
    <n v="41970.995833333327"/>
    <n v="41970.995833333327"/>
    <n v="41970.995833333327"/>
    <n v="41970.995833333327"/>
    <n v="41970.995833333327"/>
    <n v="41970.995833333327"/>
    <n v="41970.995833333327"/>
    <m/>
    <n v="461680.95416666666"/>
    <n v="251825.97499999995"/>
    <n v="41970.995833333327"/>
    <n v="41970.995833333327"/>
    <n v="41970.995833333327"/>
    <n v="41970.995833333327"/>
    <n v="41970.995833333327"/>
    <n v="41970.995833333327"/>
    <n v="41970.995833333327"/>
    <n v="41970.995833333327"/>
    <n v="41970.995833333327"/>
    <n v="41970.995833333327"/>
    <n v="41970.995833333327"/>
    <m/>
    <n v="461680.95416666666"/>
    <n v="0"/>
    <n v="0"/>
    <n v="0"/>
    <n v="0"/>
    <n v="0"/>
    <n v="0"/>
    <n v="0"/>
    <n v="0"/>
    <n v="0"/>
    <n v="0"/>
    <n v="0"/>
    <n v="0"/>
    <n v="0"/>
    <s v="This was to be charged back to Cyber, but now tech has to bear the cost. Danny's email is proof"/>
    <n v="167883.98333333331"/>
  </r>
  <r>
    <x v="0"/>
    <s v="NewRocket, LLC"/>
    <s v="ServiceNow Liac"/>
    <s v="Prj000350"/>
    <s v="Support - Infrastructure for Tech"/>
    <s v="Infrastructure Services, Controls &amp; User Enablement"/>
    <x v="0"/>
    <d v="2024-12-19T00:00:00"/>
    <d v="2025-12-18T00:00:00"/>
    <s v="ServiceNow Security Operations Enterprise - VR NRUSCINV-000450"/>
    <s v="Prj000350-Support - Infrastructure for Tech"/>
    <s v="Non-Labor"/>
    <x v="0"/>
    <s v="Software"/>
    <s v="Amount per Invoice"/>
    <s v="Information Technology"/>
    <s v="Software - Licenses"/>
    <s v="Software - Licenses"/>
    <s v="Annual Expensed"/>
    <n v="0"/>
    <n v="34875"/>
    <n v="34875"/>
    <n v="34875"/>
    <n v="0"/>
    <n v="0"/>
    <n v="0"/>
    <s v="Paid for 2025 in Dec 2024, need to renew in 2026-Paid for 2025 in Dec 2024, need to renew in 2026"/>
    <m/>
    <m/>
    <n v="34875"/>
    <m/>
    <m/>
    <m/>
    <m/>
    <m/>
    <m/>
    <m/>
    <m/>
    <m/>
    <n v="34875"/>
    <n v="0"/>
    <m/>
    <m/>
    <m/>
    <m/>
    <m/>
    <m/>
    <m/>
    <m/>
    <m/>
    <m/>
    <m/>
    <m/>
    <n v="0"/>
    <n v="0"/>
    <n v="0"/>
    <n v="-34875"/>
    <n v="0"/>
    <n v="0"/>
    <n v="0"/>
    <n v="0"/>
    <n v="0"/>
    <n v="0"/>
    <n v="0"/>
    <n v="0"/>
    <n v="0"/>
    <n v="-34875"/>
    <m/>
    <n v="0"/>
  </r>
  <r>
    <x v="0"/>
    <s v="NewRocket, LLC"/>
    <s v="ServiceNow Liac"/>
    <s v="Prj000350"/>
    <s v="Support - Infrastructure for Tech"/>
    <s v="Infrastructure Services, Controls &amp; User Enablement"/>
    <x v="0"/>
    <d v="2025-12-19T00:00:00"/>
    <d v="2026-12-18T00:00:00"/>
    <s v="Strategic Portfolio Management (SPM) Pro"/>
    <s v="Prj000350-Support - Infrastructure for Tech"/>
    <s v="Non-Labor"/>
    <x v="0"/>
    <s v="Software"/>
    <s v="Software License 3"/>
    <s v="Information Technology"/>
    <s v="Software - Licenses"/>
    <s v="Software - Licenses"/>
    <s v="Annual Expensed"/>
    <n v="54369.49"/>
    <n v="57087.964500000002"/>
    <n v="57087.964500000002"/>
    <n v="29192"/>
    <n v="-27895.964500000002"/>
    <n v="0"/>
    <n v="-27895.964500000002"/>
    <s v="Strategic Portfolio Management (SPM) Pro, paid in Dec2025, to be renewed in Dec2026-Strategic Portfolio Management (SPM) Pro, paid in Dec2025, to be renewed in Dec2026"/>
    <m/>
    <m/>
    <m/>
    <m/>
    <m/>
    <m/>
    <m/>
    <m/>
    <m/>
    <m/>
    <m/>
    <n v="29192"/>
    <n v="29192"/>
    <n v="29192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-29192"/>
    <n v="-29192"/>
    <s v="Budget v/s Actuals"/>
    <n v="0"/>
  </r>
  <r>
    <x v="0"/>
    <s v="Oracle America, Inc."/>
    <s v="Oracle"/>
    <s v="Prj000469"/>
    <s v="Support - Prod Support for Ops Apps"/>
    <s v="Operations Technology"/>
    <x v="2"/>
    <d v="2024-03-11T00:00:00"/>
    <d v="2025-03-10T00:00:00"/>
    <s v="Oracle Java "/>
    <s v="Prj000469-Support - Prod Support for Ops Apps"/>
    <s v="Non-Labor"/>
    <x v="0"/>
    <s v="Software"/>
    <m/>
    <s v="Information Technology"/>
    <s v="Software - Licenses"/>
    <s v="Software - Licenses"/>
    <s v="Annual Expensed"/>
    <n v="8034"/>
    <n v="8435.7000000000007"/>
    <n v="8435.7000000000007"/>
    <n v="8436"/>
    <n v="0"/>
    <n v="0.2999999999992724"/>
    <n v="0.2999999999992724"/>
    <s v="LIQ Java"/>
    <m/>
    <m/>
    <m/>
    <m/>
    <m/>
    <m/>
    <m/>
    <n v="8436"/>
    <m/>
    <m/>
    <m/>
    <m/>
    <n v="8436"/>
    <n v="8436"/>
    <m/>
    <m/>
    <m/>
    <m/>
    <m/>
    <m/>
    <m/>
    <m/>
    <m/>
    <m/>
    <m/>
    <m/>
    <n v="0"/>
    <n v="0"/>
    <n v="0"/>
    <n v="0"/>
    <n v="0"/>
    <n v="0"/>
    <n v="0"/>
    <n v="0"/>
    <n v="-8436"/>
    <n v="0"/>
    <n v="0"/>
    <n v="0"/>
    <n v="0"/>
    <n v="-8436"/>
    <m/>
    <n v="0"/>
  </r>
  <r>
    <x v="0"/>
    <s v="RFPIO INC. (Responsive)"/>
    <s v="Responsive"/>
    <s v="Prj000446"/>
    <s v="Implement - Minor Enhancements for Enterprise Apps"/>
    <s v="Cos, PMO &amp; Enterprise Technology"/>
    <x v="1"/>
    <d v="2026-03-29T00:00:00"/>
    <d v="2027-03-28T00:00:00"/>
    <m/>
    <s v="Prj000446-Implement - Minor Enhancements for Enterprise Apps"/>
    <s v="Non-Labor"/>
    <x v="0"/>
    <s v="Software"/>
    <m/>
    <s v="Information Technology"/>
    <s v="Software - Licenses"/>
    <s v="Software - Licenses"/>
    <s v="Annual Expensed"/>
    <n v="69417.919999999998"/>
    <n v="72888.816000000006"/>
    <n v="72888.816000000006"/>
    <n v="69417.919999999998"/>
    <n v="-3470.8960000000079"/>
    <n v="0"/>
    <n v="-3470.8960000000079"/>
    <s v="  "/>
    <m/>
    <m/>
    <n v="72888.816000000006"/>
    <m/>
    <m/>
    <m/>
    <m/>
    <m/>
    <m/>
    <m/>
    <m/>
    <m/>
    <n v="72888.816000000006"/>
    <n v="0"/>
    <m/>
    <m/>
    <n v="69417.919999999998"/>
    <m/>
    <m/>
    <m/>
    <m/>
    <m/>
    <m/>
    <m/>
    <m/>
    <m/>
    <n v="69417.919999999998"/>
    <n v="0"/>
    <n v="0"/>
    <n v="-3470.8960000000079"/>
    <n v="0"/>
    <n v="0"/>
    <n v="0"/>
    <n v="0"/>
    <n v="0"/>
    <n v="0"/>
    <n v="0"/>
    <n v="0"/>
    <n v="0"/>
    <n v="-3470.8960000000079"/>
    <s v="Budget v/s Actuals"/>
    <n v="69417.919999999998"/>
  </r>
  <r>
    <x v="0"/>
    <s v="SALESFORCE COM INC"/>
    <s v="Salesforce"/>
    <s v="Prj000458"/>
    <s v="Support - Data Analytics Office"/>
    <s v="Enterprise Architecture, Data Analytics &amp; AI"/>
    <x v="5"/>
    <d v="2025-03-29T00:00:00"/>
    <d v="2026-03-28T00:00:00"/>
    <s v="Tableau Creator (5) + Viewer (40) + Explorer (10)"/>
    <s v="Prj000458-Support - Data Analytics Office"/>
    <s v="Non-Labor"/>
    <x v="0"/>
    <s v="Software"/>
    <s v="SAAS Lics"/>
    <s v="Information Technology"/>
    <s v="Software - Licenses"/>
    <s v="Software - Licenses"/>
    <s v="Annual Expensed"/>
    <n v="42342.67"/>
    <n v="44460.15"/>
    <n v="44460.15"/>
    <n v="46713"/>
    <n v="0"/>
    <n v="2252.8499999999985"/>
    <n v="2252.8499999999985"/>
    <m/>
    <m/>
    <m/>
    <n v="44460.15"/>
    <m/>
    <m/>
    <m/>
    <m/>
    <m/>
    <m/>
    <m/>
    <m/>
    <m/>
    <n v="44460.15"/>
    <n v="0"/>
    <m/>
    <m/>
    <n v="46713"/>
    <m/>
    <m/>
    <m/>
    <m/>
    <m/>
    <m/>
    <m/>
    <m/>
    <m/>
    <n v="46713"/>
    <n v="0"/>
    <n v="0"/>
    <n v="2252.8499999999985"/>
    <n v="0"/>
    <n v="0"/>
    <n v="0"/>
    <n v="0"/>
    <n v="0"/>
    <n v="0"/>
    <n v="0"/>
    <n v="0"/>
    <n v="0"/>
    <n v="2252.8499999999985"/>
    <s v="Hard Risk"/>
    <n v="46713"/>
  </r>
  <r>
    <x v="0"/>
    <s v="Siemens Industry Software, Inc."/>
    <s v="Mendix"/>
    <s v="Prj000426"/>
    <s v="Implement - Minor Enhancements for Sales"/>
    <s v="Asset Management Technology &amp; Data Services"/>
    <x v="4"/>
    <d v="2025-11-01T00:00:00"/>
    <d v="2026-10-31T00:00:00"/>
    <m/>
    <s v="Prj000426-Implement - Minor Enhancements for Sales"/>
    <s v="Non-Labor"/>
    <x v="0"/>
    <s v="Software"/>
    <m/>
    <s v="Information Technology"/>
    <s v="Software - Licenses"/>
    <s v="Software - Licenses"/>
    <s v="Annual Expensed"/>
    <n v="81053.040000000008"/>
    <n v="39305.700000000004"/>
    <n v="39305.700000000004"/>
    <n v="39306"/>
    <n v="0"/>
    <n v="0.29999999999563443"/>
    <n v="0.29999999999563443"/>
    <s v="  "/>
    <m/>
    <m/>
    <n v="2028"/>
    <n v="780"/>
    <m/>
    <m/>
    <m/>
    <m/>
    <m/>
    <m/>
    <n v="36498"/>
    <m/>
    <n v="39306"/>
    <n v="36498"/>
    <m/>
    <m/>
    <n v="2028"/>
    <n v="780"/>
    <m/>
    <m/>
    <m/>
    <m/>
    <m/>
    <m/>
    <m/>
    <m/>
    <n v="2808"/>
    <n v="0"/>
    <n v="0"/>
    <n v="0"/>
    <n v="0"/>
    <n v="0"/>
    <n v="0"/>
    <n v="0"/>
    <n v="0"/>
    <n v="0"/>
    <n v="0"/>
    <n v="-36498"/>
    <n v="0"/>
    <n v="-36498"/>
    <m/>
    <n v="2808"/>
  </r>
  <r>
    <x v="0"/>
    <s v="SS&amp;C GIDS, Inc."/>
    <s v="Wealth Distribution Tool (Vendor TBD)"/>
    <s v="Prj000426"/>
    <s v="Implement - Minor Enhancements for Sales"/>
    <s v="Asset Management Technology &amp; Data Services"/>
    <x v="4"/>
    <d v="2025-09-04T00:00:00"/>
    <d v="2026-09-03T00:00:00"/>
    <s v="Walletshare Alts"/>
    <s v="Prj000426-Implement - Minor Enhancements for Sales"/>
    <s v="Non-Labor"/>
    <x v="0"/>
    <s v="Software"/>
    <m/>
    <s v="Information Technology"/>
    <s v="Software - Licenses"/>
    <s v="Software - Licenses"/>
    <s v="Annual Prepaid"/>
    <n v="43706"/>
    <n v="174825"/>
    <n v="174825"/>
    <n v="174825"/>
    <n v="0"/>
    <n v="0"/>
    <n v="0"/>
    <s v="Walletshare renews Sep2026, Set as Prepaid in 2025-Walletshare renews Sep2026, Set as Prepaid in 2025"/>
    <n v="14568.75"/>
    <n v="14568.75"/>
    <n v="14568.75"/>
    <n v="14568.75"/>
    <n v="14568.75"/>
    <n v="14568.75"/>
    <n v="14568.75"/>
    <n v="14568.75"/>
    <n v="14568.75"/>
    <n v="14568.75"/>
    <n v="14568.75"/>
    <n v="14568.75"/>
    <n v="174825"/>
    <n v="101981.25"/>
    <n v="14568.75"/>
    <n v="14568.75"/>
    <n v="14568.75"/>
    <n v="14568.75"/>
    <n v="14568.75"/>
    <n v="14568.75"/>
    <n v="14568.75"/>
    <n v="14568.75"/>
    <n v="14568.75"/>
    <m/>
    <m/>
    <m/>
    <n v="131118.75"/>
    <n v="0"/>
    <n v="0"/>
    <n v="0"/>
    <n v="0"/>
    <n v="0"/>
    <n v="0"/>
    <n v="0"/>
    <n v="0"/>
    <n v="0"/>
    <n v="-14568.75"/>
    <n v="-14568.75"/>
    <n v="-14568.75"/>
    <n v="-43706.25"/>
    <m/>
    <n v="58275"/>
  </r>
  <r>
    <x v="0"/>
    <s v="SonarSource SA"/>
    <s v="Sonarsource"/>
    <s v="Prj000342"/>
    <s v="Support - Site Reliability Engineering for Tech"/>
    <s v="Infrastructure Services, Controls &amp; User Enablement"/>
    <x v="0"/>
    <d v="2025-11-22T00:00:00"/>
    <d v="2026-11-21T00:00:00"/>
    <m/>
    <s v="Prj000342-Support - Site Reliability Engineering for Tech"/>
    <s v="Non-Labor"/>
    <x v="0"/>
    <s v="Software"/>
    <m/>
    <s v="Information Technology"/>
    <s v="Software - Licenses"/>
    <s v="Software - Licenses"/>
    <s v="Annual Expensed"/>
    <n v="4895"/>
    <n v="5407.5"/>
    <n v="5407.5"/>
    <n v="5407.5"/>
    <n v="0"/>
    <n v="0"/>
    <n v="0"/>
    <s v="  "/>
    <m/>
    <m/>
    <m/>
    <m/>
    <m/>
    <m/>
    <m/>
    <m/>
    <m/>
    <m/>
    <m/>
    <n v="5407.5"/>
    <n v="5407.5"/>
    <n v="5407.5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-5407.5"/>
    <n v="-5407.5"/>
    <m/>
    <n v="0"/>
  </r>
  <r>
    <x v="0"/>
    <s v="SHI International Corp"/>
    <s v="SHI"/>
    <s v="Prj000350"/>
    <s v="Support - Infrastructure for Tech"/>
    <s v="Infrastructure Services, Controls &amp; User Enablement"/>
    <x v="0"/>
    <d v="2025-10-17T00:00:00"/>
    <d v="2027-10-16T00:00:00"/>
    <s v="Quest Software &amp; Maintenance"/>
    <s v="Prj000350-Support - Infrastructure for Tech"/>
    <s v="Non-Labor"/>
    <x v="0"/>
    <s v="Software"/>
    <s v="Software"/>
    <s v="Information Technology"/>
    <s v="Software - Licenses"/>
    <s v="Software - Licenses"/>
    <s v="NA"/>
    <n v="48135.15"/>
    <m/>
    <m/>
    <n v="0"/>
    <n v="0"/>
    <n v="0"/>
    <n v="0"/>
    <s v="Quest Software- One Identity-Cost of Quest Sofware for 2 years - material diff if we renew for 1 vs 2 yrs"/>
    <m/>
    <m/>
    <m/>
    <m/>
    <m/>
    <m/>
    <m/>
    <m/>
    <m/>
    <m/>
    <m/>
    <m/>
    <n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m/>
    <n v="0"/>
  </r>
  <r>
    <x v="0"/>
    <s v="SHI International Corp"/>
    <s v="SHI"/>
    <s v="Prj000467"/>
    <s v="Support - Enterprise Tech Helpdesk"/>
    <s v="Tech Shared Services"/>
    <x v="5"/>
    <d v="2025-10-30T00:00:00"/>
    <d v="2026-10-29T00:00:00"/>
    <s v="Adobe"/>
    <s v="Prj000467-Support - Enterprise Tech Helpdesk"/>
    <s v="Non-Labor"/>
    <x v="0"/>
    <s v="Software"/>
    <s v="Software"/>
    <s v="Information Technology"/>
    <s v="Software - Licenses"/>
    <s v="Software - Licenses"/>
    <s v="Annual Expensed"/>
    <n v="94231.349999999991"/>
    <n v="98942.917499999996"/>
    <n v="98942.917499999996"/>
    <n v="98943.23"/>
    <n v="0"/>
    <n v="0.3125"/>
    <n v="0.3125"/>
    <s v="Adobe"/>
    <n v="957"/>
    <m/>
    <m/>
    <m/>
    <m/>
    <m/>
    <m/>
    <m/>
    <m/>
    <n v="97986"/>
    <m/>
    <m/>
    <n v="98943"/>
    <n v="97986"/>
    <n v="957.23"/>
    <m/>
    <m/>
    <m/>
    <m/>
    <m/>
    <m/>
    <m/>
    <m/>
    <m/>
    <m/>
    <m/>
    <n v="957.23"/>
    <n v="0.23000000000001819"/>
    <n v="0"/>
    <n v="0"/>
    <n v="0"/>
    <n v="0"/>
    <n v="0"/>
    <n v="0"/>
    <n v="0"/>
    <n v="0"/>
    <n v="-97986"/>
    <n v="0"/>
    <n v="0"/>
    <n v="-97985.77"/>
    <m/>
    <n v="957.23"/>
  </r>
  <r>
    <x v="0"/>
    <s v="SHI International Corp"/>
    <s v="SHI"/>
    <s v="Prj000548"/>
    <s v="Implement - Reporting for Internal Audit"/>
    <s v="Enterprise Architecture, Data Analytics &amp; AI"/>
    <x v="5"/>
    <d v="2025-08-01T00:00:00"/>
    <d v="2026-07-31T00:00:00"/>
    <s v=" Erwin Data Modeler License"/>
    <s v="Prj000548-Implement - Reporting for Internal Audit"/>
    <s v="Non-Labor"/>
    <x v="0"/>
    <s v="Software"/>
    <s v="Software"/>
    <s v="Information Technology"/>
    <s v="Software - Licenses"/>
    <s v="Software - Licenses"/>
    <s v="Annual Expensed"/>
    <n v="8804.2099999999991"/>
    <n v="48667.5"/>
    <n v="48667.5"/>
    <n v="48667.5"/>
    <n v="0"/>
    <n v="0"/>
    <n v="0"/>
    <s v="Erwin Data Modeler License"/>
    <m/>
    <m/>
    <m/>
    <m/>
    <m/>
    <m/>
    <m/>
    <m/>
    <m/>
    <n v="48667.5"/>
    <m/>
    <m/>
    <n v="48667.5"/>
    <n v="48667.5"/>
    <m/>
    <m/>
    <m/>
    <m/>
    <m/>
    <m/>
    <m/>
    <m/>
    <m/>
    <m/>
    <m/>
    <m/>
    <n v="0"/>
    <n v="0"/>
    <n v="0"/>
    <n v="0"/>
    <n v="0"/>
    <n v="0"/>
    <n v="0"/>
    <n v="0"/>
    <n v="0"/>
    <n v="0"/>
    <n v="-48667.5"/>
    <n v="0"/>
    <n v="0"/>
    <n v="-48667.5"/>
    <m/>
    <n v="0"/>
  </r>
  <r>
    <x v="0"/>
    <s v="SHI International Corp"/>
    <s v="SHI"/>
    <s v="Prj000458"/>
    <s v="Support - Data Analytics Office"/>
    <s v="Enterprise Architecture, Data Analytics &amp; AI"/>
    <x v="5"/>
    <d v="2025-08-27T00:00:00"/>
    <d v="2026-08-26T00:00:00"/>
    <s v="Rocket Softwre"/>
    <s v="Prj000458-Support - Data Analytics Office"/>
    <s v="Non-Labor"/>
    <x v="0"/>
    <s v="Software"/>
    <s v="Desktop"/>
    <s v="Information Technology"/>
    <s v="Software - Licenses"/>
    <s v="Software - Licenses"/>
    <s v="Annual Expensed"/>
    <n v="837.46"/>
    <n v="68250"/>
    <n v="68250"/>
    <n v="68250"/>
    <n v="0"/>
    <n v="0"/>
    <n v="0"/>
    <s v="Rocket Software - 7K/Yr"/>
    <m/>
    <m/>
    <m/>
    <m/>
    <m/>
    <m/>
    <m/>
    <n v="68250"/>
    <m/>
    <m/>
    <m/>
    <m/>
    <n v="68250"/>
    <n v="68250"/>
    <m/>
    <m/>
    <m/>
    <m/>
    <m/>
    <m/>
    <m/>
    <m/>
    <m/>
    <m/>
    <m/>
    <m/>
    <n v="0"/>
    <n v="0"/>
    <n v="0"/>
    <n v="0"/>
    <n v="0"/>
    <n v="0"/>
    <n v="0"/>
    <n v="0"/>
    <n v="-68250"/>
    <n v="0"/>
    <n v="0"/>
    <n v="0"/>
    <n v="0"/>
    <n v="-68250"/>
    <m/>
    <n v="0"/>
  </r>
  <r>
    <x v="0"/>
    <s v="Coforge DPA NA Inc."/>
    <s v="Coforge UI Path"/>
    <s v="Prj000403"/>
    <s v="Support - L2 CoE Management for Tech Horizontals"/>
    <s v="Tech Shared Services"/>
    <x v="5"/>
    <d v="2025-12-31T00:00:00"/>
    <d v="2026-12-30T00:00:00"/>
    <s v="UiPath"/>
    <s v="Prj000403-Support - L2 CoE Management for Tech Horizontals"/>
    <s v="Non-Labor"/>
    <x v="0"/>
    <s v="Software"/>
    <s v="License"/>
    <s v="Information Technology"/>
    <s v="Software - Licenses"/>
    <s v="Software - Licenses"/>
    <s v="Annual Expensed"/>
    <n v="96041.64"/>
    <n v="100844.1"/>
    <n v="100844.1"/>
    <n v="96041.64"/>
    <n v="-4802.4600000000064"/>
    <n v="0"/>
    <n v="-4802.4600000000064"/>
    <s v="UiPath Sftwr-UiPath Sftwr"/>
    <m/>
    <n v="100844.1"/>
    <m/>
    <m/>
    <m/>
    <m/>
    <m/>
    <m/>
    <m/>
    <m/>
    <m/>
    <m/>
    <n v="100844.1"/>
    <n v="0"/>
    <m/>
    <n v="96041.64"/>
    <m/>
    <m/>
    <m/>
    <m/>
    <m/>
    <m/>
    <m/>
    <m/>
    <m/>
    <m/>
    <n v="96041.64"/>
    <n v="0"/>
    <n v="-4802.4600000000064"/>
    <n v="0"/>
    <n v="0"/>
    <n v="0"/>
    <n v="0"/>
    <n v="0"/>
    <n v="0"/>
    <n v="0"/>
    <n v="0"/>
    <n v="0"/>
    <n v="0"/>
    <n v="-4802.4600000000064"/>
    <s v="Budget v/s Actuals"/>
    <n v="96041.64"/>
  </r>
  <r>
    <x v="0"/>
    <s v="Smarsh Inc."/>
    <s v="Smarsh"/>
    <s v="Prj000446"/>
    <s v="Implement - Minor Enhancements for Enterprise Apps"/>
    <s v="Cos, PMO &amp; Enterprise Technology"/>
    <x v="1"/>
    <d v="2025-12-26T00:00:00"/>
    <d v="2026-12-25T00:00:00"/>
    <s v="Subscription"/>
    <s v="Prj000446-Implement - Minor Enhancements for Enterprise Apps"/>
    <s v="Non-Labor"/>
    <x v="0"/>
    <s v="Software"/>
    <m/>
    <s v="Information Technology"/>
    <s v="Software - Licenses"/>
    <s v="Software - Licenses"/>
    <s v="Annual Expensed"/>
    <n v="71433.45"/>
    <n v="70432.698000000004"/>
    <n v="70432.698000000004"/>
    <n v="70310.907999999996"/>
    <n v="-121.79000000000815"/>
    <n v="0"/>
    <n v="-121.79000000000815"/>
    <m/>
    <n v="200"/>
    <n v="200"/>
    <n v="200"/>
    <n v="200"/>
    <n v="200"/>
    <n v="200"/>
    <n v="200"/>
    <n v="200"/>
    <n v="200"/>
    <n v="200"/>
    <n v="200"/>
    <n v="68232.698000000004"/>
    <n v="70432.698000000004"/>
    <n v="69432.698000000004"/>
    <n v="161.13999999999999"/>
    <n v="161.13999999999999"/>
    <n v="185.31"/>
    <n v="185.31"/>
    <n v="185.31"/>
    <m/>
    <m/>
    <m/>
    <m/>
    <m/>
    <m/>
    <m/>
    <n v="878.21"/>
    <n v="-38.860000000000014"/>
    <n v="-38.860000000000014"/>
    <n v="-14.689999999999998"/>
    <n v="-14.689999999999998"/>
    <n v="-14.689999999999998"/>
    <n v="-200"/>
    <n v="-200"/>
    <n v="-200"/>
    <n v="-200"/>
    <n v="-200"/>
    <n v="-200"/>
    <n v="-68232.698000000004"/>
    <n v="-69554.487999999998"/>
    <m/>
    <n v="692.9"/>
  </r>
  <r>
    <x v="0"/>
    <s v="SuperTrader, Inc."/>
    <s v="LevPro"/>
    <s v="Prj000290"/>
    <s v="Support - Asset Management Applications"/>
    <s v="Asset Management Tech"/>
    <x v="3"/>
    <d v="2025-06-23T00:00:00"/>
    <d v="2026-06-23T00:00:00"/>
    <s v="Levpro"/>
    <s v="Prj000290-Support - Asset Management Applications"/>
    <s v="Non-Labor"/>
    <x v="0"/>
    <s v="Software"/>
    <s v="estimated"/>
    <s v="Information Technology"/>
    <s v="Software - Licenses"/>
    <s v="Software - Licenses"/>
    <s v="Annual Prepaid"/>
    <n v="75833"/>
    <n v="133245.90000000002"/>
    <n v="133245.90000000002"/>
    <n v="133249.31666666665"/>
    <n v="0"/>
    <n v="3.4166666666278616"/>
    <n v="3.4166666666278616"/>
    <s v="Software (Prepaid)"/>
    <n v="10832.650000000003"/>
    <n v="10832.650000000003"/>
    <n v="10832.650000000003"/>
    <n v="10832.650000000003"/>
    <n v="10832.650000000003"/>
    <n v="10832.650000000003"/>
    <n v="11375"/>
    <n v="11375"/>
    <n v="11375"/>
    <n v="11375"/>
    <n v="11375"/>
    <n v="11375"/>
    <n v="133245.90000000002"/>
    <n v="79082.649999999994"/>
    <n v="10833.333333333334"/>
    <n v="10833.333333333334"/>
    <n v="10833.333333333334"/>
    <n v="10833.333333333334"/>
    <n v="10833.333333333334"/>
    <n v="10833.333333333334"/>
    <m/>
    <m/>
    <m/>
    <m/>
    <m/>
    <m/>
    <n v="65000.000000000007"/>
    <n v="0.68333333333066548"/>
    <n v="0.68333333333066548"/>
    <n v="0.68333333333066548"/>
    <n v="0.68333333333066548"/>
    <n v="0.68333333333066548"/>
    <n v="0.68333333333066548"/>
    <n v="-11375"/>
    <n v="-11375"/>
    <n v="-11375"/>
    <n v="-11375"/>
    <n v="-11375"/>
    <n v="-11375"/>
    <n v="-68245.900000000023"/>
    <m/>
    <n v="43333.333333333336"/>
  </r>
  <r>
    <x v="0"/>
    <s v="DigiCert, Inc."/>
    <s v="Digicert"/>
    <s v="Prj000350"/>
    <s v="Support - Infrastructure for Tech"/>
    <s v="Infrastructure Services, Controls &amp; User Enablement"/>
    <x v="0"/>
    <d v="2025-03-03T00:00:00"/>
    <d v="2025-03-03T00:00:00"/>
    <m/>
    <s v="Prj000350-Support - Infrastructure for Tech"/>
    <s v="Non-Labor"/>
    <x v="0"/>
    <s v="Software"/>
    <m/>
    <s v="Information Technology"/>
    <s v="Software - Licenses"/>
    <s v="Software - Licenses"/>
    <s v="Annual Expensed"/>
    <n v="5000"/>
    <n v="5250"/>
    <n v="5250"/>
    <n v="5250"/>
    <n v="0"/>
    <n v="0"/>
    <n v="0"/>
    <m/>
    <m/>
    <m/>
    <n v="5250"/>
    <m/>
    <m/>
    <m/>
    <m/>
    <m/>
    <m/>
    <m/>
    <m/>
    <m/>
    <n v="5250"/>
    <n v="0"/>
    <m/>
    <m/>
    <m/>
    <m/>
    <m/>
    <m/>
    <m/>
    <m/>
    <m/>
    <m/>
    <m/>
    <m/>
    <n v="0"/>
    <n v="0"/>
    <n v="0"/>
    <n v="-5250"/>
    <n v="0"/>
    <n v="0"/>
    <n v="0"/>
    <n v="0"/>
    <n v="0"/>
    <n v="0"/>
    <n v="0"/>
    <n v="0"/>
    <n v="0"/>
    <n v="-5250"/>
    <m/>
    <n v="0"/>
  </r>
  <r>
    <x v="0"/>
    <s v="Datadog, Inc."/>
    <s v="DataDog"/>
    <s v="Prj000403"/>
    <s v="Support - L2 CoE Management for Tech Horizontals"/>
    <s v="Tech Shared Services"/>
    <x v="5"/>
    <s v="Monthly"/>
    <s v="Monthly"/>
    <m/>
    <s v="Prj000403-Support - L2 CoE Management for Tech Horizontals"/>
    <s v="Non-Labor"/>
    <x v="0"/>
    <s v="Software"/>
    <s v="Software"/>
    <s v="Information Technology"/>
    <s v="Software - Licenses"/>
    <s v="Software - Licenses"/>
    <s v="Monthly Expensed"/>
    <n v="23410"/>
    <n v="26288.755499999999"/>
    <n v="26288.755499999999"/>
    <n v="26312.240000000002"/>
    <n v="0"/>
    <n v="23.484500000002299"/>
    <n v="23.484500000002299"/>
    <s v="Sftwr- Potential Risk to look for"/>
    <n v="8984.74"/>
    <n v="2271.65"/>
    <n v="1000"/>
    <n v="1000"/>
    <n v="1000"/>
    <n v="1000"/>
    <n v="1000"/>
    <n v="2190.75"/>
    <n v="2190.75"/>
    <n v="2190.75"/>
    <n v="2190.75"/>
    <n v="1523.75"/>
    <n v="26543.14"/>
    <n v="12286.75"/>
    <n v="8984.74"/>
    <n v="2271.65"/>
    <n v="745.2"/>
    <n v="763.08999999999992"/>
    <n v="1260.81"/>
    <m/>
    <m/>
    <m/>
    <m/>
    <m/>
    <m/>
    <m/>
    <n v="14025.49"/>
    <n v="0"/>
    <n v="0"/>
    <n v="-254.79999999999995"/>
    <n v="-236.91000000000008"/>
    <n v="260.80999999999995"/>
    <n v="-1000"/>
    <n v="-1000"/>
    <n v="-2190.75"/>
    <n v="-2190.75"/>
    <n v="-2190.75"/>
    <n v="-2190.75"/>
    <n v="-1523.75"/>
    <n v="-12517.65"/>
    <s v="Budget v/s Actuals"/>
    <n v="12764.68"/>
  </r>
  <r>
    <x v="0"/>
    <s v="Datadog, Inc."/>
    <s v="DataDog"/>
    <s v="Prj000403"/>
    <s v="Support - L2 CoE Management for Tech Horizontals"/>
    <s v="Tech Shared Services"/>
    <x v="5"/>
    <d v="2025-07-31T00:00:00"/>
    <d v="2026-07-30T00:00:00"/>
    <m/>
    <s v="Prj000403-Support - L2 CoE Management for Tech Horizontals"/>
    <s v="Non-Labor"/>
    <x v="0"/>
    <s v="Software"/>
    <s v="Software"/>
    <s v="Information Technology"/>
    <s v="Software - Licenses"/>
    <s v="Software - Licenses"/>
    <s v="Annual Expensed"/>
    <n v="208572.58"/>
    <n v="91250.25"/>
    <n v="91250.25"/>
    <n v="91250"/>
    <n v="-0.25"/>
    <n v="0"/>
    <n v="-0.25"/>
    <s v="Sftwr- Mis-posting Prepaid"/>
    <m/>
    <m/>
    <m/>
    <m/>
    <m/>
    <m/>
    <m/>
    <n v="91250"/>
    <m/>
    <m/>
    <m/>
    <m/>
    <n v="91250"/>
    <n v="91250"/>
    <m/>
    <m/>
    <m/>
    <m/>
    <m/>
    <m/>
    <m/>
    <m/>
    <m/>
    <m/>
    <m/>
    <m/>
    <n v="0"/>
    <n v="0"/>
    <n v="0"/>
    <n v="0"/>
    <n v="0"/>
    <n v="0"/>
    <n v="0"/>
    <n v="0"/>
    <n v="-91250"/>
    <n v="0"/>
    <n v="0"/>
    <n v="0"/>
    <n v="0"/>
    <n v="-91250"/>
    <m/>
    <n v="0"/>
  </r>
  <r>
    <x v="0"/>
    <s v="ClickTime.com Inc."/>
    <s v="ClickTime"/>
    <s v="Prj000266"/>
    <s v="Support - Internal Tech Workforce Activities"/>
    <s v="Cos, PMO &amp; Enterprise Technology"/>
    <x v="1"/>
    <d v="2025-12-01T00:00:00"/>
    <d v="2026-11-30T00:00:00"/>
    <s v="ClickTime"/>
    <s v="Prj000266-Support - Internal Tech Workforce Activities"/>
    <s v="Non-Labor"/>
    <x v="0"/>
    <s v="Software"/>
    <s v="Software"/>
    <s v="Information Technology"/>
    <s v="Software - Licenses"/>
    <s v="Software - Licenses"/>
    <s v="Annual Expensed"/>
    <n v="37664"/>
    <n v="32760"/>
    <n v="32760"/>
    <n v="32760"/>
    <n v="0"/>
    <n v="0"/>
    <n v="0"/>
    <s v="Renewed/ paid in Dec2025, to be renewed in Dec2026-Renewed/ paid in Dec2025, to be renewed in Dec2026"/>
    <m/>
    <m/>
    <m/>
    <m/>
    <m/>
    <m/>
    <m/>
    <m/>
    <m/>
    <m/>
    <m/>
    <n v="32760"/>
    <n v="32760"/>
    <n v="3276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-32760"/>
    <n v="-32760"/>
    <s v="15% - Chicago Personal Property Lease Transaction Tax (PPLTT)"/>
    <n v="0"/>
  </r>
  <r>
    <x v="0"/>
    <s v="CDW DIRECT LLC"/>
    <s v="Think-Cell"/>
    <s v="Prj000266"/>
    <s v="Support - Internal Tech Workforce Activities"/>
    <s v="Cos, PMO &amp; Enterprise Technology"/>
    <x v="1"/>
    <d v="2025-04-16T00:00:00"/>
    <d v="2026-03-15T00:00:00"/>
    <s v="Think-cell parnership"/>
    <s v="Prj000266-Support - Internal Tech Workforce Activities"/>
    <s v="Non-Labor"/>
    <x v="0"/>
    <s v="Software"/>
    <m/>
    <s v="Information Technology"/>
    <s v="Software - Licenses"/>
    <s v="Software - Licenses"/>
    <s v="Annual Expensed"/>
    <n v="2393"/>
    <n v="2512"/>
    <n v="2512"/>
    <n v="8136.97"/>
    <n v="0"/>
    <n v="5624.97"/>
    <n v="5624.97"/>
    <s v="Think Cell"/>
    <m/>
    <m/>
    <m/>
    <n v="2512"/>
    <m/>
    <m/>
    <m/>
    <m/>
    <m/>
    <m/>
    <m/>
    <m/>
    <n v="2512"/>
    <n v="0"/>
    <m/>
    <m/>
    <m/>
    <n v="8136.97"/>
    <m/>
    <m/>
    <m/>
    <m/>
    <m/>
    <m/>
    <m/>
    <m/>
    <n v="8136.97"/>
    <n v="0"/>
    <n v="0"/>
    <n v="0"/>
    <n v="5624.97"/>
    <n v="0"/>
    <n v="0"/>
    <n v="0"/>
    <n v="0"/>
    <n v="0"/>
    <n v="0"/>
    <n v="0"/>
    <n v="0"/>
    <n v="5624.97"/>
    <s v="Thinkcell renewal higher than budgted"/>
    <n v="8136.97"/>
  </r>
  <r>
    <x v="0"/>
    <s v="Cloud Software Group (formally Tibco)"/>
    <s v="TIBCO Spotfire"/>
    <s v="Prj000458"/>
    <s v="Support - Data Analytics Office"/>
    <s v="Enterprise Architecture, Data Analytics &amp; AI"/>
    <x v="5"/>
    <d v="2025-08-31T00:00:00"/>
    <d v="2026-08-30T00:00:00"/>
    <s v="Spotfire"/>
    <s v="Prj000458-Support - Data Analytics Office"/>
    <s v="Non-Labor"/>
    <x v="0"/>
    <s v="Software"/>
    <s v="Production"/>
    <s v="Information Technology"/>
    <s v="Software - Licenses"/>
    <s v="Software - Licenses"/>
    <s v="Annual Prepaid"/>
    <n v="139684"/>
    <n v="139684"/>
    <n v="139684"/>
    <n v="139683.99999999997"/>
    <n v="-2.9103830456733704E-11"/>
    <n v="0"/>
    <n v="-2.9103830456733704E-11"/>
    <s v="Paid as prepaid in 2025, to be renewed in Aug/Sep 2026"/>
    <n v="11640.333333333334"/>
    <n v="11640.333333333334"/>
    <n v="11640.333333333334"/>
    <n v="11640.333333333334"/>
    <n v="11640.333333333334"/>
    <n v="11640.333333333334"/>
    <n v="11640.333333333334"/>
    <n v="11640.333333333334"/>
    <n v="11640.333333333334"/>
    <n v="11640.333333333334"/>
    <n v="11640.333333333334"/>
    <n v="11640.333333333334"/>
    <n v="139683.99999999997"/>
    <n v="81482.333333333328"/>
    <n v="11640.333333333334"/>
    <n v="11640.333333333334"/>
    <n v="11640.333333333334"/>
    <n v="11640.333333333334"/>
    <n v="11640.333333333334"/>
    <n v="11640.333333333334"/>
    <n v="11640.333333333334"/>
    <n v="11640.333333333334"/>
    <m/>
    <m/>
    <m/>
    <m/>
    <n v="93122.666666666657"/>
    <n v="0"/>
    <n v="0"/>
    <n v="0"/>
    <n v="0"/>
    <n v="0"/>
    <n v="0"/>
    <n v="0"/>
    <n v="0"/>
    <n v="-11640.333333333334"/>
    <n v="-11640.333333333334"/>
    <n v="-11640.333333333334"/>
    <n v="-11640.333333333334"/>
    <n v="-46561.333333333336"/>
    <m/>
    <n v="46561.333333333336"/>
  </r>
  <r>
    <x v="0"/>
    <s v="CloudFlare"/>
    <s v="CloudFlare"/>
    <s v="Prj000446"/>
    <s v="Implement - Minor Enhancements for Enterprise Apps"/>
    <s v="Cos, PMO &amp; Enterprise Technology"/>
    <x v="1"/>
    <s v="Monthly"/>
    <s v="Monthly"/>
    <m/>
    <s v="Prj000446-Implement - Minor Enhancements for Enterprise Apps"/>
    <s v="Non-Labor"/>
    <x v="0"/>
    <s v="Software"/>
    <s v="Software"/>
    <s v="Information Technology"/>
    <s v="Software - Licenses"/>
    <s v="Software - Licenses"/>
    <s v="Annual Expensed"/>
    <n v="3000"/>
    <n v="3150"/>
    <n v="3150"/>
    <n v="3150"/>
    <n v="0"/>
    <n v="0"/>
    <n v="0"/>
    <s v="Potential Opp.- we moved to Equisolve to host our website"/>
    <m/>
    <m/>
    <m/>
    <m/>
    <m/>
    <m/>
    <m/>
    <m/>
    <m/>
    <m/>
    <m/>
    <n v="3150"/>
    <n v="3150"/>
    <n v="315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-3150"/>
    <n v="-3150"/>
    <m/>
    <n v="0"/>
  </r>
  <r>
    <x v="0"/>
    <s v="Litera"/>
    <s v="Litera"/>
    <s v="Prj000446"/>
    <s v="Implement - Minor Enhancements for Enterprise Apps"/>
    <s v="Cos, PMO &amp; Enterprise Technology"/>
    <x v="1"/>
    <d v="2025-10-19T00:00:00"/>
    <d v="2026-10-18T00:00:00"/>
    <s v="Litera Compare Desktop"/>
    <s v="Prj000446-Implement - Minor Enhancements for Enterprise Apps"/>
    <s v="Non-Labor"/>
    <x v="0"/>
    <s v="Software"/>
    <s v="Desktop"/>
    <s v="Information Technology"/>
    <s v="Software - Licenses"/>
    <s v="Software - Licenses"/>
    <s v="Annual Expensed"/>
    <n v="2471"/>
    <n v="2594.5500000000002"/>
    <n v="2594.5500000000002"/>
    <n v="2595"/>
    <n v="0"/>
    <n v="0.4499999999998181"/>
    <n v="0.4499999999998181"/>
    <s v="  "/>
    <m/>
    <m/>
    <m/>
    <m/>
    <m/>
    <m/>
    <m/>
    <m/>
    <n v="2595"/>
    <m/>
    <m/>
    <m/>
    <n v="2595"/>
    <n v="2595"/>
    <m/>
    <m/>
    <m/>
    <m/>
    <m/>
    <m/>
    <m/>
    <m/>
    <m/>
    <m/>
    <m/>
    <m/>
    <n v="0"/>
    <n v="0"/>
    <n v="0"/>
    <n v="0"/>
    <n v="0"/>
    <n v="0"/>
    <n v="0"/>
    <n v="0"/>
    <n v="0"/>
    <n v="-2595"/>
    <n v="0"/>
    <n v="0"/>
    <n v="0"/>
    <n v="-2595"/>
    <m/>
    <n v="0"/>
  </r>
  <r>
    <x v="0"/>
    <s v="Alation Inc."/>
    <s v="Alation"/>
    <s v="Prj000458"/>
    <s v="Support - Data Analytics Office"/>
    <s v="Enterprise Architecture, Data Analytics &amp; AI"/>
    <x v="5"/>
    <d v="2025-04-18T00:00:00"/>
    <d v="2026-04-17T00:00:00"/>
    <s v="Alation"/>
    <s v="Prj000458-Support - Data Analytics Office"/>
    <s v="Non-Labor"/>
    <x v="0"/>
    <s v="Software"/>
    <s v="Subscription"/>
    <s v="Information Technology"/>
    <s v="Software - Licenses"/>
    <s v="Software - Licenses"/>
    <s v="Annual Prepaid"/>
    <n v="182520"/>
    <n v="191646"/>
    <n v="191646"/>
    <n v="128265.00749999999"/>
    <n v="-63380.992500000008"/>
    <n v="0"/>
    <n v="-63380.992500000008"/>
    <s v="Contract is Apr-Mar Budegetd 26 - 191K v/s Actual 172K"/>
    <m/>
    <m/>
    <m/>
    <n v="14251.667500000001"/>
    <n v="14251.667500000001"/>
    <n v="14251.667500000001"/>
    <n v="14251.667500000001"/>
    <n v="14251.667500000001"/>
    <n v="14251.667500000001"/>
    <n v="14251.667500000001"/>
    <n v="14251.667500000001"/>
    <n v="14251.667500000001"/>
    <n v="128265.00749999999"/>
    <n v="99761.672500000001"/>
    <m/>
    <m/>
    <m/>
    <n v="14251.667500000001"/>
    <n v="14251.667500000001"/>
    <n v="14251.667500000001"/>
    <n v="14251.667500000001"/>
    <n v="14251.667500000001"/>
    <n v="14251.667500000001"/>
    <n v="14251.667500000001"/>
    <n v="14251.667500000001"/>
    <n v="14251.667500000001"/>
    <n v="128265.00749999999"/>
    <n v="0"/>
    <n v="0"/>
    <n v="0"/>
    <n v="0"/>
    <n v="0"/>
    <n v="0"/>
    <n v="0"/>
    <n v="0"/>
    <n v="0"/>
    <n v="0"/>
    <n v="0"/>
    <n v="0"/>
    <n v="0"/>
    <s v="$43K is prepaid for Jan-Mar 2027, actual saving is $19K budet vs actuals"/>
    <n v="14251.667500000001"/>
  </r>
  <r>
    <x v="0"/>
    <s v="BroadVantage"/>
    <s v="BoardVantage"/>
    <s v="Prj000446"/>
    <s v="Implement - Minor Enhancements for Enterprise Apps"/>
    <s v="Cos, PMO &amp; Enterprise Technology"/>
    <x v="1"/>
    <s v="NA"/>
    <s v="NA"/>
    <m/>
    <s v="Prj000446-Implement - Minor Enhancements for Enterprise Apps"/>
    <s v="Non-Labor"/>
    <x v="0"/>
    <s v="Software"/>
    <m/>
    <s v="Information Technology"/>
    <s v="Software - Licenses"/>
    <s v="Software - Licenses"/>
    <s v="Annual Expensed"/>
    <n v="48000"/>
    <n v="50400"/>
    <n v="50400"/>
    <n v="50400"/>
    <n v="0"/>
    <n v="0"/>
    <n v="0"/>
    <s v="Software for Board of Directors - Potential Opportunity - No activity in 2025 as well"/>
    <m/>
    <m/>
    <m/>
    <m/>
    <m/>
    <m/>
    <m/>
    <m/>
    <m/>
    <m/>
    <m/>
    <n v="50400"/>
    <n v="50400"/>
    <n v="5040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-50400"/>
    <n v="-50400"/>
    <m/>
    <n v="0"/>
  </r>
  <r>
    <x v="0"/>
    <s v="Broadridge Output  Solutions"/>
    <m/>
    <s v="Prj000290"/>
    <s v="Support - Asset Management Applications"/>
    <s v="Asset Management Tech"/>
    <x v="3"/>
    <s v="NA"/>
    <s v="NA"/>
    <m/>
    <s v="Prj000290-Support - Asset Management Applications"/>
    <s v="Non-Labor"/>
    <x v="0"/>
    <s v="Software"/>
    <m/>
    <s v="Information Technology"/>
    <s v="Managed Service - Core"/>
    <s v="Support Services"/>
    <s v="Monthly Expensed"/>
    <n v="138759"/>
    <n v="119571.06"/>
    <n v="119571.06"/>
    <n v="109130.55"/>
    <n v="-10440.509999999995"/>
    <n v="0"/>
    <n v="-10440.509999999995"/>
    <s v="Modelling fees"/>
    <n v="9964.2549999999992"/>
    <n v="9964.2549999999992"/>
    <n v="9964.2549999999992"/>
    <n v="9964.2549999999992"/>
    <n v="9964.2549999999992"/>
    <n v="9964.2549999999992"/>
    <n v="9964.2549999999992"/>
    <n v="9964.2549999999992"/>
    <n v="9964.2549999999992"/>
    <n v="9964.2549999999992"/>
    <n v="9964.2549999999992"/>
    <n v="9964.2549999999992"/>
    <n v="119571.06000000001"/>
    <n v="69749.784999999989"/>
    <n v="6188"/>
    <n v="3300"/>
    <m/>
    <m/>
    <m/>
    <m/>
    <m/>
    <m/>
    <m/>
    <m/>
    <m/>
    <m/>
    <n v="9488"/>
    <n v="-3776.2549999999992"/>
    <n v="-6664.2549999999992"/>
    <n v="-9964.2549999999992"/>
    <n v="-9964.2549999999992"/>
    <n v="-9964.2549999999992"/>
    <n v="-9964.2549999999992"/>
    <n v="-9964.2549999999992"/>
    <n v="-9964.2549999999992"/>
    <n v="-9964.2549999999992"/>
    <n v="-9964.2549999999992"/>
    <n v="-9964.2549999999992"/>
    <n v="-9964.2549999999992"/>
    <n v="-110083.06000000001"/>
    <s v="No cost noted in Mar &amp; Apr"/>
    <n v="9488"/>
  </r>
  <r>
    <x v="0"/>
    <s v="BWise Internal Control Inc."/>
    <s v="SAI360"/>
    <s v="Prj000446"/>
    <s v="Implement - Minor Enhancements for Enterprise Apps"/>
    <s v="Cos, PMO &amp; Enterprise Technology"/>
    <x v="1"/>
    <d v="2026-01-01T00:00:00"/>
    <d v="2026-12-31T00:00:00"/>
    <m/>
    <s v="Prj000446-Implement - Minor Enhancements for Enterprise Apps"/>
    <s v="Non-Labor"/>
    <x v="2"/>
    <s v="Software"/>
    <s v="Support Services"/>
    <s v="Outsourced"/>
    <s v="Run the Business Contractors and Outsource Services"/>
    <s v="RTB Expenses - Contractor"/>
    <s v="Annual Expensed"/>
    <n v="29400"/>
    <n v="32400"/>
    <n v="32400"/>
    <n v="32009.25"/>
    <n v="-390.75"/>
    <n v="0"/>
    <n v="-390.75"/>
    <m/>
    <n v="32400"/>
    <n v="0"/>
    <n v="0"/>
    <n v="0"/>
    <n v="0"/>
    <n v="0"/>
    <n v="0"/>
    <n v="0"/>
    <n v="0"/>
    <n v="0"/>
    <n v="0"/>
    <n v="0"/>
    <n v="32400"/>
    <n v="0"/>
    <n v="32009.25"/>
    <n v="0"/>
    <n v="0"/>
    <n v="0"/>
    <n v="0"/>
    <n v="0"/>
    <n v="0"/>
    <n v="0"/>
    <n v="0"/>
    <n v="0"/>
    <n v="0"/>
    <n v="0"/>
    <n v="32009.25"/>
    <n v="-390.75"/>
    <n v="0"/>
    <n v="0"/>
    <n v="0"/>
    <n v="0"/>
    <n v="0"/>
    <n v="0"/>
    <n v="0"/>
    <n v="0"/>
    <n v="0"/>
    <n v="0"/>
    <n v="0"/>
    <n v="-390.75"/>
    <s v="Budget v/s Actuals"/>
    <n v="32009.25"/>
  </r>
  <r>
    <x v="0"/>
    <s v="CDW DIRECT LLC"/>
    <m/>
    <s v="Prj000350"/>
    <s v="Support - Infrastructure for Tech"/>
    <s v="Infrastructure Services, Controls &amp; User Enablement"/>
    <x v="0"/>
    <s v="TBC with Danny"/>
    <s v="TBC with Danny"/>
    <m/>
    <s v="Prj000350-Support - Infrastructure for Tech"/>
    <s v="Non-Labor"/>
    <x v="0"/>
    <s v="Software"/>
    <m/>
    <s v="Information Technology"/>
    <s v="Managed Service - Core"/>
    <s v="Support Services"/>
    <s v="Monthly Expensed"/>
    <n v="449917.66"/>
    <n v="1091630.8800000001"/>
    <n v="1091630.8800000001"/>
    <n v="1091630.6000000001"/>
    <n v="-0.28000000002793968"/>
    <n v="0"/>
    <n v="-0.28000000002793968"/>
    <s v="Comprised of 7 different invoices - SmartNet, Prisma and PA until Jul'25; New Price effective Aug'25 for 5 yr contract_x000a_5 years starting Aug is only Prisma and PA. No SmartNet."/>
    <m/>
    <m/>
    <m/>
    <m/>
    <m/>
    <m/>
    <m/>
    <n v="366127.60000000003"/>
    <m/>
    <m/>
    <m/>
    <n v="725503"/>
    <n v="1091630.6000000001"/>
    <n v="1091630.6000000001"/>
    <m/>
    <m/>
    <m/>
    <m/>
    <m/>
    <m/>
    <m/>
    <m/>
    <m/>
    <m/>
    <m/>
    <m/>
    <n v="0"/>
    <n v="0"/>
    <n v="0"/>
    <n v="0"/>
    <n v="0"/>
    <n v="0"/>
    <n v="0"/>
    <n v="0"/>
    <n v="-366127.60000000003"/>
    <n v="0"/>
    <n v="0"/>
    <n v="0"/>
    <n v="-725503"/>
    <n v="-1091630.6000000001"/>
    <m/>
    <n v="0"/>
  </r>
  <r>
    <x v="0"/>
    <s v="Indus Valley Partners Corporation"/>
    <s v="IVP"/>
    <s v="Prj000403"/>
    <s v="Support - L2 CoE Management for Tech Horizontals"/>
    <s v="Tech Shared Services"/>
    <x v="5"/>
    <d v="2024-05-01T00:00:00"/>
    <d v="2026-11-06T00:00:00"/>
    <s v="Polaris/EDM/SecMast Core l2"/>
    <s v="Prj000403-Support - L2 CoE Management for Tech Horizontals"/>
    <s v="Labor"/>
    <x v="2"/>
    <s v="RTB- MS"/>
    <s v="Managed Services"/>
    <s v="Information Technology"/>
    <s v="Managed Service - Core"/>
    <s v="Managed Service - Core"/>
    <s v="Monthly Expensed"/>
    <n v="222842"/>
    <n v="195584.34"/>
    <n v="195584.34"/>
    <n v="191940"/>
    <n v="-3644.3399999999965"/>
    <n v="0"/>
    <n v="-3644.3399999999965"/>
    <s v="IVP L2 Tech MS"/>
    <n v="15449"/>
    <n v="15449"/>
    <n v="15449"/>
    <n v="15449"/>
    <n v="16268"/>
    <n v="16268"/>
    <n v="16268"/>
    <n v="16268"/>
    <n v="16268"/>
    <n v="16268"/>
    <n v="16268"/>
    <n v="16268"/>
    <n v="191940"/>
    <n v="113876"/>
    <n v="15449"/>
    <n v="15449"/>
    <n v="15449"/>
    <n v="15449"/>
    <n v="16268"/>
    <m/>
    <m/>
    <m/>
    <m/>
    <m/>
    <m/>
    <m/>
    <n v="78064"/>
    <n v="0"/>
    <n v="0"/>
    <n v="0"/>
    <n v="0"/>
    <n v="0"/>
    <n v="-16268"/>
    <n v="-16268"/>
    <n v="-16268"/>
    <n v="-16268"/>
    <n v="-16268"/>
    <n v="-16268"/>
    <n v="-16268"/>
    <n v="-113876"/>
    <s v="Budget v/s Actuals, incremental recon hosting fees CPI -5.3% since May"/>
    <n v="61796"/>
  </r>
  <r>
    <x v="0"/>
    <s v="Indus Valley Partners Corporation"/>
    <s v="IVP"/>
    <s v="Prj000403"/>
    <s v="Support - L2 CoE Management for Tech Horizontals"/>
    <s v="Tech Shared Services"/>
    <x v="5"/>
    <d v="2025-05-01T00:00:00"/>
    <d v="2026-11-06T00:00:00"/>
    <s v="Data MS"/>
    <s v="Prj000403-Support - L2 CoE Management for Tech Horizontals"/>
    <s v="Labor"/>
    <x v="2"/>
    <s v="RTB- MS"/>
    <s v="Managed Services"/>
    <s v="Information Technology"/>
    <s v="Managed Service - Core"/>
    <s v="Managed Service - Core"/>
    <s v="Monthly Expensed"/>
    <n v="57500"/>
    <n v="85455"/>
    <n v="85455"/>
    <n v="74250"/>
    <n v="-11205"/>
    <n v="0"/>
    <n v="-11205"/>
    <s v="Data Managed Srvc"/>
    <n v="6750"/>
    <n v="6750"/>
    <n v="6750"/>
    <n v="6750"/>
    <n v="6750"/>
    <n v="6750"/>
    <n v="6750"/>
    <n v="6750"/>
    <n v="6750"/>
    <n v="6750"/>
    <n v="6750"/>
    <m/>
    <n v="74250"/>
    <n v="40500"/>
    <n v="6750"/>
    <n v="6750"/>
    <n v="6750"/>
    <n v="6750"/>
    <n v="6750"/>
    <m/>
    <m/>
    <m/>
    <m/>
    <m/>
    <m/>
    <m/>
    <n v="33750"/>
    <n v="0"/>
    <n v="0"/>
    <n v="0"/>
    <n v="0"/>
    <n v="0"/>
    <n v="-6750"/>
    <n v="-6750"/>
    <n v="-6750"/>
    <n v="-6750"/>
    <n v="-6750"/>
    <n v="-6750"/>
    <n v="0"/>
    <n v="-40500"/>
    <s v="Budget v/s Actuals"/>
    <n v="27000"/>
  </r>
  <r>
    <x v="0"/>
    <s v="Equisolve, Inc."/>
    <m/>
    <s v="Prj000446"/>
    <s v="Implement - Minor Enhancements for Enterprise Apps"/>
    <s v="Cos, PMO &amp; Enterprise Technology"/>
    <x v="1"/>
    <m/>
    <m/>
    <m/>
    <s v="Prj000446-Implement - Minor Enhancements for Enterprise Apps"/>
    <s v="Non-Labor"/>
    <x v="0"/>
    <s v="Software"/>
    <m/>
    <s v="Information Technology"/>
    <s v="Managed Service - Core"/>
    <s v="Managed Service - Core"/>
    <s v="Monthly Expensed"/>
    <n v="46598.93"/>
    <n v="48934"/>
    <n v="48934"/>
    <n v="48932"/>
    <n v="-2"/>
    <n v="0"/>
    <n v="-2"/>
    <s v="Errouneously paid by BDC CC -32K, Incremental spend 20K-LoungeLizard budget transferred to Equisolve"/>
    <n v="4702"/>
    <n v="1000"/>
    <n v="1000"/>
    <n v="1195"/>
    <n v="1000"/>
    <n v="1000"/>
    <n v="1000"/>
    <n v="1000"/>
    <n v="1000"/>
    <n v="1000"/>
    <n v="1000"/>
    <n v="34037"/>
    <n v="48934"/>
    <n v="40037"/>
    <n v="4704"/>
    <n v="999"/>
    <n v="999"/>
    <n v="1194"/>
    <n v="999"/>
    <n v="999"/>
    <m/>
    <m/>
    <m/>
    <m/>
    <m/>
    <m/>
    <n v="9894"/>
    <n v="2"/>
    <n v="-1"/>
    <n v="-1"/>
    <n v="-1"/>
    <n v="-1"/>
    <n v="-1"/>
    <n v="-1000"/>
    <n v="-1000"/>
    <n v="-1000"/>
    <n v="-1000"/>
    <n v="-1000"/>
    <n v="-34037"/>
    <n v="-39040"/>
    <s v="Addditional work - Site Refresh in March $9.9K &amp; Form modification in April $195"/>
    <n v="7896"/>
  </r>
  <r>
    <x v="0"/>
    <s v="MARKIT NORTH AMERICA, INC."/>
    <s v="S&amp;P Global"/>
    <s v="Prj000469"/>
    <s v="Support - Prod Support for Ops Apps"/>
    <s v="Operations Technology"/>
    <x v="2"/>
    <m/>
    <m/>
    <m/>
    <s v="Prj000469-Support - Prod Support for Ops Apps"/>
    <s v="Non-Labor"/>
    <x v="0"/>
    <s v="Software"/>
    <m/>
    <s v="Information Technology"/>
    <s v="Managed Service - Core"/>
    <s v="Managed Service - Core"/>
    <s v="Quarterly Prepaid"/>
    <n v="3268031.27"/>
    <n v="3500000"/>
    <n v="3500000"/>
    <n v="3515202.9299999997"/>
    <n v="0"/>
    <n v="15202.929999999702"/>
    <n v="15202.929999999702"/>
    <s v="RISK AUM-Potential Dec. Opp WSO"/>
    <n v="261174.96666666667"/>
    <n v="261174.96666666667"/>
    <n v="261174.96666666667"/>
    <n v="253282.01"/>
    <n v="253282.01"/>
    <n v="253282.01"/>
    <n v="330305.33333333331"/>
    <n v="330305.33333333331"/>
    <n v="330305.33333333331"/>
    <n v="330305.33333333331"/>
    <n v="330305.33333333331"/>
    <n v="320305.33333333302"/>
    <n v="3515202.93"/>
    <n v="2225114.0099999993"/>
    <n v="261174.96666666667"/>
    <n v="261174.96666666667"/>
    <n v="261174.96666666667"/>
    <n v="253282.01"/>
    <n v="253282.01"/>
    <n v="253282.01"/>
    <m/>
    <m/>
    <m/>
    <m/>
    <m/>
    <m/>
    <n v="1543370.93"/>
    <n v="0"/>
    <n v="0"/>
    <n v="0"/>
    <n v="0"/>
    <n v="0"/>
    <n v="0"/>
    <n v="-330305.33333333331"/>
    <n v="-330305.33333333331"/>
    <n v="-330305.33333333331"/>
    <n v="-330305.33333333331"/>
    <n v="-330305.33333333331"/>
    <n v="-320305.33333333302"/>
    <n v="-1971831.9999999995"/>
    <s v="WSO Web service + Orion CLO + Levpro implementation $10k in March"/>
    <n v="1036806.91"/>
  </r>
  <r>
    <x v="0"/>
    <s v="Microsoft Corporation"/>
    <m/>
    <s v="Prj000350"/>
    <s v="Support - Infrastructure for Tech"/>
    <s v="Infrastructure Services, Controls &amp; User Enablement"/>
    <x v="0"/>
    <d v="2026-06-01T00:00:00"/>
    <d v="2027-05-31T00:00:00"/>
    <m/>
    <s v="Prj000350-Support - Infrastructure for Tech"/>
    <s v="Non-Labor"/>
    <x v="0"/>
    <s v="Software"/>
    <s v="Managed Services"/>
    <s v="Information Technology"/>
    <s v="Managed Service - Core"/>
    <s v="Support Services"/>
    <s v="Annual Prepaid"/>
    <n v="588000"/>
    <n v="596913"/>
    <n v="596913"/>
    <n v="642692"/>
    <n v="0"/>
    <n v="45779"/>
    <n v="45779"/>
    <s v="MS Core, Co-pilot, Azure-Prepaid, renewed in June at $687K 1 year"/>
    <n v="48333.333333333336"/>
    <n v="48333.333333333336"/>
    <n v="48333.333333333336"/>
    <n v="48333.333333333336"/>
    <n v="48333.333333333336"/>
    <n v="57289.333333333336"/>
    <n v="57289.333333333336"/>
    <n v="57289.333333333336"/>
    <n v="57289.333333333336"/>
    <n v="57289.333333333336"/>
    <n v="57289.333333333336"/>
    <n v="57289.333333333336"/>
    <n v="642692"/>
    <n v="401025.33333333331"/>
    <n v="48333.333333333336"/>
    <n v="48333.333333333336"/>
    <n v="48333.333333333336"/>
    <n v="48333.333333333336"/>
    <n v="48333.333333333336"/>
    <n v="57289.346666666672"/>
    <n v="57289.346666666672"/>
    <n v="57289.346666666672"/>
    <n v="57289.346666666672"/>
    <n v="57289.346666666672"/>
    <n v="57289.346666666672"/>
    <n v="57289.346666666672"/>
    <n v="642692.09333333338"/>
    <n v="0"/>
    <n v="0"/>
    <n v="0"/>
    <n v="0"/>
    <n v="0"/>
    <n v="1.3333333336049691E-2"/>
    <n v="1.3333333336049691E-2"/>
    <n v="1.3333333336049691E-2"/>
    <n v="1.3333333336049691E-2"/>
    <n v="1.3333333336049691E-2"/>
    <n v="1.3333333336049691E-2"/>
    <n v="1.3333333336049691E-2"/>
    <n v="9.3333333352347836E-2"/>
    <s v="Renewal at $687K from June26-May-27, paid upfront"/>
    <n v="193333.33333333334"/>
  </r>
  <r>
    <x v="0"/>
    <s v="Indus Valley Partners Corporation"/>
    <s v="IVP"/>
    <s v="T&amp;M"/>
    <s v="T&amp;M"/>
    <s v="Infra Svcs &amp; User Enblt Tech"/>
    <x v="5"/>
    <d v="2026-01-01T00:00:00"/>
    <d v="2026-06-30T00:00:00"/>
    <s v="Prj Mgmt T&amp;M"/>
    <s v="T&amp;M-T&amp;M"/>
    <s v="Labor"/>
    <x v="4"/>
    <s v="RTB- T&amp;M"/>
    <s v="T&amp;M"/>
    <s v="Outsourced"/>
    <s v="Run the Business Contractors and Outsource Services"/>
    <s v="RTB Expenses - Contractor"/>
    <s v="Monthly Expensed"/>
    <n v="433000"/>
    <n v="216000"/>
    <n v="216000"/>
    <n v="488400"/>
    <n v="0"/>
    <n v="272400"/>
    <n v="272400"/>
    <s v="T&amp;M IVP Mgmt (TOM)- Rahul &amp; Vaibhav + 2"/>
    <n v="88000"/>
    <n v="88000"/>
    <n v="88000"/>
    <n v="88000"/>
    <n v="88000"/>
    <n v="88000"/>
    <m/>
    <m/>
    <m/>
    <m/>
    <m/>
    <m/>
    <n v="528000"/>
    <n v="88000"/>
    <n v="73000"/>
    <n v="70200"/>
    <n v="87200"/>
    <n v="82000"/>
    <m/>
    <m/>
    <m/>
    <m/>
    <m/>
    <m/>
    <m/>
    <m/>
    <n v="312400"/>
    <n v="-15000"/>
    <n v="-17800"/>
    <n v="-800"/>
    <n v="-6000"/>
    <n v="-88000"/>
    <n v="-88000"/>
    <n v="0"/>
    <n v="0"/>
    <n v="0"/>
    <n v="0"/>
    <n v="0"/>
    <n v="0"/>
    <n v="-215600"/>
    <s v="Budgeted only for 2 headcount, actual contract was signed for 4 headcounts"/>
    <n v="312400"/>
  </r>
  <r>
    <x v="0"/>
    <s v="Indus Valley Partners Corporation"/>
    <s v="IVP"/>
    <s v="Prj000472"/>
    <s v="Implement - Build Pipes from CORE Systems to IVP"/>
    <s v="Enterprise Architecture, Data Analytics &amp; AI"/>
    <x v="5"/>
    <d v="2026-01-01T00:00:00"/>
    <d v="2026-06-30T00:00:00"/>
    <s v="Polaris/EDM/SecMast Core Implementation"/>
    <s v="Prj000472-Implement - Build Pipes from CORE Systems to IVP"/>
    <s v="Labor"/>
    <x v="5"/>
    <s v="RTB- FPC"/>
    <m/>
    <s v="Information Technology"/>
    <s v="Managed Service - Core"/>
    <s v="RTB Expenses - Contractor"/>
    <s v="Monthly Expensed"/>
    <n v="1612673"/>
    <n v="1344000"/>
    <n v="1344000"/>
    <n v="960000"/>
    <n v="-384000"/>
    <n v="0"/>
    <n v="-384000"/>
    <s v="FPC- IVP Implementation Post Contract - Capitalizable-160K per month from Jan to June 2026 - Capitalizable"/>
    <n v="160000"/>
    <n v="160000"/>
    <n v="160000"/>
    <n v="160000"/>
    <n v="160000"/>
    <n v="160000"/>
    <m/>
    <m/>
    <m/>
    <m/>
    <m/>
    <m/>
    <n v="960000"/>
    <n v="160000"/>
    <n v="160000"/>
    <n v="160000"/>
    <n v="160000"/>
    <n v="160000"/>
    <n v="160000"/>
    <m/>
    <m/>
    <m/>
    <m/>
    <m/>
    <m/>
    <m/>
    <n v="800000"/>
    <n v="0"/>
    <n v="0"/>
    <n v="0"/>
    <n v="0"/>
    <n v="0"/>
    <n v="-160000"/>
    <n v="0"/>
    <n v="0"/>
    <n v="0"/>
    <n v="0"/>
    <n v="0"/>
    <n v="0"/>
    <n v="-160000"/>
    <s v="Budget v/s Actuals"/>
    <n v="640000"/>
  </r>
  <r>
    <x v="0"/>
    <s v="VPMA Global Services LLC"/>
    <s v="Control M"/>
    <s v="Prj000350"/>
    <s v="Support - Infrastructure for Tech"/>
    <s v="Infrastructure Services, Controls &amp; User Enablement"/>
    <x v="0"/>
    <s v="NA"/>
    <s v="NA"/>
    <m/>
    <s v="Prj000350-Support - Infrastructure for Tech"/>
    <s v="Non-Labor"/>
    <x v="0"/>
    <s v="Software"/>
    <s v="FPC"/>
    <s v="Information Technology"/>
    <s v="Software - Core"/>
    <s v="Software - Core"/>
    <s v="Annual Expensed"/>
    <n v="21255"/>
    <n v="22318"/>
    <n v="22318"/>
    <n v="22318"/>
    <n v="0"/>
    <n v="0"/>
    <n v="0"/>
    <m/>
    <m/>
    <m/>
    <m/>
    <n v="22318"/>
    <m/>
    <m/>
    <m/>
    <m/>
    <m/>
    <m/>
    <m/>
    <m/>
    <n v="22318"/>
    <n v="0"/>
    <m/>
    <m/>
    <m/>
    <m/>
    <m/>
    <m/>
    <m/>
    <m/>
    <m/>
    <m/>
    <m/>
    <m/>
    <n v="0"/>
    <n v="0"/>
    <n v="0"/>
    <n v="0"/>
    <n v="-22318"/>
    <n v="0"/>
    <n v="0"/>
    <n v="0"/>
    <n v="0"/>
    <n v="0"/>
    <n v="0"/>
    <n v="0"/>
    <n v="0"/>
    <n v="-22318"/>
    <m/>
    <n v="0"/>
  </r>
  <r>
    <x v="0"/>
    <s v="Intelligent Business Platforms LLC"/>
    <s v="Intellibus"/>
    <s v="T&amp;M"/>
    <s v="T&amp;M"/>
    <s v="Infra Svcs &amp; User Enblt Tech"/>
    <x v="5"/>
    <d v="2026-01-01T00:00:00"/>
    <d v="2026-06-30T00:00:00"/>
    <s v="T&amp;M"/>
    <s v="T&amp;M-T&amp;M"/>
    <s v="Labor"/>
    <x v="4"/>
    <s v="CTB- T&amp;M"/>
    <s v="T&amp;M"/>
    <s v="Consulting"/>
    <s v="Consulting Change the Business"/>
    <s v="CTB Expenses - Consulting"/>
    <s v="Monthly Expensed"/>
    <n v="1877896"/>
    <n v="932960"/>
    <n v="940800"/>
    <n v="875668"/>
    <n v="-65132"/>
    <n v="0"/>
    <n v="-65132"/>
    <s v="T&amp;M - Intellibus"/>
    <n v="156800"/>
    <n v="156800"/>
    <n v="156800"/>
    <n v="156800"/>
    <n v="156800"/>
    <n v="156800"/>
    <m/>
    <m/>
    <m/>
    <m/>
    <m/>
    <m/>
    <n v="940800"/>
    <n v="156800"/>
    <n v="153008"/>
    <n v="138848"/>
    <n v="154496"/>
    <n v="163758"/>
    <n v="108758"/>
    <m/>
    <m/>
    <m/>
    <m/>
    <m/>
    <m/>
    <m/>
    <n v="718868"/>
    <n v="-3792"/>
    <n v="-17952"/>
    <n v="-2304"/>
    <n v="6958"/>
    <n v="-48042"/>
    <n v="-156800"/>
    <n v="0"/>
    <n v="0"/>
    <n v="0"/>
    <n v="0"/>
    <n v="0"/>
    <n v="0"/>
    <n v="-221932"/>
    <s v="Budget v/s Actuals, allocations are based on capacity planning forecast"/>
    <n v="610110"/>
  </r>
  <r>
    <x v="0"/>
    <s v="Seismic Software Inc."/>
    <m/>
    <s v="Prj000446"/>
    <s v="Implement - Minor Enhancements for Enterprise Apps"/>
    <s v="Cos, PMO &amp; Enterprise Technology"/>
    <x v="1"/>
    <d v="2025-09-01T00:00:00"/>
    <d v="2026-08-31T00:00:00"/>
    <m/>
    <s v="Prj000446-Implement - Minor Enhancements for Enterprise Apps"/>
    <s v="Non-Labor"/>
    <x v="0"/>
    <s v="Software"/>
    <s v="FPC"/>
    <s v="Information Technology"/>
    <s v="Software - Licenses"/>
    <s v="CTB Expenses - Consulting"/>
    <s v="Annual Prepaid"/>
    <n v="56980"/>
    <n v="139031.20000000001"/>
    <n v="139031.20000000001"/>
    <n v="137701.66666666669"/>
    <n v="-1329.5333333333256"/>
    <n v="0"/>
    <n v="-1329.5333333333256"/>
    <s v="FPC TBD Dependent on Investor Reporting Integration into Seismic - Prepaid"/>
    <n v="11396"/>
    <n v="11396"/>
    <n v="11396"/>
    <n v="11396"/>
    <n v="11396"/>
    <n v="11396"/>
    <n v="11396"/>
    <n v="11585.933333333334"/>
    <n v="11585.933333333334"/>
    <n v="11585.933333333334"/>
    <n v="11585.933333333334"/>
    <n v="11585.933333333334"/>
    <n v="137701.66666666669"/>
    <n v="80721.666666666672"/>
    <n v="11396"/>
    <n v="11396"/>
    <n v="11396"/>
    <n v="11396"/>
    <n v="11396"/>
    <n v="11396"/>
    <n v="11396"/>
    <m/>
    <m/>
    <m/>
    <m/>
    <m/>
    <n v="79772"/>
    <n v="0"/>
    <n v="0"/>
    <n v="0"/>
    <n v="0"/>
    <n v="0"/>
    <n v="0"/>
    <n v="0"/>
    <n v="-11585.933333333334"/>
    <n v="-11585.933333333334"/>
    <n v="-11585.933333333334"/>
    <n v="-11585.933333333334"/>
    <n v="-11585.933333333334"/>
    <n v="-57929.666666666672"/>
    <s v="Budget v/s Actuals"/>
    <n v="45584"/>
  </r>
  <r>
    <x v="3"/>
    <s v="Software Capitalization"/>
    <m/>
    <s v="N/A"/>
    <s v="N/A"/>
    <s v="N/A"/>
    <x v="6"/>
    <m/>
    <m/>
    <m/>
    <s v="N/A-N/A"/>
    <s v="Capitalization"/>
    <x v="6"/>
    <s v="CTB- FPC"/>
    <s v="Software Cap"/>
    <s v="Consulting"/>
    <s v="Consulting Change the Business"/>
    <s v="CTB Expenses - Consulting"/>
    <s v="Capitalization"/>
    <n v="-3700000"/>
    <n v="-4000000"/>
    <n v="-4000000"/>
    <n v="-4000000.0000000005"/>
    <n v="-4.6566128730773926E-10"/>
    <n v="0"/>
    <n v="-4.6566128730773926E-10"/>
    <s v="Management cap on Capitalized Software"/>
    <n v="-333333.33333333331"/>
    <n v="-333333.33333333331"/>
    <n v="-333333.33333333331"/>
    <n v="-333333.33333333331"/>
    <n v="-333333.33333333331"/>
    <n v="-333333.33333333331"/>
    <n v="-333333.33333333331"/>
    <n v="-333333.33333333331"/>
    <n v="-333333.33333333331"/>
    <n v="-333333.33333333331"/>
    <n v="-333333.33333333331"/>
    <n v="-333333.33333333331"/>
    <n v="-4000000.0000000005"/>
    <n v="-2333333.333333333"/>
    <n v="-333333.33333333331"/>
    <n v="-333333.33333333331"/>
    <n v="-333333.33333333331"/>
    <n v="-333333.33333333331"/>
    <n v="-333333.33333333331"/>
    <n v="-333333.33333333331"/>
    <n v="-333333.33333333331"/>
    <n v="-333333.33333333331"/>
    <n v="-333333.33333333331"/>
    <n v="-333333.33333333331"/>
    <n v="-333333.33333333331"/>
    <n v="-333333.33333333331"/>
    <n v="-4000000.0000000005"/>
    <n v="0"/>
    <n v="0"/>
    <n v="0"/>
    <n v="0"/>
    <n v="0"/>
    <n v="0"/>
    <n v="0"/>
    <n v="0"/>
    <n v="0"/>
    <n v="0"/>
    <n v="0"/>
    <n v="0"/>
    <n v="0"/>
    <s v="Capitalisation target"/>
    <n v="-1333333.3333333333"/>
  </r>
  <r>
    <x v="4"/>
    <s v="Amortization/Multiple"/>
    <m/>
    <s v="Amortization"/>
    <s v="N/A"/>
    <s v="N/A"/>
    <x v="6"/>
    <s v="N/A"/>
    <s v="N/A"/>
    <s v="N/A"/>
    <s v="Amortization-N/A"/>
    <s v="Amortization"/>
    <x v="1"/>
    <s v="OOE"/>
    <s v="Amortization"/>
    <s v="Information Technology"/>
    <s v="Hosting Agreement Amortization"/>
    <s v="Amortization - Capitalized costs for hosting arrangements"/>
    <s v="Amortization"/>
    <n v="534786"/>
    <m/>
    <n v="1244018"/>
    <n v="1276687.2541666667"/>
    <n v="0"/>
    <n v="32669.254166666651"/>
    <n v="32669.254166666651"/>
    <s v="To check and update as per schedule"/>
    <n v="103668.16666666667"/>
    <n v="103668.16666666667"/>
    <n v="103668.16666666667"/>
    <n v="103668.16666666667"/>
    <n v="103668.16666666667"/>
    <n v="103668.16666666667"/>
    <n v="103668.16666666667"/>
    <n v="103668.16666666667"/>
    <n v="103668.16666666667"/>
    <n v="103668.16666666667"/>
    <n v="103668.16666666667"/>
    <n v="103668.16666666667"/>
    <n v="1244018"/>
    <n v="725677.16666666663"/>
    <n v="110202.0175"/>
    <n v="110202.0175"/>
    <n v="110202.0175"/>
    <n v="110202.0175"/>
    <n v="110202.0175"/>
    <n v="110202.0175"/>
    <n v="110202.0175"/>
    <n v="110202.0175"/>
    <n v="110202.0175"/>
    <n v="110202.0175"/>
    <n v="110202.0175"/>
    <n v="110202.0175"/>
    <n v="1322424.21"/>
    <n v="6533.8508333333302"/>
    <n v="6533.8508333333302"/>
    <n v="6533.8508333333302"/>
    <n v="6533.8508333333302"/>
    <n v="6533.8508333333302"/>
    <n v="6533.8508333333302"/>
    <n v="6533.8508333333302"/>
    <n v="6533.8508333333302"/>
    <n v="6533.8508333333302"/>
    <n v="6533.8508333333302"/>
    <n v="6533.8508333333302"/>
    <n v="6533.8508333333302"/>
    <n v="78406.209999999963"/>
    <s v="All the amortization lines have been merged to one, source is capitalization schedule shared by Darlene. This risk could be setoff againt PH and any other opp on YTD"/>
    <n v="440808.07"/>
  </r>
  <r>
    <x v="0"/>
    <s v="PactFi Inc."/>
    <m/>
    <s v="Prj000381"/>
    <s v="Support - Prod Support for Credit Apps"/>
    <s v="Credit Technology"/>
    <x v="2"/>
    <d v="2026-01-26T00:00:00"/>
    <d v="2027-01-25T00:00:00"/>
    <s v="PactFi Annual Platform Fee"/>
    <s v="Prj000381-Support - Prod Support for Credit Apps"/>
    <s v="Non-Labor"/>
    <x v="0"/>
    <s v="Software"/>
    <m/>
    <s v="Information Technology"/>
    <s v="Software - Licenses"/>
    <s v="CTB Expenses - Consulting"/>
    <s v="Annual Prepaid"/>
    <n v="391950"/>
    <n v="411547.5"/>
    <n v="411547.5"/>
    <n v="544374.99999999988"/>
    <n v="0"/>
    <n v="132827.49999999988"/>
    <n v="132827.49999999988"/>
    <s v="Year 1 of 3: 1/26/26 to 1/25/27 - Capitalizable"/>
    <n v="45364.583333333336"/>
    <n v="45364.583333333336"/>
    <n v="45364.583333333336"/>
    <n v="45364.583333333336"/>
    <n v="45364.583333333336"/>
    <n v="45364.583333333336"/>
    <n v="45364.583333333336"/>
    <n v="45364.583333333336"/>
    <n v="45364.583333333336"/>
    <n v="45364.583333333336"/>
    <n v="45364.583333333336"/>
    <n v="45364.583333333336"/>
    <n v="544374.99999999988"/>
    <n v="317552.08333333331"/>
    <n v="45364.583333333336"/>
    <n v="45364.583333333336"/>
    <n v="45364.583333333336"/>
    <n v="45364.583333333336"/>
    <n v="45364.583333333336"/>
    <n v="45364.583333333336"/>
    <n v="45364.583333333336"/>
    <n v="45364.583333333336"/>
    <n v="45364.583333333336"/>
    <n v="45364.583333333336"/>
    <n v="45364.583333333336"/>
    <n v="45364.583333333336"/>
    <n v="544374.99999999988"/>
    <n v="0"/>
    <n v="0"/>
    <n v="0"/>
    <n v="0"/>
    <n v="0"/>
    <n v="0"/>
    <n v="0"/>
    <n v="0"/>
    <n v="0"/>
    <n v="0"/>
    <n v="0"/>
    <n v="0"/>
    <n v="0"/>
    <s v="Budget v/s Actuals"/>
    <n v="181458.33333333334"/>
  </r>
  <r>
    <x v="0"/>
    <s v="AT&amp;T Corp"/>
    <s v="ACC Business"/>
    <s v="Prj000350"/>
    <s v="Support - Infrastructure for Tech"/>
    <s v="Infrastructure Services, Controls &amp; User Enablement"/>
    <x v="0"/>
    <s v="Monthly"/>
    <s v="Monthly"/>
    <m/>
    <s v="Prj000350-Support - Infrastructure for Tech"/>
    <s v="Non-Labor"/>
    <x v="3"/>
    <s v="Infrastructure"/>
    <s v="Network"/>
    <s v="Information Technology"/>
    <s v="Managed Service - Network"/>
    <s v="Managed Service - Network"/>
    <s v="Monthly Expensed"/>
    <n v="34621"/>
    <n v="36345"/>
    <n v="36345"/>
    <n v="37142.130000000005"/>
    <n v="0"/>
    <n v="797.13000000000466"/>
    <n v="797.13000000000466"/>
    <s v="We are trying to get the invoices from vendor, incorporate new contract"/>
    <n v="3028.75"/>
    <n v="3028.75"/>
    <n v="3028.75"/>
    <n v="3028.75"/>
    <n v="3028.75"/>
    <n v="3028.75"/>
    <n v="3028.75"/>
    <n v="3028.75"/>
    <n v="3028.75"/>
    <n v="3028.75"/>
    <n v="3028.75"/>
    <n v="3028.75"/>
    <n v="36345"/>
    <n v="21201.25"/>
    <n v="3283.4"/>
    <n v="2291.8200000000002"/>
    <n v="4308.16"/>
    <m/>
    <m/>
    <m/>
    <m/>
    <m/>
    <m/>
    <m/>
    <m/>
    <m/>
    <n v="9883.380000000001"/>
    <n v="254.65000000000009"/>
    <n v="-736.92999999999984"/>
    <n v="1279.4099999999999"/>
    <n v="-3028.75"/>
    <n v="-3028.75"/>
    <n v="-3028.75"/>
    <n v="-3028.75"/>
    <n v="-3028.75"/>
    <n v="-3028.75"/>
    <n v="-3028.75"/>
    <n v="-3028.75"/>
    <n v="-3028.75"/>
    <n v="-26461.62"/>
    <s v="Budget v/s actuals"/>
    <n v="9883.380000000001"/>
  </r>
  <r>
    <x v="0"/>
    <s v="Beanfield Technologies, Inc."/>
    <m/>
    <s v="Prj000350"/>
    <s v="Support - Infrastructure for Tech"/>
    <s v="Infrastructure Services, Controls &amp; User Enablement"/>
    <x v="0"/>
    <s v="Monthly"/>
    <s v="Monthly"/>
    <m/>
    <s v="Prj000350-Support - Infrastructure for Tech"/>
    <s v="Non-Labor"/>
    <x v="3"/>
    <s v="Infrastructure"/>
    <m/>
    <s v="Information Technology"/>
    <s v="Managed Service - Network"/>
    <s v="Managed Service - Network"/>
    <s v="Monthly Expensed"/>
    <n v="4028"/>
    <n v="4230"/>
    <n v="4230"/>
    <n v="4469.03"/>
    <n v="0"/>
    <n v="239.02999999999975"/>
    <n v="239.02999999999975"/>
    <m/>
    <n v="353"/>
    <n v="353"/>
    <n v="353"/>
    <n v="353"/>
    <n v="353"/>
    <n v="353"/>
    <n v="353"/>
    <n v="353"/>
    <n v="353"/>
    <n v="353"/>
    <n v="353"/>
    <n v="347"/>
    <n v="4230"/>
    <n v="2465"/>
    <n v="370.83"/>
    <n v="375.95"/>
    <n v="371.55"/>
    <n v="371.55"/>
    <n v="514.15"/>
    <n v="514.15"/>
    <m/>
    <m/>
    <m/>
    <m/>
    <m/>
    <m/>
    <n v="2518.1799999999998"/>
    <n v="17.829999999999984"/>
    <n v="22.949999999999989"/>
    <n v="18.550000000000011"/>
    <n v="18.550000000000011"/>
    <n v="161.14999999999998"/>
    <n v="161.14999999999998"/>
    <n v="-353"/>
    <n v="-353"/>
    <n v="-353"/>
    <n v="-353"/>
    <n v="-353"/>
    <n v="-347"/>
    <n v="-1711.8200000000002"/>
    <m/>
    <n v="1489.8799999999999"/>
  </r>
  <r>
    <x v="0"/>
    <s v="Cogent Canada, Inc."/>
    <m/>
    <s v="Prj000350"/>
    <s v="Support - Infrastructure for Tech"/>
    <s v="Infrastructure Services, Controls &amp; User Enablement"/>
    <x v="0"/>
    <s v="Monthly"/>
    <s v="Monthly"/>
    <m/>
    <s v="Prj000350-Support - Infrastructure for Tech"/>
    <s v="Non-Labor"/>
    <x v="3"/>
    <s v="Infrastructure"/>
    <s v="MS Network"/>
    <s v="Information Technology"/>
    <s v="Managed Service - Network"/>
    <s v="Managed Service - Network"/>
    <s v="Monthly Expensed"/>
    <n v="7239"/>
    <n v="7043"/>
    <n v="7043"/>
    <n v="7241.6659"/>
    <n v="0"/>
    <n v="198.66589999999997"/>
    <n v="198.66589999999997"/>
    <s v="In CAD"/>
    <n v="587"/>
    <n v="587"/>
    <n v="587"/>
    <n v="587"/>
    <n v="587"/>
    <n v="587"/>
    <n v="587"/>
    <n v="587"/>
    <n v="587"/>
    <n v="587"/>
    <n v="587"/>
    <n v="586"/>
    <n v="7043"/>
    <n v="4108"/>
    <n v="620.09"/>
    <n v="628.66"/>
    <n v="627.61749999999995"/>
    <n v="628.64919999999995"/>
    <n v="628.64919999999995"/>
    <n v="859.75"/>
    <m/>
    <m/>
    <m/>
    <m/>
    <m/>
    <m/>
    <n v="3993.4158999999995"/>
    <n v="33.090000000000032"/>
    <n v="41.659999999999968"/>
    <n v="40.61749999999995"/>
    <n v="41.649199999999951"/>
    <n v="41.649199999999951"/>
    <n v="272.75"/>
    <n v="-587"/>
    <n v="-587"/>
    <n v="-587"/>
    <n v="-587"/>
    <n v="-587"/>
    <n v="-586"/>
    <n v="-3049.5841"/>
    <s v="Budget v/s Actuals"/>
    <n v="2505.0166999999997"/>
  </r>
  <r>
    <x v="2"/>
    <s v="Amazon Capital Services, Inc."/>
    <m/>
    <s v="Prj000266"/>
    <s v="Support - Internal Tech Workforce Activities"/>
    <s v="Cos, PMO &amp; Enterprise Technology"/>
    <x v="1"/>
    <s v="NA"/>
    <s v="NA"/>
    <m/>
    <s v="Prj000266-Support - Internal Tech Workforce Activities"/>
    <s v="Non-Labor"/>
    <x v="3"/>
    <s v="Infrastructure"/>
    <m/>
    <s v="Office expense"/>
    <s v="General Office Expense"/>
    <s v="Office Exp / Supplies / Misc Software"/>
    <s v="Annual Expensed"/>
    <n v="278"/>
    <n v="292"/>
    <n v="292"/>
    <n v="292"/>
    <n v="0"/>
    <n v="0"/>
    <n v="0"/>
    <s v="  "/>
    <m/>
    <m/>
    <m/>
    <m/>
    <m/>
    <m/>
    <n v="292"/>
    <m/>
    <m/>
    <m/>
    <m/>
    <m/>
    <n v="292"/>
    <n v="292"/>
    <m/>
    <m/>
    <m/>
    <m/>
    <m/>
    <m/>
    <m/>
    <m/>
    <m/>
    <m/>
    <m/>
    <m/>
    <n v="0"/>
    <n v="0"/>
    <n v="0"/>
    <n v="0"/>
    <n v="0"/>
    <n v="0"/>
    <n v="0"/>
    <n v="-292"/>
    <n v="0"/>
    <n v="0"/>
    <n v="0"/>
    <n v="0"/>
    <n v="0"/>
    <n v="-292"/>
    <m/>
    <n v="0"/>
  </r>
  <r>
    <x v="1"/>
    <s v="General Office Expense - Refer to Concur"/>
    <m/>
    <s v="Prj000266"/>
    <s v="Support - Internal Tech Workforce Activities"/>
    <s v="Cos, PMO &amp; Enterprise Technology"/>
    <x v="1"/>
    <s v="NA"/>
    <s v="NA"/>
    <m/>
    <s v="Prj000266-Support - Internal Tech Workforce Activities"/>
    <s v="Non-Labor"/>
    <x v="3"/>
    <s v="Infrastructure"/>
    <m/>
    <s v="Office expense"/>
    <s v="General Office Expense"/>
    <s v="Office Exp / Supplies / Misc Software/ Printing/ Photocopying/ Stationery"/>
    <s v="Refer to Concur"/>
    <n v="10643"/>
    <n v="2900"/>
    <n v="2900"/>
    <n v="8407.75"/>
    <n v="0"/>
    <n v="5507.75"/>
    <n v="5507.75"/>
    <s v="AI Budget reclass pending"/>
    <m/>
    <n v="17"/>
    <m/>
    <n v="2883"/>
    <m/>
    <m/>
    <m/>
    <m/>
    <m/>
    <m/>
    <m/>
    <m/>
    <n v="2900"/>
    <n v="0"/>
    <m/>
    <n v="16.739999999999998"/>
    <m/>
    <n v="7001"/>
    <n v="1390.01"/>
    <m/>
    <m/>
    <m/>
    <m/>
    <m/>
    <m/>
    <m/>
    <n v="8407.75"/>
    <n v="0"/>
    <n v="-0.26000000000000156"/>
    <n v="0"/>
    <n v="4118"/>
    <n v="1390.01"/>
    <n v="0"/>
    <n v="0"/>
    <n v="0"/>
    <n v="0"/>
    <n v="0"/>
    <n v="0"/>
    <n v="0"/>
    <n v="5507.75"/>
    <s v="Claude purchased by Danny for AI Initiative $6495"/>
    <n v="7017.74"/>
  </r>
  <r>
    <x v="0"/>
    <s v="ICE Benchmark Administration Ltd"/>
    <m/>
    <s v="Prj000469"/>
    <s v="Support - Prod Support for Ops Apps"/>
    <s v="Operations Technology"/>
    <x v="2"/>
    <d v="2026-01-01T00:00:00"/>
    <d v="2026-12-31T00:00:00"/>
    <s v="Libor Historical (may be Tax Invoice)"/>
    <s v="Prj000469-Support - Prod Support for Ops Apps"/>
    <s v="Non-Labor"/>
    <x v="1"/>
    <s v="OOE"/>
    <s v="Libor Historical Data"/>
    <s v="Office expense"/>
    <s v="General Office Expense"/>
    <s v="Office Expense - IT Subscriptions"/>
    <s v="Annual Expensed"/>
    <n v="8000"/>
    <n v="8400"/>
    <n v="8400"/>
    <n v="8000"/>
    <n v="-400"/>
    <n v="0"/>
    <n v="-400"/>
    <s v="For Libor Historical Data tax inovice"/>
    <n v="8400"/>
    <m/>
    <m/>
    <m/>
    <m/>
    <m/>
    <m/>
    <m/>
    <m/>
    <m/>
    <m/>
    <m/>
    <n v="8400"/>
    <n v="0"/>
    <n v="8000"/>
    <m/>
    <m/>
    <m/>
    <m/>
    <m/>
    <m/>
    <m/>
    <m/>
    <m/>
    <m/>
    <m/>
    <n v="8000"/>
    <n v="-400"/>
    <n v="0"/>
    <n v="0"/>
    <n v="0"/>
    <n v="0"/>
    <n v="0"/>
    <n v="0"/>
    <n v="0"/>
    <n v="0"/>
    <n v="0"/>
    <n v="0"/>
    <n v="0"/>
    <n v="-400"/>
    <s v="Budget v/s Actuals"/>
    <n v="8000"/>
  </r>
  <r>
    <x v="0"/>
    <s v="SaferKid, Inc. (FirmScribe)"/>
    <m/>
    <s v="Prj000350"/>
    <s v="Support - Infrastructure for Tech"/>
    <s v="Infrastructure Services, Controls &amp; User Enablement"/>
    <x v="0"/>
    <d v="2026-01-06T00:00:00"/>
    <d v="2027-01-06T00:00:00"/>
    <m/>
    <s v="Prj000350-Support - Infrastructure for Tech"/>
    <s v="Non-Labor"/>
    <x v="3"/>
    <s v="Infrastructure"/>
    <m/>
    <s v="Office expense"/>
    <s v="General Office Expense"/>
    <s v="Office Expense - IT Subscriptions"/>
    <s v="Annual Expensed"/>
    <n v="3000"/>
    <n v="3150"/>
    <n v="3150"/>
    <n v="3000"/>
    <n v="-150"/>
    <n v="0"/>
    <n v="-150"/>
    <s v="  "/>
    <m/>
    <n v="3150"/>
    <m/>
    <m/>
    <m/>
    <m/>
    <m/>
    <m/>
    <m/>
    <m/>
    <m/>
    <m/>
    <n v="3150"/>
    <n v="0"/>
    <m/>
    <n v="3000"/>
    <m/>
    <m/>
    <m/>
    <m/>
    <m/>
    <m/>
    <m/>
    <m/>
    <m/>
    <m/>
    <n v="3000"/>
    <n v="0"/>
    <n v="-150"/>
    <n v="0"/>
    <n v="0"/>
    <n v="0"/>
    <n v="0"/>
    <n v="0"/>
    <n v="0"/>
    <n v="0"/>
    <n v="0"/>
    <n v="0"/>
    <n v="0"/>
    <n v="-150"/>
    <s v="Budget v/s Actuals"/>
    <n v="3000"/>
  </r>
  <r>
    <x v="2"/>
    <s v="Cisco Systems, Inc."/>
    <m/>
    <s v="Prj000350"/>
    <s v="Support - Infrastructure for Tech"/>
    <s v="Infrastructure Services, Controls &amp; User Enablement"/>
    <x v="0"/>
    <s v="NA"/>
    <s v="NA"/>
    <m/>
    <s v="Prj000350-Support - Infrastructure for Tech"/>
    <s v="Non-Labor"/>
    <x v="3"/>
    <s v="Infrastructure"/>
    <s v="General Exp"/>
    <s v="Office expense"/>
    <s v="General Office Expense"/>
    <s v="Office Expense - Telephone &amp; FAX"/>
    <s v="Monthly Expensed"/>
    <n v="1594"/>
    <n v="1674"/>
    <n v="1674"/>
    <n v="0"/>
    <n v="-1674"/>
    <n v="0"/>
    <n v="-1674"/>
    <s v="Webex service  has been cancelled in Dec'25, confirmed by Danny"/>
    <m/>
    <m/>
    <m/>
    <m/>
    <m/>
    <m/>
    <m/>
    <m/>
    <m/>
    <m/>
    <m/>
    <m/>
    <n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s v="Webex service  has been cancelled in Dec'25, confirmed by Danny"/>
    <n v="0"/>
  </r>
  <r>
    <x v="2"/>
    <s v="j2 Cloud Services, Inc."/>
    <m/>
    <s v="Prj000350"/>
    <s v="Support - Infrastructure for Tech"/>
    <s v="Infrastructure Services, Controls &amp; User Enablement"/>
    <x v="0"/>
    <s v="Monthly"/>
    <s v="Monthly"/>
    <m/>
    <s v="Prj000350-Support - Infrastructure for Tech"/>
    <s v="Non-Labor"/>
    <x v="3"/>
    <s v="Infrastructure"/>
    <m/>
    <s v="Office expense"/>
    <s v="General Office Expense"/>
    <s v="Office Expense - Telephone &amp; FAX"/>
    <s v="Monthly Expensed"/>
    <n v="17438"/>
    <n v="18865"/>
    <n v="18865"/>
    <n v="19510.98"/>
    <n v="0"/>
    <n v="645.97999999999956"/>
    <n v="645.97999999999956"/>
    <s v="  "/>
    <n v="1450.9"/>
    <n v="1585"/>
    <n v="1500"/>
    <n v="1500"/>
    <n v="1500"/>
    <n v="1500"/>
    <n v="1500"/>
    <n v="1500"/>
    <n v="1500"/>
    <n v="1500"/>
    <n v="1500"/>
    <n v="2329"/>
    <n v="18864.900000000001"/>
    <n v="11329"/>
    <n v="1450.9"/>
    <n v="1585"/>
    <n v="1823.33"/>
    <n v="1822.75"/>
    <m/>
    <m/>
    <m/>
    <m/>
    <m/>
    <m/>
    <m/>
    <m/>
    <n v="6681.98"/>
    <n v="0"/>
    <n v="0"/>
    <n v="323.32999999999993"/>
    <n v="322.75"/>
    <n v="-1500"/>
    <n v="-1500"/>
    <n v="-1500"/>
    <n v="-1500"/>
    <n v="-1500"/>
    <n v="-1500"/>
    <n v="-1500"/>
    <n v="-2329"/>
    <n v="-12182.92"/>
    <s v="Budget v/s Actuals"/>
    <n v="6681.98"/>
  </r>
  <r>
    <x v="2"/>
    <s v="LoopUp"/>
    <m/>
    <s v="Prj000350"/>
    <s v="Support - Infrastructure for Tech"/>
    <s v="Infrastructure Services, Controls &amp; User Enablement"/>
    <x v="0"/>
    <s v="Monthly"/>
    <s v="Monthly"/>
    <m/>
    <s v="Prj000350-Support - Infrastructure for Tech"/>
    <s v="Non-Labor"/>
    <x v="3"/>
    <s v="Infrastructure"/>
    <m/>
    <s v="Office expense"/>
    <s v="General Office Expense"/>
    <s v="Office Expense - Telephone &amp; FAX"/>
    <s v="Monthly Expensed"/>
    <n v="32897.4"/>
    <n v="34537"/>
    <n v="34537"/>
    <n v="33853.833333333336"/>
    <n v="-683.16666666666424"/>
    <n v="0"/>
    <n v="-683.16666666666424"/>
    <m/>
    <n v="2878.0833333333335"/>
    <n v="2878.0833333333335"/>
    <n v="2878.0833333333335"/>
    <n v="2878.0833333333335"/>
    <n v="2878.0833333333335"/>
    <n v="2878.0833333333335"/>
    <n v="2878.0833333333335"/>
    <n v="2878.0833333333335"/>
    <n v="2878.0833333333335"/>
    <n v="2878.0833333333335"/>
    <n v="2878.0833333333335"/>
    <n v="2878.0833333333335"/>
    <n v="34536.999999999993"/>
    <n v="20146.583333333332"/>
    <n v="2741.45"/>
    <n v="2741.45"/>
    <n v="2741.45"/>
    <n v="2741.45"/>
    <n v="2741.45"/>
    <m/>
    <m/>
    <m/>
    <m/>
    <m/>
    <m/>
    <m/>
    <n v="13707.25"/>
    <n v="-136.63333333333367"/>
    <n v="-136.63333333333367"/>
    <n v="-136.63333333333367"/>
    <n v="-136.63333333333367"/>
    <n v="-136.63333333333367"/>
    <n v="-2878.0833333333335"/>
    <n v="-2878.0833333333335"/>
    <n v="-2878.0833333333335"/>
    <n v="-2878.0833333333335"/>
    <n v="-2878.0833333333335"/>
    <n v="-2878.0833333333335"/>
    <n v="-2878.0833333333335"/>
    <n v="-20829.750000000004"/>
    <s v="Budget v/s Actuals"/>
    <n v="10965.8"/>
  </r>
  <r>
    <x v="2"/>
    <s v="Verizon Wireless Services LLC"/>
    <m/>
    <s v="Prj000350"/>
    <s v="Support - Infrastructure for Tech"/>
    <s v="Infrastructure Services, Controls &amp; User Enablement"/>
    <x v="0"/>
    <s v="Monthly"/>
    <s v="Monthly"/>
    <m/>
    <s v="Prj000350-Support - Infrastructure for Tech"/>
    <s v="Non-Labor"/>
    <x v="3"/>
    <s v="Infrastructure"/>
    <m/>
    <s v="Office expense"/>
    <s v="General Office Expense"/>
    <s v="Office Expense - Telephone &amp; FAX"/>
    <s v="Monthly Expensed"/>
    <n v="401632"/>
    <n v="421713.07500000007"/>
    <n v="421713.07500000007"/>
    <n v="407892.6966666666"/>
    <n v="-13820.378333333472"/>
    <n v="0"/>
    <n v="-13820.378333333472"/>
    <m/>
    <n v="30215.78"/>
    <n v="35893.14"/>
    <n v="35143.583333333336"/>
    <n v="35143.583333333336"/>
    <n v="35143.583333333336"/>
    <n v="35143.583333333336"/>
    <n v="35143.583333333336"/>
    <n v="35143.583333333336"/>
    <n v="35143.583333333336"/>
    <n v="35143.583333333336"/>
    <n v="35143.583333333336"/>
    <n v="39311.583333333299"/>
    <n v="421712.7533333333"/>
    <n v="250173.08333333331"/>
    <n v="30215.78"/>
    <n v="35893.14"/>
    <n v="28032.44"/>
    <n v="28434.67"/>
    <m/>
    <m/>
    <m/>
    <m/>
    <m/>
    <m/>
    <m/>
    <m/>
    <n v="122576.03"/>
    <n v="0"/>
    <n v="0"/>
    <n v="-7111.1433333333371"/>
    <n v="-6708.9133333333375"/>
    <n v="-35143.583333333336"/>
    <n v="-35143.583333333336"/>
    <n v="-35143.583333333336"/>
    <n v="-35143.583333333336"/>
    <n v="-35143.583333333336"/>
    <n v="-35143.583333333336"/>
    <n v="-35143.583333333336"/>
    <n v="-39311.583333333299"/>
    <n v="-299136.72333333339"/>
    <m/>
    <n v="122576.03"/>
  </r>
  <r>
    <x v="0"/>
    <s v="ASX Benchmarks PTY limited"/>
    <m/>
    <s v="Prj000469"/>
    <s v="Support - Prod Support for Ops Apps"/>
    <s v="Operations Technology"/>
    <x v="2"/>
    <d v="2026-01-01T00:00:00"/>
    <d v="2026-12-31T00:00:00"/>
    <m/>
    <s v="Prj000469-Support - Prod Support for Ops Apps"/>
    <s v="Non-Labor"/>
    <x v="1"/>
    <s v="OOE"/>
    <s v="Subscriptions"/>
    <s v="Subscription Services"/>
    <s v="Subscription Services"/>
    <s v="Office Expense"/>
    <s v="Annual Expensed"/>
    <n v="4914"/>
    <n v="4409"/>
    <n v="4409"/>
    <n v="4982.8"/>
    <n v="0"/>
    <n v="573.80000000000018"/>
    <n v="573.80000000000018"/>
    <s v="in AUD"/>
    <n v="4409"/>
    <m/>
    <m/>
    <m/>
    <m/>
    <m/>
    <m/>
    <m/>
    <m/>
    <m/>
    <m/>
    <m/>
    <n v="4409"/>
    <n v="0"/>
    <n v="4982.8"/>
    <m/>
    <m/>
    <m/>
    <m/>
    <m/>
    <m/>
    <m/>
    <m/>
    <m/>
    <m/>
    <m/>
    <n v="4982.8"/>
    <n v="573.80000000000018"/>
    <n v="0"/>
    <n v="0"/>
    <n v="0"/>
    <n v="0"/>
    <n v="0"/>
    <n v="0"/>
    <n v="0"/>
    <n v="0"/>
    <n v="0"/>
    <n v="0"/>
    <n v="0"/>
    <n v="573.80000000000018"/>
    <s v="Budget v/s Actuals"/>
    <n v="4982.8"/>
  </r>
  <r>
    <x v="0"/>
    <s v="Fitch Solutions, Inc."/>
    <m/>
    <s v="Prj000290"/>
    <s v="Support - Asset Management Applications"/>
    <s v="Asset Management Tech"/>
    <x v="3"/>
    <m/>
    <m/>
    <m/>
    <s v="Prj000290-Support - Asset Management Applications"/>
    <s v="Non-Labor"/>
    <x v="1"/>
    <s v="OOE"/>
    <m/>
    <s v="Subscription Services"/>
    <s v="Subscription Services"/>
    <s v="Office Expense"/>
    <s v="Annual Expensed"/>
    <n v="342"/>
    <n v="359"/>
    <n v="359"/>
    <n v="359"/>
    <n v="0"/>
    <n v="0"/>
    <n v="0"/>
    <s v="  "/>
    <m/>
    <m/>
    <n v="359"/>
    <m/>
    <m/>
    <m/>
    <m/>
    <m/>
    <m/>
    <m/>
    <m/>
    <m/>
    <n v="359"/>
    <n v="0"/>
    <m/>
    <m/>
    <m/>
    <m/>
    <m/>
    <m/>
    <m/>
    <m/>
    <m/>
    <m/>
    <m/>
    <m/>
    <n v="0"/>
    <n v="0"/>
    <n v="0"/>
    <n v="-359"/>
    <n v="0"/>
    <n v="0"/>
    <n v="0"/>
    <n v="0"/>
    <n v="0"/>
    <n v="0"/>
    <n v="0"/>
    <n v="0"/>
    <n v="0"/>
    <n v="-359"/>
    <m/>
    <n v="0"/>
  </r>
  <r>
    <x v="0"/>
    <s v="THOMSON REUTERS MARKETS LLC"/>
    <s v="LSEG / Refinitive"/>
    <s v="Prj000469"/>
    <s v="Support - Prod Support for Ops Apps"/>
    <s v="Operations Technology"/>
    <x v="2"/>
    <m/>
    <m/>
    <m/>
    <s v="Prj000469-Support - Prod Support for Ops Apps"/>
    <s v="Non-Labor"/>
    <x v="1"/>
    <s v="OOE"/>
    <s v="Market Data"/>
    <s v="Subscription Services"/>
    <s v="Subscription Services"/>
    <s v="Office Expense"/>
    <s v="Quarterly Expensed"/>
    <n v="64257.05"/>
    <n v="67470"/>
    <n v="67470"/>
    <n v="67964.899999999994"/>
    <n v="0"/>
    <n v="494.89999999999418"/>
    <n v="494.89999999999418"/>
    <s v="  "/>
    <n v="16878.150000000001"/>
    <m/>
    <m/>
    <n v="16867.5"/>
    <m/>
    <m/>
    <n v="16867.5"/>
    <m/>
    <m/>
    <n v="16867.5"/>
    <m/>
    <n v="-13"/>
    <n v="67467.649999999994"/>
    <n v="33722"/>
    <n v="16878.150000000001"/>
    <m/>
    <m/>
    <n v="17364.75"/>
    <m/>
    <m/>
    <m/>
    <m/>
    <m/>
    <m/>
    <m/>
    <m/>
    <n v="34242.9"/>
    <n v="0"/>
    <n v="0"/>
    <n v="0"/>
    <n v="497.25"/>
    <n v="0"/>
    <n v="0"/>
    <n v="-16867.5"/>
    <n v="0"/>
    <n v="0"/>
    <n v="-16867.5"/>
    <n v="0"/>
    <n v="13"/>
    <n v="-33224.75"/>
    <m/>
    <n v="34242.9"/>
  </r>
  <r>
    <x v="0"/>
    <s v="TSX Inc."/>
    <m/>
    <s v="Prj000469"/>
    <s v="Support - Prod Support for Ops Apps"/>
    <s v="Operations Technology"/>
    <x v="2"/>
    <d v="2025-11-01T00:00:00"/>
    <d v="2026-10-31T00:00:00"/>
    <m/>
    <s v="Prj000469-Support - Prod Support for Ops Apps"/>
    <s v="Non-Labor"/>
    <x v="1"/>
    <s v="OOE"/>
    <m/>
    <s v="Subscription Services"/>
    <s v="Subscription Services"/>
    <s v="Office Expense"/>
    <s v="Annual Expensed"/>
    <n v="10000"/>
    <n v="25000"/>
    <n v="25000"/>
    <n v="25000"/>
    <n v="0"/>
    <n v="0"/>
    <n v="0"/>
    <s v="  "/>
    <m/>
    <m/>
    <m/>
    <m/>
    <m/>
    <m/>
    <m/>
    <m/>
    <m/>
    <m/>
    <n v="25000"/>
    <m/>
    <n v="25000"/>
    <n v="2500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-25000"/>
    <n v="0"/>
    <n v="-25000"/>
    <m/>
    <n v="0"/>
  </r>
  <r>
    <x v="2"/>
    <s v="CDW DIRECT LLC"/>
    <m/>
    <s v="Prj000350"/>
    <s v="Support - Infrastructure for Tech"/>
    <s v="Infrastructure Services, Controls &amp; User Enablement"/>
    <x v="0"/>
    <s v="NA"/>
    <s v="NA"/>
    <m/>
    <s v="Prj000350-Support - Infrastructure for Tech"/>
    <s v="Non-Labor"/>
    <x v="7"/>
    <s v="Hardware"/>
    <m/>
    <s v="Information Technology"/>
    <s v="Hardware - Desktop Equipment"/>
    <s v="Hardware - Desktop Equipment"/>
    <s v="Monthly Expensed"/>
    <n v="79902.28"/>
    <n v="34646"/>
    <n v="34646"/>
    <n v="25341.853333333336"/>
    <n v="-9304.1466666666638"/>
    <n v="0"/>
    <n v="-9304.1466666666638"/>
    <m/>
    <n v="2887.1666666666665"/>
    <n v="2887.1666666666665"/>
    <n v="2887.1666666666665"/>
    <n v="2887.1666666666665"/>
    <n v="2887.1666666666665"/>
    <n v="2887.1666666666665"/>
    <n v="2887.1666666666665"/>
    <n v="2887.1666666666665"/>
    <n v="2887.1666666666665"/>
    <n v="2887.1666666666665"/>
    <n v="2887.1666666666665"/>
    <n v="2887.1666666666665"/>
    <n v="34646.000000000007"/>
    <n v="20210.166666666668"/>
    <n v="971.52"/>
    <n v="142.37"/>
    <n v="349.61"/>
    <n v="781.02"/>
    <m/>
    <m/>
    <m/>
    <m/>
    <m/>
    <m/>
    <m/>
    <m/>
    <n v="2244.52"/>
    <n v="-1915.6466666666665"/>
    <n v="-2744.7966666666666"/>
    <n v="-2537.5566666666664"/>
    <n v="-2106.1466666666665"/>
    <n v="-2887.1666666666665"/>
    <n v="-2887.1666666666665"/>
    <n v="-2887.1666666666665"/>
    <n v="-2887.1666666666665"/>
    <n v="-2887.1666666666665"/>
    <n v="-2887.1666666666665"/>
    <n v="-2887.1666666666665"/>
    <n v="-2887.1666666666665"/>
    <n v="-32401.480000000003"/>
    <s v="Budget v/s Actuals, Techsmith renewal for 1 year included in April"/>
    <n v="2244.52"/>
  </r>
  <r>
    <x v="0"/>
    <s v="SHI International Corp"/>
    <s v="SHI"/>
    <s v="Prj000350"/>
    <s v="Support - Infrastructure for Tech"/>
    <s v="Infrastructure Services, Controls &amp; User Enablement"/>
    <x v="0"/>
    <d v="2026-01-30T00:00:00"/>
    <d v="2027-01-29T00:00:00"/>
    <s v="Papercut SaaS Maintenance"/>
    <s v="Prj000350-Support - Infrastructure for Tech"/>
    <s v="Non-Labor"/>
    <x v="7"/>
    <s v="Hardware"/>
    <m/>
    <s v="Information Technology"/>
    <s v="Hardware - Desktop Equipment"/>
    <s v="Hardware - Desktop Equipment"/>
    <s v="Annual Expensed"/>
    <n v="0"/>
    <n v="0"/>
    <n v="0"/>
    <n v="15583.84"/>
    <n v="0"/>
    <n v="15583.84"/>
    <n v="15583.84"/>
    <s v="Not part of original budget; risk added, category updated from software to hardware since laptop purchase,To be confirmed if facilities will take the cost"/>
    <m/>
    <m/>
    <m/>
    <m/>
    <m/>
    <m/>
    <m/>
    <m/>
    <m/>
    <m/>
    <m/>
    <m/>
    <n v="0"/>
    <n v="0"/>
    <n v="0"/>
    <n v="0"/>
    <n v="6769.5300000000007"/>
    <n v="8814.31"/>
    <n v="0"/>
    <n v="7764.78"/>
    <n v="0"/>
    <n v="0"/>
    <n v="0"/>
    <n v="0"/>
    <n v="0"/>
    <n v="0"/>
    <n v="23348.62"/>
    <n v="0"/>
    <n v="0"/>
    <n v="6769.5300000000007"/>
    <n v="8814.31"/>
    <n v="0"/>
    <n v="7764.78"/>
    <n v="0"/>
    <n v="0"/>
    <n v="0"/>
    <n v="0"/>
    <n v="0"/>
    <n v="0"/>
    <n v="23348.62"/>
    <s v="Surface laptop 7, Logitech keyboard and Mouse, Starlite Cable, Monitor unbudgeted"/>
    <n v="15583.84"/>
  </r>
  <r>
    <x v="0"/>
    <s v="SHI International Corp"/>
    <s v="SHI"/>
    <s v="Prj000350"/>
    <s v="Support - Infrastructure for Tech"/>
    <s v="Infrastructure Services, Controls &amp; User Enablement"/>
    <x v="0"/>
    <s v="Monthly"/>
    <s v="Monthly"/>
    <s v="Variable Monthly Usage"/>
    <s v="Prj000350-Support - Infrastructure for Tech"/>
    <s v="Non-Labor"/>
    <x v="3"/>
    <s v="Infrastructure"/>
    <s v="MS Cloud"/>
    <s v="Information Technology"/>
    <s v="Managed Service - Cloud"/>
    <s v="Managed Service - Cloud"/>
    <s v="Monthly Expensed"/>
    <n v="211"/>
    <n v="0"/>
    <n v="0"/>
    <n v="139.94"/>
    <n v="0"/>
    <n v="139.94"/>
    <n v="139.94"/>
    <s v="Variable Monthly Usage - Not budgeted"/>
    <m/>
    <m/>
    <m/>
    <m/>
    <m/>
    <m/>
    <m/>
    <m/>
    <m/>
    <m/>
    <m/>
    <m/>
    <n v="0"/>
    <n v="0"/>
    <n v="26.13"/>
    <n v="24.41"/>
    <n v="23.21"/>
    <n v="43.39"/>
    <n v="22.8"/>
    <m/>
    <m/>
    <m/>
    <m/>
    <m/>
    <m/>
    <m/>
    <n v="139.94"/>
    <n v="26.13"/>
    <n v="24.41"/>
    <n v="23.21"/>
    <n v="43.39"/>
    <n v="22.8"/>
    <n v="0"/>
    <n v="0"/>
    <n v="0"/>
    <n v="0"/>
    <n v="0"/>
    <n v="0"/>
    <n v="0"/>
    <n v="139.94"/>
    <s v="Hard Risk, unbudgeted"/>
    <n v="117.14"/>
  </r>
  <r>
    <x v="2"/>
    <s v="SHI International Corp"/>
    <s v="SHI"/>
    <s v="Prj000467"/>
    <s v="Support - Enterprise Tech Helpdesk"/>
    <s v="Tech Shared Services"/>
    <x v="5"/>
    <s v="NA"/>
    <s v="NA"/>
    <m/>
    <s v="Prj000467-Support - Enterprise Tech Helpdesk"/>
    <s v="Non-Labor"/>
    <x v="7"/>
    <s v="Hardware"/>
    <m/>
    <s v="Information Technology"/>
    <s v="Hardware - Desktop Equipment"/>
    <s v="Hardware - Desktop Equipment"/>
    <s v="Quarterly Expensed"/>
    <n v="77705"/>
    <n v="81590"/>
    <n v="81590"/>
    <n v="66307.210000000006"/>
    <n v="-15282.789999999994"/>
    <n v="0"/>
    <n v="-15282.789999999994"/>
    <m/>
    <m/>
    <m/>
    <n v="20397.5"/>
    <m/>
    <m/>
    <n v="20397.5"/>
    <m/>
    <m/>
    <n v="20397.5"/>
    <m/>
    <m/>
    <n v="20397.5"/>
    <n v="81590"/>
    <n v="61192.5"/>
    <m/>
    <m/>
    <n v="5114.71"/>
    <m/>
    <m/>
    <m/>
    <m/>
    <m/>
    <m/>
    <m/>
    <m/>
    <m/>
    <n v="5114.71"/>
    <n v="0"/>
    <n v="0"/>
    <n v="-15282.79"/>
    <n v="0"/>
    <n v="0"/>
    <n v="-20397.5"/>
    <n v="0"/>
    <n v="0"/>
    <n v="-20397.5"/>
    <n v="0"/>
    <n v="0"/>
    <n v="-20397.5"/>
    <n v="-76475.290000000008"/>
    <s v="Laptop purchase"/>
    <n v="5114.71"/>
  </r>
  <r>
    <x v="0"/>
    <s v="Sky Road"/>
    <m/>
    <s v="Prj000228"/>
    <s v="Implement - Portfolio Optimization Tool for LC"/>
    <s v="Asset Management Tech"/>
    <x v="3"/>
    <d v="2025-10-01T00:00:00"/>
    <d v="2026-09-30T00:00:00"/>
    <m/>
    <s v="Prj000228-Implement - Portfolio Optimization Tool for LC"/>
    <s v="Non-Labor"/>
    <x v="0"/>
    <s v="Software"/>
    <m/>
    <s v="Information Technology"/>
    <s v="Software - Core"/>
    <s v="Software - Core"/>
    <s v="Annual Prepaid"/>
    <n v="37500"/>
    <n v="160000"/>
    <n v="160000"/>
    <n v="160000"/>
    <n v="0"/>
    <n v="0"/>
    <n v="0"/>
    <s v="Capitalizable"/>
    <n v="12500"/>
    <n v="12500"/>
    <n v="12500"/>
    <n v="12500"/>
    <n v="12500"/>
    <n v="12500"/>
    <n v="12500"/>
    <n v="12500"/>
    <n v="12500"/>
    <n v="15833"/>
    <n v="15833"/>
    <n v="15834"/>
    <n v="160000"/>
    <n v="97500"/>
    <n v="12500"/>
    <n v="12500"/>
    <n v="12500"/>
    <n v="12500"/>
    <n v="12500"/>
    <n v="12500"/>
    <n v="12500"/>
    <n v="12500"/>
    <n v="12500"/>
    <m/>
    <m/>
    <m/>
    <n v="112500"/>
    <n v="0"/>
    <n v="0"/>
    <n v="0"/>
    <n v="0"/>
    <n v="0"/>
    <n v="0"/>
    <n v="0"/>
    <n v="0"/>
    <n v="0"/>
    <n v="-15833"/>
    <n v="-15833"/>
    <n v="-15834"/>
    <n v="-47500"/>
    <m/>
    <n v="50000"/>
  </r>
  <r>
    <x v="0"/>
    <s v="Coforge DPA NA Inc."/>
    <m/>
    <s v="Prj000556"/>
    <s v="Implement - QA CoE to Additional Platforms"/>
    <s v="Tech Shared Services"/>
    <x v="4"/>
    <m/>
    <m/>
    <m/>
    <s v="Prj000556-Implement - QA CoE to Additional Platforms"/>
    <s v="Labor"/>
    <x v="5"/>
    <s v="RTB- FPC"/>
    <m/>
    <s v="Outsourced"/>
    <s v="Run the Business Contractors and Outsource Services"/>
    <s v="RTB Expenses - Contractor"/>
    <s v="New 2026 BoW"/>
    <n v="0"/>
    <n v="250000"/>
    <n v="250000"/>
    <n v="150000"/>
    <n v="-100000"/>
    <n v="0"/>
    <n v="-100000"/>
    <s v="New 2026 BoW"/>
    <m/>
    <m/>
    <m/>
    <m/>
    <m/>
    <m/>
    <m/>
    <m/>
    <m/>
    <m/>
    <m/>
    <n v="150000"/>
    <n v="150000"/>
    <n v="15000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-150000"/>
    <n v="-150000"/>
    <s v="Placeholder funds for new initiatives have been forecasted as per Leon's instruction for utilisation and potential opportunities"/>
    <n v="0"/>
  </r>
  <r>
    <x v="0"/>
    <s v="Coforge DPA NA Inc."/>
    <m/>
    <s v="Prj000353"/>
    <s v="Implement - L1/L2 CoE for Additional Platforms"/>
    <s v="Tech Shared Services"/>
    <x v="5"/>
    <m/>
    <m/>
    <m/>
    <s v="Prj000353-Implement - L1/L2 CoE for Additional Platforms"/>
    <s v="Labor"/>
    <x v="2"/>
    <s v="RTB- MS"/>
    <m/>
    <s v="Outsourced"/>
    <s v="Run the Business Contractors and Outsource Services"/>
    <s v="RTB Expenses - Contractor"/>
    <s v="New 2026 BoW"/>
    <n v="0"/>
    <n v="165000"/>
    <n v="165000"/>
    <n v="165000"/>
    <n v="0"/>
    <n v="0"/>
    <n v="0"/>
    <s v="New 2026 BoW"/>
    <m/>
    <m/>
    <m/>
    <m/>
    <m/>
    <m/>
    <m/>
    <m/>
    <m/>
    <m/>
    <m/>
    <n v="165000"/>
    <n v="165000"/>
    <n v="16500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-165000"/>
    <n v="-165000"/>
    <s v="Placeholder funds for new initiatives have been forecasted as per Leon's instruction for utilisation and potential opportunities"/>
    <n v="0"/>
  </r>
  <r>
    <x v="0"/>
    <s v="Finastra Technology, Inc"/>
    <s v="LIQ"/>
    <s v="Prj000489"/>
    <s v="Implement - Strategic Modules for LIQ"/>
    <s v="Operations Technology"/>
    <x v="2"/>
    <m/>
    <m/>
    <m/>
    <s v="Prj000489-Implement - Strategic Modules for LIQ"/>
    <s v="Labor"/>
    <x v="5"/>
    <s v="RTB- FPC"/>
    <m/>
    <s v="Information Technology"/>
    <s v="Managed Service - Core"/>
    <s v="RTB Expenses - Contractor"/>
    <s v="New 2026 BoW"/>
    <n v="0"/>
    <n v="50000"/>
    <n v="50000"/>
    <n v="0"/>
    <n v="-50000"/>
    <n v="0"/>
    <n v="-50000"/>
    <s v="New 2026 BoW (Capitalizable)"/>
    <m/>
    <m/>
    <m/>
    <m/>
    <m/>
    <m/>
    <m/>
    <m/>
    <m/>
    <m/>
    <m/>
    <m/>
    <n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s v="Placeholder funds for new initiatives have been forecasted as per Leon's instruction for utilisation and potential opportunities"/>
    <n v="0"/>
  </r>
  <r>
    <x v="0"/>
    <s v="MARKIT NORTH AMERICA, INC."/>
    <s v="S&amp;P Global"/>
    <s v="Prj000482"/>
    <s v="Implement - WSO Own Instance (AM)"/>
    <s v="Operations Technology"/>
    <x v="2"/>
    <m/>
    <m/>
    <m/>
    <s v="Prj000482-Implement - WSO Own Instance (AM)"/>
    <s v="Labor"/>
    <x v="5"/>
    <s v="RTB- FPC"/>
    <m/>
    <s v="Information Technology"/>
    <s v="Managed Service - Core"/>
    <s v="RTB Expenses - Contractor"/>
    <s v="New 2026 BoW"/>
    <m/>
    <n v="850000"/>
    <n v="499600"/>
    <n v="163600"/>
    <n v="-336000"/>
    <n v="0"/>
    <n v="-336000"/>
    <s v="New 2026 BoW"/>
    <m/>
    <m/>
    <m/>
    <n v="10000"/>
    <m/>
    <m/>
    <m/>
    <m/>
    <m/>
    <m/>
    <m/>
    <n v="143600"/>
    <n v="153600"/>
    <n v="143600"/>
    <m/>
    <m/>
    <n v="10000"/>
    <m/>
    <m/>
    <m/>
    <m/>
    <m/>
    <m/>
    <m/>
    <m/>
    <m/>
    <n v="10000"/>
    <n v="0"/>
    <n v="0"/>
    <n v="10000"/>
    <n v="-10000"/>
    <n v="0"/>
    <n v="0"/>
    <n v="0"/>
    <n v="0"/>
    <n v="0"/>
    <n v="0"/>
    <n v="0"/>
    <n v="-143600"/>
    <n v="-143600"/>
    <s v="Placeholder funds for new initiatives have been forecasted as per Leon's instruction for utilisation and potential opportunities"/>
    <n v="10000"/>
  </r>
  <r>
    <x v="0"/>
    <s v="Indus Valley Partners Corporation"/>
    <m/>
    <s v="Prj000482"/>
    <s v="Implement - WSO Own Instance (AM)"/>
    <s v="Operations Technology"/>
    <x v="2"/>
    <d v="2026-05-15T00:00:00"/>
    <d v="2026-07-31T00:00:00"/>
    <m/>
    <s v="Prj000482-Implement - WSO Own Instance (AM)"/>
    <s v="Labor"/>
    <x v="5"/>
    <s v="RTB- FPC"/>
    <m/>
    <s v="Information Technology"/>
    <s v="Managed Service - Core"/>
    <s v="RTB Expenses - Contractor"/>
    <s v="Monthly Expensed"/>
    <m/>
    <n v="0"/>
    <n v="120000"/>
    <n v="120000"/>
    <n v="0"/>
    <n v="0"/>
    <n v="0"/>
    <s v="WSO Migration – IVP Apps Integration, New 2026 BoW utilised"/>
    <m/>
    <m/>
    <m/>
    <m/>
    <n v="40000"/>
    <n v="40000"/>
    <n v="40000"/>
    <m/>
    <m/>
    <m/>
    <m/>
    <m/>
    <n v="120000"/>
    <n v="80000"/>
    <m/>
    <m/>
    <m/>
    <m/>
    <m/>
    <m/>
    <m/>
    <m/>
    <m/>
    <m/>
    <m/>
    <m/>
    <n v="0"/>
    <n v="0"/>
    <n v="0"/>
    <n v="0"/>
    <n v="0"/>
    <n v="-40000"/>
    <n v="-40000"/>
    <n v="-40000"/>
    <n v="0"/>
    <n v="0"/>
    <n v="0"/>
    <n v="0"/>
    <n v="0"/>
    <n v="-120000"/>
    <s v="New FPC &amp; T&amp;M contract with IVP for WSO Migration, we have allocated unutilised funds from Markit to this contract and not considered this as risk"/>
    <n v="0"/>
  </r>
  <r>
    <x v="0"/>
    <s v="MARKIT NORTH AMERICA, INC."/>
    <s v="S&amp;P Global"/>
    <s v="Prj000211"/>
    <s v="Implement - WSO Balance Sheet Mig &amp; Reporting"/>
    <s v="Operations Technology"/>
    <x v="2"/>
    <m/>
    <m/>
    <m/>
    <s v="Prj000211-Implement - WSO Balance Sheet Mig &amp; Reporting"/>
    <s v="Labor"/>
    <x v="5"/>
    <s v="RTB- FPC"/>
    <m/>
    <s v="Information Technology"/>
    <s v="Managed Service - Core"/>
    <s v="RTB Expenses - Contractor"/>
    <s v="New 2026 BoW"/>
    <m/>
    <n v="500000"/>
    <n v="500000"/>
    <n v="0"/>
    <n v="-500000"/>
    <n v="0"/>
    <n v="-500000"/>
    <s v="New 2026 BoW (Capitalizable)  Full opportunity as per Leon"/>
    <m/>
    <m/>
    <m/>
    <m/>
    <m/>
    <m/>
    <m/>
    <m/>
    <m/>
    <m/>
    <m/>
    <m/>
    <n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s v="Placeholder funds for new initiatives have been forecasted as per Leon's instruction for utilisation and potential opportunities"/>
    <n v="0"/>
  </r>
  <r>
    <x v="0"/>
    <s v="Indus Valley Partners Corporation"/>
    <s v="IVP"/>
    <s v="Prj000477"/>
    <s v="Implement - Odyssey Reporting &amp; Exception Mgmt"/>
    <s v="Enterprise Architecture, Data Analytics &amp; AI"/>
    <x v="5"/>
    <m/>
    <m/>
    <s v="New FPC BOW"/>
    <s v="Prj000477-Implement - Odyssey Reporting &amp; Exception Mgmt"/>
    <s v="Labor"/>
    <x v="5"/>
    <s v="RTB- FPC"/>
    <m/>
    <s v="Outsourced"/>
    <s v="Run the Business Contractors and Outsource Services"/>
    <s v="RTB Expenses - Contractor"/>
    <s v="New 2026 BoW"/>
    <n v="0"/>
    <n v="600000"/>
    <n v="600000"/>
    <n v="600000"/>
    <n v="0"/>
    <n v="0"/>
    <n v="0"/>
    <s v="New 2026 BoW (Capitalizable)"/>
    <m/>
    <m/>
    <m/>
    <m/>
    <m/>
    <m/>
    <m/>
    <m/>
    <m/>
    <m/>
    <m/>
    <n v="600000"/>
    <n v="600000"/>
    <n v="60000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-600000"/>
    <n v="-600000"/>
    <s v="Placeholder funds for new initiatives have been forecasted as per Leon's instruction for utilisation and potential opportunities"/>
    <n v="0"/>
  </r>
  <r>
    <x v="0"/>
    <s v="Indus Valley Partners Corporation"/>
    <s v="IVP"/>
    <s v="Prj000548"/>
    <s v="Implement - Reporting for Internal Audit"/>
    <s v="Enterprise Architecture, Data Analytics &amp; AI"/>
    <x v="5"/>
    <m/>
    <m/>
    <s v="New FPC BOW"/>
    <s v="Prj000548-Implement - Reporting for Internal Audit"/>
    <s v="Labor"/>
    <x v="5"/>
    <s v="RTB- FPC"/>
    <m/>
    <s v="Outsourced"/>
    <s v="Run the Business Contractors and Outsource Services"/>
    <s v="RTB Expenses - Contractor"/>
    <s v="New 2026 BoW"/>
    <n v="0"/>
    <n v="500000"/>
    <n v="500000"/>
    <n v="0"/>
    <n v="-500000"/>
    <n v="0"/>
    <n v="-500000"/>
    <s v="New 2026 BoW full opportunity as per Leon"/>
    <m/>
    <m/>
    <m/>
    <m/>
    <m/>
    <m/>
    <m/>
    <m/>
    <m/>
    <m/>
    <m/>
    <m/>
    <n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s v="Placeholder funds for new initiatives have been forecasted as per Leon's instruction for utilisation and potential opportunities"/>
    <n v="0"/>
  </r>
  <r>
    <x v="0"/>
    <s v="NewRocket, LLC"/>
    <s v="ServiceNow Liac"/>
    <s v="Prj000447"/>
    <s v="Implement - Minor Enhancements SNOW - Phase 2"/>
    <s v="Infrastructure Services, Controls &amp; User Enablement"/>
    <x v="0"/>
    <d v="2026-01-01T00:00:00"/>
    <d v="2026-06-21T00:00:00"/>
    <s v="ServiceNow"/>
    <s v="Prj000447-Implement - Minor Enhancements SNOW - Phase 2"/>
    <s v="Labor"/>
    <x v="2"/>
    <s v="RTB- MS"/>
    <s v="Managed Services"/>
    <s v="Information Technology"/>
    <s v="Managed Service - Core"/>
    <s v="Managed Service - Core"/>
    <s v="Monthly Expensed"/>
    <n v="0"/>
    <n v="178500"/>
    <n v="178500"/>
    <n v="174169.56"/>
    <n v="-4330.4400000000023"/>
    <n v="0"/>
    <n v="-4330.4400000000023"/>
    <s v="Monthly SOW"/>
    <n v="29028.26"/>
    <n v="29028.26"/>
    <n v="29028.26"/>
    <n v="29028.26"/>
    <n v="29028.26"/>
    <n v="29028.26"/>
    <m/>
    <m/>
    <m/>
    <m/>
    <m/>
    <m/>
    <n v="174169.56"/>
    <n v="29028.26"/>
    <n v="29028.26"/>
    <n v="29028.26"/>
    <n v="29028.26"/>
    <n v="29028.26"/>
    <n v="29028.26"/>
    <n v="29028.26"/>
    <m/>
    <m/>
    <m/>
    <m/>
    <m/>
    <m/>
    <n v="174169.56"/>
    <n v="0"/>
    <n v="0"/>
    <n v="0"/>
    <n v="0"/>
    <n v="0"/>
    <n v="0"/>
    <n v="0"/>
    <n v="0"/>
    <n v="0"/>
    <n v="0"/>
    <n v="0"/>
    <n v="0"/>
    <n v="0"/>
    <s v="Budget v/s Actuals"/>
    <n v="116113.04"/>
  </r>
  <r>
    <x v="0"/>
    <s v="SALESFORCE COM INC"/>
    <s v="Salesforce"/>
    <s v="Prj000476"/>
    <s v="Implement - Reporting to Support DGC"/>
    <s v="Enterprise Architecture, Data Analytics &amp; AI"/>
    <x v="5"/>
    <d v="2025-10-13T00:00:00"/>
    <d v="2026-03-28T00:00:00"/>
    <s v="Tableau Licenses"/>
    <s v="Prj000476-Implement - Reporting to Support DGC"/>
    <s v="Non-Labor"/>
    <x v="0"/>
    <s v="Software"/>
    <m/>
    <s v="Information Technology"/>
    <s v="Software - Licenses"/>
    <s v="Software - Licenses"/>
    <s v="Annual Expensed"/>
    <n v="3529.53"/>
    <n v="7470"/>
    <n v="7470"/>
    <n v="7470"/>
    <n v="0"/>
    <n v="0"/>
    <n v="0"/>
    <s v="Paid till Mar2026, might need till 03/2027- Capitalizable"/>
    <m/>
    <m/>
    <m/>
    <m/>
    <m/>
    <m/>
    <m/>
    <m/>
    <m/>
    <m/>
    <n v="7470"/>
    <m/>
    <n v="7470"/>
    <n v="747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-7470"/>
    <n v="0"/>
    <n v="-7470"/>
    <m/>
    <n v="0"/>
  </r>
  <r>
    <x v="0"/>
    <s v="Indus Valley Partners Corporation"/>
    <s v="IVP"/>
    <s v="Prj000402"/>
    <s v="Implement - Minor Enhancements for Data Services"/>
    <s v="Asset Management Technology &amp; Data Services"/>
    <x v="4"/>
    <m/>
    <m/>
    <m/>
    <s v="Prj000402-Implement - Minor Enhancements for Data Services"/>
    <s v="Labor"/>
    <x v="2"/>
    <s v="RTB- MS"/>
    <m/>
    <s v="Outsourced"/>
    <s v="Run the Business Contractors and Outsource Services"/>
    <s v="RTB Expenses - Contractor"/>
    <s v="New 2026 BoW"/>
    <n v="0"/>
    <n v="100000"/>
    <n v="100000"/>
    <n v="100000"/>
    <n v="0"/>
    <n v="0"/>
    <n v="0"/>
    <s v="New 2026 BoW"/>
    <m/>
    <m/>
    <m/>
    <m/>
    <m/>
    <m/>
    <m/>
    <m/>
    <m/>
    <m/>
    <m/>
    <n v="100000"/>
    <n v="100000"/>
    <n v="10000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-100000"/>
    <n v="-100000"/>
    <s v="Placeholder funds for new initiatives have been forecasted as per Leon's instruction for utilisation and potential opportunities"/>
    <n v="0"/>
  </r>
  <r>
    <x v="0"/>
    <s v="2026 PH"/>
    <m/>
    <s v="Prj000278"/>
    <s v="Implement - Fund Acctn Modules to Support BS Transition"/>
    <s v="Finance &amp; Treasury Technology"/>
    <x v="2"/>
    <m/>
    <m/>
    <m/>
    <s v="Prj000278-Implement - Fund Acctn Modules to Support BS Transition"/>
    <s v="Labor"/>
    <x v="5"/>
    <s v="CTB- FPC"/>
    <m/>
    <s v="Consulting"/>
    <s v="Consulting Change the Business"/>
    <s v="CTB Expenses - Consulting"/>
    <s v="New 2026 BoW"/>
    <n v="0"/>
    <n v="250000"/>
    <n v="250000"/>
    <n v="150000"/>
    <n v="-100000"/>
    <n v="0"/>
    <n v="-100000"/>
    <s v="New 2026 BoW (Capitalizable)"/>
    <m/>
    <m/>
    <m/>
    <m/>
    <m/>
    <m/>
    <m/>
    <m/>
    <m/>
    <m/>
    <m/>
    <n v="150000"/>
    <n v="150000"/>
    <n v="15000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-150000"/>
    <n v="-150000"/>
    <s v="Placeholder funds for new initiatives have been forecasted as per Leon's instruction for utilisation and potential opportunities"/>
    <n v="0"/>
  </r>
  <r>
    <x v="0"/>
    <s v="OpenAI, L.L.C. (“OpenAI”)"/>
    <m/>
    <s v="Prj000296"/>
    <s v="Support - PMO Governance &amp; Reporting Activities"/>
    <s v="Cos, PMO &amp; Enterprise Technology"/>
    <x v="1"/>
    <d v="2025-11-10T00:00:00"/>
    <d v="2026-06-17T00:00:00"/>
    <m/>
    <s v="Prj000296-Support - PMO Governance &amp; Reporting Activities"/>
    <s v="Non-Labor"/>
    <x v="0"/>
    <s v="Software"/>
    <m/>
    <s v="Information Technology"/>
    <s v="Software - Core"/>
    <s v="Software - Core"/>
    <s v="Annual Prepaid"/>
    <n v="52988.05"/>
    <n v="100000"/>
    <n v="100000"/>
    <n v="109890"/>
    <n v="0"/>
    <n v="9890"/>
    <n v="9890"/>
    <s v="Unbudgeted tax, new 2026 bow utilised"/>
    <m/>
    <m/>
    <m/>
    <m/>
    <m/>
    <m/>
    <m/>
    <n v="109890"/>
    <m/>
    <m/>
    <m/>
    <m/>
    <n v="109890"/>
    <n v="109890"/>
    <m/>
    <m/>
    <m/>
    <m/>
    <m/>
    <m/>
    <m/>
    <m/>
    <m/>
    <m/>
    <m/>
    <m/>
    <n v="0"/>
    <n v="0"/>
    <n v="0"/>
    <n v="0"/>
    <n v="0"/>
    <n v="0"/>
    <n v="0"/>
    <n v="0"/>
    <n v="-109890"/>
    <n v="0"/>
    <n v="0"/>
    <n v="0"/>
    <n v="0"/>
    <n v="-109890"/>
    <s v="Placeholder funds for new initiatives have been forecasted as per Leon's instruction for utilisation and potential opportunities"/>
    <n v="0"/>
  </r>
  <r>
    <x v="0"/>
    <s v="Coforge DPA NA Inc."/>
    <m/>
    <s v="Prj000353"/>
    <s v="Implement - L1/L2 CoE for Additional Platforms"/>
    <s v="Tech Shared Services"/>
    <x v="5"/>
    <d v="2026-01-01T00:00:00"/>
    <d v="2026-03-31T00:00:00"/>
    <m/>
    <s v="Prj000353-Implement - L1/L2 CoE for Additional Platforms"/>
    <s v="Labor"/>
    <x v="5"/>
    <s v="RTB- FPC"/>
    <m/>
    <s v="Outsourced"/>
    <s v="Run the Business Contractors and Outsource Services"/>
    <s v="RTB Expenses - Contractor"/>
    <s v="New 2026 BoW"/>
    <n v="0"/>
    <n v="250000"/>
    <n v="250000"/>
    <n v="152500"/>
    <n v="-97500"/>
    <n v="0"/>
    <n v="-97500"/>
    <s v="T&amp;M- Implementing CoE for L1/L2 Platforms"/>
    <m/>
    <m/>
    <m/>
    <m/>
    <m/>
    <m/>
    <m/>
    <m/>
    <m/>
    <m/>
    <m/>
    <n v="152500"/>
    <n v="152500"/>
    <n v="15250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-152500"/>
    <n v="-152500"/>
    <s v="Changed from T&amp;M to FPC as per Shanky's KT, March billing to decide final Opp/Risk"/>
    <n v="0"/>
  </r>
  <r>
    <x v="0"/>
    <s v="Coforge DPA NA Inc."/>
    <m/>
    <s v="Prj000296"/>
    <s v="Support - PMO Governance &amp; Reporting Activities"/>
    <s v="Cos, PMO &amp; Enterprise Technology"/>
    <x v="1"/>
    <m/>
    <m/>
    <m/>
    <s v="Prj000296-Support - PMO Governance &amp; Reporting Activities"/>
    <s v="Labor"/>
    <x v="5"/>
    <s v="RTB- FPC"/>
    <m/>
    <s v="Outsourced"/>
    <s v="Run the Business Contractors and Outsource Services"/>
    <s v="RTB Expenses - Contractor"/>
    <s v="New 2026 BoW"/>
    <n v="0"/>
    <n v="100000"/>
    <n v="100000"/>
    <n v="0"/>
    <n v="-100000"/>
    <n v="0"/>
    <n v="-100000"/>
    <s v="New 2026 BoW (batch orchestraion work)"/>
    <m/>
    <m/>
    <m/>
    <m/>
    <m/>
    <m/>
    <m/>
    <m/>
    <m/>
    <m/>
    <m/>
    <m/>
    <n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s v="Placeholder funds for new initiatives have been forecasted as per Leon's instruction for utilisation and potential opportunities"/>
    <n v="0"/>
  </r>
  <r>
    <x v="0"/>
    <s v="CDW DIRECT LLC"/>
    <m/>
    <s v="Prj000350"/>
    <s v="Support - Infrastructure for Tech"/>
    <s v="Infrastructure Services, Controls &amp; User Enablement"/>
    <x v="0"/>
    <s v="NA"/>
    <s v="NA"/>
    <m/>
    <s v="Prj000350-Support - Infrastructure for Tech"/>
    <s v="Non-Labor"/>
    <x v="7"/>
    <s v="Hardware"/>
    <m/>
    <s v="Information Technology"/>
    <s v="Hardware - Desktop Equipment"/>
    <s v="Hardware - Desktop Equipment"/>
    <s v="Annual Expensed"/>
    <n v="0"/>
    <n v="0"/>
    <n v="0"/>
    <n v="75000"/>
    <n v="0"/>
    <n v="75000"/>
    <n v="75000"/>
    <s v="2026 Laptops - Danny- Risk"/>
    <m/>
    <m/>
    <m/>
    <m/>
    <m/>
    <m/>
    <m/>
    <m/>
    <m/>
    <m/>
    <m/>
    <n v="75000"/>
    <n v="75000"/>
    <n v="7500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-75000"/>
    <n v="-75000"/>
    <s v="New laptops, unbudgeted"/>
    <n v="0"/>
  </r>
  <r>
    <x v="0"/>
    <s v="Allvue Systems, LLC"/>
    <m/>
    <s v="Prj000381"/>
    <s v="Support - Prod Support for Credit Apps"/>
    <s v="Credit Technology"/>
    <x v="2"/>
    <d v="2026-01-01T00:00:00"/>
    <d v="2026-12-31T00:00:00"/>
    <s v="BMS"/>
    <s v="Prj000381-Support - Prod Support for Credit Apps"/>
    <s v="Non-Labor"/>
    <x v="0"/>
    <s v="Software"/>
    <s v="Subscription"/>
    <s v="Information Technology"/>
    <s v="Software - Core"/>
    <s v="Software - Core"/>
    <s v="Annual Prepaid"/>
    <n v="1670024"/>
    <n v="1778445.9000000001"/>
    <n v="1778445.9000000001"/>
    <n v="1864672.0199999998"/>
    <n v="0"/>
    <n v="86226.119999999646"/>
    <n v="86226.119999999646"/>
    <s v="Prepaid 2026"/>
    <n v="155389.33499999999"/>
    <n v="155389.33499999999"/>
    <n v="155389.33499999999"/>
    <n v="155389.33499999999"/>
    <n v="155389.33499999999"/>
    <n v="155389.33499999999"/>
    <n v="155389.33499999999"/>
    <n v="155389.33499999999"/>
    <n v="155389.33499999999"/>
    <n v="155389.33499999999"/>
    <n v="155389.33499999999"/>
    <n v="155389.33499999999"/>
    <n v="1864672.0199999998"/>
    <n v="1087725.345"/>
    <n v="155389.33499999999"/>
    <n v="155389.33499999999"/>
    <n v="155389.33499999999"/>
    <n v="155389.33499999999"/>
    <n v="155389.33499999999"/>
    <n v="155389.33499999999"/>
    <n v="155389.33499999999"/>
    <n v="155389.33499999999"/>
    <n v="155389.33499999999"/>
    <n v="155389.33499999999"/>
    <n v="155389.33499999999"/>
    <n v="155389.33499999999"/>
    <n v="1864672.0199999998"/>
    <n v="0"/>
    <n v="0"/>
    <n v="0"/>
    <n v="0"/>
    <n v="0"/>
    <n v="0"/>
    <n v="0"/>
    <n v="0"/>
    <n v="0"/>
    <n v="0"/>
    <n v="0"/>
    <n v="0"/>
    <n v="0"/>
    <s v="Budget v/s Actuals"/>
    <n v="621557.34"/>
  </r>
  <r>
    <x v="0"/>
    <s v="OneStream Software, LLC"/>
    <s v="OneStream"/>
    <s v="Prj000344"/>
    <s v="Support - Prod support for Finance Applications"/>
    <s v="Finance &amp; Treasury Technology"/>
    <x v="2"/>
    <d v="2025-12-22T00:00:00"/>
    <d v="2026-12-21T00:00:00"/>
    <m/>
    <s v="Prj000344-Support - Prod support for Finance Applications"/>
    <s v="Non-Labor"/>
    <x v="0"/>
    <s v="Software"/>
    <m/>
    <s v="Information Technology"/>
    <s v="Software - Licenses"/>
    <s v="Software - Licenses"/>
    <s v="Annual Prepaid"/>
    <n v="284328.36999999994"/>
    <n v="298544.40000000002"/>
    <n v="298544.40000000002"/>
    <n v="284328.36999999994"/>
    <n v="-14216.030000000086"/>
    <n v="0"/>
    <n v="-14216.030000000086"/>
    <s v="Prepaid 2026"/>
    <n v="23694.030833333334"/>
    <n v="23694.030833333334"/>
    <n v="23694.030833333334"/>
    <n v="23694.030833333334"/>
    <n v="23694.030833333334"/>
    <n v="23694.030833333334"/>
    <n v="23694.030833333334"/>
    <n v="23694.030833333334"/>
    <n v="23694.030833333334"/>
    <n v="23694.030833333334"/>
    <n v="23694.030833333334"/>
    <n v="23694.030833333334"/>
    <n v="284328.36999999994"/>
    <n v="165858.21583333332"/>
    <n v="23694.030833333334"/>
    <n v="23694.030833333334"/>
    <n v="23694.030833333334"/>
    <n v="23694.030833333334"/>
    <n v="23694.030833333334"/>
    <n v="23694.030833333334"/>
    <n v="23694.030833333334"/>
    <n v="23694.030833333334"/>
    <n v="23694.030833333334"/>
    <n v="23694.030833333334"/>
    <n v="23694.030833333334"/>
    <n v="23694.030833333334"/>
    <n v="284328.36999999994"/>
    <n v="0"/>
    <n v="0"/>
    <n v="0"/>
    <n v="0"/>
    <n v="0"/>
    <n v="0"/>
    <n v="0"/>
    <n v="0"/>
    <n v="0"/>
    <n v="0"/>
    <n v="0"/>
    <n v="0"/>
    <n v="0"/>
    <s v="Budget v/s Actuals"/>
    <n v="94776.123333333337"/>
  </r>
  <r>
    <x v="0"/>
    <s v="MARKIT NORTH AMERICA, INC."/>
    <s v="S&amp;P Global/ WSO"/>
    <s v="Prj000469"/>
    <s v="Support - Prod Support for Ops Apps"/>
    <s v="Operations Technology"/>
    <x v="2"/>
    <m/>
    <m/>
    <m/>
    <s v="Prj000469-Support - Prod Support for Ops Apps"/>
    <s v="Non-Labor"/>
    <x v="0"/>
    <s v="Software"/>
    <m/>
    <s v="Information Technology"/>
    <s v="Managed Service - Core"/>
    <s v="Managed Service - Core"/>
    <s v="Annual Expensed"/>
    <n v="0"/>
    <n v="0"/>
    <n v="0"/>
    <n v="232487.75"/>
    <n v="0"/>
    <n v="232487.75"/>
    <n v="232487.75"/>
    <s v="WSO Web Services - Subs/ WSO Web/AUM/SubVar- Potential Risk"/>
    <m/>
    <m/>
    <m/>
    <n v="232487.75"/>
    <m/>
    <m/>
    <m/>
    <m/>
    <m/>
    <m/>
    <m/>
    <m/>
    <n v="232487.75"/>
    <n v="0"/>
    <m/>
    <m/>
    <m/>
    <n v="232487.75"/>
    <m/>
    <m/>
    <m/>
    <m/>
    <m/>
    <m/>
    <m/>
    <m/>
    <n v="232487.75"/>
    <n v="0"/>
    <n v="0"/>
    <n v="0"/>
    <n v="0"/>
    <n v="0"/>
    <n v="0"/>
    <n v="0"/>
    <n v="0"/>
    <n v="0"/>
    <n v="0"/>
    <n v="0"/>
    <n v="0"/>
    <n v="0"/>
    <s v="Unbudgeted risk for 2025 AUM Overusage to be charged back to Operations"/>
    <n v="232487.75"/>
  </r>
  <r>
    <x v="0"/>
    <s v="Intelligent Business Platforms LLC"/>
    <s v="Intellibus"/>
    <s v="T&amp;M"/>
    <s v="T&amp;M"/>
    <s v="Infra Svcs &amp; User Enblt Tech"/>
    <x v="5"/>
    <d v="2026-07-01T00:00:00"/>
    <d v="2026-12-31T00:00:00"/>
    <s v="T&amp;M"/>
    <s v="T&amp;M-T&amp;M"/>
    <s v="Labor"/>
    <x v="4"/>
    <s v="CTB- T&amp;M"/>
    <s v="T&amp;M"/>
    <s v="Consulting"/>
    <s v="Consulting Change the Business"/>
    <s v="CTB Expenses - Consulting"/>
    <s v="Monthly Expensed"/>
    <n v="0"/>
    <n v="0"/>
    <n v="0"/>
    <n v="606720"/>
    <n v="0"/>
    <n v="606720"/>
    <n v="606720"/>
    <s v="T&amp;M- H2-2026 Risk unbudgeted extension"/>
    <m/>
    <m/>
    <m/>
    <m/>
    <m/>
    <m/>
    <n v="101120"/>
    <n v="101120"/>
    <n v="101120"/>
    <n v="101120"/>
    <n v="101120"/>
    <n v="101120"/>
    <n v="606720"/>
    <n v="606720"/>
    <m/>
    <m/>
    <m/>
    <m/>
    <m/>
    <m/>
    <m/>
    <m/>
    <m/>
    <m/>
    <m/>
    <m/>
    <n v="0"/>
    <n v="0"/>
    <n v="0"/>
    <n v="0"/>
    <n v="0"/>
    <n v="0"/>
    <n v="0"/>
    <n v="-101120"/>
    <n v="-101120"/>
    <n v="-101120"/>
    <n v="-101120"/>
    <n v="-101120"/>
    <n v="-101120"/>
    <n v="-606720"/>
    <s v="Contract expected to extend in second half of 2026, unbudgeted"/>
    <n v="0"/>
  </r>
  <r>
    <x v="0"/>
    <s v="Indus Valley Partners Corporation"/>
    <s v="IVP"/>
    <s v="T&amp;M"/>
    <s v="T&amp;M"/>
    <s v="Infra Svcs &amp; User Enblt Tech"/>
    <x v="5"/>
    <d v="2026-07-01T00:00:00"/>
    <d v="2026-12-31T00:00:00"/>
    <s v="Prj Mgmt T&amp;M"/>
    <s v="T&amp;M-T&amp;M"/>
    <s v="Labor"/>
    <x v="4"/>
    <s v="RTB- T&amp;M"/>
    <s v="T&amp;M"/>
    <s v="Outsourced"/>
    <s v="Run the Business Contractors and Outsource Services"/>
    <s v="RTB Expenses - Contractor"/>
    <s v="Monthly Expensed"/>
    <n v="0"/>
    <n v="0"/>
    <n v="0"/>
    <n v="1557600"/>
    <n v="0"/>
    <n v="1557600"/>
    <n v="1557600"/>
    <s v="Renaissance, H2 unbudgeted extension"/>
    <m/>
    <m/>
    <m/>
    <m/>
    <m/>
    <m/>
    <n v="259600"/>
    <n v="259600"/>
    <n v="259600"/>
    <n v="259600"/>
    <n v="259600"/>
    <n v="259600"/>
    <n v="1557600"/>
    <n v="1557600"/>
    <m/>
    <m/>
    <m/>
    <m/>
    <m/>
    <m/>
    <m/>
    <m/>
    <m/>
    <m/>
    <m/>
    <m/>
    <n v="0"/>
    <n v="0"/>
    <n v="0"/>
    <n v="0"/>
    <n v="0"/>
    <n v="0"/>
    <n v="0"/>
    <n v="-259600"/>
    <n v="-259600"/>
    <n v="-259600"/>
    <n v="-259600"/>
    <n v="-259600"/>
    <n v="-259600"/>
    <n v="-1557600"/>
    <s v="Contract expected to extend in second half of 2026, unbudgeted.  Viabhav-0 .5 Rahul-0 .5 Vedang, + 2 Offshore FTE"/>
    <n v="0"/>
  </r>
  <r>
    <x v="0"/>
    <s v="2026 PH"/>
    <m/>
    <s v="Prj000296"/>
    <s v="Support - PMO Governance &amp; Reporting Activities"/>
    <s v="Cos, PMO &amp; Enterprise Technology"/>
    <x v="1"/>
    <s v="NA"/>
    <s v="NA"/>
    <m/>
    <s v="Prj000296-Support - PMO Governance &amp; Reporting Activities"/>
    <s v="Labor"/>
    <x v="5"/>
    <s v="RTB- FPC"/>
    <m/>
    <s v="Outsourced"/>
    <s v="Run the Business Contractors and Outsource Services"/>
    <s v="RTB Expenses - Contractor"/>
    <s v="NA"/>
    <n v="0"/>
    <n v="0"/>
    <n v="12896"/>
    <n v="12896"/>
    <n v="0"/>
    <n v="0"/>
    <n v="0"/>
    <s v="Hard Opportunity- Variance from OneStream Budget vs IT Budget"/>
    <n v="0"/>
    <n v="0"/>
    <n v="0"/>
    <n v="0"/>
    <n v="0"/>
    <n v="0"/>
    <n v="0"/>
    <n v="0"/>
    <n v="0"/>
    <n v="0"/>
    <n v="0"/>
    <n v="12896"/>
    <n v="12896"/>
    <n v="128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-12896"/>
    <n v="-12896"/>
    <s v="This place holder is a difference between Onestream the amount initiall budgeted as part of 5 year projection v/s 2026 budget finalised by previous budget preparers, initially the amount was $10848, Then added $2048 to total same as final budget in onestream and final approved amount"/>
    <n v="0"/>
  </r>
  <r>
    <x v="0"/>
    <s v="Andersen Tax Holdings"/>
    <s v="1Rivet"/>
    <s v="T&amp;M"/>
    <s v="T&amp;M"/>
    <s v=""/>
    <x v="1"/>
    <d v="2026-03-16T00:00:00"/>
    <d v="2026-12-31T00:00:00"/>
    <m/>
    <s v="T&amp;M-T&amp;M"/>
    <s v="Labor"/>
    <x v="4"/>
    <s v="RTB- T&amp;M"/>
    <s v="T&amp;M"/>
    <s v="Outsourced"/>
    <s v="Run the Business Contractors and Outsource Services"/>
    <s v="RTB Expenses - Contractor"/>
    <s v="Monthly Expensed"/>
    <m/>
    <m/>
    <n v="0"/>
    <n v="71440"/>
    <n v="0"/>
    <n v="71440"/>
    <n v="71440"/>
    <s v="Swati Yadav"/>
    <m/>
    <m/>
    <n v="3760"/>
    <n v="7520"/>
    <n v="7520"/>
    <n v="7520"/>
    <n v="7520"/>
    <n v="7520"/>
    <n v="7520"/>
    <n v="7520"/>
    <n v="7520"/>
    <n v="7520"/>
    <n v="71440"/>
    <n v="52640"/>
    <n v="0"/>
    <m/>
    <m/>
    <m/>
    <m/>
    <m/>
    <m/>
    <m/>
    <m/>
    <m/>
    <m/>
    <m/>
    <n v="0"/>
    <n v="0"/>
    <n v="0"/>
    <n v="-3760"/>
    <n v="-7520"/>
    <n v="-7520"/>
    <n v="-7520"/>
    <n v="-7520"/>
    <n v="-7520"/>
    <n v="-7520"/>
    <n v="-7520"/>
    <n v="-7520"/>
    <n v="-7520"/>
    <n v="-71440"/>
    <s v="Cost to be setoff with Coforge (Swati replacing Shanky)"/>
    <n v="0"/>
  </r>
  <r>
    <x v="0"/>
    <s v="Andersen Tax Holdings"/>
    <s v="1Rivet"/>
    <s v="T&amp;M"/>
    <s v="T&amp;M"/>
    <s v=""/>
    <x v="0"/>
    <d v="2026-02-04T00:00:00"/>
    <d v="2026-07-31T00:00:00"/>
    <m/>
    <s v="T&amp;M-T&amp;M"/>
    <s v="Labor"/>
    <x v="4"/>
    <s v="RTB- T&amp;M"/>
    <s v="T&amp;M"/>
    <s v="Outsourced"/>
    <s v="Run the Business Contractors and Outsource Services"/>
    <s v="RTB Expenses - Contractor"/>
    <s v="Monthly Expensed"/>
    <m/>
    <m/>
    <n v="0"/>
    <n v="37224"/>
    <n v="0"/>
    <n v="37224"/>
    <n v="37224"/>
    <s v="Danny's extra 1Rivet HC - Risk"/>
    <m/>
    <m/>
    <n v="7520"/>
    <n v="7520"/>
    <n v="7520"/>
    <n v="7520"/>
    <n v="7520"/>
    <m/>
    <m/>
    <m/>
    <m/>
    <m/>
    <n v="37600"/>
    <n v="15040"/>
    <n v="0"/>
    <m/>
    <n v="7144"/>
    <m/>
    <m/>
    <m/>
    <m/>
    <m/>
    <m/>
    <m/>
    <m/>
    <m/>
    <n v="7144"/>
    <n v="0"/>
    <n v="0"/>
    <n v="-376"/>
    <n v="-7520"/>
    <n v="-7520"/>
    <n v="-7520"/>
    <n v="-7520"/>
    <n v="0"/>
    <n v="0"/>
    <n v="0"/>
    <n v="0"/>
    <n v="0"/>
    <n v="-30456"/>
    <s v="Extra resource requested by Danny from 1Rivet to replace Acenture resources, unbudgeted (Arif Inamdar)"/>
    <n v="7144"/>
  </r>
  <r>
    <x v="0"/>
    <s v="Norske Finansielle Referanser AS"/>
    <s v="Nore"/>
    <s v="Prj000469"/>
    <s v="Support - Prod Support for Ops Apps"/>
    <s v="Operations Technology"/>
    <x v="2"/>
    <d v="2026-03-01T00:00:00"/>
    <d v="2026-12-31T00:00:00"/>
    <m/>
    <s v="Prj000469-Support - Prod Support for Ops Apps"/>
    <s v="Non-Labor"/>
    <x v="1"/>
    <s v="OOE"/>
    <s v="Market Data"/>
    <s v="Subscription Services"/>
    <s v="Subscription Services"/>
    <s v="Office Expense"/>
    <s v="Quarterly Expensed"/>
    <n v="0"/>
    <n v="0"/>
    <n v="0"/>
    <n v="15208"/>
    <n v="0"/>
    <n v="15208"/>
    <n v="15208"/>
    <m/>
    <m/>
    <m/>
    <m/>
    <n v="15208"/>
    <m/>
    <m/>
    <m/>
    <m/>
    <m/>
    <m/>
    <m/>
    <m/>
    <n v="15208"/>
    <n v="0"/>
    <m/>
    <m/>
    <m/>
    <n v="15208"/>
    <m/>
    <m/>
    <m/>
    <m/>
    <m/>
    <m/>
    <m/>
    <m/>
    <n v="15208"/>
    <n v="0"/>
    <n v="0"/>
    <n v="0"/>
    <n v="0"/>
    <n v="0"/>
    <n v="0"/>
    <n v="0"/>
    <n v="0"/>
    <n v="0"/>
    <n v="0"/>
    <n v="0"/>
    <n v="0"/>
    <n v="0"/>
    <s v="Nore is data source provider for Refinitive - not part of initial budget"/>
    <n v="15208"/>
  </r>
  <r>
    <x v="0"/>
    <s v="CME Group"/>
    <m/>
    <s v="Prj000469"/>
    <s v="Support - Prod Support for Ops Apps"/>
    <s v="Operations Technology"/>
    <x v="2"/>
    <d v="2025-12-01T00:00:00"/>
    <d v="2026-12-31T00:00:00"/>
    <s v="LIQ"/>
    <s v="Prj000469-Support - Prod Support for Ops Apps"/>
    <s v="Non-Labor"/>
    <x v="0"/>
    <s v="Software"/>
    <s v="Software License"/>
    <s v="Information Technology"/>
    <s v="Software - Licenses"/>
    <s v="Software - Licenses"/>
    <s v="Annual Expensed"/>
    <n v="0"/>
    <n v="0"/>
    <n v="0"/>
    <n v="102000"/>
    <n v="0"/>
    <n v="102000"/>
    <n v="102000"/>
    <s v="This was not part of initial budget"/>
    <m/>
    <m/>
    <m/>
    <n v="92000"/>
    <m/>
    <m/>
    <m/>
    <m/>
    <m/>
    <m/>
    <m/>
    <n v="10000"/>
    <n v="102000"/>
    <n v="10000"/>
    <m/>
    <m/>
    <m/>
    <n v="92000"/>
    <m/>
    <m/>
    <m/>
    <m/>
    <m/>
    <m/>
    <m/>
    <m/>
    <n v="92000"/>
    <n v="0"/>
    <n v="0"/>
    <n v="0"/>
    <n v="0"/>
    <n v="0"/>
    <n v="0"/>
    <n v="0"/>
    <n v="0"/>
    <n v="0"/>
    <n v="0"/>
    <n v="0"/>
    <n v="-10000"/>
    <n v="-10000"/>
    <s v="Unbudgeted, New risk - CME Group SOFR License, $1K per month charge back expected from Operations"/>
    <n v="920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">
  <r>
    <x v="0"/>
    <x v="0"/>
    <s v="Microsoft D365 F&amp;O and CRM"/>
    <x v="0"/>
    <s v="Support - Infrastructure for Tech"/>
    <s v="Infrastructure Services, Controls &amp; User Enablement"/>
    <x v="0"/>
    <d v="2025-06-01T00:00:00"/>
    <d v="2028-05-31T00:00:00"/>
    <s v="CRM Lic"/>
    <s v="Prj000350-Support - Infrastructure for Tech"/>
    <s v="Non-Labor"/>
    <x v="0"/>
    <s v="Software"/>
    <s v="CRM Lic"/>
    <s v="Information Technology"/>
    <s v="Software - Licenses"/>
    <s v="Software - Licenses"/>
    <s v="Annual Prepaid"/>
    <n v="351839.43333333335"/>
    <n v="361000"/>
    <n v="361000"/>
    <n v="371392.66666666663"/>
    <n v="0"/>
    <n v="10392.666666666628"/>
    <n v="10392.666666666628"/>
    <s v="Renewed 6/1/25, anniversary date true-up-CRM (Prepaid)"/>
    <n v="30083.333333333332"/>
    <n v="30083.333333333332"/>
    <n v="30083.333333333332"/>
    <n v="30083.333333333332"/>
    <n v="30083.333333333332"/>
    <n v="31568"/>
    <n v="31568"/>
    <n v="31568"/>
    <n v="31568"/>
    <n v="31568"/>
    <n v="31568"/>
    <n v="31568"/>
    <n v="371392.66666666663"/>
    <n v="220976"/>
    <n v="30083.333333333332"/>
    <n v="30083.333333333332"/>
    <n v="30083.333333333332"/>
    <n v="30083.333333333332"/>
    <n v="30083.333333333332"/>
    <m/>
    <m/>
    <m/>
    <m/>
    <m/>
    <m/>
    <m/>
    <n v="150416.66666666666"/>
    <n v="0"/>
    <n v="0"/>
    <n v="0"/>
    <n v="0"/>
    <n v="0"/>
    <n v="-31568"/>
    <n v="-31568"/>
    <n v="-31568"/>
    <n v="-31568"/>
    <n v="-31568"/>
    <n v="-31568"/>
    <n v="-31568"/>
    <n v="-220976"/>
    <m/>
  </r>
  <r>
    <x v="0"/>
    <x v="0"/>
    <s v="Microsoft D365 F&amp;O and CRM"/>
    <x v="0"/>
    <s v="Support - Infrastructure for Tech"/>
    <s v="Infrastructure Services, Controls &amp; User Enablement"/>
    <x v="0"/>
    <d v="2025-06-01T00:00:00"/>
    <d v="2028-05-31T00:00:00"/>
    <s v="F&amp;O Lic"/>
    <s v="Prj000350-Support - Infrastructure for Tech"/>
    <s v="Non-Labor"/>
    <x v="0"/>
    <s v="Software"/>
    <s v="F&amp;O Lic"/>
    <s v="Information Technology"/>
    <s v="Software - Licenses"/>
    <s v="Software - Licenses"/>
    <s v="Annual Prepaid"/>
    <n v="104417"/>
    <n v="179000"/>
    <n v="179000"/>
    <n v="273923.73333333334"/>
    <n v="0"/>
    <n v="94923.733333333337"/>
    <n v="94923.733333333337"/>
    <s v="Renewed 6/1/25, anniversary date true-up-F&amp;O (Prepaid)"/>
    <n v="14916.666666666666"/>
    <n v="14916.666666666666"/>
    <n v="14916.666666666666"/>
    <n v="14916.666666666666"/>
    <n v="14916.666666666666"/>
    <n v="28477.200000000001"/>
    <n v="28477.200000000001"/>
    <n v="28477.200000000001"/>
    <n v="28477.200000000001"/>
    <n v="28477.200000000001"/>
    <n v="28477.200000000001"/>
    <n v="28477.200000000001"/>
    <n v="273923.7333333334"/>
    <n v="199340.40000000002"/>
    <n v="14916.666666666666"/>
    <n v="14916.666666666666"/>
    <n v="14916.666666666666"/>
    <n v="14916.666666666666"/>
    <n v="14916.666666666666"/>
    <m/>
    <m/>
    <m/>
    <m/>
    <m/>
    <m/>
    <m/>
    <n v="74583.333333333328"/>
    <n v="0"/>
    <n v="0"/>
    <n v="0"/>
    <n v="0"/>
    <n v="0"/>
    <n v="-28477.200000000001"/>
    <n v="-28477.200000000001"/>
    <n v="-28477.200000000001"/>
    <n v="-28477.200000000001"/>
    <n v="-28477.200000000001"/>
    <n v="-28477.200000000001"/>
    <n v="-28477.200000000001"/>
    <n v="-199340.40000000002"/>
    <m/>
  </r>
  <r>
    <x v="1"/>
    <x v="1"/>
    <m/>
    <x v="1"/>
    <s v="Support - Internal Tech Workforce Activities"/>
    <s v="Cos, PMO &amp; Enterprise Technology"/>
    <x v="1"/>
    <s v="NA"/>
    <s v="NA"/>
    <m/>
    <s v="Prj000266-Support - Internal Tech Workforce Activities"/>
    <s v="Non-Labor"/>
    <x v="1"/>
    <s v="OOE"/>
    <m/>
    <s v="Travel &amp; Entertainment"/>
    <s v="Travel &amp; Entertainment Expense"/>
    <s v="T&amp;E (Multiple)"/>
    <s v="Refer to Concur"/>
    <n v="211257"/>
    <n v="259449"/>
    <n v="259449"/>
    <n v="159448.85000000003"/>
    <n v="-100000.14999999997"/>
    <n v="0"/>
    <n v="-100000.14999999997"/>
    <s v="$100K not to be utilised as per Leon's instructions"/>
    <n v="11185.549999999997"/>
    <n v="7399.97"/>
    <n v="16129.190000000002"/>
    <n v="25262"/>
    <n v="23681.14"/>
    <m/>
    <m/>
    <m/>
    <m/>
    <m/>
    <m/>
    <n v="75791"/>
    <n v="159448.85"/>
    <n v="75791"/>
    <n v="11185.549999999997"/>
    <n v="7399.97"/>
    <n v="16129.190000000002"/>
    <n v="25262"/>
    <n v="23681.14"/>
    <m/>
    <m/>
    <m/>
    <m/>
    <m/>
    <m/>
    <m/>
    <n v="83657.850000000006"/>
    <n v="0"/>
    <n v="0"/>
    <n v="0"/>
    <n v="0"/>
    <n v="0"/>
    <n v="0"/>
    <n v="0"/>
    <n v="0"/>
    <n v="0"/>
    <n v="0"/>
    <n v="0"/>
    <n v="-75791"/>
    <n v="-75791"/>
    <s v="Concur project reimbursement cost can't be predicted, hence buffer kept in Dec"/>
  </r>
  <r>
    <x v="0"/>
    <x v="2"/>
    <m/>
    <x v="2"/>
    <s v="Support - Prod support for Finance Applications"/>
    <s v="Finance &amp; Treasury Technology"/>
    <x v="2"/>
    <d v="2025-01-09T00:00:00"/>
    <d v="2026-01-09T00:00:00"/>
    <m/>
    <s v="Prj000344-Support - Prod support for Finance Applications"/>
    <s v="Labor"/>
    <x v="2"/>
    <s v="RTB- MS"/>
    <s v="FPC"/>
    <s v="Outsourced"/>
    <s v="Run the Business Contractors and Outsource Services"/>
    <s v="RTB Expenses - Contractor"/>
    <s v="Monthly Expensed"/>
    <n v="91200"/>
    <n v="100000"/>
    <n v="100000"/>
    <n v="100015"/>
    <n v="0"/>
    <n v="15"/>
    <n v="15"/>
    <s v="check for contract copy"/>
    <n v="7600"/>
    <n v="7600"/>
    <n v="7600"/>
    <n v="7600"/>
    <n v="7600"/>
    <n v="7600"/>
    <n v="7600"/>
    <n v="7600"/>
    <n v="7600"/>
    <n v="7600"/>
    <n v="7600"/>
    <n v="7600"/>
    <n v="91200"/>
    <n v="53200"/>
    <n v="7600"/>
    <n v="7600"/>
    <n v="8675"/>
    <n v="7600"/>
    <n v="15340"/>
    <n v="7600"/>
    <m/>
    <m/>
    <m/>
    <m/>
    <m/>
    <m/>
    <n v="54415"/>
    <n v="0"/>
    <n v="0"/>
    <n v="1075"/>
    <n v="0"/>
    <n v="7740"/>
    <n v="0"/>
    <n v="-7600"/>
    <n v="-7600"/>
    <n v="-7600"/>
    <n v="-7600"/>
    <n v="-7600"/>
    <n v="-7600"/>
    <n v="-36785"/>
    <s v="Budget v/s Actuals, additional work for April'26 invoiced in May"/>
  </r>
  <r>
    <x v="0"/>
    <x v="3"/>
    <s v="Control M"/>
    <x v="0"/>
    <s v="Support - Infrastructure for Tech"/>
    <s v="Infrastructure Services, Controls &amp; User Enablement"/>
    <x v="0"/>
    <d v="2025-07-15T00:00:00"/>
    <d v="2026-07-14T00:00:00"/>
    <s v="Control M"/>
    <s v="Prj000350-Support - Infrastructure for Tech"/>
    <s v="Non-Labor"/>
    <x v="0"/>
    <s v="Software"/>
    <m/>
    <s v="Information Technology"/>
    <s v="Software - Licenses"/>
    <s v="Software - Licenses"/>
    <s v="Annual Expensed"/>
    <n v="37630"/>
    <n v="39512"/>
    <n v="39512"/>
    <n v="39512"/>
    <n v="0"/>
    <n v="0"/>
    <n v="0"/>
    <m/>
    <m/>
    <m/>
    <m/>
    <m/>
    <m/>
    <m/>
    <n v="39512"/>
    <m/>
    <m/>
    <m/>
    <m/>
    <m/>
    <n v="39512"/>
    <n v="39512"/>
    <m/>
    <m/>
    <m/>
    <m/>
    <m/>
    <m/>
    <m/>
    <m/>
    <m/>
    <m/>
    <m/>
    <m/>
    <n v="0"/>
    <n v="0"/>
    <n v="0"/>
    <n v="0"/>
    <n v="0"/>
    <n v="0"/>
    <n v="0"/>
    <n v="-39512"/>
    <n v="0"/>
    <n v="0"/>
    <n v="0"/>
    <n v="0"/>
    <n v="0"/>
    <n v="-39512"/>
    <m/>
  </r>
  <r>
    <x v="0"/>
    <x v="4"/>
    <m/>
    <x v="2"/>
    <s v="Support - Prod support for Finance Applications"/>
    <s v="Finance &amp; Treasury Technology"/>
    <x v="2"/>
    <s v="NA"/>
    <s v="NA"/>
    <m/>
    <s v="Prj000344-Support - Prod support for Finance Applications"/>
    <s v="Non-Labor"/>
    <x v="0"/>
    <s v="Software"/>
    <m/>
    <s v="Information Technology"/>
    <s v="Managed Service - Core"/>
    <s v="Support Services"/>
    <s v="Potential Opportunity"/>
    <n v="14000"/>
    <n v="14700"/>
    <n v="14700"/>
    <n v="14700"/>
    <n v="0"/>
    <n v="0"/>
    <n v="0"/>
    <s v="Potential Opp."/>
    <m/>
    <m/>
    <m/>
    <m/>
    <m/>
    <m/>
    <m/>
    <m/>
    <m/>
    <m/>
    <m/>
    <n v="14700"/>
    <n v="14700"/>
    <n v="1470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-14700"/>
    <n v="-14700"/>
    <m/>
  </r>
  <r>
    <x v="0"/>
    <x v="4"/>
    <m/>
    <x v="3"/>
    <s v="Implement - Cash Matching Recon Solution"/>
    <s v="Finance &amp; Treasury Technology"/>
    <x v="2"/>
    <d v="2026-04-08T00:00:00"/>
    <d v="2027-04-07T00:00:00"/>
    <m/>
    <s v="Prj000603-Implement - Cash Matching Recon Solution"/>
    <s v="Non-Labor"/>
    <x v="0"/>
    <s v="Software"/>
    <m/>
    <s v="Information Technology"/>
    <s v="Managed Service - Core"/>
    <s v="Support Services"/>
    <s v="Annual Expensed"/>
    <m/>
    <m/>
    <m/>
    <n v="41250"/>
    <n v="0"/>
    <n v="41250"/>
    <n v="41250"/>
    <s v="Solvexia Bank Reconciliation ImplementationFees"/>
    <m/>
    <m/>
    <m/>
    <n v="7500"/>
    <n v="2400"/>
    <m/>
    <m/>
    <m/>
    <m/>
    <m/>
    <m/>
    <n v="31350"/>
    <n v="41250"/>
    <n v="31350"/>
    <m/>
    <m/>
    <m/>
    <n v="7500"/>
    <n v="2400"/>
    <m/>
    <m/>
    <m/>
    <m/>
    <m/>
    <m/>
    <m/>
    <n v="9900"/>
    <n v="0"/>
    <n v="0"/>
    <n v="0"/>
    <n v="0"/>
    <n v="0"/>
    <n v="0"/>
    <n v="0"/>
    <n v="0"/>
    <n v="0"/>
    <n v="0"/>
    <n v="0"/>
    <n v="-31350"/>
    <n v="-31350"/>
    <s v="New risk, unbudgeted - cash matching Gtreausry"/>
  </r>
  <r>
    <x v="0"/>
    <x v="5"/>
    <s v="LevPro"/>
    <x v="4"/>
    <s v="Support - Asset Management Applications"/>
    <s v="Asset Management Tech"/>
    <x v="3"/>
    <s v="Monthly"/>
    <s v="Monthly"/>
    <m/>
    <s v="Prj000290-Support - Asset Management Applications"/>
    <s v="Non-Labor"/>
    <x v="0"/>
    <s v="Software"/>
    <s v="FPC"/>
    <s v="Information Technology"/>
    <s v="Software - Licenses"/>
    <s v="CTB Expenses - Consulting"/>
    <s v="Monthly Expensed; Potential Opportunity"/>
    <n v="40000"/>
    <n v="42000"/>
    <n v="42000"/>
    <n v="35500"/>
    <n v="-6500"/>
    <n v="0"/>
    <n v="-6500"/>
    <s v="For LevPro Support work"/>
    <n v="3500"/>
    <n v="3500"/>
    <n v="3500"/>
    <n v="3500"/>
    <n v="3500"/>
    <n v="3500"/>
    <n v="3500"/>
    <n v="3500"/>
    <n v="3500"/>
    <n v="3500"/>
    <n v="3500"/>
    <n v="500"/>
    <n v="39000"/>
    <n v="21500"/>
    <n v="1000"/>
    <n v="2500"/>
    <m/>
    <m/>
    <m/>
    <m/>
    <m/>
    <m/>
    <m/>
    <m/>
    <m/>
    <m/>
    <n v="3500"/>
    <n v="-2500"/>
    <n v="-1000"/>
    <n v="-3500"/>
    <n v="-3500"/>
    <n v="-3500"/>
    <n v="-3500"/>
    <n v="-3500"/>
    <n v="-3500"/>
    <n v="-3500"/>
    <n v="-3500"/>
    <n v="-3500"/>
    <n v="-500"/>
    <n v="-35500"/>
    <s v="This cost is not fixed and will be fluctuating per month, $10K is part of WSO web to hosting transistion and should be part of $504K"/>
  </r>
  <r>
    <x v="0"/>
    <x v="6"/>
    <m/>
    <x v="0"/>
    <s v="Support - Infrastructure for Tech"/>
    <s v="Infrastructure Services, Controls &amp; User Enablement"/>
    <x v="0"/>
    <s v="Monthly"/>
    <s v="Monthly"/>
    <m/>
    <s v="Prj000350-Support - Infrastructure for Tech"/>
    <s v="Non-Labor"/>
    <x v="3"/>
    <s v="Infrastructure"/>
    <m/>
    <s v="Information Technology"/>
    <s v="Managed Service - Network"/>
    <s v="Managed Service - Network"/>
    <s v="Monthly Expensed"/>
    <n v="237545.39"/>
    <n v="180000"/>
    <n v="180000"/>
    <n v="165100.70000000001"/>
    <n v="-14899.299999999988"/>
    <n v="0"/>
    <n v="-14899.299999999988"/>
    <s v="Network Managed Services (Network Operation Centre (NOC))"/>
    <n v="15000"/>
    <n v="15000"/>
    <n v="15000"/>
    <n v="15000"/>
    <n v="15000"/>
    <n v="15725"/>
    <n v="15725"/>
    <n v="15725"/>
    <n v="15725"/>
    <n v="15725"/>
    <n v="15725"/>
    <n v="15725"/>
    <n v="185075"/>
    <n v="110075"/>
    <n v="11005.14"/>
    <n v="11005.14"/>
    <n v="11005.14"/>
    <n v="11005.14"/>
    <n v="11005.14"/>
    <m/>
    <m/>
    <m/>
    <m/>
    <m/>
    <m/>
    <m/>
    <n v="55025.7"/>
    <n v="-3994.8600000000006"/>
    <n v="-3994.8600000000006"/>
    <n v="-3994.8600000000006"/>
    <n v="-3994.8600000000006"/>
    <n v="-3994.8600000000006"/>
    <n v="-15725"/>
    <n v="-15725"/>
    <n v="-15725"/>
    <n v="-15725"/>
    <n v="-15725"/>
    <n v="-15725"/>
    <n v="-15725"/>
    <n v="-130049.3"/>
    <s v="Budget v/s Actuals, revised rate as per new contract, ad hoc 240/hr charge for engeenering support part of contract"/>
  </r>
  <r>
    <x v="0"/>
    <x v="7"/>
    <m/>
    <x v="0"/>
    <s v="Support - Infrastructure for Tech"/>
    <s v="Infrastructure Services, Controls &amp; User Enablement"/>
    <x v="0"/>
    <s v="Monthly"/>
    <s v="Monthly"/>
    <m/>
    <s v="Prj000350-Support - Infrastructure for Tech"/>
    <s v="Non-Labor"/>
    <x v="3"/>
    <s v="Infrastructure"/>
    <s v="MS Network"/>
    <s v="Information Technology"/>
    <s v="Managed Service - Network"/>
    <s v="Managed Service - Network"/>
    <s v="Monthly Expensed"/>
    <n v="32767"/>
    <n v="35314"/>
    <n v="35314"/>
    <n v="35702.549999999996"/>
    <n v="0"/>
    <n v="388.54999999999563"/>
    <n v="388.54999999999563"/>
    <s v="  "/>
    <n v="2943"/>
    <n v="2943"/>
    <n v="2943"/>
    <n v="2943"/>
    <n v="2943"/>
    <n v="2943"/>
    <n v="2943"/>
    <n v="2943"/>
    <n v="2943"/>
    <n v="2943"/>
    <n v="2943"/>
    <n v="2941"/>
    <n v="35314"/>
    <n v="20599"/>
    <n v="2802.71"/>
    <n v="2802.71"/>
    <n v="2802.71"/>
    <n v="3742.71"/>
    <n v="2952.71"/>
    <n v="2952.71"/>
    <m/>
    <m/>
    <m/>
    <m/>
    <m/>
    <m/>
    <n v="18056.259999999998"/>
    <n v="-140.28999999999996"/>
    <n v="-140.28999999999996"/>
    <n v="-140.28999999999996"/>
    <n v="799.71"/>
    <n v="9.7100000000000364"/>
    <n v="9.7100000000000364"/>
    <n v="-2943"/>
    <n v="-2943"/>
    <n v="-2943"/>
    <n v="-2943"/>
    <n v="-2943"/>
    <n v="-2941"/>
    <n v="-17257.739999999998"/>
    <s v="Budget v/s Actuals"/>
  </r>
  <r>
    <x v="0"/>
    <x v="8"/>
    <s v="Lumen"/>
    <x v="0"/>
    <s v="Support - Infrastructure for Tech"/>
    <s v="Infrastructure Services, Controls &amp; User Enablement"/>
    <x v="0"/>
    <s v="Monthly"/>
    <s v="Monthly"/>
    <m/>
    <s v="Prj000350-Support - Infrastructure for Tech"/>
    <s v="Non-Labor"/>
    <x v="3"/>
    <s v="Infrastructure"/>
    <s v="MS Network"/>
    <s v="Information Technology"/>
    <s v="Managed Service - Network"/>
    <s v="Managed Service - Network"/>
    <s v="Monthly Expensed"/>
    <n v="23746"/>
    <n v="25439"/>
    <n v="25439"/>
    <n v="24935.936666666668"/>
    <n v="-503.06333333333168"/>
    <n v="0"/>
    <n v="-503.06333333333168"/>
    <s v="  "/>
    <n v="2119.9166666666665"/>
    <n v="2119.9166666666665"/>
    <n v="2119.9166666666665"/>
    <n v="2119.9166666666665"/>
    <n v="2119.9166666666665"/>
    <n v="2119.9166666666665"/>
    <n v="2119.9166666666665"/>
    <n v="2119.9166666666665"/>
    <n v="2119.9166666666665"/>
    <n v="2119.9166666666665"/>
    <n v="2119.9166666666665"/>
    <n v="2119.9166666666665"/>
    <n v="25439.000000000004"/>
    <n v="14839.416666666664"/>
    <n v="2019.14"/>
    <n v="2019.24"/>
    <n v="2019.24"/>
    <n v="2019.45"/>
    <n v="2019.45"/>
    <n v="2019.45"/>
    <m/>
    <m/>
    <m/>
    <m/>
    <m/>
    <m/>
    <n v="12115.970000000001"/>
    <n v="-100.77666666666642"/>
    <n v="-100.67666666666651"/>
    <n v="-100.67666666666651"/>
    <n v="-100.46666666666647"/>
    <n v="-100.46666666666647"/>
    <n v="-100.46666666666647"/>
    <n v="-2119.9166666666665"/>
    <n v="-2119.9166666666665"/>
    <n v="-2119.9166666666665"/>
    <n v="-2119.9166666666665"/>
    <n v="-2119.9166666666665"/>
    <n v="-2119.9166666666665"/>
    <n v="-13323.029999999997"/>
    <s v="Budget v/s Actuals"/>
  </r>
  <r>
    <x v="0"/>
    <x v="9"/>
    <m/>
    <x v="0"/>
    <s v="Support - Infrastructure for Tech"/>
    <s v="Infrastructure Services, Controls &amp; User Enablement"/>
    <x v="0"/>
    <d v="2025-01-01T00:00:00"/>
    <d v="2025-12-31T00:00:00"/>
    <m/>
    <s v="Prj000350-Support - Infrastructure for Tech"/>
    <s v="Non-Labor"/>
    <x v="3"/>
    <s v="Infrastructure"/>
    <s v="Utility"/>
    <s v="Office expense"/>
    <s v="General Office Expense"/>
    <s v="Office Expense - Telephone &amp; FAX"/>
    <s v="Quarterly Expensed"/>
    <n v="2726"/>
    <n v="2863"/>
    <n v="2863"/>
    <n v="2863"/>
    <n v="0"/>
    <n v="0"/>
    <n v="0"/>
    <m/>
    <m/>
    <m/>
    <n v="715.75"/>
    <m/>
    <m/>
    <n v="715.75"/>
    <m/>
    <m/>
    <n v="715.75"/>
    <m/>
    <m/>
    <n v="715.75"/>
    <n v="2863"/>
    <n v="2147.25"/>
    <m/>
    <m/>
    <m/>
    <m/>
    <m/>
    <m/>
    <m/>
    <m/>
    <m/>
    <m/>
    <m/>
    <m/>
    <n v="0"/>
    <n v="0"/>
    <n v="0"/>
    <n v="-715.75"/>
    <n v="0"/>
    <n v="0"/>
    <n v="-715.75"/>
    <n v="0"/>
    <n v="0"/>
    <n v="-715.75"/>
    <n v="0"/>
    <n v="0"/>
    <n v="-715.75"/>
    <n v="-2863"/>
    <m/>
  </r>
  <r>
    <x v="0"/>
    <x v="10"/>
    <m/>
    <x v="0"/>
    <s v="Support - Infrastructure for Tech"/>
    <s v="Infrastructure Services, Controls &amp; User Enablement"/>
    <x v="0"/>
    <d v="2025-10-17T00:00:00"/>
    <d v="2026-10-16T00:00:00"/>
    <s v="Zoom"/>
    <s v="Prj000350-Support - Infrastructure for Tech"/>
    <s v="Non-Labor"/>
    <x v="3"/>
    <s v="Infrastructure"/>
    <m/>
    <s v="Office expense"/>
    <s v="General Office Expense"/>
    <s v="Office Expense - Telephone &amp; FAX"/>
    <s v="Annual Expensed"/>
    <n v="14686"/>
    <n v="15750"/>
    <n v="15750"/>
    <n v="15750"/>
    <n v="0"/>
    <n v="0"/>
    <n v="0"/>
    <s v="Contract lower than 3+9"/>
    <m/>
    <m/>
    <m/>
    <m/>
    <m/>
    <m/>
    <m/>
    <m/>
    <m/>
    <n v="15750"/>
    <m/>
    <m/>
    <n v="15750"/>
    <n v="15750"/>
    <m/>
    <m/>
    <m/>
    <m/>
    <m/>
    <m/>
    <m/>
    <m/>
    <m/>
    <m/>
    <m/>
    <m/>
    <n v="0"/>
    <n v="0"/>
    <n v="0"/>
    <n v="0"/>
    <n v="0"/>
    <n v="0"/>
    <n v="0"/>
    <n v="0"/>
    <n v="0"/>
    <n v="0"/>
    <n v="-15750"/>
    <n v="0"/>
    <n v="0"/>
    <n v="-15750"/>
    <m/>
  </r>
  <r>
    <x v="2"/>
    <x v="11"/>
    <m/>
    <x v="0"/>
    <s v="Support - Infrastructure for Tech"/>
    <s v="Infrastructure Services, Controls &amp; User Enablement"/>
    <x v="0"/>
    <s v="NA"/>
    <s v="NA"/>
    <m/>
    <s v="Prj000350-Support - Infrastructure for Tech"/>
    <s v="Non-Labor"/>
    <x v="3"/>
    <s v="Infrastructure"/>
    <m/>
    <s v="Office expense"/>
    <s v="General Office Expense"/>
    <s v="Office Expense - Telephone &amp; FAX"/>
    <s v="Potential Opportunity"/>
    <n v="0"/>
    <n v="52500"/>
    <n v="52500"/>
    <n v="52500"/>
    <n v="0"/>
    <n v="0"/>
    <n v="0"/>
    <s v="Hard Opportunity"/>
    <m/>
    <m/>
    <m/>
    <m/>
    <m/>
    <m/>
    <m/>
    <m/>
    <m/>
    <m/>
    <m/>
    <n v="52500"/>
    <n v="52500"/>
    <n v="5250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-52500"/>
    <n v="-52500"/>
    <m/>
  </r>
  <r>
    <x v="0"/>
    <x v="12"/>
    <m/>
    <x v="5"/>
    <s v="Support - Prod Support for Credit Apps"/>
    <s v="Credit Technology"/>
    <x v="2"/>
    <s v="Monthly"/>
    <s v="Monthly"/>
    <m/>
    <s v="Prj000381-Support - Prod Support for Credit Apps"/>
    <s v="Non-Labor"/>
    <x v="1"/>
    <s v="OOE"/>
    <s v="Subscriptions"/>
    <s v="Subscription Services"/>
    <s v="Subscription Services"/>
    <s v="Office Expense"/>
    <s v="Monthly Expensed"/>
    <n v="13064.939999999999"/>
    <n v="14886"/>
    <n v="14886"/>
    <n v="13065.06"/>
    <n v="-1820.9400000000005"/>
    <n v="0"/>
    <n v="-1820.9400000000005"/>
    <s v="Subscription"/>
    <n v="1088.76"/>
    <n v="1088.76"/>
    <n v="1088.76"/>
    <n v="1088.76"/>
    <n v="1088.76"/>
    <n v="1088.76"/>
    <n v="1088.76"/>
    <n v="1088.76"/>
    <n v="1088.76"/>
    <n v="1088.76"/>
    <n v="1088.76"/>
    <n v="1088.76"/>
    <n v="13065.12"/>
    <n v="7621.3200000000006"/>
    <n v="1088.76"/>
    <n v="1088.74"/>
    <n v="1088.76"/>
    <n v="1088.74"/>
    <n v="1088.74"/>
    <m/>
    <m/>
    <m/>
    <m/>
    <m/>
    <m/>
    <m/>
    <n v="5443.74"/>
    <n v="0"/>
    <n v="-1.999999999998181E-2"/>
    <n v="0"/>
    <n v="-1.999999999998181E-2"/>
    <n v="-1.999999999998181E-2"/>
    <n v="-1088.76"/>
    <n v="-1088.76"/>
    <n v="-1088.76"/>
    <n v="-1088.76"/>
    <n v="-1088.76"/>
    <n v="-1088.76"/>
    <n v="-1088.76"/>
    <n v="-7621.380000000001"/>
    <s v="Budget v/s Actuals"/>
  </r>
  <r>
    <x v="0"/>
    <x v="13"/>
    <m/>
    <x v="6"/>
    <s v="Implement - Minor Enhancements for Sales"/>
    <s v="Asset Management Technology &amp; Data Services"/>
    <x v="4"/>
    <d v="2025-06-30T00:00:00"/>
    <d v="2027-06-29T00:00:00"/>
    <m/>
    <s v="Prj000426-Implement - Minor Enhancements for Sales"/>
    <s v="Non-Labor"/>
    <x v="1"/>
    <s v="OOE"/>
    <m/>
    <s v="Subscription Services"/>
    <s v="Subscription Services"/>
    <s v="Office Expense"/>
    <s v="Annual Expensed"/>
    <n v="11845"/>
    <n v="12200"/>
    <n v="12200"/>
    <n v="12200"/>
    <n v="0"/>
    <n v="0"/>
    <n v="0"/>
    <s v="2 Yrs yr1 11845 (paid in 2025) &amp; yr2 12200 (to be paid in 2026)"/>
    <m/>
    <m/>
    <m/>
    <m/>
    <m/>
    <m/>
    <m/>
    <m/>
    <m/>
    <m/>
    <m/>
    <n v="12200"/>
    <n v="12200"/>
    <n v="1220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-12200"/>
    <n v="-12200"/>
    <m/>
  </r>
  <r>
    <x v="1"/>
    <x v="14"/>
    <s v="Sales VAT Tax"/>
    <x v="1"/>
    <s v="Support - Internal Tech Workforce Activities"/>
    <s v="Cos, PMO &amp; Enterprise Technology"/>
    <x v="1"/>
    <s v="NA"/>
    <s v="NA"/>
    <m/>
    <s v="Prj000266-Support - Internal Tech Workforce Activities"/>
    <s v="Non-Labor"/>
    <x v="1"/>
    <s v="OOE"/>
    <m/>
    <s v="HST &amp; sales VAT tax"/>
    <s v="Sales Tax VAT"/>
    <s v="Sales Tax Expense"/>
    <s v="Annual Expensed"/>
    <n v="225000"/>
    <n v="236250"/>
    <n v="236250"/>
    <n v="236250"/>
    <n v="0"/>
    <n v="0"/>
    <n v="0"/>
    <s v="Parked for 2026 Sales Tax"/>
    <m/>
    <m/>
    <m/>
    <m/>
    <m/>
    <m/>
    <m/>
    <m/>
    <m/>
    <m/>
    <m/>
    <n v="236250"/>
    <n v="236250"/>
    <n v="23625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-236250"/>
    <n v="-236250"/>
    <m/>
  </r>
  <r>
    <x v="1"/>
    <x v="15"/>
    <s v="Sales VAT Tax"/>
    <x v="1"/>
    <s v="Support - Internal Tech Workforce Activities"/>
    <s v="Cos, PMO &amp; Enterprise Technology"/>
    <x v="1"/>
    <s v="NA"/>
    <s v="NA"/>
    <m/>
    <s v="Prj000266-Support - Internal Tech Workforce Activities"/>
    <s v="Non-Labor"/>
    <x v="1"/>
    <s v="OOE"/>
    <m/>
    <s v="HST &amp; sales VAT tax"/>
    <s v="Sales Tax VAT"/>
    <s v="Sales Tax Expense"/>
    <s v="Annual Expensed"/>
    <n v="135000"/>
    <n v="141750"/>
    <n v="141750"/>
    <n v="141750"/>
    <n v="0"/>
    <n v="0"/>
    <n v="0"/>
    <s v="Parked for 2026 Sales Tax"/>
    <m/>
    <m/>
    <m/>
    <m/>
    <m/>
    <m/>
    <m/>
    <m/>
    <m/>
    <m/>
    <m/>
    <n v="141750"/>
    <n v="141750"/>
    <n v="14175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-141750"/>
    <n v="-141750"/>
    <m/>
  </r>
  <r>
    <x v="1"/>
    <x v="16"/>
    <s v="Nterone"/>
    <x v="1"/>
    <s v="Support - Internal Tech Workforce Activities"/>
    <s v="Cos, PMO &amp; Enterprise Technology"/>
    <x v="1"/>
    <s v="NA"/>
    <s v="NA"/>
    <m/>
    <s v="Prj000266-Support - Internal Tech Workforce Activities"/>
    <s v="Non-Labor"/>
    <x v="1"/>
    <s v="OOE"/>
    <m/>
    <s v="Travel &amp; Entertainment"/>
    <s v="Training/Seminars/Conference Spend"/>
    <s v="External Training"/>
    <s v="Potential Opportunity"/>
    <n v="16285"/>
    <n v="17099"/>
    <n v="17099"/>
    <n v="17099"/>
    <n v="0"/>
    <n v="0"/>
    <n v="0"/>
    <s v="  "/>
    <m/>
    <m/>
    <m/>
    <m/>
    <m/>
    <m/>
    <m/>
    <m/>
    <m/>
    <m/>
    <m/>
    <n v="17099"/>
    <n v="17099"/>
    <n v="17099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-17099"/>
    <n v="-17099"/>
    <m/>
  </r>
  <r>
    <x v="0"/>
    <x v="17"/>
    <m/>
    <x v="7"/>
    <s v="Support - L2 CoE Management for Tech Horizontals"/>
    <s v="Tech Shared Services"/>
    <x v="5"/>
    <d v="2026-01-01T00:00:00"/>
    <d v="2026-12-31T00:00:00"/>
    <m/>
    <s v="Prj000403-Support - L2 CoE Management for Tech Horizontals"/>
    <s v="Labor"/>
    <x v="2"/>
    <s v="RTB- MS"/>
    <s v="L2 SOW FPC"/>
    <s v="Information Technology"/>
    <s v="Managed Service - Core"/>
    <s v="Managed Service - Core"/>
    <s v="Monthly Expensed"/>
    <n v="1357227"/>
    <n v="1359552"/>
    <n v="1359552"/>
    <n v="1446139"/>
    <n v="0"/>
    <n v="86587"/>
    <n v="86587"/>
    <s v="L2 SOW FPC"/>
    <n v="113296"/>
    <n v="113296"/>
    <n v="113296"/>
    <n v="113296"/>
    <n v="124084"/>
    <n v="120637"/>
    <n v="123837"/>
    <n v="127037"/>
    <n v="127037"/>
    <n v="127037"/>
    <n v="127037"/>
    <n v="127037"/>
    <n v="1456927"/>
    <n v="879659"/>
    <n v="113296"/>
    <n v="113296"/>
    <n v="113296"/>
    <n v="113296"/>
    <n v="113296"/>
    <m/>
    <m/>
    <m/>
    <m/>
    <m/>
    <m/>
    <m/>
    <n v="566480"/>
    <n v="0"/>
    <n v="0"/>
    <n v="0"/>
    <n v="0"/>
    <n v="-10788"/>
    <n v="-120637"/>
    <n v="-123837"/>
    <n v="-127037"/>
    <n v="-127037"/>
    <n v="-127037"/>
    <n v="-127037"/>
    <n v="-127037"/>
    <n v="-890447"/>
    <m/>
  </r>
  <r>
    <x v="0"/>
    <x v="18"/>
    <m/>
    <x v="8"/>
    <s v="T&amp;M"/>
    <s v=""/>
    <x v="1"/>
    <d v="2026-01-01T00:00:00"/>
    <d v="2026-12-31T00:00:00"/>
    <s v="D365 CRM"/>
    <s v="T&amp;M-T&amp;M"/>
    <s v="Labor"/>
    <x v="4"/>
    <s v="RTB- T&amp;M"/>
    <s v="T&amp;M"/>
    <s v="Outsourced"/>
    <s v="Run the Business Contractors and Outsource Services"/>
    <s v="RTB Expenses - Contractor"/>
    <s v="Monthly Expensed"/>
    <n v="302712"/>
    <n v="32832.000000000007"/>
    <n v="218880"/>
    <n v="213572"/>
    <n v="-5308"/>
    <n v="0"/>
    <n v="-5308"/>
    <s v="T&amp;M"/>
    <n v="18240"/>
    <n v="18240"/>
    <n v="18240"/>
    <n v="18240"/>
    <n v="18240"/>
    <n v="18240"/>
    <n v="18240"/>
    <n v="18240"/>
    <n v="18240"/>
    <n v="18240"/>
    <n v="18240"/>
    <n v="18240"/>
    <n v="218880"/>
    <n v="127680"/>
    <n v="16128"/>
    <n v="16464"/>
    <n v="16588"/>
    <n v="19104"/>
    <n v="17608"/>
    <m/>
    <m/>
    <m/>
    <m/>
    <m/>
    <m/>
    <m/>
    <n v="85892"/>
    <n v="-2112"/>
    <n v="-1776"/>
    <n v="-1652"/>
    <n v="864"/>
    <n v="-632"/>
    <n v="-18240"/>
    <n v="-18240"/>
    <n v="-18240"/>
    <n v="-18240"/>
    <n v="-18240"/>
    <n v="-18240"/>
    <n v="-18240"/>
    <n v="-132988"/>
    <s v="Budget v/s Actuals, allocations are based on capacity planning forecast"/>
  </r>
  <r>
    <x v="0"/>
    <x v="19"/>
    <s v="1Rivet"/>
    <x v="8"/>
    <s v="T&amp;M"/>
    <s v=""/>
    <x v="5"/>
    <d v="2026-01-01T00:00:00"/>
    <d v="2026-12-31T00:00:00"/>
    <m/>
    <s v="T&amp;M-T&amp;M"/>
    <s v="Labor"/>
    <x v="4"/>
    <s v="RTB- T&amp;M"/>
    <s v="T&amp;M"/>
    <s v="Outsourced"/>
    <s v="Run the Business Contractors and Outsource Services"/>
    <s v="RTB Expenses - Contractor"/>
    <s v="Monthly Expensed"/>
    <n v="3007993"/>
    <n v="1580266.3960475361"/>
    <n v="1438080"/>
    <n v="1426303"/>
    <n v="-11777"/>
    <n v="0"/>
    <n v="-11777"/>
    <s v="Support SOW + Desktop Support- T&amp;M, QA is not part of our budget"/>
    <n v="119840"/>
    <n v="119840"/>
    <n v="119840"/>
    <n v="119840"/>
    <n v="119840"/>
    <n v="119840"/>
    <n v="119840"/>
    <n v="119840"/>
    <n v="119840"/>
    <n v="119840"/>
    <n v="119840"/>
    <n v="119840"/>
    <n v="1438080"/>
    <n v="838880"/>
    <n v="115160"/>
    <n v="107611"/>
    <n v="124972"/>
    <m/>
    <m/>
    <m/>
    <m/>
    <m/>
    <m/>
    <m/>
    <m/>
    <m/>
    <n v="347743"/>
    <n v="-4680"/>
    <n v="-12229"/>
    <n v="5132"/>
    <n v="-119840"/>
    <n v="-119840"/>
    <n v="-119840"/>
    <n v="-119840"/>
    <n v="-119840"/>
    <n v="-119840"/>
    <n v="-119840"/>
    <n v="-119840"/>
    <n v="-119840"/>
    <n v="-1090337"/>
    <s v="Budget v/s Actuals, allocations are based on capacity planning forecast"/>
  </r>
  <r>
    <x v="0"/>
    <x v="19"/>
    <s v="1Rivet"/>
    <x v="8"/>
    <s v="T&amp;M"/>
    <s v=""/>
    <x v="0"/>
    <d v="2026-01-01T00:00:00"/>
    <d v="2026-12-31T00:00:00"/>
    <m/>
    <s v="T&amp;M-T&amp;M"/>
    <s v="Labor"/>
    <x v="4"/>
    <s v="RTB- T&amp;M"/>
    <s v="T&amp;M"/>
    <s v="Outsourced"/>
    <s v="Run the Business Contractors and Outsource Services"/>
    <s v="RTB Expenses - Contractor"/>
    <s v="Monthly Expensed"/>
    <n v="3007993"/>
    <n v="424425.54146080924"/>
    <n v="414080"/>
    <n v="332698"/>
    <n v="-81382"/>
    <n v="0"/>
    <n v="-81382"/>
    <s v="Support SOW + Desktop Support- T&amp;M, QA is not part of our budget"/>
    <n v="38560"/>
    <n v="38560"/>
    <n v="38560"/>
    <n v="38560"/>
    <n v="38560"/>
    <n v="22720"/>
    <n v="22720"/>
    <n v="22720"/>
    <n v="22720"/>
    <n v="22720"/>
    <n v="22720"/>
    <n v="22720"/>
    <n v="351840"/>
    <n v="159040"/>
    <n v="30336"/>
    <n v="27266"/>
    <n v="38936"/>
    <m/>
    <m/>
    <m/>
    <m/>
    <m/>
    <m/>
    <m/>
    <m/>
    <m/>
    <n v="96538"/>
    <n v="-8224"/>
    <n v="-11294"/>
    <n v="376"/>
    <n v="-38560"/>
    <n v="-38560"/>
    <n v="-22720"/>
    <n v="-22720"/>
    <n v="-22720"/>
    <n v="-22720"/>
    <n v="-22720"/>
    <n v="-22720"/>
    <n v="-22720"/>
    <n v="-255302"/>
    <s v="Danny's share in initial contract was $372K, but 2 additional resources were hired to replace Acenture resources, difference $41.6K between budget ($3.65M) and Actual contract( $3.7M) has been added for Danny to cover partial risk of swap, Arif is added separately while Shailesh annual forecast is $90640 but after adjusting against $41600 additional unbudgeted risk is $48640. Saving of $99/hour on Piyush exit from May (replaced by Survesh)"/>
  </r>
  <r>
    <x v="0"/>
    <x v="19"/>
    <s v="1Rivet"/>
    <x v="8"/>
    <s v="T&amp;M"/>
    <s v=""/>
    <x v="2"/>
    <d v="2026-01-01T00:00:00"/>
    <d v="2026-12-31T00:00:00"/>
    <m/>
    <s v="T&amp;M-T&amp;M"/>
    <s v="Labor"/>
    <x v="4"/>
    <s v="RTB- T&amp;M"/>
    <s v="T&amp;M"/>
    <s v="Outsourced"/>
    <s v="Run the Business Contractors and Outsource Services"/>
    <s v="RTB Expenses - Contractor"/>
    <s v="Monthly Expensed"/>
    <n v="3007993"/>
    <n v="1527639.5780478038"/>
    <n v="1505280"/>
    <n v="1234896"/>
    <n v="-270384"/>
    <n v="0"/>
    <n v="-270384"/>
    <s v="Support SOW + Desktop Support- T&amp;M, QA is not part of our budget"/>
    <n v="125440"/>
    <n v="125440"/>
    <n v="125440"/>
    <n v="125440"/>
    <n v="125440"/>
    <n v="104440"/>
    <n v="104440"/>
    <n v="86520"/>
    <n v="86520"/>
    <n v="86520"/>
    <n v="86520"/>
    <n v="86520"/>
    <n v="1268680"/>
    <n v="641480"/>
    <n v="108864"/>
    <n v="104184"/>
    <n v="129488"/>
    <m/>
    <m/>
    <m/>
    <m/>
    <m/>
    <m/>
    <m/>
    <m/>
    <m/>
    <n v="342536"/>
    <n v="-16576"/>
    <n v="-21256"/>
    <n v="4048"/>
    <n v="-125440"/>
    <n v="-125440"/>
    <n v="-104440"/>
    <n v="-104440"/>
    <n v="-86520"/>
    <n v="-86520"/>
    <n v="-86520"/>
    <n v="-86520"/>
    <n v="-86520"/>
    <n v="-926144"/>
    <s v="Budget v/s Actuals, saving of $21K/m on Nilesh's exit, Akram's exit saving from Aug $112"/>
  </r>
  <r>
    <x v="0"/>
    <x v="19"/>
    <s v="1Rivet"/>
    <x v="8"/>
    <s v="T&amp;M"/>
    <s v=""/>
    <x v="1"/>
    <d v="2026-01-01T00:00:00"/>
    <d v="2026-12-31T00:00:00"/>
    <m/>
    <s v="T&amp;M-T&amp;M"/>
    <s v="Labor"/>
    <x v="4"/>
    <s v="RTB- T&amp;M"/>
    <s v="T&amp;M"/>
    <s v="Outsourced"/>
    <s v="Run the Business Contractors and Outsource Services"/>
    <s v="RTB Expenses - Contractor"/>
    <s v="Monthly Expensed"/>
    <n v="3007993"/>
    <n v="116948.48444385102"/>
    <n v="291840"/>
    <n v="294272"/>
    <n v="0"/>
    <n v="2432"/>
    <n v="2432"/>
    <s v="Support SOW + Desktop Support- T&amp;M, QA is not part of our budget"/>
    <n v="24320"/>
    <n v="24320"/>
    <n v="24320"/>
    <n v="24320"/>
    <n v="24320"/>
    <n v="24320"/>
    <n v="24320"/>
    <n v="24320"/>
    <n v="24320"/>
    <n v="24320"/>
    <n v="24320"/>
    <n v="24320"/>
    <n v="291840"/>
    <n v="170240"/>
    <n v="24320"/>
    <n v="24320"/>
    <n v="26752"/>
    <m/>
    <m/>
    <m/>
    <m/>
    <m/>
    <m/>
    <m/>
    <m/>
    <m/>
    <n v="75392"/>
    <n v="0"/>
    <n v="0"/>
    <n v="2432"/>
    <n v="-24320"/>
    <n v="-24320"/>
    <n v="-24320"/>
    <n v="-24320"/>
    <n v="-24320"/>
    <n v="-24320"/>
    <n v="-24320"/>
    <n v="-24320"/>
    <n v="-24320"/>
    <n v="-216448"/>
    <s v="Budget v/s Actuals, allocations are based on capacity planning forecast"/>
  </r>
  <r>
    <x v="0"/>
    <x v="20"/>
    <s v="Crossfuze"/>
    <x v="9"/>
    <s v="Support - Enterprise Tech Helpdesk"/>
    <s v="Tech Shared Services"/>
    <x v="5"/>
    <s v="Monthly"/>
    <s v="Monthly"/>
    <m/>
    <s v="Prj000467-Support - Enterprise Tech Helpdesk"/>
    <s v="Labor"/>
    <x v="2"/>
    <s v="RTB- MS"/>
    <s v="FPC"/>
    <s v="Outsourced"/>
    <s v="Run the Business Contractors and Outsource Services"/>
    <s v="RTB Expenses - Contractor"/>
    <s v="Monthly Expensed"/>
    <n v="178950"/>
    <n v="190000"/>
    <n v="190000"/>
    <n v="116650"/>
    <n v="-73350"/>
    <n v="0"/>
    <n v="-73350"/>
    <s v="Revised contract - $5950/pm from June previously $15K/pm, new contract aligns more with cost as per actual consumption"/>
    <n v="15000"/>
    <n v="15000"/>
    <n v="15000"/>
    <n v="15000"/>
    <n v="15000"/>
    <n v="5950"/>
    <n v="5950"/>
    <n v="5950"/>
    <n v="5950"/>
    <n v="5950"/>
    <n v="5950"/>
    <n v="5950"/>
    <n v="116650"/>
    <n v="41650"/>
    <n v="15000"/>
    <n v="15000"/>
    <n v="15000"/>
    <n v="15000"/>
    <n v="15000"/>
    <n v="5950"/>
    <m/>
    <m/>
    <m/>
    <m/>
    <m/>
    <m/>
    <n v="80950"/>
    <n v="0"/>
    <n v="0"/>
    <n v="0"/>
    <n v="0"/>
    <n v="0"/>
    <n v="0"/>
    <n v="-5950"/>
    <n v="-5950"/>
    <n v="-5950"/>
    <n v="-5950"/>
    <n v="-5950"/>
    <n v="-5950"/>
    <n v="-35700"/>
    <s v="Budget v/s Actuals"/>
  </r>
  <r>
    <x v="0"/>
    <x v="17"/>
    <m/>
    <x v="10"/>
    <s v="Support - QA CoE Management for Tech Horizontals"/>
    <s v="Tech Shared Services"/>
    <x v="4"/>
    <d v="2026-01-01T00:00:00"/>
    <d v="2026-12-31T00:00:00"/>
    <m/>
    <s v="Prj000404-Support - QA CoE Management for Tech Horizontals"/>
    <s v="Labor"/>
    <x v="2"/>
    <s v="RTB- MS"/>
    <s v="QA SOW FPC"/>
    <s v="Outsourced"/>
    <s v="Run the Business Contractors and Outsource Services"/>
    <s v="RTB Expenses - Contractor"/>
    <s v="Monthly Expensed"/>
    <n v="780191"/>
    <n v="345000"/>
    <n v="345000"/>
    <n v="592000"/>
    <n v="0"/>
    <n v="247000"/>
    <n v="247000"/>
    <s v="QA SOW FPC - [KA - Feb23] - Updated forecast from Mar to Dec based on the new contract that superseeded the original one"/>
    <n v="28750"/>
    <n v="28750"/>
    <n v="41750"/>
    <n v="54750"/>
    <n v="54750"/>
    <n v="54750"/>
    <n v="54750"/>
    <n v="54750"/>
    <n v="54750"/>
    <n v="54750"/>
    <n v="54750"/>
    <n v="54750"/>
    <n v="592000"/>
    <n v="383250"/>
    <n v="28750"/>
    <n v="28750"/>
    <n v="41750"/>
    <n v="54750"/>
    <m/>
    <m/>
    <m/>
    <m/>
    <m/>
    <m/>
    <m/>
    <m/>
    <n v="154000"/>
    <n v="0"/>
    <n v="0"/>
    <n v="0"/>
    <n v="0"/>
    <n v="-54750"/>
    <n v="-54750"/>
    <n v="-54750"/>
    <n v="-54750"/>
    <n v="-54750"/>
    <n v="-54750"/>
    <n v="-54750"/>
    <n v="-54750"/>
    <n v="-438000"/>
    <s v="QA book work reallocation from L1/L2 support per new QA contract that superseded original._x000a_This is a category shift - work previously in Labor/T&amp;M now flows through MS under the new QA contract structure. The offsetting $70K opportunity in Labor/T&amp;M category partially mitigates this risk."/>
  </r>
  <r>
    <x v="0"/>
    <x v="17"/>
    <m/>
    <x v="8"/>
    <s v="T&amp;M"/>
    <s v=""/>
    <x v="5"/>
    <d v="2026-01-01T00:00:00"/>
    <d v="2026-12-31T00:00:00"/>
    <m/>
    <s v="T&amp;M-T&amp;M"/>
    <s v="Labor"/>
    <x v="4"/>
    <s v="RTB- T&amp;M"/>
    <s v="T&amp;M"/>
    <s v="Outsourced"/>
    <s v="Run the Business Contractors and Outsource Services"/>
    <s v="RTB Expenses - Contractor"/>
    <s v="Monthly Expensed"/>
    <n v="1019762.75"/>
    <n v="180884.67598475222"/>
    <n v="403200"/>
    <n v="558763.91999999993"/>
    <n v="0"/>
    <n v="155563.91999999993"/>
    <n v="155563.91999999993"/>
    <s v="T&amp;M - [KA - Feb 23] - Forcast updated from Feb to Dec, based on Raymond's exit. This T&amp;M forecast is adjusted in the new QA contract. Adjusted monthly rate starting Apr based on Shanky's exit"/>
    <n v="33600"/>
    <n v="33600"/>
    <n v="33600"/>
    <n v="33600"/>
    <n v="33600"/>
    <n v="33600"/>
    <n v="33600"/>
    <n v="33600"/>
    <n v="33600"/>
    <n v="33600"/>
    <n v="33600"/>
    <n v="33600"/>
    <n v="403200"/>
    <n v="235200"/>
    <n v="56960.56"/>
    <n v="89522.8"/>
    <n v="106520.55999999998"/>
    <n v="36960"/>
    <n v="33600"/>
    <m/>
    <m/>
    <m/>
    <m/>
    <m/>
    <m/>
    <m/>
    <n v="323563.92"/>
    <n v="23360.559999999998"/>
    <n v="55922.8"/>
    <n v="72920.559999999983"/>
    <n v="3360"/>
    <n v="0"/>
    <n v="-33600"/>
    <n v="-33600"/>
    <n v="-33600"/>
    <n v="-33600"/>
    <n v="-33600"/>
    <n v="-33600"/>
    <n v="-33600"/>
    <n v="-79636.080000000016"/>
    <s v="Budget v/s Actuals, allocations are based on capacity planning forecast"/>
  </r>
  <r>
    <x v="0"/>
    <x v="17"/>
    <m/>
    <x v="8"/>
    <s v="T&amp;M"/>
    <s v=""/>
    <x v="2"/>
    <d v="2026-01-01T00:00:00"/>
    <d v="2026-12-31T00:00:00"/>
    <m/>
    <s v="T&amp;M-T&amp;M"/>
    <s v="Labor"/>
    <x v="4"/>
    <s v="RTB- T&amp;M"/>
    <s v="T&amp;M"/>
    <s v="Outsourced"/>
    <s v="Run the Business Contractors and Outsource Services"/>
    <s v="RTB Expenses - Contractor"/>
    <s v="Monthly Expensed"/>
    <n v="1019762.75"/>
    <n v="245679.18678526054"/>
    <n v="252000"/>
    <n v="244650"/>
    <n v="-7350"/>
    <n v="0"/>
    <n v="-7350"/>
    <s v="T&amp;M - [KA - Feb 23] - Forcast updated from Feb to Dec, based on Raymond's exit. This T&amp;M forecast is adjusted in the new QA contract. Adjusted monthly rate starting Apr based on Shanky's exit"/>
    <n v="21000"/>
    <n v="21000"/>
    <n v="21000"/>
    <n v="21000"/>
    <n v="21000"/>
    <n v="21000"/>
    <n v="21000"/>
    <n v="21000"/>
    <n v="21000"/>
    <n v="21000"/>
    <n v="21000"/>
    <n v="21000"/>
    <n v="252000"/>
    <n v="147000"/>
    <n v="21000"/>
    <n v="19950"/>
    <n v="23100"/>
    <n v="17850"/>
    <n v="15750"/>
    <m/>
    <m/>
    <m/>
    <m/>
    <m/>
    <m/>
    <m/>
    <n v="97650"/>
    <n v="0"/>
    <n v="-1050"/>
    <n v="2100"/>
    <n v="-3150"/>
    <n v="-5250"/>
    <n v="-21000"/>
    <n v="-21000"/>
    <n v="-21000"/>
    <n v="-21000"/>
    <n v="-21000"/>
    <n v="-21000"/>
    <n v="-21000"/>
    <n v="-154350"/>
    <s v="Budget v/s Actuals, allocations are based on capacity planning forecast"/>
  </r>
  <r>
    <x v="0"/>
    <x v="17"/>
    <m/>
    <x v="8"/>
    <s v="T&amp;M"/>
    <s v=""/>
    <x v="4"/>
    <d v="2026-01-01T00:00:00"/>
    <d v="2026-12-31T00:00:00"/>
    <m/>
    <s v="T&amp;M-T&amp;M"/>
    <s v="Labor"/>
    <x v="4"/>
    <s v="RTB- T&amp;M"/>
    <s v="T&amp;M"/>
    <s v="Outsourced"/>
    <s v="Run the Business Contractors and Outsource Services"/>
    <s v="RTB Expenses - Contractor"/>
    <s v="Monthly Expensed"/>
    <n v="1019762.75"/>
    <n v="539054.33290978405"/>
    <n v="600000"/>
    <n v="294640"/>
    <n v="-305360"/>
    <n v="0"/>
    <n v="-305360"/>
    <s v="T&amp;M - [KA - Feb 23] - Forcast updated from Feb to Dec, based on Raymond's exit. This T&amp;M forecast is adjusted in the new QA contract. Adjusted monthly rate starting Apr based on Shanky's exit"/>
    <n v="50000"/>
    <n v="24000"/>
    <n v="24000"/>
    <n v="24000"/>
    <n v="24000"/>
    <n v="24000"/>
    <n v="24000"/>
    <n v="24000"/>
    <n v="24000"/>
    <n v="24000"/>
    <n v="24000"/>
    <n v="24000"/>
    <n v="314000"/>
    <n v="168000"/>
    <n v="44800"/>
    <n v="22800"/>
    <n v="0"/>
    <n v="26400"/>
    <n v="32640"/>
    <m/>
    <m/>
    <m/>
    <m/>
    <m/>
    <m/>
    <m/>
    <n v="126640"/>
    <n v="-5200"/>
    <n v="-1200"/>
    <n v="-24000"/>
    <n v="2400"/>
    <n v="8640"/>
    <n v="-24000"/>
    <n v="-24000"/>
    <n v="-24000"/>
    <n v="-24000"/>
    <n v="-24000"/>
    <n v="-24000"/>
    <n v="-24000"/>
    <n v="-187360"/>
    <s v="Raymonds exit gave 26k T&amp;M oppurtunity since Feb but QA resources were hired at same cost, QA book work reallocation from L1/L2 support per new QA contract that superseded original."/>
  </r>
  <r>
    <x v="0"/>
    <x v="17"/>
    <m/>
    <x v="8"/>
    <s v="T&amp;M"/>
    <s v=""/>
    <x v="1"/>
    <d v="2026-01-01T00:00:00"/>
    <d v="2026-12-31T00:00:00"/>
    <m/>
    <s v="T&amp;M-T&amp;M"/>
    <s v="Labor"/>
    <x v="4"/>
    <s v="RTB- T&amp;M"/>
    <s v="T&amp;M"/>
    <s v="Outsourced"/>
    <s v="Run the Business Contractors and Outsource Services"/>
    <s v="RTB Expenses - Contractor"/>
    <s v="Monthly Expensed"/>
    <n v="1019762.75"/>
    <n v="431963.4053367218"/>
    <n v="161280"/>
    <n v="84176"/>
    <n v="-77104"/>
    <n v="0"/>
    <n v="-77104"/>
    <s v="T&amp;M - [KA - Feb 23] - Forcast updated from Feb to Dec, based on Raymond's exit. This T&amp;M forecast is adjusted in the new QA contract. Adjusted monthly rate starting Apr based on Shanky's exit"/>
    <n v="13440"/>
    <n v="13440"/>
    <n v="13440"/>
    <n v="5440"/>
    <n v="5440"/>
    <n v="5440"/>
    <n v="5440"/>
    <n v="5440"/>
    <n v="5440"/>
    <n v="5440"/>
    <n v="5440"/>
    <n v="5440"/>
    <n v="89280"/>
    <n v="38080"/>
    <n v="11152"/>
    <n v="11296"/>
    <n v="13584"/>
    <n v="4624"/>
    <n v="5440"/>
    <m/>
    <m/>
    <m/>
    <m/>
    <m/>
    <m/>
    <m/>
    <n v="46096"/>
    <n v="-2288"/>
    <n v="-2144"/>
    <n v="144"/>
    <n v="-816"/>
    <n v="0"/>
    <n v="-5440"/>
    <n v="-5440"/>
    <n v="-5440"/>
    <n v="-5440"/>
    <n v="-5440"/>
    <n v="-5440"/>
    <n v="-5440"/>
    <n v="-43184"/>
    <s v="Opp offset with 1Rivet risk (Swati replacinf Shanky) + Budget v/s Actuals"/>
  </r>
  <r>
    <x v="0"/>
    <x v="17"/>
    <m/>
    <x v="8"/>
    <s v="T&amp;M"/>
    <s v=""/>
    <x v="4"/>
    <d v="2026-05-15T00:00:00"/>
    <d v="2026-12-31T00:00:00"/>
    <m/>
    <s v="T&amp;M-T&amp;M"/>
    <s v="Labor"/>
    <x v="4"/>
    <s v="RTB- T&amp;M"/>
    <s v="T&amp;M"/>
    <s v="Outsourced"/>
    <s v="Run the Business Contractors and Outsource Services"/>
    <s v="RTB Expenses - Contractor"/>
    <s v="Monthly Expensed"/>
    <n v="0"/>
    <n v="0"/>
    <n v="230400"/>
    <n v="230400"/>
    <n v="0"/>
    <n v="0"/>
    <n v="0"/>
    <s v="New UAT hired, New 2026 BoW utilised"/>
    <m/>
    <m/>
    <m/>
    <m/>
    <n v="15360"/>
    <n v="30720"/>
    <n v="30720"/>
    <n v="30720"/>
    <n v="30720"/>
    <n v="30720"/>
    <n v="30720"/>
    <n v="30720"/>
    <n v="230400"/>
    <n v="215040"/>
    <m/>
    <m/>
    <m/>
    <m/>
    <m/>
    <m/>
    <m/>
    <m/>
    <m/>
    <m/>
    <m/>
    <m/>
    <n v="0"/>
    <n v="0"/>
    <n v="0"/>
    <n v="0"/>
    <n v="0"/>
    <n v="-15360"/>
    <n v="-30720"/>
    <n v="-30720"/>
    <n v="-30720"/>
    <n v="-30720"/>
    <n v="-30720"/>
    <n v="-30720"/>
    <n v="-30720"/>
    <n v="-230400"/>
    <s v="New UAT lead Anand, WSO placeholder utilised"/>
  </r>
  <r>
    <x v="0"/>
    <x v="21"/>
    <m/>
    <x v="4"/>
    <s v="Support - Asset Management Applications"/>
    <s v="Asset Management Tech"/>
    <x v="3"/>
    <d v="2021-12-15T00:00:00"/>
    <d v="2026-12-14T00:00:00"/>
    <s v="Centry CLO"/>
    <s v="Prj000290-Support - Asset Management Applications"/>
    <s v="Non-Labor"/>
    <x v="0"/>
    <s v="Software"/>
    <s v="License"/>
    <s v="Information Technology"/>
    <s v="Software - Core"/>
    <s v="Software - Core"/>
    <s v="Quarterly Prepaid"/>
    <n v="1039565.6499999999"/>
    <n v="1091543.9324999999"/>
    <n v="1091543.9324999999"/>
    <n v="1141852.6399999999"/>
    <n v="0"/>
    <n v="50308.707500000019"/>
    <n v="50308.707500000019"/>
    <s v="Quarterly Prepaid, Manor park license fees unbudgeted"/>
    <n v="117486.73333333334"/>
    <n v="92793.753333333341"/>
    <n v="117939.75333333334"/>
    <n v="149042.80666666667"/>
    <n v="98639.296666666676"/>
    <n v="98639.296666666676"/>
    <n v="208501"/>
    <m/>
    <m/>
    <n v="208501"/>
    <m/>
    <m/>
    <n v="1091543.6400000001"/>
    <n v="515641.29666666669"/>
    <n v="117486.73333333334"/>
    <n v="92793.753333333341"/>
    <n v="117939.75333333334"/>
    <n v="149042.80666666667"/>
    <n v="148948.29666666669"/>
    <n v="98639.296666666676"/>
    <m/>
    <m/>
    <m/>
    <m/>
    <m/>
    <m/>
    <n v="724850.64000000013"/>
    <n v="0"/>
    <n v="0"/>
    <n v="0"/>
    <n v="0"/>
    <n v="50309.000000000015"/>
    <n v="0"/>
    <n v="-208501"/>
    <n v="0"/>
    <n v="0"/>
    <n v="-208501"/>
    <n v="0"/>
    <n v="0"/>
    <n v="-366693"/>
    <s v="Budget v/s Actuals, ends this year will be renewed next year for half the cost of this year"/>
  </r>
  <r>
    <x v="0"/>
    <x v="22"/>
    <s v="LIQ"/>
    <x v="11"/>
    <s v="Support - Prod Support for Ops Apps"/>
    <s v="Operations Technology"/>
    <x v="2"/>
    <d v="2026-01-15T00:00:00"/>
    <d v="2027-01-14T00:00:00"/>
    <s v="LIQ - Loan IQ"/>
    <s v="Prj000469-Support - Prod Support for Ops Apps"/>
    <s v="Non-Labor"/>
    <x v="0"/>
    <s v="Software"/>
    <s v="Software"/>
    <s v="Information Technology"/>
    <s v="Software - Core"/>
    <s v="Software - Core"/>
    <s v="Annual Prepaid"/>
    <n v="2866540"/>
    <n v="3617396"/>
    <n v="3617396"/>
    <n v="4073475.3699999992"/>
    <n v="0"/>
    <n v="456079.36999999918"/>
    <n v="456079.36999999918"/>
    <s v="Recurring License Fee/Maintenance for the period 1-Jan-2026 to 14-Jan-2026 and Subscription Fees for the period 15-Jan-2026 to 14-Jan-2027"/>
    <n v="333776.63"/>
    <n v="333776.63"/>
    <n v="333776.63"/>
    <n v="333776.63"/>
    <n v="333776.63"/>
    <n v="333776.63"/>
    <n v="333776.63"/>
    <n v="333776.63"/>
    <n v="333776.63"/>
    <n v="333776.63"/>
    <n v="333776.63"/>
    <n v="333776.63"/>
    <n v="4005319.5599999991"/>
    <n v="2336436.4099999997"/>
    <n v="401932.44"/>
    <n v="333776.63"/>
    <n v="333776.63"/>
    <n v="333776.63"/>
    <n v="333776.63"/>
    <n v="333776.63"/>
    <n v="333776.63"/>
    <n v="333776.63"/>
    <n v="333776.63"/>
    <n v="333776.63"/>
    <n v="333776.63"/>
    <n v="333776.63"/>
    <n v="4073475.3699999992"/>
    <n v="68155.81"/>
    <n v="0"/>
    <n v="0"/>
    <n v="0"/>
    <n v="0"/>
    <n v="0"/>
    <n v="0"/>
    <n v="0"/>
    <n v="0"/>
    <n v="0"/>
    <n v="0"/>
    <n v="0"/>
    <n v="68155.81"/>
    <s v="Sales tax unbudgeted + actual over budget estimated"/>
  </r>
  <r>
    <x v="0"/>
    <x v="23"/>
    <s v="IVP"/>
    <x v="12"/>
    <s v="Support - Data Analytics Office"/>
    <s v="Enterprise Architecture, Data Analytics &amp; AI"/>
    <x v="5"/>
    <d v="2025-11-07T00:00:00"/>
    <d v="2026-11-06T00:00:00"/>
    <s v="Polaris/EDM/SecMast Core"/>
    <s v="Prj000458-Support - Data Analytics Office"/>
    <s v="Non-Labor"/>
    <x v="0"/>
    <s v="Software"/>
    <s v="Software"/>
    <s v="Information Technology"/>
    <s v="Software - Core"/>
    <s v="Software - Core"/>
    <s v="Annual Prepaid"/>
    <n v="889688"/>
    <n v="1051185.52165"/>
    <n v="1051185.52165"/>
    <n v="835409.9"/>
    <n v="-215775.62164999999"/>
    <n v="0"/>
    <n v="-215775.62164999999"/>
    <s v="IVP EDM, Polaris, Security Master Year 3 SaaS Fees/ Production License Fee + Annual Consulting Fee for IVP EDM, Polaris, Security Master-Prepaid"/>
    <n v="103138.49"/>
    <n v="81363.490000000005"/>
    <n v="81363.490000000005"/>
    <n v="81363.490000000005"/>
    <n v="81363.490000000005"/>
    <n v="81363.490000000005"/>
    <n v="81363.490000000005"/>
    <n v="81363.490000000005"/>
    <n v="81363.490000000005"/>
    <n v="81363.490000000005"/>
    <m/>
    <m/>
    <n v="835409.9"/>
    <n v="406817.45"/>
    <n v="103138.49"/>
    <n v="81363.490000000005"/>
    <n v="81363.490000000005"/>
    <n v="81363.490000000005"/>
    <n v="81363.490000000005"/>
    <n v="81363.490000000005"/>
    <n v="81363.490000000005"/>
    <n v="81363.490000000005"/>
    <n v="81363.490000000005"/>
    <n v="81363.490000000005"/>
    <m/>
    <m/>
    <n v="835409.9"/>
    <n v="0"/>
    <n v="0"/>
    <n v="0"/>
    <n v="0"/>
    <n v="0"/>
    <n v="0"/>
    <n v="0"/>
    <n v="0"/>
    <n v="0"/>
    <n v="0"/>
    <n v="0"/>
    <n v="0"/>
    <n v="0"/>
    <s v="Budget v/s Actuals"/>
  </r>
  <r>
    <x v="0"/>
    <x v="23"/>
    <s v="IVP"/>
    <x v="13"/>
    <s v="Implement - Reporting for Internal Audit"/>
    <s v="Enterprise Architecture, Data Analytics &amp; AI"/>
    <x v="5"/>
    <d v="2025-07-01T00:00:00"/>
    <d v="2026-06-30T00:00:00"/>
    <s v="Polaris/EDM/SecMast Hosting"/>
    <s v="Prj000548-Implement - Reporting for Internal Audit"/>
    <s v="Non-Labor"/>
    <x v="0"/>
    <s v="Software"/>
    <m/>
    <s v="Information Technology"/>
    <s v="Software - Core"/>
    <s v="Software - Core"/>
    <s v="Annual Prepaid"/>
    <n v="100000"/>
    <n v="200000"/>
    <n v="200000"/>
    <n v="199999.99999999997"/>
    <n v="-2.9103830456733704E-11"/>
    <n v="0"/>
    <n v="-2.9103830456733704E-11"/>
    <s v="Polaris/EDM/SecMast- Prod. &amp; UAT Hosting Fee-Prepaid till Jun2026, to be renewed post Jun2026"/>
    <n v="16666.666666666668"/>
    <n v="16666.666666666668"/>
    <n v="16666.666666666668"/>
    <n v="16666.666666666668"/>
    <n v="16666.666666666668"/>
    <n v="16666.666666666668"/>
    <n v="16666.666666666668"/>
    <n v="16666.666666666668"/>
    <n v="16666.666666666668"/>
    <n v="16666.666666666668"/>
    <n v="16666.666666666668"/>
    <n v="16666.666666666668"/>
    <n v="199999.99999999997"/>
    <n v="116666.66666666669"/>
    <n v="16666.666666666668"/>
    <n v="16666.666666666668"/>
    <n v="16666.666666666668"/>
    <n v="16666.666666666668"/>
    <n v="16666.666666666668"/>
    <n v="16666.666666666668"/>
    <m/>
    <m/>
    <m/>
    <m/>
    <m/>
    <m/>
    <n v="100000.00000000001"/>
    <n v="0"/>
    <n v="0"/>
    <n v="0"/>
    <n v="0"/>
    <n v="0"/>
    <n v="0"/>
    <n v="-16666.666666666668"/>
    <n v="-16666.666666666668"/>
    <n v="-16666.666666666668"/>
    <n v="-16666.666666666668"/>
    <n v="-16666.666666666668"/>
    <n v="-16666.666666666668"/>
    <n v="-100000.00000000001"/>
    <m/>
  </r>
  <r>
    <x v="0"/>
    <x v="23"/>
    <s v="IVP"/>
    <x v="12"/>
    <s v="Support - Data Analytics Office"/>
    <s v="Enterprise Architecture, Data Analytics &amp; AI"/>
    <x v="5"/>
    <d v="2026-05-01T00:00:00"/>
    <d v="2027-04-30T00:00:00"/>
    <s v="Polaris/EDM/SecMast Hosting"/>
    <s v="Prj000458-Support - Data Analytics Office"/>
    <s v="Non-Labor"/>
    <x v="0"/>
    <s v="Software"/>
    <s v="Software"/>
    <s v="Information Technology"/>
    <s v="Software - Core"/>
    <s v="Software - Core"/>
    <s v="Annual Prepaid"/>
    <n v="66666.666666666672"/>
    <n v="100000"/>
    <n v="100000"/>
    <n v="99999.999999999985"/>
    <n v="-1.4551915228366852E-11"/>
    <n v="0"/>
    <n v="-1.4551915228366852E-11"/>
    <s v="Polaris/EDM/SecMast- Disaster Recovery Hosting Fee-Prepaid till Apr2027, to be renewed post Apr2027"/>
    <n v="8333.3333333333339"/>
    <n v="8333.3333333333339"/>
    <n v="8333.3333333333339"/>
    <n v="8333.3333333333339"/>
    <n v="8333.3333333333339"/>
    <n v="8333.3333333333339"/>
    <n v="8333.3333333333339"/>
    <n v="8333.3333333333339"/>
    <n v="8333.3333333333339"/>
    <n v="8333.3333333333339"/>
    <n v="8333.3333333333339"/>
    <n v="8333.3333333333339"/>
    <n v="99999.999999999985"/>
    <n v="58333.333333333343"/>
    <n v="8333.3333333333339"/>
    <n v="8333.3333333333339"/>
    <n v="8333.3333333333339"/>
    <n v="8333.3333333333339"/>
    <n v="8333.3333333333339"/>
    <n v="8333.3333333333339"/>
    <n v="8333.3333333333339"/>
    <n v="8333.3333333333339"/>
    <n v="8333.3333333333339"/>
    <n v="8333.3333333333339"/>
    <n v="8333.3333333333339"/>
    <n v="8333.3333333333339"/>
    <n v="99999.999999999985"/>
    <n v="0"/>
    <n v="0"/>
    <n v="0"/>
    <n v="0"/>
    <n v="0"/>
    <n v="0"/>
    <n v="0"/>
    <n v="0"/>
    <n v="0"/>
    <n v="0"/>
    <n v="0"/>
    <n v="0"/>
    <n v="0"/>
    <m/>
  </r>
  <r>
    <x v="0"/>
    <x v="24"/>
    <m/>
    <x v="14"/>
    <s v="Implement - Minor Enhancements for Enterprise Apps"/>
    <s v="Cos, PMO &amp; Enterprise Technology"/>
    <x v="1"/>
    <d v="2026-03-01T00:00:00"/>
    <d v="2027-02-28T00:00:00"/>
    <s v="Workday"/>
    <s v="Prj000446-Implement - Minor Enhancements for Enterprise Apps"/>
    <s v="Non-Labor"/>
    <x v="0"/>
    <s v="Software"/>
    <s v="Software"/>
    <s v="Information Technology"/>
    <s v="Software - Core"/>
    <s v="Software - Core"/>
    <s v="Annual Prepaid"/>
    <n v="464992"/>
    <n v="440671.35000000003"/>
    <n v="440671.35000000003"/>
    <n v="440671.00000000006"/>
    <n v="-0.34999999997671694"/>
    <n v="0"/>
    <n v="-0.34999999997671694"/>
    <s v="Misposting PREPAID in 2025; paid $419,687/- in Mar2025. Renewed as Prepaid in Mar 2026.-Added opportunity in Dec for extra support work as rec. my Melissa"/>
    <m/>
    <m/>
    <n v="36234.200000000004"/>
    <n v="36234.200000000004"/>
    <n v="36234.200000000004"/>
    <n v="36234.200000000004"/>
    <n v="36234.200000000004"/>
    <n v="36234.200000000004"/>
    <n v="36234.200000000004"/>
    <n v="36234.200000000004"/>
    <n v="36234.200000000004"/>
    <n v="114563.20000000001"/>
    <n v="440671.00000000006"/>
    <n v="331968.40000000002"/>
    <m/>
    <m/>
    <n v="36234.200000000004"/>
    <n v="36234.200000000004"/>
    <n v="36234.200000000004"/>
    <n v="36234.200000000004"/>
    <n v="36234.200000000004"/>
    <n v="36234.200000000004"/>
    <n v="36234.200000000004"/>
    <n v="36234.200000000004"/>
    <n v="36234.200000000004"/>
    <n v="36234.200000000004"/>
    <n v="362342.00000000006"/>
    <n v="0"/>
    <n v="0"/>
    <n v="0"/>
    <n v="0"/>
    <n v="0"/>
    <n v="0"/>
    <n v="0"/>
    <n v="0"/>
    <n v="0"/>
    <n v="0"/>
    <n v="0"/>
    <n v="-78329"/>
    <n v="-78329"/>
    <s v="Extra added in Dec for extra support work requested by Melissa"/>
  </r>
  <r>
    <x v="0"/>
    <x v="0"/>
    <m/>
    <x v="0"/>
    <s v="Support - Infrastructure for Tech"/>
    <s v="Infrastructure Services, Controls &amp; User Enablement"/>
    <x v="0"/>
    <s v="Monthly"/>
    <s v="Monthly"/>
    <m/>
    <s v="Prj000350-Support - Infrastructure for Tech"/>
    <s v="Non-Labor"/>
    <x v="0"/>
    <s v="Software"/>
    <s v="Monthly Incremental"/>
    <s v="Information Technology"/>
    <s v="Software - Licenses"/>
    <s v="Software - Licenses"/>
    <s v="Monthly Expensed"/>
    <n v="12685"/>
    <n v="15000"/>
    <n v="15000"/>
    <n v="14999.48"/>
    <n v="-0.52000000000043656"/>
    <n v="0"/>
    <n v="-0.52000000000043656"/>
    <s v="Monthly Incremental - Potential Opportunity-Monthly Incremental - Potential Opportunity"/>
    <n v="1250"/>
    <n v="1250"/>
    <n v="1250"/>
    <n v="1967"/>
    <n v="1967"/>
    <n v="1250"/>
    <n v="1250"/>
    <n v="1250"/>
    <n v="1250"/>
    <n v="1250"/>
    <n v="1250"/>
    <n v="2871"/>
    <n v="18055"/>
    <n v="10371"/>
    <n v="0"/>
    <n v="0"/>
    <n v="696.32"/>
    <n v="1966.08"/>
    <n v="1966.08"/>
    <n v="1966.08"/>
    <m/>
    <m/>
    <m/>
    <m/>
    <m/>
    <m/>
    <n v="6594.5599999999995"/>
    <n v="-1250"/>
    <n v="-1250"/>
    <n v="-553.67999999999995"/>
    <n v="-0.92000000000007276"/>
    <n v="-0.92000000000007276"/>
    <n v="716.07999999999993"/>
    <n v="-1250"/>
    <n v="-1250"/>
    <n v="-1250"/>
    <n v="-1250"/>
    <n v="-1250"/>
    <n v="-2871"/>
    <n v="-11460.44"/>
    <s v="Fluctuation per month, Dec has buffer"/>
  </r>
  <r>
    <x v="0"/>
    <x v="0"/>
    <m/>
    <x v="15"/>
    <s v="Support - Site Reliability Engineering for Tech"/>
    <s v="Infrastructure Services, Controls &amp; User Enablement"/>
    <x v="0"/>
    <d v="2024-06-01T00:00:00"/>
    <d v="2027-05-31T00:00:00"/>
    <m/>
    <s v="Prj000342-Support - Site Reliability Engineering for Tech"/>
    <s v="Non-Labor"/>
    <x v="3"/>
    <s v="Infrastructure"/>
    <s v="MS Cloud"/>
    <s v="Information Technology"/>
    <s v="Managed Service - Cloud"/>
    <s v="Managed Service - Cloud"/>
    <s v="Monthly Expensed"/>
    <n v="7121037.5"/>
    <n v="7500000"/>
    <n v="7500000"/>
    <n v="6852968.5600000005"/>
    <n v="-647031.43999999948"/>
    <n v="0"/>
    <n v="-647031.43999999948"/>
    <s v="3 YR $16MM Commitment;_x000a_Potential Incremental spend for Project Evolution-MS Cloud"/>
    <n v="625000"/>
    <n v="625000"/>
    <n v="625000"/>
    <n v="625000"/>
    <n v="625000"/>
    <n v="625000"/>
    <n v="625000"/>
    <n v="625000"/>
    <n v="625000"/>
    <n v="625000"/>
    <n v="625000"/>
    <n v="608224"/>
    <n v="7483224"/>
    <n v="4358224"/>
    <n v="660370.4"/>
    <n v="603859.57000000007"/>
    <n v="627545.69000000006"/>
    <n v="602395.04999999993"/>
    <n v="573.85"/>
    <n v="633397.85"/>
    <m/>
    <m/>
    <m/>
    <m/>
    <m/>
    <m/>
    <n v="3128142.41"/>
    <n v="35370.400000000023"/>
    <n v="-21140.429999999935"/>
    <n v="2545.6900000000605"/>
    <n v="-22604.95000000007"/>
    <n v="-624426.15"/>
    <n v="8397.8499999999767"/>
    <n v="-625000"/>
    <n v="-625000"/>
    <n v="-625000"/>
    <n v="-625000"/>
    <n v="-625000"/>
    <n v="-608224"/>
    <n v="-4355081.59"/>
    <s v="Fluctuation per month, Risk adjusted in Dec"/>
  </r>
  <r>
    <x v="0"/>
    <x v="25"/>
    <s v="SAI360"/>
    <x v="14"/>
    <s v="Implement - Minor Enhancements for Enterprise Apps"/>
    <s v="Cos, PMO &amp; Enterprise Technology"/>
    <x v="1"/>
    <d v="2025-08-01T00:00:00"/>
    <d v="2026-07-31T00:00:00"/>
    <m/>
    <s v="Prj000446-Implement - Minor Enhancements for Enterprise Apps"/>
    <s v="Non-Labor"/>
    <x v="0"/>
    <s v="Software"/>
    <s v="Software License"/>
    <s v="Information Technology"/>
    <s v="Software - Licenses"/>
    <s v="Software - Licenses"/>
    <s v="Annual Prepaid"/>
    <n v="40500"/>
    <n v="99225"/>
    <n v="99225"/>
    <n v="99225"/>
    <n v="0"/>
    <n v="0"/>
    <n v="0"/>
    <s v="Prepaid-Prepaid"/>
    <n v="8100"/>
    <n v="8100"/>
    <n v="8100"/>
    <n v="8100"/>
    <n v="8100"/>
    <n v="8100"/>
    <n v="8100"/>
    <n v="8505"/>
    <n v="8505"/>
    <n v="8505"/>
    <n v="8505"/>
    <n v="8505"/>
    <n v="99225"/>
    <n v="58725"/>
    <n v="8100"/>
    <n v="8100"/>
    <n v="8100"/>
    <n v="8100"/>
    <n v="8100"/>
    <n v="8100"/>
    <n v="8100"/>
    <m/>
    <m/>
    <m/>
    <m/>
    <m/>
    <n v="56700"/>
    <n v="0"/>
    <n v="0"/>
    <n v="0"/>
    <n v="0"/>
    <n v="0"/>
    <n v="0"/>
    <n v="0"/>
    <n v="-8505"/>
    <n v="-8505"/>
    <n v="-8505"/>
    <n v="-8505"/>
    <n v="-8505"/>
    <n v="-42525"/>
    <m/>
  </r>
  <r>
    <x v="0"/>
    <x v="6"/>
    <s v="CDW (b)"/>
    <x v="0"/>
    <s v="Support - Infrastructure for Tech"/>
    <s v="Infrastructure Services, Controls &amp; User Enablement"/>
    <x v="0"/>
    <d v="2026-01-01T00:00:00"/>
    <d v="2026-12-31T00:00:00"/>
    <s v="NCE M365 Jan - Dec Mthly Invoice"/>
    <s v="Prj000350-Support - Infrastructure for Tech"/>
    <s v="Non-Labor"/>
    <x v="0"/>
    <s v="Software"/>
    <m/>
    <s v="Information Technology"/>
    <s v="Software - Licenses"/>
    <s v="Software - Licenses"/>
    <s v="Monthly Expensed"/>
    <n v="59388.740000000013"/>
    <n v="86949.723000000013"/>
    <n v="86949.723000000013"/>
    <n v="86949.882000000012"/>
    <n v="0"/>
    <n v="0.15899999999965075"/>
    <n v="0.15899999999965075"/>
    <s v="NCE M365 E5"/>
    <n v="840.88"/>
    <n v="1681.7600000000002"/>
    <n v="7245.8102500000014"/>
    <n v="7245.8102500000014"/>
    <n v="7245.8102500000014"/>
    <n v="7245.8102500000014"/>
    <n v="7245.8102500000014"/>
    <n v="7245.8102500000014"/>
    <n v="7245.8102500000014"/>
    <n v="7245.8102500000014"/>
    <n v="7245.8102500000014"/>
    <n v="32024.810250000002"/>
    <n v="99759.742500000022"/>
    <n v="75499.671750000009"/>
    <n v="840.88"/>
    <n v="1681.7600000000002"/>
    <n v="840.88000000000011"/>
    <m/>
    <n v="840.88000000000011"/>
    <n v="4347.6899999999996"/>
    <m/>
    <m/>
    <m/>
    <m/>
    <m/>
    <m/>
    <n v="8552.09"/>
    <n v="0"/>
    <n v="0"/>
    <n v="-6404.9302500000013"/>
    <n v="-7245.8102500000014"/>
    <n v="-6404.9302500000013"/>
    <n v="-2898.1202500000018"/>
    <n v="-7245.8102500000014"/>
    <n v="-7245.8102500000014"/>
    <n v="-7245.8102500000014"/>
    <n v="-7245.8102500000014"/>
    <n v="-7245.8102500000014"/>
    <n v="-32024.810250000002"/>
    <n v="-91207.652500000026"/>
    <s v="Microsoft 365 E5 &amp; Teams Room Pro"/>
  </r>
  <r>
    <x v="0"/>
    <x v="6"/>
    <s v="CDW (b)"/>
    <x v="0"/>
    <s v="Support - Infrastructure for Tech"/>
    <s v="Infrastructure Services, Controls &amp; User Enablement"/>
    <x v="0"/>
    <d v="2025-10-01T00:00:00"/>
    <d v="2026-09-30T00:00:00"/>
    <s v="Proofpoint"/>
    <s v="Prj000350-Support - Infrastructure for Tech"/>
    <s v="Non-Labor"/>
    <x v="0"/>
    <s v="Software"/>
    <m/>
    <s v="Information Technology"/>
    <s v="Software - Licenses"/>
    <s v="Software - Licenses"/>
    <s v="Annual Expensed"/>
    <n v="79876"/>
    <n v="63000"/>
    <n v="63000"/>
    <n v="63000.37"/>
    <n v="0"/>
    <n v="0.37000000000261934"/>
    <n v="0.37000000000261934"/>
    <s v="Proofpoint Sftwr, paid in 2025. To be renewed in Q3/Q4 2026"/>
    <m/>
    <m/>
    <m/>
    <m/>
    <n v="2274.37"/>
    <m/>
    <m/>
    <m/>
    <m/>
    <m/>
    <m/>
    <n v="60726"/>
    <n v="63000.37"/>
    <n v="60726"/>
    <m/>
    <m/>
    <m/>
    <m/>
    <n v="2274.37"/>
    <m/>
    <m/>
    <m/>
    <m/>
    <m/>
    <m/>
    <m/>
    <n v="2274.37"/>
    <n v="0"/>
    <n v="0"/>
    <n v="0"/>
    <n v="0"/>
    <n v="0"/>
    <n v="0"/>
    <n v="0"/>
    <n v="0"/>
    <n v="0"/>
    <n v="0"/>
    <n v="0"/>
    <n v="-60726"/>
    <n v="-60726"/>
    <s v="proofpoint patrol for organisation"/>
  </r>
  <r>
    <x v="0"/>
    <x v="6"/>
    <s v="CDW Microsoft (a)"/>
    <x v="15"/>
    <s v="Support - Site Reliability Engineering for Tech"/>
    <s v="Infrastructure Services, Controls &amp; User Enablement"/>
    <x v="0"/>
    <d v="2025-09-01T00:00:00"/>
    <d v="2026-08-31T00:00:00"/>
    <s v="Syskit Point"/>
    <s v="Prj000342-Support - Site Reliability Engineering for Tech"/>
    <s v="Non-Labor"/>
    <x v="0"/>
    <s v="Software"/>
    <m/>
    <s v="Information Technology"/>
    <s v="Software - Licenses"/>
    <s v="Software - Licenses"/>
    <s v="Annual Expensed"/>
    <n v="31521"/>
    <n v="33096.819000000003"/>
    <n v="33096.819000000003"/>
    <n v="33096.819000000003"/>
    <n v="0"/>
    <n v="0"/>
    <n v="0"/>
    <s v="Syskit Point Sftwr"/>
    <m/>
    <m/>
    <m/>
    <m/>
    <m/>
    <m/>
    <m/>
    <m/>
    <n v="33096.819000000003"/>
    <m/>
    <m/>
    <m/>
    <n v="33096.819000000003"/>
    <n v="33096.819000000003"/>
    <m/>
    <m/>
    <m/>
    <m/>
    <m/>
    <m/>
    <m/>
    <m/>
    <m/>
    <m/>
    <m/>
    <m/>
    <n v="0"/>
    <n v="0"/>
    <n v="0"/>
    <n v="0"/>
    <n v="0"/>
    <n v="0"/>
    <n v="0"/>
    <n v="0"/>
    <n v="0"/>
    <n v="-33096.819000000003"/>
    <n v="0"/>
    <n v="0"/>
    <n v="0"/>
    <n v="-33096.819000000003"/>
    <m/>
  </r>
  <r>
    <x v="0"/>
    <x v="6"/>
    <s v="CDW Microsoft (a)"/>
    <x v="16"/>
    <s v="Support - Security Operations for Cybersecurity"/>
    <s v="Infrastructure Services, Controls &amp; User Enablement"/>
    <x v="0"/>
    <s v="NA"/>
    <s v="NA"/>
    <m/>
    <s v="Prj000358-Support - Security Operations for Cybersecurity"/>
    <s v="Non-Labor"/>
    <x v="0"/>
    <s v="Software"/>
    <m/>
    <s v="Information Technology"/>
    <s v="Software - Licenses"/>
    <s v="Software - Licenses"/>
    <s v="Annual Expensed"/>
    <n v="60310"/>
    <n v="63325.5"/>
    <n v="63325.5"/>
    <n v="63325.5"/>
    <n v="0"/>
    <n v="0"/>
    <n v="0"/>
    <s v="Misc Other Software - New Joiners-Potential Opp"/>
    <m/>
    <m/>
    <n v="1100.47"/>
    <m/>
    <m/>
    <m/>
    <m/>
    <n v="62225.03"/>
    <m/>
    <m/>
    <m/>
    <m/>
    <n v="63325.5"/>
    <n v="62225.03"/>
    <m/>
    <m/>
    <n v="1100.47"/>
    <m/>
    <m/>
    <m/>
    <m/>
    <m/>
    <m/>
    <m/>
    <m/>
    <m/>
    <n v="1100.47"/>
    <n v="0"/>
    <n v="0"/>
    <n v="0"/>
    <n v="0"/>
    <n v="0"/>
    <n v="0"/>
    <n v="0"/>
    <n v="-62225.03"/>
    <n v="0"/>
    <n v="0"/>
    <n v="0"/>
    <n v="0"/>
    <n v="-62225.03"/>
    <m/>
  </r>
  <r>
    <x v="0"/>
    <x v="26"/>
    <s v="Cloud Navigator"/>
    <x v="7"/>
    <s v="Support - L2 CoE Management for Tech Horizontals"/>
    <s v="Tech Shared Services"/>
    <x v="5"/>
    <d v="2026-06-01T00:00:00"/>
    <d v="2027-05-31T00:00:00"/>
    <m/>
    <s v="Prj000403-Support - L2 CoE Management for Tech Horizontals"/>
    <s v="Non-Labor"/>
    <x v="0"/>
    <s v="Software"/>
    <s v="Software"/>
    <s v="Information Technology"/>
    <s v="Software - Licenses"/>
    <s v="Software - Licenses"/>
    <s v="Annual Expensed"/>
    <n v="9600"/>
    <n v="10080"/>
    <n v="10080"/>
    <n v="10080"/>
    <n v="0"/>
    <n v="0"/>
    <n v="0"/>
    <s v="IAM Cloud – Cloud Drive Mapper Corporate 300 users - 1 year"/>
    <m/>
    <m/>
    <m/>
    <m/>
    <n v="4800"/>
    <n v="5280"/>
    <m/>
    <m/>
    <m/>
    <m/>
    <m/>
    <m/>
    <n v="10080"/>
    <n v="5280"/>
    <m/>
    <m/>
    <m/>
    <m/>
    <n v="4800"/>
    <m/>
    <m/>
    <m/>
    <m/>
    <m/>
    <m/>
    <m/>
    <n v="4800"/>
    <n v="0"/>
    <n v="0"/>
    <n v="0"/>
    <n v="0"/>
    <n v="0"/>
    <n v="-5280"/>
    <n v="0"/>
    <n v="0"/>
    <n v="0"/>
    <n v="0"/>
    <n v="0"/>
    <n v="0"/>
    <n v="-5280"/>
    <s v="Maybe an opportunity unless any further contract pending"/>
  </r>
  <r>
    <x v="0"/>
    <x v="27"/>
    <s v="FinDox is now Octus"/>
    <x v="4"/>
    <s v="Support - Asset Management Applications"/>
    <s v="Asset Management Tech"/>
    <x v="3"/>
    <d v="2026-04-01T00:00:00"/>
    <d v="2027-03-31T00:00:00"/>
    <s v="FinDox Core"/>
    <s v="Prj000290-Support - Asset Management Applications"/>
    <s v="Non-Labor"/>
    <x v="0"/>
    <s v="Software"/>
    <s v="Annual Software"/>
    <s v="Information Technology"/>
    <s v="Software - Licenses"/>
    <s v="Software - Licenses"/>
    <s v="Annual Expensed"/>
    <n v="230262.5"/>
    <n v="238897.86250000002"/>
    <n v="238897.86250000002"/>
    <n v="232868.65"/>
    <n v="-6029.2125000000233"/>
    <n v="0"/>
    <n v="-6029.2125000000233"/>
    <s v="Total contract - 342k IT cost 232k recharge to Liquid Credit 109k"/>
    <m/>
    <m/>
    <m/>
    <n v="232868.65"/>
    <m/>
    <m/>
    <m/>
    <m/>
    <m/>
    <m/>
    <m/>
    <m/>
    <n v="232868.65"/>
    <n v="0"/>
    <m/>
    <m/>
    <m/>
    <m/>
    <m/>
    <m/>
    <m/>
    <m/>
    <m/>
    <m/>
    <m/>
    <m/>
    <n v="0"/>
    <n v="0"/>
    <n v="0"/>
    <n v="0"/>
    <n v="-232868.65"/>
    <n v="0"/>
    <n v="0"/>
    <n v="0"/>
    <n v="0"/>
    <n v="0"/>
    <n v="0"/>
    <n v="0"/>
    <n v="0"/>
    <n v="-232868.65"/>
    <s v="Saving on budget v/s actual, prepaid cost of 232k expected for 12 months. Kindly spread for 9 months, total 342k our cost 232k, 109k is of liquid credit team"/>
  </r>
  <r>
    <x v="0"/>
    <x v="28"/>
    <s v="AKA Enterprises"/>
    <x v="2"/>
    <s v="Support - Prod support for Finance Applications"/>
    <s v="Finance &amp; Treasury Technology"/>
    <x v="2"/>
    <d v="2026-02-01T00:00:00"/>
    <d v="2027-01-31T00:00:00"/>
    <m/>
    <s v="Prj000344-Support - Prod support for Finance Applications"/>
    <s v="Non-Labor"/>
    <x v="0"/>
    <s v="Software"/>
    <m/>
    <s v="Information Technology"/>
    <s v="Software - Licenses"/>
    <s v="Software - Licenses"/>
    <s v="Annual Expensed"/>
    <n v="12000"/>
    <n v="12600"/>
    <n v="12600"/>
    <n v="12000"/>
    <n v="-600"/>
    <n v="0"/>
    <n v="-600"/>
    <s v="  "/>
    <m/>
    <n v="12600"/>
    <m/>
    <m/>
    <m/>
    <m/>
    <m/>
    <m/>
    <m/>
    <m/>
    <m/>
    <m/>
    <n v="12600"/>
    <n v="0"/>
    <m/>
    <n v="12000"/>
    <m/>
    <m/>
    <m/>
    <m/>
    <m/>
    <m/>
    <m/>
    <m/>
    <m/>
    <m/>
    <n v="12000"/>
    <n v="0"/>
    <n v="-600"/>
    <n v="0"/>
    <n v="0"/>
    <n v="0"/>
    <n v="0"/>
    <n v="0"/>
    <n v="0"/>
    <n v="0"/>
    <n v="0"/>
    <n v="0"/>
    <n v="0"/>
    <n v="-600"/>
    <s v="Budget v/s Actuals"/>
  </r>
  <r>
    <x v="0"/>
    <x v="29"/>
    <s v="Ontra"/>
    <x v="14"/>
    <s v="Implement - Minor Enhancements for Enterprise Apps"/>
    <s v="Cos, PMO &amp; Enterprise Technology"/>
    <x v="1"/>
    <d v="2025-07-19T00:00:00"/>
    <d v="2026-07-18T00:00:00"/>
    <s v="Ontra / Insight Funds"/>
    <s v="Prj000446-Implement - Minor Enhancements for Enterprise Apps"/>
    <s v="Non-Labor"/>
    <x v="0"/>
    <s v="Software"/>
    <m/>
    <s v="Information Technology"/>
    <s v="Software - Licenses"/>
    <s v="Software - Licenses"/>
    <s v="Annual Expensed"/>
    <n v="85330.79"/>
    <n v="90000"/>
    <n v="90000"/>
    <n v="90000"/>
    <n v="0"/>
    <n v="0"/>
    <n v="0"/>
    <s v="Prepaid in 2025-confirm if IT is taking this cost in 2026"/>
    <m/>
    <m/>
    <m/>
    <m/>
    <m/>
    <m/>
    <m/>
    <n v="90000"/>
    <m/>
    <m/>
    <m/>
    <m/>
    <n v="90000"/>
    <n v="90000"/>
    <m/>
    <m/>
    <m/>
    <m/>
    <m/>
    <m/>
    <m/>
    <m/>
    <m/>
    <m/>
    <m/>
    <m/>
    <n v="0"/>
    <n v="0"/>
    <n v="0"/>
    <n v="0"/>
    <n v="0"/>
    <n v="0"/>
    <n v="0"/>
    <n v="0"/>
    <n v="-90000"/>
    <n v="0"/>
    <n v="0"/>
    <n v="0"/>
    <n v="0"/>
    <n v="-90000"/>
    <m/>
  </r>
  <r>
    <x v="0"/>
    <x v="23"/>
    <s v="IVP"/>
    <x v="2"/>
    <s v="Support - Prod support for Finance Applications"/>
    <s v="Finance &amp; Treasury Technology"/>
    <x v="2"/>
    <d v="2026-04-20T00:00:00"/>
    <d v="2029-04-19T00:00:00"/>
    <s v="Recon, this annual cost was projected at 96K but actuals cost was 101k since over threshold it is spread over 12 months as prepaid from May'26-Apr'26 in accounting records"/>
    <s v="Prj000344-Support - Prod support for Finance Applications"/>
    <s v="Non-Labor"/>
    <x v="0"/>
    <s v="Software"/>
    <s v="Software"/>
    <s v="Information Technology"/>
    <s v="Software - Licenses"/>
    <s v="Software - Licenses"/>
    <s v="Annual Expensed"/>
    <n v="80119"/>
    <n v="96543"/>
    <n v="96543"/>
    <n v="101291"/>
    <n v="0"/>
    <n v="4748"/>
    <n v="4748"/>
    <s v="Recon, this annual cost was projected at 96K but actuals cost was 101k since over threshold it is spread over 12 months as prepaid from May'26-Apr'26 in accounting records"/>
    <m/>
    <m/>
    <m/>
    <m/>
    <n v="96543"/>
    <m/>
    <m/>
    <m/>
    <m/>
    <m/>
    <m/>
    <m/>
    <n v="96543"/>
    <n v="0"/>
    <m/>
    <m/>
    <m/>
    <m/>
    <n v="101291"/>
    <m/>
    <m/>
    <m/>
    <m/>
    <m/>
    <m/>
    <m/>
    <n v="101291"/>
    <n v="0"/>
    <n v="0"/>
    <n v="0"/>
    <n v="0"/>
    <n v="4748"/>
    <n v="0"/>
    <n v="0"/>
    <n v="0"/>
    <n v="0"/>
    <n v="0"/>
    <n v="0"/>
    <n v="0"/>
    <n v="4748"/>
    <s v="Prepaid, to be deferred"/>
  </r>
  <r>
    <x v="0"/>
    <x v="23"/>
    <s v="IVP"/>
    <x v="2"/>
    <s v="Support - Prod support for Finance Applications"/>
    <s v="Finance &amp; Treasury Technology"/>
    <x v="2"/>
    <d v="2024-12-14T00:00:00"/>
    <d v="2025-12-13T00:00:00"/>
    <s v="ExpMgr Hositng"/>
    <s v="Prj000344-Support - Prod support for Finance Applications"/>
    <s v="Non-Labor"/>
    <x v="0"/>
    <s v="Software"/>
    <s v="Software"/>
    <s v="Information Technology"/>
    <s v="Software - Licenses"/>
    <s v="Software - Licenses"/>
    <s v="Annual Expensed"/>
    <n v="12000"/>
    <n v="14460"/>
    <n v="14460"/>
    <n v="14460"/>
    <n v="0"/>
    <n v="0"/>
    <n v="0"/>
    <s v="ExpMgr"/>
    <m/>
    <m/>
    <m/>
    <n v="14460"/>
    <m/>
    <m/>
    <m/>
    <m/>
    <m/>
    <m/>
    <m/>
    <m/>
    <n v="14460"/>
    <n v="0"/>
    <m/>
    <m/>
    <m/>
    <m/>
    <m/>
    <m/>
    <m/>
    <m/>
    <m/>
    <m/>
    <m/>
    <m/>
    <n v="0"/>
    <n v="0"/>
    <n v="0"/>
    <n v="0"/>
    <n v="-14460"/>
    <n v="0"/>
    <n v="0"/>
    <n v="0"/>
    <n v="0"/>
    <n v="0"/>
    <n v="0"/>
    <n v="0"/>
    <n v="0"/>
    <n v="-14460"/>
    <m/>
  </r>
  <r>
    <x v="0"/>
    <x v="23"/>
    <s v="IVP"/>
    <x v="12"/>
    <s v="Support - Data Analytics Office"/>
    <s v="Enterprise Architecture, Data Analytics &amp; AI"/>
    <x v="5"/>
    <d v="2024-11-07T00:00:00"/>
    <d v="2025-11-06T00:00:00"/>
    <s v="Navigate"/>
    <s v="Prj000458-Support - Data Analytics Office"/>
    <s v="Non-Labor"/>
    <x v="0"/>
    <s v="Software"/>
    <s v="Software"/>
    <s v="Information Technology"/>
    <s v="Software - Licenses"/>
    <s v="Software - Licenses"/>
    <s v="Annual Expensed"/>
    <n v="80161"/>
    <n v="59783.0625"/>
    <n v="59783.0625"/>
    <n v="59783.0625"/>
    <n v="0"/>
    <n v="0"/>
    <n v="0"/>
    <s v="Navigate"/>
    <m/>
    <m/>
    <m/>
    <m/>
    <m/>
    <m/>
    <m/>
    <m/>
    <m/>
    <m/>
    <n v="59783.0625"/>
    <m/>
    <n v="59783.0625"/>
    <n v="59783.0625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-59783.0625"/>
    <n v="0"/>
    <n v="-59783.0625"/>
    <m/>
  </r>
  <r>
    <x v="0"/>
    <x v="30"/>
    <s v="Maplytics"/>
    <x v="17"/>
    <s v="Implement - Minor Enhancements for Marketing"/>
    <s v="Asset Management Technology &amp; Data Services"/>
    <x v="4"/>
    <d v="2026-01-21T00:00:00"/>
    <d v="2027-01-30T00:00:00"/>
    <m/>
    <s v="Prj000427-Implement - Minor Enhancements for Marketing"/>
    <s v="Non-Labor"/>
    <x v="0"/>
    <s v="Software"/>
    <m/>
    <s v="Information Technology"/>
    <s v="Software - Licenses"/>
    <s v="Software - Licenses"/>
    <s v="Annual Expensed"/>
    <n v="1200"/>
    <n v="1260"/>
    <n v="1260"/>
    <n v="1260"/>
    <n v="0"/>
    <n v="0"/>
    <n v="0"/>
    <s v="  "/>
    <n v="1260"/>
    <n v="0"/>
    <n v="0"/>
    <n v="0"/>
    <n v="0"/>
    <n v="0"/>
    <n v="0"/>
    <n v="0"/>
    <n v="0"/>
    <n v="0"/>
    <n v="0"/>
    <n v="0"/>
    <n v="1260"/>
    <n v="0"/>
    <n v="1260"/>
    <n v="0"/>
    <n v="0"/>
    <n v="0"/>
    <n v="0"/>
    <n v="0"/>
    <n v="0"/>
    <n v="0"/>
    <n v="0"/>
    <n v="0"/>
    <n v="0"/>
    <n v="0"/>
    <n v="1260"/>
    <n v="0"/>
    <n v="0"/>
    <n v="0"/>
    <n v="0"/>
    <n v="0"/>
    <n v="0"/>
    <n v="0"/>
    <n v="0"/>
    <n v="0"/>
    <n v="0"/>
    <n v="0"/>
    <n v="0"/>
    <n v="0"/>
    <m/>
  </r>
  <r>
    <x v="0"/>
    <x v="31"/>
    <s v="Lucid Software"/>
    <x v="18"/>
    <s v="Support - Tech Enablement 2026"/>
    <s v="Infrastructure Services, Controls &amp; User Enablement"/>
    <x v="0"/>
    <d v="2025-09-12T00:00:00"/>
    <d v="2026-06-01T00:00:00"/>
    <s v="Lucidscale Team / Suite"/>
    <s v="Prj000410-Support - Tech Enablement 2026"/>
    <s v="Non-Labor"/>
    <x v="0"/>
    <s v="Software"/>
    <m/>
    <s v="Information Technology"/>
    <s v="Software - Licenses"/>
    <s v="Software - Licenses"/>
    <s v="Annual Expensed"/>
    <n v="1643.58"/>
    <n v="1725.759"/>
    <n v="1725.759"/>
    <n v="1726"/>
    <n v="0"/>
    <n v="0.24099999999998545"/>
    <n v="0.24099999999998545"/>
    <s v="  Lucid Suite"/>
    <m/>
    <m/>
    <m/>
    <m/>
    <m/>
    <m/>
    <m/>
    <m/>
    <n v="1726"/>
    <m/>
    <m/>
    <m/>
    <n v="1726"/>
    <n v="1726"/>
    <m/>
    <m/>
    <m/>
    <m/>
    <m/>
    <m/>
    <m/>
    <m/>
    <m/>
    <m/>
    <m/>
    <m/>
    <n v="0"/>
    <n v="0"/>
    <n v="0"/>
    <n v="0"/>
    <n v="0"/>
    <n v="0"/>
    <n v="0"/>
    <n v="0"/>
    <n v="0"/>
    <n v="-1726"/>
    <n v="0"/>
    <n v="0"/>
    <n v="0"/>
    <n v="-1726"/>
    <m/>
  </r>
  <r>
    <x v="0"/>
    <x v="31"/>
    <s v="Lucid Software"/>
    <x v="18"/>
    <s v="Support - Tech Enablement 2026"/>
    <s v="Infrastructure Services, Controls &amp; User Enablement"/>
    <x v="0"/>
    <d v="2025-06-01T00:00:00"/>
    <d v="2026-06-02T00:00:00"/>
    <s v="Lucidscale Team / Suite"/>
    <s v="Prj000410-Support - Tech Enablement 2026"/>
    <s v="Non-Labor"/>
    <x v="0"/>
    <s v="Software"/>
    <m/>
    <s v="Information Technology"/>
    <s v="Software - Licenses"/>
    <s v="Software - Licenses"/>
    <s v="Annual Expensed"/>
    <n v="24823.59"/>
    <n v="26064.769500000002"/>
    <n v="26064.769500000002"/>
    <n v="26065"/>
    <n v="0"/>
    <n v="0.23049999999784632"/>
    <n v="0.23049999999784632"/>
    <s v="  Lucid Suite and Cloud Accelerator"/>
    <m/>
    <m/>
    <m/>
    <m/>
    <n v="26065"/>
    <m/>
    <m/>
    <m/>
    <m/>
    <m/>
    <m/>
    <m/>
    <n v="26065"/>
    <n v="0"/>
    <m/>
    <m/>
    <m/>
    <m/>
    <m/>
    <m/>
    <m/>
    <m/>
    <m/>
    <m/>
    <m/>
    <m/>
    <n v="0"/>
    <n v="0"/>
    <n v="0"/>
    <n v="0"/>
    <n v="0"/>
    <n v="-26065"/>
    <n v="0"/>
    <n v="0"/>
    <n v="0"/>
    <n v="0"/>
    <n v="0"/>
    <n v="0"/>
    <n v="0"/>
    <n v="-26065"/>
    <m/>
  </r>
  <r>
    <x v="0"/>
    <x v="32"/>
    <s v="Macabacus"/>
    <x v="2"/>
    <s v="Support - Prod support for Finance Applications"/>
    <s v="Finance &amp; Treasury Technology"/>
    <x v="2"/>
    <d v="2025-04-23T00:00:00"/>
    <d v="2026-04-23T00:00:00"/>
    <s v="XLS Modeler - Annual"/>
    <s v="Prj000344-Support - Prod support for Finance Applications"/>
    <s v="Non-Labor"/>
    <x v="0"/>
    <s v="Software"/>
    <m/>
    <s v="Information Technology"/>
    <s v="Software - Licenses"/>
    <s v="Software - Licenses"/>
    <s v="Annual Expensed"/>
    <n v="1297"/>
    <n v="1361.8500000000001"/>
    <n v="1361.8500000000001"/>
    <n v="1719.9"/>
    <n v="0"/>
    <n v="358.04999999999995"/>
    <n v="358.04999999999995"/>
    <s v="  "/>
    <m/>
    <m/>
    <m/>
    <n v="1362"/>
    <m/>
    <m/>
    <m/>
    <m/>
    <m/>
    <m/>
    <m/>
    <m/>
    <n v="1362"/>
    <n v="0"/>
    <m/>
    <m/>
    <m/>
    <n v="1719.9"/>
    <m/>
    <m/>
    <m/>
    <m/>
    <m/>
    <m/>
    <m/>
    <m/>
    <n v="1719.9"/>
    <n v="0"/>
    <n v="0"/>
    <n v="0"/>
    <n v="357.90000000000009"/>
    <n v="0"/>
    <n v="0"/>
    <n v="0"/>
    <n v="0"/>
    <n v="0"/>
    <n v="0"/>
    <n v="0"/>
    <n v="0"/>
    <n v="357.90000000000009"/>
    <s v="Budget v/s Actuals"/>
  </r>
  <r>
    <x v="0"/>
    <x v="32"/>
    <s v="Macabacus"/>
    <x v="2"/>
    <s v="Support - Prod support for Finance Applications"/>
    <s v="Finance &amp; Treasury Technology"/>
    <x v="2"/>
    <d v="2026-02-03T00:00:00"/>
    <d v="2027-02-03T00:00:00"/>
    <s v="Suit License"/>
    <s v="Prj000344-Support - Prod support for Finance Applications"/>
    <s v="Non-Labor"/>
    <x v="0"/>
    <s v="Software"/>
    <m/>
    <s v="Information Technology"/>
    <s v="Software - Licenses"/>
    <s v="Software - Licenses"/>
    <s v="Annual Expensed"/>
    <n v="1323"/>
    <n v="1389.15"/>
    <n v="1389.15"/>
    <n v="1472.85"/>
    <n v="0"/>
    <n v="83.699999999999818"/>
    <n v="83.699999999999818"/>
    <s v="  "/>
    <m/>
    <n v="1389"/>
    <m/>
    <m/>
    <m/>
    <m/>
    <m/>
    <m/>
    <m/>
    <m/>
    <m/>
    <m/>
    <n v="1389"/>
    <n v="0"/>
    <m/>
    <n v="1472.85"/>
    <m/>
    <m/>
    <m/>
    <m/>
    <m/>
    <m/>
    <m/>
    <m/>
    <m/>
    <m/>
    <n v="1472.85"/>
    <n v="0"/>
    <n v="83.849999999999909"/>
    <n v="0"/>
    <n v="0"/>
    <n v="0"/>
    <n v="0"/>
    <n v="0"/>
    <n v="0"/>
    <n v="0"/>
    <n v="0"/>
    <n v="0"/>
    <n v="0"/>
    <n v="83.849999999999909"/>
    <s v="Budget v/s Actuals"/>
  </r>
  <r>
    <x v="0"/>
    <x v="0"/>
    <s v="TBD could be CDW Microsoft (a)"/>
    <x v="0"/>
    <s v="Support - Infrastructure for Tech"/>
    <s v="Infrastructure Services, Controls &amp; User Enablement"/>
    <x v="0"/>
    <d v="2025-06-01T00:00:00"/>
    <d v="2028-05-31T00:00:00"/>
    <s v="MS Enterprise"/>
    <s v="Prj000350-Support - Infrastructure for Tech"/>
    <s v="Non-Labor"/>
    <x v="0"/>
    <s v="Software"/>
    <s v="Entpr Lic"/>
    <s v="Information Technology"/>
    <s v="Software - Licenses"/>
    <s v="Software - Licenses"/>
    <s v="Annual Prepaid"/>
    <n v="1916944.1866666665"/>
    <n v="1900385"/>
    <n v="1900385"/>
    <n v="2073920.716666667"/>
    <n v="0"/>
    <n v="173535.71666666702"/>
    <n v="173535.71666666702"/>
    <s v="Renewed 6/1/25, anniversary date true-up-Entpr Lic (Prepaid)"/>
    <n v="158365.41666666666"/>
    <n v="158365.41666666666"/>
    <n v="158365.41666666666"/>
    <n v="158365.41666666666"/>
    <n v="158365.41666666666"/>
    <n v="183156.23333333331"/>
    <n v="183156.23333333331"/>
    <n v="183156.23333333331"/>
    <n v="183156.23333333331"/>
    <n v="183156.23333333331"/>
    <n v="183156.23333333331"/>
    <n v="183156.23333333331"/>
    <n v="2073920.7166666668"/>
    <n v="1282093.6333333333"/>
    <n v="158365.41666666666"/>
    <n v="158365.41666666666"/>
    <n v="158365.41666666666"/>
    <n v="158365.41666666666"/>
    <n v="158365.41666666666"/>
    <m/>
    <m/>
    <m/>
    <m/>
    <m/>
    <m/>
    <m/>
    <n v="791827.08333333326"/>
    <n v="0"/>
    <n v="0"/>
    <n v="0"/>
    <n v="0"/>
    <n v="0"/>
    <n v="-183156.23333333331"/>
    <n v="-183156.23333333331"/>
    <n v="-183156.23333333331"/>
    <n v="-183156.23333333331"/>
    <n v="-183156.23333333331"/>
    <n v="-183156.23333333331"/>
    <n v="-183156.23333333331"/>
    <n v="-1282093.6333333333"/>
    <m/>
  </r>
  <r>
    <x v="0"/>
    <x v="33"/>
    <s v="Monday.com"/>
    <x v="18"/>
    <s v="Support - Tech Enablement 2026"/>
    <s v="Infrastructure Services, Controls &amp; User Enablement"/>
    <x v="0"/>
    <d v="2025-06-14T00:00:00"/>
    <d v="2026-06-13T00:00:00"/>
    <s v="Management Enterprise 600 Seats"/>
    <s v="Prj000410-Support - Tech Enablement 2026"/>
    <s v="Non-Labor"/>
    <x v="0"/>
    <s v="Software"/>
    <m/>
    <s v="Information Technology"/>
    <s v="Software - Licenses"/>
    <s v="Software - Licenses"/>
    <s v="Annual Prepaid"/>
    <n v="174358"/>
    <n v="307613.80000000005"/>
    <n v="307613.80000000005"/>
    <n v="305666.66666666669"/>
    <n v="-1947.1333333333605"/>
    <n v="0"/>
    <n v="-1947.1333333333605"/>
    <s v="Paid as Prepaid in 2025; to be renewed in 2026-Paid as Prepaid in 2025; to be renewed in 2026"/>
    <n v="24908.333333333332"/>
    <n v="24908.333333333332"/>
    <n v="24908.333333333332"/>
    <n v="24908.333333333332"/>
    <n v="24908.333333333332"/>
    <n v="25875"/>
    <n v="25875"/>
    <n v="25875"/>
    <n v="25875"/>
    <n v="25875"/>
    <n v="25875"/>
    <n v="25875"/>
    <n v="305666.66666666663"/>
    <n v="181125"/>
    <n v="24908.333333333332"/>
    <n v="24908.333333333332"/>
    <n v="24908.333333333332"/>
    <n v="24908.333333333332"/>
    <n v="24908.333333333332"/>
    <n v="25875"/>
    <n v="25875"/>
    <n v="25875"/>
    <n v="25875"/>
    <n v="25875"/>
    <n v="25875"/>
    <n v="25875"/>
    <n v="305666.66666666663"/>
    <n v="0"/>
    <n v="0"/>
    <n v="0"/>
    <n v="0"/>
    <n v="0"/>
    <n v="0"/>
    <n v="0"/>
    <n v="0"/>
    <n v="0"/>
    <n v="0"/>
    <n v="0"/>
    <n v="0"/>
    <n v="0"/>
    <s v="Budget v/s Actuals"/>
  </r>
  <r>
    <x v="0"/>
    <x v="34"/>
    <s v="ServiceNow Liac"/>
    <x v="0"/>
    <s v="Support - Infrastructure for Tech"/>
    <s v="Infrastructure Services, Controls &amp; User Enablement"/>
    <x v="0"/>
    <d v="2025-12-19T00:00:00"/>
    <d v="2026-12-18T00:00:00"/>
    <s v="ServiceNow Agile Team + Various"/>
    <s v="Prj000350-Support - Infrastructure for Tech"/>
    <s v="Non-Labor"/>
    <x v="0"/>
    <s v="Software"/>
    <s v="Software License 1"/>
    <s v="Information Technology"/>
    <s v="Software - Licenses"/>
    <s v="Software - Licenses"/>
    <s v="Annual Prepaid"/>
    <n v="437527.60583333333"/>
    <n v="361049"/>
    <n v="361049"/>
    <n v="461680.95416666666"/>
    <n v="0"/>
    <n v="100631.95416666666"/>
    <n v="100631.95416666666"/>
    <s v="Prepaid in 2025; to be renewed in Dec 2026-Prepaid in 2025; to be renewed in Dec 2026"/>
    <n v="41970.995833333327"/>
    <n v="41970.995833333327"/>
    <n v="41970.995833333327"/>
    <n v="41970.995833333327"/>
    <n v="41970.995833333327"/>
    <n v="41970.995833333327"/>
    <n v="41970.995833333327"/>
    <n v="41970.995833333327"/>
    <n v="41970.995833333327"/>
    <n v="41970.995833333327"/>
    <n v="41970.995833333327"/>
    <m/>
    <n v="461680.95416666666"/>
    <n v="251825.97499999995"/>
    <n v="41970.995833333327"/>
    <n v="41970.995833333327"/>
    <n v="41970.995833333327"/>
    <n v="41970.995833333327"/>
    <n v="41970.995833333327"/>
    <n v="41970.995833333327"/>
    <n v="41970.995833333327"/>
    <n v="41970.995833333327"/>
    <n v="41970.995833333327"/>
    <n v="41970.995833333327"/>
    <n v="41970.995833333327"/>
    <m/>
    <n v="461680.95416666666"/>
    <n v="0"/>
    <n v="0"/>
    <n v="0"/>
    <n v="0"/>
    <n v="0"/>
    <n v="0"/>
    <n v="0"/>
    <n v="0"/>
    <n v="0"/>
    <n v="0"/>
    <n v="0"/>
    <n v="0"/>
    <n v="0"/>
    <s v="This was to be charged back to Cyber, but now tech has to bear the cost. Danny's email is proof"/>
  </r>
  <r>
    <x v="0"/>
    <x v="34"/>
    <s v="ServiceNow Liac"/>
    <x v="0"/>
    <s v="Support - Infrastructure for Tech"/>
    <s v="Infrastructure Services, Controls &amp; User Enablement"/>
    <x v="0"/>
    <d v="2024-12-19T00:00:00"/>
    <d v="2025-12-18T00:00:00"/>
    <s v="ServiceNow Security Operations Enterprise - VR NRUSCINV-000450"/>
    <s v="Prj000350-Support - Infrastructure for Tech"/>
    <s v="Non-Labor"/>
    <x v="0"/>
    <s v="Software"/>
    <s v="Amount per Invoice"/>
    <s v="Information Technology"/>
    <s v="Software - Licenses"/>
    <s v="Software - Licenses"/>
    <s v="Annual Expensed"/>
    <n v="0"/>
    <n v="34875"/>
    <n v="34875"/>
    <n v="34875"/>
    <n v="0"/>
    <n v="0"/>
    <n v="0"/>
    <s v="Paid for 2025 in Dec 2024, need to renew in 2026-Paid for 2025 in Dec 2024, need to renew in 2026"/>
    <m/>
    <m/>
    <n v="34875"/>
    <m/>
    <m/>
    <m/>
    <m/>
    <m/>
    <m/>
    <m/>
    <m/>
    <m/>
    <n v="34875"/>
    <n v="0"/>
    <m/>
    <m/>
    <m/>
    <m/>
    <m/>
    <m/>
    <m/>
    <m/>
    <m/>
    <m/>
    <m/>
    <m/>
    <n v="0"/>
    <n v="0"/>
    <n v="0"/>
    <n v="-34875"/>
    <n v="0"/>
    <n v="0"/>
    <n v="0"/>
    <n v="0"/>
    <n v="0"/>
    <n v="0"/>
    <n v="0"/>
    <n v="0"/>
    <n v="0"/>
    <n v="-34875"/>
    <m/>
  </r>
  <r>
    <x v="0"/>
    <x v="34"/>
    <s v="ServiceNow Liac"/>
    <x v="0"/>
    <s v="Support - Infrastructure for Tech"/>
    <s v="Infrastructure Services, Controls &amp; User Enablement"/>
    <x v="0"/>
    <d v="2025-12-19T00:00:00"/>
    <d v="2026-12-18T00:00:00"/>
    <s v="Strategic Portfolio Management (SPM) Pro"/>
    <s v="Prj000350-Support - Infrastructure for Tech"/>
    <s v="Non-Labor"/>
    <x v="0"/>
    <s v="Software"/>
    <s v="Software License 3"/>
    <s v="Information Technology"/>
    <s v="Software - Licenses"/>
    <s v="Software - Licenses"/>
    <s v="Annual Expensed"/>
    <n v="54369.49"/>
    <n v="57087.964500000002"/>
    <n v="57087.964500000002"/>
    <n v="29192"/>
    <n v="-27895.964500000002"/>
    <n v="0"/>
    <n v="-27895.964500000002"/>
    <s v="Strategic Portfolio Management (SPM) Pro, paid in Dec2025, to be renewed in Dec2026-Strategic Portfolio Management (SPM) Pro, paid in Dec2025, to be renewed in Dec2026"/>
    <m/>
    <m/>
    <m/>
    <m/>
    <m/>
    <m/>
    <m/>
    <m/>
    <m/>
    <m/>
    <m/>
    <n v="29192"/>
    <n v="29192"/>
    <n v="29192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-29192"/>
    <n v="-29192"/>
    <s v="Budget v/s Actuals"/>
  </r>
  <r>
    <x v="0"/>
    <x v="35"/>
    <s v="Oracle"/>
    <x v="11"/>
    <s v="Support - Prod Support for Ops Apps"/>
    <s v="Operations Technology"/>
    <x v="2"/>
    <d v="2024-03-11T00:00:00"/>
    <d v="2025-03-10T00:00:00"/>
    <s v="Oracle Java "/>
    <s v="Prj000469-Support - Prod Support for Ops Apps"/>
    <s v="Non-Labor"/>
    <x v="0"/>
    <s v="Software"/>
    <m/>
    <s v="Information Technology"/>
    <s v="Software - Licenses"/>
    <s v="Software - Licenses"/>
    <s v="Annual Expensed"/>
    <n v="8034"/>
    <n v="8435.7000000000007"/>
    <n v="8435.7000000000007"/>
    <n v="8436"/>
    <n v="0"/>
    <n v="0.2999999999992724"/>
    <n v="0.2999999999992724"/>
    <s v="LIQ Java"/>
    <m/>
    <m/>
    <m/>
    <m/>
    <m/>
    <m/>
    <m/>
    <n v="8436"/>
    <m/>
    <m/>
    <m/>
    <m/>
    <n v="8436"/>
    <n v="8436"/>
    <m/>
    <m/>
    <m/>
    <m/>
    <m/>
    <m/>
    <m/>
    <m/>
    <m/>
    <m/>
    <m/>
    <m/>
    <n v="0"/>
    <n v="0"/>
    <n v="0"/>
    <n v="0"/>
    <n v="0"/>
    <n v="0"/>
    <n v="0"/>
    <n v="0"/>
    <n v="-8436"/>
    <n v="0"/>
    <n v="0"/>
    <n v="0"/>
    <n v="0"/>
    <n v="-8436"/>
    <m/>
  </r>
  <r>
    <x v="0"/>
    <x v="36"/>
    <s v="Responsive"/>
    <x v="14"/>
    <s v="Implement - Minor Enhancements for Enterprise Apps"/>
    <s v="Cos, PMO &amp; Enterprise Technology"/>
    <x v="1"/>
    <d v="2026-03-29T00:00:00"/>
    <d v="2027-03-28T00:00:00"/>
    <m/>
    <s v="Prj000446-Implement - Minor Enhancements for Enterprise Apps"/>
    <s v="Non-Labor"/>
    <x v="0"/>
    <s v="Software"/>
    <m/>
    <s v="Information Technology"/>
    <s v="Software - Licenses"/>
    <s v="Software - Licenses"/>
    <s v="Annual Expensed"/>
    <n v="69417.919999999998"/>
    <n v="72888.816000000006"/>
    <n v="72888.816000000006"/>
    <n v="69417.919999999998"/>
    <n v="-3470.8960000000079"/>
    <n v="0"/>
    <n v="-3470.8960000000079"/>
    <s v="  "/>
    <m/>
    <m/>
    <n v="72888.816000000006"/>
    <m/>
    <m/>
    <m/>
    <m/>
    <m/>
    <m/>
    <m/>
    <m/>
    <m/>
    <n v="72888.816000000006"/>
    <n v="0"/>
    <m/>
    <m/>
    <n v="69417.919999999998"/>
    <m/>
    <m/>
    <m/>
    <m/>
    <m/>
    <m/>
    <m/>
    <m/>
    <m/>
    <n v="69417.919999999998"/>
    <n v="0"/>
    <n v="0"/>
    <n v="-3470.8960000000079"/>
    <n v="0"/>
    <n v="0"/>
    <n v="0"/>
    <n v="0"/>
    <n v="0"/>
    <n v="0"/>
    <n v="0"/>
    <n v="0"/>
    <n v="0"/>
    <n v="-3470.8960000000079"/>
    <s v="Budget v/s Actuals"/>
  </r>
  <r>
    <x v="0"/>
    <x v="37"/>
    <s v="Salesforce"/>
    <x v="12"/>
    <s v="Support - Data Analytics Office"/>
    <s v="Enterprise Architecture, Data Analytics &amp; AI"/>
    <x v="5"/>
    <d v="2025-03-29T00:00:00"/>
    <d v="2026-03-28T00:00:00"/>
    <s v="Tableau Creator (5) + Viewer (40) + Explorer (10)"/>
    <s v="Prj000458-Support - Data Analytics Office"/>
    <s v="Non-Labor"/>
    <x v="0"/>
    <s v="Software"/>
    <s v="SAAS Lics"/>
    <s v="Information Technology"/>
    <s v="Software - Licenses"/>
    <s v="Software - Licenses"/>
    <s v="Annual Expensed"/>
    <n v="42342.67"/>
    <n v="44460.15"/>
    <n v="44460.15"/>
    <n v="46713"/>
    <n v="0"/>
    <n v="2252.8499999999985"/>
    <n v="2252.8499999999985"/>
    <m/>
    <m/>
    <m/>
    <n v="44460.15"/>
    <m/>
    <m/>
    <m/>
    <m/>
    <m/>
    <m/>
    <m/>
    <m/>
    <m/>
    <n v="44460.15"/>
    <n v="0"/>
    <m/>
    <m/>
    <n v="46713"/>
    <m/>
    <m/>
    <m/>
    <m/>
    <m/>
    <m/>
    <m/>
    <m/>
    <m/>
    <n v="46713"/>
    <n v="0"/>
    <n v="0"/>
    <n v="2252.8499999999985"/>
    <n v="0"/>
    <n v="0"/>
    <n v="0"/>
    <n v="0"/>
    <n v="0"/>
    <n v="0"/>
    <n v="0"/>
    <n v="0"/>
    <n v="0"/>
    <n v="2252.8499999999985"/>
    <s v="Hard Risk"/>
  </r>
  <r>
    <x v="0"/>
    <x v="38"/>
    <s v="Mendix"/>
    <x v="6"/>
    <s v="Implement - Minor Enhancements for Sales"/>
    <s v="Asset Management Technology &amp; Data Services"/>
    <x v="4"/>
    <d v="2025-11-01T00:00:00"/>
    <d v="2026-10-31T00:00:00"/>
    <m/>
    <s v="Prj000426-Implement - Minor Enhancements for Sales"/>
    <s v="Non-Labor"/>
    <x v="0"/>
    <s v="Software"/>
    <m/>
    <s v="Information Technology"/>
    <s v="Software - Licenses"/>
    <s v="Software - Licenses"/>
    <s v="Annual Expensed"/>
    <n v="81053.040000000008"/>
    <n v="39305.700000000004"/>
    <n v="39305.700000000004"/>
    <n v="39306"/>
    <n v="0"/>
    <n v="0.29999999999563443"/>
    <n v="0.29999999999563443"/>
    <s v="  "/>
    <m/>
    <m/>
    <n v="2028"/>
    <n v="780"/>
    <m/>
    <m/>
    <m/>
    <m/>
    <m/>
    <m/>
    <n v="36498"/>
    <m/>
    <n v="39306"/>
    <n v="36498"/>
    <m/>
    <m/>
    <n v="2028"/>
    <n v="780"/>
    <m/>
    <m/>
    <m/>
    <m/>
    <m/>
    <m/>
    <m/>
    <m/>
    <n v="2808"/>
    <n v="0"/>
    <n v="0"/>
    <n v="0"/>
    <n v="0"/>
    <n v="0"/>
    <n v="0"/>
    <n v="0"/>
    <n v="0"/>
    <n v="0"/>
    <n v="0"/>
    <n v="-36498"/>
    <n v="0"/>
    <n v="-36498"/>
    <m/>
  </r>
  <r>
    <x v="0"/>
    <x v="39"/>
    <s v="Wealth Distribution Tool (Vendor TBD)"/>
    <x v="6"/>
    <s v="Implement - Minor Enhancements for Sales"/>
    <s v="Asset Management Technology &amp; Data Services"/>
    <x v="4"/>
    <d v="2025-09-04T00:00:00"/>
    <d v="2026-09-03T00:00:00"/>
    <s v="Walletshare Alts"/>
    <s v="Prj000426-Implement - Minor Enhancements for Sales"/>
    <s v="Non-Labor"/>
    <x v="0"/>
    <s v="Software"/>
    <m/>
    <s v="Information Technology"/>
    <s v="Software - Licenses"/>
    <s v="Software - Licenses"/>
    <s v="Annual Prepaid"/>
    <n v="43706"/>
    <n v="174825"/>
    <n v="174825"/>
    <n v="174825"/>
    <n v="0"/>
    <n v="0"/>
    <n v="0"/>
    <s v="Walletshare renews Sep2026, Set as Prepaid in 2025-Walletshare renews Sep2026, Set as Prepaid in 2025"/>
    <n v="14568.75"/>
    <n v="14568.75"/>
    <n v="14568.75"/>
    <n v="14568.75"/>
    <n v="14568.75"/>
    <n v="14568.75"/>
    <n v="14568.75"/>
    <n v="14568.75"/>
    <n v="14568.75"/>
    <n v="14568.75"/>
    <n v="14568.75"/>
    <n v="14568.75"/>
    <n v="174825"/>
    <n v="101981.25"/>
    <n v="14568.75"/>
    <n v="14568.75"/>
    <n v="14568.75"/>
    <n v="14568.75"/>
    <n v="14568.75"/>
    <n v="14568.75"/>
    <n v="14568.75"/>
    <n v="14568.75"/>
    <n v="14568.75"/>
    <m/>
    <m/>
    <m/>
    <n v="131118.75"/>
    <n v="0"/>
    <n v="0"/>
    <n v="0"/>
    <n v="0"/>
    <n v="0"/>
    <n v="0"/>
    <n v="0"/>
    <n v="0"/>
    <n v="0"/>
    <n v="-14568.75"/>
    <n v="-14568.75"/>
    <n v="-14568.75"/>
    <n v="-43706.25"/>
    <m/>
  </r>
  <r>
    <x v="0"/>
    <x v="40"/>
    <s v="Sonarsource"/>
    <x v="15"/>
    <s v="Support - Site Reliability Engineering for Tech"/>
    <s v="Infrastructure Services, Controls &amp; User Enablement"/>
    <x v="0"/>
    <d v="2025-11-22T00:00:00"/>
    <d v="2026-11-21T00:00:00"/>
    <m/>
    <s v="Prj000342-Support - Site Reliability Engineering for Tech"/>
    <s v="Non-Labor"/>
    <x v="0"/>
    <s v="Software"/>
    <m/>
    <s v="Information Technology"/>
    <s v="Software - Licenses"/>
    <s v="Software - Licenses"/>
    <s v="Annual Expensed"/>
    <n v="4895"/>
    <n v="5407.5"/>
    <n v="5407.5"/>
    <n v="5407.5"/>
    <n v="0"/>
    <n v="0"/>
    <n v="0"/>
    <s v="  "/>
    <m/>
    <m/>
    <m/>
    <m/>
    <m/>
    <m/>
    <m/>
    <m/>
    <m/>
    <m/>
    <m/>
    <n v="5407.5"/>
    <n v="5407.5"/>
    <n v="5407.5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-5407.5"/>
    <n v="-5407.5"/>
    <m/>
  </r>
  <r>
    <x v="0"/>
    <x v="41"/>
    <s v="SHI"/>
    <x v="0"/>
    <s v="Support - Infrastructure for Tech"/>
    <s v="Infrastructure Services, Controls &amp; User Enablement"/>
    <x v="0"/>
    <d v="2025-10-17T00:00:00"/>
    <d v="2027-10-16T00:00:00"/>
    <s v="Quest Software &amp; Maintenance"/>
    <s v="Prj000350-Support - Infrastructure for Tech"/>
    <s v="Non-Labor"/>
    <x v="0"/>
    <s v="Software"/>
    <s v="Software"/>
    <s v="Information Technology"/>
    <s v="Software - Licenses"/>
    <s v="Software - Licenses"/>
    <s v="NA"/>
    <n v="48135.15"/>
    <m/>
    <m/>
    <n v="0"/>
    <n v="0"/>
    <n v="0"/>
    <n v="0"/>
    <s v="Quest Software- One Identity-Cost of Quest Sofware for 2 years - material diff if we renew for 1 vs 2 yrs"/>
    <m/>
    <m/>
    <m/>
    <m/>
    <m/>
    <m/>
    <m/>
    <m/>
    <m/>
    <m/>
    <m/>
    <m/>
    <n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m/>
  </r>
  <r>
    <x v="0"/>
    <x v="41"/>
    <s v="SHI"/>
    <x v="9"/>
    <s v="Support - Enterprise Tech Helpdesk"/>
    <s v="Tech Shared Services"/>
    <x v="5"/>
    <d v="2025-10-30T00:00:00"/>
    <d v="2026-10-29T00:00:00"/>
    <s v="Adobe"/>
    <s v="Prj000467-Support - Enterprise Tech Helpdesk"/>
    <s v="Non-Labor"/>
    <x v="0"/>
    <s v="Software"/>
    <s v="Software"/>
    <s v="Information Technology"/>
    <s v="Software - Licenses"/>
    <s v="Software - Licenses"/>
    <s v="Annual Expensed"/>
    <n v="94231.349999999991"/>
    <n v="98942.917499999996"/>
    <n v="98942.917499999996"/>
    <n v="98943.23"/>
    <n v="0"/>
    <n v="0.3125"/>
    <n v="0.3125"/>
    <s v="Adobe"/>
    <n v="957"/>
    <m/>
    <m/>
    <m/>
    <m/>
    <m/>
    <m/>
    <m/>
    <m/>
    <n v="97986"/>
    <m/>
    <m/>
    <n v="98943"/>
    <n v="97986"/>
    <n v="957.23"/>
    <m/>
    <m/>
    <m/>
    <m/>
    <m/>
    <m/>
    <m/>
    <m/>
    <m/>
    <m/>
    <m/>
    <n v="957.23"/>
    <n v="0.23000000000001819"/>
    <n v="0"/>
    <n v="0"/>
    <n v="0"/>
    <n v="0"/>
    <n v="0"/>
    <n v="0"/>
    <n v="0"/>
    <n v="0"/>
    <n v="-97986"/>
    <n v="0"/>
    <n v="0"/>
    <n v="-97985.77"/>
    <m/>
  </r>
  <r>
    <x v="0"/>
    <x v="41"/>
    <s v="SHI"/>
    <x v="13"/>
    <s v="Implement - Reporting for Internal Audit"/>
    <s v="Enterprise Architecture, Data Analytics &amp; AI"/>
    <x v="5"/>
    <d v="2025-08-01T00:00:00"/>
    <d v="2026-07-31T00:00:00"/>
    <s v=" Erwin Data Modeler License"/>
    <s v="Prj000548-Implement - Reporting for Internal Audit"/>
    <s v="Non-Labor"/>
    <x v="0"/>
    <s v="Software"/>
    <s v="Software"/>
    <s v="Information Technology"/>
    <s v="Software - Licenses"/>
    <s v="Software - Licenses"/>
    <s v="Annual Expensed"/>
    <n v="8804.2099999999991"/>
    <n v="48667.5"/>
    <n v="48667.5"/>
    <n v="48667.5"/>
    <n v="0"/>
    <n v="0"/>
    <n v="0"/>
    <s v="Erwin Data Modeler License"/>
    <m/>
    <m/>
    <m/>
    <m/>
    <m/>
    <m/>
    <m/>
    <m/>
    <m/>
    <n v="48667.5"/>
    <m/>
    <m/>
    <n v="48667.5"/>
    <n v="48667.5"/>
    <m/>
    <m/>
    <m/>
    <m/>
    <m/>
    <m/>
    <m/>
    <m/>
    <m/>
    <m/>
    <m/>
    <m/>
    <n v="0"/>
    <n v="0"/>
    <n v="0"/>
    <n v="0"/>
    <n v="0"/>
    <n v="0"/>
    <n v="0"/>
    <n v="0"/>
    <n v="0"/>
    <n v="0"/>
    <n v="-48667.5"/>
    <n v="0"/>
    <n v="0"/>
    <n v="-48667.5"/>
    <m/>
  </r>
  <r>
    <x v="0"/>
    <x v="41"/>
    <s v="SHI"/>
    <x v="12"/>
    <s v="Support - Data Analytics Office"/>
    <s v="Enterprise Architecture, Data Analytics &amp; AI"/>
    <x v="5"/>
    <d v="2025-08-27T00:00:00"/>
    <d v="2026-08-26T00:00:00"/>
    <s v="Rocket Softwre"/>
    <s v="Prj000458-Support - Data Analytics Office"/>
    <s v="Non-Labor"/>
    <x v="0"/>
    <s v="Software"/>
    <s v="Desktop"/>
    <s v="Information Technology"/>
    <s v="Software - Licenses"/>
    <s v="Software - Licenses"/>
    <s v="Annual Expensed"/>
    <n v="837.46"/>
    <n v="68250"/>
    <n v="68250"/>
    <n v="68250"/>
    <n v="0"/>
    <n v="0"/>
    <n v="0"/>
    <s v="Rocket Software - 7K/Yr"/>
    <m/>
    <m/>
    <m/>
    <m/>
    <m/>
    <m/>
    <m/>
    <n v="68250"/>
    <m/>
    <m/>
    <m/>
    <m/>
    <n v="68250"/>
    <n v="68250"/>
    <m/>
    <m/>
    <m/>
    <m/>
    <m/>
    <m/>
    <m/>
    <m/>
    <m/>
    <m/>
    <m/>
    <m/>
    <n v="0"/>
    <n v="0"/>
    <n v="0"/>
    <n v="0"/>
    <n v="0"/>
    <n v="0"/>
    <n v="0"/>
    <n v="0"/>
    <n v="-68250"/>
    <n v="0"/>
    <n v="0"/>
    <n v="0"/>
    <n v="0"/>
    <n v="-68250"/>
    <m/>
  </r>
  <r>
    <x v="0"/>
    <x v="17"/>
    <s v="Coforge UI Path"/>
    <x v="7"/>
    <s v="Support - L2 CoE Management for Tech Horizontals"/>
    <s v="Tech Shared Services"/>
    <x v="5"/>
    <d v="2025-12-31T00:00:00"/>
    <d v="2026-12-30T00:00:00"/>
    <s v="UiPath"/>
    <s v="Prj000403-Support - L2 CoE Management for Tech Horizontals"/>
    <s v="Non-Labor"/>
    <x v="0"/>
    <s v="Software"/>
    <s v="License"/>
    <s v="Information Technology"/>
    <s v="Software - Licenses"/>
    <s v="Software - Licenses"/>
    <s v="Annual Expensed"/>
    <n v="96041.64"/>
    <n v="100844.1"/>
    <n v="100844.1"/>
    <n v="96041.64"/>
    <n v="-4802.4600000000064"/>
    <n v="0"/>
    <n v="-4802.4600000000064"/>
    <s v="UiPath Sftwr-UiPath Sftwr"/>
    <m/>
    <n v="100844.1"/>
    <m/>
    <m/>
    <m/>
    <m/>
    <m/>
    <m/>
    <m/>
    <m/>
    <m/>
    <m/>
    <n v="100844.1"/>
    <n v="0"/>
    <m/>
    <n v="96041.64"/>
    <m/>
    <m/>
    <m/>
    <m/>
    <m/>
    <m/>
    <m/>
    <m/>
    <m/>
    <m/>
    <n v="96041.64"/>
    <n v="0"/>
    <n v="-4802.4600000000064"/>
    <n v="0"/>
    <n v="0"/>
    <n v="0"/>
    <n v="0"/>
    <n v="0"/>
    <n v="0"/>
    <n v="0"/>
    <n v="0"/>
    <n v="0"/>
    <n v="0"/>
    <n v="-4802.4600000000064"/>
    <s v="Budget v/s Actuals"/>
  </r>
  <r>
    <x v="0"/>
    <x v="42"/>
    <s v="Smarsh"/>
    <x v="14"/>
    <s v="Implement - Minor Enhancements for Enterprise Apps"/>
    <s v="Cos, PMO &amp; Enterprise Technology"/>
    <x v="1"/>
    <d v="2025-12-26T00:00:00"/>
    <d v="2026-12-25T00:00:00"/>
    <s v="Subscription"/>
    <s v="Prj000446-Implement - Minor Enhancements for Enterprise Apps"/>
    <s v="Non-Labor"/>
    <x v="0"/>
    <s v="Software"/>
    <m/>
    <s v="Information Technology"/>
    <s v="Software - Licenses"/>
    <s v="Software - Licenses"/>
    <s v="Annual Expensed"/>
    <n v="71433.45"/>
    <n v="70432.698000000004"/>
    <n v="70432.698000000004"/>
    <n v="70310.907999999996"/>
    <n v="-121.79000000000815"/>
    <n v="0"/>
    <n v="-121.79000000000815"/>
    <m/>
    <n v="200"/>
    <n v="200"/>
    <n v="200"/>
    <n v="200"/>
    <n v="200"/>
    <n v="200"/>
    <n v="200"/>
    <n v="200"/>
    <n v="200"/>
    <n v="200"/>
    <n v="200"/>
    <n v="68232.698000000004"/>
    <n v="70432.698000000004"/>
    <n v="69432.698000000004"/>
    <n v="161.13999999999999"/>
    <n v="161.13999999999999"/>
    <n v="185.31"/>
    <n v="185.31"/>
    <n v="185.31"/>
    <m/>
    <m/>
    <m/>
    <m/>
    <m/>
    <m/>
    <m/>
    <n v="878.21"/>
    <n v="-38.860000000000014"/>
    <n v="-38.860000000000014"/>
    <n v="-14.689999999999998"/>
    <n v="-14.689999999999998"/>
    <n v="-14.689999999999998"/>
    <n v="-200"/>
    <n v="-200"/>
    <n v="-200"/>
    <n v="-200"/>
    <n v="-200"/>
    <n v="-200"/>
    <n v="-68232.698000000004"/>
    <n v="-69554.487999999998"/>
    <m/>
  </r>
  <r>
    <x v="0"/>
    <x v="5"/>
    <s v="LevPro"/>
    <x v="4"/>
    <s v="Support - Asset Management Applications"/>
    <s v="Asset Management Tech"/>
    <x v="3"/>
    <d v="2025-06-23T00:00:00"/>
    <d v="2026-06-23T00:00:00"/>
    <s v="Levpro"/>
    <s v="Prj000290-Support - Asset Management Applications"/>
    <s v="Non-Labor"/>
    <x v="0"/>
    <s v="Software"/>
    <s v="estimated"/>
    <s v="Information Technology"/>
    <s v="Software - Licenses"/>
    <s v="Software - Licenses"/>
    <s v="Annual Prepaid"/>
    <n v="75833"/>
    <n v="133245.90000000002"/>
    <n v="133245.90000000002"/>
    <n v="133249.31666666665"/>
    <n v="0"/>
    <n v="3.4166666666278616"/>
    <n v="3.4166666666278616"/>
    <s v="Software (Prepaid)"/>
    <n v="10832.650000000003"/>
    <n v="10832.650000000003"/>
    <n v="10832.650000000003"/>
    <n v="10832.650000000003"/>
    <n v="10832.650000000003"/>
    <n v="10832.650000000003"/>
    <n v="11375"/>
    <n v="11375"/>
    <n v="11375"/>
    <n v="11375"/>
    <n v="11375"/>
    <n v="11375"/>
    <n v="133245.90000000002"/>
    <n v="79082.649999999994"/>
    <n v="10833.333333333334"/>
    <n v="10833.333333333334"/>
    <n v="10833.333333333334"/>
    <n v="10833.333333333334"/>
    <n v="10833.333333333334"/>
    <n v="10833.333333333334"/>
    <m/>
    <m/>
    <m/>
    <m/>
    <m/>
    <m/>
    <n v="65000.000000000007"/>
    <n v="0.68333333333066548"/>
    <n v="0.68333333333066548"/>
    <n v="0.68333333333066548"/>
    <n v="0.68333333333066548"/>
    <n v="0.68333333333066548"/>
    <n v="0.68333333333066548"/>
    <n v="-11375"/>
    <n v="-11375"/>
    <n v="-11375"/>
    <n v="-11375"/>
    <n v="-11375"/>
    <n v="-11375"/>
    <n v="-68245.900000000023"/>
    <m/>
  </r>
  <r>
    <x v="0"/>
    <x v="43"/>
    <s v="Digicert"/>
    <x v="0"/>
    <s v="Support - Infrastructure for Tech"/>
    <s v="Infrastructure Services, Controls &amp; User Enablement"/>
    <x v="0"/>
    <d v="2025-03-03T00:00:00"/>
    <d v="2025-03-03T00:00:00"/>
    <m/>
    <s v="Prj000350-Support - Infrastructure for Tech"/>
    <s v="Non-Labor"/>
    <x v="0"/>
    <s v="Software"/>
    <m/>
    <s v="Information Technology"/>
    <s v="Software - Licenses"/>
    <s v="Software - Licenses"/>
    <s v="Annual Expensed"/>
    <n v="5000"/>
    <n v="5250"/>
    <n v="5250"/>
    <n v="5250"/>
    <n v="0"/>
    <n v="0"/>
    <n v="0"/>
    <m/>
    <m/>
    <m/>
    <n v="5250"/>
    <m/>
    <m/>
    <m/>
    <m/>
    <m/>
    <m/>
    <m/>
    <m/>
    <m/>
    <n v="5250"/>
    <n v="0"/>
    <m/>
    <m/>
    <m/>
    <m/>
    <m/>
    <m/>
    <m/>
    <m/>
    <m/>
    <m/>
    <m/>
    <m/>
    <n v="0"/>
    <n v="0"/>
    <n v="0"/>
    <n v="-5250"/>
    <n v="0"/>
    <n v="0"/>
    <n v="0"/>
    <n v="0"/>
    <n v="0"/>
    <n v="0"/>
    <n v="0"/>
    <n v="0"/>
    <n v="0"/>
    <n v="-5250"/>
    <m/>
  </r>
  <r>
    <x v="0"/>
    <x v="44"/>
    <s v="DataDog"/>
    <x v="7"/>
    <s v="Support - L2 CoE Management for Tech Horizontals"/>
    <s v="Tech Shared Services"/>
    <x v="5"/>
    <s v="Monthly"/>
    <s v="Monthly"/>
    <m/>
    <s v="Prj000403-Support - L2 CoE Management for Tech Horizontals"/>
    <s v="Non-Labor"/>
    <x v="0"/>
    <s v="Software"/>
    <s v="Software"/>
    <s v="Information Technology"/>
    <s v="Software - Licenses"/>
    <s v="Software - Licenses"/>
    <s v="Monthly Expensed"/>
    <n v="23410"/>
    <n v="26288.755499999999"/>
    <n v="26288.755499999999"/>
    <n v="26312.240000000002"/>
    <n v="0"/>
    <n v="23.484500000002299"/>
    <n v="23.484500000002299"/>
    <s v="Sftwr- Potential Risk to look for"/>
    <n v="8984.74"/>
    <n v="2271.65"/>
    <n v="1000"/>
    <n v="1000"/>
    <n v="1000"/>
    <n v="1000"/>
    <n v="1000"/>
    <n v="2190.75"/>
    <n v="2190.75"/>
    <n v="2190.75"/>
    <n v="2190.75"/>
    <n v="1523.75"/>
    <n v="26543.14"/>
    <n v="12286.75"/>
    <n v="8984.74"/>
    <n v="2271.65"/>
    <n v="745.2"/>
    <n v="763.08999999999992"/>
    <n v="1260.81"/>
    <m/>
    <m/>
    <m/>
    <m/>
    <m/>
    <m/>
    <m/>
    <n v="14025.49"/>
    <n v="0"/>
    <n v="0"/>
    <n v="-254.79999999999995"/>
    <n v="-236.91000000000008"/>
    <n v="260.80999999999995"/>
    <n v="-1000"/>
    <n v="-1000"/>
    <n v="-2190.75"/>
    <n v="-2190.75"/>
    <n v="-2190.75"/>
    <n v="-2190.75"/>
    <n v="-1523.75"/>
    <n v="-12517.65"/>
    <s v="Budget v/s Actuals"/>
  </r>
  <r>
    <x v="0"/>
    <x v="44"/>
    <s v="DataDog"/>
    <x v="7"/>
    <s v="Support - L2 CoE Management for Tech Horizontals"/>
    <s v="Tech Shared Services"/>
    <x v="5"/>
    <d v="2025-07-31T00:00:00"/>
    <d v="2026-07-30T00:00:00"/>
    <m/>
    <s v="Prj000403-Support - L2 CoE Management for Tech Horizontals"/>
    <s v="Non-Labor"/>
    <x v="0"/>
    <s v="Software"/>
    <s v="Software"/>
    <s v="Information Technology"/>
    <s v="Software - Licenses"/>
    <s v="Software - Licenses"/>
    <s v="Annual Expensed"/>
    <n v="208572.58"/>
    <n v="91250.25"/>
    <n v="91250.25"/>
    <n v="91250"/>
    <n v="-0.25"/>
    <n v="0"/>
    <n v="-0.25"/>
    <s v="Sftwr- Mis-posting Prepaid"/>
    <m/>
    <m/>
    <m/>
    <m/>
    <m/>
    <m/>
    <m/>
    <n v="91250"/>
    <m/>
    <m/>
    <m/>
    <m/>
    <n v="91250"/>
    <n v="91250"/>
    <m/>
    <m/>
    <m/>
    <m/>
    <m/>
    <m/>
    <m/>
    <m/>
    <m/>
    <m/>
    <m/>
    <m/>
    <n v="0"/>
    <n v="0"/>
    <n v="0"/>
    <n v="0"/>
    <n v="0"/>
    <n v="0"/>
    <n v="0"/>
    <n v="0"/>
    <n v="-91250"/>
    <n v="0"/>
    <n v="0"/>
    <n v="0"/>
    <n v="0"/>
    <n v="-91250"/>
    <m/>
  </r>
  <r>
    <x v="0"/>
    <x v="45"/>
    <s v="ClickTime"/>
    <x v="1"/>
    <s v="Support - Internal Tech Workforce Activities"/>
    <s v="Cos, PMO &amp; Enterprise Technology"/>
    <x v="1"/>
    <d v="2025-12-01T00:00:00"/>
    <d v="2026-11-30T00:00:00"/>
    <s v="ClickTime"/>
    <s v="Prj000266-Support - Internal Tech Workforce Activities"/>
    <s v="Non-Labor"/>
    <x v="0"/>
    <s v="Software"/>
    <s v="Software"/>
    <s v="Information Technology"/>
    <s v="Software - Licenses"/>
    <s v="Software - Licenses"/>
    <s v="Annual Expensed"/>
    <n v="37664"/>
    <n v="32760"/>
    <n v="32760"/>
    <n v="32760"/>
    <n v="0"/>
    <n v="0"/>
    <n v="0"/>
    <s v="Renewed/ paid in Dec2025, to be renewed in Dec2026-Renewed/ paid in Dec2025, to be renewed in Dec2026"/>
    <m/>
    <m/>
    <m/>
    <m/>
    <m/>
    <m/>
    <m/>
    <m/>
    <m/>
    <m/>
    <m/>
    <n v="32760"/>
    <n v="32760"/>
    <n v="3276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-32760"/>
    <n v="-32760"/>
    <s v="15% - Chicago Personal Property Lease Transaction Tax (PPLTT)"/>
  </r>
  <r>
    <x v="0"/>
    <x v="6"/>
    <s v="Think-Cell"/>
    <x v="1"/>
    <s v="Support - Internal Tech Workforce Activities"/>
    <s v="Cos, PMO &amp; Enterprise Technology"/>
    <x v="1"/>
    <d v="2025-04-16T00:00:00"/>
    <d v="2026-03-15T00:00:00"/>
    <s v="Think-cell parnership"/>
    <s v="Prj000266-Support - Internal Tech Workforce Activities"/>
    <s v="Non-Labor"/>
    <x v="0"/>
    <s v="Software"/>
    <m/>
    <s v="Information Technology"/>
    <s v="Software - Licenses"/>
    <s v="Software - Licenses"/>
    <s v="Annual Expensed"/>
    <n v="2393"/>
    <n v="2512"/>
    <n v="2512"/>
    <n v="8136.97"/>
    <n v="0"/>
    <n v="5624.97"/>
    <n v="5624.97"/>
    <s v="Think Cell"/>
    <m/>
    <m/>
    <m/>
    <n v="2512"/>
    <m/>
    <m/>
    <m/>
    <m/>
    <m/>
    <m/>
    <m/>
    <m/>
    <n v="2512"/>
    <n v="0"/>
    <m/>
    <m/>
    <m/>
    <n v="8136.97"/>
    <m/>
    <m/>
    <m/>
    <m/>
    <m/>
    <m/>
    <m/>
    <m/>
    <n v="8136.97"/>
    <n v="0"/>
    <n v="0"/>
    <n v="0"/>
    <n v="5624.97"/>
    <n v="0"/>
    <n v="0"/>
    <n v="0"/>
    <n v="0"/>
    <n v="0"/>
    <n v="0"/>
    <n v="0"/>
    <n v="0"/>
    <n v="5624.97"/>
    <s v="Thinkcell renewal higher than budgted"/>
  </r>
  <r>
    <x v="0"/>
    <x v="46"/>
    <s v="TIBCO Spotfire"/>
    <x v="12"/>
    <s v="Support - Data Analytics Office"/>
    <s v="Enterprise Architecture, Data Analytics &amp; AI"/>
    <x v="5"/>
    <d v="2025-08-31T00:00:00"/>
    <d v="2026-08-30T00:00:00"/>
    <s v="Spotfire"/>
    <s v="Prj000458-Support - Data Analytics Office"/>
    <s v="Non-Labor"/>
    <x v="0"/>
    <s v="Software"/>
    <s v="Production"/>
    <s v="Information Technology"/>
    <s v="Software - Licenses"/>
    <s v="Software - Licenses"/>
    <s v="Annual Prepaid"/>
    <n v="139684"/>
    <n v="139684"/>
    <n v="139684"/>
    <n v="139683.99999999997"/>
    <n v="-2.9103830456733704E-11"/>
    <n v="0"/>
    <n v="-2.9103830456733704E-11"/>
    <s v="Paid as prepaid in 2025, to be renewed in Aug/Sep 2026"/>
    <n v="11640.333333333334"/>
    <n v="11640.333333333334"/>
    <n v="11640.333333333334"/>
    <n v="11640.333333333334"/>
    <n v="11640.333333333334"/>
    <n v="11640.333333333334"/>
    <n v="11640.333333333334"/>
    <n v="11640.333333333334"/>
    <n v="11640.333333333334"/>
    <n v="11640.333333333334"/>
    <n v="11640.333333333334"/>
    <n v="11640.333333333334"/>
    <n v="139683.99999999997"/>
    <n v="81482.333333333328"/>
    <n v="11640.333333333334"/>
    <n v="11640.333333333334"/>
    <n v="11640.333333333334"/>
    <n v="11640.333333333334"/>
    <n v="11640.333333333334"/>
    <n v="11640.333333333334"/>
    <n v="11640.333333333334"/>
    <n v="11640.333333333334"/>
    <m/>
    <m/>
    <m/>
    <m/>
    <n v="93122.666666666657"/>
    <n v="0"/>
    <n v="0"/>
    <n v="0"/>
    <n v="0"/>
    <n v="0"/>
    <n v="0"/>
    <n v="0"/>
    <n v="0"/>
    <n v="-11640.333333333334"/>
    <n v="-11640.333333333334"/>
    <n v="-11640.333333333334"/>
    <n v="-11640.333333333334"/>
    <n v="-46561.333333333336"/>
    <m/>
  </r>
  <r>
    <x v="0"/>
    <x v="47"/>
    <s v="CloudFlare"/>
    <x v="14"/>
    <s v="Implement - Minor Enhancements for Enterprise Apps"/>
    <s v="Cos, PMO &amp; Enterprise Technology"/>
    <x v="1"/>
    <s v="Monthly"/>
    <s v="Monthly"/>
    <m/>
    <s v="Prj000446-Implement - Minor Enhancements for Enterprise Apps"/>
    <s v="Non-Labor"/>
    <x v="0"/>
    <s v="Software"/>
    <s v="Software"/>
    <s v="Information Technology"/>
    <s v="Software - Licenses"/>
    <s v="Software - Licenses"/>
    <s v="Annual Expensed"/>
    <n v="3000"/>
    <n v="3150"/>
    <n v="3150"/>
    <n v="3150"/>
    <n v="0"/>
    <n v="0"/>
    <n v="0"/>
    <s v="Potential Opp.- we moved to Equisolve to host our website"/>
    <m/>
    <m/>
    <m/>
    <m/>
    <m/>
    <m/>
    <m/>
    <m/>
    <m/>
    <m/>
    <m/>
    <n v="3150"/>
    <n v="3150"/>
    <n v="315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-3150"/>
    <n v="-3150"/>
    <m/>
  </r>
  <r>
    <x v="0"/>
    <x v="48"/>
    <s v="Litera"/>
    <x v="14"/>
    <s v="Implement - Minor Enhancements for Enterprise Apps"/>
    <s v="Cos, PMO &amp; Enterprise Technology"/>
    <x v="1"/>
    <d v="2025-10-19T00:00:00"/>
    <d v="2026-10-18T00:00:00"/>
    <s v="Litera Compare Desktop"/>
    <s v="Prj000446-Implement - Minor Enhancements for Enterprise Apps"/>
    <s v="Non-Labor"/>
    <x v="0"/>
    <s v="Software"/>
    <s v="Desktop"/>
    <s v="Information Technology"/>
    <s v="Software - Licenses"/>
    <s v="Software - Licenses"/>
    <s v="Annual Expensed"/>
    <n v="2471"/>
    <n v="2594.5500000000002"/>
    <n v="2594.5500000000002"/>
    <n v="2595"/>
    <n v="0"/>
    <n v="0.4499999999998181"/>
    <n v="0.4499999999998181"/>
    <s v="  "/>
    <m/>
    <m/>
    <m/>
    <m/>
    <m/>
    <m/>
    <m/>
    <m/>
    <n v="2595"/>
    <m/>
    <m/>
    <m/>
    <n v="2595"/>
    <n v="2595"/>
    <m/>
    <m/>
    <m/>
    <m/>
    <m/>
    <m/>
    <m/>
    <m/>
    <m/>
    <m/>
    <m/>
    <m/>
    <n v="0"/>
    <n v="0"/>
    <n v="0"/>
    <n v="0"/>
    <n v="0"/>
    <n v="0"/>
    <n v="0"/>
    <n v="0"/>
    <n v="0"/>
    <n v="-2595"/>
    <n v="0"/>
    <n v="0"/>
    <n v="0"/>
    <n v="-2595"/>
    <m/>
  </r>
  <r>
    <x v="0"/>
    <x v="49"/>
    <s v="Alation"/>
    <x v="12"/>
    <s v="Support - Data Analytics Office"/>
    <s v="Enterprise Architecture, Data Analytics &amp; AI"/>
    <x v="5"/>
    <d v="2025-04-18T00:00:00"/>
    <d v="2026-04-17T00:00:00"/>
    <s v="Alation"/>
    <s v="Prj000458-Support - Data Analytics Office"/>
    <s v="Non-Labor"/>
    <x v="0"/>
    <s v="Software"/>
    <s v="Subscription"/>
    <s v="Information Technology"/>
    <s v="Software - Licenses"/>
    <s v="Software - Licenses"/>
    <s v="Annual Prepaid"/>
    <n v="182520"/>
    <n v="191646"/>
    <n v="191646"/>
    <n v="128265.00749999999"/>
    <n v="-63380.992500000008"/>
    <n v="0"/>
    <n v="-63380.992500000008"/>
    <s v="Contract is Apr-Mar Budegetd 26 - 191K v/s Actual 172K"/>
    <m/>
    <m/>
    <m/>
    <n v="14251.667500000001"/>
    <n v="14251.667500000001"/>
    <n v="14251.667500000001"/>
    <n v="14251.667500000001"/>
    <n v="14251.667500000001"/>
    <n v="14251.667500000001"/>
    <n v="14251.667500000001"/>
    <n v="14251.667500000001"/>
    <n v="14251.667500000001"/>
    <n v="128265.00749999999"/>
    <n v="99761.672500000001"/>
    <m/>
    <m/>
    <m/>
    <n v="14251.667500000001"/>
    <n v="14251.667500000001"/>
    <n v="14251.667500000001"/>
    <n v="14251.667500000001"/>
    <n v="14251.667500000001"/>
    <n v="14251.667500000001"/>
    <n v="14251.667500000001"/>
    <n v="14251.667500000001"/>
    <n v="14251.667500000001"/>
    <n v="128265.00749999999"/>
    <n v="0"/>
    <n v="0"/>
    <n v="0"/>
    <n v="0"/>
    <n v="0"/>
    <n v="0"/>
    <n v="0"/>
    <n v="0"/>
    <n v="0"/>
    <n v="0"/>
    <n v="0"/>
    <n v="0"/>
    <n v="0"/>
    <s v="$43K is prepaid for Jan-Mar 2027, actual saving is $19K budet vs actuals"/>
  </r>
  <r>
    <x v="0"/>
    <x v="50"/>
    <s v="BoardVantage"/>
    <x v="14"/>
    <s v="Implement - Minor Enhancements for Enterprise Apps"/>
    <s v="Cos, PMO &amp; Enterprise Technology"/>
    <x v="1"/>
    <s v="NA"/>
    <s v="NA"/>
    <m/>
    <s v="Prj000446-Implement - Minor Enhancements for Enterprise Apps"/>
    <s v="Non-Labor"/>
    <x v="0"/>
    <s v="Software"/>
    <m/>
    <s v="Information Technology"/>
    <s v="Software - Licenses"/>
    <s v="Software - Licenses"/>
    <s v="Annual Expensed"/>
    <n v="48000"/>
    <n v="50400"/>
    <n v="50400"/>
    <n v="50400"/>
    <n v="0"/>
    <n v="0"/>
    <n v="0"/>
    <s v="Software for Board of Directors - Potential Opportunity - No activity in 2025 as well"/>
    <m/>
    <m/>
    <m/>
    <m/>
    <m/>
    <m/>
    <m/>
    <m/>
    <m/>
    <m/>
    <m/>
    <n v="50400"/>
    <n v="50400"/>
    <n v="5040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-50400"/>
    <n v="-50400"/>
    <m/>
  </r>
  <r>
    <x v="0"/>
    <x v="21"/>
    <m/>
    <x v="4"/>
    <s v="Support - Asset Management Applications"/>
    <s v="Asset Management Tech"/>
    <x v="3"/>
    <s v="NA"/>
    <s v="NA"/>
    <m/>
    <s v="Prj000290-Support - Asset Management Applications"/>
    <s v="Non-Labor"/>
    <x v="0"/>
    <s v="Software"/>
    <m/>
    <s v="Information Technology"/>
    <s v="Managed Service - Core"/>
    <s v="Support Services"/>
    <s v="Monthly Expensed"/>
    <n v="138759"/>
    <n v="119571.06"/>
    <n v="119571.06"/>
    <n v="109130.55"/>
    <n v="-10440.509999999995"/>
    <n v="0"/>
    <n v="-10440.509999999995"/>
    <s v="Modelling fees"/>
    <n v="9964.2549999999992"/>
    <n v="9964.2549999999992"/>
    <n v="9964.2549999999992"/>
    <n v="9964.2549999999992"/>
    <n v="9964.2549999999992"/>
    <n v="9964.2549999999992"/>
    <n v="9964.2549999999992"/>
    <n v="9964.2549999999992"/>
    <n v="9964.2549999999992"/>
    <n v="9964.2549999999992"/>
    <n v="9964.2549999999992"/>
    <n v="9964.2549999999992"/>
    <n v="119571.06000000001"/>
    <n v="69749.784999999989"/>
    <n v="6188"/>
    <n v="3300"/>
    <m/>
    <m/>
    <m/>
    <m/>
    <m/>
    <m/>
    <m/>
    <m/>
    <m/>
    <m/>
    <n v="9488"/>
    <n v="-3776.2549999999992"/>
    <n v="-6664.2549999999992"/>
    <n v="-9964.2549999999992"/>
    <n v="-9964.2549999999992"/>
    <n v="-9964.2549999999992"/>
    <n v="-9964.2549999999992"/>
    <n v="-9964.2549999999992"/>
    <n v="-9964.2549999999992"/>
    <n v="-9964.2549999999992"/>
    <n v="-9964.2549999999992"/>
    <n v="-9964.2549999999992"/>
    <n v="-9964.2549999999992"/>
    <n v="-110083.06000000001"/>
    <s v="No cost noted in Mar &amp; Apr"/>
  </r>
  <r>
    <x v="0"/>
    <x v="25"/>
    <s v="SAI360"/>
    <x v="14"/>
    <s v="Implement - Minor Enhancements for Enterprise Apps"/>
    <s v="Cos, PMO &amp; Enterprise Technology"/>
    <x v="1"/>
    <d v="2026-01-01T00:00:00"/>
    <d v="2026-12-31T00:00:00"/>
    <m/>
    <s v="Prj000446-Implement - Minor Enhancements for Enterprise Apps"/>
    <s v="Non-Labor"/>
    <x v="2"/>
    <s v="Software"/>
    <s v="Support Services"/>
    <s v="Outsourced"/>
    <s v="Run the Business Contractors and Outsource Services"/>
    <s v="RTB Expenses - Contractor"/>
    <s v="Annual Expensed"/>
    <n v="29400"/>
    <n v="32400"/>
    <n v="32400"/>
    <n v="32009.25"/>
    <n v="-390.75"/>
    <n v="0"/>
    <n v="-390.75"/>
    <m/>
    <n v="32400"/>
    <n v="0"/>
    <n v="0"/>
    <n v="0"/>
    <n v="0"/>
    <n v="0"/>
    <n v="0"/>
    <n v="0"/>
    <n v="0"/>
    <n v="0"/>
    <n v="0"/>
    <n v="0"/>
    <n v="32400"/>
    <n v="0"/>
    <n v="32009.25"/>
    <n v="0"/>
    <n v="0"/>
    <n v="0"/>
    <n v="0"/>
    <n v="0"/>
    <n v="0"/>
    <n v="0"/>
    <n v="0"/>
    <n v="0"/>
    <n v="0"/>
    <n v="0"/>
    <n v="32009.25"/>
    <n v="-390.75"/>
    <n v="0"/>
    <n v="0"/>
    <n v="0"/>
    <n v="0"/>
    <n v="0"/>
    <n v="0"/>
    <n v="0"/>
    <n v="0"/>
    <n v="0"/>
    <n v="0"/>
    <n v="0"/>
    <n v="-390.75"/>
    <s v="Budget v/s Actuals"/>
  </r>
  <r>
    <x v="0"/>
    <x v="6"/>
    <m/>
    <x v="0"/>
    <s v="Support - Infrastructure for Tech"/>
    <s v="Infrastructure Services, Controls &amp; User Enablement"/>
    <x v="0"/>
    <s v="TBC with Danny"/>
    <s v="TBC with Danny"/>
    <m/>
    <s v="Prj000350-Support - Infrastructure for Tech"/>
    <s v="Non-Labor"/>
    <x v="0"/>
    <s v="Software"/>
    <m/>
    <s v="Information Technology"/>
    <s v="Managed Service - Core"/>
    <s v="Support Services"/>
    <s v="Monthly Expensed"/>
    <n v="449917.66"/>
    <n v="1091630.8800000001"/>
    <n v="1091630.8800000001"/>
    <n v="1091630.6000000001"/>
    <n v="-0.28000000002793968"/>
    <n v="0"/>
    <n v="-0.28000000002793968"/>
    <s v="Comprised of 7 different invoices - SmartNet, Prisma and PA until Jul'25; New Price effective Aug'25 for 5 yr contract_x000a_5 years starting Aug is only Prisma and PA. No SmartNet."/>
    <m/>
    <m/>
    <m/>
    <m/>
    <m/>
    <m/>
    <m/>
    <n v="366127.60000000003"/>
    <m/>
    <m/>
    <m/>
    <n v="725503"/>
    <n v="1091630.6000000001"/>
    <n v="1091630.6000000001"/>
    <m/>
    <m/>
    <m/>
    <m/>
    <m/>
    <m/>
    <m/>
    <m/>
    <m/>
    <m/>
    <m/>
    <m/>
    <n v="0"/>
    <n v="0"/>
    <n v="0"/>
    <n v="0"/>
    <n v="0"/>
    <n v="0"/>
    <n v="0"/>
    <n v="0"/>
    <n v="-366127.60000000003"/>
    <n v="0"/>
    <n v="0"/>
    <n v="0"/>
    <n v="-725503"/>
    <n v="-1091630.6000000001"/>
    <m/>
  </r>
  <r>
    <x v="0"/>
    <x v="23"/>
    <s v="IVP"/>
    <x v="7"/>
    <s v="Support - L2 CoE Management for Tech Horizontals"/>
    <s v="Tech Shared Services"/>
    <x v="5"/>
    <d v="2024-05-01T00:00:00"/>
    <d v="2026-11-06T00:00:00"/>
    <s v="Polaris/EDM/SecMast Core l2"/>
    <s v="Prj000403-Support - L2 CoE Management for Tech Horizontals"/>
    <s v="Labor"/>
    <x v="2"/>
    <s v="RTB- MS"/>
    <s v="Managed Services"/>
    <s v="Information Technology"/>
    <s v="Managed Service - Core"/>
    <s v="Managed Service - Core"/>
    <s v="Monthly Expensed"/>
    <n v="222842"/>
    <n v="195584.34"/>
    <n v="195584.34"/>
    <n v="191940"/>
    <n v="-3644.3399999999965"/>
    <n v="0"/>
    <n v="-3644.3399999999965"/>
    <s v="IVP L2 Tech MS"/>
    <n v="15449"/>
    <n v="15449"/>
    <n v="15449"/>
    <n v="15449"/>
    <n v="16268"/>
    <n v="16268"/>
    <n v="16268"/>
    <n v="16268"/>
    <n v="16268"/>
    <n v="16268"/>
    <n v="16268"/>
    <n v="16268"/>
    <n v="191940"/>
    <n v="113876"/>
    <n v="15449"/>
    <n v="15449"/>
    <n v="15449"/>
    <n v="15449"/>
    <n v="16268"/>
    <m/>
    <m/>
    <m/>
    <m/>
    <m/>
    <m/>
    <m/>
    <n v="78064"/>
    <n v="0"/>
    <n v="0"/>
    <n v="0"/>
    <n v="0"/>
    <n v="0"/>
    <n v="-16268"/>
    <n v="-16268"/>
    <n v="-16268"/>
    <n v="-16268"/>
    <n v="-16268"/>
    <n v="-16268"/>
    <n v="-16268"/>
    <n v="-113876"/>
    <s v="Budget v/s Actuals, incremental recon hosting fees CPI -5.3% since May"/>
  </r>
  <r>
    <x v="0"/>
    <x v="23"/>
    <s v="IVP"/>
    <x v="7"/>
    <s v="Support - L2 CoE Management for Tech Horizontals"/>
    <s v="Tech Shared Services"/>
    <x v="5"/>
    <d v="2025-05-01T00:00:00"/>
    <d v="2026-11-06T00:00:00"/>
    <s v="Data MS"/>
    <s v="Prj000403-Support - L2 CoE Management for Tech Horizontals"/>
    <s v="Labor"/>
    <x v="2"/>
    <s v="RTB- MS"/>
    <s v="Managed Services"/>
    <s v="Information Technology"/>
    <s v="Managed Service - Core"/>
    <s v="Managed Service - Core"/>
    <s v="Monthly Expensed"/>
    <n v="57500"/>
    <n v="85455"/>
    <n v="85455"/>
    <n v="74250"/>
    <n v="-11205"/>
    <n v="0"/>
    <n v="-11205"/>
    <s v="Data Managed Srvc"/>
    <n v="6750"/>
    <n v="6750"/>
    <n v="6750"/>
    <n v="6750"/>
    <n v="6750"/>
    <n v="6750"/>
    <n v="6750"/>
    <n v="6750"/>
    <n v="6750"/>
    <n v="6750"/>
    <n v="6750"/>
    <m/>
    <n v="74250"/>
    <n v="40500"/>
    <n v="6750"/>
    <n v="6750"/>
    <n v="6750"/>
    <n v="6750"/>
    <n v="6750"/>
    <m/>
    <m/>
    <m/>
    <m/>
    <m/>
    <m/>
    <m/>
    <n v="33750"/>
    <n v="0"/>
    <n v="0"/>
    <n v="0"/>
    <n v="0"/>
    <n v="0"/>
    <n v="-6750"/>
    <n v="-6750"/>
    <n v="-6750"/>
    <n v="-6750"/>
    <n v="-6750"/>
    <n v="-6750"/>
    <n v="0"/>
    <n v="-40500"/>
    <s v="Budget v/s Actuals"/>
  </r>
  <r>
    <x v="0"/>
    <x v="51"/>
    <m/>
    <x v="14"/>
    <s v="Implement - Minor Enhancements for Enterprise Apps"/>
    <s v="Cos, PMO &amp; Enterprise Technology"/>
    <x v="1"/>
    <m/>
    <m/>
    <m/>
    <s v="Prj000446-Implement - Minor Enhancements for Enterprise Apps"/>
    <s v="Non-Labor"/>
    <x v="0"/>
    <s v="Software"/>
    <m/>
    <s v="Information Technology"/>
    <s v="Managed Service - Core"/>
    <s v="Managed Service - Core"/>
    <s v="Monthly Expensed"/>
    <n v="46598.93"/>
    <n v="48934"/>
    <n v="48934"/>
    <n v="48932"/>
    <n v="-2"/>
    <n v="0"/>
    <n v="-2"/>
    <s v="Errouneously paid by BDC CC -32K, Incremental spend 20K-LoungeLizard budget transferred to Equisolve"/>
    <n v="4702"/>
    <n v="1000"/>
    <n v="1000"/>
    <n v="1195"/>
    <n v="1000"/>
    <n v="1000"/>
    <n v="1000"/>
    <n v="1000"/>
    <n v="1000"/>
    <n v="1000"/>
    <n v="1000"/>
    <n v="34037"/>
    <n v="48934"/>
    <n v="40037"/>
    <n v="4704"/>
    <n v="999"/>
    <n v="999"/>
    <n v="1194"/>
    <n v="999"/>
    <n v="999"/>
    <m/>
    <m/>
    <m/>
    <m/>
    <m/>
    <m/>
    <n v="9894"/>
    <n v="2"/>
    <n v="-1"/>
    <n v="-1"/>
    <n v="-1"/>
    <n v="-1"/>
    <n v="-1"/>
    <n v="-1000"/>
    <n v="-1000"/>
    <n v="-1000"/>
    <n v="-1000"/>
    <n v="-1000"/>
    <n v="-34037"/>
    <n v="-39040"/>
    <s v="Addditional work - Site Refresh in March $9.9K &amp; Form modification in April $195"/>
  </r>
  <r>
    <x v="0"/>
    <x v="52"/>
    <s v="S&amp;P Global"/>
    <x v="11"/>
    <s v="Support - Prod Support for Ops Apps"/>
    <s v="Operations Technology"/>
    <x v="2"/>
    <m/>
    <m/>
    <m/>
    <s v="Prj000469-Support - Prod Support for Ops Apps"/>
    <s v="Non-Labor"/>
    <x v="0"/>
    <s v="Software"/>
    <m/>
    <s v="Information Technology"/>
    <s v="Managed Service - Core"/>
    <s v="Managed Service - Core"/>
    <s v="Quarterly Prepaid"/>
    <n v="3268031.27"/>
    <n v="3500000"/>
    <n v="3500000"/>
    <n v="3515202.9299999997"/>
    <n v="0"/>
    <n v="15202.929999999702"/>
    <n v="15202.929999999702"/>
    <s v="RISK AUM-Potential Dec. Opp WSO"/>
    <n v="261174.96666666667"/>
    <n v="261174.96666666667"/>
    <n v="261174.96666666667"/>
    <n v="253282.01"/>
    <n v="253282.01"/>
    <n v="253282.01"/>
    <n v="330305.33333333331"/>
    <n v="330305.33333333331"/>
    <n v="330305.33333333331"/>
    <n v="330305.33333333331"/>
    <n v="330305.33333333331"/>
    <n v="320305.33333333302"/>
    <n v="3515202.93"/>
    <n v="2225114.0099999993"/>
    <n v="261174.96666666667"/>
    <n v="261174.96666666667"/>
    <n v="261174.96666666667"/>
    <n v="253282.01"/>
    <n v="253282.01"/>
    <n v="253282.01"/>
    <m/>
    <m/>
    <m/>
    <m/>
    <m/>
    <m/>
    <n v="1543370.93"/>
    <n v="0"/>
    <n v="0"/>
    <n v="0"/>
    <n v="0"/>
    <n v="0"/>
    <n v="0"/>
    <n v="-330305.33333333331"/>
    <n v="-330305.33333333331"/>
    <n v="-330305.33333333331"/>
    <n v="-330305.33333333331"/>
    <n v="-330305.33333333331"/>
    <n v="-320305.33333333302"/>
    <n v="-1971831.9999999995"/>
    <s v="WSO Web service + Orion CLO + Levpro implementation $10k in March"/>
  </r>
  <r>
    <x v="0"/>
    <x v="0"/>
    <m/>
    <x v="0"/>
    <s v="Support - Infrastructure for Tech"/>
    <s v="Infrastructure Services, Controls &amp; User Enablement"/>
    <x v="0"/>
    <d v="2026-06-01T00:00:00"/>
    <d v="2027-05-31T00:00:00"/>
    <m/>
    <s v="Prj000350-Support - Infrastructure for Tech"/>
    <s v="Non-Labor"/>
    <x v="0"/>
    <s v="Software"/>
    <s v="Managed Services"/>
    <s v="Information Technology"/>
    <s v="Managed Service - Core"/>
    <s v="Support Services"/>
    <s v="Annual Prepaid"/>
    <n v="588000"/>
    <n v="596913"/>
    <n v="596913"/>
    <n v="642692"/>
    <n v="0"/>
    <n v="45779"/>
    <n v="45779"/>
    <s v="MS Core, Co-pilot, Azure-Prepaid, renewed in June at $687K 1 year"/>
    <n v="48333.333333333336"/>
    <n v="48333.333333333336"/>
    <n v="48333.333333333336"/>
    <n v="48333.333333333336"/>
    <n v="48333.333333333336"/>
    <n v="57289.333333333336"/>
    <n v="57289.333333333336"/>
    <n v="57289.333333333336"/>
    <n v="57289.333333333336"/>
    <n v="57289.333333333336"/>
    <n v="57289.333333333336"/>
    <n v="57289.333333333336"/>
    <n v="642692"/>
    <n v="401025.33333333331"/>
    <n v="48333.333333333336"/>
    <n v="48333.333333333336"/>
    <n v="48333.333333333336"/>
    <n v="48333.333333333336"/>
    <n v="48333.333333333336"/>
    <n v="57289.346666666672"/>
    <n v="57289.346666666672"/>
    <n v="57289.346666666672"/>
    <n v="57289.346666666672"/>
    <n v="57289.346666666672"/>
    <n v="57289.346666666672"/>
    <n v="57289.346666666672"/>
    <n v="642692.09333333338"/>
    <n v="0"/>
    <n v="0"/>
    <n v="0"/>
    <n v="0"/>
    <n v="0"/>
    <n v="1.3333333336049691E-2"/>
    <n v="1.3333333336049691E-2"/>
    <n v="1.3333333336049691E-2"/>
    <n v="1.3333333336049691E-2"/>
    <n v="1.3333333336049691E-2"/>
    <n v="1.3333333336049691E-2"/>
    <n v="1.3333333336049691E-2"/>
    <n v="9.3333333352347836E-2"/>
    <s v="Renewal at $687K from June26-May-27, paid upfront"/>
  </r>
  <r>
    <x v="0"/>
    <x v="23"/>
    <s v="IVP"/>
    <x v="8"/>
    <s v="T&amp;M"/>
    <s v="Infra Svcs &amp; User Enblt Tech"/>
    <x v="5"/>
    <d v="2026-01-01T00:00:00"/>
    <d v="2026-06-30T00:00:00"/>
    <s v="Prj Mgmt T&amp;M"/>
    <s v="T&amp;M-T&amp;M"/>
    <s v="Labor"/>
    <x v="4"/>
    <s v="RTB- T&amp;M"/>
    <s v="T&amp;M"/>
    <s v="Outsourced"/>
    <s v="Run the Business Contractors and Outsource Services"/>
    <s v="RTB Expenses - Contractor"/>
    <s v="Monthly Expensed"/>
    <n v="433000"/>
    <n v="216000"/>
    <n v="216000"/>
    <n v="488400"/>
    <n v="0"/>
    <n v="272400"/>
    <n v="272400"/>
    <s v="T&amp;M IVP Mgmt (TOM)- Rahul &amp; Vaibhav + 2"/>
    <n v="88000"/>
    <n v="88000"/>
    <n v="88000"/>
    <n v="88000"/>
    <n v="88000"/>
    <n v="88000"/>
    <m/>
    <m/>
    <m/>
    <m/>
    <m/>
    <m/>
    <n v="528000"/>
    <n v="88000"/>
    <n v="73000"/>
    <n v="70200"/>
    <n v="87200"/>
    <n v="82000"/>
    <m/>
    <m/>
    <m/>
    <m/>
    <m/>
    <m/>
    <m/>
    <m/>
    <n v="312400"/>
    <n v="-15000"/>
    <n v="-17800"/>
    <n v="-800"/>
    <n v="-6000"/>
    <n v="-88000"/>
    <n v="-88000"/>
    <n v="0"/>
    <n v="0"/>
    <n v="0"/>
    <n v="0"/>
    <n v="0"/>
    <n v="0"/>
    <n v="-215600"/>
    <s v="Budgeted only for 2 headcount, actual contract was signed for 4 headcounts"/>
  </r>
  <r>
    <x v="0"/>
    <x v="23"/>
    <s v="IVP"/>
    <x v="19"/>
    <s v="Implement - Build Pipes from CORE Systems to IVP"/>
    <s v="Enterprise Architecture, Data Analytics &amp; AI"/>
    <x v="5"/>
    <d v="2026-01-01T00:00:00"/>
    <d v="2026-06-30T00:00:00"/>
    <s v="Polaris/EDM/SecMast Core Implementation"/>
    <s v="Prj000472-Implement - Build Pipes from CORE Systems to IVP"/>
    <s v="Labor"/>
    <x v="5"/>
    <s v="RTB- FPC"/>
    <m/>
    <s v="Information Technology"/>
    <s v="Managed Service - Core"/>
    <s v="RTB Expenses - Contractor"/>
    <s v="Monthly Expensed"/>
    <n v="1612673"/>
    <n v="1344000"/>
    <n v="1344000"/>
    <n v="960000"/>
    <n v="-384000"/>
    <n v="0"/>
    <n v="-384000"/>
    <s v="FPC- IVP Implementation Post Contract - Capitalizable-160K per month from Jan to June 2026 - Capitalizable"/>
    <n v="160000"/>
    <n v="160000"/>
    <n v="160000"/>
    <n v="160000"/>
    <n v="160000"/>
    <n v="160000"/>
    <m/>
    <m/>
    <m/>
    <m/>
    <m/>
    <m/>
    <n v="960000"/>
    <n v="160000"/>
    <n v="160000"/>
    <n v="160000"/>
    <n v="160000"/>
    <n v="160000"/>
    <n v="160000"/>
    <m/>
    <m/>
    <m/>
    <m/>
    <m/>
    <m/>
    <m/>
    <n v="800000"/>
    <n v="0"/>
    <n v="0"/>
    <n v="0"/>
    <n v="0"/>
    <n v="0"/>
    <n v="-160000"/>
    <n v="0"/>
    <n v="0"/>
    <n v="0"/>
    <n v="0"/>
    <n v="0"/>
    <n v="0"/>
    <n v="-160000"/>
    <s v="Budget v/s Actuals"/>
  </r>
  <r>
    <x v="0"/>
    <x v="3"/>
    <s v="Control M"/>
    <x v="0"/>
    <s v="Support - Infrastructure for Tech"/>
    <s v="Infrastructure Services, Controls &amp; User Enablement"/>
    <x v="0"/>
    <s v="NA"/>
    <s v="NA"/>
    <m/>
    <s v="Prj000350-Support - Infrastructure for Tech"/>
    <s v="Non-Labor"/>
    <x v="0"/>
    <s v="Software"/>
    <s v="FPC"/>
    <s v="Information Technology"/>
    <s v="Software - Core"/>
    <s v="Software - Core"/>
    <s v="Annual Expensed"/>
    <n v="21255"/>
    <n v="22318"/>
    <n v="22318"/>
    <n v="22318"/>
    <n v="0"/>
    <n v="0"/>
    <n v="0"/>
    <m/>
    <m/>
    <m/>
    <m/>
    <n v="22318"/>
    <m/>
    <m/>
    <m/>
    <m/>
    <m/>
    <m/>
    <m/>
    <m/>
    <n v="22318"/>
    <n v="0"/>
    <m/>
    <m/>
    <m/>
    <m/>
    <m/>
    <m/>
    <m/>
    <m/>
    <m/>
    <m/>
    <m/>
    <m/>
    <n v="0"/>
    <n v="0"/>
    <n v="0"/>
    <n v="0"/>
    <n v="-22318"/>
    <n v="0"/>
    <n v="0"/>
    <n v="0"/>
    <n v="0"/>
    <n v="0"/>
    <n v="0"/>
    <n v="0"/>
    <n v="0"/>
    <n v="-22318"/>
    <m/>
  </r>
  <r>
    <x v="0"/>
    <x v="53"/>
    <s v="Intellibus"/>
    <x v="8"/>
    <s v="T&amp;M"/>
    <s v="Infra Svcs &amp; User Enblt Tech"/>
    <x v="5"/>
    <d v="2026-01-01T00:00:00"/>
    <d v="2026-06-30T00:00:00"/>
    <s v="T&amp;M"/>
    <s v="T&amp;M-T&amp;M"/>
    <s v="Labor"/>
    <x v="4"/>
    <s v="CTB- T&amp;M"/>
    <s v="T&amp;M"/>
    <s v="Consulting"/>
    <s v="Consulting Change the Business"/>
    <s v="CTB Expenses - Consulting"/>
    <s v="Monthly Expensed"/>
    <n v="1877896"/>
    <n v="932960"/>
    <n v="940800"/>
    <n v="875668"/>
    <n v="-65132"/>
    <n v="0"/>
    <n v="-65132"/>
    <s v="T&amp;M - Intellibus"/>
    <n v="156800"/>
    <n v="156800"/>
    <n v="156800"/>
    <n v="156800"/>
    <n v="156800"/>
    <n v="156800"/>
    <m/>
    <m/>
    <m/>
    <m/>
    <m/>
    <m/>
    <n v="940800"/>
    <n v="156800"/>
    <n v="153008"/>
    <n v="138848"/>
    <n v="154496"/>
    <n v="163758"/>
    <n v="108758"/>
    <m/>
    <m/>
    <m/>
    <m/>
    <m/>
    <m/>
    <m/>
    <n v="718868"/>
    <n v="-3792"/>
    <n v="-17952"/>
    <n v="-2304"/>
    <n v="6958"/>
    <n v="-48042"/>
    <n v="-156800"/>
    <n v="0"/>
    <n v="0"/>
    <n v="0"/>
    <n v="0"/>
    <n v="0"/>
    <n v="0"/>
    <n v="-221932"/>
    <s v="Budget v/s Actuals, allocations are based on capacity planning forecast"/>
  </r>
  <r>
    <x v="0"/>
    <x v="54"/>
    <m/>
    <x v="14"/>
    <s v="Implement - Minor Enhancements for Enterprise Apps"/>
    <s v="Cos, PMO &amp; Enterprise Technology"/>
    <x v="1"/>
    <d v="2025-09-01T00:00:00"/>
    <d v="2026-08-31T00:00:00"/>
    <m/>
    <s v="Prj000446-Implement - Minor Enhancements for Enterprise Apps"/>
    <s v="Non-Labor"/>
    <x v="0"/>
    <s v="Software"/>
    <s v="FPC"/>
    <s v="Information Technology"/>
    <s v="Software - Licenses"/>
    <s v="CTB Expenses - Consulting"/>
    <s v="Annual Prepaid"/>
    <n v="56980"/>
    <n v="139031.20000000001"/>
    <n v="139031.20000000001"/>
    <n v="137701.66666666669"/>
    <n v="-1329.5333333333256"/>
    <n v="0"/>
    <n v="-1329.5333333333256"/>
    <s v="FPC TBD Dependent on Investor Reporting Integration into Seismic - Prepaid"/>
    <n v="11396"/>
    <n v="11396"/>
    <n v="11396"/>
    <n v="11396"/>
    <n v="11396"/>
    <n v="11396"/>
    <n v="11396"/>
    <n v="11585.933333333334"/>
    <n v="11585.933333333334"/>
    <n v="11585.933333333334"/>
    <n v="11585.933333333334"/>
    <n v="11585.933333333334"/>
    <n v="137701.66666666669"/>
    <n v="80721.666666666672"/>
    <n v="11396"/>
    <n v="11396"/>
    <n v="11396"/>
    <n v="11396"/>
    <n v="11396"/>
    <n v="11396"/>
    <n v="11396"/>
    <m/>
    <m/>
    <m/>
    <m/>
    <m/>
    <n v="79772"/>
    <n v="0"/>
    <n v="0"/>
    <n v="0"/>
    <n v="0"/>
    <n v="0"/>
    <n v="0"/>
    <n v="0"/>
    <n v="-11585.933333333334"/>
    <n v="-11585.933333333334"/>
    <n v="-11585.933333333334"/>
    <n v="-11585.933333333334"/>
    <n v="-11585.933333333334"/>
    <n v="-57929.666666666672"/>
    <s v="Budget v/s Actuals"/>
  </r>
  <r>
    <x v="3"/>
    <x v="55"/>
    <m/>
    <x v="20"/>
    <s v="N/A"/>
    <s v="N/A"/>
    <x v="6"/>
    <m/>
    <m/>
    <m/>
    <s v="N/A-N/A"/>
    <s v="Capitalization"/>
    <x v="6"/>
    <s v="CTB- FPC"/>
    <s v="Software Cap"/>
    <s v="Consulting"/>
    <s v="Consulting Change the Business"/>
    <s v="CTB Expenses - Consulting"/>
    <s v="Capitalization"/>
    <n v="-3700000"/>
    <n v="-4000000"/>
    <n v="-4000000"/>
    <n v="-4000000.0000000005"/>
    <n v="-4.6566128730773926E-10"/>
    <n v="0"/>
    <n v="-4.6566128730773926E-10"/>
    <s v="Management cap on Capitalized Software"/>
    <n v="-333333.33333333331"/>
    <n v="-333333.33333333331"/>
    <n v="-333333.33333333331"/>
    <n v="-333333.33333333331"/>
    <n v="-333333.33333333331"/>
    <n v="-333333.33333333331"/>
    <n v="-333333.33333333331"/>
    <n v="-333333.33333333331"/>
    <n v="-333333.33333333331"/>
    <n v="-333333.33333333331"/>
    <n v="-333333.33333333331"/>
    <n v="-333333.33333333331"/>
    <n v="-4000000.0000000005"/>
    <n v="-2333333.333333333"/>
    <n v="-333333.33333333331"/>
    <n v="-333333.33333333331"/>
    <n v="-333333.33333333331"/>
    <n v="-333333.33333333331"/>
    <n v="-333333.33333333331"/>
    <n v="-333333.33333333331"/>
    <n v="-333333.33333333331"/>
    <n v="-333333.33333333331"/>
    <n v="-333333.33333333331"/>
    <n v="-333333.33333333331"/>
    <n v="-333333.33333333331"/>
    <n v="-333333.33333333331"/>
    <n v="-4000000.0000000005"/>
    <n v="0"/>
    <n v="0"/>
    <n v="0"/>
    <n v="0"/>
    <n v="0"/>
    <n v="0"/>
    <n v="0"/>
    <n v="0"/>
    <n v="0"/>
    <n v="0"/>
    <n v="0"/>
    <n v="0"/>
    <n v="0"/>
    <s v="Capitalisation target"/>
  </r>
  <r>
    <x v="4"/>
    <x v="56"/>
    <m/>
    <x v="21"/>
    <s v="N/A"/>
    <s v="N/A"/>
    <x v="6"/>
    <s v="N/A"/>
    <s v="N/A"/>
    <s v="N/A"/>
    <s v="Amortization-N/A"/>
    <s v="Amortization"/>
    <x v="1"/>
    <s v="OOE"/>
    <s v="Amortization"/>
    <s v="Information Technology"/>
    <s v="Hosting Agreement Amortization"/>
    <s v="Amortization - Capitalized costs for hosting arrangements"/>
    <s v="Amortization"/>
    <n v="534786"/>
    <m/>
    <n v="1244018"/>
    <n v="1276687.2541666667"/>
    <n v="0"/>
    <n v="32669.254166666651"/>
    <n v="32669.254166666651"/>
    <s v="To check and update as per schedule"/>
    <n v="103668.16666666667"/>
    <n v="103668.16666666667"/>
    <n v="103668.16666666667"/>
    <n v="103668.16666666667"/>
    <n v="103668.16666666667"/>
    <n v="103668.16666666667"/>
    <n v="103668.16666666667"/>
    <n v="103668.16666666667"/>
    <n v="103668.16666666667"/>
    <n v="103668.16666666667"/>
    <n v="103668.16666666667"/>
    <n v="103668.16666666667"/>
    <n v="1244018"/>
    <n v="725677.16666666663"/>
    <n v="110202.0175"/>
    <n v="110202.0175"/>
    <n v="110202.0175"/>
    <n v="110202.0175"/>
    <n v="110202.0175"/>
    <n v="110202.0175"/>
    <n v="110202.0175"/>
    <n v="110202.0175"/>
    <n v="110202.0175"/>
    <n v="110202.0175"/>
    <n v="110202.0175"/>
    <n v="110202.0175"/>
    <n v="1322424.21"/>
    <n v="6533.8508333333302"/>
    <n v="6533.8508333333302"/>
    <n v="6533.8508333333302"/>
    <n v="6533.8508333333302"/>
    <n v="6533.8508333333302"/>
    <n v="6533.8508333333302"/>
    <n v="6533.8508333333302"/>
    <n v="6533.8508333333302"/>
    <n v="6533.8508333333302"/>
    <n v="6533.8508333333302"/>
    <n v="6533.8508333333302"/>
    <n v="6533.8508333333302"/>
    <n v="78406.209999999963"/>
    <s v="All the amortization lines have been merged to one, source is capitalization schedule shared by Darlene. This risk could be setoff againt PH and any other opp on YTD"/>
  </r>
  <r>
    <x v="0"/>
    <x v="57"/>
    <m/>
    <x v="5"/>
    <s v="Support - Prod Support for Credit Apps"/>
    <s v="Credit Technology"/>
    <x v="2"/>
    <d v="2026-01-26T00:00:00"/>
    <d v="2027-01-25T00:00:00"/>
    <s v="PactFi Annual Platform Fee"/>
    <s v="Prj000381-Support - Prod Support for Credit Apps"/>
    <s v="Non-Labor"/>
    <x v="0"/>
    <s v="Software"/>
    <m/>
    <s v="Information Technology"/>
    <s v="Software - Licenses"/>
    <s v="CTB Expenses - Consulting"/>
    <s v="Annual Prepaid"/>
    <n v="391950"/>
    <n v="411547.5"/>
    <n v="411547.5"/>
    <n v="544374.99999999988"/>
    <n v="0"/>
    <n v="132827.49999999988"/>
    <n v="132827.49999999988"/>
    <s v="Year 1 of 3: 1/26/26 to 1/25/27 - Capitalizable"/>
    <n v="45364.583333333336"/>
    <n v="45364.583333333336"/>
    <n v="45364.583333333336"/>
    <n v="45364.583333333336"/>
    <n v="45364.583333333336"/>
    <n v="45364.583333333336"/>
    <n v="45364.583333333336"/>
    <n v="45364.583333333336"/>
    <n v="45364.583333333336"/>
    <n v="45364.583333333336"/>
    <n v="45364.583333333336"/>
    <n v="45364.583333333336"/>
    <n v="544374.99999999988"/>
    <n v="317552.08333333331"/>
    <n v="45364.583333333336"/>
    <n v="45364.583333333336"/>
    <n v="45364.583333333336"/>
    <n v="45364.583333333336"/>
    <n v="45364.583333333336"/>
    <n v="45364.583333333336"/>
    <n v="45364.583333333336"/>
    <n v="45364.583333333336"/>
    <n v="45364.583333333336"/>
    <n v="45364.583333333336"/>
    <n v="45364.583333333336"/>
    <n v="45364.583333333336"/>
    <n v="544374.99999999988"/>
    <n v="0"/>
    <n v="0"/>
    <n v="0"/>
    <n v="0"/>
    <n v="0"/>
    <n v="0"/>
    <n v="0"/>
    <n v="0"/>
    <n v="0"/>
    <n v="0"/>
    <n v="0"/>
    <n v="0"/>
    <n v="0"/>
    <s v="Budget v/s Actuals"/>
  </r>
  <r>
    <x v="0"/>
    <x v="58"/>
    <s v="ACC Business"/>
    <x v="0"/>
    <s v="Support - Infrastructure for Tech"/>
    <s v="Infrastructure Services, Controls &amp; User Enablement"/>
    <x v="0"/>
    <s v="Monthly"/>
    <s v="Monthly"/>
    <m/>
    <s v="Prj000350-Support - Infrastructure for Tech"/>
    <s v="Non-Labor"/>
    <x v="3"/>
    <s v="Infrastructure"/>
    <s v="Network"/>
    <s v="Information Technology"/>
    <s v="Managed Service - Network"/>
    <s v="Managed Service - Network"/>
    <s v="Monthly Expensed"/>
    <n v="34621"/>
    <n v="36345"/>
    <n v="36345"/>
    <n v="37142.130000000005"/>
    <n v="0"/>
    <n v="797.13000000000466"/>
    <n v="797.13000000000466"/>
    <s v="We are trying to get the invoices from vendor, incorporate new contract"/>
    <n v="3028.75"/>
    <n v="3028.75"/>
    <n v="3028.75"/>
    <n v="3028.75"/>
    <n v="3028.75"/>
    <n v="3028.75"/>
    <n v="3028.75"/>
    <n v="3028.75"/>
    <n v="3028.75"/>
    <n v="3028.75"/>
    <n v="3028.75"/>
    <n v="3028.75"/>
    <n v="36345"/>
    <n v="21201.25"/>
    <n v="3283.4"/>
    <n v="2291.8200000000002"/>
    <n v="4308.16"/>
    <m/>
    <m/>
    <m/>
    <m/>
    <m/>
    <m/>
    <m/>
    <m/>
    <m/>
    <n v="9883.380000000001"/>
    <n v="254.65000000000009"/>
    <n v="-736.92999999999984"/>
    <n v="1279.4099999999999"/>
    <n v="-3028.75"/>
    <n v="-3028.75"/>
    <n v="-3028.75"/>
    <n v="-3028.75"/>
    <n v="-3028.75"/>
    <n v="-3028.75"/>
    <n v="-3028.75"/>
    <n v="-3028.75"/>
    <n v="-3028.75"/>
    <n v="-26461.62"/>
    <s v="Budget v/s actuals"/>
  </r>
  <r>
    <x v="0"/>
    <x v="59"/>
    <m/>
    <x v="0"/>
    <s v="Support - Infrastructure for Tech"/>
    <s v="Infrastructure Services, Controls &amp; User Enablement"/>
    <x v="0"/>
    <s v="Monthly"/>
    <s v="Monthly"/>
    <m/>
    <s v="Prj000350-Support - Infrastructure for Tech"/>
    <s v="Non-Labor"/>
    <x v="3"/>
    <s v="Infrastructure"/>
    <m/>
    <s v="Information Technology"/>
    <s v="Managed Service - Network"/>
    <s v="Managed Service - Network"/>
    <s v="Monthly Expensed"/>
    <n v="4028"/>
    <n v="4230"/>
    <n v="4230"/>
    <n v="4469.03"/>
    <n v="0"/>
    <n v="239.02999999999975"/>
    <n v="239.02999999999975"/>
    <m/>
    <n v="353"/>
    <n v="353"/>
    <n v="353"/>
    <n v="353"/>
    <n v="353"/>
    <n v="353"/>
    <n v="353"/>
    <n v="353"/>
    <n v="353"/>
    <n v="353"/>
    <n v="353"/>
    <n v="347"/>
    <n v="4230"/>
    <n v="2465"/>
    <n v="370.83"/>
    <n v="375.95"/>
    <n v="371.55"/>
    <n v="371.55"/>
    <n v="514.15"/>
    <n v="514.15"/>
    <m/>
    <m/>
    <m/>
    <m/>
    <m/>
    <m/>
    <n v="2518.1799999999998"/>
    <n v="17.829999999999984"/>
    <n v="22.949999999999989"/>
    <n v="18.550000000000011"/>
    <n v="18.550000000000011"/>
    <n v="161.14999999999998"/>
    <n v="161.14999999999998"/>
    <n v="-353"/>
    <n v="-353"/>
    <n v="-353"/>
    <n v="-353"/>
    <n v="-353"/>
    <n v="-347"/>
    <n v="-1711.8200000000002"/>
    <m/>
  </r>
  <r>
    <x v="0"/>
    <x v="60"/>
    <m/>
    <x v="0"/>
    <s v="Support - Infrastructure for Tech"/>
    <s v="Infrastructure Services, Controls &amp; User Enablement"/>
    <x v="0"/>
    <s v="Monthly"/>
    <s v="Monthly"/>
    <m/>
    <s v="Prj000350-Support - Infrastructure for Tech"/>
    <s v="Non-Labor"/>
    <x v="3"/>
    <s v="Infrastructure"/>
    <s v="MS Network"/>
    <s v="Information Technology"/>
    <s v="Managed Service - Network"/>
    <s v="Managed Service - Network"/>
    <s v="Monthly Expensed"/>
    <n v="7239"/>
    <n v="7043"/>
    <n v="7043"/>
    <n v="7241.6659"/>
    <n v="0"/>
    <n v="198.66589999999997"/>
    <n v="198.66589999999997"/>
    <s v="In CAD"/>
    <n v="587"/>
    <n v="587"/>
    <n v="587"/>
    <n v="587"/>
    <n v="587"/>
    <n v="587"/>
    <n v="587"/>
    <n v="587"/>
    <n v="587"/>
    <n v="587"/>
    <n v="587"/>
    <n v="586"/>
    <n v="7043"/>
    <n v="4108"/>
    <n v="620.09"/>
    <n v="628.66"/>
    <n v="627.61749999999995"/>
    <n v="628.64919999999995"/>
    <n v="628.64919999999995"/>
    <n v="859.75"/>
    <m/>
    <m/>
    <m/>
    <m/>
    <m/>
    <m/>
    <n v="3993.4158999999995"/>
    <n v="33.090000000000032"/>
    <n v="41.659999999999968"/>
    <n v="40.61749999999995"/>
    <n v="41.649199999999951"/>
    <n v="41.649199999999951"/>
    <n v="272.75"/>
    <n v="-587"/>
    <n v="-587"/>
    <n v="-587"/>
    <n v="-587"/>
    <n v="-587"/>
    <n v="-586"/>
    <n v="-3049.5841"/>
    <s v="Budget v/s Actuals"/>
  </r>
  <r>
    <x v="2"/>
    <x v="61"/>
    <m/>
    <x v="1"/>
    <s v="Support - Internal Tech Workforce Activities"/>
    <s v="Cos, PMO &amp; Enterprise Technology"/>
    <x v="1"/>
    <s v="NA"/>
    <s v="NA"/>
    <m/>
    <s v="Prj000266-Support - Internal Tech Workforce Activities"/>
    <s v="Non-Labor"/>
    <x v="3"/>
    <s v="Infrastructure"/>
    <m/>
    <s v="Office expense"/>
    <s v="General Office Expense"/>
    <s v="Office Exp / Supplies / Misc Software"/>
    <s v="Annual Expensed"/>
    <n v="278"/>
    <n v="292"/>
    <n v="292"/>
    <n v="292"/>
    <n v="0"/>
    <n v="0"/>
    <n v="0"/>
    <s v="  "/>
    <m/>
    <m/>
    <m/>
    <m/>
    <m/>
    <m/>
    <n v="292"/>
    <m/>
    <m/>
    <m/>
    <m/>
    <m/>
    <n v="292"/>
    <n v="292"/>
    <m/>
    <m/>
    <m/>
    <m/>
    <m/>
    <m/>
    <m/>
    <m/>
    <m/>
    <m/>
    <m/>
    <m/>
    <n v="0"/>
    <n v="0"/>
    <n v="0"/>
    <n v="0"/>
    <n v="0"/>
    <n v="0"/>
    <n v="0"/>
    <n v="-292"/>
    <n v="0"/>
    <n v="0"/>
    <n v="0"/>
    <n v="0"/>
    <n v="0"/>
    <n v="-292"/>
    <m/>
  </r>
  <r>
    <x v="1"/>
    <x v="62"/>
    <m/>
    <x v="1"/>
    <s v="Support - Internal Tech Workforce Activities"/>
    <s v="Cos, PMO &amp; Enterprise Technology"/>
    <x v="1"/>
    <s v="NA"/>
    <s v="NA"/>
    <m/>
    <s v="Prj000266-Support - Internal Tech Workforce Activities"/>
    <s v="Non-Labor"/>
    <x v="3"/>
    <s v="Infrastructure"/>
    <m/>
    <s v="Office expense"/>
    <s v="General Office Expense"/>
    <s v="Office Exp / Supplies / Misc Software/ Printing/ Photocopying/ Stationery"/>
    <s v="Refer to Concur"/>
    <n v="10643"/>
    <n v="2900"/>
    <n v="2900"/>
    <n v="8407.75"/>
    <n v="0"/>
    <n v="5507.75"/>
    <n v="5507.75"/>
    <s v="AI Budget reclass pending"/>
    <m/>
    <n v="17"/>
    <m/>
    <n v="2883"/>
    <m/>
    <m/>
    <m/>
    <m/>
    <m/>
    <m/>
    <m/>
    <m/>
    <n v="2900"/>
    <n v="0"/>
    <m/>
    <n v="16.739999999999998"/>
    <m/>
    <n v="7001"/>
    <n v="1390.01"/>
    <m/>
    <m/>
    <m/>
    <m/>
    <m/>
    <m/>
    <m/>
    <n v="8407.75"/>
    <n v="0"/>
    <n v="-0.26000000000000156"/>
    <n v="0"/>
    <n v="4118"/>
    <n v="1390.01"/>
    <n v="0"/>
    <n v="0"/>
    <n v="0"/>
    <n v="0"/>
    <n v="0"/>
    <n v="0"/>
    <n v="0"/>
    <n v="5507.75"/>
    <s v="Claude purchased by Danny for AI Initiative $6495"/>
  </r>
  <r>
    <x v="0"/>
    <x v="63"/>
    <m/>
    <x v="11"/>
    <s v="Support - Prod Support for Ops Apps"/>
    <s v="Operations Technology"/>
    <x v="2"/>
    <d v="2026-01-01T00:00:00"/>
    <d v="2026-12-31T00:00:00"/>
    <s v="Libor Historical (may be Tax Invoice)"/>
    <s v="Prj000469-Support - Prod Support for Ops Apps"/>
    <s v="Non-Labor"/>
    <x v="1"/>
    <s v="OOE"/>
    <s v="Libor Historical Data"/>
    <s v="Office expense"/>
    <s v="General Office Expense"/>
    <s v="Office Expense - IT Subscriptions"/>
    <s v="Annual Expensed"/>
    <n v="8000"/>
    <n v="8400"/>
    <n v="8400"/>
    <n v="8000"/>
    <n v="-400"/>
    <n v="0"/>
    <n v="-400"/>
    <s v="For Libor Historical Data tax inovice"/>
    <n v="8400"/>
    <m/>
    <m/>
    <m/>
    <m/>
    <m/>
    <m/>
    <m/>
    <m/>
    <m/>
    <m/>
    <m/>
    <n v="8400"/>
    <n v="0"/>
    <n v="8000"/>
    <m/>
    <m/>
    <m/>
    <m/>
    <m/>
    <m/>
    <m/>
    <m/>
    <m/>
    <m/>
    <m/>
    <n v="8000"/>
    <n v="-400"/>
    <n v="0"/>
    <n v="0"/>
    <n v="0"/>
    <n v="0"/>
    <n v="0"/>
    <n v="0"/>
    <n v="0"/>
    <n v="0"/>
    <n v="0"/>
    <n v="0"/>
    <n v="0"/>
    <n v="-400"/>
    <s v="Budget v/s Actuals"/>
  </r>
  <r>
    <x v="0"/>
    <x v="64"/>
    <m/>
    <x v="0"/>
    <s v="Support - Infrastructure for Tech"/>
    <s v="Infrastructure Services, Controls &amp; User Enablement"/>
    <x v="0"/>
    <d v="2026-01-06T00:00:00"/>
    <d v="2027-01-06T00:00:00"/>
    <m/>
    <s v="Prj000350-Support - Infrastructure for Tech"/>
    <s v="Non-Labor"/>
    <x v="3"/>
    <s v="Infrastructure"/>
    <m/>
    <s v="Office expense"/>
    <s v="General Office Expense"/>
    <s v="Office Expense - IT Subscriptions"/>
    <s v="Annual Expensed"/>
    <n v="3000"/>
    <n v="3150"/>
    <n v="3150"/>
    <n v="3000"/>
    <n v="-150"/>
    <n v="0"/>
    <n v="-150"/>
    <s v="  "/>
    <m/>
    <n v="3150"/>
    <m/>
    <m/>
    <m/>
    <m/>
    <m/>
    <m/>
    <m/>
    <m/>
    <m/>
    <m/>
    <n v="3150"/>
    <n v="0"/>
    <m/>
    <n v="3000"/>
    <m/>
    <m/>
    <m/>
    <m/>
    <m/>
    <m/>
    <m/>
    <m/>
    <m/>
    <m/>
    <n v="3000"/>
    <n v="0"/>
    <n v="-150"/>
    <n v="0"/>
    <n v="0"/>
    <n v="0"/>
    <n v="0"/>
    <n v="0"/>
    <n v="0"/>
    <n v="0"/>
    <n v="0"/>
    <n v="0"/>
    <n v="0"/>
    <n v="-150"/>
    <s v="Budget v/s Actuals"/>
  </r>
  <r>
    <x v="2"/>
    <x v="65"/>
    <m/>
    <x v="0"/>
    <s v="Support - Infrastructure for Tech"/>
    <s v="Infrastructure Services, Controls &amp; User Enablement"/>
    <x v="0"/>
    <s v="NA"/>
    <s v="NA"/>
    <m/>
    <s v="Prj000350-Support - Infrastructure for Tech"/>
    <s v="Non-Labor"/>
    <x v="3"/>
    <s v="Infrastructure"/>
    <s v="General Exp"/>
    <s v="Office expense"/>
    <s v="General Office Expense"/>
    <s v="Office Expense - Telephone &amp; FAX"/>
    <s v="Monthly Expensed"/>
    <n v="1594"/>
    <n v="1674"/>
    <n v="1674"/>
    <n v="0"/>
    <n v="-1674"/>
    <n v="0"/>
    <n v="-1674"/>
    <s v="Webex service  has been cancelled in Dec'25, confirmed by Danny"/>
    <m/>
    <m/>
    <m/>
    <m/>
    <m/>
    <m/>
    <m/>
    <m/>
    <m/>
    <m/>
    <m/>
    <m/>
    <n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s v="Webex service  has been cancelled in Dec'25, confirmed by Danny"/>
  </r>
  <r>
    <x v="2"/>
    <x v="66"/>
    <m/>
    <x v="0"/>
    <s v="Support - Infrastructure for Tech"/>
    <s v="Infrastructure Services, Controls &amp; User Enablement"/>
    <x v="0"/>
    <s v="Monthly"/>
    <s v="Monthly"/>
    <m/>
    <s v="Prj000350-Support - Infrastructure for Tech"/>
    <s v="Non-Labor"/>
    <x v="3"/>
    <s v="Infrastructure"/>
    <m/>
    <s v="Office expense"/>
    <s v="General Office Expense"/>
    <s v="Office Expense - Telephone &amp; FAX"/>
    <s v="Monthly Expensed"/>
    <n v="17438"/>
    <n v="18865"/>
    <n v="18865"/>
    <n v="19510.98"/>
    <n v="0"/>
    <n v="645.97999999999956"/>
    <n v="645.97999999999956"/>
    <s v="  "/>
    <n v="1450.9"/>
    <n v="1585"/>
    <n v="1500"/>
    <n v="1500"/>
    <n v="1500"/>
    <n v="1500"/>
    <n v="1500"/>
    <n v="1500"/>
    <n v="1500"/>
    <n v="1500"/>
    <n v="1500"/>
    <n v="2329"/>
    <n v="18864.900000000001"/>
    <n v="11329"/>
    <n v="1450.9"/>
    <n v="1585"/>
    <n v="1823.33"/>
    <n v="1822.75"/>
    <m/>
    <m/>
    <m/>
    <m/>
    <m/>
    <m/>
    <m/>
    <m/>
    <n v="6681.98"/>
    <n v="0"/>
    <n v="0"/>
    <n v="323.32999999999993"/>
    <n v="322.75"/>
    <n v="-1500"/>
    <n v="-1500"/>
    <n v="-1500"/>
    <n v="-1500"/>
    <n v="-1500"/>
    <n v="-1500"/>
    <n v="-1500"/>
    <n v="-2329"/>
    <n v="-12182.92"/>
    <s v="Budget v/s Actuals"/>
  </r>
  <r>
    <x v="2"/>
    <x v="67"/>
    <m/>
    <x v="0"/>
    <s v="Support - Infrastructure for Tech"/>
    <s v="Infrastructure Services, Controls &amp; User Enablement"/>
    <x v="0"/>
    <s v="Monthly"/>
    <s v="Monthly"/>
    <m/>
    <s v="Prj000350-Support - Infrastructure for Tech"/>
    <s v="Non-Labor"/>
    <x v="3"/>
    <s v="Infrastructure"/>
    <m/>
    <s v="Office expense"/>
    <s v="General Office Expense"/>
    <s v="Office Expense - Telephone &amp; FAX"/>
    <s v="Monthly Expensed"/>
    <n v="32897.4"/>
    <n v="34537"/>
    <n v="34537"/>
    <n v="33853.833333333336"/>
    <n v="-683.16666666666424"/>
    <n v="0"/>
    <n v="-683.16666666666424"/>
    <m/>
    <n v="2878.0833333333335"/>
    <n v="2878.0833333333335"/>
    <n v="2878.0833333333335"/>
    <n v="2878.0833333333335"/>
    <n v="2878.0833333333335"/>
    <n v="2878.0833333333335"/>
    <n v="2878.0833333333335"/>
    <n v="2878.0833333333335"/>
    <n v="2878.0833333333335"/>
    <n v="2878.0833333333335"/>
    <n v="2878.0833333333335"/>
    <n v="2878.0833333333335"/>
    <n v="34536.999999999993"/>
    <n v="20146.583333333332"/>
    <n v="2741.45"/>
    <n v="2741.45"/>
    <n v="2741.45"/>
    <n v="2741.45"/>
    <n v="2741.45"/>
    <m/>
    <m/>
    <m/>
    <m/>
    <m/>
    <m/>
    <m/>
    <n v="13707.25"/>
    <n v="-136.63333333333367"/>
    <n v="-136.63333333333367"/>
    <n v="-136.63333333333367"/>
    <n v="-136.63333333333367"/>
    <n v="-136.63333333333367"/>
    <n v="-2878.0833333333335"/>
    <n v="-2878.0833333333335"/>
    <n v="-2878.0833333333335"/>
    <n v="-2878.0833333333335"/>
    <n v="-2878.0833333333335"/>
    <n v="-2878.0833333333335"/>
    <n v="-2878.0833333333335"/>
    <n v="-20829.750000000004"/>
    <s v="Budget v/s Actuals"/>
  </r>
  <r>
    <x v="2"/>
    <x v="68"/>
    <m/>
    <x v="0"/>
    <s v="Support - Infrastructure for Tech"/>
    <s v="Infrastructure Services, Controls &amp; User Enablement"/>
    <x v="0"/>
    <s v="Monthly"/>
    <s v="Monthly"/>
    <m/>
    <s v="Prj000350-Support - Infrastructure for Tech"/>
    <s v="Non-Labor"/>
    <x v="3"/>
    <s v="Infrastructure"/>
    <m/>
    <s v="Office expense"/>
    <s v="General Office Expense"/>
    <s v="Office Expense - Telephone &amp; FAX"/>
    <s v="Monthly Expensed"/>
    <n v="401632"/>
    <n v="421713.07500000007"/>
    <n v="421713.07500000007"/>
    <n v="407892.6966666666"/>
    <n v="-13820.378333333472"/>
    <n v="0"/>
    <n v="-13820.378333333472"/>
    <m/>
    <n v="30215.78"/>
    <n v="35893.14"/>
    <n v="35143.583333333336"/>
    <n v="35143.583333333336"/>
    <n v="35143.583333333336"/>
    <n v="35143.583333333336"/>
    <n v="35143.583333333336"/>
    <n v="35143.583333333336"/>
    <n v="35143.583333333336"/>
    <n v="35143.583333333336"/>
    <n v="35143.583333333336"/>
    <n v="39311.583333333299"/>
    <n v="421712.7533333333"/>
    <n v="250173.08333333331"/>
    <n v="30215.78"/>
    <n v="35893.14"/>
    <n v="28032.44"/>
    <n v="28434.67"/>
    <m/>
    <m/>
    <m/>
    <m/>
    <m/>
    <m/>
    <m/>
    <m/>
    <n v="122576.03"/>
    <n v="0"/>
    <n v="0"/>
    <n v="-7111.1433333333371"/>
    <n v="-6708.9133333333375"/>
    <n v="-35143.583333333336"/>
    <n v="-35143.583333333336"/>
    <n v="-35143.583333333336"/>
    <n v="-35143.583333333336"/>
    <n v="-35143.583333333336"/>
    <n v="-35143.583333333336"/>
    <n v="-35143.583333333336"/>
    <n v="-39311.583333333299"/>
    <n v="-299136.72333333339"/>
    <m/>
  </r>
  <r>
    <x v="0"/>
    <x v="69"/>
    <m/>
    <x v="11"/>
    <s v="Support - Prod Support for Ops Apps"/>
    <s v="Operations Technology"/>
    <x v="2"/>
    <d v="2026-01-01T00:00:00"/>
    <d v="2026-12-31T00:00:00"/>
    <m/>
    <s v="Prj000469-Support - Prod Support for Ops Apps"/>
    <s v="Non-Labor"/>
    <x v="1"/>
    <s v="OOE"/>
    <s v="Subscriptions"/>
    <s v="Subscription Services"/>
    <s v="Subscription Services"/>
    <s v="Office Expense"/>
    <s v="Annual Expensed"/>
    <n v="4914"/>
    <n v="4409"/>
    <n v="4409"/>
    <n v="4982.8"/>
    <n v="0"/>
    <n v="573.80000000000018"/>
    <n v="573.80000000000018"/>
    <s v="in AUD"/>
    <n v="4409"/>
    <m/>
    <m/>
    <m/>
    <m/>
    <m/>
    <m/>
    <m/>
    <m/>
    <m/>
    <m/>
    <m/>
    <n v="4409"/>
    <n v="0"/>
    <n v="4982.8"/>
    <m/>
    <m/>
    <m/>
    <m/>
    <m/>
    <m/>
    <m/>
    <m/>
    <m/>
    <m/>
    <m/>
    <n v="4982.8"/>
    <n v="573.80000000000018"/>
    <n v="0"/>
    <n v="0"/>
    <n v="0"/>
    <n v="0"/>
    <n v="0"/>
    <n v="0"/>
    <n v="0"/>
    <n v="0"/>
    <n v="0"/>
    <n v="0"/>
    <n v="0"/>
    <n v="573.80000000000018"/>
    <s v="Budget v/s Actuals"/>
  </r>
  <r>
    <x v="0"/>
    <x v="70"/>
    <m/>
    <x v="4"/>
    <s v="Support - Asset Management Applications"/>
    <s v="Asset Management Tech"/>
    <x v="3"/>
    <m/>
    <m/>
    <m/>
    <s v="Prj000290-Support - Asset Management Applications"/>
    <s v="Non-Labor"/>
    <x v="1"/>
    <s v="OOE"/>
    <m/>
    <s v="Subscription Services"/>
    <s v="Subscription Services"/>
    <s v="Office Expense"/>
    <s v="Annual Expensed"/>
    <n v="342"/>
    <n v="359"/>
    <n v="359"/>
    <n v="359"/>
    <n v="0"/>
    <n v="0"/>
    <n v="0"/>
    <s v="  "/>
    <m/>
    <m/>
    <n v="359"/>
    <m/>
    <m/>
    <m/>
    <m/>
    <m/>
    <m/>
    <m/>
    <m/>
    <m/>
    <n v="359"/>
    <n v="0"/>
    <m/>
    <m/>
    <m/>
    <m/>
    <m/>
    <m/>
    <m/>
    <m/>
    <m/>
    <m/>
    <m/>
    <m/>
    <n v="0"/>
    <n v="0"/>
    <n v="0"/>
    <n v="-359"/>
    <n v="0"/>
    <n v="0"/>
    <n v="0"/>
    <n v="0"/>
    <n v="0"/>
    <n v="0"/>
    <n v="0"/>
    <n v="0"/>
    <n v="0"/>
    <n v="-359"/>
    <m/>
  </r>
  <r>
    <x v="0"/>
    <x v="71"/>
    <s v="LSEG / Refinitive"/>
    <x v="11"/>
    <s v="Support - Prod Support for Ops Apps"/>
    <s v="Operations Technology"/>
    <x v="2"/>
    <m/>
    <m/>
    <m/>
    <s v="Prj000469-Support - Prod Support for Ops Apps"/>
    <s v="Non-Labor"/>
    <x v="1"/>
    <s v="OOE"/>
    <s v="Market Data"/>
    <s v="Subscription Services"/>
    <s v="Subscription Services"/>
    <s v="Office Expense"/>
    <s v="Quarterly Expensed"/>
    <n v="64257.05"/>
    <n v="67470"/>
    <n v="67470"/>
    <n v="67964.899999999994"/>
    <n v="0"/>
    <n v="494.89999999999418"/>
    <n v="494.89999999999418"/>
    <s v="  "/>
    <n v="16878.150000000001"/>
    <m/>
    <m/>
    <n v="16867.5"/>
    <m/>
    <m/>
    <n v="16867.5"/>
    <m/>
    <m/>
    <n v="16867.5"/>
    <m/>
    <n v="-13"/>
    <n v="67467.649999999994"/>
    <n v="33722"/>
    <n v="16878.150000000001"/>
    <m/>
    <m/>
    <n v="17364.75"/>
    <m/>
    <m/>
    <m/>
    <m/>
    <m/>
    <m/>
    <m/>
    <m/>
    <n v="34242.9"/>
    <n v="0"/>
    <n v="0"/>
    <n v="0"/>
    <n v="497.25"/>
    <n v="0"/>
    <n v="0"/>
    <n v="-16867.5"/>
    <n v="0"/>
    <n v="0"/>
    <n v="-16867.5"/>
    <n v="0"/>
    <n v="13"/>
    <n v="-33224.75"/>
    <m/>
  </r>
  <r>
    <x v="0"/>
    <x v="72"/>
    <m/>
    <x v="11"/>
    <s v="Support - Prod Support for Ops Apps"/>
    <s v="Operations Technology"/>
    <x v="2"/>
    <d v="2025-11-01T00:00:00"/>
    <d v="2026-10-31T00:00:00"/>
    <m/>
    <s v="Prj000469-Support - Prod Support for Ops Apps"/>
    <s v="Non-Labor"/>
    <x v="1"/>
    <s v="OOE"/>
    <m/>
    <s v="Subscription Services"/>
    <s v="Subscription Services"/>
    <s v="Office Expense"/>
    <s v="Annual Expensed"/>
    <n v="10000"/>
    <n v="25000"/>
    <n v="25000"/>
    <n v="25000"/>
    <n v="0"/>
    <n v="0"/>
    <n v="0"/>
    <s v="  "/>
    <m/>
    <m/>
    <m/>
    <m/>
    <m/>
    <m/>
    <m/>
    <m/>
    <m/>
    <m/>
    <n v="25000"/>
    <m/>
    <n v="25000"/>
    <n v="2500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-25000"/>
    <n v="0"/>
    <n v="-25000"/>
    <m/>
  </r>
  <r>
    <x v="2"/>
    <x v="6"/>
    <m/>
    <x v="0"/>
    <s v="Support - Infrastructure for Tech"/>
    <s v="Infrastructure Services, Controls &amp; User Enablement"/>
    <x v="0"/>
    <s v="NA"/>
    <s v="NA"/>
    <m/>
    <s v="Prj000350-Support - Infrastructure for Tech"/>
    <s v="Non-Labor"/>
    <x v="7"/>
    <s v="Hardware"/>
    <m/>
    <s v="Information Technology"/>
    <s v="Hardware - Desktop Equipment"/>
    <s v="Hardware - Desktop Equipment"/>
    <s v="Monthly Expensed"/>
    <n v="79902.28"/>
    <n v="34646"/>
    <n v="34646"/>
    <n v="25341.853333333336"/>
    <n v="-9304.1466666666638"/>
    <n v="0"/>
    <n v="-9304.1466666666638"/>
    <m/>
    <n v="2887.1666666666665"/>
    <n v="2887.1666666666665"/>
    <n v="2887.1666666666665"/>
    <n v="2887.1666666666665"/>
    <n v="2887.1666666666665"/>
    <n v="2887.1666666666665"/>
    <n v="2887.1666666666665"/>
    <n v="2887.1666666666665"/>
    <n v="2887.1666666666665"/>
    <n v="2887.1666666666665"/>
    <n v="2887.1666666666665"/>
    <n v="2887.1666666666665"/>
    <n v="34646.000000000007"/>
    <n v="20210.166666666668"/>
    <n v="971.52"/>
    <n v="142.37"/>
    <n v="349.61"/>
    <n v="781.02"/>
    <m/>
    <m/>
    <m/>
    <m/>
    <m/>
    <m/>
    <m/>
    <m/>
    <n v="2244.52"/>
    <n v="-1915.6466666666665"/>
    <n v="-2744.7966666666666"/>
    <n v="-2537.5566666666664"/>
    <n v="-2106.1466666666665"/>
    <n v="-2887.1666666666665"/>
    <n v="-2887.1666666666665"/>
    <n v="-2887.1666666666665"/>
    <n v="-2887.1666666666665"/>
    <n v="-2887.1666666666665"/>
    <n v="-2887.1666666666665"/>
    <n v="-2887.1666666666665"/>
    <n v="-2887.1666666666665"/>
    <n v="-32401.480000000003"/>
    <s v="Budget v/s Actuals, Techsmith renewal for 1 year included in April"/>
  </r>
  <r>
    <x v="0"/>
    <x v="41"/>
    <s v="SHI"/>
    <x v="0"/>
    <s v="Support - Infrastructure for Tech"/>
    <s v="Infrastructure Services, Controls &amp; User Enablement"/>
    <x v="0"/>
    <d v="2026-01-30T00:00:00"/>
    <d v="2027-01-29T00:00:00"/>
    <s v="Papercut SaaS Maintenance"/>
    <s v="Prj000350-Support - Infrastructure for Tech"/>
    <s v="Non-Labor"/>
    <x v="7"/>
    <s v="Hardware"/>
    <m/>
    <s v="Information Technology"/>
    <s v="Hardware - Desktop Equipment"/>
    <s v="Hardware - Desktop Equipment"/>
    <s v="Annual Expensed"/>
    <n v="0"/>
    <n v="0"/>
    <n v="0"/>
    <n v="15583.84"/>
    <n v="0"/>
    <n v="15583.84"/>
    <n v="15583.84"/>
    <s v="Not part of original budget; risk added, category updated from software to hardware since laptop purchase,To be confirmed if facilities will take the cost"/>
    <m/>
    <m/>
    <m/>
    <m/>
    <m/>
    <m/>
    <m/>
    <m/>
    <m/>
    <m/>
    <m/>
    <m/>
    <n v="0"/>
    <n v="0"/>
    <n v="0"/>
    <n v="0"/>
    <n v="6769.5300000000007"/>
    <n v="8814.31"/>
    <n v="0"/>
    <n v="7764.78"/>
    <n v="0"/>
    <n v="0"/>
    <n v="0"/>
    <n v="0"/>
    <n v="0"/>
    <n v="0"/>
    <n v="23348.62"/>
    <n v="0"/>
    <n v="0"/>
    <n v="6769.5300000000007"/>
    <n v="8814.31"/>
    <n v="0"/>
    <n v="7764.78"/>
    <n v="0"/>
    <n v="0"/>
    <n v="0"/>
    <n v="0"/>
    <n v="0"/>
    <n v="0"/>
    <n v="23348.62"/>
    <s v="Surface laptop 7, Logitech keyboard and Mouse, Starlite Cable, Monitor unbudgeted"/>
  </r>
  <r>
    <x v="0"/>
    <x v="41"/>
    <s v="SHI"/>
    <x v="0"/>
    <s v="Support - Infrastructure for Tech"/>
    <s v="Infrastructure Services, Controls &amp; User Enablement"/>
    <x v="0"/>
    <s v="Monthly"/>
    <s v="Monthly"/>
    <s v="Variable Monthly Usage"/>
    <s v="Prj000350-Support - Infrastructure for Tech"/>
    <s v="Non-Labor"/>
    <x v="3"/>
    <s v="Infrastructure"/>
    <s v="MS Cloud"/>
    <s v="Information Technology"/>
    <s v="Managed Service - Cloud"/>
    <s v="Managed Service - Cloud"/>
    <s v="Monthly Expensed"/>
    <n v="211"/>
    <n v="0"/>
    <n v="0"/>
    <n v="139.94"/>
    <n v="0"/>
    <n v="139.94"/>
    <n v="139.94"/>
    <s v="Variable Monthly Usage - Not budgeted"/>
    <m/>
    <m/>
    <m/>
    <m/>
    <m/>
    <m/>
    <m/>
    <m/>
    <m/>
    <m/>
    <m/>
    <m/>
    <n v="0"/>
    <n v="0"/>
    <n v="26.13"/>
    <n v="24.41"/>
    <n v="23.21"/>
    <n v="43.39"/>
    <n v="22.8"/>
    <m/>
    <m/>
    <m/>
    <m/>
    <m/>
    <m/>
    <m/>
    <n v="139.94"/>
    <n v="26.13"/>
    <n v="24.41"/>
    <n v="23.21"/>
    <n v="43.39"/>
    <n v="22.8"/>
    <n v="0"/>
    <n v="0"/>
    <n v="0"/>
    <n v="0"/>
    <n v="0"/>
    <n v="0"/>
    <n v="0"/>
    <n v="139.94"/>
    <s v="Hard Risk, unbudgeted"/>
  </r>
  <r>
    <x v="2"/>
    <x v="41"/>
    <s v="SHI"/>
    <x v="9"/>
    <s v="Support - Enterprise Tech Helpdesk"/>
    <s v="Tech Shared Services"/>
    <x v="5"/>
    <s v="NA"/>
    <s v="NA"/>
    <m/>
    <s v="Prj000467-Support - Enterprise Tech Helpdesk"/>
    <s v="Non-Labor"/>
    <x v="7"/>
    <s v="Hardware"/>
    <m/>
    <s v="Information Technology"/>
    <s v="Hardware - Desktop Equipment"/>
    <s v="Hardware - Desktop Equipment"/>
    <s v="Quarterly Expensed"/>
    <n v="77705"/>
    <n v="81590"/>
    <n v="81590"/>
    <n v="66307.210000000006"/>
    <n v="-15282.789999999994"/>
    <n v="0"/>
    <n v="-15282.789999999994"/>
    <m/>
    <m/>
    <m/>
    <n v="20397.5"/>
    <m/>
    <m/>
    <n v="20397.5"/>
    <m/>
    <m/>
    <n v="20397.5"/>
    <m/>
    <m/>
    <n v="20397.5"/>
    <n v="81590"/>
    <n v="61192.5"/>
    <m/>
    <m/>
    <n v="5114.71"/>
    <m/>
    <m/>
    <m/>
    <m/>
    <m/>
    <m/>
    <m/>
    <m/>
    <m/>
    <n v="5114.71"/>
    <n v="0"/>
    <n v="0"/>
    <n v="-15282.79"/>
    <n v="0"/>
    <n v="0"/>
    <n v="-20397.5"/>
    <n v="0"/>
    <n v="0"/>
    <n v="-20397.5"/>
    <n v="0"/>
    <n v="0"/>
    <n v="-20397.5"/>
    <n v="-76475.290000000008"/>
    <s v="Laptop purchase"/>
  </r>
  <r>
    <x v="0"/>
    <x v="73"/>
    <m/>
    <x v="22"/>
    <s v="Implement - Portfolio Optimization Tool for LC"/>
    <s v="Asset Management Tech"/>
    <x v="3"/>
    <d v="2025-10-01T00:00:00"/>
    <d v="2026-09-30T00:00:00"/>
    <m/>
    <s v="Prj000228-Implement - Portfolio Optimization Tool for LC"/>
    <s v="Non-Labor"/>
    <x v="0"/>
    <s v="Software"/>
    <m/>
    <s v="Information Technology"/>
    <s v="Software - Core"/>
    <s v="Software - Core"/>
    <s v="Annual Prepaid"/>
    <n v="37500"/>
    <n v="160000"/>
    <n v="160000"/>
    <n v="160000"/>
    <n v="0"/>
    <n v="0"/>
    <n v="0"/>
    <s v="Capitalizable"/>
    <n v="12500"/>
    <n v="12500"/>
    <n v="12500"/>
    <n v="12500"/>
    <n v="12500"/>
    <n v="12500"/>
    <n v="12500"/>
    <n v="12500"/>
    <n v="12500"/>
    <n v="15833"/>
    <n v="15833"/>
    <n v="15834"/>
    <n v="160000"/>
    <n v="97500"/>
    <n v="12500"/>
    <n v="12500"/>
    <n v="12500"/>
    <n v="12500"/>
    <n v="12500"/>
    <n v="12500"/>
    <n v="12500"/>
    <n v="12500"/>
    <n v="12500"/>
    <m/>
    <m/>
    <m/>
    <n v="112500"/>
    <n v="0"/>
    <n v="0"/>
    <n v="0"/>
    <n v="0"/>
    <n v="0"/>
    <n v="0"/>
    <n v="0"/>
    <n v="0"/>
    <n v="0"/>
    <n v="-15833"/>
    <n v="-15833"/>
    <n v="-15834"/>
    <n v="-47500"/>
    <m/>
  </r>
  <r>
    <x v="0"/>
    <x v="17"/>
    <m/>
    <x v="23"/>
    <s v="Implement - QA CoE to Additional Platforms"/>
    <s v="Tech Shared Services"/>
    <x v="4"/>
    <m/>
    <m/>
    <m/>
    <s v="Prj000556-Implement - QA CoE to Additional Platforms"/>
    <s v="Labor"/>
    <x v="5"/>
    <s v="RTB- FPC"/>
    <m/>
    <s v="Outsourced"/>
    <s v="Run the Business Contractors and Outsource Services"/>
    <s v="RTB Expenses - Contractor"/>
    <s v="New 2026 BoW"/>
    <n v="0"/>
    <n v="250000"/>
    <n v="250000"/>
    <n v="150000"/>
    <n v="-100000"/>
    <n v="0"/>
    <n v="-100000"/>
    <s v="New 2026 BoW"/>
    <m/>
    <m/>
    <m/>
    <m/>
    <m/>
    <m/>
    <m/>
    <m/>
    <m/>
    <m/>
    <m/>
    <n v="150000"/>
    <n v="150000"/>
    <n v="15000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-150000"/>
    <n v="-150000"/>
    <s v="Placeholder funds for new initiatives have been forecasted as per Leon's instruction for utilisation and potential opportunities"/>
  </r>
  <r>
    <x v="0"/>
    <x v="17"/>
    <m/>
    <x v="24"/>
    <s v="Implement - L1/L2 CoE for Additional Platforms"/>
    <s v="Tech Shared Services"/>
    <x v="5"/>
    <m/>
    <m/>
    <m/>
    <s v="Prj000353-Implement - L1/L2 CoE for Additional Platforms"/>
    <s v="Labor"/>
    <x v="2"/>
    <s v="RTB- MS"/>
    <m/>
    <s v="Outsourced"/>
    <s v="Run the Business Contractors and Outsource Services"/>
    <s v="RTB Expenses - Contractor"/>
    <s v="New 2026 BoW"/>
    <n v="0"/>
    <n v="165000"/>
    <n v="165000"/>
    <n v="165000"/>
    <n v="0"/>
    <n v="0"/>
    <n v="0"/>
    <s v="New 2026 BoW"/>
    <m/>
    <m/>
    <m/>
    <m/>
    <m/>
    <m/>
    <m/>
    <m/>
    <m/>
    <m/>
    <m/>
    <n v="165000"/>
    <n v="165000"/>
    <n v="16500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-165000"/>
    <n v="-165000"/>
    <s v="Placeholder funds for new initiatives have been forecasted as per Leon's instruction for utilisation and potential opportunities"/>
  </r>
  <r>
    <x v="0"/>
    <x v="22"/>
    <s v="LIQ"/>
    <x v="25"/>
    <s v="Implement - Strategic Modules for LIQ"/>
    <s v="Operations Technology"/>
    <x v="2"/>
    <m/>
    <m/>
    <m/>
    <s v="Prj000489-Implement - Strategic Modules for LIQ"/>
    <s v="Labor"/>
    <x v="5"/>
    <s v="RTB- FPC"/>
    <m/>
    <s v="Information Technology"/>
    <s v="Managed Service - Core"/>
    <s v="RTB Expenses - Contractor"/>
    <s v="New 2026 BoW"/>
    <n v="0"/>
    <n v="50000"/>
    <n v="50000"/>
    <n v="0"/>
    <n v="-50000"/>
    <n v="0"/>
    <n v="-50000"/>
    <s v="New 2026 BoW (Capitalizable)"/>
    <m/>
    <m/>
    <m/>
    <m/>
    <m/>
    <m/>
    <m/>
    <m/>
    <m/>
    <m/>
    <m/>
    <m/>
    <n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s v="Placeholder funds for new initiatives have been forecasted as per Leon's instruction for utilisation and potential opportunities"/>
  </r>
  <r>
    <x v="0"/>
    <x v="52"/>
    <s v="S&amp;P Global"/>
    <x v="26"/>
    <s v="Implement - WSO Own Instance (AM)"/>
    <s v="Operations Technology"/>
    <x v="2"/>
    <m/>
    <m/>
    <m/>
    <s v="Prj000482-Implement - WSO Own Instance (AM)"/>
    <s v="Labor"/>
    <x v="5"/>
    <s v="RTB- FPC"/>
    <m/>
    <s v="Information Technology"/>
    <s v="Managed Service - Core"/>
    <s v="RTB Expenses - Contractor"/>
    <s v="New 2026 BoW"/>
    <m/>
    <n v="850000"/>
    <n v="499600"/>
    <n v="163600"/>
    <n v="-336000"/>
    <n v="0"/>
    <n v="-336000"/>
    <s v="New 2026 BoW"/>
    <m/>
    <m/>
    <m/>
    <n v="10000"/>
    <m/>
    <m/>
    <m/>
    <m/>
    <m/>
    <m/>
    <m/>
    <n v="143600"/>
    <n v="153600"/>
    <n v="143600"/>
    <m/>
    <m/>
    <n v="10000"/>
    <m/>
    <m/>
    <m/>
    <m/>
    <m/>
    <m/>
    <m/>
    <m/>
    <m/>
    <n v="10000"/>
    <n v="0"/>
    <n v="0"/>
    <n v="10000"/>
    <n v="-10000"/>
    <n v="0"/>
    <n v="0"/>
    <n v="0"/>
    <n v="0"/>
    <n v="0"/>
    <n v="0"/>
    <n v="0"/>
    <n v="-143600"/>
    <n v="-143600"/>
    <s v="Placeholder funds for new initiatives have been forecasted as per Leon's instruction for utilisation and potential opportunities"/>
  </r>
  <r>
    <x v="0"/>
    <x v="23"/>
    <m/>
    <x v="26"/>
    <s v="Implement - WSO Own Instance (AM)"/>
    <s v="Operations Technology"/>
    <x v="2"/>
    <d v="2026-05-15T00:00:00"/>
    <d v="2026-07-31T00:00:00"/>
    <m/>
    <s v="Prj000482-Implement - WSO Own Instance (AM)"/>
    <s v="Labor"/>
    <x v="5"/>
    <s v="RTB- FPC"/>
    <m/>
    <s v="Information Technology"/>
    <s v="Managed Service - Core"/>
    <s v="RTB Expenses - Contractor"/>
    <s v="Monthly Expensed"/>
    <m/>
    <n v="0"/>
    <n v="120000"/>
    <n v="120000"/>
    <n v="0"/>
    <n v="0"/>
    <n v="0"/>
    <s v="WSO Migration – IVP Apps Integration, New 2026 BoW utilised"/>
    <m/>
    <m/>
    <m/>
    <m/>
    <n v="40000"/>
    <n v="40000"/>
    <n v="40000"/>
    <m/>
    <m/>
    <m/>
    <m/>
    <m/>
    <n v="120000"/>
    <n v="80000"/>
    <m/>
    <m/>
    <m/>
    <m/>
    <m/>
    <m/>
    <m/>
    <m/>
    <m/>
    <m/>
    <m/>
    <m/>
    <n v="0"/>
    <n v="0"/>
    <n v="0"/>
    <n v="0"/>
    <n v="0"/>
    <n v="-40000"/>
    <n v="-40000"/>
    <n v="-40000"/>
    <n v="0"/>
    <n v="0"/>
    <n v="0"/>
    <n v="0"/>
    <n v="0"/>
    <n v="-120000"/>
    <s v="New FPC &amp; T&amp;M contract with IVP for WSO Migration, we have allocated unutilised funds from Markit to this contract and not considered this as risk"/>
  </r>
  <r>
    <x v="0"/>
    <x v="52"/>
    <s v="S&amp;P Global"/>
    <x v="27"/>
    <s v="Implement - WSO Balance Sheet Mig &amp; Reporting"/>
    <s v="Operations Technology"/>
    <x v="2"/>
    <m/>
    <m/>
    <m/>
    <s v="Prj000211-Implement - WSO Balance Sheet Mig &amp; Reporting"/>
    <s v="Labor"/>
    <x v="5"/>
    <s v="RTB- FPC"/>
    <m/>
    <s v="Information Technology"/>
    <s v="Managed Service - Core"/>
    <s v="RTB Expenses - Contractor"/>
    <s v="New 2026 BoW"/>
    <m/>
    <n v="500000"/>
    <n v="500000"/>
    <n v="0"/>
    <n v="-500000"/>
    <n v="0"/>
    <n v="-500000"/>
    <s v="New 2026 BoW (Capitalizable)  Full opportunity as per Leon"/>
    <m/>
    <m/>
    <m/>
    <m/>
    <m/>
    <m/>
    <m/>
    <m/>
    <m/>
    <m/>
    <m/>
    <m/>
    <n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s v="Placeholder funds for new initiatives have been forecasted as per Leon's instruction for utilisation and potential opportunities"/>
  </r>
  <r>
    <x v="0"/>
    <x v="23"/>
    <s v="IVP"/>
    <x v="28"/>
    <s v="Implement - Odyssey Reporting &amp; Exception Mgmt"/>
    <s v="Enterprise Architecture, Data Analytics &amp; AI"/>
    <x v="5"/>
    <m/>
    <m/>
    <s v="New FPC BOW"/>
    <s v="Prj000477-Implement - Odyssey Reporting &amp; Exception Mgmt"/>
    <s v="Labor"/>
    <x v="5"/>
    <s v="RTB- FPC"/>
    <m/>
    <s v="Outsourced"/>
    <s v="Run the Business Contractors and Outsource Services"/>
    <s v="RTB Expenses - Contractor"/>
    <s v="New 2026 BoW"/>
    <n v="0"/>
    <n v="600000"/>
    <n v="600000"/>
    <n v="600000"/>
    <n v="0"/>
    <n v="0"/>
    <n v="0"/>
    <s v="New 2026 BoW (Capitalizable)"/>
    <m/>
    <m/>
    <m/>
    <m/>
    <m/>
    <m/>
    <m/>
    <m/>
    <m/>
    <m/>
    <m/>
    <n v="600000"/>
    <n v="600000"/>
    <n v="60000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-600000"/>
    <n v="-600000"/>
    <s v="Placeholder funds for new initiatives have been forecasted as per Leon's instruction for utilisation and potential opportunities"/>
  </r>
  <r>
    <x v="0"/>
    <x v="23"/>
    <s v="IVP"/>
    <x v="13"/>
    <s v="Implement - Reporting for Internal Audit"/>
    <s v="Enterprise Architecture, Data Analytics &amp; AI"/>
    <x v="5"/>
    <m/>
    <m/>
    <s v="New FPC BOW"/>
    <s v="Prj000548-Implement - Reporting for Internal Audit"/>
    <s v="Labor"/>
    <x v="5"/>
    <s v="RTB- FPC"/>
    <m/>
    <s v="Outsourced"/>
    <s v="Run the Business Contractors and Outsource Services"/>
    <s v="RTB Expenses - Contractor"/>
    <s v="New 2026 BoW"/>
    <n v="0"/>
    <n v="500000"/>
    <n v="500000"/>
    <n v="0"/>
    <n v="-500000"/>
    <n v="0"/>
    <n v="-500000"/>
    <s v="New 2026 BoW full opportunity as per Leon"/>
    <m/>
    <m/>
    <m/>
    <m/>
    <m/>
    <m/>
    <m/>
    <m/>
    <m/>
    <m/>
    <m/>
    <m/>
    <n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s v="Placeholder funds for new initiatives have been forecasted as per Leon's instruction for utilisation and potential opportunities"/>
  </r>
  <r>
    <x v="0"/>
    <x v="34"/>
    <s v="ServiceNow Liac"/>
    <x v="29"/>
    <s v="Implement - Minor Enhancements SNOW - Phase 2"/>
    <s v="Infrastructure Services, Controls &amp; User Enablement"/>
    <x v="0"/>
    <d v="2026-01-01T00:00:00"/>
    <d v="2026-06-21T00:00:00"/>
    <s v="ServiceNow"/>
    <s v="Prj000447-Implement - Minor Enhancements SNOW - Phase 2"/>
    <s v="Labor"/>
    <x v="2"/>
    <s v="RTB- MS"/>
    <s v="Managed Services"/>
    <s v="Information Technology"/>
    <s v="Managed Service - Core"/>
    <s v="Managed Service - Core"/>
    <s v="Monthly Expensed"/>
    <n v="0"/>
    <n v="178500"/>
    <n v="178500"/>
    <n v="174169.56"/>
    <n v="-4330.4400000000023"/>
    <n v="0"/>
    <n v="-4330.4400000000023"/>
    <s v="Monthly SOW"/>
    <n v="29028.26"/>
    <n v="29028.26"/>
    <n v="29028.26"/>
    <n v="29028.26"/>
    <n v="29028.26"/>
    <n v="29028.26"/>
    <m/>
    <m/>
    <m/>
    <m/>
    <m/>
    <m/>
    <n v="174169.56"/>
    <n v="29028.26"/>
    <n v="29028.26"/>
    <n v="29028.26"/>
    <n v="29028.26"/>
    <n v="29028.26"/>
    <n v="29028.26"/>
    <n v="29028.26"/>
    <m/>
    <m/>
    <m/>
    <m/>
    <m/>
    <m/>
    <n v="174169.56"/>
    <n v="0"/>
    <n v="0"/>
    <n v="0"/>
    <n v="0"/>
    <n v="0"/>
    <n v="0"/>
    <n v="0"/>
    <n v="0"/>
    <n v="0"/>
    <n v="0"/>
    <n v="0"/>
    <n v="0"/>
    <n v="0"/>
    <s v="Budget v/s Actuals"/>
  </r>
  <r>
    <x v="0"/>
    <x v="37"/>
    <s v="Salesforce"/>
    <x v="30"/>
    <s v="Implement - Reporting to Support DGC"/>
    <s v="Enterprise Architecture, Data Analytics &amp; AI"/>
    <x v="5"/>
    <d v="2025-10-13T00:00:00"/>
    <d v="2026-03-28T00:00:00"/>
    <s v="Tableau Licenses"/>
    <s v="Prj000476-Implement - Reporting to Support DGC"/>
    <s v="Non-Labor"/>
    <x v="0"/>
    <s v="Software"/>
    <m/>
    <s v="Information Technology"/>
    <s v="Software - Licenses"/>
    <s v="Software - Licenses"/>
    <s v="Annual Expensed"/>
    <n v="3529.53"/>
    <n v="7470"/>
    <n v="7470"/>
    <n v="7470"/>
    <n v="0"/>
    <n v="0"/>
    <n v="0"/>
    <s v="Paid till Mar2026, might need till 03/2027- Capitalizable"/>
    <m/>
    <m/>
    <m/>
    <m/>
    <m/>
    <m/>
    <m/>
    <m/>
    <m/>
    <m/>
    <n v="7470"/>
    <m/>
    <n v="7470"/>
    <n v="747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-7470"/>
    <n v="0"/>
    <n v="-7470"/>
    <m/>
  </r>
  <r>
    <x v="0"/>
    <x v="23"/>
    <s v="IVP"/>
    <x v="31"/>
    <s v="Implement - Minor Enhancements for Data Services"/>
    <s v="Asset Management Technology &amp; Data Services"/>
    <x v="4"/>
    <m/>
    <m/>
    <m/>
    <s v="Prj000402-Implement - Minor Enhancements for Data Services"/>
    <s v="Labor"/>
    <x v="2"/>
    <s v="RTB- MS"/>
    <m/>
    <s v="Outsourced"/>
    <s v="Run the Business Contractors and Outsource Services"/>
    <s v="RTB Expenses - Contractor"/>
    <s v="New 2026 BoW"/>
    <n v="0"/>
    <n v="100000"/>
    <n v="100000"/>
    <n v="100000"/>
    <n v="0"/>
    <n v="0"/>
    <n v="0"/>
    <s v="New 2026 BoW"/>
    <m/>
    <m/>
    <m/>
    <m/>
    <m/>
    <m/>
    <m/>
    <m/>
    <m/>
    <m/>
    <m/>
    <n v="100000"/>
    <n v="100000"/>
    <n v="10000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-100000"/>
    <n v="-100000"/>
    <s v="Placeholder funds for new initiatives have been forecasted as per Leon's instruction for utilisation and potential opportunities"/>
  </r>
  <r>
    <x v="0"/>
    <x v="74"/>
    <m/>
    <x v="32"/>
    <s v="Implement - Fund Acctn Modules to Support BS Transition"/>
    <s v="Finance &amp; Treasury Technology"/>
    <x v="2"/>
    <m/>
    <m/>
    <m/>
    <s v="Prj000278-Implement - Fund Acctn Modules to Support BS Transition"/>
    <s v="Labor"/>
    <x v="5"/>
    <s v="CTB- FPC"/>
    <m/>
    <s v="Consulting"/>
    <s v="Consulting Change the Business"/>
    <s v="CTB Expenses - Consulting"/>
    <s v="New 2026 BoW"/>
    <n v="0"/>
    <n v="250000"/>
    <n v="250000"/>
    <n v="150000"/>
    <n v="-100000"/>
    <n v="0"/>
    <n v="-100000"/>
    <s v="New 2026 BoW (Capitalizable)"/>
    <m/>
    <m/>
    <m/>
    <m/>
    <m/>
    <m/>
    <m/>
    <m/>
    <m/>
    <m/>
    <m/>
    <n v="150000"/>
    <n v="150000"/>
    <n v="15000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-150000"/>
    <n v="-150000"/>
    <s v="Placeholder funds for new initiatives have been forecasted as per Leon's instruction for utilisation and potential opportunities"/>
  </r>
  <r>
    <x v="0"/>
    <x v="75"/>
    <m/>
    <x v="33"/>
    <s v="Support - PMO Governance &amp; Reporting Activities"/>
    <s v="Cos, PMO &amp; Enterprise Technology"/>
    <x v="1"/>
    <d v="2025-11-10T00:00:00"/>
    <d v="2026-06-17T00:00:00"/>
    <m/>
    <s v="Prj000296-Support - PMO Governance &amp; Reporting Activities"/>
    <s v="Non-Labor"/>
    <x v="0"/>
    <s v="Software"/>
    <m/>
    <s v="Information Technology"/>
    <s v="Software - Core"/>
    <s v="Software - Core"/>
    <s v="Annual Prepaid"/>
    <n v="52988.05"/>
    <n v="100000"/>
    <n v="100000"/>
    <n v="109890"/>
    <n v="0"/>
    <n v="9890"/>
    <n v="9890"/>
    <s v="Unbudgeted tax, new 2026 bow utilised"/>
    <m/>
    <m/>
    <m/>
    <m/>
    <m/>
    <m/>
    <m/>
    <n v="109890"/>
    <m/>
    <m/>
    <m/>
    <m/>
    <n v="109890"/>
    <n v="109890"/>
    <m/>
    <m/>
    <m/>
    <m/>
    <m/>
    <m/>
    <m/>
    <m/>
    <m/>
    <m/>
    <m/>
    <m/>
    <n v="0"/>
    <n v="0"/>
    <n v="0"/>
    <n v="0"/>
    <n v="0"/>
    <n v="0"/>
    <n v="0"/>
    <n v="0"/>
    <n v="-109890"/>
    <n v="0"/>
    <n v="0"/>
    <n v="0"/>
    <n v="0"/>
    <n v="-109890"/>
    <s v="Placeholder funds for new initiatives have been forecasted as per Leon's instruction for utilisation and potential opportunities"/>
  </r>
  <r>
    <x v="0"/>
    <x v="17"/>
    <m/>
    <x v="24"/>
    <s v="Implement - L1/L2 CoE for Additional Platforms"/>
    <s v="Tech Shared Services"/>
    <x v="5"/>
    <d v="2026-01-01T00:00:00"/>
    <d v="2026-03-31T00:00:00"/>
    <m/>
    <s v="Prj000353-Implement - L1/L2 CoE for Additional Platforms"/>
    <s v="Labor"/>
    <x v="5"/>
    <s v="RTB- FPC"/>
    <m/>
    <s v="Outsourced"/>
    <s v="Run the Business Contractors and Outsource Services"/>
    <s v="RTB Expenses - Contractor"/>
    <s v="New 2026 BoW"/>
    <n v="0"/>
    <n v="250000"/>
    <n v="250000"/>
    <n v="152500"/>
    <n v="-97500"/>
    <n v="0"/>
    <n v="-97500"/>
    <s v="T&amp;M- Implementing CoE for L1/L2 Platforms"/>
    <m/>
    <m/>
    <m/>
    <m/>
    <m/>
    <m/>
    <m/>
    <m/>
    <m/>
    <m/>
    <m/>
    <n v="152500"/>
    <n v="152500"/>
    <n v="15250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-152500"/>
    <n v="-152500"/>
    <s v="Changed from T&amp;M to FPC as per Shanky's KT, March billing to decide final Opp/Risk"/>
  </r>
  <r>
    <x v="0"/>
    <x v="17"/>
    <m/>
    <x v="33"/>
    <s v="Support - PMO Governance &amp; Reporting Activities"/>
    <s v="Cos, PMO &amp; Enterprise Technology"/>
    <x v="1"/>
    <m/>
    <m/>
    <m/>
    <s v="Prj000296-Support - PMO Governance &amp; Reporting Activities"/>
    <s v="Labor"/>
    <x v="5"/>
    <s v="RTB- FPC"/>
    <m/>
    <s v="Outsourced"/>
    <s v="Run the Business Contractors and Outsource Services"/>
    <s v="RTB Expenses - Contractor"/>
    <s v="New 2026 BoW"/>
    <n v="0"/>
    <n v="100000"/>
    <n v="100000"/>
    <n v="0"/>
    <n v="-100000"/>
    <n v="0"/>
    <n v="-100000"/>
    <s v="New 2026 BoW (batch orchestraion work)"/>
    <m/>
    <m/>
    <m/>
    <m/>
    <m/>
    <m/>
    <m/>
    <m/>
    <m/>
    <m/>
    <m/>
    <m/>
    <n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s v="Placeholder funds for new initiatives have been forecasted as per Leon's instruction for utilisation and potential opportunities"/>
  </r>
  <r>
    <x v="0"/>
    <x v="6"/>
    <m/>
    <x v="0"/>
    <s v="Support - Infrastructure for Tech"/>
    <s v="Infrastructure Services, Controls &amp; User Enablement"/>
    <x v="0"/>
    <s v="NA"/>
    <s v="NA"/>
    <m/>
    <s v="Prj000350-Support - Infrastructure for Tech"/>
    <s v="Non-Labor"/>
    <x v="7"/>
    <s v="Hardware"/>
    <m/>
    <s v="Information Technology"/>
    <s v="Hardware - Desktop Equipment"/>
    <s v="Hardware - Desktop Equipment"/>
    <s v="Annual Expensed"/>
    <n v="0"/>
    <n v="0"/>
    <n v="0"/>
    <n v="75000"/>
    <n v="0"/>
    <n v="75000"/>
    <n v="75000"/>
    <s v="2026 Laptops - Danny- Risk"/>
    <m/>
    <m/>
    <m/>
    <m/>
    <m/>
    <m/>
    <m/>
    <m/>
    <m/>
    <m/>
    <m/>
    <n v="75000"/>
    <n v="75000"/>
    <n v="7500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-75000"/>
    <n v="-75000"/>
    <s v="New laptops, unbudgeted"/>
  </r>
  <r>
    <x v="0"/>
    <x v="76"/>
    <m/>
    <x v="5"/>
    <s v="Support - Prod Support for Credit Apps"/>
    <s v="Credit Technology"/>
    <x v="2"/>
    <d v="2026-01-01T00:00:00"/>
    <d v="2026-12-31T00:00:00"/>
    <s v="BMS"/>
    <s v="Prj000381-Support - Prod Support for Credit Apps"/>
    <s v="Non-Labor"/>
    <x v="0"/>
    <s v="Software"/>
    <s v="Subscription"/>
    <s v="Information Technology"/>
    <s v="Software - Core"/>
    <s v="Software - Core"/>
    <s v="Annual Prepaid"/>
    <n v="1670024"/>
    <n v="1778445.9000000001"/>
    <n v="1778445.9000000001"/>
    <n v="1864672.0199999998"/>
    <n v="0"/>
    <n v="86226.119999999646"/>
    <n v="86226.119999999646"/>
    <s v="Prepaid 2026"/>
    <n v="155389.33499999999"/>
    <n v="155389.33499999999"/>
    <n v="155389.33499999999"/>
    <n v="155389.33499999999"/>
    <n v="155389.33499999999"/>
    <n v="155389.33499999999"/>
    <n v="155389.33499999999"/>
    <n v="155389.33499999999"/>
    <n v="155389.33499999999"/>
    <n v="155389.33499999999"/>
    <n v="155389.33499999999"/>
    <n v="155389.33499999999"/>
    <n v="1864672.0199999998"/>
    <n v="1087725.345"/>
    <n v="155389.33499999999"/>
    <n v="155389.33499999999"/>
    <n v="155389.33499999999"/>
    <n v="155389.33499999999"/>
    <n v="155389.33499999999"/>
    <n v="155389.33499999999"/>
    <n v="155389.33499999999"/>
    <n v="155389.33499999999"/>
    <n v="155389.33499999999"/>
    <n v="155389.33499999999"/>
    <n v="155389.33499999999"/>
    <n v="155389.33499999999"/>
    <n v="1864672.0199999998"/>
    <n v="0"/>
    <n v="0"/>
    <n v="0"/>
    <n v="0"/>
    <n v="0"/>
    <n v="0"/>
    <n v="0"/>
    <n v="0"/>
    <n v="0"/>
    <n v="0"/>
    <n v="0"/>
    <n v="0"/>
    <n v="0"/>
    <s v="Budget v/s Actuals"/>
  </r>
  <r>
    <x v="0"/>
    <x v="77"/>
    <s v="OneStream"/>
    <x v="2"/>
    <s v="Support - Prod support for Finance Applications"/>
    <s v="Finance &amp; Treasury Technology"/>
    <x v="2"/>
    <d v="2025-12-22T00:00:00"/>
    <d v="2026-12-21T00:00:00"/>
    <m/>
    <s v="Prj000344-Support - Prod support for Finance Applications"/>
    <s v="Non-Labor"/>
    <x v="0"/>
    <s v="Software"/>
    <m/>
    <s v="Information Technology"/>
    <s v="Software - Licenses"/>
    <s v="Software - Licenses"/>
    <s v="Annual Prepaid"/>
    <n v="284328.36999999994"/>
    <n v="298544.40000000002"/>
    <n v="298544.40000000002"/>
    <n v="284328.36999999994"/>
    <n v="-14216.030000000086"/>
    <n v="0"/>
    <n v="-14216.030000000086"/>
    <s v="Prepaid 2026"/>
    <n v="23694.030833333334"/>
    <n v="23694.030833333334"/>
    <n v="23694.030833333334"/>
    <n v="23694.030833333334"/>
    <n v="23694.030833333334"/>
    <n v="23694.030833333334"/>
    <n v="23694.030833333334"/>
    <n v="23694.030833333334"/>
    <n v="23694.030833333334"/>
    <n v="23694.030833333334"/>
    <n v="23694.030833333334"/>
    <n v="23694.030833333334"/>
    <n v="284328.36999999994"/>
    <n v="165858.21583333332"/>
    <n v="23694.030833333334"/>
    <n v="23694.030833333334"/>
    <n v="23694.030833333334"/>
    <n v="23694.030833333334"/>
    <n v="23694.030833333334"/>
    <n v="23694.030833333334"/>
    <n v="23694.030833333334"/>
    <n v="23694.030833333334"/>
    <n v="23694.030833333334"/>
    <n v="23694.030833333334"/>
    <n v="23694.030833333334"/>
    <n v="23694.030833333334"/>
    <n v="284328.36999999994"/>
    <n v="0"/>
    <n v="0"/>
    <n v="0"/>
    <n v="0"/>
    <n v="0"/>
    <n v="0"/>
    <n v="0"/>
    <n v="0"/>
    <n v="0"/>
    <n v="0"/>
    <n v="0"/>
    <n v="0"/>
    <n v="0"/>
    <s v="Budget v/s Actuals"/>
  </r>
  <r>
    <x v="0"/>
    <x v="52"/>
    <s v="S&amp;P Global/ WSO"/>
    <x v="11"/>
    <s v="Support - Prod Support for Ops Apps"/>
    <s v="Operations Technology"/>
    <x v="2"/>
    <m/>
    <m/>
    <m/>
    <s v="Prj000469-Support - Prod Support for Ops Apps"/>
    <s v="Non-Labor"/>
    <x v="0"/>
    <s v="Software"/>
    <m/>
    <s v="Information Technology"/>
    <s v="Managed Service - Core"/>
    <s v="Managed Service - Core"/>
    <s v="Annual Expensed"/>
    <n v="0"/>
    <n v="0"/>
    <n v="0"/>
    <n v="232487.75"/>
    <n v="0"/>
    <n v="232487.75"/>
    <n v="232487.75"/>
    <s v="WSO Web Services - Subs/ WSO Web/AUM/SubVar- Potential Risk"/>
    <m/>
    <m/>
    <m/>
    <n v="232487.75"/>
    <m/>
    <m/>
    <m/>
    <m/>
    <m/>
    <m/>
    <m/>
    <m/>
    <n v="232487.75"/>
    <n v="0"/>
    <m/>
    <m/>
    <m/>
    <n v="232487.75"/>
    <m/>
    <m/>
    <m/>
    <m/>
    <m/>
    <m/>
    <m/>
    <m/>
    <n v="232487.75"/>
    <n v="0"/>
    <n v="0"/>
    <n v="0"/>
    <n v="0"/>
    <n v="0"/>
    <n v="0"/>
    <n v="0"/>
    <n v="0"/>
    <n v="0"/>
    <n v="0"/>
    <n v="0"/>
    <n v="0"/>
    <n v="0"/>
    <s v="Unbudgeted risk for 2025 AUM Overusage to be charged back to Operations"/>
  </r>
  <r>
    <x v="0"/>
    <x v="53"/>
    <s v="Intellibus"/>
    <x v="8"/>
    <s v="T&amp;M"/>
    <s v="Infra Svcs &amp; User Enblt Tech"/>
    <x v="5"/>
    <d v="2026-07-01T00:00:00"/>
    <d v="2026-12-31T00:00:00"/>
    <s v="T&amp;M"/>
    <s v="T&amp;M-T&amp;M"/>
    <s v="Labor"/>
    <x v="4"/>
    <s v="CTB- T&amp;M"/>
    <s v="T&amp;M"/>
    <s v="Consulting"/>
    <s v="Consulting Change the Business"/>
    <s v="CTB Expenses - Consulting"/>
    <s v="Monthly Expensed"/>
    <n v="0"/>
    <n v="0"/>
    <n v="0"/>
    <n v="606720"/>
    <n v="0"/>
    <n v="606720"/>
    <n v="606720"/>
    <s v="T&amp;M- H2-2026 Risk unbudgeted extension"/>
    <m/>
    <m/>
    <m/>
    <m/>
    <m/>
    <m/>
    <n v="101120"/>
    <n v="101120"/>
    <n v="101120"/>
    <n v="101120"/>
    <n v="101120"/>
    <n v="101120"/>
    <n v="606720"/>
    <n v="606720"/>
    <m/>
    <m/>
    <m/>
    <m/>
    <m/>
    <m/>
    <m/>
    <m/>
    <m/>
    <m/>
    <m/>
    <m/>
    <n v="0"/>
    <n v="0"/>
    <n v="0"/>
    <n v="0"/>
    <n v="0"/>
    <n v="0"/>
    <n v="0"/>
    <n v="-101120"/>
    <n v="-101120"/>
    <n v="-101120"/>
    <n v="-101120"/>
    <n v="-101120"/>
    <n v="-101120"/>
    <n v="-606720"/>
    <s v="Contract expected to extend in second half of 2026, unbudgeted"/>
  </r>
  <r>
    <x v="0"/>
    <x v="23"/>
    <s v="IVP"/>
    <x v="8"/>
    <s v="T&amp;M"/>
    <s v="Infra Svcs &amp; User Enblt Tech"/>
    <x v="5"/>
    <d v="2026-07-01T00:00:00"/>
    <d v="2026-12-31T00:00:00"/>
    <s v="Prj Mgmt T&amp;M"/>
    <s v="T&amp;M-T&amp;M"/>
    <s v="Labor"/>
    <x v="4"/>
    <s v="RTB- T&amp;M"/>
    <s v="T&amp;M"/>
    <s v="Outsourced"/>
    <s v="Run the Business Contractors and Outsource Services"/>
    <s v="RTB Expenses - Contractor"/>
    <s v="Monthly Expensed"/>
    <n v="0"/>
    <n v="0"/>
    <n v="0"/>
    <n v="1557600"/>
    <n v="0"/>
    <n v="1557600"/>
    <n v="1557600"/>
    <s v="Renaissance, H2 unbudgeted extension"/>
    <m/>
    <m/>
    <m/>
    <m/>
    <m/>
    <m/>
    <n v="259600"/>
    <n v="259600"/>
    <n v="259600"/>
    <n v="259600"/>
    <n v="259600"/>
    <n v="259600"/>
    <n v="1557600"/>
    <n v="1557600"/>
    <m/>
    <m/>
    <m/>
    <m/>
    <m/>
    <m/>
    <m/>
    <m/>
    <m/>
    <m/>
    <m/>
    <m/>
    <n v="0"/>
    <n v="0"/>
    <n v="0"/>
    <n v="0"/>
    <n v="0"/>
    <n v="0"/>
    <n v="0"/>
    <n v="-259600"/>
    <n v="-259600"/>
    <n v="-259600"/>
    <n v="-259600"/>
    <n v="-259600"/>
    <n v="-259600"/>
    <n v="-1557600"/>
    <s v="Contract expected to extend in second half of 2026, unbudgeted.  Viabhav-0 .5 Rahul-0 .5 Vedang, + 2 Offshore FTE"/>
  </r>
  <r>
    <x v="0"/>
    <x v="74"/>
    <m/>
    <x v="33"/>
    <s v="Support - PMO Governance &amp; Reporting Activities"/>
    <s v="Cos, PMO &amp; Enterprise Technology"/>
    <x v="1"/>
    <s v="NA"/>
    <s v="NA"/>
    <m/>
    <s v="Prj000296-Support - PMO Governance &amp; Reporting Activities"/>
    <s v="Labor"/>
    <x v="5"/>
    <s v="RTB- FPC"/>
    <m/>
    <s v="Outsourced"/>
    <s v="Run the Business Contractors and Outsource Services"/>
    <s v="RTB Expenses - Contractor"/>
    <s v="NA"/>
    <n v="0"/>
    <n v="0"/>
    <n v="12896"/>
    <n v="12896"/>
    <n v="0"/>
    <n v="0"/>
    <n v="0"/>
    <s v="Hard Opportunity- Variance from OneStream Budget vs IT Budget"/>
    <n v="0"/>
    <n v="0"/>
    <n v="0"/>
    <n v="0"/>
    <n v="0"/>
    <n v="0"/>
    <n v="0"/>
    <n v="0"/>
    <n v="0"/>
    <n v="0"/>
    <n v="0"/>
    <n v="12896"/>
    <n v="12896"/>
    <n v="128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-12896"/>
    <n v="-12896"/>
    <s v="This place holder is a difference between Onestream the amount initiall budgeted as part of 5 year projection v/s 2026 budget finalised by previous budget preparers, initially the amount was $10848, Then added $2048 to total same as final budget in onestream and final approved amount"/>
  </r>
  <r>
    <x v="0"/>
    <x v="19"/>
    <s v="1Rivet"/>
    <x v="8"/>
    <s v="T&amp;M"/>
    <s v=""/>
    <x v="1"/>
    <d v="2026-03-16T00:00:00"/>
    <d v="2026-12-31T00:00:00"/>
    <m/>
    <s v="T&amp;M-T&amp;M"/>
    <s v="Labor"/>
    <x v="4"/>
    <s v="RTB- T&amp;M"/>
    <s v="T&amp;M"/>
    <s v="Outsourced"/>
    <s v="Run the Business Contractors and Outsource Services"/>
    <s v="RTB Expenses - Contractor"/>
    <s v="Monthly Expensed"/>
    <m/>
    <m/>
    <n v="0"/>
    <n v="71440"/>
    <n v="0"/>
    <n v="71440"/>
    <n v="71440"/>
    <s v="Swati Yadav"/>
    <m/>
    <m/>
    <n v="3760"/>
    <n v="7520"/>
    <n v="7520"/>
    <n v="7520"/>
    <n v="7520"/>
    <n v="7520"/>
    <n v="7520"/>
    <n v="7520"/>
    <n v="7520"/>
    <n v="7520"/>
    <n v="71440"/>
    <n v="52640"/>
    <n v="0"/>
    <m/>
    <m/>
    <m/>
    <m/>
    <m/>
    <m/>
    <m/>
    <m/>
    <m/>
    <m/>
    <m/>
    <n v="0"/>
    <n v="0"/>
    <n v="0"/>
    <n v="-3760"/>
    <n v="-7520"/>
    <n v="-7520"/>
    <n v="-7520"/>
    <n v="-7520"/>
    <n v="-7520"/>
    <n v="-7520"/>
    <n v="-7520"/>
    <n v="-7520"/>
    <n v="-7520"/>
    <n v="-71440"/>
    <s v="Cost to be setoff with Coforge (Swati replacing Shanky)"/>
  </r>
  <r>
    <x v="0"/>
    <x v="19"/>
    <s v="1Rivet"/>
    <x v="8"/>
    <s v="T&amp;M"/>
    <s v=""/>
    <x v="0"/>
    <d v="2026-02-04T00:00:00"/>
    <d v="2026-07-31T00:00:00"/>
    <m/>
    <s v="T&amp;M-T&amp;M"/>
    <s v="Labor"/>
    <x v="4"/>
    <s v="RTB- T&amp;M"/>
    <s v="T&amp;M"/>
    <s v="Outsourced"/>
    <s v="Run the Business Contractors and Outsource Services"/>
    <s v="RTB Expenses - Contractor"/>
    <s v="Monthly Expensed"/>
    <m/>
    <m/>
    <n v="0"/>
    <n v="37224"/>
    <n v="0"/>
    <n v="37224"/>
    <n v="37224"/>
    <s v="Danny's extra 1Rivet HC - Risk"/>
    <m/>
    <m/>
    <n v="7520"/>
    <n v="7520"/>
    <n v="7520"/>
    <n v="7520"/>
    <n v="7520"/>
    <m/>
    <m/>
    <m/>
    <m/>
    <m/>
    <n v="37600"/>
    <n v="15040"/>
    <n v="0"/>
    <m/>
    <n v="7144"/>
    <m/>
    <m/>
    <m/>
    <m/>
    <m/>
    <m/>
    <m/>
    <m/>
    <m/>
    <n v="7144"/>
    <n v="0"/>
    <n v="0"/>
    <n v="-376"/>
    <n v="-7520"/>
    <n v="-7520"/>
    <n v="-7520"/>
    <n v="-7520"/>
    <n v="0"/>
    <n v="0"/>
    <n v="0"/>
    <n v="0"/>
    <n v="0"/>
    <n v="-30456"/>
    <s v="Extra resource requested by Danny from 1Rivet to replace Acenture resources, unbudgeted (Arif Inamdar)"/>
  </r>
  <r>
    <x v="0"/>
    <x v="78"/>
    <s v="Nore"/>
    <x v="11"/>
    <s v="Support - Prod Support for Ops Apps"/>
    <s v="Operations Technology"/>
    <x v="2"/>
    <d v="2026-03-01T00:00:00"/>
    <d v="2026-12-31T00:00:00"/>
    <m/>
    <s v="Prj000469-Support - Prod Support for Ops Apps"/>
    <s v="Non-Labor"/>
    <x v="1"/>
    <s v="OOE"/>
    <s v="Market Data"/>
    <s v="Subscription Services"/>
    <s v="Subscription Services"/>
    <s v="Office Expense"/>
    <s v="Quarterly Expensed"/>
    <n v="0"/>
    <n v="0"/>
    <n v="0"/>
    <n v="15208"/>
    <n v="0"/>
    <n v="15208"/>
    <n v="15208"/>
    <m/>
    <m/>
    <m/>
    <m/>
    <n v="15208"/>
    <m/>
    <m/>
    <m/>
    <m/>
    <m/>
    <m/>
    <m/>
    <m/>
    <n v="15208"/>
    <n v="0"/>
    <m/>
    <m/>
    <m/>
    <n v="15208"/>
    <m/>
    <m/>
    <m/>
    <m/>
    <m/>
    <m/>
    <m/>
    <m/>
    <n v="15208"/>
    <n v="0"/>
    <n v="0"/>
    <n v="0"/>
    <n v="0"/>
    <n v="0"/>
    <n v="0"/>
    <n v="0"/>
    <n v="0"/>
    <n v="0"/>
    <n v="0"/>
    <n v="0"/>
    <n v="0"/>
    <n v="0"/>
    <s v="Nore is data source provider for Refinitive - not part of initial budget"/>
  </r>
  <r>
    <x v="0"/>
    <x v="79"/>
    <m/>
    <x v="11"/>
    <s v="Support - Prod Support for Ops Apps"/>
    <s v="Operations Technology"/>
    <x v="2"/>
    <d v="2025-12-01T00:00:00"/>
    <d v="2026-12-31T00:00:00"/>
    <s v="LIQ"/>
    <s v="Prj000469-Support - Prod Support for Ops Apps"/>
    <s v="Non-Labor"/>
    <x v="0"/>
    <s v="Software"/>
    <s v="Software License"/>
    <s v="Information Technology"/>
    <s v="Software - Licenses"/>
    <s v="Software - Licenses"/>
    <s v="Annual Expensed"/>
    <n v="0"/>
    <n v="0"/>
    <n v="0"/>
    <n v="102000"/>
    <n v="0"/>
    <n v="102000"/>
    <n v="102000"/>
    <s v="This was not part of initial budget"/>
    <m/>
    <m/>
    <m/>
    <n v="92000"/>
    <m/>
    <m/>
    <m/>
    <m/>
    <m/>
    <m/>
    <m/>
    <n v="10000"/>
    <n v="102000"/>
    <n v="10000"/>
    <m/>
    <m/>
    <m/>
    <n v="92000"/>
    <m/>
    <m/>
    <m/>
    <m/>
    <m/>
    <m/>
    <m/>
    <m/>
    <n v="92000"/>
    <n v="0"/>
    <n v="0"/>
    <n v="0"/>
    <n v="0"/>
    <n v="0"/>
    <n v="0"/>
    <n v="0"/>
    <n v="0"/>
    <n v="0"/>
    <n v="0"/>
    <n v="0"/>
    <n v="-10000"/>
    <n v="-10000"/>
    <s v="Unbudgeted, New risk - CME Group SOFR License, $1K per month charge back expected from Operations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8">
  <r>
    <x v="0"/>
    <s v="Microsoft Corporation"/>
    <s v="Microsoft D365 F&amp;O and CRM"/>
    <s v="Prj000350"/>
    <s v="Support - Infrastructure for Tech"/>
    <s v="Infrastructure Services, Controls &amp; User Enablement"/>
    <x v="0"/>
    <d v="2025-06-01T00:00:00"/>
    <d v="2028-05-31T00:00:00"/>
    <s v="CRM Lic"/>
    <s v="Prj000350-Support - Infrastructure for Tech"/>
    <s v="Non-Labor"/>
    <x v="0"/>
    <s v="Software"/>
    <s v="CRM Lic"/>
    <s v="Information Technology"/>
    <s v="Software - Licenses"/>
    <s v="Software - Licenses"/>
    <s v="Annual Prepaid"/>
    <n v="351839.43333333335"/>
    <n v="361000"/>
    <n v="361000"/>
    <n v="371392.66666666663"/>
    <n v="0"/>
    <n v="10392.666666666628"/>
    <n v="10392.666666666628"/>
    <s v="Renewed 6/1/25, anniversary date true-up-CRM (Prepaid)"/>
    <n v="30083.333333333332"/>
    <n v="30083.333333333332"/>
    <n v="30083.333333333332"/>
    <n v="30083.333333333332"/>
    <n v="30083.333333333332"/>
    <n v="31568"/>
    <n v="31568"/>
    <n v="31568"/>
    <n v="31568"/>
    <n v="31568"/>
    <n v="31568"/>
    <n v="31568"/>
    <n v="371392.66666666663"/>
    <n v="220976"/>
    <n v="30083.333333333332"/>
    <n v="30083.333333333332"/>
    <n v="30083.333333333332"/>
    <n v="30083.333333333332"/>
    <n v="30083.333333333332"/>
    <m/>
    <m/>
    <m/>
    <m/>
    <m/>
    <m/>
    <m/>
    <n v="150416.66666666666"/>
    <n v="0"/>
    <n v="0"/>
    <n v="0"/>
    <n v="0"/>
    <n v="0"/>
    <n v="-31568"/>
    <n v="-31568"/>
    <n v="-31568"/>
    <n v="-31568"/>
    <n v="-31568"/>
    <n v="-31568"/>
    <n v="-31568"/>
    <n v="-220976"/>
    <m/>
    <n v="150416.66666666666"/>
    <n v="0"/>
    <n v="220976"/>
    <n v="150416.66666666666"/>
    <n v="371392.66666666663"/>
  </r>
  <r>
    <x v="0"/>
    <s v="Microsoft Corporation"/>
    <s v="Microsoft D365 F&amp;O and CRM"/>
    <s v="Prj000350"/>
    <s v="Support - Infrastructure for Tech"/>
    <s v="Infrastructure Services, Controls &amp; User Enablement"/>
    <x v="0"/>
    <d v="2025-06-01T00:00:00"/>
    <d v="2028-05-31T00:00:00"/>
    <s v="F&amp;O Lic"/>
    <s v="Prj000350-Support - Infrastructure for Tech"/>
    <s v="Non-Labor"/>
    <x v="0"/>
    <s v="Software"/>
    <s v="F&amp;O Lic"/>
    <s v="Information Technology"/>
    <s v="Software - Licenses"/>
    <s v="Software - Licenses"/>
    <s v="Annual Prepaid"/>
    <n v="104417"/>
    <n v="179000"/>
    <n v="179000"/>
    <n v="273923.73333333334"/>
    <n v="0"/>
    <n v="94923.733333333337"/>
    <n v="94923.733333333337"/>
    <s v="Renewed 6/1/25, anniversary date true-up-F&amp;O (Prepaid)"/>
    <n v="14916.666666666666"/>
    <n v="14916.666666666666"/>
    <n v="14916.666666666666"/>
    <n v="14916.666666666666"/>
    <n v="14916.666666666666"/>
    <n v="28477.200000000001"/>
    <n v="28477.200000000001"/>
    <n v="28477.200000000001"/>
    <n v="28477.200000000001"/>
    <n v="28477.200000000001"/>
    <n v="28477.200000000001"/>
    <n v="28477.200000000001"/>
    <n v="273923.7333333334"/>
    <n v="199340.40000000002"/>
    <n v="14916.666666666666"/>
    <n v="14916.666666666666"/>
    <n v="14916.666666666666"/>
    <n v="14916.666666666666"/>
    <n v="14916.666666666666"/>
    <m/>
    <m/>
    <m/>
    <m/>
    <m/>
    <m/>
    <m/>
    <n v="74583.333333333328"/>
    <n v="0"/>
    <n v="0"/>
    <n v="0"/>
    <n v="0"/>
    <n v="0"/>
    <n v="-28477.200000000001"/>
    <n v="-28477.200000000001"/>
    <n v="-28477.200000000001"/>
    <n v="-28477.200000000001"/>
    <n v="-28477.200000000001"/>
    <n v="-28477.200000000001"/>
    <n v="-28477.200000000001"/>
    <n v="-199340.40000000002"/>
    <m/>
    <n v="74583.333333333328"/>
    <n v="0"/>
    <n v="199340.40000000002"/>
    <n v="74583.333333333328"/>
    <n v="273923.73333333334"/>
  </r>
  <r>
    <x v="1"/>
    <s v="T&amp;E - Refer to Concur"/>
    <m/>
    <s v="Prj000266"/>
    <s v="Support - Internal Tech Workforce Activities"/>
    <s v="Cos, PMO &amp; Enterprise Technology"/>
    <x v="1"/>
    <s v="NA"/>
    <s v="NA"/>
    <m/>
    <s v="Prj000266-Support - Internal Tech Workforce Activities"/>
    <s v="Non-Labor"/>
    <x v="1"/>
    <s v="OOE"/>
    <m/>
    <s v="Travel &amp; Entertainment"/>
    <s v="Travel &amp; Entertainment Expense"/>
    <s v="T&amp;E (Multiple)"/>
    <s v="Refer to Concur"/>
    <n v="211257"/>
    <n v="259449"/>
    <n v="259449"/>
    <n v="209448.84999999998"/>
    <n v="-50000.150000000023"/>
    <n v="0"/>
    <n v="-50000.150000000023"/>
    <s v="$100K not to be utilised as per Leon's instructions"/>
    <n v="11185.549999999997"/>
    <n v="7399.97"/>
    <n v="16129.190000000002"/>
    <n v="25262"/>
    <n v="23681.14"/>
    <m/>
    <m/>
    <m/>
    <m/>
    <m/>
    <m/>
    <n v="125791"/>
    <n v="209448.85"/>
    <n v="125791"/>
    <n v="11185.549999999997"/>
    <n v="7399.97"/>
    <n v="16129.190000000002"/>
    <n v="25262"/>
    <n v="23681.14"/>
    <m/>
    <m/>
    <m/>
    <m/>
    <m/>
    <m/>
    <m/>
    <n v="83657.850000000006"/>
    <n v="0"/>
    <n v="0"/>
    <n v="0"/>
    <n v="0"/>
    <n v="0"/>
    <n v="0"/>
    <n v="0"/>
    <n v="0"/>
    <n v="0"/>
    <n v="0"/>
    <n v="0"/>
    <n v="-125791"/>
    <n v="-125791"/>
    <s v="Concur project reimbursement cost can't be predicted, hence buffer kept in Dec"/>
    <n v="83657.850000000006"/>
    <n v="0"/>
    <n v="125791"/>
    <n v="83657.850000000006"/>
    <n v="209448.85"/>
  </r>
  <r>
    <x v="0"/>
    <s v="Archetype Consulting, Inc."/>
    <m/>
    <s v="Prj000344"/>
    <s v="Support - Prod support for Finance Applications"/>
    <s v="Finance &amp; Treasury Technology"/>
    <x v="2"/>
    <d v="2025-01-09T00:00:00"/>
    <d v="2026-01-09T00:00:00"/>
    <m/>
    <s v="Prj000344-Support - Prod support for Finance Applications"/>
    <s v="Labor"/>
    <x v="2"/>
    <s v="RTB- MS"/>
    <s v="FPC"/>
    <s v="Outsourced"/>
    <s v="Run the Business Contractors and Outsource Services"/>
    <s v="RTB Expenses - Contractor"/>
    <s v="Monthly Expensed"/>
    <n v="91200"/>
    <n v="100000"/>
    <n v="100000"/>
    <n v="100000"/>
    <n v="0"/>
    <n v="0"/>
    <n v="0"/>
    <s v="check for contract copy"/>
    <n v="7600"/>
    <n v="7600"/>
    <n v="7600"/>
    <n v="7600"/>
    <n v="7600"/>
    <n v="7600"/>
    <n v="7600"/>
    <n v="7600"/>
    <n v="7600"/>
    <n v="7600"/>
    <n v="7600"/>
    <n v="7585"/>
    <n v="91185"/>
    <n v="53185"/>
    <n v="7600"/>
    <n v="7600"/>
    <n v="8675"/>
    <n v="7600"/>
    <n v="15340"/>
    <n v="7600"/>
    <m/>
    <m/>
    <m/>
    <m/>
    <m/>
    <m/>
    <n v="54415"/>
    <n v="0"/>
    <n v="0"/>
    <n v="1075"/>
    <n v="0"/>
    <n v="7740"/>
    <n v="0"/>
    <n v="-7600"/>
    <n v="-7600"/>
    <n v="-7600"/>
    <n v="-7600"/>
    <n v="-7600"/>
    <n v="-7585"/>
    <n v="-36770"/>
    <s v="Budget v/s Actuals, additional work for April'26 invoiced in May"/>
    <n v="46815"/>
    <n v="0"/>
    <n v="53185"/>
    <n v="38000"/>
    <n v="100000"/>
  </r>
  <r>
    <x v="0"/>
    <s v="VPMA Global Services LLC"/>
    <s v="Control M"/>
    <s v="Prj000350"/>
    <s v="Support - Infrastructure for Tech"/>
    <s v="Infrastructure Services, Controls &amp; User Enablement"/>
    <x v="0"/>
    <d v="2025-07-15T00:00:00"/>
    <d v="2026-07-14T00:00:00"/>
    <s v="Control M"/>
    <s v="Prj000350-Support - Infrastructure for Tech"/>
    <s v="Non-Labor"/>
    <x v="0"/>
    <s v="Software"/>
    <m/>
    <s v="Information Technology"/>
    <s v="Software - Licenses"/>
    <s v="Software - Licenses"/>
    <s v="Annual Expensed"/>
    <n v="37630"/>
    <n v="39512"/>
    <n v="39512"/>
    <n v="39512"/>
    <n v="0"/>
    <n v="0"/>
    <n v="0"/>
    <m/>
    <m/>
    <m/>
    <m/>
    <m/>
    <m/>
    <m/>
    <n v="39512"/>
    <m/>
    <m/>
    <m/>
    <m/>
    <m/>
    <n v="39512"/>
    <n v="39512"/>
    <m/>
    <m/>
    <m/>
    <m/>
    <m/>
    <m/>
    <m/>
    <m/>
    <m/>
    <m/>
    <m/>
    <m/>
    <n v="0"/>
    <n v="0"/>
    <n v="0"/>
    <n v="0"/>
    <n v="0"/>
    <n v="0"/>
    <n v="0"/>
    <n v="-39512"/>
    <n v="0"/>
    <n v="0"/>
    <n v="0"/>
    <n v="0"/>
    <n v="0"/>
    <n v="-39512"/>
    <m/>
    <n v="0"/>
    <n v="0"/>
    <n v="39512"/>
    <n v="0"/>
    <n v="39512"/>
  </r>
  <r>
    <x v="0"/>
    <s v="G Treasury SS, LLC"/>
    <m/>
    <s v="Prj000344"/>
    <s v="Support - Prod support for Finance Applications"/>
    <s v="Finance &amp; Treasury Technology"/>
    <x v="2"/>
    <s v="NA"/>
    <s v="NA"/>
    <m/>
    <s v="Prj000344-Support - Prod support for Finance Applications"/>
    <s v="Non-Labor"/>
    <x v="0"/>
    <s v="Software"/>
    <m/>
    <s v="Information Technology"/>
    <s v="Managed Service - Core"/>
    <s v="Support Services"/>
    <s v="Potential Opportunity"/>
    <n v="14000"/>
    <n v="14700"/>
    <n v="14700"/>
    <n v="14700"/>
    <n v="0"/>
    <n v="0"/>
    <n v="0"/>
    <s v="Potential Opp."/>
    <m/>
    <m/>
    <m/>
    <m/>
    <m/>
    <m/>
    <m/>
    <m/>
    <m/>
    <m/>
    <m/>
    <n v="14700"/>
    <n v="14700"/>
    <n v="1470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-14700"/>
    <n v="-14700"/>
    <m/>
    <n v="0"/>
    <n v="0"/>
    <n v="14700"/>
    <n v="0"/>
    <n v="14700"/>
  </r>
  <r>
    <x v="0"/>
    <s v="G Treasury SS, LLC"/>
    <m/>
    <s v="Prj000603"/>
    <s v="Implement - Cash Matching Recon Solution"/>
    <s v="Finance &amp; Treasury Technology"/>
    <x v="2"/>
    <d v="2026-04-08T00:00:00"/>
    <d v="2027-04-07T00:00:00"/>
    <m/>
    <s v="Prj000603-Implement - Cash Matching Recon Solution"/>
    <s v="Non-Labor"/>
    <x v="0"/>
    <s v="Software"/>
    <m/>
    <s v="Information Technology"/>
    <s v="Managed Service - Core"/>
    <s v="Support Services"/>
    <s v="Annual Expensed"/>
    <m/>
    <m/>
    <m/>
    <n v="41250"/>
    <n v="0"/>
    <n v="41250"/>
    <n v="41250"/>
    <s v="Solvexia Bank Reconciliation ImplementationFees"/>
    <m/>
    <m/>
    <m/>
    <n v="7500"/>
    <n v="2400"/>
    <m/>
    <m/>
    <m/>
    <m/>
    <m/>
    <m/>
    <n v="31350"/>
    <n v="41250"/>
    <n v="31350"/>
    <m/>
    <m/>
    <m/>
    <n v="7500"/>
    <n v="2400"/>
    <m/>
    <m/>
    <m/>
    <m/>
    <m/>
    <m/>
    <m/>
    <n v="9900"/>
    <n v="0"/>
    <n v="0"/>
    <n v="0"/>
    <n v="0"/>
    <n v="0"/>
    <n v="0"/>
    <n v="0"/>
    <n v="0"/>
    <n v="0"/>
    <n v="0"/>
    <n v="0"/>
    <n v="-31350"/>
    <n v="-31350"/>
    <s v="New risk, unbudgeted - cash matching Gtreausry"/>
    <n v="9900"/>
    <n v="0"/>
    <n v="31350"/>
    <n v="9900"/>
    <n v="41250"/>
  </r>
  <r>
    <x v="0"/>
    <s v="SuperTrader, Inc."/>
    <s v="LevPro"/>
    <s v="Prj000290"/>
    <s v="Support - Asset Management Applications"/>
    <s v="Asset Management Tech"/>
    <x v="3"/>
    <s v="Monthly"/>
    <s v="Monthly"/>
    <m/>
    <s v="Prj000290-Support - Asset Management Applications"/>
    <s v="Non-Labor"/>
    <x v="0"/>
    <s v="Software"/>
    <s v="FPC"/>
    <s v="Information Technology"/>
    <s v="Software - Licenses"/>
    <s v="CTB Expenses - Consulting"/>
    <s v="Monthly Expensed; Potential Opportunity"/>
    <n v="40000"/>
    <n v="42000"/>
    <n v="42000"/>
    <n v="42000"/>
    <n v="0"/>
    <n v="0"/>
    <n v="0"/>
    <s v="For LevPro Support work"/>
    <n v="3500"/>
    <n v="3500"/>
    <n v="3500"/>
    <n v="3500"/>
    <n v="3500"/>
    <n v="3500"/>
    <n v="3500"/>
    <n v="3500"/>
    <n v="3500"/>
    <n v="3500"/>
    <n v="3500"/>
    <n v="7000"/>
    <n v="45500"/>
    <n v="28000"/>
    <n v="1000"/>
    <n v="2500"/>
    <m/>
    <m/>
    <m/>
    <m/>
    <m/>
    <m/>
    <m/>
    <m/>
    <m/>
    <m/>
    <n v="3500"/>
    <n v="-2500"/>
    <n v="-1000"/>
    <n v="-3500"/>
    <n v="-3500"/>
    <n v="-3500"/>
    <n v="-3500"/>
    <n v="-3500"/>
    <n v="-3500"/>
    <n v="-3500"/>
    <n v="-3500"/>
    <n v="-3500"/>
    <n v="-7000"/>
    <n v="-42000"/>
    <s v="This cost is not fixed and will be fluctuating per month,"/>
    <n v="3500"/>
    <n v="10500"/>
    <n v="38500"/>
    <n v="17500"/>
    <n v="42000"/>
  </r>
  <r>
    <x v="0"/>
    <s v="CDW DIRECT LLC"/>
    <m/>
    <s v="Prj000350"/>
    <s v="Support - Infrastructure for Tech"/>
    <s v="Infrastructure Services, Controls &amp; User Enablement"/>
    <x v="0"/>
    <s v="Monthly"/>
    <s v="Monthly"/>
    <m/>
    <s v="Prj000350-Support - Infrastructure for Tech"/>
    <s v="Non-Labor"/>
    <x v="3"/>
    <s v="Infrastructure"/>
    <m/>
    <s v="Information Technology"/>
    <s v="Managed Service - Network"/>
    <s v="Managed Service - Network"/>
    <s v="Monthly Expensed"/>
    <n v="237545.39"/>
    <n v="180000"/>
    <n v="180000"/>
    <n v="165100.70000000001"/>
    <n v="-14899.299999999988"/>
    <n v="0"/>
    <n v="-14899.299999999988"/>
    <s v="Network Managed Services (Network Operation Centre (NOC))"/>
    <n v="15000"/>
    <n v="15000"/>
    <n v="15000"/>
    <n v="15000"/>
    <n v="15000"/>
    <n v="15725"/>
    <n v="15725"/>
    <n v="15725"/>
    <n v="15725"/>
    <n v="15725"/>
    <n v="15725"/>
    <n v="15725"/>
    <n v="185075"/>
    <n v="110075"/>
    <n v="11005.14"/>
    <n v="11005.14"/>
    <n v="11005.14"/>
    <n v="11005.14"/>
    <n v="11005.14"/>
    <m/>
    <m/>
    <m/>
    <m/>
    <m/>
    <m/>
    <m/>
    <n v="55025.7"/>
    <n v="-3994.8600000000006"/>
    <n v="-3994.8600000000006"/>
    <n v="-3994.8600000000006"/>
    <n v="-3994.8600000000006"/>
    <n v="-3994.8600000000006"/>
    <n v="-15725"/>
    <n v="-15725"/>
    <n v="-15725"/>
    <n v="-15725"/>
    <n v="-15725"/>
    <n v="-15725"/>
    <n v="-15725"/>
    <n v="-130049.3"/>
    <s v="Budget v/s Actuals, revised rate as per new contract, ad hoc 240/hr charge for engeenering support part of contract"/>
    <n v="55025.7"/>
    <n v="0"/>
    <n v="110075"/>
    <n v="75000"/>
    <n v="165100.70000000001"/>
  </r>
  <r>
    <x v="0"/>
    <s v="COGENT COMMUNICATIONS, INC"/>
    <m/>
    <s v="Prj000350"/>
    <s v="Support - Infrastructure for Tech"/>
    <s v="Infrastructure Services, Controls &amp; User Enablement"/>
    <x v="0"/>
    <s v="Monthly"/>
    <s v="Monthly"/>
    <m/>
    <s v="Prj000350-Support - Infrastructure for Tech"/>
    <s v="Non-Labor"/>
    <x v="3"/>
    <s v="Infrastructure"/>
    <s v="MS Network"/>
    <s v="Information Technology"/>
    <s v="Managed Service - Network"/>
    <s v="Managed Service - Network"/>
    <s v="Monthly Expensed"/>
    <n v="32767"/>
    <n v="35314"/>
    <n v="35314"/>
    <n v="35702.549999999996"/>
    <n v="0"/>
    <n v="388.54999999999563"/>
    <n v="388.54999999999563"/>
    <s v="  "/>
    <n v="2943"/>
    <n v="2943"/>
    <n v="2943"/>
    <n v="2943"/>
    <n v="2943"/>
    <n v="2943"/>
    <n v="2943"/>
    <n v="2943"/>
    <n v="2943"/>
    <n v="2943"/>
    <n v="2943"/>
    <n v="2941"/>
    <n v="35314"/>
    <n v="20599"/>
    <n v="2802.71"/>
    <n v="2802.71"/>
    <n v="2802.71"/>
    <n v="3742.71"/>
    <n v="2952.71"/>
    <n v="2952.71"/>
    <m/>
    <m/>
    <m/>
    <m/>
    <m/>
    <m/>
    <n v="18056.259999999998"/>
    <n v="-140.28999999999996"/>
    <n v="-140.28999999999996"/>
    <n v="-140.28999999999996"/>
    <n v="799.71"/>
    <n v="9.7100000000000364"/>
    <n v="9.7100000000000364"/>
    <n v="-2943"/>
    <n v="-2943"/>
    <n v="-2943"/>
    <n v="-2943"/>
    <n v="-2943"/>
    <n v="-2941"/>
    <n v="-17257.739999999998"/>
    <s v="Budget v/s Actuals"/>
    <n v="15103.55"/>
    <n v="0"/>
    <n v="20599"/>
    <n v="14715"/>
    <n v="35702.550000000003"/>
  </r>
  <r>
    <x v="0"/>
    <s v="LEVEL 3 COMMUNICATIONS"/>
    <s v="Lumen"/>
    <s v="Prj000350"/>
    <s v="Support - Infrastructure for Tech"/>
    <s v="Infrastructure Services, Controls &amp; User Enablement"/>
    <x v="0"/>
    <s v="Monthly"/>
    <s v="Monthly"/>
    <m/>
    <s v="Prj000350-Support - Infrastructure for Tech"/>
    <s v="Non-Labor"/>
    <x v="3"/>
    <s v="Infrastructure"/>
    <s v="MS Network"/>
    <s v="Information Technology"/>
    <s v="Managed Service - Network"/>
    <s v="Managed Service - Network"/>
    <s v="Monthly Expensed"/>
    <n v="23746"/>
    <n v="25439"/>
    <n v="25439"/>
    <n v="24935.936666666668"/>
    <n v="-503.06333333333168"/>
    <n v="0"/>
    <n v="-503.06333333333168"/>
    <s v="  "/>
    <n v="2119.9166666666665"/>
    <n v="2119.9166666666665"/>
    <n v="2119.9166666666665"/>
    <n v="2119.9166666666665"/>
    <n v="2119.9166666666665"/>
    <n v="2119.9166666666665"/>
    <n v="2119.9166666666665"/>
    <n v="2119.9166666666665"/>
    <n v="2119.9166666666665"/>
    <n v="2119.9166666666665"/>
    <n v="2119.9166666666665"/>
    <n v="2119.9166666666665"/>
    <n v="25439.000000000004"/>
    <n v="14839.416666666664"/>
    <n v="2019.14"/>
    <n v="2019.24"/>
    <n v="2019.24"/>
    <n v="2019.45"/>
    <n v="2019.45"/>
    <n v="2019.45"/>
    <m/>
    <m/>
    <m/>
    <m/>
    <m/>
    <m/>
    <n v="12115.970000000001"/>
    <n v="-100.77666666666642"/>
    <n v="-100.67666666666651"/>
    <n v="-100.67666666666651"/>
    <n v="-100.46666666666647"/>
    <n v="-100.46666666666647"/>
    <n v="-100.46666666666647"/>
    <n v="-2119.9166666666665"/>
    <n v="-2119.9166666666665"/>
    <n v="-2119.9166666666665"/>
    <n v="-2119.9166666666665"/>
    <n v="-2119.9166666666665"/>
    <n v="-2119.9166666666665"/>
    <n v="-13323.029999999997"/>
    <s v="Budget v/s Actuals"/>
    <n v="10096.52"/>
    <n v="0"/>
    <n v="14839.416666666664"/>
    <n v="10599.583333333332"/>
    <n v="24935.936666666665"/>
  </r>
  <r>
    <x v="0"/>
    <s v="Bell Mobility Inc."/>
    <m/>
    <s v="Prj000350"/>
    <s v="Support - Infrastructure for Tech"/>
    <s v="Infrastructure Services, Controls &amp; User Enablement"/>
    <x v="0"/>
    <d v="2025-01-01T00:00:00"/>
    <d v="2025-12-31T00:00:00"/>
    <m/>
    <s v="Prj000350-Support - Infrastructure for Tech"/>
    <s v="Non-Labor"/>
    <x v="3"/>
    <s v="Infrastructure"/>
    <s v="Utility"/>
    <s v="Office expense"/>
    <s v="General Office Expense"/>
    <s v="Office Expense - Telephone &amp; FAX"/>
    <s v="Quarterly Expensed"/>
    <n v="2726"/>
    <n v="2863"/>
    <n v="2863"/>
    <n v="2863"/>
    <n v="0"/>
    <n v="0"/>
    <n v="0"/>
    <m/>
    <m/>
    <m/>
    <n v="715.75"/>
    <m/>
    <m/>
    <n v="715.75"/>
    <m/>
    <m/>
    <n v="715.75"/>
    <m/>
    <m/>
    <n v="715.75"/>
    <n v="2863"/>
    <n v="2147.25"/>
    <m/>
    <m/>
    <m/>
    <m/>
    <m/>
    <m/>
    <m/>
    <m/>
    <m/>
    <m/>
    <m/>
    <m/>
    <n v="0"/>
    <n v="0"/>
    <n v="0"/>
    <n v="-715.75"/>
    <n v="0"/>
    <n v="0"/>
    <n v="-715.75"/>
    <n v="0"/>
    <n v="0"/>
    <n v="-715.75"/>
    <n v="0"/>
    <n v="0"/>
    <n v="-715.75"/>
    <n v="-2863"/>
    <m/>
    <n v="0"/>
    <n v="715.75"/>
    <n v="2863"/>
    <n v="715.75"/>
    <n v="2863"/>
  </r>
  <r>
    <x v="0"/>
    <s v="Zoom Video Communications, Inc."/>
    <m/>
    <s v="Prj000350"/>
    <s v="Support - Infrastructure for Tech"/>
    <s v="Infrastructure Services, Controls &amp; User Enablement"/>
    <x v="0"/>
    <d v="2025-10-17T00:00:00"/>
    <d v="2026-10-16T00:00:00"/>
    <s v="Zoom"/>
    <s v="Prj000350-Support - Infrastructure for Tech"/>
    <s v="Non-Labor"/>
    <x v="3"/>
    <s v="Infrastructure"/>
    <m/>
    <s v="Office expense"/>
    <s v="General Office Expense"/>
    <s v="Office Expense - Telephone &amp; FAX"/>
    <s v="Annual Expensed"/>
    <n v="14686"/>
    <n v="15750"/>
    <n v="15750"/>
    <n v="15750"/>
    <n v="0"/>
    <n v="0"/>
    <n v="0"/>
    <s v="Contract lower than 3+9"/>
    <m/>
    <m/>
    <m/>
    <m/>
    <m/>
    <m/>
    <m/>
    <m/>
    <m/>
    <n v="15750"/>
    <m/>
    <m/>
    <n v="15750"/>
    <n v="15750"/>
    <m/>
    <m/>
    <m/>
    <m/>
    <m/>
    <m/>
    <m/>
    <m/>
    <m/>
    <m/>
    <m/>
    <m/>
    <n v="0"/>
    <n v="0"/>
    <n v="0"/>
    <n v="0"/>
    <n v="0"/>
    <n v="0"/>
    <n v="0"/>
    <n v="0"/>
    <n v="0"/>
    <n v="0"/>
    <n v="-15750"/>
    <n v="0"/>
    <n v="0"/>
    <n v="-15750"/>
    <m/>
    <n v="0"/>
    <n v="0"/>
    <n v="15750"/>
    <n v="0"/>
    <n v="15750"/>
  </r>
  <r>
    <x v="2"/>
    <s v="Other"/>
    <m/>
    <s v="Prj000350"/>
    <s v="Support - Infrastructure for Tech"/>
    <s v="Infrastructure Services, Controls &amp; User Enablement"/>
    <x v="0"/>
    <s v="NA"/>
    <s v="NA"/>
    <m/>
    <s v="Prj000350-Support - Infrastructure for Tech"/>
    <s v="Non-Labor"/>
    <x v="3"/>
    <s v="Infrastructure"/>
    <m/>
    <s v="Office expense"/>
    <s v="General Office Expense"/>
    <s v="Office Expense - Telephone &amp; FAX"/>
    <s v="Potential Opportunity"/>
    <n v="0"/>
    <n v="52500"/>
    <n v="52500"/>
    <n v="52500"/>
    <n v="0"/>
    <n v="0"/>
    <n v="0"/>
    <s v="Hard Opportunity"/>
    <m/>
    <m/>
    <m/>
    <m/>
    <m/>
    <m/>
    <m/>
    <m/>
    <m/>
    <m/>
    <m/>
    <n v="52500"/>
    <n v="52500"/>
    <n v="5250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-52500"/>
    <n v="-52500"/>
    <m/>
    <n v="0"/>
    <n v="0"/>
    <n v="52500"/>
    <n v="0"/>
    <n v="52500"/>
  </r>
  <r>
    <x v="0"/>
    <s v="Bloomberg Finance L.P."/>
    <m/>
    <s v="Prj000381"/>
    <s v="Support - Prod Support for Credit Apps"/>
    <s v="Credit Technology"/>
    <x v="2"/>
    <s v="Monthly"/>
    <s v="Monthly"/>
    <m/>
    <s v="Prj000381-Support - Prod Support for Credit Apps"/>
    <s v="Non-Labor"/>
    <x v="1"/>
    <s v="OOE"/>
    <s v="Subscriptions"/>
    <s v="Subscription Services"/>
    <s v="Subscription Services"/>
    <s v="Office Expense"/>
    <s v="Monthly Expensed"/>
    <n v="13064.939999999999"/>
    <n v="14886"/>
    <n v="14886"/>
    <n v="13065.06"/>
    <n v="-1820.9400000000005"/>
    <n v="0"/>
    <n v="-1820.9400000000005"/>
    <s v="Subscription"/>
    <n v="1088.76"/>
    <n v="1088.76"/>
    <n v="1088.76"/>
    <n v="1088.76"/>
    <n v="1088.76"/>
    <n v="1088.76"/>
    <n v="1088.76"/>
    <n v="1088.76"/>
    <n v="1088.76"/>
    <n v="1088.76"/>
    <n v="1088.76"/>
    <n v="1088.76"/>
    <n v="13065.12"/>
    <n v="7621.3200000000006"/>
    <n v="1088.76"/>
    <n v="1088.74"/>
    <n v="1088.76"/>
    <n v="1088.74"/>
    <n v="1088.74"/>
    <m/>
    <m/>
    <m/>
    <m/>
    <m/>
    <m/>
    <m/>
    <n v="5443.74"/>
    <n v="0"/>
    <n v="-1.999999999998181E-2"/>
    <n v="0"/>
    <n v="-1.999999999998181E-2"/>
    <n v="-1.999999999998181E-2"/>
    <n v="-1088.76"/>
    <n v="-1088.76"/>
    <n v="-1088.76"/>
    <n v="-1088.76"/>
    <n v="-1088.76"/>
    <n v="-1088.76"/>
    <n v="-1088.76"/>
    <n v="-7621.380000000001"/>
    <s v="Budget v/s Actuals"/>
    <n v="5443.74"/>
    <n v="0"/>
    <n v="7621.3200000000006"/>
    <n v="5443.8"/>
    <n v="13065.060000000001"/>
  </r>
  <r>
    <x v="0"/>
    <s v="PitchBook Data, Inc."/>
    <m/>
    <s v="Prj000426"/>
    <s v="Implement - Minor Enhancements for Sales"/>
    <s v="Asset Management Technology &amp; Data Services"/>
    <x v="4"/>
    <d v="2025-06-30T00:00:00"/>
    <d v="2027-06-29T00:00:00"/>
    <m/>
    <s v="Prj000426-Implement - Minor Enhancements for Sales"/>
    <s v="Non-Labor"/>
    <x v="1"/>
    <s v="OOE"/>
    <m/>
    <s v="Subscription Services"/>
    <s v="Subscription Services"/>
    <s v="Office Expense"/>
    <s v="Annual Expensed"/>
    <n v="11845"/>
    <n v="12200"/>
    <n v="12200"/>
    <n v="12200"/>
    <n v="0"/>
    <n v="0"/>
    <n v="0"/>
    <s v="2 Yrs yr1 11845 (paid in 2025) &amp; yr2 12200 (to be paid in 2026)"/>
    <m/>
    <m/>
    <m/>
    <m/>
    <m/>
    <m/>
    <m/>
    <m/>
    <m/>
    <m/>
    <m/>
    <n v="12200"/>
    <n v="12200"/>
    <n v="1220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-12200"/>
    <n v="-12200"/>
    <m/>
    <n v="0"/>
    <n v="0"/>
    <n v="12200"/>
    <n v="0"/>
    <n v="12200"/>
  </r>
  <r>
    <x v="1"/>
    <s v="City of Chicago"/>
    <s v="Sales VAT Tax"/>
    <s v="Prj000266"/>
    <s v="Support - Internal Tech Workforce Activities"/>
    <s v="Cos, PMO &amp; Enterprise Technology"/>
    <x v="1"/>
    <s v="NA"/>
    <s v="NA"/>
    <m/>
    <s v="Prj000266-Support - Internal Tech Workforce Activities"/>
    <s v="Non-Labor"/>
    <x v="1"/>
    <s v="OOE"/>
    <m/>
    <s v="HST &amp; sales VAT tax"/>
    <s v="Sales Tax VAT"/>
    <s v="Sales Tax Expense"/>
    <s v="Annual Expensed"/>
    <n v="225000"/>
    <n v="236250"/>
    <n v="236250"/>
    <n v="236250"/>
    <n v="0"/>
    <n v="0"/>
    <n v="0"/>
    <s v="Parked for 2026 Sales Tax"/>
    <m/>
    <m/>
    <m/>
    <m/>
    <m/>
    <m/>
    <m/>
    <m/>
    <m/>
    <m/>
    <m/>
    <n v="236250"/>
    <n v="236250"/>
    <n v="23625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-236250"/>
    <n v="-236250"/>
    <m/>
    <n v="0"/>
    <n v="0"/>
    <n v="236250"/>
    <n v="0"/>
    <n v="236250"/>
  </r>
  <r>
    <x v="1"/>
    <s v="New York State Department of Taxation and Finance"/>
    <s v="Sales VAT Tax"/>
    <s v="Prj000266"/>
    <s v="Support - Internal Tech Workforce Activities"/>
    <s v="Cos, PMO &amp; Enterprise Technology"/>
    <x v="1"/>
    <s v="NA"/>
    <s v="NA"/>
    <m/>
    <s v="Prj000266-Support - Internal Tech Workforce Activities"/>
    <s v="Non-Labor"/>
    <x v="1"/>
    <s v="OOE"/>
    <m/>
    <s v="HST &amp; sales VAT tax"/>
    <s v="Sales Tax VAT"/>
    <s v="Sales Tax Expense"/>
    <s v="Annual Expensed"/>
    <n v="135000"/>
    <n v="141750"/>
    <n v="141750"/>
    <n v="141750"/>
    <n v="0"/>
    <n v="0"/>
    <n v="0"/>
    <s v="Parked for 2026 Sales Tax"/>
    <m/>
    <m/>
    <m/>
    <m/>
    <m/>
    <m/>
    <m/>
    <m/>
    <m/>
    <m/>
    <m/>
    <n v="141750"/>
    <n v="141750"/>
    <n v="14175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-141750"/>
    <n v="-141750"/>
    <m/>
    <n v="0"/>
    <n v="0"/>
    <n v="141750"/>
    <n v="0"/>
    <n v="141750"/>
  </r>
  <r>
    <x v="1"/>
    <s v="Nterone Corporation"/>
    <s v="Nterone"/>
    <s v="Prj000266"/>
    <s v="Support - Internal Tech Workforce Activities"/>
    <s v="Cos, PMO &amp; Enterprise Technology"/>
    <x v="1"/>
    <s v="NA"/>
    <s v="NA"/>
    <m/>
    <s v="Prj000266-Support - Internal Tech Workforce Activities"/>
    <s v="Non-Labor"/>
    <x v="1"/>
    <s v="OOE"/>
    <m/>
    <s v="Travel &amp; Entertainment"/>
    <s v="Training/Seminars/Conference Spend"/>
    <s v="External Training"/>
    <s v="Potential Opportunity"/>
    <n v="16285"/>
    <n v="17099"/>
    <n v="17099"/>
    <n v="17099"/>
    <n v="0"/>
    <n v="0"/>
    <n v="0"/>
    <s v="  "/>
    <m/>
    <m/>
    <m/>
    <m/>
    <m/>
    <m/>
    <m/>
    <m/>
    <m/>
    <m/>
    <m/>
    <n v="17099"/>
    <n v="17099"/>
    <n v="17099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-17099"/>
    <n v="-17099"/>
    <m/>
    <n v="0"/>
    <n v="0"/>
    <n v="17099"/>
    <n v="0"/>
    <n v="17099"/>
  </r>
  <r>
    <x v="0"/>
    <s v="Coforge DPA NA Inc."/>
    <m/>
    <s v="Prj000403"/>
    <s v="Support - L2 CoE Management for Tech Horizontals"/>
    <s v="Tech Shared Services"/>
    <x v="5"/>
    <d v="2026-01-01T00:00:00"/>
    <d v="2026-12-31T00:00:00"/>
    <m/>
    <s v="Prj000403-Support - L2 CoE Management for Tech Horizontals"/>
    <s v="Labor"/>
    <x v="2"/>
    <s v="RTB- MS"/>
    <s v="L2 SOW FPC"/>
    <s v="Information Technology"/>
    <s v="Managed Service - Core"/>
    <s v="Managed Service - Core"/>
    <s v="Monthly Expensed"/>
    <n v="1357227"/>
    <n v="1359552"/>
    <n v="1359552"/>
    <n v="1446139"/>
    <n v="0"/>
    <n v="86587"/>
    <n v="86587"/>
    <s v="L2 SOW FPC"/>
    <n v="113296"/>
    <n v="113296"/>
    <n v="113296"/>
    <n v="113296"/>
    <n v="124084"/>
    <n v="120637"/>
    <n v="123837"/>
    <n v="127037"/>
    <n v="127037"/>
    <n v="127037"/>
    <n v="127037"/>
    <n v="127037"/>
    <n v="1456927"/>
    <n v="879659"/>
    <n v="113296"/>
    <n v="113296"/>
    <n v="113296"/>
    <n v="113296"/>
    <n v="113296"/>
    <m/>
    <m/>
    <m/>
    <m/>
    <m/>
    <m/>
    <m/>
    <n v="566480"/>
    <n v="0"/>
    <n v="0"/>
    <n v="0"/>
    <n v="0"/>
    <n v="-10788"/>
    <n v="-120637"/>
    <n v="-123837"/>
    <n v="-127037"/>
    <n v="-127037"/>
    <n v="-127037"/>
    <n v="-127037"/>
    <n v="-127037"/>
    <n v="-890447"/>
    <s v="L2 DBA resource starting July 1 to expand coverage"/>
    <n v="566480"/>
    <n v="0"/>
    <n v="879659"/>
    <n v="577268"/>
    <n v="1446139"/>
  </r>
  <r>
    <x v="0"/>
    <s v="Cognizant Worldwide Limited"/>
    <m/>
    <s v="T&amp;M"/>
    <s v="T&amp;M"/>
    <s v=""/>
    <x v="1"/>
    <d v="2026-01-01T00:00:00"/>
    <d v="2026-12-31T00:00:00"/>
    <s v="D365 CRM"/>
    <s v="T&amp;M-T&amp;M"/>
    <s v="Labor"/>
    <x v="4"/>
    <s v="RTB- T&amp;M"/>
    <s v="T&amp;M"/>
    <s v="Outsourced"/>
    <s v="Run the Business Contractors and Outsource Services"/>
    <s v="RTB Expenses - Contractor"/>
    <s v="Monthly Expensed"/>
    <n v="302712"/>
    <n v="32832.000000000007"/>
    <n v="218880"/>
    <n v="213572"/>
    <n v="-5308"/>
    <n v="0"/>
    <n v="-5308"/>
    <s v="T&amp;M"/>
    <n v="18240"/>
    <n v="18240"/>
    <n v="18240"/>
    <n v="18240"/>
    <n v="18240"/>
    <n v="18240"/>
    <n v="18240"/>
    <n v="18240"/>
    <n v="18240"/>
    <n v="18240"/>
    <n v="18240"/>
    <n v="18240"/>
    <n v="218880"/>
    <n v="127680"/>
    <n v="16128"/>
    <n v="16464"/>
    <n v="16588"/>
    <n v="19104"/>
    <n v="17608"/>
    <m/>
    <m/>
    <m/>
    <m/>
    <m/>
    <m/>
    <m/>
    <n v="85892"/>
    <n v="-2112"/>
    <n v="-1776"/>
    <n v="-1652"/>
    <n v="864"/>
    <n v="-632"/>
    <n v="-18240"/>
    <n v="-18240"/>
    <n v="-18240"/>
    <n v="-18240"/>
    <n v="-18240"/>
    <n v="-18240"/>
    <n v="-18240"/>
    <n v="-132988"/>
    <s v="Budget v/s Actuals, allocations are based on capacity planning forecast"/>
    <n v="85892"/>
    <n v="0"/>
    <n v="127680"/>
    <n v="91200"/>
    <n v="213572"/>
  </r>
  <r>
    <x v="0"/>
    <s v="Andersen Tax Holdings"/>
    <s v="1Rivet"/>
    <s v="T&amp;M"/>
    <s v="T&amp;M"/>
    <s v=""/>
    <x v="5"/>
    <d v="2026-01-01T00:00:00"/>
    <d v="2026-12-31T00:00:00"/>
    <m/>
    <s v="T&amp;M-T&amp;M"/>
    <s v="Labor"/>
    <x v="4"/>
    <s v="RTB- T&amp;M"/>
    <s v="T&amp;M"/>
    <s v="Outsourced"/>
    <s v="Run the Business Contractors and Outsource Services"/>
    <s v="RTB Expenses - Contractor"/>
    <s v="Monthly Expensed"/>
    <n v="3007993"/>
    <n v="1580266.3960475361"/>
    <n v="1438080"/>
    <n v="1477609"/>
    <n v="0"/>
    <n v="39529"/>
    <n v="39529"/>
    <s v="Support SOW + Desktop Support- T&amp;M, QA is not part of our budget"/>
    <n v="119840"/>
    <n v="119840"/>
    <n v="119840"/>
    <n v="119840"/>
    <n v="119840"/>
    <n v="119840"/>
    <n v="119840"/>
    <n v="119840"/>
    <n v="119840"/>
    <n v="119840"/>
    <n v="119840"/>
    <n v="119840"/>
    <n v="1438080"/>
    <n v="838880"/>
    <n v="115160"/>
    <n v="107611"/>
    <n v="124972"/>
    <n v="151664"/>
    <n v="139322"/>
    <m/>
    <m/>
    <m/>
    <m/>
    <m/>
    <m/>
    <m/>
    <n v="638729"/>
    <n v="-4680"/>
    <n v="-12229"/>
    <n v="5132"/>
    <n v="31824"/>
    <n v="19482"/>
    <n v="-119840"/>
    <n v="-119840"/>
    <n v="-119840"/>
    <n v="-119840"/>
    <n v="-119840"/>
    <n v="-119840"/>
    <n v="-119840"/>
    <n v="-799351"/>
    <s v="Budget v/s Actuals, allocations are based on capacity planning forecast"/>
    <n v="638729"/>
    <n v="0"/>
    <n v="838880"/>
    <n v="599200"/>
    <n v="1477609"/>
  </r>
  <r>
    <x v="0"/>
    <s v="Andersen Tax Holdings"/>
    <s v="1Rivet"/>
    <s v="T&amp;M"/>
    <s v="T&amp;M"/>
    <s v=""/>
    <x v="0"/>
    <d v="2026-01-01T00:00:00"/>
    <d v="2026-12-31T00:00:00"/>
    <m/>
    <s v="T&amp;M-T&amp;M"/>
    <s v="Labor"/>
    <x v="4"/>
    <s v="RTB- T&amp;M"/>
    <s v="T&amp;M"/>
    <s v="Outsourced"/>
    <s v="Run the Business Contractors and Outsource Services"/>
    <s v="RTB Expenses - Contractor"/>
    <s v="Monthly Expensed"/>
    <n v="3007993"/>
    <n v="424425.54146080924"/>
    <n v="414080"/>
    <n v="317902"/>
    <n v="-96178"/>
    <n v="0"/>
    <n v="-96178"/>
    <s v="Support SOW + Desktop Support- T&amp;M, QA is not part of our budget"/>
    <n v="38560"/>
    <n v="38560"/>
    <n v="38560"/>
    <n v="38560"/>
    <n v="38560"/>
    <n v="22720"/>
    <n v="22720"/>
    <n v="22720"/>
    <n v="22720"/>
    <n v="22720"/>
    <n v="22720"/>
    <n v="22720"/>
    <n v="351840"/>
    <n v="159040"/>
    <n v="30336"/>
    <n v="27266"/>
    <n v="38936"/>
    <n v="37124"/>
    <n v="25200"/>
    <m/>
    <m/>
    <m/>
    <m/>
    <m/>
    <m/>
    <m/>
    <n v="158862"/>
    <n v="-8224"/>
    <n v="-11294"/>
    <n v="376"/>
    <n v="-1436"/>
    <n v="-13360"/>
    <n v="-22720"/>
    <n v="-22720"/>
    <n v="-22720"/>
    <n v="-22720"/>
    <n v="-22720"/>
    <n v="-22720"/>
    <n v="-22720"/>
    <n v="-192978"/>
    <s v="Danny's share in initial contract was $372K, but 2 additional resources were hired to replace Acenture resources, difference $41.6K between budget ($3.65M) and Actual contract( $3.7M) has been added for Danny to cover partial risk of swap, Arif is added separately while Shailesh annual forecast is $90640 but after adjusting against $41600 additional unbudgeted risk is $48640. Saving of $99/hour on Piyush exit from May (replaced by Survesh)"/>
    <n v="158862"/>
    <n v="0"/>
    <n v="159040"/>
    <n v="192800"/>
    <n v="317902"/>
  </r>
  <r>
    <x v="0"/>
    <s v="Andersen Tax Holdings"/>
    <s v="1Rivet"/>
    <s v="T&amp;M"/>
    <s v="T&amp;M"/>
    <s v=""/>
    <x v="2"/>
    <d v="2026-01-01T00:00:00"/>
    <d v="2026-12-31T00:00:00"/>
    <m/>
    <s v="T&amp;M-T&amp;M"/>
    <s v="Labor"/>
    <x v="4"/>
    <s v="RTB- T&amp;M"/>
    <s v="T&amp;M"/>
    <s v="Outsourced"/>
    <s v="Run the Business Contractors and Outsource Services"/>
    <s v="RTB Expenses - Contractor"/>
    <s v="Monthly Expensed"/>
    <n v="3007993"/>
    <n v="1527639.5780478038"/>
    <n v="1505280"/>
    <n v="1168776"/>
    <n v="-336504"/>
    <n v="0"/>
    <n v="-336504"/>
    <s v="Support SOW + Desktop Support- T&amp;M, QA is not part of our budget"/>
    <n v="125440"/>
    <n v="125440"/>
    <n v="125440"/>
    <n v="125440"/>
    <n v="125440"/>
    <n v="104440"/>
    <n v="104440"/>
    <n v="86520"/>
    <n v="86520"/>
    <n v="86520"/>
    <n v="86520"/>
    <n v="86520"/>
    <n v="1268680"/>
    <n v="641480"/>
    <n v="108864"/>
    <n v="104184"/>
    <n v="129488"/>
    <n v="93120"/>
    <n v="91640"/>
    <m/>
    <m/>
    <m/>
    <m/>
    <m/>
    <m/>
    <m/>
    <n v="527296"/>
    <n v="-16576"/>
    <n v="-21256"/>
    <n v="4048"/>
    <n v="-32320"/>
    <n v="-33800"/>
    <n v="-104440"/>
    <n v="-104440"/>
    <n v="-86520"/>
    <n v="-86520"/>
    <n v="-86520"/>
    <n v="-86520"/>
    <n v="-86520"/>
    <n v="-741384"/>
    <s v="Budget v/s Actuals, saving of $21K/m on Nilesh's exit, Akram's exit saving from Aug $112"/>
    <n v="527296"/>
    <n v="0"/>
    <n v="641480"/>
    <n v="627200"/>
    <n v="1168776"/>
  </r>
  <r>
    <x v="0"/>
    <s v="Andersen Tax Holdings"/>
    <s v="1Rivet"/>
    <s v="T&amp;M"/>
    <s v="T&amp;M"/>
    <s v=""/>
    <x v="1"/>
    <d v="2026-01-01T00:00:00"/>
    <d v="2026-12-31T00:00:00"/>
    <m/>
    <s v="T&amp;M-T&amp;M"/>
    <s v="Labor"/>
    <x v="4"/>
    <s v="RTB- T&amp;M"/>
    <s v="T&amp;M"/>
    <s v="Outsourced"/>
    <s v="Run the Business Contractors and Outsource Services"/>
    <s v="RTB Expenses - Contractor"/>
    <s v="Monthly Expensed"/>
    <n v="3007993"/>
    <n v="116948.48444385102"/>
    <n v="291840"/>
    <n v="294272"/>
    <n v="0"/>
    <n v="2432"/>
    <n v="2432"/>
    <s v="Support SOW + Desktop Support- T&amp;M, QA is not part of our budget"/>
    <n v="24320"/>
    <n v="24320"/>
    <n v="24320"/>
    <n v="24320"/>
    <n v="24320"/>
    <n v="24320"/>
    <n v="24320"/>
    <n v="24320"/>
    <n v="24320"/>
    <n v="24320"/>
    <n v="24320"/>
    <n v="24320"/>
    <n v="291840"/>
    <n v="170240"/>
    <n v="24320"/>
    <n v="24320"/>
    <n v="26752"/>
    <n v="26752"/>
    <n v="21888"/>
    <m/>
    <m/>
    <m/>
    <m/>
    <m/>
    <m/>
    <m/>
    <n v="124032"/>
    <n v="0"/>
    <n v="0"/>
    <n v="2432"/>
    <n v="2432"/>
    <n v="-2432"/>
    <n v="-24320"/>
    <n v="-24320"/>
    <n v="-24320"/>
    <n v="-24320"/>
    <n v="-24320"/>
    <n v="-24320"/>
    <n v="-24320"/>
    <n v="-167808"/>
    <s v="Budget v/s Actuals, allocations are based on capacity planning forecast"/>
    <n v="124032"/>
    <n v="0"/>
    <n v="170240"/>
    <n v="121600"/>
    <n v="294272"/>
  </r>
  <r>
    <x v="0"/>
    <s v="Virteva LLC"/>
    <s v="Crossfuze"/>
    <s v="Prj000467"/>
    <s v="Support - Enterprise Tech Helpdesk"/>
    <s v="Tech Shared Services"/>
    <x v="5"/>
    <s v="Monthly"/>
    <s v="Monthly"/>
    <m/>
    <s v="Prj000467-Support - Enterprise Tech Helpdesk"/>
    <s v="Labor"/>
    <x v="2"/>
    <s v="RTB- MS"/>
    <s v="FPC"/>
    <s v="Outsourced"/>
    <s v="Run the Business Contractors and Outsource Services"/>
    <s v="RTB Expenses - Contractor"/>
    <s v="Monthly Expensed"/>
    <n v="178950"/>
    <n v="190000"/>
    <n v="190000"/>
    <n v="116650"/>
    <n v="-73350"/>
    <n v="0"/>
    <n v="-73350"/>
    <s v="Revised contract - $5950/pm from June previously $15K/pm, new contract aligns more with cost as per actual consumption"/>
    <n v="15000"/>
    <n v="15000"/>
    <n v="15000"/>
    <n v="15000"/>
    <n v="15000"/>
    <n v="5950"/>
    <n v="5950"/>
    <n v="5950"/>
    <n v="5950"/>
    <n v="5950"/>
    <n v="5950"/>
    <n v="5950"/>
    <n v="116650"/>
    <n v="41650"/>
    <n v="15000"/>
    <n v="15000"/>
    <n v="15000"/>
    <n v="15000"/>
    <n v="15000"/>
    <n v="5950"/>
    <m/>
    <m/>
    <m/>
    <m/>
    <m/>
    <m/>
    <n v="80950"/>
    <n v="0"/>
    <n v="0"/>
    <n v="0"/>
    <n v="0"/>
    <n v="0"/>
    <n v="0"/>
    <n v="-5950"/>
    <n v="-5950"/>
    <n v="-5950"/>
    <n v="-5950"/>
    <n v="-5950"/>
    <n v="-5950"/>
    <n v="-35700"/>
    <s v="Budget v/s Actuals"/>
    <n v="75000"/>
    <n v="0"/>
    <n v="41650"/>
    <n v="75000"/>
    <n v="116650"/>
  </r>
  <r>
    <x v="0"/>
    <s v="Coforge DPA NA Inc."/>
    <m/>
    <s v="Prj000404"/>
    <s v="Support - QA CoE Management for Tech Horizontals"/>
    <s v="Tech Shared Services"/>
    <x v="4"/>
    <d v="2026-01-01T00:00:00"/>
    <d v="2026-12-31T00:00:00"/>
    <m/>
    <s v="Prj000404-Support - QA CoE Management for Tech Horizontals"/>
    <s v="Labor"/>
    <x v="2"/>
    <s v="RTB- MS"/>
    <s v="QA SOW FPC"/>
    <s v="Outsourced"/>
    <s v="Run the Business Contractors and Outsource Services"/>
    <s v="RTB Expenses - Contractor"/>
    <s v="Monthly Expensed"/>
    <n v="780191"/>
    <n v="345000"/>
    <n v="345000"/>
    <n v="592000"/>
    <n v="0"/>
    <n v="247000"/>
    <n v="247000"/>
    <s v="QA SOW FPC - [KA - Feb23] - Updated forecast from Mar to Dec based on the new contract that superseeded the original one"/>
    <n v="28750"/>
    <n v="28750"/>
    <n v="41750"/>
    <n v="54750"/>
    <n v="54750"/>
    <n v="54750"/>
    <n v="54750"/>
    <n v="54750"/>
    <n v="54750"/>
    <n v="54750"/>
    <n v="54750"/>
    <n v="54750"/>
    <n v="592000"/>
    <n v="383250"/>
    <n v="28750"/>
    <n v="28750"/>
    <n v="41750"/>
    <n v="54750"/>
    <m/>
    <m/>
    <m/>
    <m/>
    <m/>
    <m/>
    <m/>
    <m/>
    <n v="154000"/>
    <n v="0"/>
    <n v="0"/>
    <n v="0"/>
    <n v="0"/>
    <n v="-54750"/>
    <n v="-54750"/>
    <n v="-54750"/>
    <n v="-54750"/>
    <n v="-54750"/>
    <n v="-54750"/>
    <n v="-54750"/>
    <n v="-54750"/>
    <n v="-438000"/>
    <s v="QA book work reallocation from L1/L2 support per new QA contract that superseded original._x000a_This is a category shift - work previously in Labor/T&amp;M now flows through MS under the new QA contract structure. The offsetting $70K opportunity in Labor/T&amp;M category partially mitigates this risk."/>
    <n v="154000"/>
    <n v="54750"/>
    <n v="438000"/>
    <n v="208750"/>
    <n v="592000"/>
  </r>
  <r>
    <x v="0"/>
    <s v="Coforge DPA NA Inc."/>
    <m/>
    <s v="T&amp;M"/>
    <s v="T&amp;M"/>
    <s v=""/>
    <x v="5"/>
    <d v="2026-01-01T00:00:00"/>
    <d v="2026-12-31T00:00:00"/>
    <m/>
    <s v="T&amp;M-T&amp;M"/>
    <s v="Labor"/>
    <x v="4"/>
    <s v="RTB- T&amp;M"/>
    <s v="T&amp;M"/>
    <s v="Outsourced"/>
    <s v="Run the Business Contractors and Outsource Services"/>
    <s v="RTB Expenses - Contractor"/>
    <s v="Monthly Expensed"/>
    <n v="1019762.75"/>
    <n v="180884.67598475222"/>
    <n v="403200"/>
    <n v="558763.91999999993"/>
    <n v="0"/>
    <n v="155563.91999999993"/>
    <n v="155563.91999999993"/>
    <s v="T&amp;M - [KA - Feb 23] - Forcast updated from Feb to Dec, based on Raymond's exit. This T&amp;M forecast is adjusted in the new QA contract. Adjusted monthly rate starting Apr based on Shanky's exit"/>
    <n v="33600"/>
    <n v="33600"/>
    <n v="33600"/>
    <n v="33600"/>
    <n v="33600"/>
    <n v="33600"/>
    <n v="33600"/>
    <n v="33600"/>
    <n v="33600"/>
    <n v="33600"/>
    <n v="33600"/>
    <n v="33600"/>
    <n v="403200"/>
    <n v="235200"/>
    <n v="56960.56"/>
    <n v="89522.8"/>
    <n v="106520.55999999998"/>
    <n v="36960"/>
    <n v="33600"/>
    <m/>
    <m/>
    <m/>
    <m/>
    <m/>
    <m/>
    <m/>
    <n v="323563.92"/>
    <n v="23360.559999999998"/>
    <n v="55922.8"/>
    <n v="72920.559999999983"/>
    <n v="3360"/>
    <n v="0"/>
    <n v="-33600"/>
    <n v="-33600"/>
    <n v="-33600"/>
    <n v="-33600"/>
    <n v="-33600"/>
    <n v="-33600"/>
    <n v="-33600"/>
    <n v="-79636.080000000016"/>
    <s v="Budget v/s Actuals, allocations are based on capacity planning forecast"/>
    <n v="323563.92"/>
    <n v="0"/>
    <n v="235200"/>
    <n v="168000"/>
    <n v="558763.91999999993"/>
  </r>
  <r>
    <x v="0"/>
    <s v="Coforge DPA NA Inc."/>
    <m/>
    <s v="T&amp;M"/>
    <s v="T&amp;M"/>
    <s v=""/>
    <x v="2"/>
    <d v="2026-01-01T00:00:00"/>
    <d v="2026-12-31T00:00:00"/>
    <m/>
    <s v="T&amp;M-T&amp;M"/>
    <s v="Labor"/>
    <x v="4"/>
    <s v="RTB- T&amp;M"/>
    <s v="T&amp;M"/>
    <s v="Outsourced"/>
    <s v="Run the Business Contractors and Outsource Services"/>
    <s v="RTB Expenses - Contractor"/>
    <s v="Monthly Expensed"/>
    <n v="1019762.75"/>
    <n v="245679.18678526054"/>
    <n v="252000"/>
    <n v="244650"/>
    <n v="-7350"/>
    <n v="0"/>
    <n v="-7350"/>
    <s v="T&amp;M - [KA - Feb 23] - Forcast updated from Feb to Dec, based on Raymond's exit. This T&amp;M forecast is adjusted in the new QA contract. Adjusted monthly rate starting Apr based on Shanky's exit"/>
    <n v="21000"/>
    <n v="21000"/>
    <n v="21000"/>
    <n v="21000"/>
    <n v="21000"/>
    <n v="21000"/>
    <n v="21000"/>
    <n v="21000"/>
    <n v="21000"/>
    <n v="21000"/>
    <n v="21000"/>
    <n v="21000"/>
    <n v="252000"/>
    <n v="147000"/>
    <n v="21000"/>
    <n v="19950"/>
    <n v="23100"/>
    <n v="17850"/>
    <n v="15750"/>
    <m/>
    <m/>
    <m/>
    <m/>
    <m/>
    <m/>
    <m/>
    <n v="97650"/>
    <n v="0"/>
    <n v="-1050"/>
    <n v="2100"/>
    <n v="-3150"/>
    <n v="-5250"/>
    <n v="-21000"/>
    <n v="-21000"/>
    <n v="-21000"/>
    <n v="-21000"/>
    <n v="-21000"/>
    <n v="-21000"/>
    <n v="-21000"/>
    <n v="-154350"/>
    <s v="Budget v/s Actuals, allocations are based on capacity planning forecast"/>
    <n v="97650"/>
    <n v="0"/>
    <n v="147000"/>
    <n v="105000"/>
    <n v="244650"/>
  </r>
  <r>
    <x v="0"/>
    <s v="Coforge DPA NA Inc."/>
    <m/>
    <s v="T&amp;M"/>
    <s v="T&amp;M"/>
    <s v=""/>
    <x v="4"/>
    <d v="2026-01-01T00:00:00"/>
    <d v="2026-12-31T00:00:00"/>
    <m/>
    <s v="T&amp;M-T&amp;M"/>
    <s v="Labor"/>
    <x v="4"/>
    <s v="RTB- T&amp;M"/>
    <s v="T&amp;M"/>
    <s v="Outsourced"/>
    <s v="Run the Business Contractors and Outsource Services"/>
    <s v="RTB Expenses - Contractor"/>
    <s v="Monthly Expensed"/>
    <n v="1019762.75"/>
    <n v="539054.33290978405"/>
    <n v="600000"/>
    <n v="321040"/>
    <n v="-278960"/>
    <n v="0"/>
    <n v="-278960"/>
    <s v="T&amp;M - [KA - Feb 23] - Forcast updated from Feb to Dec, based on Raymond's exit. This T&amp;M forecast is adjusted in the new QA contract. Adjusted monthly rate starting Apr based on Shanky's exit"/>
    <n v="50000"/>
    <n v="24000"/>
    <n v="24000"/>
    <n v="24000"/>
    <n v="24000"/>
    <n v="24000"/>
    <n v="24000"/>
    <n v="24000"/>
    <n v="24000"/>
    <n v="24000"/>
    <n v="24000"/>
    <n v="24000"/>
    <n v="314000"/>
    <n v="168000"/>
    <n v="44800"/>
    <n v="22800"/>
    <n v="26400"/>
    <n v="26400"/>
    <n v="32640"/>
    <m/>
    <m/>
    <m/>
    <m/>
    <m/>
    <m/>
    <m/>
    <n v="153040"/>
    <n v="-5200"/>
    <n v="-1200"/>
    <n v="2400"/>
    <n v="2400"/>
    <n v="8640"/>
    <n v="-24000"/>
    <n v="-24000"/>
    <n v="-24000"/>
    <n v="-24000"/>
    <n v="-24000"/>
    <n v="-24000"/>
    <n v="-24000"/>
    <n v="-160960"/>
    <s v="Raymonds exit gave 26k T&amp;M oppurtunity since Feb but QA resources were hired at same cost, QA book work reallocation from L1/L2 support per new QA contract that superseded original."/>
    <n v="153040"/>
    <n v="0"/>
    <n v="168000"/>
    <n v="146000"/>
    <n v="321040"/>
  </r>
  <r>
    <x v="0"/>
    <s v="Coforge DPA NA Inc."/>
    <m/>
    <s v="T&amp;M"/>
    <s v="T&amp;M"/>
    <s v=""/>
    <x v="1"/>
    <d v="2026-01-01T00:00:00"/>
    <d v="2026-12-31T00:00:00"/>
    <m/>
    <s v="T&amp;M-T&amp;M"/>
    <s v="Labor"/>
    <x v="4"/>
    <s v="RTB- T&amp;M"/>
    <s v="T&amp;M"/>
    <s v="Outsourced"/>
    <s v="Run the Business Contractors and Outsource Services"/>
    <s v="RTB Expenses - Contractor"/>
    <s v="Monthly Expensed"/>
    <n v="1019762.75"/>
    <n v="431963.4053367218"/>
    <n v="161280"/>
    <n v="84176"/>
    <n v="-77104"/>
    <n v="0"/>
    <n v="-77104"/>
    <s v="T&amp;M - [KA - Feb 23] - Forcast updated from Feb to Dec, based on Raymond's exit. This T&amp;M forecast is adjusted in the new QA contract. Adjusted monthly rate starting Apr based on Shanky's exit"/>
    <n v="13440"/>
    <n v="13440"/>
    <n v="13440"/>
    <n v="5440"/>
    <n v="5440"/>
    <n v="5440"/>
    <n v="5440"/>
    <n v="5440"/>
    <n v="5440"/>
    <n v="5440"/>
    <n v="5440"/>
    <n v="5440"/>
    <n v="89280"/>
    <n v="38080"/>
    <n v="11152"/>
    <n v="11296"/>
    <n v="13584"/>
    <n v="4624"/>
    <n v="5440"/>
    <m/>
    <m/>
    <m/>
    <m/>
    <m/>
    <m/>
    <m/>
    <n v="46096"/>
    <n v="-2288"/>
    <n v="-2144"/>
    <n v="144"/>
    <n v="-816"/>
    <n v="0"/>
    <n v="-5440"/>
    <n v="-5440"/>
    <n v="-5440"/>
    <n v="-5440"/>
    <n v="-5440"/>
    <n v="-5440"/>
    <n v="-5440"/>
    <n v="-43184"/>
    <s v="Opp offset with 1Rivet risk (Swati replacinf Shanky) + Budget v/s Actuals"/>
    <n v="46096"/>
    <n v="0"/>
    <n v="38080"/>
    <n v="51200"/>
    <n v="84176"/>
  </r>
  <r>
    <x v="0"/>
    <s v="Coforge DPA NA Inc."/>
    <m/>
    <s v="T&amp;M"/>
    <s v="T&amp;M"/>
    <s v=""/>
    <x v="4"/>
    <d v="2026-05-15T00:00:00"/>
    <d v="2026-12-31T00:00:00"/>
    <m/>
    <s v="T&amp;M-T&amp;M"/>
    <s v="Labor"/>
    <x v="4"/>
    <s v="RTB- T&amp;M"/>
    <s v="T&amp;M"/>
    <s v="Outsourced"/>
    <s v="Run the Business Contractors and Outsource Services"/>
    <s v="RTB Expenses - Contractor"/>
    <s v="Monthly Expensed"/>
    <n v="0"/>
    <n v="0"/>
    <n v="230400"/>
    <n v="230400"/>
    <n v="0"/>
    <n v="0"/>
    <n v="0"/>
    <s v="New UAT hired, New 2026 BoW utilised, WSO"/>
    <m/>
    <m/>
    <m/>
    <m/>
    <n v="15360"/>
    <n v="30720"/>
    <n v="30720"/>
    <n v="30720"/>
    <n v="30720"/>
    <n v="30720"/>
    <n v="30720"/>
    <n v="30720"/>
    <n v="230400"/>
    <n v="215040"/>
    <m/>
    <m/>
    <m/>
    <m/>
    <m/>
    <m/>
    <m/>
    <m/>
    <m/>
    <m/>
    <m/>
    <m/>
    <n v="0"/>
    <n v="0"/>
    <n v="0"/>
    <n v="0"/>
    <n v="0"/>
    <n v="-15360"/>
    <n v="-30720"/>
    <n v="-30720"/>
    <n v="-30720"/>
    <n v="-30720"/>
    <n v="-30720"/>
    <n v="-30720"/>
    <n v="-30720"/>
    <n v="-230400"/>
    <s v="New UAT lead Anand, WSO placeholder utilised"/>
    <n v="0"/>
    <n v="15360"/>
    <n v="230400"/>
    <n v="15360"/>
    <n v="230400"/>
  </r>
  <r>
    <x v="0"/>
    <s v="Broadridge Output  Solutions"/>
    <m/>
    <s v="Prj000290"/>
    <s v="Support - Asset Management Applications"/>
    <s v="Asset Management Tech"/>
    <x v="3"/>
    <d v="2021-12-15T00:00:00"/>
    <d v="2026-12-14T00:00:00"/>
    <s v="Centry CLO"/>
    <s v="Prj000290-Support - Asset Management Applications"/>
    <s v="Non-Labor"/>
    <x v="0"/>
    <s v="Software"/>
    <s v="License"/>
    <s v="Information Technology"/>
    <s v="Software - Core"/>
    <s v="Software - Core"/>
    <s v="Quarterly Prepaid"/>
    <n v="1039565.6499999999"/>
    <n v="1091543.9324999999"/>
    <n v="1091543.9324999999"/>
    <n v="1091543.6399999999"/>
    <n v="-0.29249999998137355"/>
    <n v="0"/>
    <n v="-0.29249999998137355"/>
    <s v="Quarterly Prepaid, Manor park license fees unbudgeted"/>
    <n v="117486.73333333334"/>
    <n v="92793.753333333341"/>
    <n v="117939.75333333334"/>
    <n v="149042.80666666667"/>
    <n v="98639.296666666676"/>
    <n v="98639.296666666676"/>
    <n v="208501"/>
    <m/>
    <m/>
    <n v="158192"/>
    <m/>
    <m/>
    <n v="1041234.64"/>
    <n v="465332.29666666669"/>
    <n v="117486.73333333334"/>
    <n v="92793.753333333341"/>
    <n v="117939.75333333334"/>
    <n v="149042.80666666667"/>
    <n v="148948.29666666669"/>
    <n v="98639.296666666676"/>
    <m/>
    <m/>
    <m/>
    <m/>
    <m/>
    <m/>
    <n v="724850.64000000013"/>
    <n v="0"/>
    <n v="0"/>
    <n v="0"/>
    <n v="0"/>
    <n v="50309.000000000015"/>
    <n v="0"/>
    <n v="-208501"/>
    <n v="0"/>
    <n v="0"/>
    <n v="-158192"/>
    <n v="0"/>
    <n v="0"/>
    <n v="-316384"/>
    <s v="Budget v/s Actuals, ends this year will be renewed next year for half the cost of this year"/>
    <n v="626211.3433333335"/>
    <n v="0"/>
    <n v="465332.29666666669"/>
    <n v="575902.34333333338"/>
    <n v="1091543.6400000001"/>
  </r>
  <r>
    <x v="0"/>
    <s v="Finastra Technology, Inc"/>
    <s v="LIQ"/>
    <s v="Prj000469"/>
    <s v="Support - Prod Support for Ops Apps"/>
    <s v="Operations Technology"/>
    <x v="2"/>
    <d v="2026-01-15T00:00:00"/>
    <d v="2027-01-14T00:00:00"/>
    <s v="LIQ - Loan IQ"/>
    <s v="Prj000469-Support - Prod Support for Ops Apps"/>
    <s v="Non-Labor"/>
    <x v="0"/>
    <s v="Software"/>
    <s v="Software"/>
    <s v="Information Technology"/>
    <s v="Software - Core"/>
    <s v="Software - Core"/>
    <s v="Annual Prepaid"/>
    <n v="2866540"/>
    <n v="3617396"/>
    <n v="3617396"/>
    <n v="4073475.3699999992"/>
    <n v="0"/>
    <n v="456079.36999999918"/>
    <n v="456079.36999999918"/>
    <s v="Recurring License Fee/Maintenance for the period 1-Jan-2026 to 14-Jan-2026 and Subscription Fees for the period 15-Jan-2026 to 14-Jan-2027"/>
    <n v="333776.63"/>
    <n v="333776.63"/>
    <n v="333776.63"/>
    <n v="333776.63"/>
    <n v="333776.63"/>
    <n v="333776.63"/>
    <n v="333776.63"/>
    <n v="333776.63"/>
    <n v="333776.63"/>
    <n v="333776.63"/>
    <n v="333776.63"/>
    <n v="333776.63"/>
    <n v="4005319.5599999991"/>
    <n v="2336436.4099999997"/>
    <n v="401932.44"/>
    <n v="333776.63"/>
    <n v="333776.63"/>
    <n v="333776.63"/>
    <n v="333776.63"/>
    <n v="333776.63"/>
    <n v="333776.63"/>
    <n v="333776.63"/>
    <n v="333776.63"/>
    <n v="333776.63"/>
    <n v="333776.63"/>
    <n v="333776.63"/>
    <n v="4073475.3699999992"/>
    <n v="68155.81"/>
    <n v="0"/>
    <n v="0"/>
    <n v="0"/>
    <n v="0"/>
    <n v="0"/>
    <n v="0"/>
    <n v="0"/>
    <n v="0"/>
    <n v="0"/>
    <n v="0"/>
    <n v="0"/>
    <n v="68155.81"/>
    <s v="Sales tax unbudgeted + actual over budget estimated"/>
    <n v="1737038.96"/>
    <n v="0"/>
    <n v="2336436.4099999997"/>
    <n v="1668883.15"/>
    <n v="4073475.3699999996"/>
  </r>
  <r>
    <x v="0"/>
    <s v="Indus Valley Partners Corporation"/>
    <s v="IVP"/>
    <s v="Prj000458"/>
    <s v="Support - Data Analytics Office"/>
    <s v="Enterprise Architecture, Data Analytics &amp; AI"/>
    <x v="5"/>
    <d v="2025-11-07T00:00:00"/>
    <d v="2026-11-06T00:00:00"/>
    <s v="Polaris/EDM/SecMast Core"/>
    <s v="Prj000458-Support - Data Analytics Office"/>
    <s v="Non-Labor"/>
    <x v="0"/>
    <s v="Software"/>
    <s v="Software"/>
    <s v="Information Technology"/>
    <s v="Software - Core"/>
    <s v="Software - Core"/>
    <s v="Annual Prepaid"/>
    <n v="889688"/>
    <n v="1051185.52165"/>
    <n v="1051185.52165"/>
    <n v="835409.9"/>
    <n v="-215775.62164999999"/>
    <n v="0"/>
    <n v="-215775.62164999999"/>
    <s v="IVP EDM, Polaris, Security Master Year 3 SaaS Fees/ Production License Fee + Annual Consulting Fee for IVP EDM, Polaris, Security Master-Prepaid"/>
    <n v="103138.49"/>
    <n v="81363.490000000005"/>
    <n v="81363.490000000005"/>
    <n v="81363.490000000005"/>
    <n v="81363.490000000005"/>
    <n v="81363.490000000005"/>
    <n v="81363.490000000005"/>
    <n v="81363.490000000005"/>
    <n v="81363.490000000005"/>
    <n v="81363.490000000005"/>
    <m/>
    <m/>
    <n v="835409.9"/>
    <n v="406817.45"/>
    <n v="103138.49"/>
    <n v="81363.490000000005"/>
    <n v="81363.490000000005"/>
    <n v="81363.490000000005"/>
    <n v="81363.490000000005"/>
    <n v="81363.490000000005"/>
    <n v="81363.490000000005"/>
    <n v="81363.490000000005"/>
    <n v="81363.490000000005"/>
    <n v="81363.490000000005"/>
    <m/>
    <m/>
    <n v="835409.9"/>
    <n v="0"/>
    <n v="0"/>
    <n v="0"/>
    <n v="0"/>
    <n v="0"/>
    <n v="0"/>
    <n v="0"/>
    <n v="0"/>
    <n v="0"/>
    <n v="0"/>
    <n v="0"/>
    <n v="0"/>
    <n v="0"/>
    <s v="Budget v/s Actuals"/>
    <n v="428592.45"/>
    <n v="0"/>
    <n v="406817.45"/>
    <n v="428592.45"/>
    <n v="835409.9"/>
  </r>
  <r>
    <x v="0"/>
    <s v="Indus Valley Partners Corporation"/>
    <s v="IVP"/>
    <s v="Prj000548"/>
    <s v="Implement - Reporting for Internal Audit"/>
    <s v="Enterprise Architecture, Data Analytics &amp; AI"/>
    <x v="5"/>
    <d v="2025-07-01T00:00:00"/>
    <d v="2026-06-30T00:00:00"/>
    <s v="Polaris/EDM/SecMast Hosting"/>
    <s v="Prj000548-Implement - Reporting for Internal Audit"/>
    <s v="Non-Labor"/>
    <x v="0"/>
    <s v="Software"/>
    <m/>
    <s v="Information Technology"/>
    <s v="Software - Core"/>
    <s v="Software - Core"/>
    <s v="Annual Prepaid"/>
    <n v="100000"/>
    <n v="200000"/>
    <n v="200000"/>
    <n v="199999.99999999997"/>
    <n v="-2.9103830456733704E-11"/>
    <n v="0"/>
    <n v="-2.9103830456733704E-11"/>
    <s v="Polaris/EDM/SecMast- Prod. &amp; UAT Hosting Fee-Prepaid till Jun2026, to be renewed post Jun2026"/>
    <n v="16666.666666666668"/>
    <n v="16666.666666666668"/>
    <n v="16666.666666666668"/>
    <n v="16666.666666666668"/>
    <n v="16666.666666666668"/>
    <n v="16666.666666666668"/>
    <n v="16666.666666666668"/>
    <n v="16666.666666666668"/>
    <n v="16666.666666666668"/>
    <n v="16666.666666666668"/>
    <n v="16666.666666666668"/>
    <n v="16666.666666666668"/>
    <n v="199999.99999999997"/>
    <n v="116666.66666666669"/>
    <n v="16666.666666666668"/>
    <n v="16666.666666666668"/>
    <n v="16666.666666666668"/>
    <n v="16666.666666666668"/>
    <n v="16666.666666666668"/>
    <n v="16666.666666666668"/>
    <m/>
    <m/>
    <m/>
    <m/>
    <m/>
    <m/>
    <n v="100000.00000000001"/>
    <n v="0"/>
    <n v="0"/>
    <n v="0"/>
    <n v="0"/>
    <n v="0"/>
    <n v="0"/>
    <n v="-16666.666666666668"/>
    <n v="-16666.666666666668"/>
    <n v="-16666.666666666668"/>
    <n v="-16666.666666666668"/>
    <n v="-16666.666666666668"/>
    <n v="-16666.666666666668"/>
    <n v="-100000.00000000001"/>
    <m/>
    <n v="83333.333333333343"/>
    <n v="0"/>
    <n v="116666.66666666669"/>
    <n v="83333.333333333343"/>
    <n v="200000.00000000003"/>
  </r>
  <r>
    <x v="0"/>
    <s v="Indus Valley Partners Corporation"/>
    <s v="IVP"/>
    <s v="Prj000458"/>
    <s v="Support - Data Analytics Office"/>
    <s v="Enterprise Architecture, Data Analytics &amp; AI"/>
    <x v="5"/>
    <d v="2026-05-01T00:00:00"/>
    <d v="2027-04-30T00:00:00"/>
    <s v="Polaris/EDM/SecMast Hosting"/>
    <s v="Prj000458-Support - Data Analytics Office"/>
    <s v="Non-Labor"/>
    <x v="0"/>
    <s v="Software"/>
    <s v="Software"/>
    <s v="Information Technology"/>
    <s v="Software - Core"/>
    <s v="Software - Core"/>
    <s v="Annual Prepaid"/>
    <n v="66666.666666666672"/>
    <n v="100000"/>
    <n v="100000"/>
    <n v="99999.999999999985"/>
    <n v="-1.4551915228366852E-11"/>
    <n v="0"/>
    <n v="-1.4551915228366852E-11"/>
    <s v="Polaris/EDM/SecMast- Disaster Recovery Hosting Fee-Prepaid till Apr2027, to be renewed post Apr2027"/>
    <n v="8333.3333333333339"/>
    <n v="8333.3333333333339"/>
    <n v="8333.3333333333339"/>
    <n v="8333.3333333333339"/>
    <n v="8333.3333333333339"/>
    <n v="8333.3333333333339"/>
    <n v="8333.3333333333339"/>
    <n v="8333.3333333333339"/>
    <n v="8333.3333333333339"/>
    <n v="8333.3333333333339"/>
    <n v="8333.3333333333339"/>
    <n v="8333.3333333333339"/>
    <n v="99999.999999999985"/>
    <n v="58333.333333333343"/>
    <n v="8333.3333333333339"/>
    <n v="8333.3333333333339"/>
    <n v="8333.3333333333339"/>
    <n v="8333.3333333333339"/>
    <n v="8333.3333333333339"/>
    <n v="8333.3333333333339"/>
    <n v="8333.3333333333339"/>
    <n v="8333.3333333333339"/>
    <n v="8333.3333333333339"/>
    <n v="8333.3333333333339"/>
    <n v="8333.3333333333339"/>
    <n v="8333.3333333333339"/>
    <n v="99999.999999999985"/>
    <n v="0"/>
    <n v="0"/>
    <n v="0"/>
    <n v="0"/>
    <n v="0"/>
    <n v="0"/>
    <n v="0"/>
    <n v="0"/>
    <n v="0"/>
    <n v="0"/>
    <n v="0"/>
    <n v="0"/>
    <n v="0"/>
    <m/>
    <n v="41666.666666666672"/>
    <n v="0"/>
    <n v="58333.333333333343"/>
    <n v="41666.666666666672"/>
    <n v="100000.00000000001"/>
  </r>
  <r>
    <x v="0"/>
    <s v="Workday, Inc."/>
    <m/>
    <s v="Prj000446"/>
    <s v="Implement - Minor Enhancements for Enterprise Apps"/>
    <s v="Cos, PMO &amp; Enterprise Technology"/>
    <x v="1"/>
    <d v="2026-03-01T00:00:00"/>
    <d v="2027-02-28T00:00:00"/>
    <s v="Workday"/>
    <s v="Prj000446-Implement - Minor Enhancements for Enterprise Apps"/>
    <s v="Non-Labor"/>
    <x v="0"/>
    <s v="Software"/>
    <s v="Software"/>
    <s v="Information Technology"/>
    <s v="Software - Core"/>
    <s v="Software - Core"/>
    <s v="Annual Prepaid"/>
    <n v="464992"/>
    <n v="440671.35000000003"/>
    <n v="440671.35000000003"/>
    <n v="440671.00000000006"/>
    <n v="-0.34999999997671694"/>
    <n v="0"/>
    <n v="-0.34999999997671694"/>
    <s v="Misposting PREPAID in 2025; paid $419,687/- in Mar2025. Renewed as Prepaid in Mar 2026.-Added opportunity in Dec for extra support work as rec. my Melissa"/>
    <m/>
    <m/>
    <n v="36234.200000000004"/>
    <n v="36234.200000000004"/>
    <n v="36234.200000000004"/>
    <n v="36234.200000000004"/>
    <n v="36234.200000000004"/>
    <n v="36234.200000000004"/>
    <n v="36234.200000000004"/>
    <n v="36234.200000000004"/>
    <n v="36234.200000000004"/>
    <n v="114563.20000000001"/>
    <n v="440671.00000000006"/>
    <n v="331968.40000000002"/>
    <m/>
    <m/>
    <n v="36234.200000000004"/>
    <n v="36234.200000000004"/>
    <n v="36234.200000000004"/>
    <n v="36234.200000000004"/>
    <n v="36234.200000000004"/>
    <n v="36234.200000000004"/>
    <n v="36234.200000000004"/>
    <n v="36234.200000000004"/>
    <n v="36234.200000000004"/>
    <n v="36234.200000000004"/>
    <n v="362342.00000000006"/>
    <n v="0"/>
    <n v="0"/>
    <n v="0"/>
    <n v="0"/>
    <n v="0"/>
    <n v="0"/>
    <n v="0"/>
    <n v="0"/>
    <n v="0"/>
    <n v="0"/>
    <n v="0"/>
    <n v="-78329"/>
    <n v="-78329"/>
    <s v="Extra added in Dec for extra support work requested by Melissa"/>
    <n v="108702.6"/>
    <n v="0"/>
    <n v="331968.40000000002"/>
    <n v="108702.6"/>
    <n v="440671"/>
  </r>
  <r>
    <x v="0"/>
    <s v="Microsoft Corporation"/>
    <m/>
    <s v="Prj000350"/>
    <s v="Support - Infrastructure for Tech"/>
    <s v="Infrastructure Services, Controls &amp; User Enablement"/>
    <x v="0"/>
    <s v="Monthly"/>
    <s v="Monthly"/>
    <m/>
    <s v="Prj000350-Support - Infrastructure for Tech"/>
    <s v="Non-Labor"/>
    <x v="0"/>
    <s v="Software"/>
    <s v="Monthly Incremental"/>
    <s v="Information Technology"/>
    <s v="Software - Licenses"/>
    <s v="Software - Licenses"/>
    <s v="Monthly Expensed"/>
    <n v="12685"/>
    <n v="15000"/>
    <n v="15000"/>
    <n v="14999.48"/>
    <n v="-0.52000000000043656"/>
    <n v="0"/>
    <n v="-0.52000000000043656"/>
    <s v="Monthly Incremental - Potential Opportunity-Monthly Incremental - Potential Opportunity"/>
    <n v="1250"/>
    <n v="1250"/>
    <n v="1250"/>
    <n v="1967"/>
    <n v="1967"/>
    <n v="1250"/>
    <n v="1250"/>
    <n v="1250"/>
    <n v="1250"/>
    <n v="1250"/>
    <n v="1250"/>
    <n v="2871"/>
    <n v="18055"/>
    <n v="10371"/>
    <n v="0"/>
    <n v="0"/>
    <n v="696.32"/>
    <n v="1966.08"/>
    <n v="1966.08"/>
    <n v="1966.08"/>
    <m/>
    <m/>
    <m/>
    <m/>
    <m/>
    <m/>
    <n v="6594.5599999999995"/>
    <n v="-1250"/>
    <n v="-1250"/>
    <n v="-553.67999999999995"/>
    <n v="-0.92000000000007276"/>
    <n v="-0.92000000000007276"/>
    <n v="716.07999999999993"/>
    <n v="-1250"/>
    <n v="-1250"/>
    <n v="-1250"/>
    <n v="-1250"/>
    <n v="-1250"/>
    <n v="-2871"/>
    <n v="-11460.44"/>
    <s v="Fluctuation per month, Dec has buffer"/>
    <n v="4628.4799999999996"/>
    <n v="0"/>
    <n v="10371"/>
    <n v="7684"/>
    <n v="14999.48"/>
  </r>
  <r>
    <x v="0"/>
    <s v="Microsoft Corporation"/>
    <m/>
    <s v="Prj000342"/>
    <s v="Support - Site Reliability Engineering for Tech"/>
    <s v="Infrastructure Services, Controls &amp; User Enablement"/>
    <x v="0"/>
    <d v="2024-06-01T00:00:00"/>
    <d v="2027-05-31T00:00:00"/>
    <m/>
    <s v="Prj000342-Support - Site Reliability Engineering for Tech"/>
    <s v="Non-Labor"/>
    <x v="3"/>
    <s v="Infrastructure"/>
    <s v="MS Cloud"/>
    <s v="Information Technology"/>
    <s v="Managed Service - Cloud"/>
    <s v="Managed Service - Cloud"/>
    <s v="Monthly Expensed"/>
    <n v="7121037.5"/>
    <n v="7500000"/>
    <n v="7500000"/>
    <n v="7499999.5600000005"/>
    <n v="-0.43999999947845936"/>
    <n v="0"/>
    <n v="-0.43999999947845936"/>
    <s v="3 YR $16MM Commitment;_x000a_Potential Incremental spend for Project Evolution-MS Cloud"/>
    <n v="625000"/>
    <n v="625000"/>
    <n v="625000"/>
    <n v="625000"/>
    <n v="625000"/>
    <n v="625000"/>
    <n v="625000"/>
    <n v="625000"/>
    <n v="625000"/>
    <n v="625000"/>
    <n v="625000"/>
    <n v="622431"/>
    <n v="7497431"/>
    <n v="4372431"/>
    <n v="660370.4"/>
    <n v="603859.57000000007"/>
    <n v="627545.69000000006"/>
    <n v="602395.04999999993"/>
    <n v="633397.85"/>
    <n v="573.85"/>
    <m/>
    <m/>
    <m/>
    <m/>
    <m/>
    <m/>
    <n v="3128142.41"/>
    <n v="35370.400000000023"/>
    <n v="-21140.429999999935"/>
    <n v="2545.6900000000605"/>
    <n v="-22604.95000000007"/>
    <n v="8397.8499999999767"/>
    <n v="-624426.15"/>
    <n v="-625000"/>
    <n v="-625000"/>
    <n v="-625000"/>
    <n v="-625000"/>
    <n v="-625000"/>
    <n v="-622431"/>
    <n v="-4369288.59"/>
    <s v="Fluctuation per month, Risk adjusted in Dec"/>
    <n v="3127568.56"/>
    <n v="0"/>
    <n v="4372431"/>
    <n v="3125000"/>
    <n v="7499999.5600000005"/>
  </r>
  <r>
    <x v="0"/>
    <s v="BWise Internal Control Inc."/>
    <s v="SAI360"/>
    <s v="Prj000446"/>
    <s v="Implement - Minor Enhancements for Enterprise Apps"/>
    <s v="Cos, PMO &amp; Enterprise Technology"/>
    <x v="1"/>
    <d v="2025-08-01T00:00:00"/>
    <d v="2026-07-31T00:00:00"/>
    <m/>
    <s v="Prj000446-Implement - Minor Enhancements for Enterprise Apps"/>
    <s v="Non-Labor"/>
    <x v="0"/>
    <s v="Software"/>
    <s v="Software License"/>
    <s v="Information Technology"/>
    <s v="Software - Licenses"/>
    <s v="Software - Licenses"/>
    <s v="Annual Prepaid"/>
    <n v="40500"/>
    <n v="99225"/>
    <n v="99225"/>
    <n v="99225"/>
    <n v="0"/>
    <n v="0"/>
    <n v="0"/>
    <s v="Prepaid-Prepaid"/>
    <n v="8100"/>
    <n v="8100"/>
    <n v="8100"/>
    <n v="8100"/>
    <n v="8100"/>
    <n v="8100"/>
    <n v="8100"/>
    <n v="8505"/>
    <n v="8505"/>
    <n v="8505"/>
    <n v="8505"/>
    <n v="8505"/>
    <n v="99225"/>
    <n v="58725"/>
    <n v="8100"/>
    <n v="8100"/>
    <n v="8100"/>
    <n v="8100"/>
    <n v="8100"/>
    <n v="8100"/>
    <n v="8100"/>
    <m/>
    <m/>
    <m/>
    <m/>
    <m/>
    <n v="56700"/>
    <n v="0"/>
    <n v="0"/>
    <n v="0"/>
    <n v="0"/>
    <n v="0"/>
    <n v="0"/>
    <n v="0"/>
    <n v="-8505"/>
    <n v="-8505"/>
    <n v="-8505"/>
    <n v="-8505"/>
    <n v="-8505"/>
    <n v="-42525"/>
    <m/>
    <n v="40500"/>
    <n v="0"/>
    <n v="58725"/>
    <n v="40500"/>
    <n v="99225"/>
  </r>
  <r>
    <x v="0"/>
    <s v="CDW DIRECT LLC"/>
    <s v="CDW (b)"/>
    <s v="Prj000350"/>
    <s v="Support - Infrastructure for Tech"/>
    <s v="Infrastructure Services, Controls &amp; User Enablement"/>
    <x v="0"/>
    <d v="2026-01-01T00:00:00"/>
    <d v="2026-12-31T00:00:00"/>
    <s v="NCE M365 Jan - Dec Mthly Invoice"/>
    <s v="Prj000350-Support - Infrastructure for Tech"/>
    <s v="Non-Labor"/>
    <x v="0"/>
    <s v="Software"/>
    <m/>
    <s v="Information Technology"/>
    <s v="Software - Licenses"/>
    <s v="Software - Licenses"/>
    <s v="Monthly Expensed"/>
    <n v="59388.740000000013"/>
    <n v="86949.723000000013"/>
    <n v="86949.723000000013"/>
    <n v="86949.882000000012"/>
    <n v="0"/>
    <n v="0.15899999999965075"/>
    <n v="0.15899999999965075"/>
    <s v="NCE M365 E5"/>
    <n v="840.88"/>
    <n v="1681.7600000000002"/>
    <n v="7245.8102500000014"/>
    <n v="7245.8102500000014"/>
    <n v="7245.8102500000014"/>
    <n v="7245.8102500000014"/>
    <n v="7245.8102500000014"/>
    <n v="7245.8102500000014"/>
    <n v="7245.8102500000014"/>
    <n v="7245.8102500000014"/>
    <n v="7245.8102500000014"/>
    <n v="32024.810250000002"/>
    <n v="99759.742500000022"/>
    <n v="75499.671750000009"/>
    <n v="840.88"/>
    <n v="1681.7600000000002"/>
    <n v="840.88000000000011"/>
    <m/>
    <n v="840.88000000000011"/>
    <n v="4347.6899999999996"/>
    <m/>
    <m/>
    <m/>
    <m/>
    <m/>
    <m/>
    <n v="8552.09"/>
    <n v="0"/>
    <n v="0"/>
    <n v="-6404.9302500000013"/>
    <n v="-7245.8102500000014"/>
    <n v="-6404.9302500000013"/>
    <n v="-2898.1202500000018"/>
    <n v="-7245.8102500000014"/>
    <n v="-7245.8102500000014"/>
    <n v="-7245.8102500000014"/>
    <n v="-7245.8102500000014"/>
    <n v="-7245.8102500000014"/>
    <n v="-32024.810250000002"/>
    <n v="-91207.652500000026"/>
    <s v="Microsoft 365 E5 &amp; Teams Room Pro"/>
    <n v="4204.4000000000005"/>
    <n v="7245.8102500000095"/>
    <n v="82745.482000000018"/>
    <n v="24260.070750000006"/>
    <n v="86949.882000000012"/>
  </r>
  <r>
    <x v="0"/>
    <s v="CDW DIRECT LLC"/>
    <s v="CDW (b)"/>
    <s v="Prj000350"/>
    <s v="Support - Infrastructure for Tech"/>
    <s v="Infrastructure Services, Controls &amp; User Enablement"/>
    <x v="0"/>
    <d v="2025-10-01T00:00:00"/>
    <d v="2026-09-30T00:00:00"/>
    <s v="Proofpoint"/>
    <s v="Prj000350-Support - Infrastructure for Tech"/>
    <s v="Non-Labor"/>
    <x v="0"/>
    <s v="Software"/>
    <m/>
    <s v="Information Technology"/>
    <s v="Software - Licenses"/>
    <s v="Software - Licenses"/>
    <s v="Annual Expensed"/>
    <n v="79876"/>
    <n v="63000"/>
    <n v="63000"/>
    <n v="63000.37"/>
    <n v="0"/>
    <n v="0.37000000000261934"/>
    <n v="0.37000000000261934"/>
    <s v="Proofpoint Sftwr, paid in 2025. To be renewed in Q3/Q4 2026"/>
    <m/>
    <m/>
    <m/>
    <m/>
    <n v="2274.37"/>
    <m/>
    <m/>
    <m/>
    <m/>
    <m/>
    <m/>
    <n v="60726"/>
    <n v="63000.37"/>
    <n v="60726"/>
    <m/>
    <m/>
    <m/>
    <m/>
    <n v="2274.37"/>
    <m/>
    <m/>
    <m/>
    <m/>
    <m/>
    <m/>
    <m/>
    <n v="2274.37"/>
    <n v="0"/>
    <n v="0"/>
    <n v="0"/>
    <n v="0"/>
    <n v="0"/>
    <n v="0"/>
    <n v="0"/>
    <n v="0"/>
    <n v="0"/>
    <n v="0"/>
    <n v="0"/>
    <n v="-60726"/>
    <n v="-60726"/>
    <s v="proofpoint patrol for organisation"/>
    <n v="2274.37"/>
    <n v="0"/>
    <n v="60726"/>
    <n v="2274.37"/>
    <n v="63000.37"/>
  </r>
  <r>
    <x v="0"/>
    <s v="CDW DIRECT LLC"/>
    <s v="CDW Microsoft (a)"/>
    <s v="Prj000342"/>
    <s v="Support - Site Reliability Engineering for Tech"/>
    <s v="Infrastructure Services, Controls &amp; User Enablement"/>
    <x v="0"/>
    <d v="2025-09-01T00:00:00"/>
    <d v="2026-08-31T00:00:00"/>
    <s v="Syskit Point"/>
    <s v="Prj000342-Support - Site Reliability Engineering for Tech"/>
    <s v="Non-Labor"/>
    <x v="0"/>
    <s v="Software"/>
    <m/>
    <s v="Information Technology"/>
    <s v="Software - Licenses"/>
    <s v="Software - Licenses"/>
    <s v="Annual Expensed"/>
    <n v="31521"/>
    <n v="33096.819000000003"/>
    <n v="33096.819000000003"/>
    <n v="33096.819000000003"/>
    <n v="0"/>
    <n v="0"/>
    <n v="0"/>
    <s v="Syskit Point Sftwr"/>
    <m/>
    <m/>
    <m/>
    <m/>
    <m/>
    <m/>
    <m/>
    <m/>
    <n v="33096.819000000003"/>
    <m/>
    <m/>
    <m/>
    <n v="33096.819000000003"/>
    <n v="33096.819000000003"/>
    <m/>
    <m/>
    <m/>
    <m/>
    <m/>
    <m/>
    <m/>
    <m/>
    <m/>
    <m/>
    <m/>
    <m/>
    <n v="0"/>
    <n v="0"/>
    <n v="0"/>
    <n v="0"/>
    <n v="0"/>
    <n v="0"/>
    <n v="0"/>
    <n v="0"/>
    <n v="0"/>
    <n v="-33096.819000000003"/>
    <n v="0"/>
    <n v="0"/>
    <n v="0"/>
    <n v="-33096.819000000003"/>
    <m/>
    <n v="0"/>
    <n v="0"/>
    <n v="33096.819000000003"/>
    <n v="0"/>
    <n v="33096.819000000003"/>
  </r>
  <r>
    <x v="0"/>
    <s v="CDW DIRECT LLC"/>
    <s v="CDW Microsoft (a)"/>
    <s v="Prj000358"/>
    <s v="Support - Security Operations for Cybersecurity"/>
    <s v="Infrastructure Services, Controls &amp; User Enablement"/>
    <x v="0"/>
    <s v="NA"/>
    <s v="NA"/>
    <m/>
    <s v="Prj000358-Support - Security Operations for Cybersecurity"/>
    <s v="Non-Labor"/>
    <x v="0"/>
    <s v="Software"/>
    <m/>
    <s v="Information Technology"/>
    <s v="Software - Licenses"/>
    <s v="Software - Licenses"/>
    <s v="Annual Expensed"/>
    <n v="60310"/>
    <n v="63325.5"/>
    <n v="63325.5"/>
    <n v="63325.5"/>
    <n v="0"/>
    <n v="0"/>
    <n v="0"/>
    <s v="Misc Other Software - New Joiners-Potential Opp"/>
    <m/>
    <m/>
    <n v="1100.47"/>
    <m/>
    <m/>
    <m/>
    <m/>
    <n v="62225.03"/>
    <m/>
    <m/>
    <m/>
    <m/>
    <n v="63325.5"/>
    <n v="62225.03"/>
    <m/>
    <m/>
    <n v="1100.47"/>
    <m/>
    <m/>
    <m/>
    <m/>
    <m/>
    <m/>
    <m/>
    <m/>
    <m/>
    <n v="1100.47"/>
    <n v="0"/>
    <n v="0"/>
    <n v="0"/>
    <n v="0"/>
    <n v="0"/>
    <n v="0"/>
    <n v="0"/>
    <n v="-62225.03"/>
    <n v="0"/>
    <n v="0"/>
    <n v="0"/>
    <n v="0"/>
    <n v="-62225.03"/>
    <m/>
    <n v="1100.47"/>
    <n v="0"/>
    <n v="62225.03"/>
    <n v="1100.47"/>
    <n v="63325.5"/>
  </r>
  <r>
    <x v="0"/>
    <s v="Cloud Navigators LLC"/>
    <s v="Cloud Navigator"/>
    <s v="Prj000403"/>
    <s v="Support - L2 CoE Management for Tech Horizontals"/>
    <s v="Tech Shared Services"/>
    <x v="5"/>
    <d v="2026-06-01T00:00:00"/>
    <d v="2027-05-31T00:00:00"/>
    <m/>
    <s v="Prj000403-Support - L2 CoE Management for Tech Horizontals"/>
    <s v="Non-Labor"/>
    <x v="0"/>
    <s v="Software"/>
    <s v="Software"/>
    <s v="Information Technology"/>
    <s v="Software - Licenses"/>
    <s v="Software - Licenses"/>
    <s v="Annual Expensed"/>
    <n v="9600"/>
    <n v="10080"/>
    <n v="10080"/>
    <n v="10080"/>
    <n v="0"/>
    <n v="0"/>
    <n v="0"/>
    <s v="IAM Cloud – Cloud Drive Mapper Corporate 300 users - 1 year"/>
    <m/>
    <m/>
    <m/>
    <m/>
    <n v="4800"/>
    <n v="5280"/>
    <m/>
    <m/>
    <m/>
    <m/>
    <m/>
    <m/>
    <n v="10080"/>
    <n v="5280"/>
    <m/>
    <m/>
    <m/>
    <m/>
    <n v="4800"/>
    <m/>
    <m/>
    <m/>
    <m/>
    <m/>
    <m/>
    <m/>
    <n v="4800"/>
    <n v="0"/>
    <n v="0"/>
    <n v="0"/>
    <n v="0"/>
    <n v="0"/>
    <n v="-5280"/>
    <n v="0"/>
    <n v="0"/>
    <n v="0"/>
    <n v="0"/>
    <n v="0"/>
    <n v="0"/>
    <n v="-5280"/>
    <s v="Maybe an opportunity unless any further contract pending"/>
    <n v="4800"/>
    <n v="0"/>
    <n v="5280"/>
    <n v="4800"/>
    <n v="10080"/>
  </r>
  <r>
    <x v="0"/>
    <s v="FinDox Inc."/>
    <s v="FinDox is now Octus"/>
    <s v="Prj000290"/>
    <s v="Support - Asset Management Applications"/>
    <s v="Asset Management Tech"/>
    <x v="3"/>
    <d v="2026-04-01T00:00:00"/>
    <d v="2027-03-31T00:00:00"/>
    <s v="FinDox Core"/>
    <s v="Prj000290-Support - Asset Management Applications"/>
    <s v="Non-Labor"/>
    <x v="0"/>
    <s v="Software"/>
    <s v="Annual Software"/>
    <s v="Information Technology"/>
    <s v="Software - Licenses"/>
    <s v="Software - Licenses"/>
    <s v="Annual Expensed"/>
    <n v="230262.5"/>
    <n v="238897.86250000002"/>
    <n v="238897.86250000002"/>
    <n v="232868.65"/>
    <n v="-6029.2125000000233"/>
    <n v="0"/>
    <n v="-6029.2125000000233"/>
    <s v="Total contract - 342k IT cost 232k recharge to Liquid Credit 109k"/>
    <m/>
    <m/>
    <m/>
    <n v="232868.65"/>
    <m/>
    <m/>
    <m/>
    <m/>
    <m/>
    <m/>
    <m/>
    <m/>
    <n v="232868.65"/>
    <n v="0"/>
    <m/>
    <m/>
    <m/>
    <m/>
    <m/>
    <m/>
    <m/>
    <m/>
    <m/>
    <m/>
    <m/>
    <m/>
    <n v="0"/>
    <n v="0"/>
    <n v="0"/>
    <n v="0"/>
    <n v="-232868.65"/>
    <n v="0"/>
    <n v="0"/>
    <n v="0"/>
    <n v="0"/>
    <n v="0"/>
    <n v="0"/>
    <n v="0"/>
    <n v="0"/>
    <n v="-232868.65"/>
    <s v="Saving on budget v/s actual, prepaid cost of 232k expected for 12 months. Kindly spread for 9 months, total 342k our cost 232k, 109k is of liquid credit team"/>
    <n v="0"/>
    <n v="232868.65"/>
    <n v="232868.65"/>
    <n v="232868.65"/>
    <n v="232868.65"/>
  </r>
  <r>
    <x v="0"/>
    <s v="HSO Enterprise Solutions LLC"/>
    <s v="AKA Enterprises"/>
    <s v="Prj000344"/>
    <s v="Support - Prod support for Finance Applications"/>
    <s v="Finance &amp; Treasury Technology"/>
    <x v="2"/>
    <d v="2026-02-01T00:00:00"/>
    <d v="2027-01-31T00:00:00"/>
    <m/>
    <s v="Prj000344-Support - Prod support for Finance Applications"/>
    <s v="Non-Labor"/>
    <x v="0"/>
    <s v="Software"/>
    <m/>
    <s v="Information Technology"/>
    <s v="Software - Licenses"/>
    <s v="Software - Licenses"/>
    <s v="Annual Expensed"/>
    <n v="12000"/>
    <n v="12600"/>
    <n v="12600"/>
    <n v="12000"/>
    <n v="-600"/>
    <n v="0"/>
    <n v="-600"/>
    <s v="  "/>
    <m/>
    <n v="12600"/>
    <m/>
    <m/>
    <m/>
    <m/>
    <m/>
    <m/>
    <m/>
    <m/>
    <m/>
    <m/>
    <n v="12600"/>
    <n v="0"/>
    <m/>
    <n v="12000"/>
    <m/>
    <m/>
    <m/>
    <m/>
    <m/>
    <m/>
    <m/>
    <m/>
    <m/>
    <m/>
    <n v="12000"/>
    <n v="0"/>
    <n v="-600"/>
    <n v="0"/>
    <n v="0"/>
    <n v="0"/>
    <n v="0"/>
    <n v="0"/>
    <n v="0"/>
    <n v="0"/>
    <n v="0"/>
    <n v="0"/>
    <n v="0"/>
    <n v="-600"/>
    <s v="Budget v/s Actuals"/>
    <n v="12000"/>
    <n v="0"/>
    <n v="0"/>
    <n v="12600"/>
    <n v="12000"/>
  </r>
  <r>
    <x v="0"/>
    <s v="Incloud, LLC"/>
    <s v="Ontra"/>
    <s v="Prj000446"/>
    <s v="Implement - Minor Enhancements for Enterprise Apps"/>
    <s v="Cos, PMO &amp; Enterprise Technology"/>
    <x v="1"/>
    <d v="2025-07-19T00:00:00"/>
    <d v="2026-07-18T00:00:00"/>
    <s v="Ontra / Insight Funds"/>
    <s v="Prj000446-Implement - Minor Enhancements for Enterprise Apps"/>
    <s v="Non-Labor"/>
    <x v="0"/>
    <s v="Software"/>
    <m/>
    <s v="Information Technology"/>
    <s v="Software - Licenses"/>
    <s v="Software - Licenses"/>
    <s v="Annual Expensed"/>
    <n v="85330.79"/>
    <n v="90000"/>
    <n v="90000"/>
    <n v="90000"/>
    <n v="0"/>
    <n v="0"/>
    <n v="0"/>
    <s v="Prepaid in 2025-confirm if IT is taking this cost in 2026"/>
    <m/>
    <m/>
    <m/>
    <m/>
    <m/>
    <m/>
    <m/>
    <n v="90000"/>
    <m/>
    <m/>
    <m/>
    <m/>
    <n v="90000"/>
    <n v="90000"/>
    <m/>
    <m/>
    <m/>
    <m/>
    <m/>
    <m/>
    <m/>
    <m/>
    <m/>
    <m/>
    <m/>
    <m/>
    <n v="0"/>
    <n v="0"/>
    <n v="0"/>
    <n v="0"/>
    <n v="0"/>
    <n v="0"/>
    <n v="0"/>
    <n v="0"/>
    <n v="-90000"/>
    <n v="0"/>
    <n v="0"/>
    <n v="0"/>
    <n v="0"/>
    <n v="-90000"/>
    <m/>
    <n v="0"/>
    <n v="0"/>
    <n v="90000"/>
    <n v="0"/>
    <n v="90000"/>
  </r>
  <r>
    <x v="0"/>
    <s v="Indus Valley Partners Corporation"/>
    <s v="IVP"/>
    <s v="Prj000344"/>
    <s v="Support - Prod support for Finance Applications"/>
    <s v="Finance &amp; Treasury Technology"/>
    <x v="2"/>
    <d v="2026-04-20T00:00:00"/>
    <d v="2029-04-19T00:00:00"/>
    <s v="Recon, this annual cost was projected at 96K but actuals cost was 101k since over threshold it is spread over 12 months as prepaid from May'26-Apr'26 in accounting records"/>
    <s v="Prj000344-Support - Prod support for Finance Applications"/>
    <s v="Non-Labor"/>
    <x v="0"/>
    <s v="Software"/>
    <s v="Software"/>
    <s v="Information Technology"/>
    <s v="Software - Licenses"/>
    <s v="Software - Licenses"/>
    <s v="Annual Expensed"/>
    <n v="80119"/>
    <n v="96543"/>
    <n v="96543"/>
    <n v="101291"/>
    <n v="0"/>
    <n v="4748"/>
    <n v="4748"/>
    <s v="Recon, this annual cost was projected at 96K but actuals cost was 101k since over threshold it is spread over 12 months as prepaid from May'26-Apr'26 in accounting records"/>
    <m/>
    <m/>
    <m/>
    <m/>
    <n v="96543"/>
    <m/>
    <m/>
    <m/>
    <m/>
    <m/>
    <m/>
    <m/>
    <n v="96543"/>
    <n v="0"/>
    <m/>
    <m/>
    <m/>
    <m/>
    <n v="101291"/>
    <m/>
    <m/>
    <m/>
    <m/>
    <m/>
    <m/>
    <m/>
    <n v="101291"/>
    <n v="0"/>
    <n v="0"/>
    <n v="0"/>
    <n v="0"/>
    <n v="4748"/>
    <n v="0"/>
    <n v="0"/>
    <n v="0"/>
    <n v="0"/>
    <n v="0"/>
    <n v="0"/>
    <n v="0"/>
    <n v="4748"/>
    <s v="Prepaid, to be deferred"/>
    <n v="101291"/>
    <n v="0"/>
    <n v="0"/>
    <n v="96543"/>
    <n v="101291"/>
  </r>
  <r>
    <x v="0"/>
    <s v="Indus Valley Partners Corporation"/>
    <s v="IVP"/>
    <s v="Prj000344"/>
    <s v="Support - Prod support for Finance Applications"/>
    <s v="Finance &amp; Treasury Technology"/>
    <x v="2"/>
    <d v="2024-12-14T00:00:00"/>
    <d v="2025-12-13T00:00:00"/>
    <s v="ExpMgr Hositng"/>
    <s v="Prj000344-Support - Prod support for Finance Applications"/>
    <s v="Non-Labor"/>
    <x v="0"/>
    <s v="Software"/>
    <s v="Software"/>
    <s v="Information Technology"/>
    <s v="Software - Licenses"/>
    <s v="Software - Licenses"/>
    <s v="Annual Expensed"/>
    <n v="12000"/>
    <n v="14460"/>
    <n v="14460"/>
    <n v="14460"/>
    <n v="0"/>
    <n v="0"/>
    <n v="0"/>
    <s v="ExpMgr"/>
    <m/>
    <m/>
    <m/>
    <n v="14460"/>
    <m/>
    <m/>
    <m/>
    <m/>
    <m/>
    <m/>
    <m/>
    <m/>
    <n v="14460"/>
    <n v="0"/>
    <m/>
    <m/>
    <m/>
    <m/>
    <m/>
    <m/>
    <m/>
    <m/>
    <m/>
    <m/>
    <m/>
    <m/>
    <n v="0"/>
    <n v="0"/>
    <n v="0"/>
    <n v="0"/>
    <n v="-14460"/>
    <n v="0"/>
    <n v="0"/>
    <n v="0"/>
    <n v="0"/>
    <n v="0"/>
    <n v="0"/>
    <n v="0"/>
    <n v="0"/>
    <n v="-14460"/>
    <m/>
    <n v="0"/>
    <n v="14460"/>
    <n v="14460"/>
    <n v="14460"/>
    <n v="14460"/>
  </r>
  <r>
    <x v="0"/>
    <s v="Indus Valley Partners Corporation"/>
    <s v="IVP"/>
    <s v="Prj000458"/>
    <s v="Support - Data Analytics Office"/>
    <s v="Enterprise Architecture, Data Analytics &amp; AI"/>
    <x v="5"/>
    <d v="2024-11-07T00:00:00"/>
    <d v="2025-11-06T00:00:00"/>
    <s v="Navigate"/>
    <s v="Prj000458-Support - Data Analytics Office"/>
    <s v="Non-Labor"/>
    <x v="0"/>
    <s v="Software"/>
    <s v="Software"/>
    <s v="Information Technology"/>
    <s v="Software - Licenses"/>
    <s v="Software - Licenses"/>
    <s v="Annual Expensed"/>
    <n v="80161"/>
    <n v="59783.0625"/>
    <n v="59783.0625"/>
    <n v="59783.0625"/>
    <n v="0"/>
    <n v="0"/>
    <n v="0"/>
    <s v="Navigate"/>
    <m/>
    <m/>
    <m/>
    <m/>
    <m/>
    <m/>
    <m/>
    <m/>
    <m/>
    <m/>
    <n v="59783.0625"/>
    <m/>
    <n v="59783.0625"/>
    <n v="59783.0625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-59783.0625"/>
    <n v="0"/>
    <n v="-59783.0625"/>
    <m/>
    <n v="0"/>
    <n v="0"/>
    <n v="59783.0625"/>
    <n v="0"/>
    <n v="59783.0625"/>
  </r>
  <r>
    <x v="0"/>
    <s v="Inogic Tech India Private Limited"/>
    <s v="Maplytics"/>
    <s v="Prj000427"/>
    <s v="Implement - Minor Enhancements for Marketing"/>
    <s v="Asset Management Technology &amp; Data Services"/>
    <x v="4"/>
    <d v="2026-01-21T00:00:00"/>
    <d v="2027-01-30T00:00:00"/>
    <m/>
    <s v="Prj000427-Implement - Minor Enhancements for Marketing"/>
    <s v="Non-Labor"/>
    <x v="0"/>
    <s v="Software"/>
    <m/>
    <s v="Information Technology"/>
    <s v="Software - Licenses"/>
    <s v="Software - Licenses"/>
    <s v="Annual Expensed"/>
    <n v="1200"/>
    <n v="1260"/>
    <n v="1260"/>
    <n v="1260"/>
    <n v="0"/>
    <n v="0"/>
    <n v="0"/>
    <s v="  "/>
    <n v="1260"/>
    <n v="0"/>
    <n v="0"/>
    <n v="0"/>
    <n v="0"/>
    <n v="0"/>
    <n v="0"/>
    <n v="0"/>
    <n v="0"/>
    <n v="0"/>
    <n v="0"/>
    <n v="0"/>
    <n v="1260"/>
    <n v="0"/>
    <n v="1260"/>
    <n v="0"/>
    <n v="0"/>
    <n v="0"/>
    <n v="0"/>
    <n v="0"/>
    <n v="0"/>
    <n v="0"/>
    <n v="0"/>
    <n v="0"/>
    <n v="0"/>
    <n v="0"/>
    <n v="1260"/>
    <n v="0"/>
    <n v="0"/>
    <n v="0"/>
    <n v="0"/>
    <n v="0"/>
    <n v="0"/>
    <n v="0"/>
    <n v="0"/>
    <n v="0"/>
    <n v="0"/>
    <n v="0"/>
    <n v="0"/>
    <n v="0"/>
    <m/>
    <n v="1260"/>
    <n v="0"/>
    <n v="0"/>
    <n v="1260"/>
    <n v="1260"/>
  </r>
  <r>
    <x v="0"/>
    <s v="Lucid Software, Inc."/>
    <s v="Lucid Software"/>
    <s v="Prj000410"/>
    <s v="Support - Tech Enablement 2026"/>
    <s v="Infrastructure Services, Controls &amp; User Enablement"/>
    <x v="0"/>
    <d v="2025-09-12T00:00:00"/>
    <d v="2026-06-01T00:00:00"/>
    <s v="Lucidscale Team / Suite"/>
    <s v="Prj000410-Support - Tech Enablement 2026"/>
    <s v="Non-Labor"/>
    <x v="0"/>
    <s v="Software"/>
    <m/>
    <s v="Information Technology"/>
    <s v="Software - Licenses"/>
    <s v="Software - Licenses"/>
    <s v="Annual Expensed"/>
    <n v="1643.58"/>
    <n v="1725.759"/>
    <n v="1725.759"/>
    <n v="1726"/>
    <n v="0"/>
    <n v="0.24099999999998545"/>
    <n v="0.24099999999998545"/>
    <s v="  Lucid Suite"/>
    <m/>
    <m/>
    <m/>
    <m/>
    <m/>
    <m/>
    <m/>
    <m/>
    <n v="1726"/>
    <m/>
    <m/>
    <m/>
    <n v="1726"/>
    <n v="1726"/>
    <m/>
    <m/>
    <m/>
    <m/>
    <m/>
    <m/>
    <m/>
    <m/>
    <m/>
    <m/>
    <m/>
    <m/>
    <n v="0"/>
    <n v="0"/>
    <n v="0"/>
    <n v="0"/>
    <n v="0"/>
    <n v="0"/>
    <n v="0"/>
    <n v="0"/>
    <n v="0"/>
    <n v="-1726"/>
    <n v="0"/>
    <n v="0"/>
    <n v="0"/>
    <n v="-1726"/>
    <m/>
    <n v="0"/>
    <n v="0"/>
    <n v="1726"/>
    <n v="0"/>
    <n v="1726"/>
  </r>
  <r>
    <x v="0"/>
    <s v="Lucid Software, Inc."/>
    <s v="Lucid Software"/>
    <s v="Prj000410"/>
    <s v="Support - Tech Enablement 2026"/>
    <s v="Infrastructure Services, Controls &amp; User Enablement"/>
    <x v="0"/>
    <d v="2025-06-01T00:00:00"/>
    <d v="2026-06-02T00:00:00"/>
    <s v="Lucidscale Team / Suite"/>
    <s v="Prj000410-Support - Tech Enablement 2026"/>
    <s v="Non-Labor"/>
    <x v="0"/>
    <s v="Software"/>
    <m/>
    <s v="Information Technology"/>
    <s v="Software - Licenses"/>
    <s v="Software - Licenses"/>
    <s v="Annual Expensed"/>
    <n v="24823.59"/>
    <n v="26064.769500000002"/>
    <n v="26064.769500000002"/>
    <n v="26065"/>
    <n v="0"/>
    <n v="0.23049999999784632"/>
    <n v="0.23049999999784632"/>
    <s v="  Lucid Suite and Cloud Accelerator"/>
    <m/>
    <m/>
    <m/>
    <m/>
    <n v="26065"/>
    <m/>
    <m/>
    <m/>
    <m/>
    <m/>
    <m/>
    <m/>
    <n v="26065"/>
    <n v="0"/>
    <m/>
    <m/>
    <m/>
    <m/>
    <m/>
    <m/>
    <m/>
    <m/>
    <m/>
    <m/>
    <m/>
    <m/>
    <n v="0"/>
    <n v="0"/>
    <n v="0"/>
    <n v="0"/>
    <n v="0"/>
    <n v="-26065"/>
    <n v="0"/>
    <n v="0"/>
    <n v="0"/>
    <n v="0"/>
    <n v="0"/>
    <n v="0"/>
    <n v="0"/>
    <n v="-26065"/>
    <m/>
    <n v="0"/>
    <n v="26065"/>
    <n v="26065"/>
    <n v="26065"/>
    <n v="26065"/>
  </r>
  <r>
    <x v="0"/>
    <s v="Macabacus, Inc."/>
    <s v="Macabacus"/>
    <s v="Prj000344"/>
    <s v="Support - Prod support for Finance Applications"/>
    <s v="Finance &amp; Treasury Technology"/>
    <x v="2"/>
    <d v="2025-04-23T00:00:00"/>
    <d v="2026-04-23T00:00:00"/>
    <s v="XLS Modeler - Annual"/>
    <s v="Prj000344-Support - Prod support for Finance Applications"/>
    <s v="Non-Labor"/>
    <x v="0"/>
    <s v="Software"/>
    <m/>
    <s v="Information Technology"/>
    <s v="Software - Licenses"/>
    <s v="Software - Licenses"/>
    <s v="Annual Expensed"/>
    <n v="1297"/>
    <n v="1361.8500000000001"/>
    <n v="1361.8500000000001"/>
    <n v="1719.9"/>
    <n v="0"/>
    <n v="358.04999999999995"/>
    <n v="358.04999999999995"/>
    <s v="  "/>
    <m/>
    <m/>
    <m/>
    <n v="1362"/>
    <m/>
    <m/>
    <m/>
    <m/>
    <m/>
    <m/>
    <m/>
    <m/>
    <n v="1362"/>
    <n v="0"/>
    <m/>
    <m/>
    <m/>
    <n v="1719.9"/>
    <m/>
    <m/>
    <m/>
    <m/>
    <m/>
    <m/>
    <m/>
    <m/>
    <n v="1719.9"/>
    <n v="0"/>
    <n v="0"/>
    <n v="0"/>
    <n v="357.90000000000009"/>
    <n v="0"/>
    <n v="0"/>
    <n v="0"/>
    <n v="0"/>
    <n v="0"/>
    <n v="0"/>
    <n v="0"/>
    <n v="0"/>
    <n v="357.90000000000009"/>
    <s v="Budget v/s Actuals"/>
    <n v="1719.9"/>
    <n v="0"/>
    <n v="0"/>
    <n v="1362"/>
    <n v="1719.9"/>
  </r>
  <r>
    <x v="0"/>
    <s v="Macabacus, Inc."/>
    <s v="Macabacus"/>
    <s v="Prj000344"/>
    <s v="Support - Prod support for Finance Applications"/>
    <s v="Finance &amp; Treasury Technology"/>
    <x v="2"/>
    <d v="2026-02-03T00:00:00"/>
    <d v="2027-02-03T00:00:00"/>
    <s v="Suit License"/>
    <s v="Prj000344-Support - Prod support for Finance Applications"/>
    <s v="Non-Labor"/>
    <x v="0"/>
    <s v="Software"/>
    <m/>
    <s v="Information Technology"/>
    <s v="Software - Licenses"/>
    <s v="Software - Licenses"/>
    <s v="Annual Expensed"/>
    <n v="1323"/>
    <n v="1389.15"/>
    <n v="1389.15"/>
    <n v="1472.85"/>
    <n v="0"/>
    <n v="83.699999999999818"/>
    <n v="83.699999999999818"/>
    <s v="  "/>
    <m/>
    <n v="1389"/>
    <m/>
    <m/>
    <m/>
    <m/>
    <m/>
    <m/>
    <m/>
    <m/>
    <m/>
    <m/>
    <n v="1389"/>
    <n v="0"/>
    <m/>
    <n v="1472.85"/>
    <m/>
    <m/>
    <m/>
    <m/>
    <m/>
    <m/>
    <m/>
    <m/>
    <m/>
    <m/>
    <n v="1472.85"/>
    <n v="0"/>
    <n v="83.849999999999909"/>
    <n v="0"/>
    <n v="0"/>
    <n v="0"/>
    <n v="0"/>
    <n v="0"/>
    <n v="0"/>
    <n v="0"/>
    <n v="0"/>
    <n v="0"/>
    <n v="0"/>
    <n v="83.849999999999909"/>
    <s v="Budget v/s Actuals"/>
    <n v="1472.85"/>
    <n v="0"/>
    <n v="0"/>
    <n v="1389"/>
    <n v="1472.85"/>
  </r>
  <r>
    <x v="0"/>
    <s v="Microsoft Corporation"/>
    <s v="TBD could be CDW Microsoft (a)"/>
    <s v="Prj000350"/>
    <s v="Support - Infrastructure for Tech"/>
    <s v="Infrastructure Services, Controls &amp; User Enablement"/>
    <x v="0"/>
    <d v="2025-06-01T00:00:00"/>
    <d v="2028-05-31T00:00:00"/>
    <s v="MS Enterprise"/>
    <s v="Prj000350-Support - Infrastructure for Tech"/>
    <s v="Non-Labor"/>
    <x v="0"/>
    <s v="Software"/>
    <s v="Entpr Lic"/>
    <s v="Information Technology"/>
    <s v="Software - Licenses"/>
    <s v="Software - Licenses"/>
    <s v="Annual Prepaid"/>
    <n v="1916944.1866666665"/>
    <n v="1900385"/>
    <n v="1900385"/>
    <n v="2073920.716666667"/>
    <n v="0"/>
    <n v="173535.71666666702"/>
    <n v="173535.71666666702"/>
    <s v="Renewed 6/1/25, anniversary date true-up-Entpr Lic (Prepaid)"/>
    <n v="158365.41666666666"/>
    <n v="158365.41666666666"/>
    <n v="158365.41666666666"/>
    <n v="158365.41666666666"/>
    <n v="158365.41666666666"/>
    <n v="183156.23333333331"/>
    <n v="183156.23333333331"/>
    <n v="183156.23333333331"/>
    <n v="183156.23333333331"/>
    <n v="183156.23333333331"/>
    <n v="183156.23333333331"/>
    <n v="183156.23333333331"/>
    <n v="2073920.7166666668"/>
    <n v="1282093.6333333333"/>
    <n v="158365.41666666666"/>
    <n v="158365.41666666666"/>
    <n v="158365.41666666666"/>
    <n v="158365.41666666666"/>
    <n v="158365.41666666666"/>
    <m/>
    <m/>
    <m/>
    <m/>
    <m/>
    <m/>
    <m/>
    <n v="791827.08333333326"/>
    <n v="0"/>
    <n v="0"/>
    <n v="0"/>
    <n v="0"/>
    <n v="0"/>
    <n v="-183156.23333333331"/>
    <n v="-183156.23333333331"/>
    <n v="-183156.23333333331"/>
    <n v="-183156.23333333331"/>
    <n v="-183156.23333333331"/>
    <n v="-183156.23333333331"/>
    <n v="-183156.23333333331"/>
    <n v="-1282093.6333333333"/>
    <m/>
    <n v="791827.08333333326"/>
    <n v="0"/>
    <n v="1282093.6333333333"/>
    <n v="791827.08333333326"/>
    <n v="2073920.7166666666"/>
  </r>
  <r>
    <x v="0"/>
    <s v="Monday.com Ltd"/>
    <s v="Monday.com"/>
    <s v="Prj000410"/>
    <s v="Support - Tech Enablement 2026"/>
    <s v="Infrastructure Services, Controls &amp; User Enablement"/>
    <x v="0"/>
    <d v="2025-06-14T00:00:00"/>
    <d v="2026-06-13T00:00:00"/>
    <s v="Management Enterprise 600 Seats"/>
    <s v="Prj000410-Support - Tech Enablement 2026"/>
    <s v="Non-Labor"/>
    <x v="0"/>
    <s v="Software"/>
    <m/>
    <s v="Information Technology"/>
    <s v="Software - Licenses"/>
    <s v="Software - Licenses"/>
    <s v="Annual Prepaid"/>
    <n v="174358"/>
    <n v="307613.80000000005"/>
    <n v="307613.80000000005"/>
    <n v="305666.66666666669"/>
    <n v="-1947.1333333333605"/>
    <n v="0"/>
    <n v="-1947.1333333333605"/>
    <s v="Paid as Prepaid in 2025; to be renewed in 2026-Paid as Prepaid in 2025; to be renewed in 2026"/>
    <n v="24908.333333333332"/>
    <n v="24908.333333333332"/>
    <n v="24908.333333333332"/>
    <n v="24908.333333333332"/>
    <n v="24908.333333333332"/>
    <n v="25875"/>
    <n v="25875"/>
    <n v="25875"/>
    <n v="25875"/>
    <n v="25875"/>
    <n v="25875"/>
    <n v="25875"/>
    <n v="305666.66666666663"/>
    <n v="181125"/>
    <n v="24908.333333333332"/>
    <n v="24908.333333333332"/>
    <n v="24908.333333333332"/>
    <n v="24908.333333333332"/>
    <n v="24908.333333333332"/>
    <n v="25875"/>
    <n v="25875"/>
    <n v="25875"/>
    <n v="25875"/>
    <n v="25875"/>
    <n v="25875"/>
    <n v="25875"/>
    <n v="305666.66666666663"/>
    <n v="0"/>
    <n v="0"/>
    <n v="0"/>
    <n v="0"/>
    <n v="0"/>
    <n v="0"/>
    <n v="0"/>
    <n v="0"/>
    <n v="0"/>
    <n v="0"/>
    <n v="0"/>
    <n v="0"/>
    <n v="0"/>
    <s v="Unbudgeted tax"/>
    <n v="124541.66666666666"/>
    <n v="0"/>
    <n v="181125"/>
    <n v="124541.66666666666"/>
    <n v="305666.66666666663"/>
  </r>
  <r>
    <x v="0"/>
    <s v="NewRocket, LLC"/>
    <s v="ServiceNow Liac"/>
    <s v="Prj000350"/>
    <s v="Support - Infrastructure for Tech"/>
    <s v="Infrastructure Services, Controls &amp; User Enablement"/>
    <x v="0"/>
    <d v="2025-12-19T00:00:00"/>
    <d v="2026-12-18T00:00:00"/>
    <s v="ServiceNow Agile Team + Various"/>
    <s v="Prj000350-Support - Infrastructure for Tech"/>
    <s v="Non-Labor"/>
    <x v="0"/>
    <s v="Software"/>
    <s v="Software License 1"/>
    <s v="Information Technology"/>
    <s v="Software - Licenses"/>
    <s v="Software - Licenses"/>
    <s v="Annual Prepaid"/>
    <n v="437527.60583333333"/>
    <n v="361049"/>
    <n v="361049"/>
    <n v="461680.95416666666"/>
    <n v="0"/>
    <n v="100631.95416666666"/>
    <n v="100631.95416666666"/>
    <s v="Prepaid in 2025; to be renewed in Dec 2026-Prepaid in 2025; to be renewed in Dec 2026"/>
    <n v="41970.995833333327"/>
    <n v="41970.995833333327"/>
    <n v="41970.995833333327"/>
    <n v="41970.995833333327"/>
    <n v="41970.995833333327"/>
    <n v="41970.995833333327"/>
    <n v="41970.995833333327"/>
    <n v="41970.995833333327"/>
    <n v="41970.995833333327"/>
    <n v="41970.995833333327"/>
    <n v="41970.995833333327"/>
    <m/>
    <n v="461680.95416666666"/>
    <n v="251825.97499999995"/>
    <n v="41970.995833333327"/>
    <n v="41970.995833333327"/>
    <n v="41970.995833333327"/>
    <n v="41970.995833333327"/>
    <n v="41970.995833333327"/>
    <n v="41970.995833333327"/>
    <n v="41970.995833333327"/>
    <n v="41970.995833333327"/>
    <n v="41970.995833333327"/>
    <n v="41970.995833333327"/>
    <n v="41970.995833333327"/>
    <m/>
    <n v="461680.95416666666"/>
    <n v="0"/>
    <n v="0"/>
    <n v="0"/>
    <n v="0"/>
    <n v="0"/>
    <n v="0"/>
    <n v="0"/>
    <n v="0"/>
    <n v="0"/>
    <n v="0"/>
    <n v="0"/>
    <n v="0"/>
    <n v="0"/>
    <s v="This was to be charged back to Cyber, but now tech has to bear the cost. Danny's email is proof"/>
    <n v="209854.97916666663"/>
    <n v="0"/>
    <n v="251825.97499999995"/>
    <n v="209854.97916666663"/>
    <n v="461680.9541666666"/>
  </r>
  <r>
    <x v="0"/>
    <s v="NewRocket, LLC"/>
    <s v="ServiceNow Liac"/>
    <s v="Prj000350"/>
    <s v="Support - Infrastructure for Tech"/>
    <s v="Infrastructure Services, Controls &amp; User Enablement"/>
    <x v="0"/>
    <d v="2024-12-19T00:00:00"/>
    <d v="2025-12-18T00:00:00"/>
    <s v="ServiceNow Security Operations Enterprise - VR NRUSCINV-000450"/>
    <s v="Prj000350-Support - Infrastructure for Tech"/>
    <s v="Non-Labor"/>
    <x v="0"/>
    <s v="Software"/>
    <s v="Amount per Invoice"/>
    <s v="Information Technology"/>
    <s v="Software - Licenses"/>
    <s v="Software - Licenses"/>
    <s v="Annual Expensed"/>
    <n v="0"/>
    <n v="34875"/>
    <n v="34875"/>
    <n v="34875"/>
    <n v="0"/>
    <n v="0"/>
    <n v="0"/>
    <s v="Paid for 2025 in Dec 2024, need to renew in 2026-Paid for 2025 in Dec 2024, need to renew in 2026"/>
    <m/>
    <m/>
    <n v="34875"/>
    <m/>
    <m/>
    <m/>
    <m/>
    <m/>
    <m/>
    <m/>
    <m/>
    <m/>
    <n v="34875"/>
    <n v="0"/>
    <m/>
    <m/>
    <m/>
    <m/>
    <m/>
    <m/>
    <m/>
    <m/>
    <m/>
    <m/>
    <m/>
    <m/>
    <n v="0"/>
    <n v="0"/>
    <n v="0"/>
    <n v="-34875"/>
    <n v="0"/>
    <n v="0"/>
    <n v="0"/>
    <n v="0"/>
    <n v="0"/>
    <n v="0"/>
    <n v="0"/>
    <n v="0"/>
    <n v="0"/>
    <n v="-34875"/>
    <m/>
    <n v="0"/>
    <n v="34875"/>
    <n v="34875"/>
    <n v="34875"/>
    <n v="34875"/>
  </r>
  <r>
    <x v="0"/>
    <s v="NewRocket, LLC"/>
    <s v="ServiceNow Liac"/>
    <s v="Prj000350"/>
    <s v="Support - Infrastructure for Tech"/>
    <s v="Infrastructure Services, Controls &amp; User Enablement"/>
    <x v="0"/>
    <d v="2025-12-19T00:00:00"/>
    <d v="2026-12-18T00:00:00"/>
    <s v="Strategic Portfolio Management (SPM) Pro"/>
    <s v="Prj000350-Support - Infrastructure for Tech"/>
    <s v="Non-Labor"/>
    <x v="0"/>
    <s v="Software"/>
    <s v="Software License 3"/>
    <s v="Information Technology"/>
    <s v="Software - Licenses"/>
    <s v="Software - Licenses"/>
    <s v="Annual Expensed"/>
    <n v="54369.49"/>
    <n v="57087.964500000002"/>
    <n v="57087.964500000002"/>
    <n v="57087.964500000002"/>
    <n v="0"/>
    <n v="0"/>
    <n v="0"/>
    <s v="Strategic Portfolio Management (SPM) Pro, paid in Dec2025, to be renewed in Dec2026-Strategic Portfolio Management (SPM) Pro, paid in Dec2025, to be renewed in Dec2026"/>
    <m/>
    <m/>
    <m/>
    <m/>
    <m/>
    <m/>
    <m/>
    <m/>
    <m/>
    <m/>
    <m/>
    <n v="57087.964500000002"/>
    <n v="57087.964500000002"/>
    <n v="57087.964500000002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-57087.964500000002"/>
    <n v="-57087.964500000002"/>
    <s v="Budget v/s Actuals"/>
    <n v="0"/>
    <n v="0"/>
    <n v="57087.964500000002"/>
    <n v="0"/>
    <n v="57087.964500000002"/>
  </r>
  <r>
    <x v="0"/>
    <s v="Oracle America, Inc."/>
    <s v="Oracle"/>
    <s v="Prj000469"/>
    <s v="Support - Prod Support for Ops Apps"/>
    <s v="Operations Technology"/>
    <x v="2"/>
    <d v="2024-03-11T00:00:00"/>
    <d v="2025-03-10T00:00:00"/>
    <s v="Oracle Java "/>
    <s v="Prj000469-Support - Prod Support for Ops Apps"/>
    <s v="Non-Labor"/>
    <x v="0"/>
    <s v="Software"/>
    <m/>
    <s v="Information Technology"/>
    <s v="Software - Licenses"/>
    <s v="Software - Licenses"/>
    <s v="Annual Expensed"/>
    <n v="8034"/>
    <n v="8435.7000000000007"/>
    <n v="8435.7000000000007"/>
    <n v="8436"/>
    <n v="0"/>
    <n v="0.2999999999992724"/>
    <n v="0.2999999999992724"/>
    <s v="LIQ Java"/>
    <m/>
    <m/>
    <m/>
    <m/>
    <m/>
    <m/>
    <m/>
    <n v="8436"/>
    <m/>
    <m/>
    <m/>
    <m/>
    <n v="8436"/>
    <n v="8436"/>
    <m/>
    <m/>
    <m/>
    <m/>
    <m/>
    <m/>
    <m/>
    <m/>
    <m/>
    <m/>
    <m/>
    <m/>
    <n v="0"/>
    <n v="0"/>
    <n v="0"/>
    <n v="0"/>
    <n v="0"/>
    <n v="0"/>
    <n v="0"/>
    <n v="0"/>
    <n v="-8436"/>
    <n v="0"/>
    <n v="0"/>
    <n v="0"/>
    <n v="0"/>
    <n v="-8436"/>
    <m/>
    <n v="0"/>
    <n v="0"/>
    <n v="8436"/>
    <n v="0"/>
    <n v="8436"/>
  </r>
  <r>
    <x v="0"/>
    <s v="RFPIO INC. (Responsive)"/>
    <s v="Responsive"/>
    <s v="Prj000446"/>
    <s v="Implement - Minor Enhancements for Enterprise Apps"/>
    <s v="Cos, PMO &amp; Enterprise Technology"/>
    <x v="1"/>
    <d v="2026-03-29T00:00:00"/>
    <d v="2027-03-28T00:00:00"/>
    <m/>
    <s v="Prj000446-Implement - Minor Enhancements for Enterprise Apps"/>
    <s v="Non-Labor"/>
    <x v="0"/>
    <s v="Software"/>
    <m/>
    <s v="Information Technology"/>
    <s v="Software - Licenses"/>
    <s v="Software - Licenses"/>
    <s v="Annual Expensed"/>
    <n v="69417.919999999998"/>
    <n v="72888.816000000006"/>
    <n v="72888.816000000006"/>
    <n v="69417.919999999998"/>
    <n v="-3470.8960000000079"/>
    <n v="0"/>
    <n v="-3470.8960000000079"/>
    <s v="  "/>
    <m/>
    <m/>
    <n v="72888.816000000006"/>
    <m/>
    <m/>
    <m/>
    <m/>
    <m/>
    <m/>
    <m/>
    <m/>
    <m/>
    <n v="72888.816000000006"/>
    <n v="0"/>
    <m/>
    <m/>
    <n v="69417.919999999998"/>
    <m/>
    <m/>
    <m/>
    <m/>
    <m/>
    <m/>
    <m/>
    <m/>
    <m/>
    <n v="69417.919999999998"/>
    <n v="0"/>
    <n v="0"/>
    <n v="-3470.8960000000079"/>
    <n v="0"/>
    <n v="0"/>
    <n v="0"/>
    <n v="0"/>
    <n v="0"/>
    <n v="0"/>
    <n v="0"/>
    <n v="0"/>
    <n v="0"/>
    <n v="-3470.8960000000079"/>
    <s v="Budget v/s Actuals"/>
    <n v="69417.919999999998"/>
    <n v="0"/>
    <n v="0"/>
    <n v="72888.816000000006"/>
    <n v="69417.919999999998"/>
  </r>
  <r>
    <x v="0"/>
    <s v="SALESFORCE COM INC"/>
    <s v="Salesforce"/>
    <s v="Prj000458"/>
    <s v="Support - Data Analytics Office"/>
    <s v="Enterprise Architecture, Data Analytics &amp; AI"/>
    <x v="5"/>
    <d v="2025-03-29T00:00:00"/>
    <d v="2026-03-28T00:00:00"/>
    <s v="Tableau Creator (5) + Viewer (40) + Explorer (10)"/>
    <s v="Prj000458-Support - Data Analytics Office"/>
    <s v="Non-Labor"/>
    <x v="0"/>
    <s v="Software"/>
    <s v="SAAS Lics"/>
    <s v="Information Technology"/>
    <s v="Software - Licenses"/>
    <s v="Software - Licenses"/>
    <s v="Annual Expensed"/>
    <n v="42342.67"/>
    <n v="44460.15"/>
    <n v="44460.15"/>
    <n v="46713"/>
    <n v="0"/>
    <n v="2252.8499999999985"/>
    <n v="2252.8499999999985"/>
    <m/>
    <m/>
    <m/>
    <n v="44460.15"/>
    <m/>
    <m/>
    <m/>
    <m/>
    <m/>
    <m/>
    <m/>
    <m/>
    <m/>
    <n v="44460.15"/>
    <n v="0"/>
    <m/>
    <m/>
    <n v="46713"/>
    <m/>
    <m/>
    <m/>
    <m/>
    <m/>
    <m/>
    <m/>
    <m/>
    <m/>
    <n v="46713"/>
    <n v="0"/>
    <n v="0"/>
    <n v="2252.8499999999985"/>
    <n v="0"/>
    <n v="0"/>
    <n v="0"/>
    <n v="0"/>
    <n v="0"/>
    <n v="0"/>
    <n v="0"/>
    <n v="0"/>
    <n v="0"/>
    <n v="2252.8499999999985"/>
    <s v="Hard Risk"/>
    <n v="46713"/>
    <n v="0"/>
    <n v="0"/>
    <n v="44460.15"/>
    <n v="46713"/>
  </r>
  <r>
    <x v="0"/>
    <s v="Siemens Industry Software, Inc."/>
    <s v="Mendix"/>
    <s v="Prj000426"/>
    <s v="Implement - Minor Enhancements for Sales"/>
    <s v="Asset Management Technology &amp; Data Services"/>
    <x v="4"/>
    <d v="2025-11-01T00:00:00"/>
    <d v="2026-10-31T00:00:00"/>
    <m/>
    <s v="Prj000426-Implement - Minor Enhancements for Sales"/>
    <s v="Non-Labor"/>
    <x v="0"/>
    <s v="Software"/>
    <m/>
    <s v="Information Technology"/>
    <s v="Software - Licenses"/>
    <s v="Software - Licenses"/>
    <s v="Annual Expensed"/>
    <n v="81053.040000000008"/>
    <n v="39305.700000000004"/>
    <n v="39305.700000000004"/>
    <n v="39306"/>
    <n v="0"/>
    <n v="0.29999999999563443"/>
    <n v="0.29999999999563443"/>
    <s v="  "/>
    <m/>
    <m/>
    <n v="2028"/>
    <n v="780"/>
    <m/>
    <m/>
    <m/>
    <m/>
    <m/>
    <m/>
    <n v="36498"/>
    <m/>
    <n v="39306"/>
    <n v="36498"/>
    <m/>
    <m/>
    <n v="2028"/>
    <n v="780"/>
    <m/>
    <m/>
    <m/>
    <m/>
    <m/>
    <m/>
    <m/>
    <m/>
    <n v="2808"/>
    <n v="0"/>
    <n v="0"/>
    <n v="0"/>
    <n v="0"/>
    <n v="0"/>
    <n v="0"/>
    <n v="0"/>
    <n v="0"/>
    <n v="0"/>
    <n v="0"/>
    <n v="-36498"/>
    <n v="0"/>
    <n v="-36498"/>
    <m/>
    <n v="2808"/>
    <n v="0"/>
    <n v="36498"/>
    <n v="2808"/>
    <n v="39306"/>
  </r>
  <r>
    <x v="0"/>
    <s v="SS&amp;C GIDS, Inc."/>
    <s v="Wealth Distribution Tool (Vendor TBD)"/>
    <s v="Prj000426"/>
    <s v="Implement - Minor Enhancements for Sales"/>
    <s v="Asset Management Technology &amp; Data Services"/>
    <x v="4"/>
    <d v="2025-09-04T00:00:00"/>
    <d v="2026-09-03T00:00:00"/>
    <s v="Walletshare Alts"/>
    <s v="Prj000426-Implement - Minor Enhancements for Sales"/>
    <s v="Non-Labor"/>
    <x v="0"/>
    <s v="Software"/>
    <m/>
    <s v="Information Technology"/>
    <s v="Software - Licenses"/>
    <s v="Software - Licenses"/>
    <s v="Annual Prepaid"/>
    <n v="43706"/>
    <n v="174825"/>
    <n v="174825"/>
    <n v="174825"/>
    <n v="0"/>
    <n v="0"/>
    <n v="0"/>
    <s v="Walletshare renews Sep2026, Set as Prepaid in 2025-Walletshare renews Sep2026, Set as Prepaid in 2025"/>
    <n v="14568.75"/>
    <n v="14568.75"/>
    <n v="14568.75"/>
    <n v="14568.75"/>
    <n v="14568.75"/>
    <n v="14568.75"/>
    <n v="14568.75"/>
    <n v="14568.75"/>
    <n v="14568.75"/>
    <n v="14568.75"/>
    <n v="14568.75"/>
    <n v="14568.75"/>
    <n v="174825"/>
    <n v="101981.25"/>
    <n v="14568.75"/>
    <n v="14568.75"/>
    <n v="14568.75"/>
    <n v="14568.75"/>
    <n v="14568.75"/>
    <n v="14568.75"/>
    <n v="14568.75"/>
    <n v="14568.75"/>
    <n v="14568.75"/>
    <m/>
    <m/>
    <m/>
    <n v="131118.75"/>
    <n v="0"/>
    <n v="0"/>
    <n v="0"/>
    <n v="0"/>
    <n v="0"/>
    <n v="0"/>
    <n v="0"/>
    <n v="0"/>
    <n v="0"/>
    <n v="-14568.75"/>
    <n v="-14568.75"/>
    <n v="-14568.75"/>
    <n v="-43706.25"/>
    <m/>
    <n v="72843.75"/>
    <n v="0"/>
    <n v="101981.25"/>
    <n v="72843.75"/>
    <n v="174825"/>
  </r>
  <r>
    <x v="0"/>
    <s v="SonarSource SA"/>
    <s v="Sonarsource"/>
    <s v="Prj000342"/>
    <s v="Support - Site Reliability Engineering for Tech"/>
    <s v="Infrastructure Services, Controls &amp; User Enablement"/>
    <x v="0"/>
    <d v="2025-11-22T00:00:00"/>
    <d v="2026-11-21T00:00:00"/>
    <m/>
    <s v="Prj000342-Support - Site Reliability Engineering for Tech"/>
    <s v="Non-Labor"/>
    <x v="0"/>
    <s v="Software"/>
    <m/>
    <s v="Information Technology"/>
    <s v="Software - Licenses"/>
    <s v="Software - Licenses"/>
    <s v="Annual Expensed"/>
    <n v="4895"/>
    <n v="5407.5"/>
    <n v="5407.5"/>
    <n v="5407.5"/>
    <n v="0"/>
    <n v="0"/>
    <n v="0"/>
    <s v="  "/>
    <m/>
    <m/>
    <m/>
    <m/>
    <m/>
    <m/>
    <m/>
    <m/>
    <m/>
    <m/>
    <m/>
    <n v="5407.5"/>
    <n v="5407.5"/>
    <n v="5407.5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-5407.5"/>
    <n v="-5407.5"/>
    <m/>
    <n v="0"/>
    <n v="0"/>
    <n v="5407.5"/>
    <n v="0"/>
    <n v="5407.5"/>
  </r>
  <r>
    <x v="0"/>
    <s v="SHI International Corp"/>
    <s v="SHI"/>
    <s v="Prj000350"/>
    <s v="Support - Infrastructure for Tech"/>
    <s v="Infrastructure Services, Controls &amp; User Enablement"/>
    <x v="0"/>
    <d v="2025-10-17T00:00:00"/>
    <d v="2027-10-16T00:00:00"/>
    <s v="Quest Software &amp; Maintenance"/>
    <s v="Prj000350-Support - Infrastructure for Tech"/>
    <s v="Non-Labor"/>
    <x v="0"/>
    <s v="Software"/>
    <s v="Software"/>
    <s v="Information Technology"/>
    <s v="Software - Licenses"/>
    <s v="Software - Licenses"/>
    <s v="NA"/>
    <n v="48135.15"/>
    <m/>
    <m/>
    <n v="0"/>
    <n v="0"/>
    <n v="0"/>
    <n v="0"/>
    <s v="Quest Software- One Identity-Cost of Quest Sofware for 2 years - material diff if we renew for 1 vs 2 yrs"/>
    <m/>
    <m/>
    <m/>
    <m/>
    <m/>
    <m/>
    <m/>
    <m/>
    <m/>
    <m/>
    <m/>
    <m/>
    <n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</r>
  <r>
    <x v="0"/>
    <s v="SHI International Corp"/>
    <s v="SHI"/>
    <s v="Prj000467"/>
    <s v="Support - Enterprise Tech Helpdesk"/>
    <s v="Tech Shared Services"/>
    <x v="5"/>
    <d v="2025-10-30T00:00:00"/>
    <d v="2026-10-29T00:00:00"/>
    <s v="Adobe"/>
    <s v="Prj000467-Support - Enterprise Tech Helpdesk"/>
    <s v="Non-Labor"/>
    <x v="0"/>
    <s v="Software"/>
    <s v="Software"/>
    <s v="Information Technology"/>
    <s v="Software - Licenses"/>
    <s v="Software - Licenses"/>
    <s v="Annual Expensed"/>
    <n v="94231.349999999991"/>
    <n v="98942.917499999996"/>
    <n v="98942.917499999996"/>
    <n v="98943.23"/>
    <n v="0"/>
    <n v="0.3125"/>
    <n v="0.3125"/>
    <s v="Adobe"/>
    <n v="957"/>
    <m/>
    <m/>
    <m/>
    <m/>
    <m/>
    <m/>
    <m/>
    <m/>
    <n v="97986"/>
    <m/>
    <m/>
    <n v="98943"/>
    <n v="97986"/>
    <n v="957.23"/>
    <m/>
    <m/>
    <m/>
    <m/>
    <m/>
    <m/>
    <m/>
    <m/>
    <m/>
    <m/>
    <m/>
    <n v="957.23"/>
    <n v="0.23000000000001819"/>
    <n v="0"/>
    <n v="0"/>
    <n v="0"/>
    <n v="0"/>
    <n v="0"/>
    <n v="0"/>
    <n v="0"/>
    <n v="0"/>
    <n v="-97986"/>
    <n v="0"/>
    <n v="0"/>
    <n v="-97985.77"/>
    <m/>
    <n v="957.23"/>
    <n v="0"/>
    <n v="97986"/>
    <n v="957"/>
    <n v="98943.23"/>
  </r>
  <r>
    <x v="0"/>
    <s v="SHI International Corp"/>
    <s v="SHI"/>
    <s v="Prj000548"/>
    <s v="Implement - Reporting for Internal Audit"/>
    <s v="Enterprise Architecture, Data Analytics &amp; AI"/>
    <x v="5"/>
    <d v="2025-08-01T00:00:00"/>
    <d v="2026-07-31T00:00:00"/>
    <s v=" Erwin Data Modeler License"/>
    <s v="Prj000548-Implement - Reporting for Internal Audit"/>
    <s v="Non-Labor"/>
    <x v="0"/>
    <s v="Software"/>
    <s v="Software"/>
    <s v="Information Technology"/>
    <s v="Software - Licenses"/>
    <s v="Software - Licenses"/>
    <s v="Annual Expensed"/>
    <n v="8804.2099999999991"/>
    <n v="48667.5"/>
    <n v="48667.5"/>
    <n v="48667.5"/>
    <n v="0"/>
    <n v="0"/>
    <n v="0"/>
    <s v="Erwin Data Modeler License"/>
    <m/>
    <m/>
    <m/>
    <m/>
    <m/>
    <m/>
    <m/>
    <m/>
    <m/>
    <n v="48667.5"/>
    <m/>
    <m/>
    <n v="48667.5"/>
    <n v="48667.5"/>
    <m/>
    <m/>
    <m/>
    <m/>
    <m/>
    <m/>
    <m/>
    <m/>
    <m/>
    <m/>
    <m/>
    <m/>
    <n v="0"/>
    <n v="0"/>
    <n v="0"/>
    <n v="0"/>
    <n v="0"/>
    <n v="0"/>
    <n v="0"/>
    <n v="0"/>
    <n v="0"/>
    <n v="0"/>
    <n v="-48667.5"/>
    <n v="0"/>
    <n v="0"/>
    <n v="-48667.5"/>
    <m/>
    <n v="0"/>
    <n v="0"/>
    <n v="48667.5"/>
    <n v="0"/>
    <n v="48667.5"/>
  </r>
  <r>
    <x v="0"/>
    <s v="SHI International Corp"/>
    <s v="SHI"/>
    <s v="Prj000458"/>
    <s v="Support - Data Analytics Office"/>
    <s v="Enterprise Architecture, Data Analytics &amp; AI"/>
    <x v="5"/>
    <d v="2025-08-27T00:00:00"/>
    <d v="2026-08-26T00:00:00"/>
    <s v="Rocket Softwre"/>
    <s v="Prj000458-Support - Data Analytics Office"/>
    <s v="Non-Labor"/>
    <x v="0"/>
    <s v="Software"/>
    <s v="Desktop"/>
    <s v="Information Technology"/>
    <s v="Software - Licenses"/>
    <s v="Software - Licenses"/>
    <s v="Annual Expensed"/>
    <n v="837.46"/>
    <n v="68250"/>
    <n v="68250"/>
    <n v="68250"/>
    <n v="0"/>
    <n v="0"/>
    <n v="0"/>
    <s v="Rocket Software - 7K/Yr"/>
    <m/>
    <m/>
    <m/>
    <m/>
    <m/>
    <m/>
    <m/>
    <n v="68250"/>
    <m/>
    <m/>
    <m/>
    <m/>
    <n v="68250"/>
    <n v="68250"/>
    <m/>
    <m/>
    <m/>
    <m/>
    <m/>
    <m/>
    <m/>
    <m/>
    <m/>
    <m/>
    <m/>
    <m/>
    <n v="0"/>
    <n v="0"/>
    <n v="0"/>
    <n v="0"/>
    <n v="0"/>
    <n v="0"/>
    <n v="0"/>
    <n v="0"/>
    <n v="-68250"/>
    <n v="0"/>
    <n v="0"/>
    <n v="0"/>
    <n v="0"/>
    <n v="-68250"/>
    <m/>
    <n v="0"/>
    <n v="0"/>
    <n v="68250"/>
    <n v="0"/>
    <n v="68250"/>
  </r>
  <r>
    <x v="0"/>
    <s v="Coforge DPA NA Inc."/>
    <s v="Coforge UI Path"/>
    <s v="Prj000403"/>
    <s v="Support - L2 CoE Management for Tech Horizontals"/>
    <s v="Tech Shared Services"/>
    <x v="5"/>
    <d v="2025-12-31T00:00:00"/>
    <d v="2026-12-30T00:00:00"/>
    <s v="UiPath"/>
    <s v="Prj000403-Support - L2 CoE Management for Tech Horizontals"/>
    <s v="Non-Labor"/>
    <x v="0"/>
    <s v="Software"/>
    <s v="License"/>
    <s v="Information Technology"/>
    <s v="Software - Licenses"/>
    <s v="Software - Licenses"/>
    <s v="Annual Expensed"/>
    <n v="96041.64"/>
    <n v="100844.1"/>
    <n v="100844.1"/>
    <n v="96041.64"/>
    <n v="-4802.4600000000064"/>
    <n v="0"/>
    <n v="-4802.4600000000064"/>
    <s v="UiPath Sftwr-UiPath Sftwr"/>
    <m/>
    <n v="100844.1"/>
    <m/>
    <m/>
    <m/>
    <m/>
    <m/>
    <m/>
    <m/>
    <m/>
    <m/>
    <m/>
    <n v="100844.1"/>
    <n v="0"/>
    <m/>
    <n v="96041.64"/>
    <m/>
    <m/>
    <m/>
    <m/>
    <m/>
    <m/>
    <m/>
    <m/>
    <m/>
    <m/>
    <n v="96041.64"/>
    <n v="0"/>
    <n v="-4802.4600000000064"/>
    <n v="0"/>
    <n v="0"/>
    <n v="0"/>
    <n v="0"/>
    <n v="0"/>
    <n v="0"/>
    <n v="0"/>
    <n v="0"/>
    <n v="0"/>
    <n v="0"/>
    <n v="-4802.4600000000064"/>
    <s v="Budget v/s Actuals"/>
    <n v="96041.64"/>
    <n v="0"/>
    <n v="0"/>
    <n v="100844.1"/>
    <n v="96041.64"/>
  </r>
  <r>
    <x v="0"/>
    <s v="Smarsh Inc."/>
    <s v="Smarsh"/>
    <s v="Prj000446"/>
    <s v="Implement - Minor Enhancements for Enterprise Apps"/>
    <s v="Cos, PMO &amp; Enterprise Technology"/>
    <x v="1"/>
    <d v="2025-12-26T00:00:00"/>
    <d v="2026-12-25T00:00:00"/>
    <s v="Subscription"/>
    <s v="Prj000446-Implement - Minor Enhancements for Enterprise Apps"/>
    <s v="Non-Labor"/>
    <x v="0"/>
    <s v="Software"/>
    <m/>
    <s v="Information Technology"/>
    <s v="Software - Licenses"/>
    <s v="Software - Licenses"/>
    <s v="Annual Expensed"/>
    <n v="71433.45"/>
    <n v="70432.698000000004"/>
    <n v="70432.698000000004"/>
    <n v="70310.907999999996"/>
    <n v="-121.79000000000815"/>
    <n v="0"/>
    <n v="-121.79000000000815"/>
    <m/>
    <n v="200"/>
    <n v="200"/>
    <n v="200"/>
    <n v="200"/>
    <n v="200"/>
    <n v="200"/>
    <n v="200"/>
    <n v="200"/>
    <n v="200"/>
    <n v="200"/>
    <n v="200"/>
    <n v="68232.698000000004"/>
    <n v="70432.698000000004"/>
    <n v="69432.698000000004"/>
    <n v="161.13999999999999"/>
    <n v="161.13999999999999"/>
    <n v="185.31"/>
    <n v="185.31"/>
    <n v="185.31"/>
    <m/>
    <m/>
    <m/>
    <m/>
    <m/>
    <m/>
    <m/>
    <n v="878.21"/>
    <n v="-38.860000000000014"/>
    <n v="-38.860000000000014"/>
    <n v="-14.689999999999998"/>
    <n v="-14.689999999999998"/>
    <n v="-14.689999999999998"/>
    <n v="-200"/>
    <n v="-200"/>
    <n v="-200"/>
    <n v="-200"/>
    <n v="-200"/>
    <n v="-200"/>
    <n v="-68232.698000000004"/>
    <n v="-69554.487999999998"/>
    <m/>
    <n v="878.21"/>
    <n v="0"/>
    <n v="69432.698000000004"/>
    <n v="1000"/>
    <n v="70310.90800000001"/>
  </r>
  <r>
    <x v="0"/>
    <s v="SuperTrader, Inc."/>
    <s v="LevPro"/>
    <s v="Prj000290"/>
    <s v="Support - Asset Management Applications"/>
    <s v="Asset Management Tech"/>
    <x v="3"/>
    <d v="2025-06-23T00:00:00"/>
    <d v="2026-06-23T00:00:00"/>
    <s v="Levpro"/>
    <s v="Prj000290-Support - Asset Management Applications"/>
    <s v="Non-Labor"/>
    <x v="0"/>
    <s v="Software"/>
    <s v="estimated"/>
    <s v="Information Technology"/>
    <s v="Software - Licenses"/>
    <s v="Software - Licenses"/>
    <s v="Annual Prepaid"/>
    <n v="75833"/>
    <n v="133245.90000000002"/>
    <n v="133245.90000000002"/>
    <n v="133246.31666666665"/>
    <n v="0"/>
    <n v="0.41666666662786156"/>
    <n v="0.41666666662786156"/>
    <s v="Software (Prepaid)"/>
    <n v="10832.650000000003"/>
    <n v="10832.650000000003"/>
    <n v="10832.650000000003"/>
    <n v="10832.650000000003"/>
    <n v="10832.650000000003"/>
    <n v="10832.650000000003"/>
    <n v="11375"/>
    <n v="11375"/>
    <n v="11375"/>
    <n v="11375"/>
    <n v="11375"/>
    <n v="11372"/>
    <n v="133242.90000000002"/>
    <n v="79079.649999999994"/>
    <n v="10833.333333333334"/>
    <n v="10833.333333333334"/>
    <n v="10833.333333333334"/>
    <n v="10833.333333333334"/>
    <n v="10833.333333333334"/>
    <n v="10833.333333333334"/>
    <m/>
    <m/>
    <m/>
    <m/>
    <m/>
    <m/>
    <n v="65000.000000000007"/>
    <n v="0.68333333333066548"/>
    <n v="0.68333333333066548"/>
    <n v="0.68333333333066548"/>
    <n v="0.68333333333066548"/>
    <n v="0.68333333333066548"/>
    <n v="0.68333333333066548"/>
    <n v="-11375"/>
    <n v="-11375"/>
    <n v="-11375"/>
    <n v="-11375"/>
    <n v="-11375"/>
    <n v="-11372"/>
    <n v="-68242.900000000023"/>
    <m/>
    <n v="54166.666666666672"/>
    <n v="0"/>
    <n v="79079.649999999994"/>
    <n v="54163.250000000015"/>
    <n v="133246.31666666665"/>
  </r>
  <r>
    <x v="0"/>
    <s v="DigiCert, Inc."/>
    <s v="Digicert"/>
    <s v="Prj000350"/>
    <s v="Support - Infrastructure for Tech"/>
    <s v="Infrastructure Services, Controls &amp; User Enablement"/>
    <x v="0"/>
    <d v="2025-03-03T00:00:00"/>
    <d v="2025-03-03T00:00:00"/>
    <m/>
    <s v="Prj000350-Support - Infrastructure for Tech"/>
    <s v="Non-Labor"/>
    <x v="0"/>
    <s v="Software"/>
    <m/>
    <s v="Information Technology"/>
    <s v="Software - Licenses"/>
    <s v="Software - Licenses"/>
    <s v="Annual Expensed"/>
    <n v="5000"/>
    <n v="5250"/>
    <n v="5250"/>
    <n v="5250"/>
    <n v="0"/>
    <n v="0"/>
    <n v="0"/>
    <m/>
    <m/>
    <m/>
    <n v="5250"/>
    <m/>
    <m/>
    <m/>
    <m/>
    <m/>
    <m/>
    <m/>
    <m/>
    <m/>
    <n v="5250"/>
    <n v="0"/>
    <m/>
    <m/>
    <m/>
    <m/>
    <m/>
    <m/>
    <m/>
    <m/>
    <m/>
    <m/>
    <m/>
    <m/>
    <n v="0"/>
    <n v="0"/>
    <n v="0"/>
    <n v="-5250"/>
    <n v="0"/>
    <n v="0"/>
    <n v="0"/>
    <n v="0"/>
    <n v="0"/>
    <n v="0"/>
    <n v="0"/>
    <n v="0"/>
    <n v="0"/>
    <n v="-5250"/>
    <m/>
    <n v="0"/>
    <n v="5250"/>
    <n v="5250"/>
    <n v="5250"/>
    <n v="5250"/>
  </r>
  <r>
    <x v="0"/>
    <s v="Datadog, Inc."/>
    <s v="DataDog"/>
    <s v="Prj000403"/>
    <s v="Support - L2 CoE Management for Tech Horizontals"/>
    <s v="Tech Shared Services"/>
    <x v="5"/>
    <s v="Monthly"/>
    <s v="Monthly"/>
    <m/>
    <s v="Prj000403-Support - L2 CoE Management for Tech Horizontals"/>
    <s v="Non-Labor"/>
    <x v="0"/>
    <s v="Software"/>
    <s v="Software"/>
    <s v="Information Technology"/>
    <s v="Software - Licenses"/>
    <s v="Software - Licenses"/>
    <s v="Monthly Expensed"/>
    <n v="23410"/>
    <n v="26288.755499999999"/>
    <n v="26288.755499999999"/>
    <n v="26312.240000000002"/>
    <n v="0"/>
    <n v="23.484500000002299"/>
    <n v="23.484500000002299"/>
    <s v="Sftwr- Potential Risk to look for"/>
    <n v="8984.74"/>
    <n v="2271.65"/>
    <n v="1000"/>
    <n v="1000"/>
    <n v="1000"/>
    <n v="1000"/>
    <n v="1000"/>
    <n v="2190.75"/>
    <n v="2190.75"/>
    <n v="2190.75"/>
    <n v="2190.75"/>
    <n v="1523.75"/>
    <n v="26543.14"/>
    <n v="12286.75"/>
    <n v="8984.74"/>
    <n v="2271.65"/>
    <n v="745.2"/>
    <n v="763.08999999999992"/>
    <n v="1260.81"/>
    <m/>
    <m/>
    <m/>
    <m/>
    <m/>
    <m/>
    <m/>
    <n v="14025.49"/>
    <n v="0"/>
    <n v="0"/>
    <n v="-254.79999999999995"/>
    <n v="-236.91000000000008"/>
    <n v="260.80999999999995"/>
    <n v="-1000"/>
    <n v="-1000"/>
    <n v="-2190.75"/>
    <n v="-2190.75"/>
    <n v="-2190.75"/>
    <n v="-2190.75"/>
    <n v="-1523.75"/>
    <n v="-12517.65"/>
    <s v="Budget v/s Actuals"/>
    <n v="14025.49"/>
    <n v="0"/>
    <n v="12286.75"/>
    <n v="14256.39"/>
    <n v="26312.239999999998"/>
  </r>
  <r>
    <x v="0"/>
    <s v="Datadog, Inc."/>
    <s v="DataDog"/>
    <s v="Prj000403"/>
    <s v="Support - L2 CoE Management for Tech Horizontals"/>
    <s v="Tech Shared Services"/>
    <x v="5"/>
    <d v="2025-07-31T00:00:00"/>
    <d v="2026-07-30T00:00:00"/>
    <m/>
    <s v="Prj000403-Support - L2 CoE Management for Tech Horizontals"/>
    <s v="Non-Labor"/>
    <x v="0"/>
    <s v="Software"/>
    <s v="Software"/>
    <s v="Information Technology"/>
    <s v="Software - Licenses"/>
    <s v="Software - Licenses"/>
    <s v="Annual Expensed"/>
    <n v="208572.58"/>
    <n v="91250.25"/>
    <n v="91250.25"/>
    <n v="91250"/>
    <n v="-0.25"/>
    <n v="0"/>
    <n v="-0.25"/>
    <s v="Sftwr- Mis-posting Prepaid"/>
    <m/>
    <m/>
    <m/>
    <m/>
    <m/>
    <m/>
    <m/>
    <n v="91250"/>
    <m/>
    <m/>
    <m/>
    <m/>
    <n v="91250"/>
    <n v="91250"/>
    <m/>
    <m/>
    <m/>
    <m/>
    <m/>
    <m/>
    <m/>
    <m/>
    <m/>
    <m/>
    <m/>
    <m/>
    <n v="0"/>
    <n v="0"/>
    <n v="0"/>
    <n v="0"/>
    <n v="0"/>
    <n v="0"/>
    <n v="0"/>
    <n v="0"/>
    <n v="-91250"/>
    <n v="0"/>
    <n v="0"/>
    <n v="0"/>
    <n v="0"/>
    <n v="-91250"/>
    <m/>
    <n v="0"/>
    <n v="0"/>
    <n v="91250"/>
    <n v="0"/>
    <n v="91250"/>
  </r>
  <r>
    <x v="0"/>
    <s v="ClickTime.com Inc."/>
    <s v="ClickTime"/>
    <s v="Prj000266"/>
    <s v="Support - Internal Tech Workforce Activities"/>
    <s v="Cos, PMO &amp; Enterprise Technology"/>
    <x v="1"/>
    <d v="2025-12-01T00:00:00"/>
    <d v="2026-11-30T00:00:00"/>
    <s v="ClickTime"/>
    <s v="Prj000266-Support - Internal Tech Workforce Activities"/>
    <s v="Non-Labor"/>
    <x v="0"/>
    <s v="Software"/>
    <s v="Software"/>
    <s v="Information Technology"/>
    <s v="Software - Licenses"/>
    <s v="Software - Licenses"/>
    <s v="Annual Expensed"/>
    <n v="37664"/>
    <n v="32760"/>
    <n v="32760"/>
    <n v="32760"/>
    <n v="0"/>
    <n v="0"/>
    <n v="0"/>
    <s v="Renewed/ paid in Dec2025, to be renewed in Dec2026-Renewed/ paid in Dec2025, to be renewed in Dec2026"/>
    <m/>
    <m/>
    <m/>
    <m/>
    <m/>
    <m/>
    <m/>
    <m/>
    <m/>
    <m/>
    <m/>
    <n v="32760"/>
    <n v="32760"/>
    <n v="3276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-32760"/>
    <n v="-32760"/>
    <s v="15% - Chicago Personal Property Lease Transaction Tax (PPLTT)"/>
    <n v="0"/>
    <n v="0"/>
    <n v="32760"/>
    <n v="0"/>
    <n v="32760"/>
  </r>
  <r>
    <x v="0"/>
    <s v="CDW DIRECT LLC"/>
    <s v="Think-Cell"/>
    <s v="Prj000266"/>
    <s v="Support - Internal Tech Workforce Activities"/>
    <s v="Cos, PMO &amp; Enterprise Technology"/>
    <x v="1"/>
    <d v="2025-04-16T00:00:00"/>
    <d v="2026-03-15T00:00:00"/>
    <s v="Think-cell parnership"/>
    <s v="Prj000266-Support - Internal Tech Workforce Activities"/>
    <s v="Non-Labor"/>
    <x v="0"/>
    <s v="Software"/>
    <m/>
    <s v="Information Technology"/>
    <s v="Software - Licenses"/>
    <s v="Software - Licenses"/>
    <s v="Annual Expensed"/>
    <n v="2393"/>
    <n v="2512"/>
    <n v="2512"/>
    <n v="8136.97"/>
    <n v="0"/>
    <n v="5624.97"/>
    <n v="5624.97"/>
    <s v="Think Cell"/>
    <m/>
    <m/>
    <m/>
    <n v="2512"/>
    <m/>
    <m/>
    <m/>
    <m/>
    <m/>
    <m/>
    <m/>
    <m/>
    <n v="2512"/>
    <n v="0"/>
    <m/>
    <m/>
    <m/>
    <n v="8136.97"/>
    <m/>
    <m/>
    <m/>
    <m/>
    <m/>
    <m/>
    <m/>
    <m/>
    <n v="8136.97"/>
    <n v="0"/>
    <n v="0"/>
    <n v="0"/>
    <n v="5624.97"/>
    <n v="0"/>
    <n v="0"/>
    <n v="0"/>
    <n v="0"/>
    <n v="0"/>
    <n v="0"/>
    <n v="0"/>
    <n v="0"/>
    <n v="5624.97"/>
    <s v="Thinkcell renewal higher than budgted"/>
    <n v="8136.97"/>
    <n v="0"/>
    <n v="0"/>
    <n v="2512"/>
    <n v="8136.97"/>
  </r>
  <r>
    <x v="0"/>
    <s v="Cloud Software Group (formally Tibco)"/>
    <s v="TIBCO Spotfire"/>
    <s v="Prj000458"/>
    <s v="Support - Data Analytics Office"/>
    <s v="Enterprise Architecture, Data Analytics &amp; AI"/>
    <x v="5"/>
    <d v="2025-08-31T00:00:00"/>
    <d v="2026-08-30T00:00:00"/>
    <s v="Spotfire"/>
    <s v="Prj000458-Support - Data Analytics Office"/>
    <s v="Non-Labor"/>
    <x v="0"/>
    <s v="Software"/>
    <s v="Production"/>
    <s v="Information Technology"/>
    <s v="Software - Licenses"/>
    <s v="Software - Licenses"/>
    <s v="Annual Prepaid"/>
    <n v="139684"/>
    <n v="139684"/>
    <n v="139684"/>
    <n v="139683.99999999997"/>
    <n v="-2.9103830456733704E-11"/>
    <n v="0"/>
    <n v="-2.9103830456733704E-11"/>
    <s v="Paid as prepaid in 2025, to be renewed in Aug/Sep 2026"/>
    <n v="11640.333333333334"/>
    <n v="11640.333333333334"/>
    <n v="11640.333333333334"/>
    <n v="11640.333333333334"/>
    <n v="11640.333333333334"/>
    <n v="11640.333333333334"/>
    <n v="11640.333333333334"/>
    <n v="11640.333333333334"/>
    <n v="11640.333333333334"/>
    <n v="11640.333333333334"/>
    <n v="11640.333333333334"/>
    <n v="11640.333333333334"/>
    <n v="139683.99999999997"/>
    <n v="81482.333333333328"/>
    <n v="11640.333333333334"/>
    <n v="11640.333333333334"/>
    <n v="11640.333333333334"/>
    <n v="11640.333333333334"/>
    <n v="11640.333333333334"/>
    <n v="11640.333333333334"/>
    <n v="11640.333333333334"/>
    <n v="11640.333333333334"/>
    <m/>
    <m/>
    <m/>
    <m/>
    <n v="93122.666666666657"/>
    <n v="0"/>
    <n v="0"/>
    <n v="0"/>
    <n v="0"/>
    <n v="0"/>
    <n v="0"/>
    <n v="0"/>
    <n v="0"/>
    <n v="-11640.333333333334"/>
    <n v="-11640.333333333334"/>
    <n v="-11640.333333333334"/>
    <n v="-11640.333333333334"/>
    <n v="-46561.333333333336"/>
    <m/>
    <n v="58201.666666666672"/>
    <n v="0"/>
    <n v="81482.333333333328"/>
    <n v="58201.666666666672"/>
    <n v="139684"/>
  </r>
  <r>
    <x v="0"/>
    <s v="CloudFlare"/>
    <s v="CloudFlare"/>
    <s v="Prj000446"/>
    <s v="Implement - Minor Enhancements for Enterprise Apps"/>
    <s v="Cos, PMO &amp; Enterprise Technology"/>
    <x v="1"/>
    <s v="Monthly"/>
    <s v="Monthly"/>
    <m/>
    <s v="Prj000446-Implement - Minor Enhancements for Enterprise Apps"/>
    <s v="Non-Labor"/>
    <x v="0"/>
    <s v="Software"/>
    <s v="Software"/>
    <s v="Information Technology"/>
    <s v="Software - Licenses"/>
    <s v="Software - Licenses"/>
    <s v="Annual Expensed"/>
    <n v="3000"/>
    <n v="3150"/>
    <n v="3150"/>
    <n v="3150"/>
    <n v="0"/>
    <n v="0"/>
    <n v="0"/>
    <s v="Potential Opp.- we moved to Equisolve to host our website"/>
    <m/>
    <m/>
    <m/>
    <m/>
    <m/>
    <m/>
    <m/>
    <m/>
    <m/>
    <m/>
    <m/>
    <n v="3150"/>
    <n v="3150"/>
    <n v="315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-3150"/>
    <n v="-3150"/>
    <m/>
    <n v="0"/>
    <n v="0"/>
    <n v="3150"/>
    <n v="0"/>
    <n v="3150"/>
  </r>
  <r>
    <x v="0"/>
    <s v="Litera"/>
    <s v="Litera"/>
    <s v="Prj000446"/>
    <s v="Implement - Minor Enhancements for Enterprise Apps"/>
    <s v="Cos, PMO &amp; Enterprise Technology"/>
    <x v="1"/>
    <d v="2025-10-19T00:00:00"/>
    <d v="2026-10-18T00:00:00"/>
    <s v="Litera Compare Desktop"/>
    <s v="Prj000446-Implement - Minor Enhancements for Enterprise Apps"/>
    <s v="Non-Labor"/>
    <x v="0"/>
    <s v="Software"/>
    <s v="Desktop"/>
    <s v="Information Technology"/>
    <s v="Software - Licenses"/>
    <s v="Software - Licenses"/>
    <s v="Annual Expensed"/>
    <n v="2471"/>
    <n v="2594.5500000000002"/>
    <n v="2594.5500000000002"/>
    <n v="2595"/>
    <n v="0"/>
    <n v="0.4499999999998181"/>
    <n v="0.4499999999998181"/>
    <s v="  "/>
    <m/>
    <m/>
    <m/>
    <m/>
    <m/>
    <m/>
    <m/>
    <m/>
    <n v="2595"/>
    <m/>
    <m/>
    <m/>
    <n v="2595"/>
    <n v="2595"/>
    <m/>
    <m/>
    <m/>
    <m/>
    <m/>
    <m/>
    <m/>
    <m/>
    <m/>
    <m/>
    <m/>
    <m/>
    <n v="0"/>
    <n v="0"/>
    <n v="0"/>
    <n v="0"/>
    <n v="0"/>
    <n v="0"/>
    <n v="0"/>
    <n v="0"/>
    <n v="0"/>
    <n v="-2595"/>
    <n v="0"/>
    <n v="0"/>
    <n v="0"/>
    <n v="-2595"/>
    <m/>
    <n v="0"/>
    <n v="0"/>
    <n v="2595"/>
    <n v="0"/>
    <n v="2595"/>
  </r>
  <r>
    <x v="0"/>
    <s v="Alation Inc."/>
    <s v="Alation"/>
    <s v="Prj000458"/>
    <s v="Support - Data Analytics Office"/>
    <s v="Enterprise Architecture, Data Analytics &amp; AI"/>
    <x v="5"/>
    <d v="2025-04-18T00:00:00"/>
    <d v="2026-04-17T00:00:00"/>
    <s v="Alation"/>
    <s v="Prj000458-Support - Data Analytics Office"/>
    <s v="Non-Labor"/>
    <x v="0"/>
    <s v="Software"/>
    <s v="Subscription"/>
    <s v="Information Technology"/>
    <s v="Software - Licenses"/>
    <s v="Software - Licenses"/>
    <s v="Annual Prepaid"/>
    <n v="182520"/>
    <n v="191646"/>
    <n v="191646"/>
    <n v="128265.00749999999"/>
    <n v="-63380.992500000008"/>
    <n v="0"/>
    <n v="-63380.992500000008"/>
    <s v="Contract is Apr-Mar Budegetd 26 - 191K v/s Actual 172K"/>
    <m/>
    <m/>
    <m/>
    <n v="14251.667500000001"/>
    <n v="14251.667500000001"/>
    <n v="14251.667500000001"/>
    <n v="14251.667500000001"/>
    <n v="14251.667500000001"/>
    <n v="14251.667500000001"/>
    <n v="14251.667500000001"/>
    <n v="14251.667500000001"/>
    <n v="14251.667500000001"/>
    <n v="128265.00749999999"/>
    <n v="99761.672500000001"/>
    <m/>
    <m/>
    <m/>
    <n v="14251.667500000001"/>
    <n v="14251.667500000001"/>
    <n v="14251.667500000001"/>
    <n v="14251.667500000001"/>
    <n v="14251.667500000001"/>
    <n v="14251.667500000001"/>
    <n v="14251.667500000001"/>
    <n v="14251.667500000001"/>
    <n v="14251.667500000001"/>
    <n v="128265.00749999999"/>
    <n v="0"/>
    <n v="0"/>
    <n v="0"/>
    <n v="0"/>
    <n v="0"/>
    <n v="0"/>
    <n v="0"/>
    <n v="0"/>
    <n v="0"/>
    <n v="0"/>
    <n v="0"/>
    <n v="0"/>
    <n v="0"/>
    <s v="$43K is prepaid for Jan-Mar 2027, actual saving is $19K budet vs actuals"/>
    <n v="28503.335000000003"/>
    <n v="0"/>
    <n v="99761.672500000001"/>
    <n v="28503.335000000003"/>
    <n v="128265.00750000001"/>
  </r>
  <r>
    <x v="0"/>
    <s v="BroadVantage"/>
    <s v="BoardVantage"/>
    <s v="Prj000446"/>
    <s v="Implement - Minor Enhancements for Enterprise Apps"/>
    <s v="Cos, PMO &amp; Enterprise Technology"/>
    <x v="1"/>
    <s v="NA"/>
    <s v="NA"/>
    <m/>
    <s v="Prj000446-Implement - Minor Enhancements for Enterprise Apps"/>
    <s v="Non-Labor"/>
    <x v="0"/>
    <s v="Software"/>
    <m/>
    <s v="Information Technology"/>
    <s v="Software - Licenses"/>
    <s v="Software - Licenses"/>
    <s v="Annual Expensed"/>
    <n v="48000"/>
    <n v="50400"/>
    <n v="50400"/>
    <n v="50400"/>
    <n v="0"/>
    <n v="0"/>
    <n v="0"/>
    <s v="Software for Board of Directors - Potential Opportunity - No activity in 2025 as well"/>
    <m/>
    <m/>
    <m/>
    <m/>
    <m/>
    <m/>
    <m/>
    <m/>
    <m/>
    <m/>
    <m/>
    <n v="50400"/>
    <n v="50400"/>
    <n v="5040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-50400"/>
    <n v="-50400"/>
    <m/>
    <n v="0"/>
    <n v="0"/>
    <n v="50400"/>
    <n v="0"/>
    <n v="50400"/>
  </r>
  <r>
    <x v="0"/>
    <s v="Broadridge Output  Solutions"/>
    <m/>
    <s v="Prj000290"/>
    <s v="Support - Asset Management Applications"/>
    <s v="Asset Management Tech"/>
    <x v="3"/>
    <s v="NA"/>
    <s v="NA"/>
    <m/>
    <s v="Prj000290-Support - Asset Management Applications"/>
    <s v="Non-Labor"/>
    <x v="0"/>
    <s v="Software"/>
    <m/>
    <s v="Information Technology"/>
    <s v="Managed Service - Core"/>
    <s v="Support Services"/>
    <s v="Monthly Expensed"/>
    <n v="138759"/>
    <n v="119571.06"/>
    <n v="119571.06"/>
    <n v="119571.06"/>
    <n v="0"/>
    <n v="0"/>
    <n v="0"/>
    <s v="Modelling fees"/>
    <n v="6188"/>
    <n v="3300"/>
    <m/>
    <m/>
    <m/>
    <m/>
    <m/>
    <m/>
    <m/>
    <m/>
    <m/>
    <n v="110083.06"/>
    <n v="119571.06"/>
    <n v="110083.06"/>
    <n v="6188"/>
    <n v="3300"/>
    <m/>
    <m/>
    <m/>
    <m/>
    <m/>
    <m/>
    <m/>
    <m/>
    <m/>
    <m/>
    <n v="9488"/>
    <n v="0"/>
    <n v="0"/>
    <n v="0"/>
    <n v="0"/>
    <n v="0"/>
    <n v="0"/>
    <n v="0"/>
    <n v="0"/>
    <n v="0"/>
    <n v="0"/>
    <n v="0"/>
    <n v="-110083.06"/>
    <n v="-110083.06"/>
    <s v="No cost noted in Mar &amp; Apr"/>
    <n v="9488"/>
    <n v="0"/>
    <n v="110083.06"/>
    <n v="9488"/>
    <n v="119571.06"/>
  </r>
  <r>
    <x v="0"/>
    <s v="BWise Internal Control Inc."/>
    <s v="SAI360"/>
    <s v="Prj000446"/>
    <s v="Implement - Minor Enhancements for Enterprise Apps"/>
    <s v="Cos, PMO &amp; Enterprise Technology"/>
    <x v="1"/>
    <d v="2026-01-01T00:00:00"/>
    <d v="2026-12-31T00:00:00"/>
    <m/>
    <s v="Prj000446-Implement - Minor Enhancements for Enterprise Apps"/>
    <s v="Non-Labor"/>
    <x v="2"/>
    <s v="Software"/>
    <s v="Support Services"/>
    <s v="Outsourced"/>
    <s v="Run the Business Contractors and Outsource Services"/>
    <s v="RTB Expenses - Contractor"/>
    <s v="Annual Expensed"/>
    <n v="29400"/>
    <n v="32400"/>
    <n v="32400"/>
    <n v="32009.25"/>
    <n v="-390.75"/>
    <n v="0"/>
    <n v="-390.75"/>
    <m/>
    <n v="32400"/>
    <n v="0"/>
    <n v="0"/>
    <n v="0"/>
    <n v="0"/>
    <n v="0"/>
    <n v="0"/>
    <n v="0"/>
    <n v="0"/>
    <n v="0"/>
    <n v="0"/>
    <n v="0"/>
    <n v="32400"/>
    <n v="0"/>
    <n v="32009.25"/>
    <n v="0"/>
    <n v="0"/>
    <n v="0"/>
    <n v="0"/>
    <n v="0"/>
    <n v="0"/>
    <n v="0"/>
    <n v="0"/>
    <n v="0"/>
    <n v="0"/>
    <n v="0"/>
    <n v="32009.25"/>
    <n v="-390.75"/>
    <n v="0"/>
    <n v="0"/>
    <n v="0"/>
    <n v="0"/>
    <n v="0"/>
    <n v="0"/>
    <n v="0"/>
    <n v="0"/>
    <n v="0"/>
    <n v="0"/>
    <n v="0"/>
    <n v="-390.75"/>
    <s v="Budget v/s Actuals"/>
    <n v="32009.25"/>
    <n v="0"/>
    <n v="0"/>
    <n v="32400"/>
    <n v="32009.25"/>
  </r>
  <r>
    <x v="0"/>
    <s v="CDW DIRECT LLC"/>
    <m/>
    <s v="Prj000350"/>
    <s v="Support - Infrastructure for Tech"/>
    <s v="Infrastructure Services, Controls &amp; User Enablement"/>
    <x v="0"/>
    <s v="TBC with Danny"/>
    <s v="TBC with Danny"/>
    <m/>
    <s v="Prj000350-Support - Infrastructure for Tech"/>
    <s v="Non-Labor"/>
    <x v="0"/>
    <s v="Software"/>
    <m/>
    <s v="Information Technology"/>
    <s v="Managed Service - Core"/>
    <s v="Support Services"/>
    <s v="Monthly Expensed"/>
    <n v="449917.66"/>
    <n v="1091630.8800000001"/>
    <n v="1091630.8800000001"/>
    <n v="1091630.6000000001"/>
    <n v="-0.28000000002793968"/>
    <n v="0"/>
    <n v="-0.28000000002793968"/>
    <s v="Comprised of 7 different invoices - SmartNet, Prisma and PA until Jul'25; New Price effective Aug'25 for 5 yr contract_x000a_5 years starting Aug is only Prisma and PA. No SmartNet."/>
    <m/>
    <m/>
    <m/>
    <m/>
    <m/>
    <m/>
    <m/>
    <n v="366127.60000000003"/>
    <m/>
    <m/>
    <m/>
    <n v="725503"/>
    <n v="1091630.6000000001"/>
    <n v="1091630.6000000001"/>
    <m/>
    <m/>
    <m/>
    <m/>
    <m/>
    <m/>
    <m/>
    <m/>
    <m/>
    <m/>
    <m/>
    <m/>
    <n v="0"/>
    <n v="0"/>
    <n v="0"/>
    <n v="0"/>
    <n v="0"/>
    <n v="0"/>
    <n v="0"/>
    <n v="0"/>
    <n v="-366127.60000000003"/>
    <n v="0"/>
    <n v="0"/>
    <n v="0"/>
    <n v="-725503"/>
    <n v="-1091630.6000000001"/>
    <m/>
    <n v="0"/>
    <n v="0"/>
    <n v="1091630.6000000001"/>
    <n v="0"/>
    <n v="1091630.6000000001"/>
  </r>
  <r>
    <x v="0"/>
    <s v="Indus Valley Partners Corporation"/>
    <s v="IVP"/>
    <s v="Prj000403"/>
    <s v="Support - L2 CoE Management for Tech Horizontals"/>
    <s v="Tech Shared Services"/>
    <x v="5"/>
    <d v="2024-05-01T00:00:00"/>
    <d v="2026-11-06T00:00:00"/>
    <s v="Polaris/EDM/SecMast Core l2"/>
    <s v="Prj000403-Support - L2 CoE Management for Tech Horizontals"/>
    <s v="Labor"/>
    <x v="2"/>
    <s v="RTB- MS"/>
    <s v="Managed Services"/>
    <s v="Information Technology"/>
    <s v="Managed Service - Core"/>
    <s v="Managed Service - Core"/>
    <s v="Monthly Expensed"/>
    <n v="222842"/>
    <n v="195584.34"/>
    <n v="195584.34"/>
    <n v="191940"/>
    <n v="-3644.3399999999965"/>
    <n v="0"/>
    <n v="-3644.3399999999965"/>
    <s v="IVP L2 Tech MS"/>
    <n v="15449"/>
    <n v="15449"/>
    <n v="15449"/>
    <n v="15449"/>
    <n v="16268"/>
    <n v="16268"/>
    <n v="16268"/>
    <n v="16268"/>
    <n v="16268"/>
    <n v="16268"/>
    <n v="16268"/>
    <n v="16268"/>
    <n v="191940"/>
    <n v="113876"/>
    <n v="15449"/>
    <n v="15449"/>
    <n v="15449"/>
    <n v="15449"/>
    <n v="16268"/>
    <m/>
    <m/>
    <m/>
    <m/>
    <m/>
    <m/>
    <m/>
    <n v="78064"/>
    <n v="0"/>
    <n v="0"/>
    <n v="0"/>
    <n v="0"/>
    <n v="0"/>
    <n v="-16268"/>
    <n v="-16268"/>
    <n v="-16268"/>
    <n v="-16268"/>
    <n v="-16268"/>
    <n v="-16268"/>
    <n v="-16268"/>
    <n v="-113876"/>
    <s v="Budget v/s Actuals, incremental recon hosting fees CPI -5.3% since May"/>
    <n v="78064"/>
    <n v="0"/>
    <n v="113876"/>
    <n v="78064"/>
    <n v="191940"/>
  </r>
  <r>
    <x v="0"/>
    <s v="Indus Valley Partners Corporation"/>
    <s v="IVP"/>
    <s v="Prj000403"/>
    <s v="Support - L2 CoE Management for Tech Horizontals"/>
    <s v="Tech Shared Services"/>
    <x v="5"/>
    <d v="2025-05-01T00:00:00"/>
    <d v="2026-11-06T00:00:00"/>
    <s v="Data MS"/>
    <s v="Prj000403-Support - L2 CoE Management for Tech Horizontals"/>
    <s v="Labor"/>
    <x v="2"/>
    <s v="RTB- MS"/>
    <s v="Managed Services"/>
    <s v="Information Technology"/>
    <s v="Managed Service - Core"/>
    <s v="Managed Service - Core"/>
    <s v="Monthly Expensed"/>
    <n v="57500"/>
    <n v="85455"/>
    <n v="85455"/>
    <n v="85455"/>
    <n v="0"/>
    <n v="0"/>
    <n v="0"/>
    <s v="Data Managed Srvc"/>
    <n v="6750"/>
    <n v="6750"/>
    <n v="6750"/>
    <n v="6750"/>
    <n v="6750"/>
    <n v="6750"/>
    <n v="6750"/>
    <n v="6750"/>
    <n v="6750"/>
    <n v="6750"/>
    <n v="6750"/>
    <n v="11205"/>
    <n v="85455"/>
    <n v="51705"/>
    <n v="6750"/>
    <n v="6750"/>
    <n v="6750"/>
    <n v="6750"/>
    <n v="6750"/>
    <m/>
    <m/>
    <m/>
    <m/>
    <m/>
    <m/>
    <m/>
    <n v="33750"/>
    <n v="0"/>
    <n v="0"/>
    <n v="0"/>
    <n v="0"/>
    <n v="0"/>
    <n v="-6750"/>
    <n v="-6750"/>
    <n v="-6750"/>
    <n v="-6750"/>
    <n v="-6750"/>
    <n v="-6750"/>
    <n v="-11205"/>
    <n v="-51705"/>
    <s v="Budget v/s Actuals"/>
    <n v="33750"/>
    <n v="0"/>
    <n v="51705"/>
    <n v="33750"/>
    <n v="85455"/>
  </r>
  <r>
    <x v="0"/>
    <s v="Equisolve, Inc."/>
    <m/>
    <s v="Prj000446"/>
    <s v="Implement - Minor Enhancements for Enterprise Apps"/>
    <s v="Cos, PMO &amp; Enterprise Technology"/>
    <x v="1"/>
    <m/>
    <m/>
    <m/>
    <s v="Prj000446-Implement - Minor Enhancements for Enterprise Apps"/>
    <s v="Non-Labor"/>
    <x v="0"/>
    <s v="Software"/>
    <m/>
    <s v="Information Technology"/>
    <s v="Managed Service - Core"/>
    <s v="Managed Service - Core"/>
    <s v="Monthly Expensed"/>
    <n v="46598.93"/>
    <n v="48934"/>
    <n v="48934"/>
    <n v="48932"/>
    <n v="-2"/>
    <n v="0"/>
    <n v="-2"/>
    <s v="Errouneously paid by BDC CC -32K, Incremental spend 20K-LoungeLizard budget transferred to Equisolve"/>
    <n v="4702"/>
    <n v="1000"/>
    <n v="1000"/>
    <n v="1195"/>
    <n v="1000"/>
    <n v="1000"/>
    <n v="1000"/>
    <n v="1000"/>
    <n v="1000"/>
    <n v="1000"/>
    <n v="1000"/>
    <n v="34037"/>
    <n v="48934"/>
    <n v="40037"/>
    <n v="4704"/>
    <n v="999"/>
    <n v="999"/>
    <n v="1194"/>
    <n v="999"/>
    <n v="999"/>
    <m/>
    <m/>
    <m/>
    <m/>
    <m/>
    <m/>
    <n v="9894"/>
    <n v="2"/>
    <n v="-1"/>
    <n v="-1"/>
    <n v="-1"/>
    <n v="-1"/>
    <n v="-1"/>
    <n v="-1000"/>
    <n v="-1000"/>
    <n v="-1000"/>
    <n v="-1000"/>
    <n v="-1000"/>
    <n v="-34037"/>
    <n v="-39040"/>
    <s v="Addditional work - Site Refresh in March $9.9K &amp; Form modification in April $195"/>
    <n v="8895"/>
    <n v="0"/>
    <n v="40037"/>
    <n v="8897"/>
    <n v="48932"/>
  </r>
  <r>
    <x v="0"/>
    <s v="MARKIT NORTH AMERICA, INC."/>
    <s v="S&amp;P Global"/>
    <s v="Prj000469"/>
    <s v="Support - Prod Support for Ops Apps"/>
    <s v="Operations Technology"/>
    <x v="2"/>
    <m/>
    <m/>
    <m/>
    <s v="Prj000469-Support - Prod Support for Ops Apps"/>
    <s v="Non-Labor"/>
    <x v="0"/>
    <s v="Software"/>
    <m/>
    <s v="Information Technology"/>
    <s v="Managed Service - Core"/>
    <s v="Managed Service - Core"/>
    <s v="Quarterly Prepaid"/>
    <n v="3268031.27"/>
    <n v="3500000"/>
    <n v="3500000"/>
    <n v="3385833.333333334"/>
    <n v="-114166.66666666605"/>
    <n v="0"/>
    <n v="-114166.66666666605"/>
    <s v="RISK AUM-Potential Dec. Opp WSO"/>
    <n v="261174.96666666667"/>
    <n v="261174.96666666667"/>
    <n v="261174.96666666667"/>
    <n v="253282.01"/>
    <n v="253282.01"/>
    <n v="253282.01"/>
    <n v="461647.86833333329"/>
    <n v="461647.86833333329"/>
    <n v="229791.66666666666"/>
    <n v="229791.66666666666"/>
    <n v="229791.66666666666"/>
    <n v="229791.66666666666"/>
    <n v="3385833.3333333326"/>
    <n v="2095744.4133333336"/>
    <n v="261174.96666666667"/>
    <n v="261174.96666666667"/>
    <n v="261174.96666666667"/>
    <n v="253282.01"/>
    <n v="253282.01"/>
    <n v="253282.01"/>
    <m/>
    <m/>
    <m/>
    <m/>
    <m/>
    <m/>
    <n v="1543370.93"/>
    <n v="0"/>
    <n v="0"/>
    <n v="0"/>
    <n v="0"/>
    <n v="0"/>
    <n v="0"/>
    <n v="-461647.86833333329"/>
    <n v="-461647.86833333329"/>
    <n v="-229791.66666666666"/>
    <n v="-229791.66666666666"/>
    <n v="-229791.66666666666"/>
    <n v="-229791.66666666666"/>
    <n v="-1842462.4033333336"/>
    <s v="WSO Web service + Orion CLO + Levpro implementation $10k in March"/>
    <n v="1290088.92"/>
    <n v="0"/>
    <n v="2095744.4133333336"/>
    <n v="1290088.92"/>
    <n v="3385833.3333333335"/>
  </r>
  <r>
    <x v="0"/>
    <s v="Microsoft Corporation"/>
    <m/>
    <s v="Prj000350"/>
    <s v="Support - Infrastructure for Tech"/>
    <s v="Infrastructure Services, Controls &amp; User Enablement"/>
    <x v="0"/>
    <d v="2026-06-01T00:00:00"/>
    <d v="2027-05-31T00:00:00"/>
    <m/>
    <s v="Prj000350-Support - Infrastructure for Tech"/>
    <s v="Non-Labor"/>
    <x v="0"/>
    <s v="Software"/>
    <s v="Managed Services"/>
    <s v="Information Technology"/>
    <s v="Managed Service - Core"/>
    <s v="Support Services"/>
    <s v="Annual Prepaid"/>
    <n v="588000"/>
    <n v="596913"/>
    <n v="596913"/>
    <n v="642692"/>
    <n v="0"/>
    <n v="45779"/>
    <n v="45779"/>
    <s v="MS Core, Co-pilot, Azure-Prepaid, renewed in June at $687K 1 year"/>
    <n v="48333.333333333336"/>
    <n v="48333.333333333336"/>
    <n v="48333.333333333336"/>
    <n v="48333.333333333336"/>
    <n v="48333.333333333336"/>
    <n v="57289.333333333336"/>
    <n v="57289.333333333336"/>
    <n v="57289.333333333336"/>
    <n v="57289.333333333336"/>
    <n v="57289.333333333336"/>
    <n v="57289.333333333336"/>
    <n v="57289.333333333336"/>
    <n v="642692"/>
    <n v="401025.33333333331"/>
    <n v="48333.333333333336"/>
    <n v="48333.333333333336"/>
    <n v="48333.333333333336"/>
    <n v="48333.333333333336"/>
    <n v="48333.333333333336"/>
    <n v="57289.346666666672"/>
    <n v="57289.346666666672"/>
    <n v="57289.346666666672"/>
    <n v="57289.346666666672"/>
    <n v="57289.346666666672"/>
    <n v="57289.346666666672"/>
    <n v="57289.346666666672"/>
    <n v="642692.09333333338"/>
    <n v="0"/>
    <n v="0"/>
    <n v="0"/>
    <n v="0"/>
    <n v="0"/>
    <n v="1.3333333336049691E-2"/>
    <n v="1.3333333336049691E-2"/>
    <n v="1.3333333336049691E-2"/>
    <n v="1.3333333336049691E-2"/>
    <n v="1.3333333336049691E-2"/>
    <n v="1.3333333336049691E-2"/>
    <n v="1.3333333336049691E-2"/>
    <n v="9.3333333352347836E-2"/>
    <s v="Renewal at $687K from June26-May-27, paid upfront"/>
    <n v="241666.66666666669"/>
    <n v="0"/>
    <n v="401025.33333333331"/>
    <n v="241666.66666666669"/>
    <n v="642692"/>
  </r>
  <r>
    <x v="0"/>
    <s v="Indus Valley Partners Corporation"/>
    <s v="IVP"/>
    <s v="T&amp;M"/>
    <s v="T&amp;M"/>
    <s v="Infra Svcs &amp; User Enblt Tech"/>
    <x v="5"/>
    <d v="2026-01-01T00:00:00"/>
    <d v="2026-06-30T00:00:00"/>
    <s v="Prj Mgmt T&amp;M"/>
    <s v="T&amp;M-T&amp;M"/>
    <s v="Labor"/>
    <x v="4"/>
    <s v="RTB- T&amp;M"/>
    <s v="T&amp;M"/>
    <s v="Outsourced"/>
    <s v="Run the Business Contractors and Outsource Services"/>
    <s v="RTB Expenses - Contractor"/>
    <s v="Monthly Expensed"/>
    <n v="433000"/>
    <n v="216000"/>
    <n v="216000"/>
    <n v="488400"/>
    <n v="0"/>
    <n v="272400"/>
    <n v="272400"/>
    <s v="T&amp;M IVP Mgmt (TOM)- Rahul &amp; Vaibhav + 2"/>
    <n v="88000"/>
    <n v="88000"/>
    <n v="88000"/>
    <n v="88000"/>
    <n v="88000"/>
    <n v="88000"/>
    <m/>
    <m/>
    <m/>
    <m/>
    <m/>
    <m/>
    <n v="528000"/>
    <n v="88000"/>
    <n v="73000"/>
    <n v="70200"/>
    <n v="87200"/>
    <n v="82000"/>
    <m/>
    <m/>
    <m/>
    <m/>
    <m/>
    <m/>
    <m/>
    <m/>
    <n v="312400"/>
    <n v="-15000"/>
    <n v="-17800"/>
    <n v="-800"/>
    <n v="-6000"/>
    <n v="-88000"/>
    <n v="-88000"/>
    <n v="0"/>
    <n v="0"/>
    <n v="0"/>
    <n v="0"/>
    <n v="0"/>
    <n v="0"/>
    <n v="-215600"/>
    <s v="Budgeted only for 2 headcount, actual contract was signed for 4 headcounts"/>
    <n v="312400"/>
    <n v="88000"/>
    <n v="176000"/>
    <n v="440000"/>
    <n v="488400"/>
  </r>
  <r>
    <x v="0"/>
    <s v="Indus Valley Partners Corporation"/>
    <s v="IVP"/>
    <s v="Prj000472"/>
    <s v="Implement - Build Pipes from CORE Systems to IVP"/>
    <s v="Enterprise Architecture, Data Analytics &amp; AI"/>
    <x v="5"/>
    <d v="2026-01-01T00:00:00"/>
    <d v="2026-06-30T00:00:00"/>
    <s v="Polaris/EDM/SecMast Core Implementation"/>
    <s v="Prj000472-Implement - Build Pipes from CORE Systems to IVP"/>
    <s v="Labor"/>
    <x v="5"/>
    <s v="RTB- FPC"/>
    <m/>
    <s v="Information Technology"/>
    <s v="Managed Service - Core"/>
    <s v="RTB Expenses - Contractor"/>
    <s v="Monthly Expensed"/>
    <n v="1612673"/>
    <n v="1344000"/>
    <n v="1344000"/>
    <n v="960000"/>
    <n v="-384000"/>
    <n v="0"/>
    <n v="-384000"/>
    <s v="FPC- IVP Implementation Post Contract - Capitalizable-160K per month from Jan to June 2026 - Capitalizable"/>
    <n v="160000"/>
    <n v="160000"/>
    <n v="160000"/>
    <n v="160000"/>
    <n v="160000"/>
    <n v="160000"/>
    <m/>
    <m/>
    <m/>
    <m/>
    <m/>
    <m/>
    <n v="960000"/>
    <n v="160000"/>
    <n v="160000"/>
    <n v="160000"/>
    <n v="160000"/>
    <n v="160000"/>
    <n v="160000"/>
    <m/>
    <m/>
    <m/>
    <m/>
    <m/>
    <m/>
    <m/>
    <n v="800000"/>
    <n v="0"/>
    <n v="0"/>
    <n v="0"/>
    <n v="0"/>
    <n v="0"/>
    <n v="-160000"/>
    <n v="0"/>
    <n v="0"/>
    <n v="0"/>
    <n v="0"/>
    <n v="0"/>
    <n v="0"/>
    <n v="-160000"/>
    <s v="Budget v/s Actuals"/>
    <n v="800000"/>
    <n v="0"/>
    <n v="160000"/>
    <n v="800000"/>
    <n v="960000"/>
  </r>
  <r>
    <x v="0"/>
    <s v="VPMA Global Services LLC"/>
    <s v="Control M"/>
    <s v="Prj000350"/>
    <s v="Support - Infrastructure for Tech"/>
    <s v="Infrastructure Services, Controls &amp; User Enablement"/>
    <x v="0"/>
    <s v="NA"/>
    <s v="NA"/>
    <m/>
    <s v="Prj000350-Support - Infrastructure for Tech"/>
    <s v="Non-Labor"/>
    <x v="0"/>
    <s v="Software"/>
    <s v="FPC"/>
    <s v="Information Technology"/>
    <s v="Software - Core"/>
    <s v="Software - Core"/>
    <s v="Annual Expensed"/>
    <n v="21255"/>
    <n v="22318"/>
    <n v="22318"/>
    <n v="22318"/>
    <n v="0"/>
    <n v="0"/>
    <n v="0"/>
    <m/>
    <m/>
    <m/>
    <m/>
    <n v="22318"/>
    <m/>
    <m/>
    <m/>
    <m/>
    <m/>
    <m/>
    <m/>
    <m/>
    <n v="22318"/>
    <n v="0"/>
    <m/>
    <m/>
    <m/>
    <m/>
    <m/>
    <m/>
    <m/>
    <m/>
    <m/>
    <m/>
    <m/>
    <m/>
    <n v="0"/>
    <n v="0"/>
    <n v="0"/>
    <n v="0"/>
    <n v="-22318"/>
    <n v="0"/>
    <n v="0"/>
    <n v="0"/>
    <n v="0"/>
    <n v="0"/>
    <n v="0"/>
    <n v="0"/>
    <n v="0"/>
    <n v="-22318"/>
    <m/>
    <n v="0"/>
    <n v="22318"/>
    <n v="22318"/>
    <n v="22318"/>
    <n v="22318"/>
  </r>
  <r>
    <x v="0"/>
    <s v="Intelligent Business Platforms LLC"/>
    <s v="Intellibus"/>
    <s v="T&amp;M"/>
    <s v="T&amp;M"/>
    <s v="Infra Svcs &amp; User Enblt Tech"/>
    <x v="5"/>
    <d v="2026-01-01T00:00:00"/>
    <d v="2026-06-30T00:00:00"/>
    <s v="T&amp;M"/>
    <s v="T&amp;M-T&amp;M"/>
    <s v="Labor"/>
    <x v="4"/>
    <s v="CTB- T&amp;M"/>
    <s v="T&amp;M"/>
    <s v="Consulting"/>
    <s v="Consulting Change the Business"/>
    <s v="CTB Expenses - Consulting"/>
    <s v="Monthly Expensed"/>
    <n v="1877896"/>
    <n v="932960"/>
    <n v="940800"/>
    <n v="875668"/>
    <n v="-65132"/>
    <n v="0"/>
    <n v="-65132"/>
    <s v="T&amp;M - Intellibus"/>
    <n v="156800"/>
    <n v="156800"/>
    <n v="156800"/>
    <n v="156800"/>
    <n v="156800"/>
    <n v="156800"/>
    <m/>
    <m/>
    <m/>
    <m/>
    <m/>
    <m/>
    <n v="940800"/>
    <n v="156800"/>
    <n v="153008"/>
    <n v="138848"/>
    <n v="154496"/>
    <n v="163758"/>
    <n v="108758"/>
    <m/>
    <m/>
    <m/>
    <m/>
    <m/>
    <m/>
    <m/>
    <n v="718868"/>
    <n v="-3792"/>
    <n v="-17952"/>
    <n v="-2304"/>
    <n v="6958"/>
    <n v="-48042"/>
    <n v="-156800"/>
    <n v="0"/>
    <n v="0"/>
    <n v="0"/>
    <n v="0"/>
    <n v="0"/>
    <n v="0"/>
    <n v="-221932"/>
    <s v="Budget v/s Actuals, allocations are based on capacity planning forecast"/>
    <n v="718868"/>
    <n v="0"/>
    <n v="156800"/>
    <n v="784000"/>
    <n v="875668"/>
  </r>
  <r>
    <x v="0"/>
    <s v="Seismic Software Inc."/>
    <m/>
    <s v="Prj000446"/>
    <s v="Implement - Minor Enhancements for Enterprise Apps"/>
    <s v="Cos, PMO &amp; Enterprise Technology"/>
    <x v="1"/>
    <d v="2025-09-01T00:00:00"/>
    <d v="2026-08-31T00:00:00"/>
    <m/>
    <s v="Prj000446-Implement - Minor Enhancements for Enterprise Apps"/>
    <s v="Non-Labor"/>
    <x v="0"/>
    <s v="Software"/>
    <s v="FPC"/>
    <s v="Information Technology"/>
    <s v="Software - Licenses"/>
    <s v="CTB Expenses - Consulting"/>
    <s v="Annual Prepaid"/>
    <n v="56980"/>
    <n v="139031.20000000001"/>
    <n v="139031.20000000001"/>
    <n v="139031.66666666669"/>
    <n v="0"/>
    <n v="0.46666666667442769"/>
    <n v="0.46666666667442769"/>
    <s v="FPC TBD Dependent on Investor Reporting Integration into Seismic - Prepaid"/>
    <n v="11396"/>
    <n v="11396"/>
    <n v="11396"/>
    <n v="11396"/>
    <n v="11396"/>
    <n v="11396"/>
    <n v="11396"/>
    <n v="11585.933333333334"/>
    <n v="11585.933333333334"/>
    <n v="11585.933333333334"/>
    <n v="11585.933333333334"/>
    <n v="12915.933333333334"/>
    <n v="139031.66666666669"/>
    <n v="82051.666666666672"/>
    <n v="11396"/>
    <n v="11396"/>
    <n v="11396"/>
    <n v="11396"/>
    <n v="11396"/>
    <n v="11396"/>
    <n v="11396"/>
    <m/>
    <m/>
    <m/>
    <m/>
    <m/>
    <n v="79772"/>
    <n v="0"/>
    <n v="0"/>
    <n v="0"/>
    <n v="0"/>
    <n v="0"/>
    <n v="0"/>
    <n v="0"/>
    <n v="-11585.933333333334"/>
    <n v="-11585.933333333334"/>
    <n v="-11585.933333333334"/>
    <n v="-11585.933333333334"/>
    <n v="-12915.933333333334"/>
    <n v="-59259.666666666672"/>
    <s v="Budget v/s Actuals"/>
    <n v="56980"/>
    <n v="0"/>
    <n v="82051.666666666672"/>
    <n v="56980"/>
    <n v="139031.66666666669"/>
  </r>
  <r>
    <x v="3"/>
    <s v="Software Capitalization"/>
    <m/>
    <s v="N/A"/>
    <s v="N/A"/>
    <s v="N/A"/>
    <x v="6"/>
    <m/>
    <m/>
    <m/>
    <s v="N/A-N/A"/>
    <s v="Capitalization"/>
    <x v="6"/>
    <s v="CTB- FPC"/>
    <s v="Software Cap"/>
    <s v="Consulting"/>
    <s v="Consulting Change the Business"/>
    <s v="CTB Expenses - Consulting"/>
    <s v="Capitalization"/>
    <n v="-3700000"/>
    <n v="-4000000"/>
    <n v="-4000000"/>
    <n v="-4000000.0000000005"/>
    <n v="-4.6566128730773926E-10"/>
    <n v="0"/>
    <n v="-4.6566128730773926E-10"/>
    <s v="Management cap on Capitalized Software"/>
    <n v="-333333.33333333331"/>
    <n v="-333333.33333333331"/>
    <n v="-333333.33333333331"/>
    <n v="-333333.33333333331"/>
    <n v="-333333.33333333331"/>
    <n v="-333333.33333333331"/>
    <n v="-333333.33333333331"/>
    <n v="-333333.33333333331"/>
    <n v="-333333.33333333331"/>
    <n v="-333333.33333333331"/>
    <n v="-333333.33333333331"/>
    <n v="-333333.33333333331"/>
    <n v="-4000000.0000000005"/>
    <n v="-2333333.333333333"/>
    <n v="-333333.33333333331"/>
    <n v="-333333.33333333331"/>
    <n v="-333333.33333333331"/>
    <n v="-333333.33333333331"/>
    <n v="-333333.33333333331"/>
    <n v="-333333.33333333331"/>
    <n v="-333333.33333333331"/>
    <n v="-333333.33333333331"/>
    <n v="-333333.33333333331"/>
    <n v="-333333.33333333331"/>
    <n v="-333333.33333333331"/>
    <n v="-333333.33333333331"/>
    <n v="-4000000.0000000005"/>
    <n v="0"/>
    <n v="0"/>
    <n v="0"/>
    <n v="0"/>
    <n v="0"/>
    <n v="0"/>
    <n v="0"/>
    <n v="0"/>
    <n v="0"/>
    <n v="0"/>
    <n v="0"/>
    <n v="0"/>
    <n v="0"/>
    <s v="Capitalisation target"/>
    <n v="-1666666.6666666665"/>
    <n v="0"/>
    <n v="-2333333.333333333"/>
    <n v="-1666666.6666666665"/>
    <n v="-3999999.9999999995"/>
  </r>
  <r>
    <x v="4"/>
    <s v="Amortization/Multiple"/>
    <m/>
    <s v="Amortization"/>
    <s v="N/A"/>
    <s v="N/A"/>
    <x v="6"/>
    <s v="N/A"/>
    <s v="N/A"/>
    <s v="N/A"/>
    <s v="Amortization-N/A"/>
    <s v="Amortization"/>
    <x v="1"/>
    <s v="OOE"/>
    <s v="Amortization"/>
    <s v="Information Technology"/>
    <s v="Hosting Agreement Amortization"/>
    <s v="Amortization - Capitalized costs for hosting arrangements"/>
    <s v="Amortization"/>
    <n v="534786"/>
    <m/>
    <n v="1244018"/>
    <n v="1441946.6100000003"/>
    <n v="0"/>
    <n v="197928.61000000034"/>
    <n v="197928.61000000034"/>
    <s v="Amortisation expense relating to pre-2025 capitalised costs was missed from budget. We recommend offsetting this gap against a placeholder."/>
    <n v="120162.21750000003"/>
    <n v="120162.21750000003"/>
    <n v="120162.21750000003"/>
    <n v="120162.21750000003"/>
    <n v="120162.21750000003"/>
    <n v="120162.21750000003"/>
    <n v="120162.21750000003"/>
    <n v="120162.21750000003"/>
    <n v="120162.21750000003"/>
    <n v="120162.21750000003"/>
    <n v="120162.21750000003"/>
    <n v="120162.21750000003"/>
    <n v="1441946.6100000003"/>
    <n v="841135.5225000002"/>
    <n v="120162.21750000003"/>
    <n v="120162.21750000003"/>
    <n v="120162.21750000003"/>
    <n v="120162.21750000003"/>
    <n v="120162.21750000003"/>
    <n v="120162.21750000003"/>
    <n v="120162.21750000003"/>
    <n v="120162.21750000003"/>
    <n v="120162.21750000003"/>
    <n v="120162.21750000003"/>
    <n v="120162.21750000003"/>
    <n v="120162.21750000003"/>
    <n v="1441946.6100000003"/>
    <n v="0"/>
    <n v="0"/>
    <n v="0"/>
    <n v="0"/>
    <n v="0"/>
    <n v="0"/>
    <n v="0"/>
    <n v="0"/>
    <n v="0"/>
    <n v="0"/>
    <n v="0"/>
    <n v="0"/>
    <n v="0"/>
    <s v="All the amortization lines have been merged to one, source is capitalization schedule shared by Darlene. This risk could be setoff againt PH and any other opp on YTD"/>
    <n v="600811.08750000014"/>
    <n v="0"/>
    <n v="841135.5225000002"/>
    <n v="600811.08750000014"/>
    <n v="1441946.6100000003"/>
  </r>
  <r>
    <x v="0"/>
    <s v="PactFi Inc."/>
    <m/>
    <s v="Prj000381"/>
    <s v="Support - Prod Support for Credit Apps"/>
    <s v="Credit Technology"/>
    <x v="2"/>
    <d v="2026-01-26T00:00:00"/>
    <d v="2027-01-25T00:00:00"/>
    <s v="PactFi Annual Platform Fee"/>
    <s v="Prj000381-Support - Prod Support for Credit Apps"/>
    <s v="Non-Labor"/>
    <x v="0"/>
    <s v="Software"/>
    <m/>
    <s v="Information Technology"/>
    <s v="Software - Licenses"/>
    <s v="CTB Expenses - Consulting"/>
    <s v="Annual Prepaid"/>
    <n v="391950"/>
    <n v="411547.5"/>
    <n v="411547.5"/>
    <n v="544374.99999999988"/>
    <n v="0"/>
    <n v="132827.49999999988"/>
    <n v="132827.49999999988"/>
    <s v="Year 1 of 3: 1/26/26 to 1/25/27 - Capitalizable"/>
    <n v="45364.583333333336"/>
    <n v="45364.583333333336"/>
    <n v="45364.583333333336"/>
    <n v="45364.583333333336"/>
    <n v="45364.583333333336"/>
    <n v="45364.583333333336"/>
    <n v="45364.583333333336"/>
    <n v="45364.583333333336"/>
    <n v="45364.583333333336"/>
    <n v="45364.583333333336"/>
    <n v="45364.583333333336"/>
    <n v="45364.583333333336"/>
    <n v="544374.99999999988"/>
    <n v="317552.08333333331"/>
    <n v="45364.583333333336"/>
    <n v="45364.583333333336"/>
    <n v="45364.583333333336"/>
    <n v="45364.583333333336"/>
    <n v="45364.583333333336"/>
    <n v="45364.583333333336"/>
    <n v="45364.583333333336"/>
    <n v="45364.583333333336"/>
    <n v="45364.583333333336"/>
    <n v="45364.583333333336"/>
    <n v="45364.583333333336"/>
    <n v="45364.583333333336"/>
    <n v="544374.99999999988"/>
    <n v="0"/>
    <n v="0"/>
    <n v="0"/>
    <n v="0"/>
    <n v="0"/>
    <n v="0"/>
    <n v="0"/>
    <n v="0"/>
    <n v="0"/>
    <n v="0"/>
    <n v="0"/>
    <n v="0"/>
    <n v="0"/>
    <s v="Budget v/s Actuals"/>
    <n v="226822.91666666669"/>
    <n v="0"/>
    <n v="317552.08333333331"/>
    <n v="226822.91666666669"/>
    <n v="544375"/>
  </r>
  <r>
    <x v="0"/>
    <s v="AT&amp;T Corp"/>
    <s v="ACC Business"/>
    <s v="Prj000350"/>
    <s v="Support - Infrastructure for Tech"/>
    <s v="Infrastructure Services, Controls &amp; User Enablement"/>
    <x v="0"/>
    <s v="Monthly"/>
    <s v="Monthly"/>
    <m/>
    <s v="Prj000350-Support - Infrastructure for Tech"/>
    <s v="Non-Labor"/>
    <x v="3"/>
    <s v="Infrastructure"/>
    <s v="Network"/>
    <s v="Information Technology"/>
    <s v="Managed Service - Network"/>
    <s v="Managed Service - Network"/>
    <s v="Monthly Expensed"/>
    <n v="34621"/>
    <n v="36345"/>
    <n v="36345"/>
    <n v="37142.130000000005"/>
    <n v="0"/>
    <n v="797.13000000000466"/>
    <n v="797.13000000000466"/>
    <s v="We are trying to get the invoices from vendor, incorporate new contract"/>
    <n v="3028.75"/>
    <n v="3028.75"/>
    <n v="3028.75"/>
    <n v="3028.75"/>
    <n v="3028.75"/>
    <n v="3028.75"/>
    <n v="3028.75"/>
    <n v="3028.75"/>
    <n v="3028.75"/>
    <n v="3028.75"/>
    <n v="3028.75"/>
    <n v="3028.75"/>
    <n v="36345"/>
    <n v="21201.25"/>
    <n v="3283.4"/>
    <n v="2291.8200000000002"/>
    <n v="4308.16"/>
    <m/>
    <m/>
    <m/>
    <m/>
    <m/>
    <m/>
    <m/>
    <m/>
    <m/>
    <n v="9883.380000000001"/>
    <n v="254.65000000000009"/>
    <n v="-736.92999999999984"/>
    <n v="1279.4099999999999"/>
    <n v="-3028.75"/>
    <n v="-3028.75"/>
    <n v="-3028.75"/>
    <n v="-3028.75"/>
    <n v="-3028.75"/>
    <n v="-3028.75"/>
    <n v="-3028.75"/>
    <n v="-3028.75"/>
    <n v="-3028.75"/>
    <n v="-26461.62"/>
    <s v="Budget v/s actuals"/>
    <n v="9883.380000000001"/>
    <n v="6057.5000000000036"/>
    <n v="27258.750000000004"/>
    <n v="15143.75"/>
    <n v="37142.130000000005"/>
  </r>
  <r>
    <x v="0"/>
    <s v="Beanfield Technologies, Inc."/>
    <m/>
    <s v="Prj000350"/>
    <s v="Support - Infrastructure for Tech"/>
    <s v="Infrastructure Services, Controls &amp; User Enablement"/>
    <x v="0"/>
    <s v="Monthly"/>
    <s v="Monthly"/>
    <m/>
    <s v="Prj000350-Support - Infrastructure for Tech"/>
    <s v="Non-Labor"/>
    <x v="3"/>
    <s v="Infrastructure"/>
    <m/>
    <s v="Information Technology"/>
    <s v="Managed Service - Network"/>
    <s v="Managed Service - Network"/>
    <s v="Monthly Expensed"/>
    <n v="4028"/>
    <n v="4230"/>
    <n v="4230"/>
    <n v="4326.88"/>
    <n v="0"/>
    <n v="96.880000000000109"/>
    <n v="96.880000000000109"/>
    <m/>
    <n v="353"/>
    <n v="353"/>
    <n v="353"/>
    <n v="353"/>
    <n v="353"/>
    <n v="353"/>
    <n v="353"/>
    <n v="353"/>
    <n v="353"/>
    <n v="353"/>
    <n v="353"/>
    <n v="347"/>
    <n v="4230"/>
    <n v="2465"/>
    <n v="370.83"/>
    <n v="375.95"/>
    <n v="371.55"/>
    <n v="371.55"/>
    <n v="372"/>
    <n v="372"/>
    <m/>
    <m/>
    <m/>
    <m/>
    <m/>
    <m/>
    <n v="2233.88"/>
    <n v="17.829999999999984"/>
    <n v="22.949999999999989"/>
    <n v="18.550000000000011"/>
    <n v="18.550000000000011"/>
    <n v="19"/>
    <n v="19"/>
    <n v="-353"/>
    <n v="-353"/>
    <n v="-353"/>
    <n v="-353"/>
    <n v="-353"/>
    <n v="-347"/>
    <n v="-1996.12"/>
    <m/>
    <n v="1861.8799999999999"/>
    <n v="0"/>
    <n v="2465"/>
    <n v="1765"/>
    <n v="4326.88"/>
  </r>
  <r>
    <x v="0"/>
    <s v="Cogent Canada, Inc."/>
    <m/>
    <s v="Prj000350"/>
    <s v="Support - Infrastructure for Tech"/>
    <s v="Infrastructure Services, Controls &amp; User Enablement"/>
    <x v="0"/>
    <s v="Monthly"/>
    <s v="Monthly"/>
    <m/>
    <s v="Prj000350-Support - Infrastructure for Tech"/>
    <s v="Non-Labor"/>
    <x v="3"/>
    <s v="Infrastructure"/>
    <s v="MS Network"/>
    <s v="Information Technology"/>
    <s v="Managed Service - Network"/>
    <s v="Managed Service - Network"/>
    <s v="Monthly Expensed"/>
    <n v="7239"/>
    <n v="7043"/>
    <n v="7043"/>
    <n v="7241.6659"/>
    <n v="0"/>
    <n v="198.66589999999997"/>
    <n v="198.66589999999997"/>
    <s v="In CAD"/>
    <n v="587"/>
    <n v="587"/>
    <n v="587"/>
    <n v="587"/>
    <n v="587"/>
    <n v="587"/>
    <n v="587"/>
    <n v="587"/>
    <n v="587"/>
    <n v="587"/>
    <n v="587"/>
    <n v="586"/>
    <n v="7043"/>
    <n v="4108"/>
    <n v="620.09"/>
    <n v="628.66"/>
    <n v="627.61749999999995"/>
    <n v="628.64919999999995"/>
    <n v="628.64919999999995"/>
    <n v="629"/>
    <m/>
    <m/>
    <m/>
    <m/>
    <m/>
    <m/>
    <n v="3762.6658999999995"/>
    <n v="33.090000000000032"/>
    <n v="41.659999999999968"/>
    <n v="40.61749999999995"/>
    <n v="41.649199999999951"/>
    <n v="41.649199999999951"/>
    <n v="42"/>
    <n v="-587"/>
    <n v="-587"/>
    <n v="-587"/>
    <n v="-587"/>
    <n v="-587"/>
    <n v="-586"/>
    <n v="-3280.3341"/>
    <s v="Budget v/s Actuals"/>
    <n v="3133.6658999999995"/>
    <n v="0"/>
    <n v="4108"/>
    <n v="2935"/>
    <n v="7241.6659"/>
  </r>
  <r>
    <x v="2"/>
    <s v="Amazon Capital Services, Inc."/>
    <m/>
    <s v="Prj000266"/>
    <s v="Support - Internal Tech Workforce Activities"/>
    <s v="Cos, PMO &amp; Enterprise Technology"/>
    <x v="1"/>
    <s v="NA"/>
    <s v="NA"/>
    <m/>
    <s v="Prj000266-Support - Internal Tech Workforce Activities"/>
    <s v="Non-Labor"/>
    <x v="3"/>
    <s v="Infrastructure"/>
    <m/>
    <s v="Office expense"/>
    <s v="General Office Expense"/>
    <s v="Office Exp / Supplies / Misc Software"/>
    <s v="Annual Expensed"/>
    <n v="278"/>
    <n v="292"/>
    <n v="292"/>
    <n v="292"/>
    <n v="0"/>
    <n v="0"/>
    <n v="0"/>
    <s v="  "/>
    <m/>
    <m/>
    <m/>
    <m/>
    <m/>
    <m/>
    <n v="292"/>
    <m/>
    <m/>
    <m/>
    <m/>
    <m/>
    <n v="292"/>
    <n v="292"/>
    <m/>
    <m/>
    <m/>
    <m/>
    <m/>
    <m/>
    <m/>
    <m/>
    <m/>
    <m/>
    <m/>
    <m/>
    <n v="0"/>
    <n v="0"/>
    <n v="0"/>
    <n v="0"/>
    <n v="0"/>
    <n v="0"/>
    <n v="0"/>
    <n v="-292"/>
    <n v="0"/>
    <n v="0"/>
    <n v="0"/>
    <n v="0"/>
    <n v="0"/>
    <n v="-292"/>
    <m/>
    <n v="0"/>
    <n v="0"/>
    <n v="292"/>
    <n v="0"/>
    <n v="292"/>
  </r>
  <r>
    <x v="1"/>
    <s v="General Office Expense - Refer to Concur"/>
    <m/>
    <s v="Prj000266"/>
    <s v="Support - Internal Tech Workforce Activities"/>
    <s v="Cos, PMO &amp; Enterprise Technology"/>
    <x v="1"/>
    <s v="NA"/>
    <s v="NA"/>
    <m/>
    <s v="Prj000266-Support - Internal Tech Workforce Activities"/>
    <s v="Non-Labor"/>
    <x v="3"/>
    <s v="Infrastructure"/>
    <m/>
    <s v="Office expense"/>
    <s v="General Office Expense"/>
    <s v="Office Exp / Supplies / Misc Software/ Printing/ Photocopying/ Stationery"/>
    <s v="Refer to Concur"/>
    <n v="10643"/>
    <n v="2900"/>
    <n v="2900"/>
    <n v="2899.75"/>
    <n v="-0.25"/>
    <n v="0"/>
    <n v="-0.25"/>
    <s v="AI Budget reclass pending"/>
    <m/>
    <n v="17"/>
    <m/>
    <n v="506"/>
    <n v="1390.01"/>
    <m/>
    <m/>
    <m/>
    <m/>
    <m/>
    <m/>
    <n v="987"/>
    <n v="2900.01"/>
    <n v="987"/>
    <m/>
    <n v="16.739999999999998"/>
    <m/>
    <n v="506"/>
    <n v="1390.01"/>
    <m/>
    <m/>
    <m/>
    <m/>
    <m/>
    <m/>
    <m/>
    <n v="1912.75"/>
    <n v="0"/>
    <n v="-0.26000000000000156"/>
    <n v="0"/>
    <n v="0"/>
    <n v="0"/>
    <n v="0"/>
    <n v="0"/>
    <n v="0"/>
    <n v="0"/>
    <n v="0"/>
    <n v="0"/>
    <n v="-987"/>
    <n v="-987.26"/>
    <s v="Claude purchased by Danny for AI Initiative $6495"/>
    <n v="1912.75"/>
    <n v="0"/>
    <n v="987"/>
    <n v="1913.01"/>
    <n v="2899.75"/>
  </r>
  <r>
    <x v="0"/>
    <s v="ICE Benchmark Administration Ltd"/>
    <m/>
    <s v="Prj000469"/>
    <s v="Support - Prod Support for Ops Apps"/>
    <s v="Operations Technology"/>
    <x v="2"/>
    <d v="2026-01-01T00:00:00"/>
    <d v="2026-12-31T00:00:00"/>
    <s v="Libor Historical (may be Tax Invoice)"/>
    <s v="Prj000469-Support - Prod Support for Ops Apps"/>
    <s v="Non-Labor"/>
    <x v="1"/>
    <s v="OOE"/>
    <s v="Libor Historical Data"/>
    <s v="Office expense"/>
    <s v="General Office Expense"/>
    <s v="Office Expense - IT Subscriptions"/>
    <s v="Annual Expensed"/>
    <n v="8000"/>
    <n v="8400"/>
    <n v="8400"/>
    <n v="8000"/>
    <n v="-400"/>
    <n v="0"/>
    <n v="-400"/>
    <s v="For Libor Historical Data tax inovice"/>
    <n v="8400"/>
    <m/>
    <m/>
    <m/>
    <m/>
    <m/>
    <m/>
    <m/>
    <m/>
    <m/>
    <m/>
    <m/>
    <n v="8400"/>
    <n v="0"/>
    <n v="8000"/>
    <m/>
    <m/>
    <m/>
    <m/>
    <m/>
    <m/>
    <m/>
    <m/>
    <m/>
    <m/>
    <m/>
    <n v="8000"/>
    <n v="-400"/>
    <n v="0"/>
    <n v="0"/>
    <n v="0"/>
    <n v="0"/>
    <n v="0"/>
    <n v="0"/>
    <n v="0"/>
    <n v="0"/>
    <n v="0"/>
    <n v="0"/>
    <n v="0"/>
    <n v="-400"/>
    <s v="Budget v/s Actuals"/>
    <n v="8000"/>
    <n v="0"/>
    <n v="0"/>
    <n v="8400"/>
    <n v="8000"/>
  </r>
  <r>
    <x v="0"/>
    <s v="SaferKid, Inc. (FirmScribe)"/>
    <m/>
    <s v="Prj000350"/>
    <s v="Support - Infrastructure for Tech"/>
    <s v="Infrastructure Services, Controls &amp; User Enablement"/>
    <x v="0"/>
    <d v="2026-01-06T00:00:00"/>
    <d v="2027-01-06T00:00:00"/>
    <m/>
    <s v="Prj000350-Support - Infrastructure for Tech"/>
    <s v="Non-Labor"/>
    <x v="3"/>
    <s v="Infrastructure"/>
    <m/>
    <s v="Office expense"/>
    <s v="General Office Expense"/>
    <s v="Office Expense - IT Subscriptions"/>
    <s v="Annual Expensed"/>
    <n v="3000"/>
    <n v="3150"/>
    <n v="3150"/>
    <n v="3000"/>
    <n v="-150"/>
    <n v="0"/>
    <n v="-150"/>
    <s v="  "/>
    <m/>
    <n v="3150"/>
    <m/>
    <m/>
    <m/>
    <m/>
    <m/>
    <m/>
    <m/>
    <m/>
    <m/>
    <m/>
    <n v="3150"/>
    <n v="0"/>
    <m/>
    <n v="3000"/>
    <m/>
    <m/>
    <m/>
    <m/>
    <m/>
    <m/>
    <m/>
    <m/>
    <m/>
    <m/>
    <n v="3000"/>
    <n v="0"/>
    <n v="-150"/>
    <n v="0"/>
    <n v="0"/>
    <n v="0"/>
    <n v="0"/>
    <n v="0"/>
    <n v="0"/>
    <n v="0"/>
    <n v="0"/>
    <n v="0"/>
    <n v="0"/>
    <n v="-150"/>
    <s v="Budget v/s Actuals"/>
    <n v="3000"/>
    <n v="0"/>
    <n v="0"/>
    <n v="3150"/>
    <n v="3000"/>
  </r>
  <r>
    <x v="2"/>
    <s v="Cisco Systems, Inc."/>
    <m/>
    <s v="Prj000350"/>
    <s v="Support - Infrastructure for Tech"/>
    <s v="Infrastructure Services, Controls &amp; User Enablement"/>
    <x v="0"/>
    <s v="NA"/>
    <s v="NA"/>
    <m/>
    <s v="Prj000350-Support - Infrastructure for Tech"/>
    <s v="Non-Labor"/>
    <x v="3"/>
    <s v="Infrastructure"/>
    <s v="General Exp"/>
    <s v="Office expense"/>
    <s v="General Office Expense"/>
    <s v="Office Expense - Telephone &amp; FAX"/>
    <s v="Monthly Expensed"/>
    <n v="1594"/>
    <n v="1674"/>
    <n v="1674"/>
    <n v="0"/>
    <n v="-1674"/>
    <n v="0"/>
    <n v="-1674"/>
    <s v="Webex service  has been cancelled in Dec'25, confirmed by Danny"/>
    <m/>
    <m/>
    <m/>
    <m/>
    <m/>
    <m/>
    <m/>
    <m/>
    <m/>
    <m/>
    <m/>
    <m/>
    <n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s v="Webex service  has been cancelled in Dec'25, confirmed by Danny"/>
    <n v="0"/>
    <n v="0"/>
    <n v="0"/>
    <n v="0"/>
    <n v="0"/>
  </r>
  <r>
    <x v="2"/>
    <s v="j2 Cloud Services, Inc."/>
    <m/>
    <s v="Prj000350"/>
    <s v="Support - Infrastructure for Tech"/>
    <s v="Infrastructure Services, Controls &amp; User Enablement"/>
    <x v="0"/>
    <s v="Monthly"/>
    <s v="Monthly"/>
    <m/>
    <s v="Prj000350-Support - Infrastructure for Tech"/>
    <s v="Non-Labor"/>
    <x v="3"/>
    <s v="Infrastructure"/>
    <m/>
    <s v="Office expense"/>
    <s v="General Office Expense"/>
    <s v="Office Expense - Telephone &amp; FAX"/>
    <s v="Monthly Expensed"/>
    <n v="17438"/>
    <n v="18865"/>
    <n v="18865"/>
    <n v="19510.98"/>
    <n v="0"/>
    <n v="645.97999999999956"/>
    <n v="645.97999999999956"/>
    <s v="  "/>
    <n v="1450.9"/>
    <n v="1585"/>
    <n v="1500"/>
    <n v="1500"/>
    <n v="1500"/>
    <n v="1500"/>
    <n v="1500"/>
    <n v="1500"/>
    <n v="1500"/>
    <n v="1500"/>
    <n v="1500"/>
    <n v="2329"/>
    <n v="18864.900000000001"/>
    <n v="11329"/>
    <n v="1450.9"/>
    <n v="1585"/>
    <n v="1823.33"/>
    <n v="1822.75"/>
    <m/>
    <m/>
    <m/>
    <m/>
    <m/>
    <m/>
    <m/>
    <m/>
    <n v="6681.98"/>
    <n v="0"/>
    <n v="0"/>
    <n v="323.32999999999993"/>
    <n v="322.75"/>
    <n v="-1500"/>
    <n v="-1500"/>
    <n v="-1500"/>
    <n v="-1500"/>
    <n v="-1500"/>
    <n v="-1500"/>
    <n v="-1500"/>
    <n v="-2329"/>
    <n v="-12182.92"/>
    <s v="Budget v/s Actuals"/>
    <n v="6681.98"/>
    <n v="1500"/>
    <n v="12829"/>
    <n v="7535.9"/>
    <n v="19510.98"/>
  </r>
  <r>
    <x v="2"/>
    <s v="LoopUp"/>
    <m/>
    <s v="Prj000350"/>
    <s v="Support - Infrastructure for Tech"/>
    <s v="Infrastructure Services, Controls &amp; User Enablement"/>
    <x v="0"/>
    <s v="Monthly"/>
    <s v="Monthly"/>
    <m/>
    <s v="Prj000350-Support - Infrastructure for Tech"/>
    <s v="Non-Labor"/>
    <x v="3"/>
    <s v="Infrastructure"/>
    <m/>
    <s v="Office expense"/>
    <s v="General Office Expense"/>
    <s v="Office Expense - Telephone &amp; FAX"/>
    <s v="Monthly Expensed"/>
    <n v="32897.4"/>
    <n v="34537"/>
    <n v="34537"/>
    <n v="33853.833333333336"/>
    <n v="-683.16666666666424"/>
    <n v="0"/>
    <n v="-683.16666666666424"/>
    <m/>
    <n v="2878.0833333333335"/>
    <n v="2878.0833333333335"/>
    <n v="2878.0833333333335"/>
    <n v="2878.0833333333335"/>
    <n v="2878.0833333333335"/>
    <n v="2878.0833333333335"/>
    <n v="2878.0833333333335"/>
    <n v="2878.0833333333335"/>
    <n v="2878.0833333333335"/>
    <n v="2878.0833333333335"/>
    <n v="2878.0833333333335"/>
    <n v="2878.0833333333335"/>
    <n v="34536.999999999993"/>
    <n v="20146.583333333332"/>
    <n v="2741.45"/>
    <n v="2741.45"/>
    <n v="2741.45"/>
    <n v="2741.45"/>
    <n v="2741.45"/>
    <m/>
    <m/>
    <m/>
    <m/>
    <m/>
    <m/>
    <m/>
    <n v="13707.25"/>
    <n v="-136.63333333333367"/>
    <n v="-136.63333333333367"/>
    <n v="-136.63333333333367"/>
    <n v="-136.63333333333367"/>
    <n v="-136.63333333333367"/>
    <n v="-2878.0833333333335"/>
    <n v="-2878.0833333333335"/>
    <n v="-2878.0833333333335"/>
    <n v="-2878.0833333333335"/>
    <n v="-2878.0833333333335"/>
    <n v="-2878.0833333333335"/>
    <n v="-2878.0833333333335"/>
    <n v="-20829.750000000004"/>
    <s v="Budget v/s Actuals"/>
    <n v="13707.25"/>
    <n v="0"/>
    <n v="20146.583333333332"/>
    <n v="14390.416666666668"/>
    <n v="33853.833333333328"/>
  </r>
  <r>
    <x v="2"/>
    <s v="Verizon Wireless Services LLC"/>
    <m/>
    <s v="Prj000350"/>
    <s v="Support - Infrastructure for Tech"/>
    <s v="Infrastructure Services, Controls &amp; User Enablement"/>
    <x v="0"/>
    <s v="Monthly"/>
    <s v="Monthly"/>
    <m/>
    <s v="Prj000350-Support - Infrastructure for Tech"/>
    <s v="Non-Labor"/>
    <x v="3"/>
    <s v="Infrastructure"/>
    <m/>
    <s v="Office expense"/>
    <s v="General Office Expense"/>
    <s v="Office Expense - Telephone &amp; FAX"/>
    <s v="Monthly Expensed"/>
    <n v="401632"/>
    <n v="421713.07500000007"/>
    <n v="421713.07500000007"/>
    <n v="407892.6966666666"/>
    <n v="-13820.378333333472"/>
    <n v="0"/>
    <n v="-13820.378333333472"/>
    <m/>
    <n v="30215.78"/>
    <n v="35893.14"/>
    <n v="35143.583333333336"/>
    <n v="35143.583333333336"/>
    <n v="35143.583333333336"/>
    <n v="35143.583333333336"/>
    <n v="35143.583333333336"/>
    <n v="35143.583333333336"/>
    <n v="35143.583333333336"/>
    <n v="35143.583333333336"/>
    <n v="35143.583333333336"/>
    <n v="39311.583333333299"/>
    <n v="421712.7533333333"/>
    <n v="250173.08333333331"/>
    <n v="30215.78"/>
    <n v="35893.14"/>
    <n v="28032.44"/>
    <n v="28434.67"/>
    <m/>
    <m/>
    <m/>
    <m/>
    <m/>
    <m/>
    <m/>
    <m/>
    <n v="122576.03"/>
    <n v="0"/>
    <n v="0"/>
    <n v="-7111.1433333333371"/>
    <n v="-6708.9133333333375"/>
    <n v="-35143.583333333336"/>
    <n v="-35143.583333333336"/>
    <n v="-35143.583333333336"/>
    <n v="-35143.583333333336"/>
    <n v="-35143.583333333336"/>
    <n v="-35143.583333333336"/>
    <n v="-35143.583333333336"/>
    <n v="-39311.583333333299"/>
    <n v="-299136.72333333339"/>
    <m/>
    <n v="122576.03"/>
    <n v="35143.583333333314"/>
    <n v="285316.66666666663"/>
    <n v="171539.67"/>
    <n v="407892.69666666666"/>
  </r>
  <r>
    <x v="0"/>
    <s v="ASX Benchmarks PTY limited"/>
    <m/>
    <s v="Prj000469"/>
    <s v="Support - Prod Support for Ops Apps"/>
    <s v="Operations Technology"/>
    <x v="2"/>
    <d v="2026-01-01T00:00:00"/>
    <d v="2026-12-31T00:00:00"/>
    <m/>
    <s v="Prj000469-Support - Prod Support for Ops Apps"/>
    <s v="Non-Labor"/>
    <x v="1"/>
    <s v="OOE"/>
    <s v="Subscriptions"/>
    <s v="Subscription Services"/>
    <s v="Subscription Services"/>
    <s v="Office Expense"/>
    <s v="Annual Expensed"/>
    <n v="4914"/>
    <n v="4409"/>
    <n v="4409"/>
    <n v="4982.8"/>
    <n v="0"/>
    <n v="573.80000000000018"/>
    <n v="573.80000000000018"/>
    <s v="in AUD"/>
    <n v="4409"/>
    <m/>
    <m/>
    <m/>
    <m/>
    <m/>
    <m/>
    <m/>
    <m/>
    <m/>
    <m/>
    <m/>
    <n v="4409"/>
    <n v="0"/>
    <n v="4982.8"/>
    <m/>
    <m/>
    <m/>
    <m/>
    <m/>
    <m/>
    <m/>
    <m/>
    <m/>
    <m/>
    <m/>
    <n v="4982.8"/>
    <n v="573.80000000000018"/>
    <n v="0"/>
    <n v="0"/>
    <n v="0"/>
    <n v="0"/>
    <n v="0"/>
    <n v="0"/>
    <n v="0"/>
    <n v="0"/>
    <n v="0"/>
    <n v="0"/>
    <n v="0"/>
    <n v="573.80000000000018"/>
    <s v="Budget v/s Actuals"/>
    <n v="4982.8"/>
    <n v="0"/>
    <n v="0"/>
    <n v="4409"/>
    <n v="4982.8"/>
  </r>
  <r>
    <x v="0"/>
    <s v="Fitch Solutions, Inc."/>
    <m/>
    <s v="Prj000290"/>
    <s v="Support - Asset Management Applications"/>
    <s v="Asset Management Tech"/>
    <x v="3"/>
    <m/>
    <m/>
    <m/>
    <s v="Prj000290-Support - Asset Management Applications"/>
    <s v="Non-Labor"/>
    <x v="1"/>
    <s v="OOE"/>
    <m/>
    <s v="Subscription Services"/>
    <s v="Subscription Services"/>
    <s v="Office Expense"/>
    <s v="Annual Expensed"/>
    <n v="342"/>
    <n v="359"/>
    <n v="359"/>
    <n v="359"/>
    <n v="0"/>
    <n v="0"/>
    <n v="0"/>
    <s v="  "/>
    <m/>
    <m/>
    <n v="359"/>
    <m/>
    <m/>
    <m/>
    <m/>
    <m/>
    <m/>
    <m/>
    <m/>
    <m/>
    <n v="359"/>
    <n v="0"/>
    <m/>
    <m/>
    <m/>
    <m/>
    <m/>
    <m/>
    <m/>
    <m/>
    <m/>
    <m/>
    <m/>
    <m/>
    <n v="0"/>
    <n v="0"/>
    <n v="0"/>
    <n v="-359"/>
    <n v="0"/>
    <n v="0"/>
    <n v="0"/>
    <n v="0"/>
    <n v="0"/>
    <n v="0"/>
    <n v="0"/>
    <n v="0"/>
    <n v="0"/>
    <n v="-359"/>
    <m/>
    <n v="0"/>
    <n v="359"/>
    <n v="359"/>
    <n v="359"/>
    <n v="359"/>
  </r>
  <r>
    <x v="0"/>
    <s v="THOMSON REUTERS MARKETS LLC"/>
    <s v="LSEG / Refinitive"/>
    <s v="Prj000469"/>
    <s v="Support - Prod Support for Ops Apps"/>
    <s v="Operations Technology"/>
    <x v="2"/>
    <m/>
    <m/>
    <m/>
    <s v="Prj000469-Support - Prod Support for Ops Apps"/>
    <s v="Non-Labor"/>
    <x v="1"/>
    <s v="OOE"/>
    <s v="Market Data"/>
    <s v="Subscription Services"/>
    <s v="Subscription Services"/>
    <s v="Office Expense"/>
    <s v="Quarterly Expensed"/>
    <n v="64257.05"/>
    <n v="67470"/>
    <n v="67470"/>
    <n v="67977.899999999994"/>
    <n v="0"/>
    <n v="507.89999999999418"/>
    <n v="507.89999999999418"/>
    <s v="  "/>
    <n v="16878.150000000001"/>
    <m/>
    <m/>
    <n v="16867.5"/>
    <m/>
    <m/>
    <n v="16867.5"/>
    <m/>
    <m/>
    <n v="16867.5"/>
    <m/>
    <m/>
    <n v="67480.649999999994"/>
    <n v="33735"/>
    <n v="16878.150000000001"/>
    <m/>
    <m/>
    <n v="17364.75"/>
    <m/>
    <m/>
    <m/>
    <m/>
    <m/>
    <m/>
    <m/>
    <m/>
    <n v="34242.9"/>
    <n v="0"/>
    <n v="0"/>
    <n v="0"/>
    <n v="497.25"/>
    <n v="0"/>
    <n v="0"/>
    <n v="-16867.5"/>
    <n v="0"/>
    <n v="0"/>
    <n v="-16867.5"/>
    <n v="0"/>
    <n v="0"/>
    <n v="-33237.75"/>
    <m/>
    <n v="34242.9"/>
    <n v="0"/>
    <n v="33735"/>
    <n v="33745.65"/>
    <n v="67977.899999999994"/>
  </r>
  <r>
    <x v="0"/>
    <s v="TSX Inc."/>
    <m/>
    <s v="Prj000469"/>
    <s v="Support - Prod Support for Ops Apps"/>
    <s v="Operations Technology"/>
    <x v="2"/>
    <d v="2025-11-01T00:00:00"/>
    <d v="2026-10-31T00:00:00"/>
    <m/>
    <s v="Prj000469-Support - Prod Support for Ops Apps"/>
    <s v="Non-Labor"/>
    <x v="1"/>
    <s v="OOE"/>
    <m/>
    <s v="Subscription Services"/>
    <s v="Subscription Services"/>
    <s v="Office Expense"/>
    <s v="Annual Expensed"/>
    <n v="10000"/>
    <n v="25000"/>
    <n v="25000"/>
    <n v="25000"/>
    <n v="0"/>
    <n v="0"/>
    <n v="0"/>
    <s v="  "/>
    <m/>
    <m/>
    <m/>
    <m/>
    <m/>
    <m/>
    <m/>
    <m/>
    <m/>
    <m/>
    <n v="25000"/>
    <m/>
    <n v="25000"/>
    <n v="2500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-25000"/>
    <n v="0"/>
    <n v="-25000"/>
    <m/>
    <n v="0"/>
    <n v="0"/>
    <n v="25000"/>
    <n v="0"/>
    <n v="25000"/>
  </r>
  <r>
    <x v="2"/>
    <s v="CDW DIRECT LLC"/>
    <m/>
    <s v="Prj000350"/>
    <s v="Support - Infrastructure for Tech"/>
    <s v="Infrastructure Services, Controls &amp; User Enablement"/>
    <x v="0"/>
    <s v="NA"/>
    <s v="NA"/>
    <m/>
    <s v="Prj000350-Support - Infrastructure for Tech"/>
    <s v="Non-Labor"/>
    <x v="7"/>
    <s v="Hardware"/>
    <m/>
    <s v="Information Technology"/>
    <s v="Hardware - Desktop Equipment"/>
    <s v="Hardware - Desktop Equipment"/>
    <s v="Monthly Expensed"/>
    <n v="79902.28"/>
    <n v="34646"/>
    <n v="34646"/>
    <n v="25341.853333333336"/>
    <n v="-9304.1466666666638"/>
    <n v="0"/>
    <n v="-9304.1466666666638"/>
    <m/>
    <n v="2887.1666666666665"/>
    <n v="2887.1666666666665"/>
    <n v="2887.1666666666665"/>
    <n v="2887.1666666666665"/>
    <n v="2887.1666666666665"/>
    <n v="2887.1666666666665"/>
    <n v="2887.1666666666665"/>
    <n v="2887.1666666666665"/>
    <n v="2887.1666666666665"/>
    <n v="2887.1666666666665"/>
    <n v="2887.1666666666665"/>
    <n v="2887.1666666666665"/>
    <n v="34646.000000000007"/>
    <n v="20210.166666666668"/>
    <n v="971.52"/>
    <n v="142.37"/>
    <n v="349.61"/>
    <n v="781.02"/>
    <m/>
    <m/>
    <m/>
    <m/>
    <m/>
    <m/>
    <m/>
    <m/>
    <n v="2244.52"/>
    <n v="-1915.6466666666665"/>
    <n v="-2744.7966666666666"/>
    <n v="-2537.5566666666664"/>
    <n v="-2106.1466666666665"/>
    <n v="-2887.1666666666665"/>
    <n v="-2887.1666666666665"/>
    <n v="-2887.1666666666665"/>
    <n v="-2887.1666666666665"/>
    <n v="-2887.1666666666665"/>
    <n v="-2887.1666666666665"/>
    <n v="-2887.1666666666665"/>
    <n v="-2887.1666666666665"/>
    <n v="-32401.480000000003"/>
    <s v="Budget v/s Actuals, Techsmith renewal for 1 year included in April"/>
    <n v="2244.52"/>
    <n v="2887.1666666666679"/>
    <n v="23097.333333333336"/>
    <n v="14435.833333333332"/>
    <n v="25341.853333333336"/>
  </r>
  <r>
    <x v="0"/>
    <s v="SHI International Corp"/>
    <s v="SHI"/>
    <s v="Prj000350"/>
    <s v="Support - Infrastructure for Tech"/>
    <s v="Infrastructure Services, Controls &amp; User Enablement"/>
    <x v="0"/>
    <d v="2026-01-30T00:00:00"/>
    <d v="2027-01-29T00:00:00"/>
    <s v="Papercut SaaS Maintenance"/>
    <s v="Prj000350-Support - Infrastructure for Tech"/>
    <s v="Non-Labor"/>
    <x v="7"/>
    <s v="Hardware"/>
    <m/>
    <s v="Information Technology"/>
    <s v="Hardware - Desktop Equipment"/>
    <s v="Hardware - Desktop Equipment"/>
    <s v="Annual Expensed"/>
    <n v="0"/>
    <n v="0"/>
    <n v="0"/>
    <n v="20698.550000000003"/>
    <n v="0"/>
    <n v="20698.550000000003"/>
    <n v="20698.550000000003"/>
    <s v="Not part of original budget; risk added, category updated from software to hardware since laptop purchase, Unplanned expansion not budgeted by HR and Tech"/>
    <m/>
    <m/>
    <m/>
    <m/>
    <m/>
    <m/>
    <m/>
    <m/>
    <m/>
    <m/>
    <m/>
    <m/>
    <n v="0"/>
    <n v="0"/>
    <n v="0"/>
    <n v="0"/>
    <n v="11884.240000000002"/>
    <n v="8814.31"/>
    <n v="0"/>
    <n v="7764.78"/>
    <n v="0"/>
    <n v="0"/>
    <n v="0"/>
    <n v="0"/>
    <n v="0"/>
    <n v="0"/>
    <n v="28463.33"/>
    <n v="0"/>
    <n v="0"/>
    <n v="11884.240000000002"/>
    <n v="8814.31"/>
    <n v="0"/>
    <n v="7764.78"/>
    <n v="0"/>
    <n v="0"/>
    <n v="0"/>
    <n v="0"/>
    <n v="0"/>
    <n v="0"/>
    <n v="28463.33"/>
    <s v="Surface laptop 7, Logitech keyboard and Mouse, Starlite Cable, Monitor unbudgeted, 3 laptops to be charged back to Private Credit"/>
    <n v="20698.550000000003"/>
    <n v="0"/>
    <n v="0"/>
    <n v="0"/>
    <n v="20698.550000000003"/>
  </r>
  <r>
    <x v="0"/>
    <s v="SHI International Corp"/>
    <s v="SHI"/>
    <s v="Prj000350"/>
    <s v="Support - Infrastructure for Tech"/>
    <s v="Infrastructure Services, Controls &amp; User Enablement"/>
    <x v="0"/>
    <s v="Monthly"/>
    <s v="Monthly"/>
    <s v="Variable Monthly Usage"/>
    <s v="Prj000350-Support - Infrastructure for Tech"/>
    <s v="Non-Labor"/>
    <x v="3"/>
    <s v="Infrastructure"/>
    <s v="MS Cloud"/>
    <s v="Information Technology"/>
    <s v="Managed Service - Cloud"/>
    <s v="Managed Service - Cloud"/>
    <s v="Monthly Expensed"/>
    <n v="211"/>
    <n v="0"/>
    <n v="0"/>
    <n v="139.94"/>
    <n v="0"/>
    <n v="139.94"/>
    <n v="139.94"/>
    <s v="Variable Monthly Usage - Not budgeted"/>
    <m/>
    <m/>
    <m/>
    <m/>
    <m/>
    <m/>
    <m/>
    <m/>
    <m/>
    <m/>
    <m/>
    <m/>
    <n v="0"/>
    <n v="0"/>
    <n v="26.13"/>
    <n v="24.41"/>
    <n v="23.21"/>
    <n v="43.39"/>
    <n v="22.8"/>
    <m/>
    <m/>
    <m/>
    <m/>
    <m/>
    <m/>
    <m/>
    <n v="139.94"/>
    <n v="26.13"/>
    <n v="24.41"/>
    <n v="23.21"/>
    <n v="43.39"/>
    <n v="22.8"/>
    <n v="0"/>
    <n v="0"/>
    <n v="0"/>
    <n v="0"/>
    <n v="0"/>
    <n v="0"/>
    <n v="0"/>
    <n v="139.94"/>
    <s v="Hard Risk, unbudgeted"/>
    <n v="139.94"/>
    <n v="0"/>
    <n v="0"/>
    <n v="0"/>
    <n v="139.94"/>
  </r>
  <r>
    <x v="2"/>
    <s v="SHI International Corp"/>
    <s v="SHI"/>
    <s v="Prj000467"/>
    <s v="Support - Enterprise Tech Helpdesk"/>
    <s v="Tech Shared Services"/>
    <x v="5"/>
    <s v="NA"/>
    <s v="NA"/>
    <m/>
    <s v="Prj000467-Support - Enterprise Tech Helpdesk"/>
    <s v="Non-Labor"/>
    <x v="7"/>
    <s v="Hardware"/>
    <m/>
    <s v="Information Technology"/>
    <s v="Hardware - Desktop Equipment"/>
    <s v="Hardware - Desktop Equipment"/>
    <s v="Quarterly Expensed"/>
    <n v="77705"/>
    <n v="81590"/>
    <n v="81590"/>
    <n v="81590"/>
    <n v="0"/>
    <n v="0"/>
    <n v="0"/>
    <m/>
    <m/>
    <m/>
    <n v="20397.5"/>
    <m/>
    <m/>
    <n v="20397.5"/>
    <m/>
    <m/>
    <n v="20397.5"/>
    <m/>
    <m/>
    <n v="20397.5"/>
    <n v="81590"/>
    <n v="61192.5"/>
    <m/>
    <m/>
    <m/>
    <m/>
    <m/>
    <m/>
    <m/>
    <m/>
    <m/>
    <m/>
    <m/>
    <m/>
    <n v="0"/>
    <n v="0"/>
    <n v="0"/>
    <n v="-20397.5"/>
    <n v="0"/>
    <n v="0"/>
    <n v="-20397.5"/>
    <n v="0"/>
    <n v="0"/>
    <n v="-20397.5"/>
    <n v="0"/>
    <n v="0"/>
    <n v="-20397.5"/>
    <n v="-81590"/>
    <m/>
    <n v="0"/>
    <n v="20397.5"/>
    <n v="81590"/>
    <n v="20397.5"/>
    <n v="81590"/>
  </r>
  <r>
    <x v="0"/>
    <s v="Sky Road"/>
    <m/>
    <s v="Prj000228"/>
    <s v="Implement - Portfolio Optimization Tool for LC"/>
    <s v="Asset Management Tech"/>
    <x v="3"/>
    <d v="2025-10-01T00:00:00"/>
    <d v="2026-09-30T00:00:00"/>
    <m/>
    <s v="Prj000228-Implement - Portfolio Optimization Tool for LC"/>
    <s v="Non-Labor"/>
    <x v="0"/>
    <s v="Software"/>
    <m/>
    <s v="Information Technology"/>
    <s v="Software - Core"/>
    <s v="Software - Core"/>
    <s v="Annual Prepaid"/>
    <n v="37500"/>
    <n v="160000"/>
    <n v="160000"/>
    <n v="160000"/>
    <n v="0"/>
    <n v="0"/>
    <n v="0"/>
    <s v="Capitalizable"/>
    <n v="12500"/>
    <n v="12500"/>
    <n v="12500"/>
    <n v="12500"/>
    <n v="12500"/>
    <n v="12500"/>
    <n v="12500"/>
    <n v="12500"/>
    <n v="12500"/>
    <n v="15833"/>
    <n v="15833"/>
    <n v="15834"/>
    <n v="160000"/>
    <n v="97500"/>
    <n v="12500"/>
    <n v="12500"/>
    <n v="12500"/>
    <n v="12500"/>
    <n v="12500"/>
    <n v="12500"/>
    <n v="12500"/>
    <n v="12500"/>
    <n v="12500"/>
    <m/>
    <m/>
    <m/>
    <n v="112500"/>
    <n v="0"/>
    <n v="0"/>
    <n v="0"/>
    <n v="0"/>
    <n v="0"/>
    <n v="0"/>
    <n v="0"/>
    <n v="0"/>
    <n v="0"/>
    <n v="-15833"/>
    <n v="-15833"/>
    <n v="-15834"/>
    <n v="-47500"/>
    <m/>
    <n v="62500"/>
    <n v="0"/>
    <n v="97500"/>
    <n v="62500"/>
    <n v="160000"/>
  </r>
  <r>
    <x v="0"/>
    <s v="Coforge DPA NA Inc."/>
    <m/>
    <s v="Prj000556"/>
    <s v="Implement - QA CoE to Additional Platforms"/>
    <s v="Tech Shared Services"/>
    <x v="4"/>
    <m/>
    <m/>
    <m/>
    <s v="Prj000556-Implement - QA CoE to Additional Platforms"/>
    <s v="Labor"/>
    <x v="5"/>
    <s v="RTB- FPC"/>
    <m/>
    <s v="Outsourced"/>
    <s v="Run the Business Contractors and Outsource Services"/>
    <s v="RTB Expenses - Contractor"/>
    <s v="New 2026 BoW"/>
    <n v="0"/>
    <n v="250000"/>
    <n v="250000"/>
    <n v="150000"/>
    <n v="-100000"/>
    <n v="0"/>
    <n v="-100000"/>
    <s v="New 2026 BoW"/>
    <m/>
    <m/>
    <m/>
    <m/>
    <m/>
    <m/>
    <m/>
    <m/>
    <m/>
    <m/>
    <m/>
    <n v="150000"/>
    <n v="150000"/>
    <n v="15000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-150000"/>
    <n v="-150000"/>
    <s v="Placeholder funds for new initiatives have been forecasted as per Leon's instruction for utilisation and potential opportunities"/>
    <n v="0"/>
    <n v="0"/>
    <n v="150000"/>
    <n v="0"/>
    <n v="150000"/>
  </r>
  <r>
    <x v="0"/>
    <s v="Coforge DPA NA Inc."/>
    <m/>
    <s v="Prj000353"/>
    <s v="Implement - L1/L2 CoE for Additional Platforms"/>
    <s v="Tech Shared Services"/>
    <x v="5"/>
    <m/>
    <m/>
    <m/>
    <s v="Prj000353-Implement - L1/L2 CoE for Additional Platforms"/>
    <s v="Labor"/>
    <x v="2"/>
    <s v="RTB- MS"/>
    <m/>
    <s v="Outsourced"/>
    <s v="Run the Business Contractors and Outsource Services"/>
    <s v="RTB Expenses - Contractor"/>
    <s v="New 2026 BoW"/>
    <n v="0"/>
    <n v="165000"/>
    <n v="165000"/>
    <n v="165000"/>
    <n v="0"/>
    <n v="0"/>
    <n v="0"/>
    <s v="New 2026 BoW"/>
    <m/>
    <m/>
    <m/>
    <m/>
    <m/>
    <m/>
    <m/>
    <m/>
    <m/>
    <m/>
    <m/>
    <n v="165000"/>
    <n v="165000"/>
    <n v="16500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-165000"/>
    <n v="-165000"/>
    <s v="Placeholder funds for new initiatives have been forecasted as per Leon's instruction for utilisation and potential opportunities"/>
    <n v="0"/>
    <n v="0"/>
    <n v="165000"/>
    <n v="0"/>
    <n v="165000"/>
  </r>
  <r>
    <x v="0"/>
    <s v="Finastra Technology, Inc"/>
    <s v="LIQ"/>
    <s v="Prj000489"/>
    <s v="Implement - Strategic Modules for LIQ"/>
    <s v="Operations Technology"/>
    <x v="2"/>
    <m/>
    <m/>
    <m/>
    <s v="Prj000489-Implement - Strategic Modules for LIQ"/>
    <s v="Labor"/>
    <x v="5"/>
    <s v="RTB- FPC"/>
    <m/>
    <s v="Information Technology"/>
    <s v="Managed Service - Core"/>
    <s v="RTB Expenses - Contractor"/>
    <s v="New 2026 BoW"/>
    <n v="0"/>
    <n v="50000"/>
    <n v="50000"/>
    <n v="0"/>
    <n v="-50000"/>
    <n v="0"/>
    <n v="-50000"/>
    <s v="New 2026 BoW (Capitalizable)"/>
    <m/>
    <m/>
    <m/>
    <m/>
    <m/>
    <m/>
    <m/>
    <m/>
    <m/>
    <m/>
    <m/>
    <m/>
    <n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s v="Placeholder funds for new initiatives have been forecasted as per Leon's instruction for utilisation and potential opportunities"/>
    <n v="0"/>
    <n v="0"/>
    <n v="0"/>
    <n v="0"/>
    <n v="0"/>
  </r>
  <r>
    <x v="0"/>
    <s v="MARKIT NORTH AMERICA, INC."/>
    <s v="S&amp;P Global"/>
    <s v="Prj000482"/>
    <s v="Implement - WSO Own Instance (AM)"/>
    <s v="Operations Technology"/>
    <x v="2"/>
    <m/>
    <m/>
    <m/>
    <s v="Prj000482-Implement - WSO Own Instance (AM)"/>
    <s v="Labor"/>
    <x v="5"/>
    <s v="RTB- FPC"/>
    <m/>
    <s v="Information Technology"/>
    <s v="Managed Service - Core"/>
    <s v="RTB Expenses - Contractor"/>
    <s v="New 2026 BoW"/>
    <m/>
    <n v="850000"/>
    <n v="336000"/>
    <n v="0"/>
    <n v="-336000"/>
    <n v="0"/>
    <n v="-336000"/>
    <s v="New 2026 BoW, WSO not to be utilised"/>
    <m/>
    <m/>
    <m/>
    <m/>
    <m/>
    <m/>
    <m/>
    <m/>
    <m/>
    <m/>
    <m/>
    <m/>
    <n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s v="Placeholder funds for new initiatives have been forecasted as per Leon's instruction for utilisation and potential opportunities. Onetime implementation cost for WSO migration web to hosting"/>
    <n v="0"/>
    <n v="0"/>
    <n v="0"/>
    <n v="0"/>
    <n v="0"/>
  </r>
  <r>
    <x v="0"/>
    <s v="MARKIT NORTH AMERICA, INC."/>
    <s v="S&amp;P Global"/>
    <s v="Prj000482"/>
    <s v="Implement - WSO Own Instance (AM)"/>
    <s v="Operations Technology"/>
    <x v="2"/>
    <m/>
    <m/>
    <m/>
    <s v="Prj000482-Implement - WSO Own Instance (AM)"/>
    <s v="Labor"/>
    <x v="5"/>
    <s v="RTB- FPC"/>
    <m/>
    <s v="Information Technology"/>
    <s v="Managed Service - Core"/>
    <s v="RTB Expenses - Contractor"/>
    <s v="New 2026 BoW"/>
    <m/>
    <n v="850000"/>
    <n v="163600"/>
    <n v="293500"/>
    <n v="0"/>
    <n v="129900"/>
    <n v="129900"/>
    <s v="New 2026 BoW, WSO"/>
    <m/>
    <m/>
    <m/>
    <n v="10000"/>
    <m/>
    <m/>
    <m/>
    <m/>
    <n v="25000"/>
    <n v="258500"/>
    <m/>
    <m/>
    <n v="293500"/>
    <n v="283500"/>
    <m/>
    <m/>
    <m/>
    <n v="10000"/>
    <m/>
    <m/>
    <m/>
    <m/>
    <m/>
    <m/>
    <m/>
    <m/>
    <n v="10000"/>
    <n v="0"/>
    <n v="0"/>
    <n v="0"/>
    <n v="0"/>
    <n v="0"/>
    <n v="0"/>
    <n v="0"/>
    <n v="0"/>
    <n v="-25000"/>
    <n v="-258500"/>
    <n v="0"/>
    <n v="0"/>
    <n v="-283500"/>
    <s v=" Onetime implementation cost for WSO migration web to hosting,$10K is part of WSO web to hosting transistion and should be part of $504K"/>
    <n v="10000"/>
    <n v="0"/>
    <n v="283500"/>
    <n v="10000"/>
    <n v="293500"/>
  </r>
  <r>
    <x v="0"/>
    <s v="Indus Valley Partners Corporation"/>
    <m/>
    <s v="Prj000482"/>
    <s v="Implement - WSO Own Instance (AM)"/>
    <s v="Operations Technology"/>
    <x v="2"/>
    <d v="2026-05-15T00:00:00"/>
    <d v="2026-07-31T00:00:00"/>
    <m/>
    <s v="Prj000482-Implement - WSO Own Instance (AM)"/>
    <s v="Labor"/>
    <x v="5"/>
    <s v="RTB- FPC"/>
    <m/>
    <s v="Information Technology"/>
    <s v="Managed Service - Core"/>
    <s v="RTB Expenses - Contractor"/>
    <s v="Monthly Expensed"/>
    <m/>
    <n v="0"/>
    <n v="120000"/>
    <n v="120000"/>
    <n v="0"/>
    <n v="0"/>
    <n v="0"/>
    <s v="WSO Migration – IVP Apps Integration, New 2026 BoW utilised"/>
    <m/>
    <m/>
    <m/>
    <m/>
    <n v="40000"/>
    <n v="40000"/>
    <n v="40000"/>
    <m/>
    <m/>
    <m/>
    <m/>
    <m/>
    <n v="120000"/>
    <n v="80000"/>
    <m/>
    <m/>
    <m/>
    <m/>
    <m/>
    <m/>
    <m/>
    <m/>
    <m/>
    <m/>
    <m/>
    <m/>
    <n v="0"/>
    <n v="0"/>
    <n v="0"/>
    <n v="0"/>
    <n v="0"/>
    <n v="-40000"/>
    <n v="-40000"/>
    <n v="-40000"/>
    <n v="0"/>
    <n v="0"/>
    <n v="0"/>
    <n v="0"/>
    <n v="0"/>
    <n v="-120000"/>
    <s v="New FPC &amp; T&amp;M contract with IVP for WSO Migration, we have allocated unutilised funds from Markit to this contract and not considered this as risk"/>
    <n v="0"/>
    <n v="40000"/>
    <n v="120000"/>
    <n v="40000"/>
    <n v="120000"/>
  </r>
  <r>
    <x v="0"/>
    <s v="MARKIT NORTH AMERICA, INC."/>
    <s v="S&amp;P Global"/>
    <s v="Prj000211"/>
    <s v="Implement - WSO Balance Sheet Mig &amp; Reporting"/>
    <s v="Operations Technology"/>
    <x v="2"/>
    <m/>
    <m/>
    <m/>
    <s v="Prj000211-Implement - WSO Balance Sheet Mig &amp; Reporting"/>
    <s v="Labor"/>
    <x v="5"/>
    <s v="RTB- FPC"/>
    <m/>
    <s v="Information Technology"/>
    <s v="Managed Service - Core"/>
    <s v="RTB Expenses - Contractor"/>
    <s v="New 2026 BoW"/>
    <m/>
    <n v="500000"/>
    <n v="500000"/>
    <n v="0"/>
    <n v="-500000"/>
    <n v="0"/>
    <n v="-500000"/>
    <s v="New 2026 BoW (Capitalizable)  Full opportunity as per Leon"/>
    <m/>
    <m/>
    <m/>
    <m/>
    <m/>
    <m/>
    <m/>
    <m/>
    <m/>
    <m/>
    <m/>
    <m/>
    <n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s v="Placeholder funds for new initiatives have been forecasted as per Leon's instruction for utilisation and potential opportunities"/>
    <n v="0"/>
    <n v="0"/>
    <n v="0"/>
    <n v="0"/>
    <n v="0"/>
  </r>
  <r>
    <x v="0"/>
    <s v="Indus Valley Partners Corporation"/>
    <s v="IVP"/>
    <s v="Prj000477"/>
    <s v="Implement - Odyssey Reporting &amp; Exception Mgmt"/>
    <s v="Enterprise Architecture, Data Analytics &amp; AI"/>
    <x v="5"/>
    <m/>
    <m/>
    <s v="New FPC BOW"/>
    <s v="Prj000477-Implement - Odyssey Reporting &amp; Exception Mgmt"/>
    <s v="Labor"/>
    <x v="5"/>
    <s v="RTB- FPC"/>
    <m/>
    <s v="Outsourced"/>
    <s v="Run the Business Contractors and Outsource Services"/>
    <s v="RTB Expenses - Contractor"/>
    <s v="New 2026 BoW"/>
    <n v="0"/>
    <n v="600000"/>
    <n v="600000"/>
    <n v="600000"/>
    <n v="0"/>
    <n v="0"/>
    <n v="0"/>
    <s v="New 2026 BoW (Capitalizable)"/>
    <m/>
    <m/>
    <m/>
    <m/>
    <m/>
    <m/>
    <m/>
    <m/>
    <m/>
    <m/>
    <m/>
    <n v="600000"/>
    <n v="600000"/>
    <n v="60000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-600000"/>
    <n v="-600000"/>
    <s v="Placeholder funds for new initiatives have been forecasted as per Leon's instruction for utilisation and potential opportunities"/>
    <n v="0"/>
    <n v="0"/>
    <n v="600000"/>
    <n v="0"/>
    <n v="600000"/>
  </r>
  <r>
    <x v="0"/>
    <s v="Indus Valley Partners Corporation"/>
    <s v="IVP"/>
    <s v="Prj000548"/>
    <s v="Implement - Reporting for Internal Audit"/>
    <s v="Enterprise Architecture, Data Analytics &amp; AI"/>
    <x v="5"/>
    <m/>
    <m/>
    <s v="New FPC BOW"/>
    <s v="Prj000548-Implement - Reporting for Internal Audit"/>
    <s v="Labor"/>
    <x v="5"/>
    <s v="RTB- FPC"/>
    <m/>
    <s v="Outsourced"/>
    <s v="Run the Business Contractors and Outsource Services"/>
    <s v="RTB Expenses - Contractor"/>
    <s v="New 2026 BoW"/>
    <n v="0"/>
    <n v="500000"/>
    <n v="500000"/>
    <n v="0"/>
    <n v="-500000"/>
    <n v="0"/>
    <n v="-500000"/>
    <s v="New 2026 BoW full opportunity as per Leon"/>
    <m/>
    <m/>
    <m/>
    <m/>
    <m/>
    <m/>
    <m/>
    <m/>
    <m/>
    <m/>
    <m/>
    <m/>
    <n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s v="Placeholder funds for new initiatives have been forecasted as per Leon's instruction for utilisation and potential opportunities"/>
    <n v="0"/>
    <n v="0"/>
    <n v="0"/>
    <n v="0"/>
    <n v="0"/>
  </r>
  <r>
    <x v="0"/>
    <s v="NewRocket, LLC"/>
    <s v="ServiceNow Liac"/>
    <s v="Prj000447"/>
    <s v="Implement - Minor Enhancements SNOW - Phase 2"/>
    <s v="Infrastructure Services, Controls &amp; User Enablement"/>
    <x v="0"/>
    <d v="2026-01-01T00:00:00"/>
    <d v="2026-06-21T00:00:00"/>
    <s v="ServiceNow"/>
    <s v="Prj000447-Implement - Minor Enhancements SNOW - Phase 2"/>
    <s v="Labor"/>
    <x v="2"/>
    <s v="RTB- MS"/>
    <s v="Managed Services"/>
    <s v="Information Technology"/>
    <s v="Managed Service - Core"/>
    <s v="Managed Service - Core"/>
    <s v="Monthly Expensed"/>
    <n v="0"/>
    <n v="178500"/>
    <n v="178500"/>
    <n v="174169.56"/>
    <n v="-4330.4400000000023"/>
    <n v="0"/>
    <n v="-4330.4400000000023"/>
    <s v="Monthly SOW"/>
    <n v="29028.26"/>
    <n v="29028.26"/>
    <n v="29028.26"/>
    <n v="29028.26"/>
    <n v="29028.26"/>
    <n v="29028.26"/>
    <m/>
    <m/>
    <m/>
    <m/>
    <m/>
    <m/>
    <n v="174169.56"/>
    <n v="29028.26"/>
    <n v="29028.26"/>
    <n v="29028.26"/>
    <n v="29028.26"/>
    <n v="29028.26"/>
    <n v="29028.26"/>
    <n v="29028.26"/>
    <m/>
    <m/>
    <m/>
    <m/>
    <m/>
    <m/>
    <n v="174169.56"/>
    <n v="0"/>
    <n v="0"/>
    <n v="0"/>
    <n v="0"/>
    <n v="0"/>
    <n v="0"/>
    <n v="0"/>
    <n v="0"/>
    <n v="0"/>
    <n v="0"/>
    <n v="0"/>
    <n v="0"/>
    <n v="0"/>
    <s v="Budget v/s Actuals"/>
    <n v="145141.29999999999"/>
    <n v="0"/>
    <n v="29028.26"/>
    <n v="145141.29999999999"/>
    <n v="174169.56"/>
  </r>
  <r>
    <x v="0"/>
    <s v="SALESFORCE COM INC"/>
    <s v="Salesforce"/>
    <s v="Prj000476"/>
    <s v="Implement - Reporting to Support DGC"/>
    <s v="Enterprise Architecture, Data Analytics &amp; AI"/>
    <x v="5"/>
    <d v="2025-10-13T00:00:00"/>
    <d v="2026-03-28T00:00:00"/>
    <s v="Tableau Licenses"/>
    <s v="Prj000476-Implement - Reporting to Support DGC"/>
    <s v="Non-Labor"/>
    <x v="0"/>
    <s v="Software"/>
    <m/>
    <s v="Information Technology"/>
    <s v="Software - Licenses"/>
    <s v="Software - Licenses"/>
    <s v="Annual Expensed"/>
    <n v="3529.53"/>
    <n v="7470"/>
    <n v="7470"/>
    <n v="7470"/>
    <n v="0"/>
    <n v="0"/>
    <n v="0"/>
    <s v="Paid till Mar2026, might need till 03/2027- Capitalizable"/>
    <m/>
    <m/>
    <m/>
    <m/>
    <m/>
    <m/>
    <m/>
    <m/>
    <m/>
    <m/>
    <n v="7470"/>
    <m/>
    <n v="7470"/>
    <n v="747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-7470"/>
    <n v="0"/>
    <n v="-7470"/>
    <m/>
    <n v="0"/>
    <n v="0"/>
    <n v="7470"/>
    <n v="0"/>
    <n v="7470"/>
  </r>
  <r>
    <x v="0"/>
    <s v="Indus Valley Partners Corporation"/>
    <s v="IVP"/>
    <s v="Prj000402"/>
    <s v="Implement - Minor Enhancements for Data Services"/>
    <s v="Asset Management Technology &amp; Data Services"/>
    <x v="4"/>
    <m/>
    <m/>
    <m/>
    <s v="Prj000402-Implement - Minor Enhancements for Data Services"/>
    <s v="Labor"/>
    <x v="2"/>
    <s v="RTB- MS"/>
    <m/>
    <s v="Outsourced"/>
    <s v="Run the Business Contractors and Outsource Services"/>
    <s v="RTB Expenses - Contractor"/>
    <s v="New 2026 BoW"/>
    <n v="0"/>
    <n v="100000"/>
    <n v="100000"/>
    <n v="100000"/>
    <n v="0"/>
    <n v="0"/>
    <n v="0"/>
    <s v="New 2026 BoW"/>
    <m/>
    <m/>
    <m/>
    <m/>
    <m/>
    <m/>
    <m/>
    <m/>
    <m/>
    <m/>
    <m/>
    <n v="100000"/>
    <n v="100000"/>
    <n v="10000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-100000"/>
    <n v="-100000"/>
    <s v="Placeholder funds for new initiatives have been forecasted as per Leon's instruction for utilisation and potential opportunities"/>
    <n v="0"/>
    <n v="0"/>
    <n v="100000"/>
    <n v="0"/>
    <n v="100000"/>
  </r>
  <r>
    <x v="0"/>
    <s v="2026 PH"/>
    <m/>
    <s v="Prj000278"/>
    <s v="Implement - Fund Acctn Modules to Support BS Transition"/>
    <s v="Finance &amp; Treasury Technology"/>
    <x v="2"/>
    <m/>
    <m/>
    <m/>
    <s v="Prj000278-Implement - Fund Acctn Modules to Support BS Transition"/>
    <s v="Labor"/>
    <x v="5"/>
    <s v="CTB- FPC"/>
    <m/>
    <s v="Consulting"/>
    <s v="Consulting Change the Business"/>
    <s v="CTB Expenses - Consulting"/>
    <s v="New 2026 BoW"/>
    <n v="0"/>
    <n v="250000"/>
    <n v="250000"/>
    <n v="150000"/>
    <n v="-100000"/>
    <n v="0"/>
    <n v="-100000"/>
    <s v="New 2026 BoW (Capitalizable)"/>
    <m/>
    <m/>
    <m/>
    <m/>
    <m/>
    <m/>
    <m/>
    <m/>
    <m/>
    <m/>
    <m/>
    <n v="150000"/>
    <n v="150000"/>
    <n v="15000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-150000"/>
    <n v="-150000"/>
    <s v="Placeholder funds for new initiatives have been forecasted as per Leon's instruction for utilisation and potential opportunities"/>
    <n v="0"/>
    <n v="0"/>
    <n v="150000"/>
    <n v="0"/>
    <n v="150000"/>
  </r>
  <r>
    <x v="0"/>
    <s v="OpenAI, L.L.C. (“OpenAI”)"/>
    <m/>
    <s v="Prj000296"/>
    <s v="Support - PMO Governance &amp; Reporting Activities"/>
    <s v="Cos, PMO &amp; Enterprise Technology"/>
    <x v="1"/>
    <d v="2025-11-10T00:00:00"/>
    <d v="2026-06-17T00:00:00"/>
    <m/>
    <s v="Prj000296-Support - PMO Governance &amp; Reporting Activities"/>
    <s v="Non-Labor"/>
    <x v="0"/>
    <s v="Software"/>
    <m/>
    <s v="Information Technology"/>
    <s v="Software - Core"/>
    <s v="Software - Core"/>
    <s v="Annual Prepaid"/>
    <n v="52988.05"/>
    <n v="100000"/>
    <n v="100000"/>
    <n v="113850"/>
    <n v="0"/>
    <n v="13850"/>
    <n v="13850"/>
    <s v="Unbudgeted tax, new 2026 bow utilised"/>
    <m/>
    <m/>
    <m/>
    <m/>
    <m/>
    <m/>
    <m/>
    <n v="113850"/>
    <m/>
    <m/>
    <m/>
    <m/>
    <n v="113850"/>
    <n v="113850"/>
    <m/>
    <m/>
    <m/>
    <m/>
    <m/>
    <m/>
    <m/>
    <m/>
    <m/>
    <m/>
    <m/>
    <m/>
    <n v="0"/>
    <n v="0"/>
    <n v="0"/>
    <n v="0"/>
    <n v="0"/>
    <n v="0"/>
    <n v="0"/>
    <n v="0"/>
    <n v="-113850"/>
    <n v="0"/>
    <n v="0"/>
    <n v="0"/>
    <n v="0"/>
    <n v="-113850"/>
    <s v="Placeholder funds for new initiatives have been forecasted as per Leon's instruction for utilisation and potential opportunities"/>
    <n v="0"/>
    <n v="0"/>
    <n v="113850"/>
    <n v="0"/>
    <n v="113850"/>
  </r>
  <r>
    <x v="0"/>
    <s v="Coforge DPA NA Inc."/>
    <m/>
    <s v="Prj000353"/>
    <s v="Implement - L1/L2 CoE for Additional Platforms"/>
    <s v="Tech Shared Services"/>
    <x v="5"/>
    <d v="2026-01-01T00:00:00"/>
    <d v="2026-03-31T00:00:00"/>
    <m/>
    <s v="Prj000353-Implement - L1/L2 CoE for Additional Platforms"/>
    <s v="Labor"/>
    <x v="5"/>
    <s v="RTB- FPC"/>
    <m/>
    <s v="Outsourced"/>
    <s v="Run the Business Contractors and Outsource Services"/>
    <s v="RTB Expenses - Contractor"/>
    <s v="New 2026 BoW"/>
    <n v="0"/>
    <n v="250000"/>
    <n v="250000"/>
    <n v="152500"/>
    <n v="-97500"/>
    <n v="0"/>
    <n v="-97500"/>
    <s v="T&amp;M- Implementing CoE for L1/L2 Platforms, new 2026 bow"/>
    <m/>
    <m/>
    <m/>
    <m/>
    <m/>
    <m/>
    <m/>
    <m/>
    <m/>
    <m/>
    <m/>
    <n v="152500"/>
    <n v="152500"/>
    <n v="15250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-152500"/>
    <n v="-152500"/>
    <s v="Changed from T&amp;M to FPC as per Shanky's KT, March billing to decide final Opp/Risk"/>
    <n v="0"/>
    <n v="0"/>
    <n v="152500"/>
    <n v="0"/>
    <n v="152500"/>
  </r>
  <r>
    <x v="0"/>
    <s v="Coforge DPA NA Inc."/>
    <m/>
    <s v="Prj000296"/>
    <s v="Support - PMO Governance &amp; Reporting Activities"/>
    <s v="Cos, PMO &amp; Enterprise Technology"/>
    <x v="1"/>
    <m/>
    <m/>
    <m/>
    <s v="Prj000296-Support - PMO Governance &amp; Reporting Activities"/>
    <s v="Labor"/>
    <x v="5"/>
    <s v="RTB- FPC"/>
    <m/>
    <s v="Outsourced"/>
    <s v="Run the Business Contractors and Outsource Services"/>
    <s v="RTB Expenses - Contractor"/>
    <s v="New 2026 BoW"/>
    <n v="0"/>
    <n v="100000"/>
    <n v="100000"/>
    <n v="0"/>
    <n v="-100000"/>
    <n v="0"/>
    <n v="-100000"/>
    <s v="New 2026 BoW (batch orchestraion work)"/>
    <m/>
    <m/>
    <m/>
    <m/>
    <m/>
    <m/>
    <m/>
    <m/>
    <m/>
    <m/>
    <m/>
    <m/>
    <n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s v="Placeholder funds for new initiatives have been forecasted as per Leon's instruction for utilisation and potential opportunities"/>
    <n v="0"/>
    <n v="0"/>
    <n v="0"/>
    <n v="0"/>
    <n v="0"/>
  </r>
  <r>
    <x v="0"/>
    <s v="CDW DIRECT LLC"/>
    <m/>
    <s v="Prj000350"/>
    <s v="Support - Infrastructure for Tech"/>
    <s v="Infrastructure Services, Controls &amp; User Enablement"/>
    <x v="0"/>
    <s v="NA"/>
    <s v="NA"/>
    <m/>
    <s v="Prj000350-Support - Infrastructure for Tech"/>
    <s v="Non-Labor"/>
    <x v="7"/>
    <s v="Hardware"/>
    <m/>
    <s v="Information Technology"/>
    <s v="Hardware - Desktop Equipment"/>
    <s v="Hardware - Desktop Equipment"/>
    <s v="Annual Expensed"/>
    <n v="0"/>
    <n v="0"/>
    <n v="0"/>
    <n v="75000"/>
    <n v="0"/>
    <n v="75000"/>
    <n v="75000"/>
    <s v="2026 Laptops - Danny- Risk"/>
    <m/>
    <m/>
    <m/>
    <m/>
    <m/>
    <m/>
    <m/>
    <m/>
    <m/>
    <m/>
    <m/>
    <n v="75000"/>
    <n v="75000"/>
    <n v="7500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-75000"/>
    <n v="-75000"/>
    <s v="New laptops, unbudgeted"/>
    <n v="0"/>
    <n v="0"/>
    <n v="75000"/>
    <n v="0"/>
    <n v="75000"/>
  </r>
  <r>
    <x v="0"/>
    <s v="Allvue Systems, LLC"/>
    <m/>
    <s v="Prj000381"/>
    <s v="Support - Prod Support for Credit Apps"/>
    <s v="Credit Technology"/>
    <x v="2"/>
    <d v="2026-01-01T00:00:00"/>
    <d v="2026-12-31T00:00:00"/>
    <s v="BMS"/>
    <s v="Prj000381-Support - Prod Support for Credit Apps"/>
    <s v="Non-Labor"/>
    <x v="0"/>
    <s v="Software"/>
    <s v="Subscription"/>
    <s v="Information Technology"/>
    <s v="Software - Core"/>
    <s v="Software - Core"/>
    <s v="Annual Prepaid"/>
    <n v="1670024"/>
    <n v="1778445.9000000001"/>
    <n v="1778445.9000000001"/>
    <n v="1864672.0199999998"/>
    <n v="0"/>
    <n v="86226.119999999646"/>
    <n v="86226.119999999646"/>
    <s v="Prepaid 2026"/>
    <n v="155389.33499999999"/>
    <n v="155389.33499999999"/>
    <n v="155389.33499999999"/>
    <n v="155389.33499999999"/>
    <n v="155389.33499999999"/>
    <n v="155389.33499999999"/>
    <n v="155389.33499999999"/>
    <n v="155389.33499999999"/>
    <n v="155389.33499999999"/>
    <n v="155389.33499999999"/>
    <n v="155389.33499999999"/>
    <n v="155389.33499999999"/>
    <n v="1864672.0199999998"/>
    <n v="1087725.345"/>
    <n v="155389.33499999999"/>
    <n v="155389.33499999999"/>
    <n v="155389.33499999999"/>
    <n v="155389.33499999999"/>
    <n v="155389.33499999999"/>
    <n v="155389.33499999999"/>
    <n v="155389.33499999999"/>
    <n v="155389.33499999999"/>
    <n v="155389.33499999999"/>
    <n v="155389.33499999999"/>
    <n v="155389.33499999999"/>
    <n v="155389.33499999999"/>
    <n v="1864672.0199999998"/>
    <n v="0"/>
    <n v="0"/>
    <n v="0"/>
    <n v="0"/>
    <n v="0"/>
    <n v="0"/>
    <n v="0"/>
    <n v="0"/>
    <n v="0"/>
    <n v="0"/>
    <n v="0"/>
    <n v="0"/>
    <n v="0"/>
    <s v="Budget v/s Actuals"/>
    <n v="776946.67499999993"/>
    <n v="0"/>
    <n v="1087725.345"/>
    <n v="776946.67499999993"/>
    <n v="1864672.02"/>
  </r>
  <r>
    <x v="0"/>
    <s v="OneStream Software, LLC"/>
    <s v="OneStream"/>
    <s v="Prj000344"/>
    <s v="Support - Prod support for Finance Applications"/>
    <s v="Finance &amp; Treasury Technology"/>
    <x v="2"/>
    <d v="2025-12-22T00:00:00"/>
    <d v="2026-12-21T00:00:00"/>
    <m/>
    <s v="Prj000344-Support - Prod support for Finance Applications"/>
    <s v="Non-Labor"/>
    <x v="0"/>
    <s v="Software"/>
    <m/>
    <s v="Information Technology"/>
    <s v="Software - Licenses"/>
    <s v="Software - Licenses"/>
    <s v="Annual Prepaid"/>
    <n v="284328.36999999994"/>
    <n v="298544.40000000002"/>
    <n v="298544.40000000002"/>
    <n v="284328.36999999994"/>
    <n v="-14216.030000000086"/>
    <n v="0"/>
    <n v="-14216.030000000086"/>
    <s v="Prepaid 2026"/>
    <n v="23694.030833333334"/>
    <n v="23694.030833333334"/>
    <n v="23694.030833333334"/>
    <n v="23694.030833333334"/>
    <n v="23694.030833333334"/>
    <n v="23694.030833333334"/>
    <n v="23694.030833333334"/>
    <n v="23694.030833333334"/>
    <n v="23694.030833333334"/>
    <n v="23694.030833333334"/>
    <n v="23694.030833333334"/>
    <n v="23694.030833333334"/>
    <n v="284328.36999999994"/>
    <n v="165858.21583333332"/>
    <n v="23694.030833333334"/>
    <n v="23694.030833333334"/>
    <n v="23694.030833333334"/>
    <n v="23694.030833333334"/>
    <n v="23694.030833333334"/>
    <n v="23694.030833333334"/>
    <n v="23694.030833333334"/>
    <n v="23694.030833333334"/>
    <n v="23694.030833333334"/>
    <n v="23694.030833333334"/>
    <n v="23694.030833333334"/>
    <n v="23694.030833333334"/>
    <n v="284328.36999999994"/>
    <n v="0"/>
    <n v="0"/>
    <n v="0"/>
    <n v="0"/>
    <n v="0"/>
    <n v="0"/>
    <n v="0"/>
    <n v="0"/>
    <n v="0"/>
    <n v="0"/>
    <n v="0"/>
    <n v="0"/>
    <n v="0"/>
    <s v="Budget v/s Actuals"/>
    <n v="118470.15416666667"/>
    <n v="0"/>
    <n v="165858.21583333332"/>
    <n v="118470.15416666667"/>
    <n v="284328.37"/>
  </r>
  <r>
    <x v="0"/>
    <s v="MARKIT NORTH AMERICA, INC."/>
    <s v="S&amp;P Global/ WSO"/>
    <s v="Prj000469"/>
    <s v="Support - Prod Support for Ops Apps"/>
    <s v="Operations Technology"/>
    <x v="2"/>
    <m/>
    <m/>
    <m/>
    <s v="Prj000469-Support - Prod Support for Ops Apps"/>
    <s v="Non-Labor"/>
    <x v="0"/>
    <s v="Software"/>
    <m/>
    <s v="Information Technology"/>
    <s v="Managed Service - Core"/>
    <s v="Managed Service - Core"/>
    <s v="Annual Expensed"/>
    <n v="0"/>
    <n v="0"/>
    <n v="0"/>
    <n v="232487.75"/>
    <n v="0"/>
    <n v="232487.75"/>
    <n v="232487.75"/>
    <s v="WSO Web Services - Subs/ WSO Web/AUM/SubVar- Potential Risk"/>
    <m/>
    <m/>
    <m/>
    <n v="232487.75"/>
    <m/>
    <m/>
    <m/>
    <m/>
    <m/>
    <m/>
    <m/>
    <m/>
    <n v="232487.75"/>
    <n v="0"/>
    <m/>
    <m/>
    <m/>
    <n v="232487.75"/>
    <m/>
    <m/>
    <m/>
    <m/>
    <m/>
    <m/>
    <m/>
    <m/>
    <n v="232487.75"/>
    <n v="0"/>
    <n v="0"/>
    <n v="0"/>
    <n v="0"/>
    <n v="0"/>
    <n v="0"/>
    <n v="0"/>
    <n v="0"/>
    <n v="0"/>
    <n v="0"/>
    <n v="0"/>
    <n v="0"/>
    <n v="0"/>
    <s v="Unbudgeted risk for 2025 AUM Overusage to be charged back to Operations"/>
    <n v="232487.75"/>
    <n v="0"/>
    <n v="0"/>
    <n v="232487.75"/>
    <n v="232487.75"/>
  </r>
  <r>
    <x v="0"/>
    <s v="Intelligent Business Platforms LLC"/>
    <s v="Intellibus"/>
    <s v="T&amp;M"/>
    <s v="T&amp;M"/>
    <s v="Infra Svcs &amp; User Enblt Tech"/>
    <x v="5"/>
    <d v="2026-07-01T00:00:00"/>
    <d v="2026-12-31T00:00:00"/>
    <s v="T&amp;M"/>
    <s v="T&amp;M-T&amp;M"/>
    <s v="Labor"/>
    <x v="4"/>
    <s v="CTB- T&amp;M"/>
    <s v="T&amp;M"/>
    <s v="Consulting"/>
    <s v="Consulting Change the Business"/>
    <s v="CTB Expenses - Consulting"/>
    <s v="Monthly Expensed"/>
    <n v="0"/>
    <n v="0"/>
    <n v="0"/>
    <n v="606720"/>
    <n v="0"/>
    <n v="606720"/>
    <n v="606720"/>
    <s v="T&amp;M- H2-2026 Risk unbudgeted extension"/>
    <m/>
    <m/>
    <m/>
    <m/>
    <m/>
    <m/>
    <n v="101120"/>
    <n v="101120"/>
    <n v="101120"/>
    <n v="101120"/>
    <n v="101120"/>
    <n v="101120"/>
    <n v="606720"/>
    <n v="606720"/>
    <m/>
    <m/>
    <m/>
    <m/>
    <m/>
    <m/>
    <m/>
    <m/>
    <m/>
    <m/>
    <m/>
    <m/>
    <n v="0"/>
    <n v="0"/>
    <n v="0"/>
    <n v="0"/>
    <n v="0"/>
    <n v="0"/>
    <n v="0"/>
    <n v="-101120"/>
    <n v="-101120"/>
    <n v="-101120"/>
    <n v="-101120"/>
    <n v="-101120"/>
    <n v="-101120"/>
    <n v="-606720"/>
    <s v="Contract expected to extend in second half of 2026, unbudgeted"/>
    <n v="0"/>
    <n v="0"/>
    <n v="606720"/>
    <n v="0"/>
    <n v="606720"/>
  </r>
  <r>
    <x v="0"/>
    <s v="Indus Valley Partners Corporation"/>
    <s v="IVP"/>
    <s v="T&amp;M"/>
    <s v="T&amp;M"/>
    <s v="Infra Svcs &amp; User Enblt Tech"/>
    <x v="5"/>
    <d v="2026-07-01T00:00:00"/>
    <d v="2026-12-31T00:00:00"/>
    <s v="Prj Mgmt T&amp;M"/>
    <s v="T&amp;M-T&amp;M"/>
    <s v="Labor"/>
    <x v="4"/>
    <s v="RTB- T&amp;M"/>
    <s v="T&amp;M"/>
    <s v="Outsourced"/>
    <s v="Run the Business Contractors and Outsource Services"/>
    <s v="RTB Expenses - Contractor"/>
    <s v="Monthly Expensed"/>
    <n v="0"/>
    <n v="0"/>
    <n v="0"/>
    <n v="1557600"/>
    <n v="0"/>
    <n v="1557600"/>
    <n v="1557600"/>
    <s v="Renaissance, H2 unbudgeted extension"/>
    <m/>
    <m/>
    <m/>
    <m/>
    <m/>
    <m/>
    <n v="259600"/>
    <n v="259600"/>
    <n v="259600"/>
    <n v="259600"/>
    <n v="259600"/>
    <n v="259600"/>
    <n v="1557600"/>
    <n v="1557600"/>
    <m/>
    <m/>
    <m/>
    <m/>
    <m/>
    <m/>
    <m/>
    <m/>
    <m/>
    <m/>
    <m/>
    <m/>
    <n v="0"/>
    <n v="0"/>
    <n v="0"/>
    <n v="0"/>
    <n v="0"/>
    <n v="0"/>
    <n v="0"/>
    <n v="-259600"/>
    <n v="-259600"/>
    <n v="-259600"/>
    <n v="-259600"/>
    <n v="-259600"/>
    <n v="-259600"/>
    <n v="-1557600"/>
    <s v="Contract expected to extend in second half of 2026, unbudgeted.  Viabhav-0 .5 Rahul-0 .5 Vedang, + 2 Offshore FTE"/>
    <n v="0"/>
    <n v="0"/>
    <n v="1557600"/>
    <n v="0"/>
    <n v="1557600"/>
  </r>
  <r>
    <x v="0"/>
    <s v="2026 PH"/>
    <m/>
    <s v="Prj000296"/>
    <s v="Support - PMO Governance &amp; Reporting Activities"/>
    <s v="Cos, PMO &amp; Enterprise Technology"/>
    <x v="1"/>
    <s v="NA"/>
    <s v="NA"/>
    <m/>
    <s v="Prj000296-Support - PMO Governance &amp; Reporting Activities"/>
    <s v="Labor"/>
    <x v="5"/>
    <s v="RTB- FPC"/>
    <m/>
    <s v="Outsourced"/>
    <s v="Run the Business Contractors and Outsource Services"/>
    <s v="RTB Expenses - Contractor"/>
    <s v="NA"/>
    <n v="0"/>
    <n v="0"/>
    <n v="12896"/>
    <n v="12896"/>
    <n v="0"/>
    <n v="0"/>
    <n v="0"/>
    <s v="Hard Opportunity- Variance from OneStream Budget vs IT Budget"/>
    <n v="0"/>
    <n v="0"/>
    <n v="0"/>
    <n v="0"/>
    <n v="0"/>
    <n v="0"/>
    <n v="0"/>
    <n v="0"/>
    <n v="0"/>
    <n v="0"/>
    <n v="0"/>
    <n v="12896"/>
    <n v="12896"/>
    <n v="128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-12896"/>
    <n v="-12896"/>
    <s v="This place holder is a difference between Onestream the amount initiall budgeted as part of 5 year projection v/s 2026 budget finalised by previous budget preparers, initially the amount was $10848, Then added $2048 to total same as final budget in onestream and final approved amount"/>
    <n v="0"/>
    <n v="0"/>
    <n v="12896"/>
    <n v="0"/>
    <n v="12896"/>
  </r>
  <r>
    <x v="0"/>
    <s v="Andersen Tax Holdings"/>
    <s v="1Rivet"/>
    <s v="T&amp;M"/>
    <s v="T&amp;M"/>
    <s v=""/>
    <x v="1"/>
    <d v="2026-03-16T00:00:00"/>
    <d v="2026-12-31T00:00:00"/>
    <m/>
    <s v="T&amp;M-T&amp;M"/>
    <s v="Labor"/>
    <x v="4"/>
    <s v="RTB- T&amp;M"/>
    <s v="T&amp;M"/>
    <s v="Outsourced"/>
    <s v="Run the Business Contractors and Outsource Services"/>
    <s v="RTB Expenses - Contractor"/>
    <s v="Monthly Expensed"/>
    <m/>
    <m/>
    <n v="0"/>
    <n v="69325"/>
    <n v="0"/>
    <n v="69325"/>
    <n v="69325"/>
    <s v="Swati Yadav"/>
    <m/>
    <m/>
    <n v="3760"/>
    <n v="7520"/>
    <n v="7520"/>
    <n v="7520"/>
    <n v="7520"/>
    <n v="7520"/>
    <n v="7520"/>
    <n v="7520"/>
    <n v="7520"/>
    <n v="7520"/>
    <n v="71440"/>
    <n v="52640"/>
    <n v="0"/>
    <m/>
    <m/>
    <n v="4888"/>
    <n v="8037"/>
    <m/>
    <m/>
    <m/>
    <m/>
    <m/>
    <m/>
    <m/>
    <n v="12925"/>
    <n v="0"/>
    <n v="0"/>
    <n v="-3760"/>
    <n v="-2632"/>
    <n v="517"/>
    <n v="-7520"/>
    <n v="-7520"/>
    <n v="-7520"/>
    <n v="-7520"/>
    <n v="-7520"/>
    <n v="-7520"/>
    <n v="-7520"/>
    <n v="-58515"/>
    <s v="Cost to be setoff with Coforge (Swati replacing Shanky)"/>
    <n v="12925"/>
    <n v="3760"/>
    <n v="56400"/>
    <n v="18800"/>
    <n v="69325"/>
  </r>
  <r>
    <x v="0"/>
    <s v="Andersen Tax Holdings"/>
    <s v="1Rivet"/>
    <s v="T&amp;M"/>
    <s v="T&amp;M"/>
    <s v=""/>
    <x v="0"/>
    <d v="2026-02-04T00:00:00"/>
    <d v="2026-07-31T00:00:00"/>
    <m/>
    <s v="T&amp;M-T&amp;M"/>
    <s v="Labor"/>
    <x v="4"/>
    <s v="RTB- T&amp;M"/>
    <s v="T&amp;M"/>
    <s v="Outsourced"/>
    <s v="Run the Business Contractors and Outsource Services"/>
    <s v="RTB Expenses - Contractor"/>
    <s v="Monthly Expensed"/>
    <m/>
    <m/>
    <n v="0"/>
    <n v="38822"/>
    <n v="0"/>
    <n v="38822"/>
    <n v="38822"/>
    <s v="Danny's extra 1Rivet HC - Risk"/>
    <m/>
    <m/>
    <n v="7520"/>
    <n v="7520"/>
    <n v="7520"/>
    <n v="7520"/>
    <n v="7520"/>
    <m/>
    <m/>
    <m/>
    <m/>
    <m/>
    <n v="37600"/>
    <n v="15040"/>
    <n v="0"/>
    <m/>
    <n v="7144"/>
    <n v="8272"/>
    <n v="8366"/>
    <m/>
    <m/>
    <m/>
    <m/>
    <m/>
    <m/>
    <m/>
    <n v="23782"/>
    <n v="0"/>
    <n v="0"/>
    <n v="-376"/>
    <n v="752"/>
    <n v="846"/>
    <n v="-7520"/>
    <n v="-7520"/>
    <n v="0"/>
    <n v="0"/>
    <n v="0"/>
    <n v="0"/>
    <n v="0"/>
    <n v="-13818"/>
    <s v="Extra resource requested by Danny from 1Rivet to replace Acenture resources, unbudgeted (Arif Inamdar)"/>
    <n v="23782"/>
    <n v="0"/>
    <n v="15040"/>
    <n v="22560"/>
    <n v="38822"/>
  </r>
  <r>
    <x v="0"/>
    <s v="Norske Finansielle Referanser AS"/>
    <s v="Nore"/>
    <s v="Prj000469"/>
    <s v="Support - Prod Support for Ops Apps"/>
    <s v="Operations Technology"/>
    <x v="2"/>
    <d v="2026-03-01T00:00:00"/>
    <d v="2026-12-31T00:00:00"/>
    <m/>
    <s v="Prj000469-Support - Prod Support for Ops Apps"/>
    <s v="Non-Labor"/>
    <x v="1"/>
    <s v="OOE"/>
    <s v="Market Data"/>
    <s v="Subscription Services"/>
    <s v="Subscription Services"/>
    <s v="Office Expense"/>
    <s v="Quarterly Expensed"/>
    <n v="0"/>
    <n v="0"/>
    <n v="0"/>
    <n v="15208"/>
    <n v="0"/>
    <n v="15208"/>
    <n v="15208"/>
    <m/>
    <m/>
    <m/>
    <m/>
    <n v="15208"/>
    <m/>
    <m/>
    <m/>
    <m/>
    <m/>
    <m/>
    <m/>
    <m/>
    <n v="15208"/>
    <n v="0"/>
    <m/>
    <m/>
    <m/>
    <n v="15208"/>
    <m/>
    <m/>
    <m/>
    <m/>
    <m/>
    <m/>
    <m/>
    <m/>
    <n v="15208"/>
    <n v="0"/>
    <n v="0"/>
    <n v="0"/>
    <n v="0"/>
    <n v="0"/>
    <n v="0"/>
    <n v="0"/>
    <n v="0"/>
    <n v="0"/>
    <n v="0"/>
    <n v="0"/>
    <n v="0"/>
    <n v="0"/>
    <s v="Nore is data source provider for Refinitive - not part of initial budget"/>
    <n v="15208"/>
    <n v="0"/>
    <n v="0"/>
    <n v="15208"/>
    <n v="15208"/>
  </r>
  <r>
    <x v="0"/>
    <s v="CME Group"/>
    <m/>
    <s v="Prj000469"/>
    <s v="Support - Prod Support for Ops Apps"/>
    <s v="Operations Technology"/>
    <x v="2"/>
    <d v="2025-12-01T00:00:00"/>
    <d v="2026-12-31T00:00:00"/>
    <s v="LIQ"/>
    <s v="Prj000469-Support - Prod Support for Ops Apps"/>
    <s v="Non-Labor"/>
    <x v="0"/>
    <s v="Software"/>
    <s v="Software License"/>
    <s v="Information Technology"/>
    <s v="Software - Licenses"/>
    <s v="Software - Licenses"/>
    <s v="Annual Expensed"/>
    <n v="0"/>
    <n v="0"/>
    <n v="0"/>
    <n v="102000"/>
    <n v="0"/>
    <n v="102000"/>
    <n v="102000"/>
    <s v="This was not part of initial budget"/>
    <m/>
    <m/>
    <m/>
    <n v="92000"/>
    <m/>
    <m/>
    <m/>
    <m/>
    <m/>
    <m/>
    <m/>
    <n v="10000"/>
    <n v="102000"/>
    <n v="10000"/>
    <m/>
    <m/>
    <m/>
    <n v="92000"/>
    <m/>
    <m/>
    <m/>
    <m/>
    <m/>
    <m/>
    <m/>
    <m/>
    <n v="92000"/>
    <n v="0"/>
    <n v="0"/>
    <n v="0"/>
    <n v="0"/>
    <n v="0"/>
    <n v="0"/>
    <n v="0"/>
    <n v="0"/>
    <n v="0"/>
    <n v="0"/>
    <n v="0"/>
    <n v="-10000"/>
    <n v="-10000"/>
    <s v="Unbudgeted, New risk - CME Group SOFR License, $1K per month charge back expected from"/>
    <n v="92000"/>
    <n v="0"/>
    <n v="10000"/>
    <n v="92000"/>
    <n v="102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A94DEA-BD49-4B74-9EA2-CF8250454F03}" name="PivotTable4" cacheId="5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ategory">
  <location ref="A3:F11" firstHeaderRow="0" firstDataRow="1" firstDataCol="1" rowPageCount="1" colPageCount="1"/>
  <pivotFields count="73">
    <pivotField axis="axisPage" multipleItemSelectionAllowed="1" showAll="0">
      <items count="6">
        <item x="4"/>
        <item h="1" x="3"/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6"/>
        <item x="5"/>
        <item x="7"/>
        <item x="3"/>
        <item x="4"/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numFmtId="166" showAll="0"/>
    <pivotField dataField="1" numFmtId="166" showAll="0"/>
    <pivotField dataField="1" numFmtId="166" showAll="0"/>
    <pivotField dataField="1" numFmtId="166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6" showAll="0"/>
    <pivotField numFmtId="166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showAll="0"/>
    <pivotField numFmtId="166" showAll="0"/>
    <pivotField numFmtId="166" showAll="0"/>
    <pivotField numFmtId="166" showAll="0"/>
    <pivotField numFmtId="166" showAll="0"/>
    <pivotField numFmtId="166" showAll="0"/>
  </pivotFields>
  <rowFields count="1">
    <field x="12"/>
  </rowFields>
  <rowItems count="8"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1">
    <pageField fld="0" hier="-1"/>
  </pageFields>
  <dataFields count="5">
    <dataField name="Sum of 2026 Final Budget" fld="21" baseField="0" baseItem="0"/>
    <dataField name="Sum of 2026 (Actuals + Forecast)" fld="22" baseField="0" baseItem="0" numFmtId="166"/>
    <dataField name="Sum of 2026 Risk" fld="24" baseField="0" baseItem="0" numFmtId="166"/>
    <dataField name="Sum of 2026 Opportunity" fld="23" baseField="0" baseItem="0" numFmtId="166"/>
    <dataField name="Sum of 2026 Net Position" fld="25" baseField="0" baseItem="0" numFmtId="166"/>
  </dataFields>
  <formats count="2">
    <format dxfId="103">
      <pivotArea outline="0" collapsedLevelsAreSubtotals="1" fieldPosition="0"/>
    </format>
    <format dxfId="104">
      <pivotArea dataOnly="0" labelOnly="1" outline="0" fieldPosition="0">
        <references count="1">
          <reference field="4294967294" count="4">
            <x v="0"/>
            <x v="2"/>
            <x v="3"/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E7AC89-29EF-4D09-BBD0-7869DCAC197F}" name="PivotTable2" cacheId="5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6:D24" firstHeaderRow="0" firstDataRow="1" firstDataCol="1" rowPageCount="2" colPageCount="1"/>
  <pivotFields count="69">
    <pivotField axis="axisPage" multipleItemSelectionAllowed="1" showAll="0">
      <items count="6">
        <item x="4"/>
        <item h="1" x="3"/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axis="axisRow" showAll="0">
      <items count="11">
        <item x="5"/>
        <item x="0"/>
        <item x="2"/>
        <item x="4"/>
        <item m="1" x="9"/>
        <item x="3"/>
        <item x="1"/>
        <item m="1" x="7"/>
        <item x="6"/>
        <item m="1" x="8"/>
        <item t="default"/>
      </items>
    </pivotField>
    <pivotField showAll="0"/>
    <pivotField showAll="0"/>
    <pivotField showAll="0"/>
    <pivotField showAll="0"/>
    <pivotField showAll="0"/>
    <pivotField axis="axisPage" multipleItemSelectionAllowed="1" showAll="0">
      <items count="10">
        <item h="1" x="6"/>
        <item x="5"/>
        <item x="7"/>
        <item x="3"/>
        <item x="4"/>
        <item x="2"/>
        <item x="1"/>
        <item x="0"/>
        <item h="1" m="1"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numFmtId="166" showAll="0"/>
    <pivotField dataField="1" numFmtId="166" showAll="0"/>
    <pivotField dataField="1" numFmtId="166" showAll="0"/>
    <pivotField numFmtId="166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6" showAll="0"/>
    <pivotField numFmtId="166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showAll="0"/>
    <pivotField numFmtId="166" showAll="0"/>
  </pivotFields>
  <rowFields count="1">
    <field x="6"/>
  </rowFields>
  <rowItems count="8">
    <i>
      <x/>
    </i>
    <i>
      <x v="1"/>
    </i>
    <i>
      <x v="2"/>
    </i>
    <i>
      <x v="3"/>
    </i>
    <i>
      <x v="5"/>
    </i>
    <i>
      <x v="6"/>
    </i>
    <i>
      <x v="8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2">
    <pageField fld="0" hier="-1"/>
    <pageField fld="12" hier="-1"/>
  </pageFields>
  <dataFields count="3">
    <dataField name="Sum of 2026 Risk" fld="24" baseField="0" baseItem="0" numFmtId="166"/>
    <dataField name="Sum of 2026 Opportunity" fld="23" baseField="0" baseItem="0" numFmtId="166"/>
    <dataField name="Sum of 2026 Final Budget" fld="21" baseField="0" baseItem="0"/>
  </dataFields>
  <formats count="1">
    <format dxfId="10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07DABF-1B52-457C-8370-2A4962D9F314}" name="PivotTable1" cacheId="5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29:E37" firstHeaderRow="1" firstDataRow="2" firstDataCol="2" rowPageCount="1" colPageCount="1"/>
  <pivotFields count="68">
    <pivotField axis="axisPage" compact="0" outline="0" multipleItemSelectionAllowed="1" showAll="0">
      <items count="8">
        <item h="1" x="4"/>
        <item h="1" x="3"/>
        <item x="0"/>
        <item x="1"/>
        <item x="2"/>
        <item m="1" x="6"/>
        <item m="1" x="5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9">
        <item sd="0" x="5"/>
        <item sd="0" x="0"/>
        <item sd="0" x="2"/>
        <item sd="0" x="4"/>
        <item sd="0" x="3"/>
        <item sd="0" x="1"/>
        <item sd="0" x="6"/>
        <item sd="0" m="1" x="7"/>
        <item t="default" sd="0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10">
        <item x="6"/>
        <item x="5"/>
        <item x="7"/>
        <item x="3"/>
        <item x="4"/>
        <item x="2"/>
        <item x="1"/>
        <item x="0"/>
        <item m="1" x="8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numFmtId="166" outline="0" showAll="0"/>
    <pivotField compact="0" numFmtId="166" outline="0" showAll="0"/>
    <pivotField compact="0" numFmtId="166" outline="0" showAll="0"/>
    <pivotField dataField="1" compact="0" numFmtId="166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6" outline="0" showAll="0"/>
    <pivotField compact="0" numFmtId="166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numFmtId="166" outline="0" showAll="0"/>
    <pivotField compact="0" numFmtId="166" outline="0" showAll="0"/>
    <pivotField compact="0" numFmtId="166" outline="0" showAll="0"/>
    <pivotField compact="0" numFmtId="166" outline="0" showAll="0"/>
    <pivotField compact="0" numFmtId="166" outline="0" showAll="0"/>
    <pivotField compact="0" numFmtId="166" outline="0" showAll="0"/>
    <pivotField compact="0" numFmtId="166" outline="0" showAll="0"/>
    <pivotField compact="0" numFmtId="166" outline="0" showAll="0"/>
    <pivotField compact="0" numFmtId="166" outline="0" showAll="0"/>
    <pivotField compact="0" numFmtId="166" outline="0" showAll="0"/>
    <pivotField compact="0" numFmtId="166" outline="0" showAll="0"/>
    <pivotField compact="0" numFmtId="166" outline="0" showAll="0"/>
    <pivotField compact="0" numFmtId="166" outline="0" showAll="0"/>
    <pivotField compact="0" numFmtId="166" outline="0" showAll="0"/>
    <pivotField compact="0" outline="0" showAll="0"/>
  </pivotFields>
  <rowFields count="2">
    <field x="6"/>
    <field x="1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0" hier="-1"/>
  </pageFields>
  <dataFields count="3">
    <dataField name="Sum of 2026 Final Budget" fld="21" baseField="0" baseItem="0"/>
    <dataField name="YTD Actuals" fld="53" baseField="0" baseItem="0" numFmtId="166"/>
    <dataField name="Sum of 2026 Net Position" fld="25" baseField="0" baseItem="0" numFmtId="166"/>
  </dataFields>
  <formats count="8">
    <format dxfId="94">
      <pivotArea outline="0" collapsedLevelsAreSubtotals="1" fieldPosition="0"/>
    </format>
    <format dxfId="95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96">
      <pivotArea field="6" type="button" dataOnly="0" labelOnly="1" outline="0" axis="axisRow" fieldPosition="0"/>
    </format>
    <format dxfId="97">
      <pivotArea field="12" type="button" dataOnly="0" labelOnly="1" outline="0" axis="axisRow" fieldPosition="1"/>
    </format>
    <format dxfId="98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99">
      <pivotArea field="6" type="button" dataOnly="0" labelOnly="1" outline="0" axis="axisRow" fieldPosition="0"/>
    </format>
    <format dxfId="100">
      <pivotArea field="12" type="button" dataOnly="0" labelOnly="1" outline="0" axis="axisRow" fieldPosition="1"/>
    </format>
    <format dxfId="101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05022D-4682-44B7-9D2C-E85A7D6E2921}" name="PivotTable1" cacheId="5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1:P9" firstHeaderRow="1" firstDataRow="2" firstDataCol="1"/>
  <pivotFields count="73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8">
        <item x="5"/>
        <item x="0"/>
        <item x="2"/>
        <item x="4"/>
        <item x="3"/>
        <item x="1"/>
        <item h="1" x="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6" outline="0" showAll="0"/>
    <pivotField compact="0" numFmtId="166" outline="0" showAll="0"/>
    <pivotField compact="0" numFmtId="166" outline="0" showAll="0"/>
    <pivotField compact="0" numFmtId="166" outline="0" showAll="0"/>
    <pivotField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6" outline="0" showAll="0"/>
    <pivotField compact="0" numFmtId="166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6" outline="0" showAll="0"/>
    <pivotField dataField="1" compact="0" numFmtId="166" outline="0" showAll="0"/>
    <pivotField dataField="1" compact="0" numFmtId="166" outline="0" showAll="0"/>
    <pivotField dataField="1" compact="0" numFmtId="166" outline="0" showAll="0"/>
    <pivotField dataField="1" compact="0" numFmtId="166" outline="0" showAll="0"/>
    <pivotField dataField="1" compact="0" numFmtId="166" outline="0" showAll="0"/>
    <pivotField compact="0" numFmtId="166" outline="0" showAll="0"/>
    <pivotField compact="0" numFmtId="166" outline="0" showAll="0"/>
    <pivotField compact="0" numFmtId="166" outline="0" showAll="0"/>
    <pivotField compact="0" numFmtId="166" outline="0" showAll="0"/>
    <pivotField compact="0" numFmtId="166" outline="0" showAll="0"/>
    <pivotField compact="0" numFmtId="166" outline="0" showAll="0"/>
    <pivotField compact="0" numFmtId="166" outline="0" showAll="0"/>
    <pivotField compact="0" numFmtId="166" outline="0" showAll="0"/>
    <pivotField compact="0" outline="0" showAll="0"/>
    <pivotField compact="0" numFmtId="166" outline="0" showAll="0"/>
    <pivotField compact="0" numFmtId="166" outline="0" showAll="0"/>
    <pivotField compact="0" numFmtId="166" outline="0" showAll="0"/>
    <pivotField compact="0" numFmtId="166" outline="0" showAll="0"/>
    <pivotField compact="0" numFmtId="166" outline="0" showAll="0"/>
  </pivotFields>
  <rowFields count="1">
    <field x="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15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</colItems>
  <dataFields count="15">
    <dataField name="Sum of Jan FC" fld="27" baseField="0" baseItem="0"/>
    <dataField name="Sum of Jan AC" fld="41" baseField="0" baseItem="0"/>
    <dataField name="Sum of Jan Opp/Risk" fld="54" baseField="0" baseItem="0" numFmtId="166"/>
    <dataField name="Sum of Feb FC" fld="28" baseField="0" baseItem="0"/>
    <dataField name="Sum of Feb AC" fld="42" baseField="0" baseItem="0"/>
    <dataField name="Sum of Feb Opp./Risk" fld="55" baseField="0" baseItem="0" numFmtId="166"/>
    <dataField name="Sum of Mar FC" fld="29" baseField="0" baseItem="0"/>
    <dataField name="Sum of Mar AC" fld="43" baseField="0" baseItem="0"/>
    <dataField name="Sum of Mar Opp./Risk" fld="56" baseField="0" baseItem="0" numFmtId="166"/>
    <dataField name="Sum of Apr FC" fld="30" baseField="0" baseItem="0"/>
    <dataField name="Sum of Apr AC" fld="44" baseField="0" baseItem="0"/>
    <dataField name="Sum of Apr Opp./Risk" fld="57" baseField="0" baseItem="0" numFmtId="166"/>
    <dataField name="Sum of May FC" fld="31" baseField="0" baseItem="0"/>
    <dataField name="Sum of May AC" fld="45" baseField="0" baseItem="0"/>
    <dataField name="Sum of May Opp./Risk" fld="58" baseField="0" baseItem="0" numFmtId="166"/>
  </dataFields>
  <formats count="1">
    <format dxfId="9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50F8A6-7B2F-4F71-ABC0-A0BE7AD7C1FC}" name="PivotTable2" cacheId="5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L47" firstHeaderRow="1" firstDataRow="2" firstDataCol="2" rowPageCount="1" colPageCount="1"/>
  <pivotFields count="68">
    <pivotField compact="0" outline="0" showAll="0"/>
    <pivotField compact="0" outline="0" showAll="0"/>
    <pivotField compact="0" outline="0" showAll="0"/>
    <pivotField axis="axisRow" compact="0" outline="0" showAll="0">
      <items count="36">
        <item x="21"/>
        <item x="20"/>
        <item x="27"/>
        <item x="22"/>
        <item x="1"/>
        <item x="32"/>
        <item x="4"/>
        <item x="33"/>
        <item x="15"/>
        <item x="2"/>
        <item x="0"/>
        <item x="24"/>
        <item x="16"/>
        <item x="5"/>
        <item x="31"/>
        <item x="7"/>
        <item x="10"/>
        <item x="18"/>
        <item x="6"/>
        <item x="17"/>
        <item x="14"/>
        <item x="29"/>
        <item x="12"/>
        <item x="9"/>
        <item x="11"/>
        <item x="19"/>
        <item x="30"/>
        <item x="28"/>
        <item x="26"/>
        <item x="25"/>
        <item x="13"/>
        <item x="23"/>
        <item x="8"/>
        <item m="1" x="34"/>
        <item x="3"/>
        <item t="default"/>
      </items>
    </pivotField>
    <pivotField compact="0" outline="0" showAll="0"/>
    <pivotField compact="0" outline="0" showAll="0"/>
    <pivotField axis="axisRow" compact="0" outline="0" showAll="0">
      <items count="9">
        <item x="5"/>
        <item x="0"/>
        <item x="2"/>
        <item x="4"/>
        <item x="3"/>
        <item x="1"/>
        <item h="1" x="6"/>
        <item h="1" m="1" x="7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10">
        <item x="6"/>
        <item x="5"/>
        <item x="7"/>
        <item x="3"/>
        <item x="4"/>
        <item x="2"/>
        <item x="1"/>
        <item x="0"/>
        <item m="1" x="8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numFmtId="166" outline="0" showAll="0"/>
    <pivotField compact="0" numFmtId="166" outline="0" showAll="0"/>
    <pivotField compact="0" numFmtId="166" outline="0" showAll="0"/>
    <pivotField dataField="1" compact="0" numFmtId="166" outline="0" showAll="0"/>
    <pivotField compact="0" outline="0" showAll="0"/>
    <pivotField dataField="1" compact="0" outline="0" showAll="0"/>
    <pivotField dataField="1"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numFmtId="166" outline="0" showAll="0"/>
    <pivotField compact="0" numFmtId="166" outline="0" showAll="0"/>
    <pivotField dataField="1" compact="0" outline="0" showAll="0"/>
    <pivotField dataField="1"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numFmtId="166" outline="0" showAll="0"/>
    <pivotField compact="0" numFmtId="166" outline="0" showAll="0"/>
    <pivotField compact="0" numFmtId="166" outline="0" showAll="0"/>
    <pivotField compact="0" numFmtId="166" outline="0" showAll="0"/>
    <pivotField compact="0" numFmtId="166" outline="0" showAll="0"/>
    <pivotField compact="0" numFmtId="166" outline="0" showAll="0"/>
    <pivotField compact="0" numFmtId="166" outline="0" showAll="0"/>
    <pivotField compact="0" numFmtId="166" outline="0" showAll="0"/>
    <pivotField compact="0" numFmtId="166" outline="0" showAll="0"/>
    <pivotField compact="0" numFmtId="166" outline="0" showAll="0"/>
    <pivotField compact="0" numFmtId="166" outline="0" showAll="0"/>
    <pivotField compact="0" numFmtId="166" outline="0" showAll="0"/>
    <pivotField compact="0" numFmtId="166" outline="0" showAll="0"/>
    <pivotField compact="0" numFmtId="166" outline="0" showAll="0"/>
    <pivotField compact="0" outline="0" showAll="0"/>
  </pivotFields>
  <rowFields count="2">
    <field x="6"/>
    <field x="3"/>
  </rowFields>
  <rowItems count="43">
    <i>
      <x/>
      <x v="11"/>
    </i>
    <i r="1">
      <x v="15"/>
    </i>
    <i r="1">
      <x v="22"/>
    </i>
    <i r="1">
      <x v="23"/>
    </i>
    <i r="1">
      <x v="25"/>
    </i>
    <i r="1">
      <x v="26"/>
    </i>
    <i r="1">
      <x v="27"/>
    </i>
    <i r="1">
      <x v="30"/>
    </i>
    <i r="1">
      <x v="32"/>
    </i>
    <i t="default">
      <x/>
    </i>
    <i>
      <x v="1"/>
      <x v="8"/>
    </i>
    <i r="1">
      <x v="10"/>
    </i>
    <i r="1">
      <x v="12"/>
    </i>
    <i r="1">
      <x v="17"/>
    </i>
    <i r="1">
      <x v="21"/>
    </i>
    <i r="1">
      <x v="32"/>
    </i>
    <i t="default">
      <x v="1"/>
    </i>
    <i>
      <x v="2"/>
      <x v="2"/>
    </i>
    <i r="1">
      <x v="5"/>
    </i>
    <i r="1">
      <x v="9"/>
    </i>
    <i r="1">
      <x v="13"/>
    </i>
    <i r="1">
      <x v="24"/>
    </i>
    <i r="1">
      <x v="28"/>
    </i>
    <i r="1">
      <x v="29"/>
    </i>
    <i r="1">
      <x v="32"/>
    </i>
    <i r="1">
      <x v="34"/>
    </i>
    <i t="default">
      <x v="2"/>
    </i>
    <i>
      <x v="3"/>
      <x v="14"/>
    </i>
    <i r="1">
      <x v="16"/>
    </i>
    <i r="1">
      <x v="18"/>
    </i>
    <i r="1">
      <x v="19"/>
    </i>
    <i r="1">
      <x v="31"/>
    </i>
    <i r="1">
      <x v="32"/>
    </i>
    <i t="default">
      <x v="3"/>
    </i>
    <i>
      <x v="4"/>
      <x v="3"/>
    </i>
    <i r="1">
      <x v="6"/>
    </i>
    <i t="default">
      <x v="4"/>
    </i>
    <i>
      <x v="5"/>
      <x v="4"/>
    </i>
    <i r="1">
      <x v="7"/>
    </i>
    <i r="1">
      <x v="20"/>
    </i>
    <i r="1">
      <x v="32"/>
    </i>
    <i t="default">
      <x v="5"/>
    </i>
    <i t="grand">
      <x/>
    </i>
  </rowItems>
  <colFields count="1">
    <field x="-2"/>
  </colFields>
  <colItems count="10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</colItems>
  <pageFields count="1">
    <pageField fld="12" hier="-1"/>
  </pageFields>
  <dataFields count="10">
    <dataField name="Sum of 2026 Final Budget" fld="21" baseField="0" baseItem="0"/>
    <dataField name="Sum of 2026 Net Position" fld="25" baseField="0" baseItem="0" numFmtId="166"/>
    <dataField name="Sum of Total - FC" fld="39" baseField="0" baseItem="0" numFmtId="166"/>
    <dataField name="Sum of Jan FC" fld="27" baseField="0" baseItem="0"/>
    <dataField name="Sum of Feb FC" fld="28" baseField="0" baseItem="0"/>
    <dataField name="Sum of Mar FC" fld="29" baseField="0" baseItem="0"/>
    <dataField name="Sum of Total Actuals" fld="53" baseField="0" baseItem="0" numFmtId="166"/>
    <dataField name="Sum of Jan AC" fld="41" baseField="0" baseItem="0"/>
    <dataField name="Sum of Feb AC" fld="42" baseField="0" baseItem="0"/>
    <dataField name="Sum of Mar AC" fld="43" baseField="0" baseItem="0"/>
  </dataFields>
  <formats count="10">
    <format dxfId="83">
      <pivotArea type="topRight" dataOnly="0" labelOnly="1" outline="0" offset="B1" fieldPosition="0"/>
    </format>
    <format dxfId="84">
      <pivotArea type="topRight" dataOnly="0" labelOnly="1" outline="0" offset="E1" fieldPosition="0"/>
    </format>
    <format dxfId="85">
      <pivotArea type="topRight" dataOnly="0" labelOnly="1" outline="0" offset="H1" fieldPosition="0"/>
    </format>
    <format dxfId="86">
      <pivotArea outline="0" collapsedLevelsAreSubtotals="1" fieldPosition="0"/>
    </format>
    <format dxfId="87">
      <pivotArea type="topRight" dataOnly="0" labelOnly="1" outline="0" offset="B1" fieldPosition="0"/>
    </format>
    <format dxfId="88">
      <pivotArea type="topRight" dataOnly="0" labelOnly="1" outline="0" offset="E1" fieldPosition="0"/>
    </format>
    <format dxfId="89">
      <pivotArea type="topRight" dataOnly="0" labelOnly="1" outline="0" offset="H1:J1" fieldPosition="0"/>
    </format>
    <format dxfId="90">
      <pivotArea dataOnly="0" labelOnly="1" outline="0" fieldPosition="0">
        <references count="1">
          <reference field="4294967294" count="3">
            <x v="7"/>
            <x v="8"/>
            <x v="9"/>
          </reference>
        </references>
      </pivotArea>
    </format>
    <format dxfId="91">
      <pivotArea type="topRight" dataOnly="0" labelOnly="1" outline="0" offset="G1" fieldPosition="0"/>
    </format>
    <format dxfId="92">
      <pivotArea dataOnly="0" labelOnly="1" outline="0" fieldPosition="0">
        <references count="1">
          <reference field="4294967294" count="1">
            <x v="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09FFE4-FD37-44EC-ABA3-7345290F41E2}" name="PivotTable1" cacheId="5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O4:U84" firstHeaderRow="1" firstDataRow="2" firstDataCol="1" rowPageCount="2" colPageCount="1"/>
  <pivotFields count="68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82">
        <item x="74"/>
        <item x="49"/>
        <item x="76"/>
        <item x="61"/>
        <item x="56"/>
        <item x="19"/>
        <item x="2"/>
        <item x="69"/>
        <item x="58"/>
        <item x="59"/>
        <item x="9"/>
        <item x="12"/>
        <item x="21"/>
        <item x="50"/>
        <item x="25"/>
        <item x="6"/>
        <item x="65"/>
        <item x="14"/>
        <item x="45"/>
        <item x="26"/>
        <item x="46"/>
        <item x="47"/>
        <item x="79"/>
        <item x="17"/>
        <item x="60"/>
        <item x="7"/>
        <item x="18"/>
        <item x="44"/>
        <item x="43"/>
        <item x="51"/>
        <item x="22"/>
        <item x="27"/>
        <item x="70"/>
        <item x="4"/>
        <item x="62"/>
        <item x="28"/>
        <item x="63"/>
        <item x="29"/>
        <item x="23"/>
        <item x="30"/>
        <item x="53"/>
        <item x="66"/>
        <item x="8"/>
        <item x="48"/>
        <item x="67"/>
        <item x="31"/>
        <item x="32"/>
        <item x="52"/>
        <item x="0"/>
        <item x="33"/>
        <item x="15"/>
        <item x="34"/>
        <item m="1" x="81"/>
        <item x="78"/>
        <item x="16"/>
        <item x="77"/>
        <item x="75"/>
        <item x="35"/>
        <item x="11"/>
        <item x="57"/>
        <item x="13"/>
        <item x="36"/>
        <item x="64"/>
        <item x="37"/>
        <item x="54"/>
        <item x="41"/>
        <item x="38"/>
        <item x="73"/>
        <item x="42"/>
        <item x="55"/>
        <item x="40"/>
        <item x="39"/>
        <item x="5"/>
        <item x="1"/>
        <item x="71"/>
        <item x="72"/>
        <item x="68"/>
        <item x="20"/>
        <item x="3"/>
        <item x="24"/>
        <item x="10"/>
        <item m="1" x="8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multipleItemSelectionAllowed="1" showAll="0" defaultSubtotal="0">
      <items count="8">
        <item x="5"/>
        <item x="0"/>
        <item x="2"/>
        <item x="4"/>
        <item x="3"/>
        <item x="1"/>
        <item h="1" x="6"/>
        <item h="1" m="1" x="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multipleItemSelectionAllowed="1" showAll="0" defaultSubtotal="0">
      <items count="9">
        <item h="1" x="6"/>
        <item x="5"/>
        <item x="7"/>
        <item x="3"/>
        <item x="4"/>
        <item x="2"/>
        <item x="1"/>
        <item x="0"/>
        <item m="1" x="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6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6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6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6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6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6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6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6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6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6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6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6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6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6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6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6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6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6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6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6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1"/>
  </rowFields>
  <rowItems count="79">
    <i>
      <x/>
    </i>
    <i>
      <x v="1"/>
    </i>
    <i>
      <x v="2"/>
    </i>
    <i>
      <x v="3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2">
    <pageField fld="6" hier="-1"/>
    <pageField fld="12" hier="-1"/>
  </pageFields>
  <dataFields count="6">
    <dataField name="Sum of 2026 Final Budget" fld="21" baseField="0" baseItem="0"/>
    <dataField name="Sum of Jan FC" fld="27" baseField="0" baseItem="0"/>
    <dataField name="Sum of Feb FC" fld="28" baseField="0" baseItem="0"/>
    <dataField name="Sum of Jan AC" fld="41" baseField="0" baseItem="0"/>
    <dataField name="Sum of Feb AC" fld="42" baseField="0" baseItem="0"/>
    <dataField name="Sum of Total Actuals" fld="53" baseField="0" baseItem="0" numFmtId="166"/>
  </dataFields>
  <formats count="1">
    <format dxfId="8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33B1FD0-AA22-4966-8F8D-FE095999CB2A}" name="Financials20263" displayName="Financials20263" ref="A1:BU149" totalsRowShown="0" headerRowBorderDxfId="74" tableBorderDxfId="75">
  <autoFilter ref="A1:BU149" xr:uid="{A492086E-22C3-4E96-A6F5-F99E42618563}"/>
  <tableColumns count="73">
    <tableColumn id="1" xr3:uid="{242EDFF6-742E-412A-994F-DE5685E22BB0}" name="Transaction Type" dataDxfId="73"/>
    <tableColumn id="2" xr3:uid="{08616251-7DE6-4D23-92E4-2E85B1D94360}" name="D365 Legal Vendor name" dataDxfId="72"/>
    <tableColumn id="3" xr3:uid="{BD70789C-92D9-4A27-B8C3-E2607261E720}" name="DBA / AKA / Passthrough" dataDxfId="71"/>
    <tableColumn id="4" xr3:uid="{3918E27D-D871-43A2-9D6A-94FB14F654EC}" name="Project ID" dataDxfId="70"/>
    <tableColumn id="5" xr3:uid="{A028ADB0-AF1A-40E1-8A52-FF282B40DE64}" name="Project Name" dataDxfId="69"/>
    <tableColumn id="6" xr3:uid="{B4F67E57-8B0C-436C-BF42-2CAC2B8245C1}" name="Domain" dataDxfId="68"/>
    <tableColumn id="7" xr3:uid="{91E0CA19-9704-4FB2-9B82-EB394E89DF85}" name="Domain Owner" dataDxfId="67"/>
    <tableColumn id="9" xr3:uid="{090B133E-C581-4D72-9CCF-C2D174AB0F43}" name="Contract Start" dataDxfId="66"/>
    <tableColumn id="10" xr3:uid="{610CA386-C3EA-4064-9F45-507F0B25669D}" name="Contract End" dataDxfId="65"/>
    <tableColumn id="11" xr3:uid="{7A9CDD19-1472-4FAD-ACF7-98BC097996DE}" name="Application" dataDxfId="64"/>
    <tableColumn id="12" xr3:uid="{F6177E08-E03D-4CE8-A8C5-24F7F0CE38DF}" name="Project Details" dataDxfId="63">
      <calculatedColumnFormula>D2 &amp; "-" &amp;E2</calculatedColumnFormula>
    </tableColumn>
    <tableColumn id="13" xr3:uid="{F8731934-20F7-4424-BF3E-888C8F3E250E}" name="Category" dataDxfId="62"/>
    <tableColumn id="14" xr3:uid="{97F74ECF-D3E1-4544-B389-0D70673967E8}" name="Sub-Category1" dataDxfId="61"/>
    <tableColumn id="17" xr3:uid="{4C848037-D78D-42C1-A2C6-E6309704016E}" name="Sub-Category2" dataDxfId="60"/>
    <tableColumn id="21" xr3:uid="{0122725A-C30C-4CEE-B8D6-2422E3E10326}" name="Contract Type" dataDxfId="59"/>
    <tableColumn id="15" xr3:uid="{DCD4FDCF-43FF-4308-9293-62EA996620ED}" name="MGMT View Category (OneStream)" dataDxfId="58"/>
    <tableColumn id="18" xr3:uid="{658A4718-1DA7-4FBE-8992-7FAE7F4C7F49}" name="Onestream Account" dataDxfId="57"/>
    <tableColumn id="19" xr3:uid="{5267CF94-3623-462E-97AF-E18156B00053}" name="A/P Account Name" dataDxfId="56"/>
    <tableColumn id="20" xr3:uid="{5E0DC275-3907-45A6-9C4F-937BDB02153F}" name="Accounting Treatment" dataDxfId="55"/>
    <tableColumn id="22" xr3:uid="{16BEBE99-AC2A-471E-8FD9-AAE62FE8D83D}" name="2025 Actuals" dataDxfId="54"/>
    <tableColumn id="23" xr3:uid="{AB3393C9-D921-4085-AF5F-B7B623848FCC}" name="2026 Initial Budget" dataDxfId="53" dataCellStyle="Comma"/>
    <tableColumn id="25" xr3:uid="{BD95F986-B575-45C9-B565-3F5A5D25B661}" name="2026 Final Budget" dataDxfId="52" dataCellStyle="Comma"/>
    <tableColumn id="26" xr3:uid="{FE8AB3AA-8105-4CAA-9C84-BF99E639D702}" name="2026 (Actuals + Forecast)" dataDxfId="51" dataCellStyle="Comma">
      <calculatedColumnFormula>AO2+IF(ISBLANK(AP2),AB2,AP2)+IF(ISBLANK(AQ2),AC2,AQ2)+IF(ISBLANK(AR2),AD2,AR2)+IF(ISBLANK(AS2),AE2,AS2)+IF(ISBLANK(AT2),AF2,AT2)</calculatedColumnFormula>
    </tableColumn>
    <tableColumn id="27" xr3:uid="{FD25F16C-2EAA-415A-9A5A-67EF55B9D97F}" name="2026 Opportunity" dataDxfId="50" dataCellStyle="Comma">
      <calculatedColumnFormula>IF(V2 &gt;= W2, V2 - W2, 0)*-1</calculatedColumnFormula>
    </tableColumn>
    <tableColumn id="28" xr3:uid="{3E8C9BC3-A36F-4429-ADF1-E2E31EDFB123}" name="2026 Risk" dataDxfId="49" dataCellStyle="Comma">
      <calculatedColumnFormula>IF(W2 &gt; V2, W2 - V2, 0)</calculatedColumnFormula>
    </tableColumn>
    <tableColumn id="16" xr3:uid="{A2223374-A086-4670-9148-44C5B80D2F38}" name="2026 Net Position" dataDxfId="48" dataCellStyle="Comma">
      <calculatedColumnFormula>SUM(Financials20263[[#This Row],[2026 Opportunity]:[2026 Risk]])</calculatedColumnFormula>
    </tableColumn>
    <tableColumn id="29" xr3:uid="{9340939D-B61A-4867-A6FB-35598984DFC3}" name="Notes" dataDxfId="47"/>
    <tableColumn id="31" xr3:uid="{CAB5AFB6-CA5B-483A-9BAF-5761679A373B}" name="Jan FC" dataDxfId="46" dataCellStyle="Comma"/>
    <tableColumn id="32" xr3:uid="{5E6FFDA7-DF5F-495F-BC8D-D67F03329023}" name="Feb FC" dataDxfId="45" dataCellStyle="Comma"/>
    <tableColumn id="33" xr3:uid="{5058D119-6F17-43D3-AEF2-4F273CEBA31A}" name="Mar FC" dataDxfId="44" dataCellStyle="Comma"/>
    <tableColumn id="34" xr3:uid="{A3AC516B-B770-430E-B148-E1D3D9567FAD}" name="Apr FC" dataDxfId="43" dataCellStyle="Comma"/>
    <tableColumn id="35" xr3:uid="{ECEA33AD-45C5-4E82-A009-017E85D7DB44}" name="May FC" dataDxfId="42" dataCellStyle="Comma"/>
    <tableColumn id="36" xr3:uid="{E9DB8B47-323F-434B-807B-8748ED61ED34}" name="Jun FC" dataDxfId="41" dataCellStyle="Comma"/>
    <tableColumn id="37" xr3:uid="{6374D5F8-607B-41C2-B794-601F25EB418D}" name="Jul FC" dataDxfId="40" dataCellStyle="Comma"/>
    <tableColumn id="38" xr3:uid="{B4C16149-C9F0-45EC-B182-FD3B8B7429E0}" name="Aug FC" dataDxfId="39" dataCellStyle="Comma"/>
    <tableColumn id="39" xr3:uid="{26B14811-E5F5-4106-A54B-40DE00366D76}" name="Sep FC" dataDxfId="38" dataCellStyle="Comma"/>
    <tableColumn id="40" xr3:uid="{9E952692-1BDD-4D56-A183-37BF4A11F526}" name="Oct FC" dataDxfId="37" dataCellStyle="Comma"/>
    <tableColumn id="41" xr3:uid="{A049F4C1-34D3-4A29-86A7-C671D5C6D98B}" name="Nov FC" dataDxfId="36" dataCellStyle="Comma"/>
    <tableColumn id="42" xr3:uid="{5705BE95-DF6B-473B-8FA4-9E4226201603}" name="Dec FC" dataDxfId="35" dataCellStyle="Comma"/>
    <tableColumn id="74" xr3:uid="{9D40B7D4-7BAE-4A98-8145-9A222ED326B8}" name="Total - FC" dataDxfId="34" dataCellStyle="Comma">
      <calculatedColumnFormula>SUM(Financials20263[[#This Row],[Jan FC]:[Dec FC]])</calculatedColumnFormula>
    </tableColumn>
    <tableColumn id="43" xr3:uid="{91FD6C06-93AB-414D-9B76-887643EEED96}" name="Jun-Dec FC" dataDxfId="33" dataCellStyle="Comma">
      <calculatedColumnFormula>SUM(AG2:AM2)</calculatedColumnFormula>
    </tableColumn>
    <tableColumn id="56" xr3:uid="{F69A83C4-B9A3-4262-A8CB-8CE81864D5FA}" name="Jan AC" dataDxfId="32" dataCellStyle="Comma"/>
    <tableColumn id="55" xr3:uid="{1E9D6300-4AD1-4261-A1FF-6366DF423E92}" name="Feb AC" dataDxfId="31" dataCellStyle="Comma"/>
    <tableColumn id="54" xr3:uid="{13FFF1FD-26A1-4FD6-97E8-9386AB4AC43C}" name="Mar AC" dataDxfId="30" dataCellStyle="Comma"/>
    <tableColumn id="53" xr3:uid="{4528A9EB-DCC4-4768-9C74-B00744D89F2E}" name="Apr AC" dataDxfId="29" dataCellStyle="Comma"/>
    <tableColumn id="52" xr3:uid="{09BBCE26-5305-4845-8E95-2938F78951A1}" name="May AC" dataDxfId="28" dataCellStyle="Comma"/>
    <tableColumn id="51" xr3:uid="{B53E3A5E-4C7A-47F6-98EF-98D0339ED7EF}" name="Jun AC" dataDxfId="27" dataCellStyle="Comma"/>
    <tableColumn id="50" xr3:uid="{1B3A42E1-1A4A-4F02-AB85-F321F9298327}" name="Jul AC" dataDxfId="26" dataCellStyle="Comma"/>
    <tableColumn id="49" xr3:uid="{DB3FF538-4DFF-4E76-A4ED-65067E509D32}" name="Aug AC" dataDxfId="25" dataCellStyle="Comma"/>
    <tableColumn id="48" xr3:uid="{7811DD89-220A-4A96-BB76-DDA3AB708625}" name="Sep AC" dataDxfId="24" dataCellStyle="Comma"/>
    <tableColumn id="47" xr3:uid="{A17FFA7D-49AE-4866-91BB-54ABF4DBC444}" name="Oct AC" dataDxfId="23" dataCellStyle="Comma"/>
    <tableColumn id="46" xr3:uid="{41435EA0-FEC7-48B7-855E-47C16BC64CF6}" name="Nov AC" dataDxfId="22" dataCellStyle="Comma"/>
    <tableColumn id="30" xr3:uid="{A2239101-D3EE-49BD-BE0C-6704F209BED4}" name="Dec AC" dataDxfId="21" dataCellStyle="Comma"/>
    <tableColumn id="75" xr3:uid="{C6B2B2DB-BFC6-4CA1-A44B-AB1642CA5DF4}" name="Total Actuals" dataDxfId="20" dataCellStyle="Comma">
      <calculatedColumnFormula>SUM(Financials20263[[#This Row],[Jan AC]:[Dec AC]])</calculatedColumnFormula>
    </tableColumn>
    <tableColumn id="58" xr3:uid="{C27E561F-EC4E-4A83-860E-89EDAFD8273C}" name="Jan Opp/Risk" dataDxfId="19" dataCellStyle="Comma">
      <calculatedColumnFormula>Financials20263[[#This Row],[Jan AC]]-Financials20263[[#This Row],[Jan FC]]</calculatedColumnFormula>
    </tableColumn>
    <tableColumn id="59" xr3:uid="{DC3F935F-676C-4615-83CE-F51DCA99DF38}" name="Feb Opp./Risk" dataDxfId="18" dataCellStyle="Comma">
      <calculatedColumnFormula>Financials20263[[#This Row],[Feb AC]]-Financials20263[[#This Row],[Feb FC]]</calculatedColumnFormula>
    </tableColumn>
    <tableColumn id="60" xr3:uid="{51453838-C75C-48B0-801A-F08E0238B429}" name="Mar Opp./Risk" dataDxfId="17" dataCellStyle="Comma">
      <calculatedColumnFormula>Financials20263[[#This Row],[Mar AC]]-Financials20263[[#This Row],[Mar FC]]</calculatedColumnFormula>
    </tableColumn>
    <tableColumn id="61" xr3:uid="{B784A374-2FB6-4FF5-B896-BF2FC8499F68}" name="Apr Opp./Risk" dataDxfId="16" dataCellStyle="Comma">
      <calculatedColumnFormula>Financials20263[[#This Row],[Apr AC]]-Financials20263[[#This Row],[Apr FC]]</calculatedColumnFormula>
    </tableColumn>
    <tableColumn id="62" xr3:uid="{1563E951-050B-4915-B1A7-626B46F193F0}" name="May Opp./Risk" dataDxfId="15" dataCellStyle="Comma">
      <calculatedColumnFormula>Financials20263[[#This Row],[May AC]]-Financials20263[[#This Row],[May FC]]</calculatedColumnFormula>
    </tableColumn>
    <tableColumn id="63" xr3:uid="{CE10A45E-D613-4BBA-950B-3F0858138F44}" name="Jun Opp./Risk" dataDxfId="14" dataCellStyle="Comma">
      <calculatedColumnFormula>Financials20263[[#This Row],[Jun AC]]-Financials20263[[#This Row],[Jun FC]]</calculatedColumnFormula>
    </tableColumn>
    <tableColumn id="64" xr3:uid="{5A2AAB70-868C-4DC5-B5DD-4E11E098A39F}" name="Jul Opp./Risk" dataDxfId="13" dataCellStyle="Comma">
      <calculatedColumnFormula>Financials20263[[#This Row],[Jul AC]]-Financials20263[[#This Row],[Jul FC]]</calculatedColumnFormula>
    </tableColumn>
    <tableColumn id="65" xr3:uid="{1665AA1E-8313-4AF7-B6A0-D7722A026704}" name="Aug Opp./Risk" dataDxfId="12" dataCellStyle="Comma">
      <calculatedColumnFormula>Financials20263[[#This Row],[Aug AC]]-Financials20263[[#This Row],[Aug FC]]</calculatedColumnFormula>
    </tableColumn>
    <tableColumn id="66" xr3:uid="{25976019-C5B2-4B4F-8C89-FBB761553DE6}" name="Sep Opp./Risk" dataDxfId="11" dataCellStyle="Comma">
      <calculatedColumnFormula>Financials20263[[#This Row],[Sep AC]]-Financials20263[[#This Row],[Sep FC]]</calculatedColumnFormula>
    </tableColumn>
    <tableColumn id="67" xr3:uid="{ADF406C3-7173-4813-980E-7B87D65C153C}" name="Oct Opp./Risk" dataDxfId="10" dataCellStyle="Comma">
      <calculatedColumnFormula>Financials20263[[#This Row],[Oct AC]]-Financials20263[[#This Row],[Oct FC]]</calculatedColumnFormula>
    </tableColumn>
    <tableColumn id="68" xr3:uid="{636AB1D8-3FD4-42A0-975E-52B3FA7F8493}" name="Nov Opp./Risk" dataDxfId="9" dataCellStyle="Comma">
      <calculatedColumnFormula>Financials20263[[#This Row],[Nov AC]]-Financials20263[[#This Row],[Nov FC]]</calculatedColumnFormula>
    </tableColumn>
    <tableColumn id="69" xr3:uid="{CFD742A6-574D-4723-AAC1-62CB4F69D985}" name="Dec Opp./Risk" dataDxfId="8" dataCellStyle="Comma">
      <calculatedColumnFormula>Financials20263[[#This Row],[Dec AC]]-Financials20263[[#This Row],[Dec FC]]</calculatedColumnFormula>
    </tableColumn>
    <tableColumn id="76" xr3:uid="{90F33527-CC5D-4F93-BE20-F67E6D4714B4}" name="Total Opp./Risk" dataDxfId="7" dataCellStyle="Comma">
      <calculatedColumnFormula>SUM(Financials20263[[#This Row],[Jan Opp/Risk]:[Dec Opp./Risk]])</calculatedColumnFormula>
    </tableColumn>
    <tableColumn id="45" xr3:uid="{40E9183E-CE83-4399-9E89-734953B2AD7E}" name="Notes - Swati" dataDxfId="6" dataCellStyle="Comma"/>
    <tableColumn id="57" xr3:uid="{71A027C0-CE0B-44F4-9BEA-44F1E025C29C}" name="Jan-May Actuals" dataDxfId="5" dataCellStyle="Comma">
      <calculatedColumnFormula>SUM(Financials20263[[#This Row],[Jan AC]:[May AC]])</calculatedColumnFormula>
    </tableColumn>
    <tableColumn id="8" xr3:uid="{A4CDF58C-06B8-490E-851A-3E8597DB1ABC}" name="Jan-May Forecast " dataDxfId="4">
      <calculatedColumnFormula>Financials20263[[#This Row],[2026 (Actuals + Forecast)]]-Financials20263[[#This Row],[Jan-May Actuals]]-Financials20263[[#This Row],[Jun-Dec FC]]</calculatedColumnFormula>
    </tableColumn>
    <tableColumn id="24" xr3:uid="{793354D9-A30A-4975-87DD-55AF941A43CF}" name="Forecast Jun-Dec" dataDxfId="3">
      <calculatedColumnFormula>Financials20263[[#This Row],[Jun-Dec FC]]+Financials20263[[#This Row],[Jan-May Forecast ]]</calculatedColumnFormula>
    </tableColumn>
    <tableColumn id="44" xr3:uid="{A205C803-FAD6-4776-8381-5DC72A34682B}" name="Forecast Jan-May" dataDxfId="2">
      <calculatedColumnFormula>SUM(Financials20263[[#This Row],[Jan FC]:[May FC]])</calculatedColumnFormula>
    </tableColumn>
    <tableColumn id="70" xr3:uid="{DAAE9D59-198D-4744-9647-FCD523ED7658}" name="Actual+Forecast" dataDxfId="1">
      <calculatedColumnFormula>Financials20263[[#This Row],[Jan-May Actuals]]+Financials20263[[#This Row],[Forecast Jun-Dec]]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A4D06-972D-4D5D-94BD-67FB6D19BD2E}">
  <sheetPr>
    <tabColor theme="5" tint="0.79998168889431442"/>
  </sheetPr>
  <dimension ref="A1:J37"/>
  <sheetViews>
    <sheetView topLeftCell="B1" workbookViewId="0">
      <selection activeCell="D6" sqref="D6"/>
    </sheetView>
  </sheetViews>
  <sheetFormatPr defaultRowHeight="14.45"/>
  <cols>
    <col min="1" max="1" width="14.5703125" bestFit="1" customWidth="1"/>
    <col min="2" max="2" width="21.85546875" bestFit="1" customWidth="1"/>
    <col min="3" max="3" width="28.28515625" bestFit="1" customWidth="1"/>
    <col min="4" max="4" width="15" bestFit="1" customWidth="1"/>
    <col min="5" max="6" width="21.7109375" bestFit="1" customWidth="1"/>
    <col min="7" max="7" width="4.28515625" customWidth="1"/>
    <col min="8" max="8" width="4.42578125" customWidth="1"/>
    <col min="9" max="9" width="3.7109375" customWidth="1"/>
    <col min="10" max="10" width="25.7109375" bestFit="1" customWidth="1"/>
  </cols>
  <sheetData>
    <row r="1" spans="1:10">
      <c r="A1" s="8" t="s">
        <v>0</v>
      </c>
      <c r="B1" t="s">
        <v>1</v>
      </c>
      <c r="C1" s="162" t="s">
        <v>2</v>
      </c>
      <c r="D1" s="162"/>
      <c r="E1" s="162"/>
      <c r="F1" s="162"/>
      <c r="J1" s="19" t="s">
        <v>3</v>
      </c>
    </row>
    <row r="2" spans="1:10">
      <c r="C2" s="162"/>
      <c r="D2" s="162"/>
      <c r="E2" s="162"/>
      <c r="F2" s="162"/>
      <c r="J2" s="20">
        <v>44788398</v>
      </c>
    </row>
    <row r="3" spans="1:10">
      <c r="A3" s="8" t="s">
        <v>4</v>
      </c>
      <c r="B3" s="16" t="s">
        <v>5</v>
      </c>
      <c r="C3" t="s">
        <v>6</v>
      </c>
      <c r="D3" s="16" t="s">
        <v>7</v>
      </c>
      <c r="E3" s="16" t="s">
        <v>8</v>
      </c>
      <c r="F3" s="16" t="s">
        <v>9</v>
      </c>
      <c r="J3" s="153">
        <f>GETPIVOTDATA("Sum of 2026 Final Budget",$A$3)-J2</f>
        <v>-4.385000467300415E-2</v>
      </c>
    </row>
    <row r="4" spans="1:10">
      <c r="A4" s="9" t="s">
        <v>10</v>
      </c>
      <c r="B4" s="6">
        <v>4476496</v>
      </c>
      <c r="C4" s="6">
        <v>2438896</v>
      </c>
      <c r="D4" s="6">
        <v>129900</v>
      </c>
      <c r="E4" s="6">
        <v>-2167500</v>
      </c>
      <c r="F4" s="6">
        <v>-2037600</v>
      </c>
      <c r="J4" s="45"/>
    </row>
    <row r="5" spans="1:10">
      <c r="A5" s="9" t="s">
        <v>11</v>
      </c>
      <c r="B5" s="6">
        <v>116236</v>
      </c>
      <c r="C5" s="6">
        <v>202630.40333333332</v>
      </c>
      <c r="D5" s="6">
        <v>95698.55</v>
      </c>
      <c r="E5" s="6">
        <v>-9304.1466666666638</v>
      </c>
      <c r="F5" s="6">
        <v>86394.403333333335</v>
      </c>
    </row>
    <row r="6" spans="1:10">
      <c r="A6" s="9" t="s">
        <v>12</v>
      </c>
      <c r="B6" s="6">
        <v>8342615.0750000002</v>
      </c>
      <c r="C6" s="6">
        <v>8313151.6225666674</v>
      </c>
      <c r="D6" s="6">
        <v>2267.1459</v>
      </c>
      <c r="E6" s="6">
        <v>-31730.598333332935</v>
      </c>
      <c r="F6" s="6">
        <v>-29463.452433332935</v>
      </c>
    </row>
    <row r="7" spans="1:10">
      <c r="A7" s="9" t="s">
        <v>13</v>
      </c>
      <c r="B7" s="6">
        <v>6671840</v>
      </c>
      <c r="C7" s="6">
        <v>8547695.9199999999</v>
      </c>
      <c r="D7" s="6">
        <v>2742391.92</v>
      </c>
      <c r="E7" s="6">
        <v>-866536</v>
      </c>
      <c r="F7" s="6">
        <v>1875855.92</v>
      </c>
    </row>
    <row r="8" spans="1:10">
      <c r="A8" s="9" t="s">
        <v>14</v>
      </c>
      <c r="B8" s="6">
        <v>2751491.34</v>
      </c>
      <c r="C8" s="6">
        <v>3003362.81</v>
      </c>
      <c r="D8" s="6">
        <v>333587</v>
      </c>
      <c r="E8" s="6">
        <v>-81715.53</v>
      </c>
      <c r="F8" s="6">
        <v>251871.47</v>
      </c>
    </row>
    <row r="9" spans="1:10">
      <c r="A9" s="9" t="s">
        <v>15</v>
      </c>
      <c r="B9" s="6">
        <v>2031290</v>
      </c>
      <c r="C9" s="6">
        <v>2193287.2200000002</v>
      </c>
      <c r="D9" s="6">
        <v>214218.31000000032</v>
      </c>
      <c r="E9" s="6">
        <v>-52221.090000000026</v>
      </c>
      <c r="F9" s="6">
        <v>161997.22000000029</v>
      </c>
    </row>
    <row r="10" spans="1:10">
      <c r="A10" s="9" t="s">
        <v>16</v>
      </c>
      <c r="B10" s="6">
        <v>20398429.54115</v>
      </c>
      <c r="C10" s="6">
        <v>21476993.157666672</v>
      </c>
      <c r="D10" s="6">
        <v>1503078.1116666656</v>
      </c>
      <c r="E10" s="6">
        <v>-424514.49514999957</v>
      </c>
      <c r="F10" s="6">
        <v>1078563.616516666</v>
      </c>
    </row>
    <row r="11" spans="1:10">
      <c r="A11" s="9" t="s">
        <v>17</v>
      </c>
      <c r="B11" s="6">
        <v>44788397.956149995</v>
      </c>
      <c r="C11" s="6">
        <v>46176017.13356667</v>
      </c>
      <c r="D11" s="6">
        <v>5021141.0375666665</v>
      </c>
      <c r="E11" s="6">
        <v>-3633521.8601499987</v>
      </c>
      <c r="F11" s="6">
        <v>1387619.1774166664</v>
      </c>
    </row>
    <row r="13" spans="1:10" hidden="1">
      <c r="A13" s="8" t="s">
        <v>0</v>
      </c>
      <c r="B13" t="s">
        <v>1</v>
      </c>
      <c r="E13" s="6"/>
      <c r="F13" s="6"/>
    </row>
    <row r="14" spans="1:10" hidden="1">
      <c r="A14" s="8" t="s">
        <v>18</v>
      </c>
      <c r="B14" t="s">
        <v>1</v>
      </c>
    </row>
    <row r="15" spans="1:10" hidden="1"/>
    <row r="16" spans="1:10" hidden="1">
      <c r="A16" s="8" t="s">
        <v>19</v>
      </c>
      <c r="B16" t="s">
        <v>7</v>
      </c>
      <c r="C16" t="s">
        <v>8</v>
      </c>
      <c r="D16" t="s">
        <v>5</v>
      </c>
    </row>
    <row r="17" spans="1:6" hidden="1">
      <c r="A17" s="9" t="s">
        <v>20</v>
      </c>
      <c r="B17" s="6">
        <v>2681147.5669999998</v>
      </c>
      <c r="C17" s="6">
        <v>-1445850.4541500001</v>
      </c>
      <c r="D17" s="6">
        <v>10007813.59715</v>
      </c>
    </row>
    <row r="18" spans="1:6" hidden="1">
      <c r="A18" s="9" t="s">
        <v>21</v>
      </c>
      <c r="B18" s="6">
        <v>555481.20723333373</v>
      </c>
      <c r="C18" s="6">
        <v>-803621.83283333294</v>
      </c>
      <c r="D18" s="6">
        <v>14217853.790000001</v>
      </c>
    </row>
    <row r="19" spans="1:6" hidden="1">
      <c r="A19" s="9" t="s">
        <v>22</v>
      </c>
      <c r="B19" s="6">
        <v>1087555.4199999985</v>
      </c>
      <c r="C19" s="6">
        <v>-1280770.97</v>
      </c>
      <c r="D19" s="6">
        <v>13152468.5</v>
      </c>
    </row>
    <row r="20" spans="1:6" hidden="1">
      <c r="A20" s="9" t="s">
        <v>23</v>
      </c>
      <c r="B20" s="6">
        <v>247000.3</v>
      </c>
      <c r="C20" s="6">
        <v>-405360</v>
      </c>
      <c r="D20" s="6">
        <v>1752990.7</v>
      </c>
    </row>
    <row r="21" spans="1:6" hidden="1">
      <c r="A21" s="9" t="s">
        <v>24</v>
      </c>
      <c r="B21" s="6">
        <v>50312.124166666646</v>
      </c>
      <c r="C21" s="6">
        <v>-22969.722500000018</v>
      </c>
      <c r="D21" s="6">
        <v>1785617.7549999999</v>
      </c>
    </row>
    <row r="22" spans="1:6" hidden="1">
      <c r="A22" s="9" t="s">
        <v>25</v>
      </c>
      <c r="B22" s="6">
        <v>94895.17</v>
      </c>
      <c r="C22" s="6">
        <v>-287727.46933333331</v>
      </c>
      <c r="D22" s="6">
        <v>2627635.6140000001</v>
      </c>
    </row>
    <row r="23" spans="1:6" hidden="1">
      <c r="A23" s="9" t="s">
        <v>26</v>
      </c>
      <c r="B23" s="6">
        <v>32669.254166666651</v>
      </c>
      <c r="C23" s="6">
        <v>0</v>
      </c>
      <c r="D23" s="6">
        <v>1244018</v>
      </c>
    </row>
    <row r="24" spans="1:6" hidden="1">
      <c r="A24" s="9" t="s">
        <v>17</v>
      </c>
      <c r="B24" s="6">
        <v>4749061.0425666645</v>
      </c>
      <c r="C24" s="6">
        <v>-4246300.4488166664</v>
      </c>
      <c r="D24" s="6">
        <v>44788397.95615001</v>
      </c>
    </row>
    <row r="25" spans="1:6">
      <c r="A25" s="99" t="s">
        <v>27</v>
      </c>
      <c r="B25" s="100">
        <f>B11/1000000</f>
        <v>44.788397956149993</v>
      </c>
      <c r="C25" s="101">
        <f t="shared" ref="C25:F25" si="0">C11/1000000</f>
        <v>46.176017133566667</v>
      </c>
      <c r="D25" s="101">
        <f t="shared" si="0"/>
        <v>5.0211410375666663</v>
      </c>
      <c r="E25" s="101">
        <f t="shared" si="0"/>
        <v>-3.6335218601499988</v>
      </c>
      <c r="F25" s="101">
        <f t="shared" si="0"/>
        <v>1.3876191774166664</v>
      </c>
    </row>
    <row r="26" spans="1:6">
      <c r="B26" s="43"/>
      <c r="C26" s="43"/>
      <c r="D26" s="43"/>
      <c r="E26" s="43"/>
      <c r="F26" s="43"/>
    </row>
    <row r="27" spans="1:6">
      <c r="A27" s="8" t="s">
        <v>0</v>
      </c>
      <c r="B27" t="s">
        <v>1</v>
      </c>
      <c r="C27" s="163" t="s">
        <v>28</v>
      </c>
      <c r="D27" s="163"/>
      <c r="E27" s="163"/>
    </row>
    <row r="28" spans="1:6">
      <c r="C28" s="163"/>
      <c r="D28" s="163"/>
      <c r="E28" s="163"/>
    </row>
    <row r="29" spans="1:6">
      <c r="C29" s="8" t="s">
        <v>29</v>
      </c>
    </row>
    <row r="30" spans="1:6" ht="28.9">
      <c r="A30" s="102" t="s">
        <v>30</v>
      </c>
      <c r="B30" s="102" t="s">
        <v>18</v>
      </c>
      <c r="C30" s="103" t="s">
        <v>5</v>
      </c>
      <c r="D30" s="103" t="s">
        <v>31</v>
      </c>
      <c r="E30" s="104" t="s">
        <v>9</v>
      </c>
    </row>
    <row r="31" spans="1:6">
      <c r="A31" t="s">
        <v>20</v>
      </c>
      <c r="C31" s="96">
        <v>10007813.59715</v>
      </c>
      <c r="D31" s="96">
        <v>4686268.564166666</v>
      </c>
      <c r="E31" s="96">
        <v>1235297.1128499999</v>
      </c>
    </row>
    <row r="32" spans="1:6">
      <c r="A32" t="s">
        <v>21</v>
      </c>
      <c r="C32" s="96">
        <v>14217853.790000001</v>
      </c>
      <c r="D32" s="96">
        <v>6124673.5034000017</v>
      </c>
      <c r="E32" s="96">
        <v>-248140.62559999933</v>
      </c>
    </row>
    <row r="33" spans="1:5">
      <c r="A33" t="s">
        <v>22</v>
      </c>
      <c r="C33" s="96">
        <v>13152468.5</v>
      </c>
      <c r="D33" s="96">
        <v>9333571.629999999</v>
      </c>
      <c r="E33" s="96">
        <v>-193215.55000000173</v>
      </c>
    </row>
    <row r="34" spans="1:5">
      <c r="A34" t="s">
        <v>23</v>
      </c>
      <c r="C34" s="96">
        <v>1752990.7</v>
      </c>
      <c r="D34" s="96">
        <v>415826.75</v>
      </c>
      <c r="E34" s="96">
        <v>-158359.70000000001</v>
      </c>
    </row>
    <row r="35" spans="1:5">
      <c r="A35" t="s">
        <v>24</v>
      </c>
      <c r="C35" s="96">
        <v>1785617.7549999999</v>
      </c>
      <c r="D35" s="96">
        <v>915338.64000000013</v>
      </c>
      <c r="E35" s="96">
        <v>27342.401666666628</v>
      </c>
    </row>
    <row r="36" spans="1:5">
      <c r="A36" t="s">
        <v>25</v>
      </c>
      <c r="C36" s="96">
        <v>2627635.6140000001</v>
      </c>
      <c r="D36" s="96">
        <v>918595.95000000007</v>
      </c>
      <c r="E36" s="96">
        <v>-192832.29933333327</v>
      </c>
    </row>
    <row r="37" spans="1:5">
      <c r="A37" t="s">
        <v>17</v>
      </c>
      <c r="C37" s="96">
        <v>43544379.95615001</v>
      </c>
      <c r="D37" s="96">
        <v>22394275.037566666</v>
      </c>
      <c r="E37" s="96">
        <v>470091.33958333218</v>
      </c>
    </row>
  </sheetData>
  <mergeCells count="2">
    <mergeCell ref="C1:F2"/>
    <mergeCell ref="C27:E2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76273-67DD-45EA-B580-834D9FB1CC30}">
  <sheetPr>
    <tabColor theme="9" tint="0.79998168889431442"/>
  </sheetPr>
  <dimension ref="A1:N147"/>
  <sheetViews>
    <sheetView zoomScaleNormal="100" workbookViewId="0">
      <selection activeCell="E3" sqref="E3"/>
    </sheetView>
  </sheetViews>
  <sheetFormatPr defaultRowHeight="14.45" outlineLevelRow="2"/>
  <cols>
    <col min="1" max="1" width="16.85546875" bestFit="1" customWidth="1"/>
    <col min="2" max="2" width="20.7109375" bestFit="1" customWidth="1"/>
    <col min="3" max="3" width="35.85546875" hidden="1" customWidth="1"/>
    <col min="4" max="4" width="27.28515625" customWidth="1"/>
    <col min="5" max="5" width="21.85546875" customWidth="1"/>
    <col min="6" max="6" width="22.140625" customWidth="1"/>
    <col min="7" max="7" width="26.28515625" customWidth="1"/>
    <col min="8" max="8" width="23.7109375" customWidth="1"/>
    <col min="9" max="9" width="21.7109375" bestFit="1" customWidth="1"/>
    <col min="10" max="10" width="77.28515625" style="104" hidden="1" customWidth="1"/>
    <col min="11" max="11" width="97.7109375" style="104" customWidth="1"/>
    <col min="12" max="12" width="22.42578125" style="103" customWidth="1"/>
  </cols>
  <sheetData>
    <row r="1" spans="1:12">
      <c r="A1" s="108" t="s">
        <v>32</v>
      </c>
      <c r="B1" s="108" t="s">
        <v>30</v>
      </c>
      <c r="C1" s="108" t="s">
        <v>33</v>
      </c>
      <c r="D1" s="108" t="s">
        <v>34</v>
      </c>
      <c r="E1" s="108" t="s">
        <v>35</v>
      </c>
      <c r="F1" s="108" t="s">
        <v>36</v>
      </c>
      <c r="G1" s="108" t="s">
        <v>37</v>
      </c>
      <c r="H1" s="108" t="s">
        <v>38</v>
      </c>
      <c r="I1" s="108" t="s">
        <v>39</v>
      </c>
      <c r="J1" s="109" t="s">
        <v>40</v>
      </c>
      <c r="K1" s="109" t="s">
        <v>41</v>
      </c>
      <c r="L1" s="109" t="s">
        <v>42</v>
      </c>
    </row>
    <row r="2" spans="1:12" ht="28.9" hidden="1" outlineLevel="2">
      <c r="A2" s="110" t="s">
        <v>10</v>
      </c>
      <c r="B2" s="110" t="s">
        <v>20</v>
      </c>
      <c r="C2" s="110" t="s">
        <v>43</v>
      </c>
      <c r="D2" s="110" t="s">
        <v>44</v>
      </c>
      <c r="E2" s="111">
        <v>250000</v>
      </c>
      <c r="F2" s="111">
        <v>0</v>
      </c>
      <c r="G2" s="111">
        <v>0</v>
      </c>
      <c r="H2" s="111">
        <v>152500</v>
      </c>
      <c r="I2" s="111">
        <v>-97500</v>
      </c>
      <c r="J2" s="112" t="s">
        <v>45</v>
      </c>
      <c r="K2" s="112" t="s">
        <v>46</v>
      </c>
      <c r="L2" s="113" t="s">
        <v>47</v>
      </c>
    </row>
    <row r="3" spans="1:12" ht="72" hidden="1" outlineLevel="2">
      <c r="A3" s="110" t="s">
        <v>10</v>
      </c>
      <c r="B3" s="110" t="s">
        <v>20</v>
      </c>
      <c r="C3" s="110" t="s">
        <v>43</v>
      </c>
      <c r="D3" s="110" t="s">
        <v>48</v>
      </c>
      <c r="E3" s="111">
        <v>2444000</v>
      </c>
      <c r="F3" s="111">
        <v>480000</v>
      </c>
      <c r="G3" s="111">
        <v>480000</v>
      </c>
      <c r="H3" s="111">
        <v>1080000</v>
      </c>
      <c r="I3" s="111">
        <v>-884000</v>
      </c>
      <c r="J3" s="112" t="s">
        <v>49</v>
      </c>
      <c r="K3" s="112" t="s">
        <v>50</v>
      </c>
      <c r="L3" s="113" t="s">
        <v>51</v>
      </c>
    </row>
    <row r="4" spans="1:12" ht="57.6" hidden="1" outlineLevel="1">
      <c r="A4" s="114" t="s">
        <v>10</v>
      </c>
      <c r="B4" s="114" t="s">
        <v>52</v>
      </c>
      <c r="C4" s="110" t="s">
        <v>43</v>
      </c>
      <c r="D4" s="114"/>
      <c r="E4" s="115">
        <f>SUM(E2:E3)</f>
        <v>2694000</v>
      </c>
      <c r="F4" s="115">
        <f>SUM(F2:F3)</f>
        <v>480000</v>
      </c>
      <c r="G4" s="115">
        <f>SUM(G2:G3)</f>
        <v>480000</v>
      </c>
      <c r="H4" s="115">
        <f>SUM(H2:H3)</f>
        <v>1232500</v>
      </c>
      <c r="I4" s="115">
        <f>SUM(I2:I3)</f>
        <v>-981500</v>
      </c>
      <c r="J4" s="112" t="s">
        <v>53</v>
      </c>
      <c r="K4" s="112" t="s">
        <v>54</v>
      </c>
      <c r="L4" s="113" t="s">
        <v>51</v>
      </c>
    </row>
    <row r="5" spans="1:12" ht="28.9" hidden="1" outlineLevel="2">
      <c r="A5" s="110" t="s">
        <v>10</v>
      </c>
      <c r="B5" s="110" t="s">
        <v>22</v>
      </c>
      <c r="C5" s="110" t="s">
        <v>55</v>
      </c>
      <c r="D5" s="110" t="s">
        <v>56</v>
      </c>
      <c r="E5" s="111">
        <v>250000</v>
      </c>
      <c r="F5" s="111">
        <v>0</v>
      </c>
      <c r="G5" s="111">
        <v>0</v>
      </c>
      <c r="H5" s="111">
        <v>250000</v>
      </c>
      <c r="I5" s="111">
        <v>0</v>
      </c>
      <c r="J5" s="116" t="s">
        <v>57</v>
      </c>
      <c r="K5" s="116" t="s">
        <v>58</v>
      </c>
      <c r="L5" s="117" t="s">
        <v>59</v>
      </c>
    </row>
    <row r="6" spans="1:12" ht="28.9" hidden="1" outlineLevel="2">
      <c r="A6" s="110" t="s">
        <v>10</v>
      </c>
      <c r="B6" s="110" t="s">
        <v>22</v>
      </c>
      <c r="C6" s="110" t="s">
        <v>55</v>
      </c>
      <c r="D6" s="110" t="s">
        <v>60</v>
      </c>
      <c r="E6" s="111">
        <v>50000</v>
      </c>
      <c r="F6" s="111">
        <v>0</v>
      </c>
      <c r="G6" s="111">
        <v>0</v>
      </c>
      <c r="H6" s="111">
        <v>50000</v>
      </c>
      <c r="I6" s="111">
        <v>0</v>
      </c>
      <c r="J6" s="116" t="s">
        <v>61</v>
      </c>
      <c r="K6" s="116" t="s">
        <v>62</v>
      </c>
      <c r="L6" s="117" t="s">
        <v>59</v>
      </c>
    </row>
    <row r="7" spans="1:12" ht="28.9" hidden="1" outlineLevel="2">
      <c r="A7" s="110" t="s">
        <v>10</v>
      </c>
      <c r="B7" s="110" t="s">
        <v>22</v>
      </c>
      <c r="C7" s="110" t="s">
        <v>55</v>
      </c>
      <c r="D7" s="110" t="s">
        <v>63</v>
      </c>
      <c r="E7" s="111">
        <v>1350000</v>
      </c>
      <c r="F7" s="111">
        <v>100000</v>
      </c>
      <c r="G7" s="111">
        <v>0</v>
      </c>
      <c r="H7" s="111">
        <v>1020000</v>
      </c>
      <c r="I7" s="111">
        <v>-330000</v>
      </c>
      <c r="J7" s="112" t="s">
        <v>64</v>
      </c>
      <c r="K7" s="112" t="s">
        <v>65</v>
      </c>
      <c r="L7" s="113" t="s">
        <v>51</v>
      </c>
    </row>
    <row r="8" spans="1:12" ht="28.9" hidden="1" outlineLevel="1">
      <c r="A8" s="114" t="s">
        <v>10</v>
      </c>
      <c r="B8" s="114" t="s">
        <v>66</v>
      </c>
      <c r="C8" s="110" t="s">
        <v>55</v>
      </c>
      <c r="D8" s="114"/>
      <c r="E8" s="115">
        <f>SUM(E5:E7)</f>
        <v>1650000</v>
      </c>
      <c r="F8" s="115">
        <f>SUM(F5:F7)</f>
        <v>100000</v>
      </c>
      <c r="G8" s="115">
        <f>SUM(G5:G7)</f>
        <v>0</v>
      </c>
      <c r="H8" s="115">
        <f>SUM(H5:H7)</f>
        <v>1320000</v>
      </c>
      <c r="I8" s="115">
        <f>SUM(I5:I7)</f>
        <v>-330000</v>
      </c>
      <c r="J8" s="112" t="s">
        <v>67</v>
      </c>
      <c r="K8" s="112" t="s">
        <v>68</v>
      </c>
      <c r="L8" s="113" t="s">
        <v>51</v>
      </c>
    </row>
    <row r="9" spans="1:12" ht="28.9" hidden="1" outlineLevel="2">
      <c r="A9" s="110" t="s">
        <v>10</v>
      </c>
      <c r="B9" s="110" t="s">
        <v>23</v>
      </c>
      <c r="C9" s="110" t="s">
        <v>69</v>
      </c>
      <c r="D9" s="110" t="s">
        <v>44</v>
      </c>
      <c r="E9" s="111">
        <v>250000</v>
      </c>
      <c r="F9" s="111">
        <v>20833.333333333299</v>
      </c>
      <c r="G9" s="111">
        <v>0</v>
      </c>
      <c r="H9" s="111">
        <v>208333.33333333299</v>
      </c>
      <c r="I9" s="111">
        <v>-41666.666666666701</v>
      </c>
      <c r="J9" s="112" t="s">
        <v>70</v>
      </c>
      <c r="K9" s="112" t="s">
        <v>71</v>
      </c>
      <c r="L9" s="113" t="s">
        <v>47</v>
      </c>
    </row>
    <row r="10" spans="1:12" ht="28.9" hidden="1" outlineLevel="1">
      <c r="A10" s="114" t="s">
        <v>10</v>
      </c>
      <c r="B10" s="114" t="s">
        <v>72</v>
      </c>
      <c r="C10" s="110" t="s">
        <v>69</v>
      </c>
      <c r="D10" s="114"/>
      <c r="E10" s="115">
        <f>SUM(E9:E9)</f>
        <v>250000</v>
      </c>
      <c r="F10" s="115">
        <f>SUM(F9:F9)</f>
        <v>20833.333333333299</v>
      </c>
      <c r="G10" s="115">
        <f>SUM(G9:G9)</f>
        <v>0</v>
      </c>
      <c r="H10" s="115">
        <f>SUM(H9:H9)</f>
        <v>208333.33333333299</v>
      </c>
      <c r="I10" s="115">
        <f>SUM(I9:I9)</f>
        <v>-41666.666666666701</v>
      </c>
      <c r="J10" s="112" t="s">
        <v>73</v>
      </c>
      <c r="K10" s="112" t="s">
        <v>74</v>
      </c>
      <c r="L10" s="113" t="s">
        <v>51</v>
      </c>
    </row>
    <row r="11" spans="1:12" ht="28.9" hidden="1" outlineLevel="2">
      <c r="A11" s="110" t="s">
        <v>10</v>
      </c>
      <c r="B11" s="110" t="s">
        <v>25</v>
      </c>
      <c r="C11" s="110" t="s">
        <v>75</v>
      </c>
      <c r="D11" s="110" t="s">
        <v>56</v>
      </c>
      <c r="E11" s="111">
        <v>12896</v>
      </c>
      <c r="F11" s="111">
        <v>0</v>
      </c>
      <c r="G11" s="111">
        <v>0</v>
      </c>
      <c r="H11" s="111">
        <v>12896</v>
      </c>
      <c r="I11" s="111">
        <v>0</v>
      </c>
      <c r="J11" s="116" t="s">
        <v>76</v>
      </c>
      <c r="K11" s="116" t="s">
        <v>77</v>
      </c>
      <c r="L11" s="117" t="s">
        <v>59</v>
      </c>
    </row>
    <row r="12" spans="1:12" ht="28.9" hidden="1" outlineLevel="2">
      <c r="A12" s="110" t="s">
        <v>10</v>
      </c>
      <c r="B12" s="110" t="s">
        <v>25</v>
      </c>
      <c r="C12" s="110" t="s">
        <v>75</v>
      </c>
      <c r="D12" s="110" t="s">
        <v>44</v>
      </c>
      <c r="E12" s="111">
        <v>100000</v>
      </c>
      <c r="F12" s="111">
        <v>0</v>
      </c>
      <c r="G12" s="111">
        <v>0</v>
      </c>
      <c r="H12" s="111">
        <v>100000</v>
      </c>
      <c r="I12" s="111">
        <v>0</v>
      </c>
      <c r="J12" s="116" t="s">
        <v>78</v>
      </c>
      <c r="K12" s="116" t="s">
        <v>79</v>
      </c>
      <c r="L12" s="117" t="s">
        <v>59</v>
      </c>
    </row>
    <row r="13" spans="1:12" ht="28.9" hidden="1" outlineLevel="1">
      <c r="A13" s="114" t="s">
        <v>10</v>
      </c>
      <c r="B13" s="114" t="s">
        <v>80</v>
      </c>
      <c r="C13" s="110" t="s">
        <v>75</v>
      </c>
      <c r="D13" s="114"/>
      <c r="E13" s="115">
        <f>SUM(E11:E12)</f>
        <v>112896</v>
      </c>
      <c r="F13" s="115">
        <f>SUM(F11:F12)</f>
        <v>0</v>
      </c>
      <c r="G13" s="115">
        <f>SUM(G11:G12)</f>
        <v>0</v>
      </c>
      <c r="H13" s="115">
        <f>SUM(H11:H12)</f>
        <v>112896</v>
      </c>
      <c r="I13" s="115">
        <f>SUM(I11:I12)</f>
        <v>0</v>
      </c>
      <c r="J13" s="116" t="s">
        <v>81</v>
      </c>
      <c r="K13" s="116" t="s">
        <v>82</v>
      </c>
      <c r="L13" s="117" t="s">
        <v>59</v>
      </c>
    </row>
    <row r="14" spans="1:12" ht="57.6" collapsed="1">
      <c r="A14" s="114" t="s">
        <v>83</v>
      </c>
      <c r="B14" s="114"/>
      <c r="C14" s="114"/>
      <c r="D14" s="114"/>
      <c r="E14" s="115">
        <f>SUM(E4,E8,E10,E13)</f>
        <v>4706896</v>
      </c>
      <c r="F14" s="115">
        <f>SUM(F4,F8,F10,F13)</f>
        <v>600833.33333333326</v>
      </c>
      <c r="G14" s="115">
        <f>SUM(G4,G8,G10,G13)</f>
        <v>480000</v>
      </c>
      <c r="H14" s="115">
        <f>SUM(H4,H8,H10,H13)</f>
        <v>2873729.333333333</v>
      </c>
      <c r="I14" s="115">
        <f>SUM(I4,I8,I10,I13)</f>
        <v>-1353166.6666666667</v>
      </c>
      <c r="J14" s="112" t="s">
        <v>84</v>
      </c>
      <c r="K14" s="112" t="s">
        <v>85</v>
      </c>
      <c r="L14" s="113" t="s">
        <v>51</v>
      </c>
    </row>
    <row r="15" spans="1:12" ht="28.9" hidden="1" outlineLevel="2">
      <c r="A15" s="110" t="s">
        <v>11</v>
      </c>
      <c r="B15" s="110" t="s">
        <v>20</v>
      </c>
      <c r="C15" s="110" t="s">
        <v>43</v>
      </c>
      <c r="D15" s="110" t="s">
        <v>86</v>
      </c>
      <c r="E15" s="111">
        <v>81590</v>
      </c>
      <c r="F15" s="111">
        <v>20397.5</v>
      </c>
      <c r="G15" s="111">
        <v>5114.71</v>
      </c>
      <c r="H15" s="111">
        <v>76475.289999999994</v>
      </c>
      <c r="I15" s="111">
        <v>-15282.79</v>
      </c>
      <c r="J15" s="112" t="s">
        <v>87</v>
      </c>
      <c r="K15" s="112" t="s">
        <v>88</v>
      </c>
      <c r="L15" s="113" t="s">
        <v>51</v>
      </c>
    </row>
    <row r="16" spans="1:12" ht="28.9" hidden="1" outlineLevel="1">
      <c r="A16" s="114" t="s">
        <v>11</v>
      </c>
      <c r="B16" s="114" t="s">
        <v>52</v>
      </c>
      <c r="C16" s="110" t="s">
        <v>43</v>
      </c>
      <c r="D16" s="114"/>
      <c r="E16" s="115">
        <f>SUM(E15:E15)</f>
        <v>81590</v>
      </c>
      <c r="F16" s="115">
        <f>SUM(F15:F15)</f>
        <v>20397.5</v>
      </c>
      <c r="G16" s="115">
        <f>SUM(G15:G15)</f>
        <v>5114.71</v>
      </c>
      <c r="H16" s="115">
        <f>SUM(H15:H15)</f>
        <v>76475.289999999994</v>
      </c>
      <c r="I16" s="115">
        <f>SUM(I15:I15)</f>
        <v>-15282.79</v>
      </c>
      <c r="J16" s="112" t="s">
        <v>89</v>
      </c>
      <c r="K16" s="112" t="s">
        <v>90</v>
      </c>
      <c r="L16" s="113" t="s">
        <v>51</v>
      </c>
    </row>
    <row r="17" spans="1:13" ht="43.15" hidden="1" outlineLevel="2">
      <c r="A17" s="110" t="s">
        <v>11</v>
      </c>
      <c r="B17" s="110" t="s">
        <v>21</v>
      </c>
      <c r="C17" s="110" t="s">
        <v>91</v>
      </c>
      <c r="D17" s="110" t="s">
        <v>92</v>
      </c>
      <c r="E17" s="111">
        <v>34646</v>
      </c>
      <c r="F17" s="111">
        <v>8661.5</v>
      </c>
      <c r="G17" s="111">
        <v>1463.5</v>
      </c>
      <c r="H17" s="111">
        <v>108182.5</v>
      </c>
      <c r="I17" s="111">
        <v>67802</v>
      </c>
      <c r="J17" s="118" t="s">
        <v>93</v>
      </c>
      <c r="K17" s="118" t="s">
        <v>94</v>
      </c>
      <c r="L17" s="117" t="s">
        <v>95</v>
      </c>
      <c r="M17" s="119"/>
    </row>
    <row r="18" spans="1:13" ht="28.9" hidden="1" outlineLevel="2">
      <c r="A18" s="110" t="s">
        <v>11</v>
      </c>
      <c r="B18" s="110" t="s">
        <v>21</v>
      </c>
      <c r="C18" s="110" t="s">
        <v>91</v>
      </c>
      <c r="D18" s="110" t="s">
        <v>86</v>
      </c>
      <c r="E18" s="111">
        <v>0</v>
      </c>
      <c r="F18" s="111">
        <v>0</v>
      </c>
      <c r="G18" s="111">
        <v>6769.53</v>
      </c>
      <c r="H18" s="111">
        <v>-6769.53</v>
      </c>
      <c r="I18" s="111">
        <v>6769.53</v>
      </c>
      <c r="J18" s="118" t="s">
        <v>96</v>
      </c>
      <c r="K18" s="118" t="s">
        <v>97</v>
      </c>
      <c r="L18" s="117" t="s">
        <v>95</v>
      </c>
    </row>
    <row r="19" spans="1:13" ht="57.6" hidden="1" outlineLevel="1">
      <c r="A19" s="114" t="s">
        <v>11</v>
      </c>
      <c r="B19" s="114" t="s">
        <v>98</v>
      </c>
      <c r="C19" s="110" t="s">
        <v>91</v>
      </c>
      <c r="D19" s="114"/>
      <c r="E19" s="115">
        <f>SUM(E17:E18)</f>
        <v>34646</v>
      </c>
      <c r="F19" s="115">
        <f>SUM(F17:F18)</f>
        <v>8661.5</v>
      </c>
      <c r="G19" s="115">
        <f>SUM(G17:G18)</f>
        <v>8233.0299999999988</v>
      </c>
      <c r="H19" s="115">
        <f>SUM(H17:H18)</f>
        <v>101412.97</v>
      </c>
      <c r="I19" s="115">
        <f>SUM(I17:I18)</f>
        <v>74571.53</v>
      </c>
      <c r="J19" s="118" t="s">
        <v>99</v>
      </c>
      <c r="K19" s="118" t="s">
        <v>100</v>
      </c>
      <c r="L19" s="117" t="s">
        <v>95</v>
      </c>
    </row>
    <row r="20" spans="1:13" ht="57.6" collapsed="1">
      <c r="A20" s="114" t="s">
        <v>101</v>
      </c>
      <c r="B20" s="114"/>
      <c r="C20" s="114"/>
      <c r="D20" s="114"/>
      <c r="E20" s="115">
        <f>SUM(E16,E19)</f>
        <v>116236</v>
      </c>
      <c r="F20" s="115">
        <f>SUM(F16,F19)</f>
        <v>29059</v>
      </c>
      <c r="G20" s="115">
        <f>SUM(G16,G19)</f>
        <v>13347.739999999998</v>
      </c>
      <c r="H20" s="115">
        <f>SUM(H16,H19)</f>
        <v>177888.26</v>
      </c>
      <c r="I20" s="115">
        <f>SUM(I16,I19)</f>
        <v>59288.74</v>
      </c>
      <c r="J20" s="118" t="s">
        <v>102</v>
      </c>
      <c r="K20" s="118" t="s">
        <v>103</v>
      </c>
      <c r="L20" s="117" t="s">
        <v>95</v>
      </c>
    </row>
    <row r="21" spans="1:13" ht="28.9" hidden="1" outlineLevel="2">
      <c r="A21" s="110" t="s">
        <v>12</v>
      </c>
      <c r="B21" s="110" t="s">
        <v>21</v>
      </c>
      <c r="C21" s="110" t="s">
        <v>91</v>
      </c>
      <c r="D21" s="110" t="s">
        <v>104</v>
      </c>
      <c r="E21" s="111">
        <v>36345</v>
      </c>
      <c r="F21" s="111">
        <v>9086.25</v>
      </c>
      <c r="G21" s="111">
        <v>0</v>
      </c>
      <c r="H21" s="111">
        <v>36345</v>
      </c>
      <c r="I21" s="111">
        <v>0</v>
      </c>
      <c r="J21" s="116" t="s">
        <v>105</v>
      </c>
      <c r="K21" s="116" t="s">
        <v>106</v>
      </c>
      <c r="L21" s="117" t="s">
        <v>59</v>
      </c>
    </row>
    <row r="22" spans="1:13" ht="28.9" hidden="1" outlineLevel="2">
      <c r="A22" s="110" t="s">
        <v>12</v>
      </c>
      <c r="B22" s="110" t="s">
        <v>21</v>
      </c>
      <c r="C22" s="110" t="s">
        <v>91</v>
      </c>
      <c r="D22" s="110" t="s">
        <v>107</v>
      </c>
      <c r="E22" s="111">
        <v>4230</v>
      </c>
      <c r="F22" s="111">
        <v>1059</v>
      </c>
      <c r="G22" s="111">
        <v>1118.5354299999999</v>
      </c>
      <c r="H22" s="111">
        <v>3111.4645700000001</v>
      </c>
      <c r="I22" s="111">
        <v>59.535429999999899</v>
      </c>
      <c r="J22" s="120" t="s">
        <v>108</v>
      </c>
      <c r="K22" s="120" t="s">
        <v>109</v>
      </c>
      <c r="L22" s="117" t="s">
        <v>110</v>
      </c>
    </row>
    <row r="23" spans="1:13" ht="28.9" hidden="1" outlineLevel="2">
      <c r="A23" s="110" t="s">
        <v>12</v>
      </c>
      <c r="B23" s="110" t="s">
        <v>21</v>
      </c>
      <c r="C23" s="110" t="s">
        <v>91</v>
      </c>
      <c r="D23" s="110" t="s">
        <v>111</v>
      </c>
      <c r="E23" s="111">
        <v>2863</v>
      </c>
      <c r="F23" s="111">
        <v>715.75</v>
      </c>
      <c r="G23" s="111">
        <v>0</v>
      </c>
      <c r="H23" s="111">
        <v>2863</v>
      </c>
      <c r="I23" s="111">
        <v>0</v>
      </c>
      <c r="J23" s="116" t="s">
        <v>112</v>
      </c>
      <c r="K23" s="116" t="s">
        <v>113</v>
      </c>
      <c r="L23" s="117" t="s">
        <v>59</v>
      </c>
    </row>
    <row r="24" spans="1:13" ht="43.15" hidden="1" outlineLevel="2">
      <c r="A24" s="110" t="s">
        <v>12</v>
      </c>
      <c r="B24" s="110" t="s">
        <v>21</v>
      </c>
      <c r="C24" s="110" t="s">
        <v>91</v>
      </c>
      <c r="D24" s="110" t="s">
        <v>92</v>
      </c>
      <c r="E24" s="111">
        <v>180000</v>
      </c>
      <c r="F24" s="111">
        <v>45000</v>
      </c>
      <c r="G24" s="111">
        <v>33015.42</v>
      </c>
      <c r="H24" s="111">
        <v>146984.57999999999</v>
      </c>
      <c r="I24" s="111">
        <v>-11984.58</v>
      </c>
      <c r="J24" s="112" t="s">
        <v>114</v>
      </c>
      <c r="K24" s="112" t="s">
        <v>115</v>
      </c>
      <c r="L24" s="113" t="s">
        <v>51</v>
      </c>
    </row>
    <row r="25" spans="1:13" ht="28.9" hidden="1" outlineLevel="2">
      <c r="A25" s="110" t="s">
        <v>12</v>
      </c>
      <c r="B25" s="110" t="s">
        <v>21</v>
      </c>
      <c r="C25" s="110" t="s">
        <v>91</v>
      </c>
      <c r="D25" s="110" t="s">
        <v>116</v>
      </c>
      <c r="E25" s="111">
        <v>1674</v>
      </c>
      <c r="F25" s="111">
        <v>0</v>
      </c>
      <c r="G25" s="111">
        <v>0</v>
      </c>
      <c r="H25" s="111">
        <v>0</v>
      </c>
      <c r="I25" s="111">
        <v>-1674</v>
      </c>
      <c r="J25" s="121" t="s">
        <v>117</v>
      </c>
      <c r="K25" s="121" t="s">
        <v>118</v>
      </c>
      <c r="L25" s="117" t="s">
        <v>47</v>
      </c>
    </row>
    <row r="26" spans="1:13" ht="28.9" hidden="1" outlineLevel="2">
      <c r="A26" s="110" t="s">
        <v>12</v>
      </c>
      <c r="B26" s="110" t="s">
        <v>21</v>
      </c>
      <c r="C26" s="110" t="s">
        <v>91</v>
      </c>
      <c r="D26" s="110" t="s">
        <v>119</v>
      </c>
      <c r="E26" s="111">
        <v>7043</v>
      </c>
      <c r="F26" s="111">
        <v>1761</v>
      </c>
      <c r="G26" s="111">
        <v>1876.3675000000001</v>
      </c>
      <c r="H26" s="111">
        <v>5166.6324999999997</v>
      </c>
      <c r="I26" s="111">
        <v>115.36750000000001</v>
      </c>
      <c r="J26" s="120" t="s">
        <v>120</v>
      </c>
      <c r="K26" s="120" t="s">
        <v>121</v>
      </c>
      <c r="L26" s="117" t="s">
        <v>110</v>
      </c>
    </row>
    <row r="27" spans="1:13" ht="28.9" hidden="1" outlineLevel="2">
      <c r="A27" s="110" t="s">
        <v>12</v>
      </c>
      <c r="B27" s="110" t="s">
        <v>21</v>
      </c>
      <c r="C27" s="110" t="s">
        <v>91</v>
      </c>
      <c r="D27" s="110" t="s">
        <v>122</v>
      </c>
      <c r="E27" s="111">
        <v>35314</v>
      </c>
      <c r="F27" s="111">
        <v>8829</v>
      </c>
      <c r="G27" s="111">
        <v>8408.1299999999992</v>
      </c>
      <c r="H27" s="111">
        <v>26905.87</v>
      </c>
      <c r="I27" s="111">
        <v>-420.87000000000302</v>
      </c>
      <c r="J27" s="112" t="s">
        <v>123</v>
      </c>
      <c r="K27" s="112" t="s">
        <v>124</v>
      </c>
      <c r="L27" s="113" t="s">
        <v>51</v>
      </c>
    </row>
    <row r="28" spans="1:13" ht="28.9" hidden="1" outlineLevel="2">
      <c r="A28" s="110" t="s">
        <v>12</v>
      </c>
      <c r="B28" s="110" t="s">
        <v>21</v>
      </c>
      <c r="C28" s="110" t="s">
        <v>91</v>
      </c>
      <c r="D28" s="110" t="s">
        <v>125</v>
      </c>
      <c r="E28" s="111">
        <v>18865</v>
      </c>
      <c r="F28" s="111">
        <v>4535.8999999999996</v>
      </c>
      <c r="G28" s="111">
        <v>4859.2299999999996</v>
      </c>
      <c r="H28" s="111">
        <v>14005.67</v>
      </c>
      <c r="I28" s="111">
        <v>323.23000000000297</v>
      </c>
      <c r="J28" s="120" t="s">
        <v>126</v>
      </c>
      <c r="K28" s="120" t="s">
        <v>127</v>
      </c>
      <c r="L28" s="117" t="s">
        <v>110</v>
      </c>
    </row>
    <row r="29" spans="1:13" ht="28.9" hidden="1" outlineLevel="2">
      <c r="A29" s="110" t="s">
        <v>12</v>
      </c>
      <c r="B29" s="110" t="s">
        <v>21</v>
      </c>
      <c r="C29" s="110" t="s">
        <v>91</v>
      </c>
      <c r="D29" s="110" t="s">
        <v>128</v>
      </c>
      <c r="E29" s="111">
        <v>25439</v>
      </c>
      <c r="F29" s="111">
        <v>6359.75</v>
      </c>
      <c r="G29" s="111">
        <v>6057.62</v>
      </c>
      <c r="H29" s="111">
        <v>19381.38</v>
      </c>
      <c r="I29" s="111">
        <v>-302.12999999999698</v>
      </c>
      <c r="J29" s="112" t="s">
        <v>129</v>
      </c>
      <c r="K29" s="112" t="s">
        <v>130</v>
      </c>
      <c r="L29" s="113" t="s">
        <v>51</v>
      </c>
    </row>
    <row r="30" spans="1:13" ht="28.9" hidden="1" outlineLevel="2">
      <c r="A30" s="110" t="s">
        <v>12</v>
      </c>
      <c r="B30" s="110" t="s">
        <v>21</v>
      </c>
      <c r="C30" s="110" t="s">
        <v>91</v>
      </c>
      <c r="D30" s="110" t="s">
        <v>131</v>
      </c>
      <c r="E30" s="111">
        <v>34537</v>
      </c>
      <c r="F30" s="111">
        <v>8634.25</v>
      </c>
      <c r="G30" s="111">
        <v>8224.35</v>
      </c>
      <c r="H30" s="111">
        <v>26312.65</v>
      </c>
      <c r="I30" s="111">
        <v>-409.900000000001</v>
      </c>
      <c r="J30" s="112" t="s">
        <v>132</v>
      </c>
      <c r="K30" s="112" t="s">
        <v>133</v>
      </c>
      <c r="L30" s="113" t="s">
        <v>51</v>
      </c>
    </row>
    <row r="31" spans="1:13" ht="28.9" hidden="1" outlineLevel="2">
      <c r="A31" s="110" t="s">
        <v>12</v>
      </c>
      <c r="B31" s="110" t="s">
        <v>21</v>
      </c>
      <c r="C31" s="110" t="s">
        <v>91</v>
      </c>
      <c r="D31" s="110" t="s">
        <v>134</v>
      </c>
      <c r="E31" s="111">
        <v>7500000</v>
      </c>
      <c r="F31" s="111">
        <v>1875000</v>
      </c>
      <c r="G31" s="111">
        <v>1891775.66</v>
      </c>
      <c r="H31" s="111">
        <v>5591448.3399999999</v>
      </c>
      <c r="I31" s="111">
        <v>-0.33999999891966598</v>
      </c>
      <c r="J31" s="116" t="s">
        <v>135</v>
      </c>
      <c r="K31" s="116" t="s">
        <v>136</v>
      </c>
      <c r="L31" s="117" t="s">
        <v>59</v>
      </c>
    </row>
    <row r="32" spans="1:13" ht="28.9" hidden="1" outlineLevel="2">
      <c r="A32" s="110" t="s">
        <v>12</v>
      </c>
      <c r="B32" s="110" t="s">
        <v>21</v>
      </c>
      <c r="C32" s="110" t="s">
        <v>91</v>
      </c>
      <c r="D32" s="110" t="s">
        <v>137</v>
      </c>
      <c r="E32" s="111">
        <v>52500</v>
      </c>
      <c r="F32" s="111">
        <v>0</v>
      </c>
      <c r="G32" s="111">
        <v>0</v>
      </c>
      <c r="H32" s="111">
        <v>52500</v>
      </c>
      <c r="I32" s="111">
        <v>0</v>
      </c>
      <c r="J32" s="116" t="s">
        <v>138</v>
      </c>
      <c r="K32" s="116" t="s">
        <v>139</v>
      </c>
      <c r="L32" s="117" t="s">
        <v>59</v>
      </c>
    </row>
    <row r="33" spans="1:13" ht="28.9" hidden="1" outlineLevel="2">
      <c r="A33" s="110" t="s">
        <v>12</v>
      </c>
      <c r="B33" s="110" t="s">
        <v>21</v>
      </c>
      <c r="C33" s="110" t="s">
        <v>91</v>
      </c>
      <c r="D33" s="110" t="s">
        <v>140</v>
      </c>
      <c r="E33" s="111">
        <v>3150</v>
      </c>
      <c r="F33" s="111">
        <v>3150</v>
      </c>
      <c r="G33" s="111">
        <v>3000</v>
      </c>
      <c r="H33" s="111">
        <v>150</v>
      </c>
      <c r="I33" s="111">
        <v>-150</v>
      </c>
      <c r="J33" s="112" t="s">
        <v>141</v>
      </c>
      <c r="K33" s="112" t="s">
        <v>142</v>
      </c>
      <c r="L33" s="113" t="s">
        <v>51</v>
      </c>
    </row>
    <row r="34" spans="1:13" ht="28.9" hidden="1" outlineLevel="2">
      <c r="A34" s="110" t="s">
        <v>12</v>
      </c>
      <c r="B34" s="110" t="s">
        <v>21</v>
      </c>
      <c r="C34" s="110" t="s">
        <v>91</v>
      </c>
      <c r="D34" s="110" t="s">
        <v>86</v>
      </c>
      <c r="E34" s="111">
        <v>0</v>
      </c>
      <c r="F34" s="111">
        <v>0</v>
      </c>
      <c r="G34" s="111">
        <v>73.75</v>
      </c>
      <c r="H34" s="111">
        <v>-73.75</v>
      </c>
      <c r="I34" s="111">
        <v>73.75</v>
      </c>
      <c r="J34" s="120" t="s">
        <v>143</v>
      </c>
      <c r="K34" s="120" t="s">
        <v>144</v>
      </c>
      <c r="L34" s="117" t="s">
        <v>110</v>
      </c>
    </row>
    <row r="35" spans="1:13" ht="28.9" hidden="1" outlineLevel="2">
      <c r="A35" s="110" t="s">
        <v>12</v>
      </c>
      <c r="B35" s="110" t="s">
        <v>21</v>
      </c>
      <c r="C35" s="110" t="s">
        <v>91</v>
      </c>
      <c r="D35" s="110" t="s">
        <v>145</v>
      </c>
      <c r="E35" s="111">
        <v>421713.07500000001</v>
      </c>
      <c r="F35" s="111">
        <v>101252.50333333301</v>
      </c>
      <c r="G35" s="111">
        <v>66108.92</v>
      </c>
      <c r="H35" s="111">
        <v>355603.83333333302</v>
      </c>
      <c r="I35" s="111">
        <v>-0.32166666671400901</v>
      </c>
      <c r="J35" s="116" t="s">
        <v>146</v>
      </c>
      <c r="K35" s="116" t="s">
        <v>147</v>
      </c>
      <c r="L35" s="117" t="s">
        <v>59</v>
      </c>
    </row>
    <row r="36" spans="1:13" ht="28.9" hidden="1" outlineLevel="2">
      <c r="A36" s="110" t="s">
        <v>12</v>
      </c>
      <c r="B36" s="110" t="s">
        <v>21</v>
      </c>
      <c r="C36" s="110" t="s">
        <v>91</v>
      </c>
      <c r="D36" s="110" t="s">
        <v>148</v>
      </c>
      <c r="E36" s="111">
        <v>15750</v>
      </c>
      <c r="F36" s="111">
        <v>0</v>
      </c>
      <c r="G36" s="111">
        <v>0</v>
      </c>
      <c r="H36" s="111">
        <v>15750</v>
      </c>
      <c r="I36" s="111">
        <v>0</v>
      </c>
      <c r="J36" s="116" t="s">
        <v>149</v>
      </c>
      <c r="K36" s="116" t="s">
        <v>150</v>
      </c>
      <c r="L36" s="117" t="s">
        <v>59</v>
      </c>
    </row>
    <row r="37" spans="1:13" ht="28.9" hidden="1" outlineLevel="1">
      <c r="A37" s="114" t="s">
        <v>12</v>
      </c>
      <c r="B37" s="114" t="s">
        <v>98</v>
      </c>
      <c r="C37" s="110" t="s">
        <v>91</v>
      </c>
      <c r="D37" s="114"/>
      <c r="E37" s="115">
        <f>SUM(E21:E36)</f>
        <v>8339423.0750000002</v>
      </c>
      <c r="F37" s="115">
        <f>SUM(F21:F36)</f>
        <v>2065383.4033333329</v>
      </c>
      <c r="G37" s="115">
        <f>SUM(G21:G36)</f>
        <v>2024517.9829299999</v>
      </c>
      <c r="H37" s="115">
        <f>SUM(H21:H36)</f>
        <v>6296454.6704033324</v>
      </c>
      <c r="I37" s="115">
        <f>SUM(I21:I36)</f>
        <v>-14370.258736665632</v>
      </c>
      <c r="J37" s="112" t="s">
        <v>151</v>
      </c>
      <c r="K37" s="112" t="s">
        <v>152</v>
      </c>
      <c r="L37" s="113" t="s">
        <v>51</v>
      </c>
    </row>
    <row r="38" spans="1:13" ht="28.9" hidden="1" outlineLevel="2">
      <c r="A38" s="110" t="s">
        <v>12</v>
      </c>
      <c r="B38" s="110" t="s">
        <v>25</v>
      </c>
      <c r="C38" s="110" t="s">
        <v>75</v>
      </c>
      <c r="D38" s="110" t="s">
        <v>153</v>
      </c>
      <c r="E38" s="111">
        <v>292</v>
      </c>
      <c r="F38" s="111">
        <v>0</v>
      </c>
      <c r="G38" s="111">
        <v>0</v>
      </c>
      <c r="H38" s="111">
        <v>292</v>
      </c>
      <c r="I38" s="111">
        <v>0</v>
      </c>
      <c r="J38" s="116" t="s">
        <v>154</v>
      </c>
      <c r="K38" s="116" t="s">
        <v>155</v>
      </c>
      <c r="L38" s="117" t="s">
        <v>59</v>
      </c>
    </row>
    <row r="39" spans="1:13" ht="28.9" hidden="1" outlineLevel="2">
      <c r="A39" s="110" t="s">
        <v>12</v>
      </c>
      <c r="B39" s="110" t="s">
        <v>25</v>
      </c>
      <c r="C39" s="110" t="s">
        <v>75</v>
      </c>
      <c r="D39" s="110" t="s">
        <v>156</v>
      </c>
      <c r="E39" s="111">
        <v>2900</v>
      </c>
      <c r="F39" s="111">
        <v>258.66666666666703</v>
      </c>
      <c r="G39" s="111">
        <v>16.739999999999998</v>
      </c>
      <c r="H39" s="111">
        <v>2882.9266666666699</v>
      </c>
      <c r="I39" s="111">
        <v>-0.59333333333370297</v>
      </c>
      <c r="J39" s="112" t="s">
        <v>157</v>
      </c>
      <c r="K39" s="112" t="s">
        <v>158</v>
      </c>
      <c r="L39" s="113" t="s">
        <v>51</v>
      </c>
    </row>
    <row r="40" spans="1:13" ht="28.9" hidden="1" outlineLevel="1">
      <c r="A40" s="114" t="s">
        <v>12</v>
      </c>
      <c r="B40" s="114" t="s">
        <v>80</v>
      </c>
      <c r="C40" s="110" t="s">
        <v>75</v>
      </c>
      <c r="D40" s="114"/>
      <c r="E40" s="115">
        <f>SUM(E38:E39)</f>
        <v>3192</v>
      </c>
      <c r="F40" s="115">
        <f>SUM(F38:F39)</f>
        <v>258.66666666666703</v>
      </c>
      <c r="G40" s="115">
        <f>SUM(G38:G39)</f>
        <v>16.739999999999998</v>
      </c>
      <c r="H40" s="115">
        <f>SUM(H38:H39)</f>
        <v>3174.9266666666699</v>
      </c>
      <c r="I40" s="115">
        <f>SUM(I38:I39)</f>
        <v>-0.59333333333370297</v>
      </c>
      <c r="J40" s="112" t="s">
        <v>159</v>
      </c>
      <c r="K40" s="112" t="s">
        <v>160</v>
      </c>
      <c r="L40" s="113" t="s">
        <v>51</v>
      </c>
    </row>
    <row r="41" spans="1:13" ht="86.45" collapsed="1">
      <c r="A41" s="114" t="s">
        <v>161</v>
      </c>
      <c r="B41" s="114"/>
      <c r="C41" s="114"/>
      <c r="D41" s="114"/>
      <c r="E41" s="115">
        <f>SUM(E37,E40)</f>
        <v>8342615.0750000002</v>
      </c>
      <c r="F41" s="115">
        <f>SUM(F37,F40)</f>
        <v>2065642.0699999996</v>
      </c>
      <c r="G41" s="115">
        <f>SUM(G37,G40)</f>
        <v>2024534.7229299999</v>
      </c>
      <c r="H41" s="115">
        <f>SUM(H37,H40)</f>
        <v>6299629.5970699992</v>
      </c>
      <c r="I41" s="115">
        <f>SUM(I37,I40)</f>
        <v>-14370.852069998966</v>
      </c>
      <c r="J41" s="112" t="s">
        <v>162</v>
      </c>
      <c r="K41" s="112" t="s">
        <v>163</v>
      </c>
      <c r="L41" s="113" t="s">
        <v>51</v>
      </c>
    </row>
    <row r="42" spans="1:13" ht="57.6" hidden="1" outlineLevel="2">
      <c r="A42" s="110" t="s">
        <v>13</v>
      </c>
      <c r="B42" s="110" t="s">
        <v>20</v>
      </c>
      <c r="C42" s="110" t="s">
        <v>43</v>
      </c>
      <c r="D42" s="110" t="s">
        <v>164</v>
      </c>
      <c r="E42" s="111">
        <v>1438080</v>
      </c>
      <c r="F42" s="111">
        <v>359520</v>
      </c>
      <c r="G42" s="111">
        <v>347743</v>
      </c>
      <c r="H42" s="111">
        <v>1090337</v>
      </c>
      <c r="I42" s="111">
        <v>-11777</v>
      </c>
      <c r="J42" s="112" t="s">
        <v>165</v>
      </c>
      <c r="K42" s="112" t="s">
        <v>166</v>
      </c>
      <c r="L42" s="113" t="s">
        <v>51</v>
      </c>
    </row>
    <row r="43" spans="1:13" ht="86.45" hidden="1" outlineLevel="2">
      <c r="A43" s="110" t="s">
        <v>13</v>
      </c>
      <c r="B43" s="110" t="s">
        <v>20</v>
      </c>
      <c r="C43" s="110" t="s">
        <v>43</v>
      </c>
      <c r="D43" s="110" t="s">
        <v>44</v>
      </c>
      <c r="E43" s="111">
        <v>403200</v>
      </c>
      <c r="F43" s="111">
        <v>100800</v>
      </c>
      <c r="G43" s="111">
        <v>209843.36</v>
      </c>
      <c r="H43" s="111">
        <v>193356.64</v>
      </c>
      <c r="I43" s="111">
        <v>109043.36</v>
      </c>
      <c r="J43" s="118" t="s">
        <v>167</v>
      </c>
      <c r="K43" s="118" t="s">
        <v>168</v>
      </c>
      <c r="L43" s="117" t="s">
        <v>95</v>
      </c>
    </row>
    <row r="44" spans="1:13" ht="86.45" hidden="1" outlineLevel="2">
      <c r="A44" s="110" t="s">
        <v>13</v>
      </c>
      <c r="B44" s="110" t="s">
        <v>20</v>
      </c>
      <c r="C44" s="110" t="s">
        <v>43</v>
      </c>
      <c r="D44" s="110" t="s">
        <v>48</v>
      </c>
      <c r="E44" s="111">
        <v>216000</v>
      </c>
      <c r="F44" s="111">
        <v>264000</v>
      </c>
      <c r="G44" s="111">
        <v>143200</v>
      </c>
      <c r="H44" s="111">
        <v>912800</v>
      </c>
      <c r="I44" s="111">
        <v>807200</v>
      </c>
      <c r="J44" s="120" t="s">
        <v>169</v>
      </c>
      <c r="K44" s="120" t="s">
        <v>170</v>
      </c>
      <c r="L44" s="117" t="s">
        <v>110</v>
      </c>
    </row>
    <row r="45" spans="1:13" ht="86.45" hidden="1" outlineLevel="2">
      <c r="A45" s="110" t="s">
        <v>13</v>
      </c>
      <c r="B45" s="110" t="s">
        <v>20</v>
      </c>
      <c r="C45" s="110" t="s">
        <v>43</v>
      </c>
      <c r="D45" s="110" t="s">
        <v>171</v>
      </c>
      <c r="E45" s="111">
        <v>940800</v>
      </c>
      <c r="F45" s="111">
        <v>470400</v>
      </c>
      <c r="G45" s="111">
        <v>446352</v>
      </c>
      <c r="H45" s="111">
        <v>1435248</v>
      </c>
      <c r="I45" s="111">
        <v>916752</v>
      </c>
      <c r="J45" s="120" t="s">
        <v>172</v>
      </c>
      <c r="K45" s="120" t="s">
        <v>173</v>
      </c>
      <c r="L45" s="117" t="s">
        <v>110</v>
      </c>
    </row>
    <row r="46" spans="1:13" ht="144" hidden="1" outlineLevel="1">
      <c r="A46" s="114" t="s">
        <v>13</v>
      </c>
      <c r="B46" s="114" t="s">
        <v>52</v>
      </c>
      <c r="C46" s="110" t="s">
        <v>43</v>
      </c>
      <c r="D46" s="114"/>
      <c r="E46" s="115">
        <f>SUM(E42:E45)</f>
        <v>2998080</v>
      </c>
      <c r="F46" s="115">
        <f>SUM(F42:F45)</f>
        <v>1194720</v>
      </c>
      <c r="G46" s="115">
        <f>SUM(G42:G45)</f>
        <v>1147138.3599999999</v>
      </c>
      <c r="H46" s="115">
        <f>SUM(H42:H45)</f>
        <v>3631741.64</v>
      </c>
      <c r="I46" s="115">
        <f>SUM(I42:I45)</f>
        <v>1821218.3599999999</v>
      </c>
      <c r="J46" s="120" t="s">
        <v>174</v>
      </c>
      <c r="K46" s="120" t="s">
        <v>175</v>
      </c>
      <c r="L46" s="117" t="s">
        <v>110</v>
      </c>
    </row>
    <row r="47" spans="1:13" ht="86.45" hidden="1" outlineLevel="2">
      <c r="A47" s="110" t="s">
        <v>13</v>
      </c>
      <c r="B47" s="110" t="s">
        <v>21</v>
      </c>
      <c r="C47" s="110" t="s">
        <v>91</v>
      </c>
      <c r="D47" s="110" t="s">
        <v>164</v>
      </c>
      <c r="E47" s="111">
        <v>414080</v>
      </c>
      <c r="F47" s="111">
        <v>123200</v>
      </c>
      <c r="G47" s="111">
        <v>103682</v>
      </c>
      <c r="H47" s="111">
        <v>396638</v>
      </c>
      <c r="I47" s="111">
        <v>66722</v>
      </c>
      <c r="J47" s="118" t="s">
        <v>176</v>
      </c>
      <c r="K47" s="118" t="s">
        <v>177</v>
      </c>
      <c r="L47" s="117" t="s">
        <v>95</v>
      </c>
      <c r="M47" s="119"/>
    </row>
    <row r="48" spans="1:13" ht="72" hidden="1" outlineLevel="1">
      <c r="A48" s="114" t="s">
        <v>13</v>
      </c>
      <c r="B48" s="114" t="s">
        <v>98</v>
      </c>
      <c r="C48" s="110" t="s">
        <v>91</v>
      </c>
      <c r="D48" s="114"/>
      <c r="E48" s="115">
        <f>SUM(E47:E47)</f>
        <v>414080</v>
      </c>
      <c r="F48" s="115">
        <f>SUM(F47:F47)</f>
        <v>123200</v>
      </c>
      <c r="G48" s="115">
        <f>SUM(G47:G47)</f>
        <v>103682</v>
      </c>
      <c r="H48" s="115">
        <f>SUM(H47:H47)</f>
        <v>396638</v>
      </c>
      <c r="I48" s="115">
        <f>SUM(I47:I47)</f>
        <v>66722</v>
      </c>
      <c r="J48" s="118" t="s">
        <v>178</v>
      </c>
      <c r="K48" s="120" t="s">
        <v>179</v>
      </c>
      <c r="L48" s="117" t="s">
        <v>95</v>
      </c>
    </row>
    <row r="49" spans="1:12" ht="43.15" hidden="1" outlineLevel="2">
      <c r="A49" s="110" t="s">
        <v>13</v>
      </c>
      <c r="B49" s="110" t="s">
        <v>22</v>
      </c>
      <c r="C49" s="110" t="s">
        <v>55</v>
      </c>
      <c r="D49" s="110" t="s">
        <v>164</v>
      </c>
      <c r="E49" s="111">
        <v>1505280</v>
      </c>
      <c r="F49" s="111">
        <v>376320</v>
      </c>
      <c r="G49" s="111">
        <v>342536</v>
      </c>
      <c r="H49" s="111">
        <v>1162744</v>
      </c>
      <c r="I49" s="111">
        <v>-33784</v>
      </c>
      <c r="J49" s="112" t="s">
        <v>180</v>
      </c>
      <c r="K49" s="112" t="s">
        <v>181</v>
      </c>
      <c r="L49" s="113" t="s">
        <v>51</v>
      </c>
    </row>
    <row r="50" spans="1:12" ht="43.15" hidden="1" outlineLevel="2">
      <c r="A50" s="110" t="s">
        <v>13</v>
      </c>
      <c r="B50" s="110" t="s">
        <v>22</v>
      </c>
      <c r="C50" s="110" t="s">
        <v>55</v>
      </c>
      <c r="D50" s="110" t="s">
        <v>44</v>
      </c>
      <c r="E50" s="111">
        <v>252000</v>
      </c>
      <c r="F50" s="111">
        <v>63000</v>
      </c>
      <c r="G50" s="111">
        <v>64050</v>
      </c>
      <c r="H50" s="111">
        <v>187950</v>
      </c>
      <c r="I50" s="111">
        <v>1050</v>
      </c>
      <c r="J50" s="120" t="s">
        <v>182</v>
      </c>
      <c r="K50" s="120" t="s">
        <v>183</v>
      </c>
      <c r="L50" s="117" t="s">
        <v>110</v>
      </c>
    </row>
    <row r="51" spans="1:12" ht="43.15" hidden="1" outlineLevel="1">
      <c r="A51" s="114" t="s">
        <v>13</v>
      </c>
      <c r="B51" s="114" t="s">
        <v>66</v>
      </c>
      <c r="C51" s="110" t="s">
        <v>55</v>
      </c>
      <c r="D51" s="114"/>
      <c r="E51" s="115">
        <f>SUM(E49:E50)</f>
        <v>1757280</v>
      </c>
      <c r="F51" s="115">
        <f>SUM(F49:F50)</f>
        <v>439320</v>
      </c>
      <c r="G51" s="115">
        <f>SUM(G49:G50)</f>
        <v>406586</v>
      </c>
      <c r="H51" s="115">
        <f>SUM(H49:H50)</f>
        <v>1350694</v>
      </c>
      <c r="I51" s="115">
        <f>SUM(I49:I50)</f>
        <v>-32734</v>
      </c>
      <c r="J51" s="112" t="s">
        <v>184</v>
      </c>
      <c r="K51" s="112" t="s">
        <v>185</v>
      </c>
      <c r="L51" s="113" t="s">
        <v>51</v>
      </c>
    </row>
    <row r="52" spans="1:12" ht="172.9" hidden="1" outlineLevel="2">
      <c r="A52" s="110" t="s">
        <v>13</v>
      </c>
      <c r="B52" s="110" t="s">
        <v>23</v>
      </c>
      <c r="C52" s="110" t="s">
        <v>69</v>
      </c>
      <c r="D52" s="110" t="s">
        <v>44</v>
      </c>
      <c r="E52" s="111">
        <v>600000</v>
      </c>
      <c r="F52" s="111">
        <v>98000</v>
      </c>
      <c r="G52" s="111">
        <v>67600</v>
      </c>
      <c r="H52" s="111">
        <v>476800</v>
      </c>
      <c r="I52" s="111">
        <v>-86000</v>
      </c>
      <c r="J52" s="112" t="s">
        <v>186</v>
      </c>
      <c r="K52" s="112" t="s">
        <v>187</v>
      </c>
      <c r="L52" s="113" t="s">
        <v>51</v>
      </c>
    </row>
    <row r="53" spans="1:12" ht="100.9" hidden="1" outlineLevel="1">
      <c r="A53" s="114" t="s">
        <v>13</v>
      </c>
      <c r="B53" s="114" t="s">
        <v>72</v>
      </c>
      <c r="C53" s="110" t="s">
        <v>69</v>
      </c>
      <c r="D53" s="114"/>
      <c r="E53" s="115">
        <f>SUM(E52:E52)</f>
        <v>600000</v>
      </c>
      <c r="F53" s="115">
        <f>SUM(F52:F52)</f>
        <v>98000</v>
      </c>
      <c r="G53" s="115">
        <f>SUM(G52:G52)</f>
        <v>67600</v>
      </c>
      <c r="H53" s="115">
        <f>SUM(H52:H52)</f>
        <v>476800</v>
      </c>
      <c r="I53" s="115">
        <f>SUM(I52:I52)</f>
        <v>-86000</v>
      </c>
      <c r="J53" s="112" t="s">
        <v>188</v>
      </c>
      <c r="K53" s="112" t="s">
        <v>189</v>
      </c>
      <c r="L53" s="113" t="s">
        <v>51</v>
      </c>
    </row>
    <row r="54" spans="1:12" ht="72" hidden="1" outlineLevel="2">
      <c r="A54" s="110" t="s">
        <v>13</v>
      </c>
      <c r="B54" s="110" t="s">
        <v>25</v>
      </c>
      <c r="C54" s="110" t="s">
        <v>75</v>
      </c>
      <c r="D54" s="110" t="s">
        <v>164</v>
      </c>
      <c r="E54" s="111">
        <v>291840</v>
      </c>
      <c r="F54" s="111">
        <v>76720</v>
      </c>
      <c r="G54" s="111">
        <v>75392</v>
      </c>
      <c r="H54" s="111">
        <v>287888</v>
      </c>
      <c r="I54" s="111">
        <v>73872</v>
      </c>
      <c r="J54" s="120" t="s">
        <v>190</v>
      </c>
      <c r="K54" s="120" t="s">
        <v>191</v>
      </c>
      <c r="L54" s="117" t="s">
        <v>110</v>
      </c>
    </row>
    <row r="55" spans="1:12" ht="57.6" hidden="1" outlineLevel="2">
      <c r="A55" s="110" t="s">
        <v>13</v>
      </c>
      <c r="B55" s="110" t="s">
        <v>25</v>
      </c>
      <c r="C55" s="110" t="s">
        <v>75</v>
      </c>
      <c r="D55" s="110" t="s">
        <v>44</v>
      </c>
      <c r="E55" s="111">
        <v>161280</v>
      </c>
      <c r="F55" s="111">
        <v>40320</v>
      </c>
      <c r="G55" s="111">
        <v>36032</v>
      </c>
      <c r="H55" s="111">
        <v>53248</v>
      </c>
      <c r="I55" s="111">
        <v>-76288</v>
      </c>
      <c r="J55" s="112" t="s">
        <v>192</v>
      </c>
      <c r="K55" s="112" t="s">
        <v>193</v>
      </c>
      <c r="L55" s="113" t="s">
        <v>51</v>
      </c>
    </row>
    <row r="56" spans="1:12" ht="43.15" hidden="1" outlineLevel="2">
      <c r="A56" s="110" t="s">
        <v>13</v>
      </c>
      <c r="B56" s="110" t="s">
        <v>25</v>
      </c>
      <c r="C56" s="110" t="s">
        <v>75</v>
      </c>
      <c r="D56" s="110" t="s">
        <v>194</v>
      </c>
      <c r="E56" s="111">
        <v>218880</v>
      </c>
      <c r="F56" s="111">
        <v>54720</v>
      </c>
      <c r="G56" s="111">
        <v>49180</v>
      </c>
      <c r="H56" s="111">
        <v>169700</v>
      </c>
      <c r="I56" s="111">
        <v>-5540</v>
      </c>
      <c r="J56" s="112" t="s">
        <v>195</v>
      </c>
      <c r="K56" s="112" t="s">
        <v>196</v>
      </c>
      <c r="L56" s="113" t="s">
        <v>51</v>
      </c>
    </row>
    <row r="57" spans="1:12" ht="57.6" hidden="1" outlineLevel="1">
      <c r="A57" s="114" t="s">
        <v>13</v>
      </c>
      <c r="B57" s="114" t="s">
        <v>80</v>
      </c>
      <c r="C57" s="110" t="s">
        <v>75</v>
      </c>
      <c r="D57" s="114"/>
      <c r="E57" s="115">
        <f>SUM(E54:E56)</f>
        <v>672000</v>
      </c>
      <c r="F57" s="115">
        <f>SUM(F54:F56)</f>
        <v>171760</v>
      </c>
      <c r="G57" s="115">
        <f>SUM(G54:G56)</f>
        <v>160604</v>
      </c>
      <c r="H57" s="115">
        <f>SUM(H54:H56)</f>
        <v>510836</v>
      </c>
      <c r="I57" s="115">
        <f>SUM(I54:I56)</f>
        <v>-7956</v>
      </c>
      <c r="J57" s="112" t="s">
        <v>197</v>
      </c>
      <c r="K57" s="112" t="s">
        <v>198</v>
      </c>
      <c r="L57" s="113" t="s">
        <v>51</v>
      </c>
    </row>
    <row r="58" spans="1:12" ht="230.45" collapsed="1">
      <c r="A58" s="114" t="s">
        <v>199</v>
      </c>
      <c r="B58" s="114"/>
      <c r="C58" s="114"/>
      <c r="D58" s="114"/>
      <c r="E58" s="115">
        <f>SUM(E46,E48,E51,E53,E57)</f>
        <v>6441440</v>
      </c>
      <c r="F58" s="115">
        <f>SUM(F46,F48,F51,F53,F57)</f>
        <v>2027000</v>
      </c>
      <c r="G58" s="115">
        <f>SUM(G46,G48,G51,G53,G57)</f>
        <v>1885610.3599999999</v>
      </c>
      <c r="H58" s="115">
        <f>SUM(H46,H48,H51,H53,H57)</f>
        <v>6366709.6400000006</v>
      </c>
      <c r="I58" s="115">
        <f>SUM(I46,I48,I51,I53,I57)</f>
        <v>1761250.3599999999</v>
      </c>
      <c r="J58" s="118" t="s">
        <v>200</v>
      </c>
      <c r="K58" s="118" t="s">
        <v>201</v>
      </c>
      <c r="L58" s="117" t="s">
        <v>95</v>
      </c>
    </row>
    <row r="59" spans="1:12" ht="28.9" hidden="1" outlineLevel="2">
      <c r="A59" s="110" t="s">
        <v>14</v>
      </c>
      <c r="B59" s="110" t="s">
        <v>20</v>
      </c>
      <c r="C59" s="110" t="s">
        <v>43</v>
      </c>
      <c r="D59" s="110" t="s">
        <v>44</v>
      </c>
      <c r="E59" s="111">
        <v>1524552</v>
      </c>
      <c r="F59" s="111">
        <v>339888</v>
      </c>
      <c r="G59" s="111">
        <v>339888</v>
      </c>
      <c r="H59" s="111">
        <v>1184664</v>
      </c>
      <c r="I59" s="111">
        <v>0</v>
      </c>
      <c r="J59" s="116" t="s">
        <v>202</v>
      </c>
      <c r="K59" s="116" t="s">
        <v>203</v>
      </c>
      <c r="L59" s="117" t="s">
        <v>59</v>
      </c>
    </row>
    <row r="60" spans="1:12" ht="43.15" hidden="1" outlineLevel="2">
      <c r="A60" s="110" t="s">
        <v>14</v>
      </c>
      <c r="B60" s="110" t="s">
        <v>20</v>
      </c>
      <c r="C60" s="110" t="s">
        <v>43</v>
      </c>
      <c r="D60" s="110" t="s">
        <v>48</v>
      </c>
      <c r="E60" s="111">
        <v>281039.34000000003</v>
      </c>
      <c r="F60" s="111">
        <v>66597</v>
      </c>
      <c r="G60" s="111">
        <v>66597</v>
      </c>
      <c r="H60" s="111">
        <v>193041</v>
      </c>
      <c r="I60" s="111">
        <v>-21401.34</v>
      </c>
      <c r="J60" s="112" t="s">
        <v>204</v>
      </c>
      <c r="K60" s="112" t="s">
        <v>205</v>
      </c>
      <c r="L60" s="113" t="s">
        <v>51</v>
      </c>
    </row>
    <row r="61" spans="1:12" ht="28.9" hidden="1" outlineLevel="2">
      <c r="A61" s="110" t="s">
        <v>14</v>
      </c>
      <c r="B61" s="110" t="s">
        <v>20</v>
      </c>
      <c r="C61" s="110" t="s">
        <v>43</v>
      </c>
      <c r="D61" s="110" t="s">
        <v>206</v>
      </c>
      <c r="E61" s="111">
        <v>190000</v>
      </c>
      <c r="F61" s="111">
        <v>45000</v>
      </c>
      <c r="G61" s="111">
        <v>45000</v>
      </c>
      <c r="H61" s="111">
        <v>135000</v>
      </c>
      <c r="I61" s="111">
        <v>-10000</v>
      </c>
      <c r="J61" s="112" t="s">
        <v>207</v>
      </c>
      <c r="K61" s="112" t="s">
        <v>208</v>
      </c>
      <c r="L61" s="113" t="s">
        <v>51</v>
      </c>
    </row>
    <row r="62" spans="1:12" ht="72" hidden="1" outlineLevel="1">
      <c r="A62" s="114" t="s">
        <v>14</v>
      </c>
      <c r="B62" s="114" t="s">
        <v>52</v>
      </c>
      <c r="C62" s="110" t="s">
        <v>43</v>
      </c>
      <c r="D62" s="114"/>
      <c r="E62" s="115">
        <f>SUM(E59:E61)</f>
        <v>1995591.34</v>
      </c>
      <c r="F62" s="115">
        <f>SUM(F59:F61)</f>
        <v>451485</v>
      </c>
      <c r="G62" s="115">
        <f>SUM(G59:G61)</f>
        <v>451485</v>
      </c>
      <c r="H62" s="115">
        <f>SUM(H59:H61)</f>
        <v>1512705</v>
      </c>
      <c r="I62" s="115">
        <f>SUM(I59:I61)</f>
        <v>-31401.34</v>
      </c>
      <c r="J62" s="112" t="s">
        <v>209</v>
      </c>
      <c r="K62" s="112" t="s">
        <v>210</v>
      </c>
      <c r="L62" s="113" t="s">
        <v>51</v>
      </c>
    </row>
    <row r="63" spans="1:12" ht="43.15" hidden="1" outlineLevel="2">
      <c r="A63" s="110" t="s">
        <v>14</v>
      </c>
      <c r="B63" s="110" t="s">
        <v>21</v>
      </c>
      <c r="C63" s="110" t="s">
        <v>91</v>
      </c>
      <c r="D63" s="110" t="s">
        <v>211</v>
      </c>
      <c r="E63" s="111">
        <v>178500</v>
      </c>
      <c r="F63" s="111">
        <v>87084.78</v>
      </c>
      <c r="G63" s="111">
        <v>87084.78</v>
      </c>
      <c r="H63" s="111">
        <v>87084.78</v>
      </c>
      <c r="I63" s="111">
        <v>-4330.4399999999996</v>
      </c>
      <c r="J63" s="112" t="s">
        <v>212</v>
      </c>
      <c r="K63" s="112" t="s">
        <v>213</v>
      </c>
      <c r="L63" s="113" t="s">
        <v>51</v>
      </c>
    </row>
    <row r="64" spans="1:12" ht="28.9" hidden="1" outlineLevel="1">
      <c r="A64" s="114" t="s">
        <v>14</v>
      </c>
      <c r="B64" s="114" t="s">
        <v>98</v>
      </c>
      <c r="C64" s="110" t="s">
        <v>91</v>
      </c>
      <c r="D64" s="114"/>
      <c r="E64" s="115">
        <f>SUM(E63:E63)</f>
        <v>178500</v>
      </c>
      <c r="F64" s="115">
        <f>SUM(F63:F63)</f>
        <v>87084.78</v>
      </c>
      <c r="G64" s="115">
        <f>SUM(G63:G63)</f>
        <v>87084.78</v>
      </c>
      <c r="H64" s="115">
        <f>SUM(H63:H63)</f>
        <v>87084.78</v>
      </c>
      <c r="I64" s="115">
        <f>SUM(I63:I63)</f>
        <v>-4330.4399999999996</v>
      </c>
      <c r="J64" s="112" t="s">
        <v>214</v>
      </c>
      <c r="K64" s="112" t="s">
        <v>215</v>
      </c>
      <c r="L64" s="113" t="s">
        <v>51</v>
      </c>
    </row>
    <row r="65" spans="1:12" ht="43.15" hidden="1" outlineLevel="2">
      <c r="A65" s="110" t="s">
        <v>14</v>
      </c>
      <c r="B65" s="110" t="s">
        <v>22</v>
      </c>
      <c r="C65" s="110" t="s">
        <v>55</v>
      </c>
      <c r="D65" s="110" t="s">
        <v>216</v>
      </c>
      <c r="E65" s="111">
        <v>100000</v>
      </c>
      <c r="F65" s="111">
        <v>22800</v>
      </c>
      <c r="G65" s="111">
        <v>23875</v>
      </c>
      <c r="H65" s="111">
        <v>67325</v>
      </c>
      <c r="I65" s="111">
        <v>-7725</v>
      </c>
      <c r="J65" s="112" t="s">
        <v>217</v>
      </c>
      <c r="K65" s="112" t="s">
        <v>218</v>
      </c>
      <c r="L65" s="113" t="s">
        <v>51</v>
      </c>
    </row>
    <row r="66" spans="1:12" ht="28.9" hidden="1" outlineLevel="1">
      <c r="A66" s="114" t="s">
        <v>14</v>
      </c>
      <c r="B66" s="114" t="s">
        <v>66</v>
      </c>
      <c r="C66" s="110" t="s">
        <v>55</v>
      </c>
      <c r="D66" s="114"/>
      <c r="E66" s="115">
        <f>SUM(E65:E65)</f>
        <v>100000</v>
      </c>
      <c r="F66" s="115">
        <f>SUM(F65:F65)</f>
        <v>22800</v>
      </c>
      <c r="G66" s="115">
        <f>SUM(G65:G65)</f>
        <v>23875</v>
      </c>
      <c r="H66" s="115">
        <f>SUM(H65:H65)</f>
        <v>67325</v>
      </c>
      <c r="I66" s="115">
        <f>SUM(I65:I65)</f>
        <v>-7725</v>
      </c>
      <c r="J66" s="112" t="s">
        <v>219</v>
      </c>
      <c r="K66" s="112" t="s">
        <v>220</v>
      </c>
      <c r="L66" s="113" t="s">
        <v>51</v>
      </c>
    </row>
    <row r="67" spans="1:12" ht="86.45" hidden="1" outlineLevel="2">
      <c r="A67" s="110" t="s">
        <v>14</v>
      </c>
      <c r="B67" s="110" t="s">
        <v>23</v>
      </c>
      <c r="C67" s="110" t="s">
        <v>69</v>
      </c>
      <c r="D67" s="110" t="s">
        <v>44</v>
      </c>
      <c r="E67" s="111">
        <v>345000</v>
      </c>
      <c r="F67" s="111">
        <v>99250</v>
      </c>
      <c r="G67" s="111">
        <v>99250</v>
      </c>
      <c r="H67" s="111">
        <v>492750</v>
      </c>
      <c r="I67" s="111">
        <v>247000</v>
      </c>
      <c r="J67" s="120" t="s">
        <v>221</v>
      </c>
      <c r="K67" s="120" t="s">
        <v>222</v>
      </c>
      <c r="L67" s="117" t="s">
        <v>110</v>
      </c>
    </row>
    <row r="68" spans="1:12" ht="28.9" hidden="1" outlineLevel="2">
      <c r="A68" s="110" t="s">
        <v>14</v>
      </c>
      <c r="B68" s="110" t="s">
        <v>23</v>
      </c>
      <c r="C68" s="110" t="s">
        <v>69</v>
      </c>
      <c r="D68" s="110" t="s">
        <v>48</v>
      </c>
      <c r="E68" s="111">
        <v>100000</v>
      </c>
      <c r="F68" s="111">
        <v>0</v>
      </c>
      <c r="G68" s="111">
        <v>0</v>
      </c>
      <c r="H68" s="111">
        <v>100000</v>
      </c>
      <c r="I68" s="111">
        <v>0</v>
      </c>
      <c r="J68" s="116" t="s">
        <v>223</v>
      </c>
      <c r="K68" s="116" t="s">
        <v>224</v>
      </c>
      <c r="L68" s="117" t="s">
        <v>59</v>
      </c>
    </row>
    <row r="69" spans="1:12" ht="57.6" hidden="1" outlineLevel="1">
      <c r="A69" s="114" t="s">
        <v>14</v>
      </c>
      <c r="B69" s="114" t="s">
        <v>72</v>
      </c>
      <c r="C69" s="110" t="s">
        <v>69</v>
      </c>
      <c r="D69" s="114"/>
      <c r="E69" s="115">
        <f>SUM(E67:E68)</f>
        <v>445000</v>
      </c>
      <c r="F69" s="115">
        <f>SUM(F67:F68)</f>
        <v>99250</v>
      </c>
      <c r="G69" s="115">
        <f>SUM(G67:G68)</f>
        <v>99250</v>
      </c>
      <c r="H69" s="115">
        <f>SUM(H67:H68)</f>
        <v>592750</v>
      </c>
      <c r="I69" s="115">
        <f>SUM(I67:I68)</f>
        <v>247000</v>
      </c>
      <c r="J69" s="120" t="s">
        <v>225</v>
      </c>
      <c r="K69" s="120" t="s">
        <v>226</v>
      </c>
      <c r="L69" s="117" t="s">
        <v>110</v>
      </c>
    </row>
    <row r="70" spans="1:12" ht="28.9" hidden="1" outlineLevel="2">
      <c r="A70" s="110" t="s">
        <v>14</v>
      </c>
      <c r="B70" s="110" t="s">
        <v>25</v>
      </c>
      <c r="C70" s="110" t="s">
        <v>75</v>
      </c>
      <c r="D70" s="110" t="s">
        <v>227</v>
      </c>
      <c r="E70" s="111">
        <v>32400</v>
      </c>
      <c r="F70" s="111">
        <v>32400</v>
      </c>
      <c r="G70" s="111">
        <v>32009.25</v>
      </c>
      <c r="H70" s="111">
        <v>390.75</v>
      </c>
      <c r="I70" s="111">
        <v>-390.75</v>
      </c>
      <c r="J70" s="112" t="s">
        <v>228</v>
      </c>
      <c r="K70" s="112" t="s">
        <v>229</v>
      </c>
      <c r="L70" s="113" t="s">
        <v>51</v>
      </c>
    </row>
    <row r="71" spans="1:12" ht="28.9" hidden="1" outlineLevel="1">
      <c r="A71" s="114" t="s">
        <v>14</v>
      </c>
      <c r="B71" s="114" t="s">
        <v>80</v>
      </c>
      <c r="C71" s="110" t="s">
        <v>75</v>
      </c>
      <c r="D71" s="114"/>
      <c r="E71" s="115">
        <f>SUM(E70:E70)</f>
        <v>32400</v>
      </c>
      <c r="F71" s="115">
        <f>SUM(F70:F70)</f>
        <v>32400</v>
      </c>
      <c r="G71" s="115">
        <f>SUM(G70:G70)</f>
        <v>32009.25</v>
      </c>
      <c r="H71" s="115">
        <f>SUM(H70:H70)</f>
        <v>390.75</v>
      </c>
      <c r="I71" s="115">
        <f>SUM(I70:I70)</f>
        <v>-390.75</v>
      </c>
      <c r="J71" s="112" t="s">
        <v>230</v>
      </c>
      <c r="K71" s="112" t="s">
        <v>231</v>
      </c>
      <c r="L71" s="113" t="s">
        <v>51</v>
      </c>
    </row>
    <row r="72" spans="1:12" ht="72" collapsed="1">
      <c r="A72" s="114" t="s">
        <v>232</v>
      </c>
      <c r="B72" s="114"/>
      <c r="C72" s="114"/>
      <c r="D72" s="114"/>
      <c r="E72" s="115">
        <f>SUM(E62,E64,E66,E69,E71)</f>
        <v>2751491.34</v>
      </c>
      <c r="F72" s="115">
        <f>SUM(F62,F64,F66,F69,F71)</f>
        <v>693019.78</v>
      </c>
      <c r="G72" s="115">
        <f>SUM(G62,G64,G66,G69,G71)</f>
        <v>693704.03</v>
      </c>
      <c r="H72" s="115">
        <f>SUM(H62,H64,H66,H69,H71)</f>
        <v>2260255.5300000003</v>
      </c>
      <c r="I72" s="115">
        <f>SUM(I62,I64,I66,I69,I71)</f>
        <v>203152.47</v>
      </c>
      <c r="J72" s="120" t="s">
        <v>233</v>
      </c>
      <c r="K72" s="120" t="s">
        <v>234</v>
      </c>
      <c r="L72" s="117" t="s">
        <v>110</v>
      </c>
    </row>
    <row r="73" spans="1:12" ht="28.9" hidden="1" outlineLevel="2">
      <c r="A73" s="110" t="s">
        <v>15</v>
      </c>
      <c r="B73" s="110" t="s">
        <v>22</v>
      </c>
      <c r="C73" s="110" t="s">
        <v>55</v>
      </c>
      <c r="D73" s="110" t="s">
        <v>235</v>
      </c>
      <c r="E73" s="111">
        <v>4409</v>
      </c>
      <c r="F73" s="111">
        <v>4409</v>
      </c>
      <c r="G73" s="111">
        <v>4982.8</v>
      </c>
      <c r="H73" s="111">
        <v>-573.79999999999995</v>
      </c>
      <c r="I73" s="111">
        <v>573.79999999999995</v>
      </c>
      <c r="J73" s="120" t="s">
        <v>236</v>
      </c>
      <c r="K73" s="120" t="s">
        <v>237</v>
      </c>
      <c r="L73" s="117" t="s">
        <v>110</v>
      </c>
    </row>
    <row r="74" spans="1:12" ht="28.9" hidden="1" outlineLevel="2">
      <c r="A74" s="110" t="s">
        <v>15</v>
      </c>
      <c r="B74" s="110" t="s">
        <v>22</v>
      </c>
      <c r="C74" s="110" t="s">
        <v>55</v>
      </c>
      <c r="D74" s="110" t="s">
        <v>238</v>
      </c>
      <c r="E74" s="111">
        <v>14886</v>
      </c>
      <c r="F74" s="111">
        <v>3266.28</v>
      </c>
      <c r="G74" s="111">
        <v>3266.26</v>
      </c>
      <c r="H74" s="111">
        <v>9798.86</v>
      </c>
      <c r="I74" s="111">
        <v>-1820.9</v>
      </c>
      <c r="J74" s="112" t="s">
        <v>239</v>
      </c>
      <c r="K74" s="112" t="s">
        <v>240</v>
      </c>
      <c r="L74" s="113" t="s">
        <v>51</v>
      </c>
    </row>
    <row r="75" spans="1:12" ht="28.9" hidden="1" outlineLevel="2">
      <c r="A75" s="110" t="s">
        <v>15</v>
      </c>
      <c r="B75" s="110" t="s">
        <v>22</v>
      </c>
      <c r="C75" s="110" t="s">
        <v>55</v>
      </c>
      <c r="D75" s="110" t="s">
        <v>241</v>
      </c>
      <c r="E75" s="111"/>
      <c r="F75" s="111">
        <v>0</v>
      </c>
      <c r="G75" s="111">
        <v>0</v>
      </c>
      <c r="H75" s="111">
        <v>41250</v>
      </c>
      <c r="I75" s="111">
        <v>41250</v>
      </c>
      <c r="J75" s="118" t="s">
        <v>242</v>
      </c>
      <c r="K75" s="118" t="s">
        <v>243</v>
      </c>
      <c r="L75" s="117" t="s">
        <v>95</v>
      </c>
    </row>
    <row r="76" spans="1:12" ht="28.9" hidden="1" outlineLevel="2">
      <c r="A76" s="110" t="s">
        <v>15</v>
      </c>
      <c r="B76" s="110" t="s">
        <v>22</v>
      </c>
      <c r="C76" s="110" t="s">
        <v>55</v>
      </c>
      <c r="D76" s="110" t="s">
        <v>244</v>
      </c>
      <c r="E76" s="111">
        <v>8400</v>
      </c>
      <c r="F76" s="111">
        <v>8400</v>
      </c>
      <c r="G76" s="111">
        <v>8000</v>
      </c>
      <c r="H76" s="111">
        <v>400</v>
      </c>
      <c r="I76" s="111">
        <v>-400</v>
      </c>
      <c r="J76" s="112" t="s">
        <v>245</v>
      </c>
      <c r="K76" s="112" t="s">
        <v>246</v>
      </c>
      <c r="L76" s="113" t="s">
        <v>51</v>
      </c>
    </row>
    <row r="77" spans="1:12" ht="28.9" hidden="1" outlineLevel="2">
      <c r="A77" s="110" t="s">
        <v>15</v>
      </c>
      <c r="B77" s="110" t="s">
        <v>22</v>
      </c>
      <c r="C77" s="110" t="s">
        <v>55</v>
      </c>
      <c r="D77" s="110" t="s">
        <v>247</v>
      </c>
      <c r="E77" s="111">
        <v>67470</v>
      </c>
      <c r="F77" s="111">
        <v>16878.150000000001</v>
      </c>
      <c r="G77" s="111">
        <v>16878.150000000001</v>
      </c>
      <c r="H77" s="111">
        <v>50589.5</v>
      </c>
      <c r="I77" s="111">
        <v>-2.3500000000058199</v>
      </c>
      <c r="J77" s="112" t="s">
        <v>248</v>
      </c>
      <c r="K77" s="112" t="s">
        <v>249</v>
      </c>
      <c r="L77" s="113" t="s">
        <v>51</v>
      </c>
    </row>
    <row r="78" spans="1:12" ht="28.9" hidden="1" outlineLevel="2">
      <c r="A78" s="110" t="s">
        <v>15</v>
      </c>
      <c r="B78" s="110" t="s">
        <v>22</v>
      </c>
      <c r="C78" s="110" t="s">
        <v>55</v>
      </c>
      <c r="D78" s="110" t="s">
        <v>250</v>
      </c>
      <c r="E78" s="111">
        <v>25000</v>
      </c>
      <c r="F78" s="111">
        <v>0</v>
      </c>
      <c r="G78" s="111">
        <v>0</v>
      </c>
      <c r="H78" s="111">
        <v>25000</v>
      </c>
      <c r="I78" s="111">
        <v>0</v>
      </c>
      <c r="J78" s="116" t="s">
        <v>248</v>
      </c>
      <c r="K78" s="116" t="s">
        <v>249</v>
      </c>
      <c r="L78" s="117" t="s">
        <v>59</v>
      </c>
    </row>
    <row r="79" spans="1:12" ht="28.9" hidden="1" outlineLevel="2">
      <c r="A79" s="110" t="s">
        <v>15</v>
      </c>
      <c r="B79" s="110" t="s">
        <v>22</v>
      </c>
      <c r="C79" s="110" t="s">
        <v>55</v>
      </c>
      <c r="D79" s="110" t="s">
        <v>251</v>
      </c>
      <c r="E79" s="111">
        <v>0</v>
      </c>
      <c r="F79" s="111">
        <v>0</v>
      </c>
      <c r="G79" s="111">
        <v>0</v>
      </c>
      <c r="H79" s="111">
        <v>15208</v>
      </c>
      <c r="I79" s="111">
        <v>15208</v>
      </c>
      <c r="J79" s="118" t="s">
        <v>252</v>
      </c>
      <c r="K79" s="118" t="s">
        <v>253</v>
      </c>
      <c r="L79" s="117" t="s">
        <v>95</v>
      </c>
    </row>
    <row r="80" spans="1:12" ht="28.9" hidden="1" outlineLevel="1">
      <c r="A80" s="114" t="s">
        <v>15</v>
      </c>
      <c r="B80" s="114" t="s">
        <v>66</v>
      </c>
      <c r="C80" s="110" t="s">
        <v>55</v>
      </c>
      <c r="D80" s="114"/>
      <c r="E80" s="115">
        <f>SUM(E73:E79)</f>
        <v>120165</v>
      </c>
      <c r="F80" s="115">
        <f>SUM(F73:F79)</f>
        <v>32953.43</v>
      </c>
      <c r="G80" s="115">
        <f>SUM(G73:G79)</f>
        <v>33127.210000000006</v>
      </c>
      <c r="H80" s="115">
        <f>SUM(H73:H79)</f>
        <v>141672.56</v>
      </c>
      <c r="I80" s="115">
        <f>SUM(I73:I79)</f>
        <v>54808.549999999996</v>
      </c>
      <c r="J80" s="118" t="s">
        <v>254</v>
      </c>
      <c r="K80" s="118" t="s">
        <v>255</v>
      </c>
      <c r="L80" s="117" t="s">
        <v>95</v>
      </c>
    </row>
    <row r="81" spans="1:12" ht="28.9" hidden="1" outlineLevel="2">
      <c r="A81" s="110" t="s">
        <v>15</v>
      </c>
      <c r="B81" s="110" t="s">
        <v>23</v>
      </c>
      <c r="C81" s="110" t="s">
        <v>69</v>
      </c>
      <c r="D81" s="110" t="s">
        <v>256</v>
      </c>
      <c r="E81" s="111">
        <v>12200</v>
      </c>
      <c r="F81" s="111">
        <v>0</v>
      </c>
      <c r="G81" s="111">
        <v>0</v>
      </c>
      <c r="H81" s="111">
        <v>12200</v>
      </c>
      <c r="I81" s="111">
        <v>0</v>
      </c>
      <c r="J81" s="116" t="s">
        <v>257</v>
      </c>
      <c r="K81" s="116" t="s">
        <v>258</v>
      </c>
      <c r="L81" s="117" t="s">
        <v>59</v>
      </c>
    </row>
    <row r="82" spans="1:12" ht="28.9" hidden="1" outlineLevel="1">
      <c r="A82" s="114" t="s">
        <v>15</v>
      </c>
      <c r="B82" s="114" t="s">
        <v>72</v>
      </c>
      <c r="C82" s="110" t="s">
        <v>69</v>
      </c>
      <c r="D82" s="114"/>
      <c r="E82" s="115">
        <f>SUM(E81:E81)</f>
        <v>12200</v>
      </c>
      <c r="F82" s="115">
        <f>SUM(F81:F81)</f>
        <v>0</v>
      </c>
      <c r="G82" s="115">
        <f>SUM(G81:G81)</f>
        <v>0</v>
      </c>
      <c r="H82" s="115">
        <f>SUM(H81:H81)</f>
        <v>12200</v>
      </c>
      <c r="I82" s="115">
        <f>SUM(I81:I81)</f>
        <v>0</v>
      </c>
      <c r="J82" s="116" t="s">
        <v>259</v>
      </c>
      <c r="K82" s="116" t="s">
        <v>260</v>
      </c>
      <c r="L82" s="117" t="s">
        <v>59</v>
      </c>
    </row>
    <row r="83" spans="1:12" ht="28.9" hidden="1" outlineLevel="2">
      <c r="A83" s="110" t="s">
        <v>15</v>
      </c>
      <c r="B83" s="110" t="s">
        <v>24</v>
      </c>
      <c r="C83" s="110" t="s">
        <v>261</v>
      </c>
      <c r="D83" s="110" t="s">
        <v>262</v>
      </c>
      <c r="E83" s="111">
        <v>359</v>
      </c>
      <c r="F83" s="111">
        <v>359</v>
      </c>
      <c r="G83" s="111">
        <v>0</v>
      </c>
      <c r="H83" s="111">
        <v>359</v>
      </c>
      <c r="I83" s="111">
        <v>0</v>
      </c>
      <c r="J83" s="116" t="s">
        <v>263</v>
      </c>
      <c r="K83" s="116" t="s">
        <v>264</v>
      </c>
      <c r="L83" s="117" t="s">
        <v>59</v>
      </c>
    </row>
    <row r="84" spans="1:12" ht="28.9" hidden="1" outlineLevel="1">
      <c r="A84" s="114" t="s">
        <v>15</v>
      </c>
      <c r="B84" s="114" t="s">
        <v>265</v>
      </c>
      <c r="C84" s="110" t="s">
        <v>261</v>
      </c>
      <c r="D84" s="114"/>
      <c r="E84" s="115">
        <f>SUM(E83:E83)</f>
        <v>359</v>
      </c>
      <c r="F84" s="115">
        <f>SUM(F83:F83)</f>
        <v>359</v>
      </c>
      <c r="G84" s="115">
        <f>SUM(G83:G83)</f>
        <v>0</v>
      </c>
      <c r="H84" s="115">
        <f>SUM(H83:H83)</f>
        <v>359</v>
      </c>
      <c r="I84" s="115">
        <f>SUM(I83:I83)</f>
        <v>0</v>
      </c>
      <c r="J84" s="116" t="s">
        <v>259</v>
      </c>
      <c r="K84" s="116" t="s">
        <v>260</v>
      </c>
      <c r="L84" s="117" t="s">
        <v>59</v>
      </c>
    </row>
    <row r="85" spans="1:12" ht="28.9" hidden="1" outlineLevel="2">
      <c r="A85" s="110" t="s">
        <v>15</v>
      </c>
      <c r="B85" s="110" t="s">
        <v>25</v>
      </c>
      <c r="C85" s="110" t="s">
        <v>75</v>
      </c>
      <c r="D85" s="110" t="s">
        <v>266</v>
      </c>
      <c r="E85" s="111">
        <v>236250</v>
      </c>
      <c r="F85" s="111">
        <v>0</v>
      </c>
      <c r="G85" s="111">
        <v>0</v>
      </c>
      <c r="H85" s="111">
        <v>236250</v>
      </c>
      <c r="I85" s="111">
        <v>0</v>
      </c>
      <c r="J85" s="116" t="s">
        <v>267</v>
      </c>
      <c r="K85" s="116" t="s">
        <v>268</v>
      </c>
      <c r="L85" s="117" t="s">
        <v>59</v>
      </c>
    </row>
    <row r="86" spans="1:12" ht="28.9" hidden="1" outlineLevel="2">
      <c r="A86" s="110" t="s">
        <v>15</v>
      </c>
      <c r="B86" s="110" t="s">
        <v>25</v>
      </c>
      <c r="C86" s="110" t="s">
        <v>75</v>
      </c>
      <c r="D86" s="110" t="s">
        <v>269</v>
      </c>
      <c r="E86" s="111">
        <v>141750</v>
      </c>
      <c r="F86" s="111">
        <v>0</v>
      </c>
      <c r="G86" s="111">
        <v>0</v>
      </c>
      <c r="H86" s="111">
        <v>141750</v>
      </c>
      <c r="I86" s="111">
        <v>0</v>
      </c>
      <c r="J86" s="116" t="s">
        <v>267</v>
      </c>
      <c r="K86" s="116" t="s">
        <v>268</v>
      </c>
      <c r="L86" s="117" t="s">
        <v>59</v>
      </c>
    </row>
    <row r="87" spans="1:12" ht="28.9" hidden="1" outlineLevel="2">
      <c r="A87" s="110" t="s">
        <v>15</v>
      </c>
      <c r="B87" s="110" t="s">
        <v>25</v>
      </c>
      <c r="C87" s="110" t="s">
        <v>75</v>
      </c>
      <c r="D87" s="110" t="s">
        <v>270</v>
      </c>
      <c r="E87" s="111">
        <v>17099</v>
      </c>
      <c r="F87" s="111">
        <v>0</v>
      </c>
      <c r="G87" s="111">
        <v>0</v>
      </c>
      <c r="H87" s="111">
        <v>17099</v>
      </c>
      <c r="I87" s="111">
        <v>0</v>
      </c>
      <c r="J87" s="116" t="s">
        <v>271</v>
      </c>
      <c r="K87" s="116" t="s">
        <v>272</v>
      </c>
      <c r="L87" s="117" t="s">
        <v>59</v>
      </c>
    </row>
    <row r="88" spans="1:12" ht="28.9" hidden="1" outlineLevel="2">
      <c r="A88" s="110" t="s">
        <v>15</v>
      </c>
      <c r="B88" s="110" t="s">
        <v>25</v>
      </c>
      <c r="C88" s="110" t="s">
        <v>75</v>
      </c>
      <c r="D88" s="110" t="s">
        <v>273</v>
      </c>
      <c r="E88" s="111">
        <v>259449</v>
      </c>
      <c r="F88" s="111">
        <v>64862.25</v>
      </c>
      <c r="G88" s="111">
        <v>34714.71</v>
      </c>
      <c r="H88" s="111">
        <v>254882.29</v>
      </c>
      <c r="I88" s="111">
        <v>0.45999999999185098</v>
      </c>
      <c r="J88" s="116" t="s">
        <v>274</v>
      </c>
      <c r="K88" s="116" t="s">
        <v>275</v>
      </c>
      <c r="L88" s="117" t="s">
        <v>59</v>
      </c>
    </row>
    <row r="89" spans="1:12" ht="28.9" hidden="1" outlineLevel="1">
      <c r="A89" s="114" t="s">
        <v>15</v>
      </c>
      <c r="B89" s="114" t="s">
        <v>80</v>
      </c>
      <c r="C89" s="110" t="s">
        <v>75</v>
      </c>
      <c r="D89" s="114"/>
      <c r="E89" s="115">
        <f>SUM(E85:E88)</f>
        <v>654548</v>
      </c>
      <c r="F89" s="115">
        <f>SUM(F85:F88)</f>
        <v>64862.25</v>
      </c>
      <c r="G89" s="115">
        <f>SUM(G85:G88)</f>
        <v>34714.71</v>
      </c>
      <c r="H89" s="115">
        <f>SUM(H85:H88)</f>
        <v>649981.29</v>
      </c>
      <c r="I89" s="115">
        <f>SUM(I85:I88)</f>
        <v>0.45999999999185098</v>
      </c>
      <c r="J89" s="116" t="s">
        <v>259</v>
      </c>
      <c r="K89" s="116" t="s">
        <v>260</v>
      </c>
      <c r="L89" s="117" t="s">
        <v>59</v>
      </c>
    </row>
    <row r="90" spans="1:12" ht="28.9" hidden="1" outlineLevel="2">
      <c r="A90" s="110" t="s">
        <v>15</v>
      </c>
      <c r="B90" s="110" t="s">
        <v>26</v>
      </c>
      <c r="C90" s="110"/>
      <c r="D90" s="110" t="s">
        <v>276</v>
      </c>
      <c r="E90" s="111">
        <v>1244018</v>
      </c>
      <c r="F90" s="111">
        <v>311004.5</v>
      </c>
      <c r="G90" s="111">
        <v>330606.05249999999</v>
      </c>
      <c r="H90" s="111">
        <v>913411.94750000001</v>
      </c>
      <c r="I90" s="111">
        <v>19601.552500000002</v>
      </c>
      <c r="J90" s="120" t="s">
        <v>277</v>
      </c>
      <c r="K90" s="120" t="s">
        <v>278</v>
      </c>
      <c r="L90" s="117" t="s">
        <v>110</v>
      </c>
    </row>
    <row r="91" spans="1:12" ht="28.9" hidden="1" outlineLevel="1">
      <c r="A91" s="114" t="s">
        <v>15</v>
      </c>
      <c r="B91" s="114" t="s">
        <v>279</v>
      </c>
      <c r="C91" s="114"/>
      <c r="D91" s="114"/>
      <c r="E91" s="115">
        <f>SUM(E90:E90)</f>
        <v>1244018</v>
      </c>
      <c r="F91" s="115">
        <f>SUM(F90:F90)</f>
        <v>311004.5</v>
      </c>
      <c r="G91" s="115">
        <f>SUM(G90:G90)</f>
        <v>330606.05249999999</v>
      </c>
      <c r="H91" s="115">
        <f>SUM(H90:H90)</f>
        <v>913411.94750000001</v>
      </c>
      <c r="I91" s="115">
        <f>SUM(I90:I90)</f>
        <v>19601.552500000002</v>
      </c>
      <c r="J91" s="120" t="s">
        <v>280</v>
      </c>
      <c r="K91" s="120" t="s">
        <v>281</v>
      </c>
      <c r="L91" s="117" t="s">
        <v>110</v>
      </c>
    </row>
    <row r="92" spans="1:12" ht="86.45" collapsed="1">
      <c r="A92" s="114" t="s">
        <v>282</v>
      </c>
      <c r="B92" s="114"/>
      <c r="C92" s="114"/>
      <c r="D92" s="114"/>
      <c r="E92" s="115">
        <f>SUM(E80,E82,E84,E89,E91)</f>
        <v>2031290</v>
      </c>
      <c r="F92" s="115">
        <f>SUM(F80,F82,F84,F89,F91)</f>
        <v>409179.18</v>
      </c>
      <c r="G92" s="115">
        <f>SUM(G80,G82,G84,G89,G91)</f>
        <v>398447.97250000003</v>
      </c>
      <c r="H92" s="115">
        <f>SUM(H80,H82,H84,H89,H91)</f>
        <v>1717624.7975000001</v>
      </c>
      <c r="I92" s="115">
        <f>SUM(I80,I82,I84,I89,I91)</f>
        <v>74410.562499999985</v>
      </c>
      <c r="J92" s="118" t="s">
        <v>283</v>
      </c>
      <c r="K92" s="118" t="s">
        <v>284</v>
      </c>
      <c r="L92" s="117" t="s">
        <v>95</v>
      </c>
    </row>
    <row r="93" spans="1:12" ht="57.6" hidden="1" outlineLevel="2">
      <c r="A93" s="110" t="s">
        <v>16</v>
      </c>
      <c r="B93" s="110" t="s">
        <v>20</v>
      </c>
      <c r="C93" s="110" t="s">
        <v>43</v>
      </c>
      <c r="D93" s="110" t="s">
        <v>285</v>
      </c>
      <c r="E93" s="111">
        <v>191646</v>
      </c>
      <c r="F93" s="111">
        <v>0</v>
      </c>
      <c r="G93" s="111">
        <v>0</v>
      </c>
      <c r="H93" s="111">
        <v>143734.5</v>
      </c>
      <c r="I93" s="111">
        <v>-47911.5</v>
      </c>
      <c r="J93" s="112" t="s">
        <v>286</v>
      </c>
      <c r="K93" s="112" t="s">
        <v>287</v>
      </c>
      <c r="L93" s="113" t="s">
        <v>51</v>
      </c>
    </row>
    <row r="94" spans="1:12" ht="28.9" hidden="1" outlineLevel="2">
      <c r="A94" s="110" t="s">
        <v>16</v>
      </c>
      <c r="B94" s="110" t="s">
        <v>20</v>
      </c>
      <c r="C94" s="110" t="s">
        <v>43</v>
      </c>
      <c r="D94" s="110" t="s">
        <v>288</v>
      </c>
      <c r="E94" s="111">
        <v>10080</v>
      </c>
      <c r="F94" s="111">
        <v>0</v>
      </c>
      <c r="G94" s="111">
        <v>0</v>
      </c>
      <c r="H94" s="111">
        <v>10080</v>
      </c>
      <c r="I94" s="111">
        <v>0</v>
      </c>
      <c r="J94" s="116" t="s">
        <v>289</v>
      </c>
      <c r="K94" s="116" t="s">
        <v>290</v>
      </c>
      <c r="L94" s="117" t="s">
        <v>59</v>
      </c>
    </row>
    <row r="95" spans="1:12" ht="28.9" hidden="1" outlineLevel="2">
      <c r="A95" s="110" t="s">
        <v>16</v>
      </c>
      <c r="B95" s="110" t="s">
        <v>20</v>
      </c>
      <c r="C95" s="110" t="s">
        <v>43</v>
      </c>
      <c r="D95" s="110" t="s">
        <v>291</v>
      </c>
      <c r="E95" s="111">
        <v>139684</v>
      </c>
      <c r="F95" s="111">
        <v>34921</v>
      </c>
      <c r="G95" s="111">
        <v>34921</v>
      </c>
      <c r="H95" s="111">
        <v>104763</v>
      </c>
      <c r="I95" s="111">
        <v>-2.91038304567337E-11</v>
      </c>
      <c r="J95" s="116" t="s">
        <v>292</v>
      </c>
      <c r="K95" s="116" t="s">
        <v>293</v>
      </c>
      <c r="L95" s="117" t="s">
        <v>59</v>
      </c>
    </row>
    <row r="96" spans="1:12" ht="28.9" hidden="1" outlineLevel="2">
      <c r="A96" s="110" t="s">
        <v>16</v>
      </c>
      <c r="B96" s="110" t="s">
        <v>20</v>
      </c>
      <c r="C96" s="110" t="s">
        <v>43</v>
      </c>
      <c r="D96" s="110" t="s">
        <v>44</v>
      </c>
      <c r="E96" s="111">
        <v>100844.1</v>
      </c>
      <c r="F96" s="111">
        <v>100844.1</v>
      </c>
      <c r="G96" s="111">
        <v>96041.64</v>
      </c>
      <c r="H96" s="111">
        <v>4802.46000000001</v>
      </c>
      <c r="I96" s="111">
        <v>-4802.46000000001</v>
      </c>
      <c r="J96" s="112" t="s">
        <v>294</v>
      </c>
      <c r="K96" s="112" t="s">
        <v>295</v>
      </c>
      <c r="L96" s="113" t="s">
        <v>51</v>
      </c>
    </row>
    <row r="97" spans="1:14" ht="28.9" hidden="1" outlineLevel="2">
      <c r="A97" s="110" t="s">
        <v>16</v>
      </c>
      <c r="B97" s="110" t="s">
        <v>20</v>
      </c>
      <c r="C97" s="110" t="s">
        <v>43</v>
      </c>
      <c r="D97" s="110" t="s">
        <v>296</v>
      </c>
      <c r="E97" s="111">
        <v>117539.0055</v>
      </c>
      <c r="F97" s="111">
        <v>12256.39</v>
      </c>
      <c r="G97" s="111">
        <v>12001.59</v>
      </c>
      <c r="H97" s="111">
        <v>105791.55</v>
      </c>
      <c r="I97" s="111">
        <v>-0.66549999999915599</v>
      </c>
      <c r="J97" s="112" t="s">
        <v>157</v>
      </c>
      <c r="K97" s="112" t="s">
        <v>158</v>
      </c>
      <c r="L97" s="113" t="s">
        <v>51</v>
      </c>
    </row>
    <row r="98" spans="1:14" ht="72" hidden="1" outlineLevel="2">
      <c r="A98" s="110" t="s">
        <v>16</v>
      </c>
      <c r="B98" s="110" t="s">
        <v>20</v>
      </c>
      <c r="C98" s="110" t="s">
        <v>43</v>
      </c>
      <c r="D98" s="110" t="s">
        <v>48</v>
      </c>
      <c r="E98" s="111">
        <v>1410968.58415</v>
      </c>
      <c r="F98" s="111">
        <v>340865.47</v>
      </c>
      <c r="G98" s="111">
        <v>340865.47</v>
      </c>
      <c r="H98" s="111">
        <v>854327.49250000005</v>
      </c>
      <c r="I98" s="111">
        <v>-215775.62164999999</v>
      </c>
      <c r="J98" s="112" t="s">
        <v>297</v>
      </c>
      <c r="K98" s="112" t="s">
        <v>298</v>
      </c>
      <c r="L98" s="113" t="s">
        <v>51</v>
      </c>
    </row>
    <row r="99" spans="1:14" ht="28.9" hidden="1" outlineLevel="2">
      <c r="A99" s="110" t="s">
        <v>16</v>
      </c>
      <c r="B99" s="110" t="s">
        <v>20</v>
      </c>
      <c r="C99" s="110" t="s">
        <v>43</v>
      </c>
      <c r="D99" s="110" t="s">
        <v>299</v>
      </c>
      <c r="E99" s="111">
        <v>51930.15</v>
      </c>
      <c r="F99" s="111">
        <v>44460.15</v>
      </c>
      <c r="G99" s="111">
        <v>46713</v>
      </c>
      <c r="H99" s="111">
        <v>5217.1499999999996</v>
      </c>
      <c r="I99" s="111">
        <v>2252.85</v>
      </c>
      <c r="J99" s="120" t="s">
        <v>300</v>
      </c>
      <c r="K99" s="120" t="s">
        <v>301</v>
      </c>
      <c r="L99" s="117" t="s">
        <v>110</v>
      </c>
    </row>
    <row r="100" spans="1:14" ht="28.9" hidden="1" outlineLevel="2">
      <c r="A100" s="110" t="s">
        <v>16</v>
      </c>
      <c r="B100" s="110" t="s">
        <v>20</v>
      </c>
      <c r="C100" s="110" t="s">
        <v>43</v>
      </c>
      <c r="D100" s="110" t="s">
        <v>86</v>
      </c>
      <c r="E100" s="111">
        <v>215860.41750000001</v>
      </c>
      <c r="F100" s="111">
        <v>957</v>
      </c>
      <c r="G100" s="111">
        <v>957.23</v>
      </c>
      <c r="H100" s="111">
        <v>214903.27</v>
      </c>
      <c r="I100" s="111">
        <v>0.3125</v>
      </c>
      <c r="J100" s="116" t="s">
        <v>157</v>
      </c>
      <c r="K100" s="116" t="s">
        <v>158</v>
      </c>
      <c r="L100" s="117" t="s">
        <v>59</v>
      </c>
    </row>
    <row r="101" spans="1:14" ht="100.9" hidden="1" outlineLevel="1">
      <c r="A101" s="114" t="s">
        <v>16</v>
      </c>
      <c r="B101" s="114" t="s">
        <v>52</v>
      </c>
      <c r="C101" s="110" t="s">
        <v>43</v>
      </c>
      <c r="D101" s="114"/>
      <c r="E101" s="115">
        <f>SUM(E93:E100)</f>
        <v>2238552.25715</v>
      </c>
      <c r="F101" s="115">
        <f>SUM(F93:F100)</f>
        <v>534304.11</v>
      </c>
      <c r="G101" s="115">
        <f>SUM(G93:G100)</f>
        <v>531499.92999999993</v>
      </c>
      <c r="H101" s="115">
        <f>SUM(H93:H100)</f>
        <v>1443619.4224999999</v>
      </c>
      <c r="I101" s="115">
        <f>SUM(I93:I100)</f>
        <v>-266237.08465000003</v>
      </c>
      <c r="J101" s="112" t="s">
        <v>302</v>
      </c>
      <c r="K101" s="112" t="s">
        <v>303</v>
      </c>
      <c r="L101" s="113" t="s">
        <v>51</v>
      </c>
    </row>
    <row r="102" spans="1:14" ht="28.9" hidden="1" outlineLevel="2">
      <c r="A102" s="110" t="s">
        <v>16</v>
      </c>
      <c r="B102" s="110" t="s">
        <v>21</v>
      </c>
      <c r="C102" s="110" t="s">
        <v>91</v>
      </c>
      <c r="D102" s="110" t="s">
        <v>92</v>
      </c>
      <c r="E102" s="111">
        <v>1338002.922</v>
      </c>
      <c r="F102" s="111">
        <v>283776.67025000002</v>
      </c>
      <c r="G102" s="111">
        <v>4463.99</v>
      </c>
      <c r="H102" s="111">
        <v>1333539.0715000001</v>
      </c>
      <c r="I102" s="111">
        <v>-6404.7907500001202</v>
      </c>
      <c r="J102" s="112" t="s">
        <v>304</v>
      </c>
      <c r="K102" s="112" t="s">
        <v>305</v>
      </c>
      <c r="L102" s="113" t="s">
        <v>51</v>
      </c>
    </row>
    <row r="103" spans="1:14" ht="28.9" hidden="1" outlineLevel="2">
      <c r="A103" s="110" t="s">
        <v>16</v>
      </c>
      <c r="B103" s="110" t="s">
        <v>21</v>
      </c>
      <c r="C103" s="110" t="s">
        <v>91</v>
      </c>
      <c r="D103" s="110" t="s">
        <v>306</v>
      </c>
      <c r="E103" s="111">
        <v>5250</v>
      </c>
      <c r="F103" s="111">
        <v>5250</v>
      </c>
      <c r="G103" s="111">
        <v>0</v>
      </c>
      <c r="H103" s="111">
        <v>5250</v>
      </c>
      <c r="I103" s="111">
        <v>0</v>
      </c>
      <c r="J103" s="116" t="s">
        <v>307</v>
      </c>
      <c r="K103" s="116" t="s">
        <v>308</v>
      </c>
      <c r="L103" s="117" t="s">
        <v>59</v>
      </c>
    </row>
    <row r="104" spans="1:14" ht="28.9" hidden="1" outlineLevel="2">
      <c r="A104" s="110" t="s">
        <v>16</v>
      </c>
      <c r="B104" s="110" t="s">
        <v>21</v>
      </c>
      <c r="C104" s="110" t="s">
        <v>91</v>
      </c>
      <c r="D104" s="110" t="s">
        <v>309</v>
      </c>
      <c r="E104" s="111">
        <v>27790.5285</v>
      </c>
      <c r="F104" s="111">
        <v>0</v>
      </c>
      <c r="G104" s="111">
        <v>0</v>
      </c>
      <c r="H104" s="111">
        <v>27791</v>
      </c>
      <c r="I104" s="111">
        <v>0.47149999999783199</v>
      </c>
      <c r="J104" s="116" t="s">
        <v>157</v>
      </c>
      <c r="K104" s="116" t="s">
        <v>158</v>
      </c>
      <c r="L104" s="117" t="s">
        <v>59</v>
      </c>
    </row>
    <row r="105" spans="1:14" ht="28.9" hidden="1" outlineLevel="2">
      <c r="A105" s="110" t="s">
        <v>16</v>
      </c>
      <c r="B105" s="110" t="s">
        <v>21</v>
      </c>
      <c r="C105" s="110" t="s">
        <v>91</v>
      </c>
      <c r="D105" s="110" t="s">
        <v>134</v>
      </c>
      <c r="E105" s="111">
        <v>3052298</v>
      </c>
      <c r="F105" s="111">
        <v>758846.25</v>
      </c>
      <c r="G105" s="111">
        <v>755792.57</v>
      </c>
      <c r="H105" s="111">
        <v>2299559.6466666702</v>
      </c>
      <c r="I105" s="111">
        <v>0.53666666693607101</v>
      </c>
      <c r="J105" s="112" t="s">
        <v>310</v>
      </c>
      <c r="K105" s="112" t="s">
        <v>311</v>
      </c>
      <c r="L105" s="113" t="s">
        <v>51</v>
      </c>
    </row>
    <row r="106" spans="1:14" ht="28.9" hidden="1" outlineLevel="2">
      <c r="A106" s="110" t="s">
        <v>16</v>
      </c>
      <c r="B106" s="110" t="s">
        <v>21</v>
      </c>
      <c r="C106" s="110" t="s">
        <v>91</v>
      </c>
      <c r="D106" s="110" t="s">
        <v>312</v>
      </c>
      <c r="E106" s="111">
        <v>307613.8</v>
      </c>
      <c r="F106" s="111">
        <v>74725</v>
      </c>
      <c r="G106" s="111">
        <v>74725</v>
      </c>
      <c r="H106" s="111">
        <v>229258.05</v>
      </c>
      <c r="I106" s="111">
        <v>-3630.75000000006</v>
      </c>
      <c r="J106" s="112" t="s">
        <v>313</v>
      </c>
      <c r="K106" s="112" t="s">
        <v>314</v>
      </c>
      <c r="L106" s="113" t="s">
        <v>51</v>
      </c>
    </row>
    <row r="107" spans="1:14" ht="86.45" hidden="1" outlineLevel="2">
      <c r="A107" s="110" t="s">
        <v>16</v>
      </c>
      <c r="B107" s="110" t="s">
        <v>21</v>
      </c>
      <c r="C107" s="110" t="s">
        <v>91</v>
      </c>
      <c r="D107" s="110" t="s">
        <v>211</v>
      </c>
      <c r="E107" s="111">
        <v>453011.9645</v>
      </c>
      <c r="F107" s="111">
        <v>160787.98749999999</v>
      </c>
      <c r="G107" s="111">
        <v>125912.9875</v>
      </c>
      <c r="H107" s="111">
        <v>399834.96666666702</v>
      </c>
      <c r="I107" s="111">
        <v>72735.989666666705</v>
      </c>
      <c r="J107" s="118" t="s">
        <v>315</v>
      </c>
      <c r="K107" s="118" t="s">
        <v>316</v>
      </c>
      <c r="L107" s="117" t="s">
        <v>95</v>
      </c>
      <c r="M107" s="119"/>
      <c r="N107" t="s">
        <v>317</v>
      </c>
    </row>
    <row r="108" spans="1:14" ht="28.9" hidden="1" outlineLevel="2">
      <c r="A108" s="110" t="s">
        <v>16</v>
      </c>
      <c r="B108" s="110" t="s">
        <v>21</v>
      </c>
      <c r="C108" s="110" t="s">
        <v>91</v>
      </c>
      <c r="D108" s="110" t="s">
        <v>86</v>
      </c>
      <c r="E108" s="111"/>
      <c r="F108" s="111">
        <v>0</v>
      </c>
      <c r="G108" s="111">
        <v>0</v>
      </c>
      <c r="H108" s="111">
        <v>0</v>
      </c>
      <c r="I108" s="111">
        <v>0</v>
      </c>
      <c r="J108" s="116" t="s">
        <v>154</v>
      </c>
      <c r="K108" s="116" t="s">
        <v>155</v>
      </c>
      <c r="L108" s="117" t="s">
        <v>59</v>
      </c>
      <c r="N108" t="s">
        <v>318</v>
      </c>
    </row>
    <row r="109" spans="1:14" ht="28.9" hidden="1" outlineLevel="2">
      <c r="A109" s="110" t="s">
        <v>16</v>
      </c>
      <c r="B109" s="110" t="s">
        <v>21</v>
      </c>
      <c r="C109" s="110" t="s">
        <v>91</v>
      </c>
      <c r="D109" s="110" t="s">
        <v>319</v>
      </c>
      <c r="E109" s="111">
        <v>5407.5</v>
      </c>
      <c r="F109" s="111">
        <v>0</v>
      </c>
      <c r="G109" s="111">
        <v>0</v>
      </c>
      <c r="H109" s="111">
        <v>5407.5</v>
      </c>
      <c r="I109" s="111">
        <v>0</v>
      </c>
      <c r="J109" s="116" t="s">
        <v>289</v>
      </c>
      <c r="K109" s="116" t="s">
        <v>290</v>
      </c>
      <c r="L109" s="117" t="s">
        <v>59</v>
      </c>
      <c r="N109" t="s">
        <v>320</v>
      </c>
    </row>
    <row r="110" spans="1:14" ht="28.9" hidden="1" outlineLevel="2">
      <c r="A110" s="110" t="s">
        <v>16</v>
      </c>
      <c r="B110" s="110" t="s">
        <v>21</v>
      </c>
      <c r="C110" s="110" t="s">
        <v>91</v>
      </c>
      <c r="D110" s="110" t="s">
        <v>321</v>
      </c>
      <c r="E110" s="111">
        <v>61830</v>
      </c>
      <c r="F110" s="111">
        <v>0</v>
      </c>
      <c r="G110" s="111">
        <v>0</v>
      </c>
      <c r="H110" s="111">
        <v>61830</v>
      </c>
      <c r="I110" s="111">
        <v>0</v>
      </c>
      <c r="J110" s="116" t="s">
        <v>322</v>
      </c>
      <c r="K110" s="116" t="s">
        <v>323</v>
      </c>
      <c r="L110" s="117" t="s">
        <v>59</v>
      </c>
      <c r="N110" t="s">
        <v>324</v>
      </c>
    </row>
    <row r="111" spans="1:14" ht="28.9" hidden="1" outlineLevel="1">
      <c r="A111" s="114" t="s">
        <v>16</v>
      </c>
      <c r="B111" s="114" t="s">
        <v>98</v>
      </c>
      <c r="C111" s="110" t="s">
        <v>91</v>
      </c>
      <c r="D111" s="114"/>
      <c r="E111" s="115">
        <f>SUM(E102:E110)</f>
        <v>5251204.7149999999</v>
      </c>
      <c r="F111" s="115">
        <f>SUM(F102:F110)</f>
        <v>1283385.90775</v>
      </c>
      <c r="G111" s="115">
        <f>SUM(G102:G110)</f>
        <v>960894.54749999999</v>
      </c>
      <c r="H111" s="115">
        <f>SUM(H102:H110)</f>
        <v>4362470.2348333374</v>
      </c>
      <c r="I111" s="115">
        <f>SUM(I102:I110)</f>
        <v>62701.457083333458</v>
      </c>
      <c r="J111" s="118" t="s">
        <v>325</v>
      </c>
      <c r="K111" s="118" t="s">
        <v>326</v>
      </c>
      <c r="L111" s="117" t="s">
        <v>95</v>
      </c>
    </row>
    <row r="112" spans="1:14" ht="28.9" hidden="1" outlineLevel="2">
      <c r="A112" s="110" t="s">
        <v>16</v>
      </c>
      <c r="B112" s="110" t="s">
        <v>22</v>
      </c>
      <c r="C112" s="110" t="s">
        <v>55</v>
      </c>
      <c r="D112" s="110" t="s">
        <v>327</v>
      </c>
      <c r="E112" s="111">
        <v>1778445.9</v>
      </c>
      <c r="F112" s="111">
        <v>466168.005</v>
      </c>
      <c r="G112" s="111">
        <v>466168.005</v>
      </c>
      <c r="H112" s="111">
        <v>1398504.0149999999</v>
      </c>
      <c r="I112" s="111">
        <v>86226.119999999602</v>
      </c>
      <c r="J112" s="118" t="s">
        <v>328</v>
      </c>
      <c r="K112" s="118" t="s">
        <v>329</v>
      </c>
      <c r="L112" s="117" t="s">
        <v>95</v>
      </c>
      <c r="M112" s="119"/>
    </row>
    <row r="113" spans="1:13" ht="28.9" hidden="1" outlineLevel="2">
      <c r="A113" s="110" t="s">
        <v>16</v>
      </c>
      <c r="B113" s="110" t="s">
        <v>22</v>
      </c>
      <c r="C113" s="110" t="s">
        <v>55</v>
      </c>
      <c r="D113" s="110" t="s">
        <v>330</v>
      </c>
      <c r="E113" s="111">
        <v>0</v>
      </c>
      <c r="F113" s="111">
        <v>0</v>
      </c>
      <c r="G113" s="111">
        <v>0</v>
      </c>
      <c r="H113" s="111">
        <v>92000</v>
      </c>
      <c r="I113" s="111">
        <v>92000</v>
      </c>
      <c r="J113" s="118" t="s">
        <v>331</v>
      </c>
      <c r="K113" s="118" t="s">
        <v>332</v>
      </c>
      <c r="L113" s="117" t="s">
        <v>95</v>
      </c>
      <c r="M113" s="119"/>
    </row>
    <row r="114" spans="1:13" ht="28.9" hidden="1" outlineLevel="2">
      <c r="A114" s="110" t="s">
        <v>16</v>
      </c>
      <c r="B114" s="110" t="s">
        <v>22</v>
      </c>
      <c r="C114" s="110" t="s">
        <v>55</v>
      </c>
      <c r="D114" s="110" t="s">
        <v>60</v>
      </c>
      <c r="E114" s="111">
        <v>3617396</v>
      </c>
      <c r="F114" s="111">
        <v>1001329.89</v>
      </c>
      <c r="G114" s="111">
        <v>1069485.7</v>
      </c>
      <c r="H114" s="111">
        <v>2935833.86</v>
      </c>
      <c r="I114" s="111">
        <v>456079.36999999901</v>
      </c>
      <c r="J114" s="118" t="s">
        <v>333</v>
      </c>
      <c r="K114" s="118" t="s">
        <v>334</v>
      </c>
      <c r="L114" s="117" t="s">
        <v>95</v>
      </c>
      <c r="M114" s="119"/>
    </row>
    <row r="115" spans="1:13" ht="28.9" hidden="1" outlineLevel="2">
      <c r="A115" s="110" t="s">
        <v>16</v>
      </c>
      <c r="B115" s="110" t="s">
        <v>22</v>
      </c>
      <c r="C115" s="110" t="s">
        <v>55</v>
      </c>
      <c r="D115" s="110" t="s">
        <v>241</v>
      </c>
      <c r="E115" s="111">
        <v>14700</v>
      </c>
      <c r="F115" s="111">
        <v>0</v>
      </c>
      <c r="G115" s="111">
        <v>0</v>
      </c>
      <c r="H115" s="111">
        <v>14700</v>
      </c>
      <c r="I115" s="111">
        <v>0</v>
      </c>
      <c r="J115" s="116" t="s">
        <v>289</v>
      </c>
      <c r="K115" s="116" t="s">
        <v>290</v>
      </c>
      <c r="L115" s="117" t="s">
        <v>59</v>
      </c>
    </row>
    <row r="116" spans="1:13" ht="28.9" hidden="1" outlineLevel="2">
      <c r="A116" s="110" t="s">
        <v>16</v>
      </c>
      <c r="B116" s="110" t="s">
        <v>22</v>
      </c>
      <c r="C116" s="110" t="s">
        <v>55</v>
      </c>
      <c r="D116" s="110" t="s">
        <v>335</v>
      </c>
      <c r="E116" s="111">
        <v>12600</v>
      </c>
      <c r="F116" s="111">
        <v>12600</v>
      </c>
      <c r="G116" s="111">
        <v>12000</v>
      </c>
      <c r="H116" s="111">
        <v>600</v>
      </c>
      <c r="I116" s="111">
        <v>-600</v>
      </c>
      <c r="J116" s="112" t="s">
        <v>336</v>
      </c>
      <c r="K116" s="112" t="s">
        <v>337</v>
      </c>
      <c r="L116" s="113" t="s">
        <v>51</v>
      </c>
    </row>
    <row r="117" spans="1:13" ht="28.9" hidden="1" outlineLevel="2">
      <c r="A117" s="110" t="s">
        <v>16</v>
      </c>
      <c r="B117" s="110" t="s">
        <v>22</v>
      </c>
      <c r="C117" s="110" t="s">
        <v>55</v>
      </c>
      <c r="D117" s="110" t="s">
        <v>48</v>
      </c>
      <c r="E117" s="111">
        <v>111003</v>
      </c>
      <c r="F117" s="111">
        <v>0</v>
      </c>
      <c r="G117" s="111">
        <v>0</v>
      </c>
      <c r="H117" s="111">
        <v>111003</v>
      </c>
      <c r="I117" s="111">
        <v>0</v>
      </c>
      <c r="J117" s="116" t="s">
        <v>289</v>
      </c>
      <c r="K117" s="116" t="s">
        <v>290</v>
      </c>
      <c r="L117" s="117" t="s">
        <v>59</v>
      </c>
    </row>
    <row r="118" spans="1:13" ht="28.9" hidden="1" outlineLevel="2">
      <c r="A118" s="110" t="s">
        <v>16</v>
      </c>
      <c r="B118" s="110" t="s">
        <v>22</v>
      </c>
      <c r="C118" s="110" t="s">
        <v>55</v>
      </c>
      <c r="D118" s="110" t="s">
        <v>338</v>
      </c>
      <c r="E118" s="111">
        <v>2751</v>
      </c>
      <c r="F118" s="111">
        <v>1389</v>
      </c>
      <c r="G118" s="111">
        <v>1472.85</v>
      </c>
      <c r="H118" s="111">
        <v>1278.1500000000001</v>
      </c>
      <c r="I118" s="111">
        <v>83.849999999999696</v>
      </c>
      <c r="J118" s="112" t="s">
        <v>339</v>
      </c>
      <c r="K118" s="112" t="s">
        <v>340</v>
      </c>
      <c r="L118" s="113" t="s">
        <v>51</v>
      </c>
    </row>
    <row r="119" spans="1:13" ht="28.9" hidden="1" outlineLevel="2">
      <c r="A119" s="110" t="s">
        <v>16</v>
      </c>
      <c r="B119" s="110" t="s">
        <v>22</v>
      </c>
      <c r="C119" s="110" t="s">
        <v>55</v>
      </c>
      <c r="D119" s="110" t="s">
        <v>63</v>
      </c>
      <c r="E119" s="111">
        <v>3500000</v>
      </c>
      <c r="F119" s="111">
        <v>634574.28</v>
      </c>
      <c r="G119" s="111">
        <v>634574.28</v>
      </c>
      <c r="H119" s="111">
        <v>3097913.69</v>
      </c>
      <c r="I119" s="111">
        <v>232487.97</v>
      </c>
      <c r="J119" s="120" t="s">
        <v>341</v>
      </c>
      <c r="K119" s="120" t="s">
        <v>342</v>
      </c>
      <c r="L119" s="117" t="s">
        <v>110</v>
      </c>
    </row>
    <row r="120" spans="1:13" ht="28.9" hidden="1" outlineLevel="2">
      <c r="A120" s="110" t="s">
        <v>16</v>
      </c>
      <c r="B120" s="110" t="s">
        <v>22</v>
      </c>
      <c r="C120" s="110" t="s">
        <v>55</v>
      </c>
      <c r="D120" s="110" t="s">
        <v>343</v>
      </c>
      <c r="E120" s="111">
        <v>298544.40000000002</v>
      </c>
      <c r="F120" s="111">
        <v>71082.092499999999</v>
      </c>
      <c r="G120" s="111">
        <v>71082.092499999999</v>
      </c>
      <c r="H120" s="111">
        <v>213246.2775</v>
      </c>
      <c r="I120" s="111">
        <v>-14216.030000000101</v>
      </c>
      <c r="J120" s="112" t="s">
        <v>344</v>
      </c>
      <c r="K120" s="112" t="s">
        <v>345</v>
      </c>
      <c r="L120" s="113" t="s">
        <v>47</v>
      </c>
    </row>
    <row r="121" spans="1:13" ht="28.9" hidden="1" outlineLevel="2">
      <c r="A121" s="110" t="s">
        <v>16</v>
      </c>
      <c r="B121" s="110" t="s">
        <v>22</v>
      </c>
      <c r="C121" s="110" t="s">
        <v>55</v>
      </c>
      <c r="D121" s="110" t="s">
        <v>346</v>
      </c>
      <c r="E121" s="111">
        <v>8435.7000000000007</v>
      </c>
      <c r="F121" s="111">
        <v>0</v>
      </c>
      <c r="G121" s="111">
        <v>0</v>
      </c>
      <c r="H121" s="111">
        <v>8436</v>
      </c>
      <c r="I121" s="111">
        <v>0.29999999999927202</v>
      </c>
      <c r="J121" s="116" t="s">
        <v>157</v>
      </c>
      <c r="K121" s="116" t="s">
        <v>158</v>
      </c>
      <c r="L121" s="117" t="s">
        <v>59</v>
      </c>
    </row>
    <row r="122" spans="1:13" ht="28.9" hidden="1" outlineLevel="2">
      <c r="A122" s="110" t="s">
        <v>16</v>
      </c>
      <c r="B122" s="110" t="s">
        <v>22</v>
      </c>
      <c r="C122" s="110" t="s">
        <v>55</v>
      </c>
      <c r="D122" s="110" t="s">
        <v>347</v>
      </c>
      <c r="E122" s="111">
        <v>411547.5</v>
      </c>
      <c r="F122" s="111">
        <v>411547.5</v>
      </c>
      <c r="G122" s="111">
        <v>544375</v>
      </c>
      <c r="H122" s="111">
        <v>-132827.5</v>
      </c>
      <c r="I122" s="111">
        <v>132827.5</v>
      </c>
      <c r="J122" s="118" t="s">
        <v>348</v>
      </c>
      <c r="K122" s="118" t="s">
        <v>349</v>
      </c>
      <c r="L122" s="117" t="s">
        <v>95</v>
      </c>
    </row>
    <row r="123" spans="1:13" ht="72" hidden="1" outlineLevel="1">
      <c r="A123" s="114" t="s">
        <v>16</v>
      </c>
      <c r="B123" s="114" t="s">
        <v>66</v>
      </c>
      <c r="C123" s="110" t="s">
        <v>55</v>
      </c>
      <c r="D123" s="114"/>
      <c r="E123" s="115">
        <f>SUM(E112:E122)</f>
        <v>9755423.5</v>
      </c>
      <c r="F123" s="115">
        <f>SUM(F112:F122)</f>
        <v>2598690.7674999996</v>
      </c>
      <c r="G123" s="115">
        <f>SUM(G112:G122)</f>
        <v>2799157.9274999998</v>
      </c>
      <c r="H123" s="115">
        <f>SUM(H112:H122)</f>
        <v>7740687.4924999997</v>
      </c>
      <c r="I123" s="115">
        <f>SUM(I112:I122)</f>
        <v>984889.07999999844</v>
      </c>
      <c r="J123" s="118" t="s">
        <v>350</v>
      </c>
      <c r="K123" s="118" t="s">
        <v>351</v>
      </c>
      <c r="L123" s="117" t="s">
        <v>95</v>
      </c>
    </row>
    <row r="124" spans="1:13" ht="28.9" hidden="1" outlineLevel="2">
      <c r="A124" s="110" t="s">
        <v>16</v>
      </c>
      <c r="B124" s="110" t="s">
        <v>23</v>
      </c>
      <c r="C124" s="110" t="s">
        <v>69</v>
      </c>
      <c r="D124" s="110" t="s">
        <v>352</v>
      </c>
      <c r="E124" s="111">
        <v>1260</v>
      </c>
      <c r="F124" s="111">
        <v>1260</v>
      </c>
      <c r="G124" s="111">
        <v>1260</v>
      </c>
      <c r="H124" s="111">
        <v>0</v>
      </c>
      <c r="I124" s="111">
        <v>0</v>
      </c>
      <c r="J124" s="116" t="s">
        <v>353</v>
      </c>
      <c r="K124" s="116" t="s">
        <v>354</v>
      </c>
      <c r="L124" s="117" t="s">
        <v>59</v>
      </c>
    </row>
    <row r="125" spans="1:13" ht="28.9" hidden="1" outlineLevel="2">
      <c r="A125" s="110" t="s">
        <v>16</v>
      </c>
      <c r="B125" s="110" t="s">
        <v>23</v>
      </c>
      <c r="C125" s="110" t="s">
        <v>69</v>
      </c>
      <c r="D125" s="110" t="s">
        <v>355</v>
      </c>
      <c r="E125" s="111">
        <v>39305.699999999997</v>
      </c>
      <c r="F125" s="111">
        <v>0</v>
      </c>
      <c r="G125" s="111">
        <v>0</v>
      </c>
      <c r="H125" s="111">
        <v>39306</v>
      </c>
      <c r="I125" s="111">
        <v>0.29999999999563398</v>
      </c>
      <c r="J125" s="116" t="s">
        <v>157</v>
      </c>
      <c r="K125" s="116" t="s">
        <v>158</v>
      </c>
      <c r="L125" s="117" t="s">
        <v>59</v>
      </c>
    </row>
    <row r="126" spans="1:13" ht="28.9" hidden="1" outlineLevel="2">
      <c r="A126" s="110" t="s">
        <v>16</v>
      </c>
      <c r="B126" s="110" t="s">
        <v>23</v>
      </c>
      <c r="C126" s="110" t="s">
        <v>69</v>
      </c>
      <c r="D126" s="110" t="s">
        <v>356</v>
      </c>
      <c r="E126" s="111">
        <v>174825</v>
      </c>
      <c r="F126" s="111">
        <v>43706.25</v>
      </c>
      <c r="G126" s="111">
        <v>43706.25</v>
      </c>
      <c r="H126" s="111">
        <v>131118.75</v>
      </c>
      <c r="I126" s="111">
        <v>0</v>
      </c>
      <c r="J126" s="116" t="s">
        <v>289</v>
      </c>
      <c r="K126" s="116" t="s">
        <v>290</v>
      </c>
      <c r="L126" s="117" t="s">
        <v>59</v>
      </c>
    </row>
    <row r="127" spans="1:13" ht="28.9" hidden="1" outlineLevel="1">
      <c r="A127" s="114" t="s">
        <v>16</v>
      </c>
      <c r="B127" s="114" t="s">
        <v>72</v>
      </c>
      <c r="C127" s="110" t="s">
        <v>69</v>
      </c>
      <c r="D127" s="114"/>
      <c r="E127" s="115">
        <f>SUM(E124:E126)</f>
        <v>215390.7</v>
      </c>
      <c r="F127" s="115">
        <f>SUM(F124:F126)</f>
        <v>44966.25</v>
      </c>
      <c r="G127" s="115">
        <f>SUM(G124:G126)</f>
        <v>44966.25</v>
      </c>
      <c r="H127" s="115">
        <f>SUM(H124:H126)</f>
        <v>170424.75</v>
      </c>
      <c r="I127" s="115">
        <f>SUM(I124:I126)</f>
        <v>0.29999999999563398</v>
      </c>
      <c r="J127" s="116" t="s">
        <v>357</v>
      </c>
      <c r="K127" s="116" t="s">
        <v>358</v>
      </c>
      <c r="L127" s="117" t="s">
        <v>59</v>
      </c>
    </row>
    <row r="128" spans="1:13" ht="28.9" hidden="1" outlineLevel="2">
      <c r="A128" s="110" t="s">
        <v>16</v>
      </c>
      <c r="B128" s="110" t="s">
        <v>24</v>
      </c>
      <c r="C128" s="110" t="s">
        <v>261</v>
      </c>
      <c r="D128" s="110" t="s">
        <v>359</v>
      </c>
      <c r="E128" s="111">
        <v>1211114.9924999999</v>
      </c>
      <c r="F128" s="111">
        <v>335708</v>
      </c>
      <c r="G128" s="111">
        <v>337708.24</v>
      </c>
      <c r="H128" s="111">
        <v>873407.05500000005</v>
      </c>
      <c r="I128" s="111">
        <v>2000.5425000001101</v>
      </c>
      <c r="J128" s="120" t="s">
        <v>360</v>
      </c>
      <c r="K128" s="120" t="s">
        <v>361</v>
      </c>
      <c r="L128" s="117" t="s">
        <v>110</v>
      </c>
    </row>
    <row r="129" spans="1:12" ht="28.9" hidden="1" outlineLevel="2">
      <c r="A129" s="110" t="s">
        <v>16</v>
      </c>
      <c r="B129" s="110" t="s">
        <v>24</v>
      </c>
      <c r="C129" s="110" t="s">
        <v>261</v>
      </c>
      <c r="D129" s="110" t="s">
        <v>362</v>
      </c>
      <c r="E129" s="111">
        <v>238897.86249999999</v>
      </c>
      <c r="F129" s="111">
        <v>0</v>
      </c>
      <c r="G129" s="111">
        <v>0</v>
      </c>
      <c r="H129" s="111">
        <v>232868.65</v>
      </c>
      <c r="I129" s="111">
        <v>-6029.2125000000196</v>
      </c>
      <c r="J129" s="112" t="s">
        <v>363</v>
      </c>
      <c r="K129" s="112" t="s">
        <v>364</v>
      </c>
      <c r="L129" s="113" t="s">
        <v>51</v>
      </c>
    </row>
    <row r="130" spans="1:12" ht="28.9" hidden="1" outlineLevel="2">
      <c r="A130" s="110" t="s">
        <v>16</v>
      </c>
      <c r="B130" s="110" t="s">
        <v>24</v>
      </c>
      <c r="C130" s="110" t="s">
        <v>261</v>
      </c>
      <c r="D130" s="110" t="s">
        <v>365</v>
      </c>
      <c r="E130" s="111">
        <v>160000</v>
      </c>
      <c r="F130" s="111">
        <v>37500</v>
      </c>
      <c r="G130" s="111">
        <v>37500</v>
      </c>
      <c r="H130" s="111">
        <v>122500</v>
      </c>
      <c r="I130" s="111">
        <v>0</v>
      </c>
      <c r="J130" s="116" t="s">
        <v>289</v>
      </c>
      <c r="K130" s="116" t="s">
        <v>290</v>
      </c>
      <c r="L130" s="117" t="s">
        <v>59</v>
      </c>
    </row>
    <row r="131" spans="1:12" ht="28.9" hidden="1" outlineLevel="2">
      <c r="A131" s="110" t="s">
        <v>16</v>
      </c>
      <c r="B131" s="110" t="s">
        <v>24</v>
      </c>
      <c r="C131" s="110" t="s">
        <v>261</v>
      </c>
      <c r="D131" s="110" t="s">
        <v>366</v>
      </c>
      <c r="E131" s="111">
        <v>175245.9</v>
      </c>
      <c r="F131" s="111">
        <v>42997.95</v>
      </c>
      <c r="G131" s="111">
        <v>46000</v>
      </c>
      <c r="H131" s="111">
        <v>126245.9</v>
      </c>
      <c r="I131" s="111">
        <v>2.0499999999883598</v>
      </c>
      <c r="J131" s="112" t="s">
        <v>367</v>
      </c>
      <c r="K131" s="112" t="s">
        <v>368</v>
      </c>
      <c r="L131" s="113" t="s">
        <v>51</v>
      </c>
    </row>
    <row r="132" spans="1:12" ht="28.9" hidden="1" outlineLevel="1">
      <c r="A132" s="114" t="s">
        <v>16</v>
      </c>
      <c r="B132" s="114" t="s">
        <v>265</v>
      </c>
      <c r="C132" s="110" t="s">
        <v>261</v>
      </c>
      <c r="D132" s="114"/>
      <c r="E132" s="115">
        <f>SUM(E128:E131)</f>
        <v>1785258.7549999999</v>
      </c>
      <c r="F132" s="115">
        <f>SUM(F128:F131)</f>
        <v>416205.95</v>
      </c>
      <c r="G132" s="115">
        <f>SUM(G128:G131)</f>
        <v>421208.24</v>
      </c>
      <c r="H132" s="115">
        <f>SUM(H128:H131)</f>
        <v>1355021.605</v>
      </c>
      <c r="I132" s="115">
        <f>SUM(I128:I131)</f>
        <v>-4026.6199999999212</v>
      </c>
      <c r="J132" s="112" t="s">
        <v>369</v>
      </c>
      <c r="K132" s="112" t="s">
        <v>370</v>
      </c>
      <c r="L132" s="113" t="s">
        <v>51</v>
      </c>
    </row>
    <row r="133" spans="1:12" ht="28.9" hidden="1" outlineLevel="2">
      <c r="A133" s="110" t="s">
        <v>16</v>
      </c>
      <c r="B133" s="110" t="s">
        <v>25</v>
      </c>
      <c r="C133" s="110" t="s">
        <v>75</v>
      </c>
      <c r="D133" s="110" t="s">
        <v>371</v>
      </c>
      <c r="E133" s="111">
        <v>50400</v>
      </c>
      <c r="F133" s="111">
        <v>0</v>
      </c>
      <c r="G133" s="111">
        <v>0</v>
      </c>
      <c r="H133" s="111">
        <v>50400</v>
      </c>
      <c r="I133" s="111">
        <v>0</v>
      </c>
      <c r="J133" s="116" t="s">
        <v>289</v>
      </c>
      <c r="K133" s="116" t="s">
        <v>290</v>
      </c>
      <c r="L133" s="117" t="s">
        <v>59</v>
      </c>
    </row>
    <row r="134" spans="1:12" ht="28.9" hidden="1" outlineLevel="2">
      <c r="A134" s="110" t="s">
        <v>16</v>
      </c>
      <c r="B134" s="110" t="s">
        <v>25</v>
      </c>
      <c r="C134" s="110" t="s">
        <v>75</v>
      </c>
      <c r="D134" s="110" t="s">
        <v>227</v>
      </c>
      <c r="E134" s="111">
        <v>99225</v>
      </c>
      <c r="F134" s="111">
        <v>24300</v>
      </c>
      <c r="G134" s="111">
        <v>24300</v>
      </c>
      <c r="H134" s="111">
        <v>74925</v>
      </c>
      <c r="I134" s="111">
        <v>0</v>
      </c>
      <c r="J134" s="116" t="s">
        <v>289</v>
      </c>
      <c r="K134" s="116" t="s">
        <v>290</v>
      </c>
      <c r="L134" s="117" t="s">
        <v>59</v>
      </c>
    </row>
    <row r="135" spans="1:12" ht="28.9" hidden="1" outlineLevel="2">
      <c r="A135" s="110" t="s">
        <v>16</v>
      </c>
      <c r="B135" s="110" t="s">
        <v>25</v>
      </c>
      <c r="C135" s="110" t="s">
        <v>75</v>
      </c>
      <c r="D135" s="110" t="s">
        <v>92</v>
      </c>
      <c r="E135" s="111">
        <v>2512</v>
      </c>
      <c r="F135" s="111">
        <v>0</v>
      </c>
      <c r="G135" s="111">
        <v>0</v>
      </c>
      <c r="H135" s="111">
        <v>2512</v>
      </c>
      <c r="I135" s="111">
        <v>0</v>
      </c>
      <c r="J135" s="116" t="s">
        <v>289</v>
      </c>
      <c r="K135" s="116" t="s">
        <v>290</v>
      </c>
      <c r="L135" s="117" t="s">
        <v>59</v>
      </c>
    </row>
    <row r="136" spans="1:12" ht="28.9" hidden="1" outlineLevel="2">
      <c r="A136" s="110" t="s">
        <v>16</v>
      </c>
      <c r="B136" s="110" t="s">
        <v>25</v>
      </c>
      <c r="C136" s="110" t="s">
        <v>75</v>
      </c>
      <c r="D136" s="110" t="s">
        <v>372</v>
      </c>
      <c r="E136" s="111">
        <v>32760</v>
      </c>
      <c r="F136" s="111">
        <v>0</v>
      </c>
      <c r="G136" s="111">
        <v>0</v>
      </c>
      <c r="H136" s="111">
        <v>32760</v>
      </c>
      <c r="I136" s="111">
        <v>0</v>
      </c>
      <c r="J136" s="116" t="s">
        <v>289</v>
      </c>
      <c r="K136" s="116" t="s">
        <v>290</v>
      </c>
      <c r="L136" s="117" t="s">
        <v>59</v>
      </c>
    </row>
    <row r="137" spans="1:12" ht="28.9" hidden="1" outlineLevel="2">
      <c r="A137" s="110" t="s">
        <v>16</v>
      </c>
      <c r="B137" s="110" t="s">
        <v>25</v>
      </c>
      <c r="C137" s="110" t="s">
        <v>75</v>
      </c>
      <c r="D137" s="110" t="s">
        <v>373</v>
      </c>
      <c r="E137" s="111">
        <v>3150</v>
      </c>
      <c r="F137" s="111">
        <v>0</v>
      </c>
      <c r="G137" s="111">
        <v>0</v>
      </c>
      <c r="H137" s="111">
        <v>3150</v>
      </c>
      <c r="I137" s="111">
        <v>0</v>
      </c>
      <c r="J137" s="116" t="s">
        <v>289</v>
      </c>
      <c r="K137" s="116" t="s">
        <v>290</v>
      </c>
      <c r="L137" s="117" t="s">
        <v>59</v>
      </c>
    </row>
    <row r="138" spans="1:12" ht="28.9" hidden="1" outlineLevel="2">
      <c r="A138" s="110" t="s">
        <v>16</v>
      </c>
      <c r="B138" s="110" t="s">
        <v>25</v>
      </c>
      <c r="C138" s="110" t="s">
        <v>75</v>
      </c>
      <c r="D138" s="110" t="s">
        <v>374</v>
      </c>
      <c r="E138" s="111">
        <v>48934</v>
      </c>
      <c r="F138" s="111">
        <v>6702</v>
      </c>
      <c r="G138" s="111">
        <v>6702</v>
      </c>
      <c r="H138" s="111">
        <v>42232</v>
      </c>
      <c r="I138" s="111">
        <v>0</v>
      </c>
      <c r="J138" s="116" t="s">
        <v>289</v>
      </c>
      <c r="K138" s="116" t="s">
        <v>290</v>
      </c>
      <c r="L138" s="117" t="s">
        <v>59</v>
      </c>
    </row>
    <row r="139" spans="1:12" ht="28.9" hidden="1" outlineLevel="2">
      <c r="A139" s="110" t="s">
        <v>16</v>
      </c>
      <c r="B139" s="110" t="s">
        <v>25</v>
      </c>
      <c r="C139" s="110" t="s">
        <v>75</v>
      </c>
      <c r="D139" s="110" t="s">
        <v>375</v>
      </c>
      <c r="E139" s="111">
        <v>90000</v>
      </c>
      <c r="F139" s="111">
        <v>0</v>
      </c>
      <c r="G139" s="111">
        <v>0</v>
      </c>
      <c r="H139" s="111">
        <v>90000</v>
      </c>
      <c r="I139" s="111">
        <v>0</v>
      </c>
      <c r="J139" s="116" t="s">
        <v>289</v>
      </c>
      <c r="K139" s="116" t="s">
        <v>290</v>
      </c>
      <c r="L139" s="117" t="s">
        <v>59</v>
      </c>
    </row>
    <row r="140" spans="1:12" ht="28.9" hidden="1" outlineLevel="2">
      <c r="A140" s="110" t="s">
        <v>16</v>
      </c>
      <c r="B140" s="110" t="s">
        <v>25</v>
      </c>
      <c r="C140" s="110" t="s">
        <v>75</v>
      </c>
      <c r="D140" s="110" t="s">
        <v>376</v>
      </c>
      <c r="E140" s="111">
        <v>2594.5500000000002</v>
      </c>
      <c r="F140" s="111">
        <v>0</v>
      </c>
      <c r="G140" s="111">
        <v>0</v>
      </c>
      <c r="H140" s="111">
        <v>2595</v>
      </c>
      <c r="I140" s="111">
        <v>0.44999999999981799</v>
      </c>
      <c r="J140" s="116" t="s">
        <v>157</v>
      </c>
      <c r="K140" s="116" t="s">
        <v>158</v>
      </c>
      <c r="L140" s="117" t="s">
        <v>59</v>
      </c>
    </row>
    <row r="141" spans="1:12" ht="28.9" hidden="1" outlineLevel="2">
      <c r="A141" s="110" t="s">
        <v>16</v>
      </c>
      <c r="B141" s="110" t="s">
        <v>25</v>
      </c>
      <c r="C141" s="110" t="s">
        <v>75</v>
      </c>
      <c r="D141" s="110" t="s">
        <v>377</v>
      </c>
      <c r="E141" s="111">
        <v>100000</v>
      </c>
      <c r="F141" s="111">
        <v>0</v>
      </c>
      <c r="G141" s="111">
        <v>0</v>
      </c>
      <c r="H141" s="111">
        <v>100000</v>
      </c>
      <c r="I141" s="111">
        <v>0</v>
      </c>
      <c r="J141" s="116" t="s">
        <v>289</v>
      </c>
      <c r="K141" s="116" t="s">
        <v>290</v>
      </c>
      <c r="L141" s="117" t="s">
        <v>59</v>
      </c>
    </row>
    <row r="142" spans="1:12" ht="28.9" hidden="1" outlineLevel="2">
      <c r="A142" s="110" t="s">
        <v>16</v>
      </c>
      <c r="B142" s="110" t="s">
        <v>25</v>
      </c>
      <c r="C142" s="110" t="s">
        <v>75</v>
      </c>
      <c r="D142" s="110" t="s">
        <v>378</v>
      </c>
      <c r="E142" s="111">
        <v>72888.816000000006</v>
      </c>
      <c r="F142" s="111">
        <v>72888.816000000006</v>
      </c>
      <c r="G142" s="111">
        <v>69417.919999999998</v>
      </c>
      <c r="H142" s="111">
        <v>3470.8960000000102</v>
      </c>
      <c r="I142" s="111">
        <v>-3470.8960000000102</v>
      </c>
      <c r="J142" s="112" t="s">
        <v>379</v>
      </c>
      <c r="K142" s="112" t="s">
        <v>380</v>
      </c>
      <c r="L142" s="113" t="s">
        <v>51</v>
      </c>
    </row>
    <row r="143" spans="1:12" ht="28.9" hidden="1" outlineLevel="2">
      <c r="A143" s="110" t="s">
        <v>16</v>
      </c>
      <c r="B143" s="110" t="s">
        <v>25</v>
      </c>
      <c r="C143" s="110" t="s">
        <v>75</v>
      </c>
      <c r="D143" s="110" t="s">
        <v>381</v>
      </c>
      <c r="E143" s="111">
        <v>139031.20000000001</v>
      </c>
      <c r="F143" s="111">
        <v>34188</v>
      </c>
      <c r="G143" s="111">
        <v>34188</v>
      </c>
      <c r="H143" s="111">
        <v>103513.66666666701</v>
      </c>
      <c r="I143" s="111">
        <v>-1329.5333333333299</v>
      </c>
      <c r="J143" s="112" t="s">
        <v>382</v>
      </c>
      <c r="K143" s="112" t="s">
        <v>383</v>
      </c>
      <c r="L143" s="113" t="s">
        <v>51</v>
      </c>
    </row>
    <row r="144" spans="1:12" ht="28.9" hidden="1" outlineLevel="2">
      <c r="A144" s="110" t="s">
        <v>16</v>
      </c>
      <c r="B144" s="110" t="s">
        <v>25</v>
      </c>
      <c r="C144" s="110" t="s">
        <v>75</v>
      </c>
      <c r="D144" s="110" t="s">
        <v>384</v>
      </c>
      <c r="E144" s="111">
        <v>70432.698000000004</v>
      </c>
      <c r="F144" s="111">
        <v>600</v>
      </c>
      <c r="G144" s="111">
        <v>507.59</v>
      </c>
      <c r="H144" s="111">
        <v>69925.107999999993</v>
      </c>
      <c r="I144" s="111">
        <v>-92.410000000003507</v>
      </c>
      <c r="J144" s="112" t="s">
        <v>339</v>
      </c>
      <c r="K144" s="112" t="s">
        <v>340</v>
      </c>
      <c r="L144" s="113" t="s">
        <v>51</v>
      </c>
    </row>
    <row r="145" spans="1:12" ht="28.9" hidden="1" outlineLevel="2">
      <c r="A145" s="110" t="s">
        <v>16</v>
      </c>
      <c r="B145" s="110" t="s">
        <v>25</v>
      </c>
      <c r="C145" s="110" t="s">
        <v>75</v>
      </c>
      <c r="D145" s="110" t="s">
        <v>385</v>
      </c>
      <c r="E145" s="111">
        <v>440671.35</v>
      </c>
      <c r="F145" s="111">
        <v>36234.199999999997</v>
      </c>
      <c r="G145" s="111">
        <v>36234.199999999997</v>
      </c>
      <c r="H145" s="111">
        <v>404436.8</v>
      </c>
      <c r="I145" s="111">
        <v>-0.34999999997671699</v>
      </c>
      <c r="J145" s="116" t="s">
        <v>157</v>
      </c>
      <c r="K145" s="116" t="s">
        <v>158</v>
      </c>
      <c r="L145" s="117" t="s">
        <v>59</v>
      </c>
    </row>
    <row r="146" spans="1:12" ht="28.9" hidden="1" outlineLevel="1">
      <c r="A146" s="114" t="s">
        <v>16</v>
      </c>
      <c r="B146" s="114" t="s">
        <v>80</v>
      </c>
      <c r="C146" s="110" t="s">
        <v>75</v>
      </c>
      <c r="D146" s="114"/>
      <c r="E146" s="115">
        <f>SUM(E133:E145)</f>
        <v>1152599.6140000001</v>
      </c>
      <c r="F146" s="115">
        <f>SUM(F133:F145)</f>
        <v>174913.016</v>
      </c>
      <c r="G146" s="115">
        <f>SUM(G133:G145)</f>
        <v>171349.70999999996</v>
      </c>
      <c r="H146" s="115">
        <f>SUM(H133:H145)</f>
        <v>979920.47066666698</v>
      </c>
      <c r="I146" s="115">
        <f>SUM(I133:I145)</f>
        <v>-4892.7393333333202</v>
      </c>
      <c r="J146" s="112" t="s">
        <v>386</v>
      </c>
      <c r="K146" s="112" t="s">
        <v>387</v>
      </c>
      <c r="L146" s="113" t="s">
        <v>51</v>
      </c>
    </row>
    <row r="147" spans="1:12" ht="72" collapsed="1">
      <c r="A147" s="114" t="s">
        <v>388</v>
      </c>
      <c r="B147" s="114"/>
      <c r="C147" s="114"/>
      <c r="D147" s="114"/>
      <c r="E147" s="115">
        <f>SUM(E101,E111,E123,E127,E132,E146)</f>
        <v>20398429.541149996</v>
      </c>
      <c r="F147" s="115">
        <f>SUM(F101,F111,F123,F127,F132,F146)</f>
        <v>5052466.0012499997</v>
      </c>
      <c r="G147" s="115">
        <f>SUM(G101,G111,G123,G127,G132,G146)</f>
        <v>4929076.6049999995</v>
      </c>
      <c r="H147" s="115">
        <f>SUM(H101,H111,H123,H127,H132,H146)</f>
        <v>16052143.975500004</v>
      </c>
      <c r="I147" s="115">
        <f>SUM(I101,I111,I123,I127,I132,I146)</f>
        <v>772434.39309999871</v>
      </c>
      <c r="J147" s="118" t="s">
        <v>389</v>
      </c>
      <c r="K147" s="118" t="s">
        <v>390</v>
      </c>
      <c r="L147" s="117" t="s">
        <v>95</v>
      </c>
    </row>
  </sheetData>
  <autoFilter ref="A1:L147" xr:uid="{B4B02E84-AB2F-474C-AB42-95BF2216A82A}"/>
  <conditionalFormatting sqref="L2:L147">
    <cfRule type="containsText" dxfId="81" priority="1" operator="containsText" text="Hard Risk">
      <formula>NOT(ISERROR(SEARCH("Hard Risk",L2)))</formula>
    </cfRule>
    <cfRule type="containsText" dxfId="80" priority="2" operator="containsText" text="Soft Risk">
      <formula>NOT(ISERROR(SEARCH("Soft Risk",L2)))</formula>
    </cfRule>
    <cfRule type="containsText" dxfId="79" priority="3" operator="containsText" text="Hard Opportunity">
      <formula>NOT(ISERROR(SEARCH("Hard Opportunity",L2)))</formula>
    </cfRule>
    <cfRule type="containsText" dxfId="78" priority="4" operator="containsText" text="Soft Opportunity">
      <formula>NOT(ISERROR(SEARCH("Soft Opportunity",L2)))</formula>
    </cfRule>
    <cfRule type="containsText" dxfId="77" priority="5" operator="containsText" text="Neutral">
      <formula>NOT(ISERROR(SEARCH("Neutral",L2)))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116E3-46D8-4857-915F-4317DB7C8ADA}">
  <sheetPr>
    <tabColor theme="4" tint="0.79998168889431442"/>
  </sheetPr>
  <dimension ref="A1:P15"/>
  <sheetViews>
    <sheetView workbookViewId="0">
      <pane xSplit="1" ySplit="2" topLeftCell="B3" activePane="bottomRight" state="frozen"/>
      <selection pane="bottomRight" activeCell="F13" sqref="F13:F15"/>
      <selection pane="bottomLeft" activeCell="A3" sqref="A3"/>
      <selection pane="topRight" activeCell="B1" sqref="B1"/>
    </sheetView>
  </sheetViews>
  <sheetFormatPr defaultRowHeight="14.45"/>
  <cols>
    <col min="1" max="1" width="15.42578125" bestFit="1" customWidth="1"/>
    <col min="2" max="3" width="12.28515625" bestFit="1" customWidth="1"/>
    <col min="4" max="4" width="18" bestFit="1" customWidth="1"/>
    <col min="5" max="6" width="12.7109375" bestFit="1" customWidth="1"/>
    <col min="7" max="7" width="19" bestFit="1" customWidth="1"/>
    <col min="8" max="9" width="12.7109375" bestFit="1" customWidth="1"/>
    <col min="10" max="10" width="19" bestFit="1" customWidth="1"/>
    <col min="11" max="11" width="12.42578125" bestFit="1" customWidth="1"/>
    <col min="12" max="12" width="12.5703125" bestFit="1" customWidth="1"/>
    <col min="13" max="13" width="18.7109375" bestFit="1" customWidth="1"/>
    <col min="14" max="14" width="12.85546875" bestFit="1" customWidth="1"/>
    <col min="15" max="15" width="13.140625" bestFit="1" customWidth="1"/>
    <col min="16" max="16" width="19.28515625" bestFit="1" customWidth="1"/>
  </cols>
  <sheetData>
    <row r="1" spans="1:16">
      <c r="B1" s="8" t="s">
        <v>29</v>
      </c>
    </row>
    <row r="2" spans="1:16">
      <c r="A2" s="8" t="s">
        <v>30</v>
      </c>
      <c r="B2" t="s">
        <v>391</v>
      </c>
      <c r="C2" t="s">
        <v>392</v>
      </c>
      <c r="D2" t="s">
        <v>393</v>
      </c>
      <c r="E2" t="s">
        <v>394</v>
      </c>
      <c r="F2" t="s">
        <v>395</v>
      </c>
      <c r="G2" t="s">
        <v>396</v>
      </c>
      <c r="H2" t="s">
        <v>397</v>
      </c>
      <c r="I2" t="s">
        <v>398</v>
      </c>
      <c r="J2" t="s">
        <v>399</v>
      </c>
      <c r="K2" t="s">
        <v>400</v>
      </c>
      <c r="L2" t="s">
        <v>401</v>
      </c>
      <c r="M2" t="s">
        <v>402</v>
      </c>
      <c r="N2" t="s">
        <v>403</v>
      </c>
      <c r="O2" t="s">
        <v>404</v>
      </c>
      <c r="P2" t="s">
        <v>405</v>
      </c>
    </row>
    <row r="3" spans="1:16">
      <c r="A3" t="s">
        <v>20</v>
      </c>
      <c r="B3" s="97">
        <v>858455.56333333324</v>
      </c>
      <c r="C3" s="97">
        <v>858344.35333333327</v>
      </c>
      <c r="D3" s="97">
        <v>-111.21000000000276</v>
      </c>
      <c r="E3" s="97">
        <v>929854.57333333325</v>
      </c>
      <c r="F3" s="97">
        <v>932993.91333333333</v>
      </c>
      <c r="G3" s="97">
        <v>3139.3399999999965</v>
      </c>
      <c r="H3" s="97">
        <v>892596.47333333339</v>
      </c>
      <c r="I3" s="97">
        <v>949145.58333333337</v>
      </c>
      <c r="J3" s="97">
        <v>56549.109999999971</v>
      </c>
      <c r="K3" s="97">
        <v>841990.49083333323</v>
      </c>
      <c r="L3" s="97">
        <v>877895.58083333331</v>
      </c>
      <c r="M3" s="97">
        <v>35905.089999999997</v>
      </c>
      <c r="N3" s="97">
        <v>858397.49083333323</v>
      </c>
      <c r="O3" s="97">
        <v>731310.30083333328</v>
      </c>
      <c r="P3" s="97">
        <v>-127087.19</v>
      </c>
    </row>
    <row r="4" spans="1:16">
      <c r="A4" t="s">
        <v>21</v>
      </c>
      <c r="B4" s="97">
        <v>1074720.8158333334</v>
      </c>
      <c r="C4" s="97">
        <v>1094660.7091666665</v>
      </c>
      <c r="D4" s="97">
        <v>19939.893333333359</v>
      </c>
      <c r="E4" s="97">
        <v>1084523.1558333335</v>
      </c>
      <c r="F4" s="97">
        <v>1042923.5591666667</v>
      </c>
      <c r="G4" s="97">
        <v>-41599.596666666599</v>
      </c>
      <c r="H4" s="97">
        <v>1135563.8694166664</v>
      </c>
      <c r="I4" s="97">
        <v>1089858.3966666667</v>
      </c>
      <c r="J4" s="97">
        <v>-45705.472749999935</v>
      </c>
      <c r="K4" s="97">
        <v>1116657.6494166667</v>
      </c>
      <c r="L4" s="97">
        <v>1057768.5583666668</v>
      </c>
      <c r="M4" s="97">
        <v>-58889.091050000075</v>
      </c>
      <c r="N4" s="97">
        <v>1122679.0194166668</v>
      </c>
      <c r="O4" s="97">
        <v>1039393.7183666667</v>
      </c>
      <c r="P4" s="97">
        <v>-83285.301050000038</v>
      </c>
    </row>
    <row r="5" spans="1:16">
      <c r="A5" t="s">
        <v>22</v>
      </c>
      <c r="B5" s="97">
        <v>1004215.4558333334</v>
      </c>
      <c r="C5" s="97">
        <v>1055969.0658333334</v>
      </c>
      <c r="D5" s="97">
        <v>51753.61</v>
      </c>
      <c r="E5" s="97">
        <v>988517.3058333334</v>
      </c>
      <c r="F5" s="97">
        <v>965695.13583333336</v>
      </c>
      <c r="G5" s="97">
        <v>-22822.170000000002</v>
      </c>
      <c r="H5" s="97">
        <v>974528.3058333334</v>
      </c>
      <c r="I5" s="97">
        <v>981751.3058333334</v>
      </c>
      <c r="J5" s="97">
        <v>7223</v>
      </c>
      <c r="K5" s="97">
        <v>1356520.5991666666</v>
      </c>
      <c r="L5" s="97">
        <v>1307445.7291666667</v>
      </c>
      <c r="M5" s="97">
        <v>-49074.87</v>
      </c>
      <c r="N5" s="97">
        <v>1105578.3491666666</v>
      </c>
      <c r="O5" s="97">
        <v>1039016.3291666667</v>
      </c>
      <c r="P5" s="97">
        <v>-66562.02</v>
      </c>
    </row>
    <row r="6" spans="1:16">
      <c r="A6" t="s">
        <v>23</v>
      </c>
      <c r="B6" s="97">
        <v>94578.75</v>
      </c>
      <c r="C6" s="97">
        <v>89378.75</v>
      </c>
      <c r="D6" s="97">
        <v>-5200</v>
      </c>
      <c r="E6" s="97">
        <v>67318.75</v>
      </c>
      <c r="F6" s="97">
        <v>66118.75</v>
      </c>
      <c r="G6" s="97">
        <v>-1200</v>
      </c>
      <c r="H6" s="97">
        <v>82346.75</v>
      </c>
      <c r="I6" s="97">
        <v>84746.75</v>
      </c>
      <c r="J6" s="97">
        <v>2400</v>
      </c>
      <c r="K6" s="97">
        <v>94098.75</v>
      </c>
      <c r="L6" s="97">
        <v>96498.75</v>
      </c>
      <c r="M6" s="97">
        <v>2400</v>
      </c>
      <c r="N6" s="97">
        <v>108678.75</v>
      </c>
      <c r="O6" s="97">
        <v>47208.75</v>
      </c>
      <c r="P6" s="97">
        <v>-61470</v>
      </c>
    </row>
    <row r="7" spans="1:16">
      <c r="A7" t="s">
        <v>24</v>
      </c>
      <c r="B7" s="97">
        <v>150507.38333333333</v>
      </c>
      <c r="C7" s="97">
        <v>148008.06666666665</v>
      </c>
      <c r="D7" s="97">
        <v>-2499.3166666666693</v>
      </c>
      <c r="E7" s="97">
        <v>122926.40333333335</v>
      </c>
      <c r="F7" s="97">
        <v>121927.08666666667</v>
      </c>
      <c r="G7" s="97">
        <v>-999.31666666666933</v>
      </c>
      <c r="H7" s="97">
        <v>145131.40333333335</v>
      </c>
      <c r="I7" s="97">
        <v>141273.08666666667</v>
      </c>
      <c r="J7" s="97">
        <v>-3858.3166666666693</v>
      </c>
      <c r="K7" s="97">
        <v>408744.10666666669</v>
      </c>
      <c r="L7" s="97">
        <v>172376.14</v>
      </c>
      <c r="M7" s="97">
        <v>-236367.96666666667</v>
      </c>
      <c r="N7" s="97">
        <v>125471.94666666668</v>
      </c>
      <c r="O7" s="97">
        <v>172281.63000000003</v>
      </c>
      <c r="P7" s="97">
        <v>46809.683333333349</v>
      </c>
    </row>
    <row r="8" spans="1:16">
      <c r="A8" t="s">
        <v>25</v>
      </c>
      <c r="B8" s="97">
        <v>123983.54999999999</v>
      </c>
      <c r="C8" s="97">
        <v>119155.93999999999</v>
      </c>
      <c r="D8" s="97">
        <v>-4827.6099999999997</v>
      </c>
      <c r="E8" s="97">
        <v>84112.97</v>
      </c>
      <c r="F8" s="97">
        <v>80152.850000000006</v>
      </c>
      <c r="G8" s="97">
        <v>-3960.1200000000003</v>
      </c>
      <c r="H8" s="97">
        <v>205708.20600000001</v>
      </c>
      <c r="I8" s="97">
        <v>199385.62</v>
      </c>
      <c r="J8" s="97">
        <v>-6322.5860000000084</v>
      </c>
      <c r="K8" s="97">
        <v>140925.20000000001</v>
      </c>
      <c r="L8" s="97">
        <v>146382.48000000001</v>
      </c>
      <c r="M8" s="97">
        <v>5457.2800000000007</v>
      </c>
      <c r="N8" s="97">
        <v>137521.34999999998</v>
      </c>
      <c r="O8" s="97">
        <v>134958.65999999997</v>
      </c>
      <c r="P8" s="97">
        <v>-2562.69</v>
      </c>
    </row>
    <row r="9" spans="1:16">
      <c r="A9" t="s">
        <v>17</v>
      </c>
      <c r="B9" s="97">
        <v>3306461.5183333331</v>
      </c>
      <c r="C9" s="97">
        <v>3365516.8849999993</v>
      </c>
      <c r="D9" s="97">
        <v>59055.366666666698</v>
      </c>
      <c r="E9" s="97">
        <v>3277253.1583333337</v>
      </c>
      <c r="F9" s="97">
        <v>3209811.2950000004</v>
      </c>
      <c r="G9" s="97">
        <v>-67441.863333333269</v>
      </c>
      <c r="H9" s="97">
        <v>3435875.0079166666</v>
      </c>
      <c r="I9" s="97">
        <v>3446160.7425000006</v>
      </c>
      <c r="J9" s="97">
        <v>10285.734583333358</v>
      </c>
      <c r="K9" s="97">
        <v>3958936.796083333</v>
      </c>
      <c r="L9" s="97">
        <v>3658367.2383666672</v>
      </c>
      <c r="M9" s="97">
        <v>-300569.55771666672</v>
      </c>
      <c r="N9" s="97">
        <v>3458326.9060833333</v>
      </c>
      <c r="O9" s="97">
        <v>3164169.3883666666</v>
      </c>
      <c r="P9" s="97">
        <v>-294157.51771666668</v>
      </c>
    </row>
    <row r="12" spans="1:16" ht="15" thickBot="1"/>
    <row r="13" spans="1:16" ht="14.45" customHeight="1">
      <c r="F13" s="164">
        <f>(D9+G9+J9+M9+P9)/100000</f>
        <v>-5.9282783751666663</v>
      </c>
      <c r="G13" s="167" t="s">
        <v>406</v>
      </c>
      <c r="H13" s="168"/>
      <c r="I13" s="168"/>
      <c r="J13" s="169"/>
    </row>
    <row r="14" spans="1:16">
      <c r="F14" s="165"/>
      <c r="G14" s="170"/>
      <c r="H14" s="171"/>
      <c r="I14" s="171"/>
      <c r="J14" s="172"/>
    </row>
    <row r="15" spans="1:16" ht="15" thickBot="1">
      <c r="F15" s="166"/>
      <c r="G15" s="173"/>
      <c r="H15" s="174"/>
      <c r="I15" s="174"/>
      <c r="J15" s="175"/>
    </row>
  </sheetData>
  <mergeCells count="2">
    <mergeCell ref="F13:F15"/>
    <mergeCell ref="G13:J1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8F122-750B-48CD-B64B-C52B6F444A03}">
  <dimension ref="A1:BX168"/>
  <sheetViews>
    <sheetView tabSelected="1" zoomScaleNormal="100" workbookViewId="0">
      <pane xSplit="2" ySplit="1" topLeftCell="AZ124" activePane="bottomRight" state="frozen"/>
      <selection pane="bottomRight" activeCell="BA139" sqref="BA139"/>
      <selection pane="bottomLeft" activeCell="A2" sqref="A2"/>
      <selection pane="topRight" activeCell="C1" sqref="C1"/>
    </sheetView>
  </sheetViews>
  <sheetFormatPr defaultColWidth="8.85546875" defaultRowHeight="14.45"/>
  <cols>
    <col min="1" max="1" width="19.42578125" bestFit="1" customWidth="1"/>
    <col min="2" max="2" width="42.7109375" bestFit="1" customWidth="1"/>
    <col min="3" max="3" width="32.7109375" customWidth="1"/>
    <col min="4" max="4" width="13.5703125" style="9" customWidth="1"/>
    <col min="5" max="5" width="51.140625" customWidth="1"/>
    <col min="6" max="6" width="22.28515625" customWidth="1"/>
    <col min="7" max="7" width="17.7109375" style="9" customWidth="1"/>
    <col min="8" max="8" width="17.140625" style="13" customWidth="1"/>
    <col min="9" max="9" width="16.140625" style="13" customWidth="1"/>
    <col min="10" max="10" width="12.5703125" customWidth="1"/>
    <col min="11" max="11" width="56.28515625" customWidth="1"/>
    <col min="12" max="12" width="12.7109375" customWidth="1"/>
    <col min="13" max="14" width="17.7109375" customWidth="1"/>
    <col min="15" max="15" width="18.28515625" customWidth="1"/>
    <col min="16" max="16" width="34.28515625" customWidth="1"/>
    <col min="17" max="17" width="44.85546875" customWidth="1"/>
    <col min="18" max="18" width="29.140625" customWidth="1"/>
    <col min="19" max="19" width="20.42578125" customWidth="1"/>
    <col min="20" max="20" width="16.140625" customWidth="1"/>
    <col min="21" max="21" width="21" customWidth="1"/>
    <col min="22" max="22" width="20.28515625" style="6" customWidth="1"/>
    <col min="23" max="23" width="26.5703125" style="6" customWidth="1"/>
    <col min="24" max="24" width="19.85546875" style="6" customWidth="1"/>
    <col min="25" max="25" width="13.28515625" style="6" customWidth="1"/>
    <col min="26" max="26" width="21.140625" style="6" customWidth="1"/>
    <col min="27" max="27" width="26.7109375" style="6" customWidth="1"/>
    <col min="28" max="28" width="13.42578125" style="6" customWidth="1"/>
    <col min="29" max="29" width="13.5703125" style="6" customWidth="1"/>
    <col min="30" max="30" width="13.7109375" style="6" customWidth="1"/>
    <col min="31" max="32" width="13.85546875" style="6" customWidth="1"/>
    <col min="33" max="34" width="13.85546875" customWidth="1"/>
    <col min="35" max="42" width="13.85546875" style="6" customWidth="1"/>
    <col min="43" max="43" width="11.28515625" style="6" customWidth="1"/>
    <col min="44" max="44" width="15.140625" style="6" customWidth="1"/>
    <col min="45" max="54" width="15" style="6" customWidth="1"/>
    <col min="55" max="56" width="15" style="6" hidden="1" customWidth="1"/>
    <col min="57" max="57" width="20.7109375" style="6" hidden="1" customWidth="1"/>
    <col min="58" max="58" width="18" style="6" hidden="1" customWidth="1"/>
    <col min="59" max="60" width="13.85546875" style="6" hidden="1" customWidth="1"/>
    <col min="61" max="67" width="13.85546875" hidden="1" customWidth="1"/>
    <col min="68" max="68" width="27.28515625" customWidth="1"/>
    <col min="69" max="69" width="18.28515625" bestFit="1" customWidth="1"/>
    <col min="70" max="70" width="13.5703125" bestFit="1" customWidth="1"/>
    <col min="71" max="74" width="10.140625" bestFit="1" customWidth="1"/>
    <col min="75" max="75" width="11.140625" bestFit="1" customWidth="1"/>
  </cols>
  <sheetData>
    <row r="1" spans="1:76" s="16" customFormat="1">
      <c r="A1" s="23" t="s">
        <v>0</v>
      </c>
      <c r="B1" s="23" t="s">
        <v>34</v>
      </c>
      <c r="C1" s="23" t="s">
        <v>407</v>
      </c>
      <c r="D1" s="23" t="s">
        <v>408</v>
      </c>
      <c r="E1" s="23" t="s">
        <v>409</v>
      </c>
      <c r="F1" s="23" t="s">
        <v>410</v>
      </c>
      <c r="G1" s="23" t="s">
        <v>30</v>
      </c>
      <c r="H1" s="24" t="s">
        <v>411</v>
      </c>
      <c r="I1" s="24" t="s">
        <v>412</v>
      </c>
      <c r="J1" s="24" t="s">
        <v>413</v>
      </c>
      <c r="K1" s="23" t="s">
        <v>414</v>
      </c>
      <c r="L1" s="23" t="s">
        <v>4</v>
      </c>
      <c r="M1" s="23" t="s">
        <v>18</v>
      </c>
      <c r="N1" s="23" t="s">
        <v>415</v>
      </c>
      <c r="O1" s="25" t="s">
        <v>416</v>
      </c>
      <c r="P1" s="23" t="s">
        <v>417</v>
      </c>
      <c r="Q1" s="23" t="s">
        <v>418</v>
      </c>
      <c r="R1" s="23" t="s">
        <v>419</v>
      </c>
      <c r="S1" s="23" t="s">
        <v>420</v>
      </c>
      <c r="T1" s="25" t="s">
        <v>421</v>
      </c>
      <c r="U1" s="26" t="s">
        <v>422</v>
      </c>
      <c r="V1" s="26" t="s">
        <v>35</v>
      </c>
      <c r="W1" s="26" t="s">
        <v>423</v>
      </c>
      <c r="X1" s="28" t="s">
        <v>424</v>
      </c>
      <c r="Y1" s="27" t="s">
        <v>425</v>
      </c>
      <c r="Z1" s="27" t="s">
        <v>39</v>
      </c>
      <c r="AA1" s="29" t="s">
        <v>426</v>
      </c>
      <c r="AB1" s="26" t="s">
        <v>427</v>
      </c>
      <c r="AC1" s="26" t="s">
        <v>428</v>
      </c>
      <c r="AD1" s="26" t="s">
        <v>429</v>
      </c>
      <c r="AE1" s="26" t="s">
        <v>430</v>
      </c>
      <c r="AF1" s="25" t="s">
        <v>431</v>
      </c>
      <c r="AG1" s="25" t="s">
        <v>432</v>
      </c>
      <c r="AH1" s="25" t="s">
        <v>433</v>
      </c>
      <c r="AI1" s="25" t="s">
        <v>434</v>
      </c>
      <c r="AJ1" s="25" t="s">
        <v>435</v>
      </c>
      <c r="AK1" s="25" t="s">
        <v>436</v>
      </c>
      <c r="AL1" s="25" t="s">
        <v>437</v>
      </c>
      <c r="AM1" s="25" t="s">
        <v>438</v>
      </c>
      <c r="AN1" s="25" t="s">
        <v>439</v>
      </c>
      <c r="AO1" s="30" t="s">
        <v>440</v>
      </c>
      <c r="AP1" s="69" t="s">
        <v>441</v>
      </c>
      <c r="AQ1" s="69" t="s">
        <v>442</v>
      </c>
      <c r="AR1" s="69" t="s">
        <v>443</v>
      </c>
      <c r="AS1" s="69" t="s">
        <v>444</v>
      </c>
      <c r="AT1" s="70" t="s">
        <v>445</v>
      </c>
      <c r="AU1" s="70" t="s">
        <v>446</v>
      </c>
      <c r="AV1" s="70" t="s">
        <v>447</v>
      </c>
      <c r="AW1" s="70" t="s">
        <v>448</v>
      </c>
      <c r="AX1" s="70" t="s">
        <v>449</v>
      </c>
      <c r="AY1" s="70" t="s">
        <v>450</v>
      </c>
      <c r="AZ1" s="70" t="s">
        <v>451</v>
      </c>
      <c r="BA1" s="70" t="s">
        <v>452</v>
      </c>
      <c r="BB1" s="78" t="s">
        <v>453</v>
      </c>
      <c r="BC1" s="72" t="s">
        <v>454</v>
      </c>
      <c r="BD1" s="72" t="s">
        <v>455</v>
      </c>
      <c r="BE1" s="72" t="s">
        <v>456</v>
      </c>
      <c r="BF1" s="72" t="s">
        <v>457</v>
      </c>
      <c r="BG1" s="73" t="s">
        <v>458</v>
      </c>
      <c r="BH1" s="73" t="s">
        <v>459</v>
      </c>
      <c r="BI1" s="73" t="s">
        <v>460</v>
      </c>
      <c r="BJ1" s="73" t="s">
        <v>461</v>
      </c>
      <c r="BK1" s="73" t="s">
        <v>462</v>
      </c>
      <c r="BL1" s="73" t="s">
        <v>463</v>
      </c>
      <c r="BM1" s="73" t="s">
        <v>464</v>
      </c>
      <c r="BN1" s="74" t="s">
        <v>465</v>
      </c>
      <c r="BO1" s="74" t="s">
        <v>466</v>
      </c>
      <c r="BP1" s="31" t="s">
        <v>467</v>
      </c>
      <c r="BQ1" s="50" t="s">
        <v>468</v>
      </c>
      <c r="BR1" s="50" t="s">
        <v>469</v>
      </c>
      <c r="BS1" s="50" t="s">
        <v>470</v>
      </c>
      <c r="BT1" s="50" t="s">
        <v>471</v>
      </c>
      <c r="BU1" s="50" t="s">
        <v>472</v>
      </c>
    </row>
    <row r="2" spans="1:76">
      <c r="A2" s="22" t="s">
        <v>473</v>
      </c>
      <c r="B2" s="21" t="s">
        <v>134</v>
      </c>
      <c r="C2" s="21" t="s">
        <v>474</v>
      </c>
      <c r="D2" s="10" t="s">
        <v>475</v>
      </c>
      <c r="E2" s="7" t="s">
        <v>476</v>
      </c>
      <c r="F2" s="3" t="s">
        <v>91</v>
      </c>
      <c r="G2" s="3" t="s">
        <v>21</v>
      </c>
      <c r="H2" s="4">
        <v>45809</v>
      </c>
      <c r="I2" s="4">
        <v>46904</v>
      </c>
      <c r="J2" s="21" t="s">
        <v>477</v>
      </c>
      <c r="K2" s="3" t="str">
        <f t="shared" ref="K2:K65" si="0">D2 &amp; "-" &amp;E2</f>
        <v>Prj000350-Support - Infrastructure for Tech</v>
      </c>
      <c r="L2" s="21" t="s">
        <v>478</v>
      </c>
      <c r="M2" s="21" t="s">
        <v>16</v>
      </c>
      <c r="N2" s="21" t="s">
        <v>16</v>
      </c>
      <c r="O2" s="21" t="s">
        <v>477</v>
      </c>
      <c r="P2" s="21" t="s">
        <v>479</v>
      </c>
      <c r="Q2" s="21" t="s">
        <v>480</v>
      </c>
      <c r="R2" s="21" t="s">
        <v>480</v>
      </c>
      <c r="S2" s="21" t="s">
        <v>481</v>
      </c>
      <c r="T2" s="5">
        <v>351839.43333333335</v>
      </c>
      <c r="U2" s="15">
        <v>361000</v>
      </c>
      <c r="V2" s="15">
        <v>361000</v>
      </c>
      <c r="W2" s="15">
        <f t="shared" ref="W2:W65" si="1">AO2+IF(ISBLANK(AP2),AB2,AP2)+IF(ISBLANK(AQ2),AC2,AQ2)+IF(ISBLANK(AR2),AD2,AR2)+IF(ISBLANK(AS2),AE2,AS2)+IF(ISBLANK(AT2),AF2,AT2)</f>
        <v>371392.66666666663</v>
      </c>
      <c r="X2" s="15">
        <f>IF(V2 &gt;= W2, V2 - W2, 0)*-1</f>
        <v>0</v>
      </c>
      <c r="Y2" s="15">
        <f t="shared" ref="Y2:Y65" si="2">IF(W2 &gt; V2, W2 - V2, 0)</f>
        <v>10392.666666666628</v>
      </c>
      <c r="Z2" s="15">
        <f>SUM(Financials20263[[#This Row],[2026 Opportunity]:[2026 Risk]])</f>
        <v>10392.666666666628</v>
      </c>
      <c r="AA2" s="3" t="s">
        <v>482</v>
      </c>
      <c r="AB2" s="51">
        <f>361000/12</f>
        <v>30083.333333333332</v>
      </c>
      <c r="AC2" s="51">
        <f t="shared" ref="AC2:AF2" si="3">361000/12</f>
        <v>30083.333333333332</v>
      </c>
      <c r="AD2" s="51">
        <f t="shared" si="3"/>
        <v>30083.333333333332</v>
      </c>
      <c r="AE2" s="51">
        <f t="shared" si="3"/>
        <v>30083.333333333332</v>
      </c>
      <c r="AF2" s="51">
        <f t="shared" si="3"/>
        <v>30083.333333333332</v>
      </c>
      <c r="AG2" s="51">
        <f>378816/12</f>
        <v>31568</v>
      </c>
      <c r="AH2" s="51">
        <f t="shared" ref="AH2:AM2" si="4">378816/12</f>
        <v>31568</v>
      </c>
      <c r="AI2" s="51">
        <f t="shared" si="4"/>
        <v>31568</v>
      </c>
      <c r="AJ2" s="51">
        <f t="shared" si="4"/>
        <v>31568</v>
      </c>
      <c r="AK2" s="51">
        <f t="shared" si="4"/>
        <v>31568</v>
      </c>
      <c r="AL2" s="51">
        <f t="shared" si="4"/>
        <v>31568</v>
      </c>
      <c r="AM2" s="51">
        <f t="shared" si="4"/>
        <v>31568</v>
      </c>
      <c r="AN2" s="51">
        <f>SUM(Financials20263[[#This Row],[Jan FC]:[Dec FC]])</f>
        <v>371392.66666666663</v>
      </c>
      <c r="AO2" s="15">
        <f t="shared" ref="AO2:AO65" si="5">SUM(AG2:AM2)</f>
        <v>220976</v>
      </c>
      <c r="AP2" s="60">
        <f>361000/12</f>
        <v>30083.333333333332</v>
      </c>
      <c r="AQ2" s="60">
        <f t="shared" ref="AQ2:AT2" si="6">361000/12</f>
        <v>30083.333333333332</v>
      </c>
      <c r="AR2" s="60">
        <f t="shared" si="6"/>
        <v>30083.333333333332</v>
      </c>
      <c r="AS2" s="60">
        <f t="shared" si="6"/>
        <v>30083.333333333332</v>
      </c>
      <c r="AT2" s="60">
        <f t="shared" si="6"/>
        <v>30083.333333333332</v>
      </c>
      <c r="AU2" s="60"/>
      <c r="AV2" s="60"/>
      <c r="AW2" s="60"/>
      <c r="AX2" s="60"/>
      <c r="AY2" s="60"/>
      <c r="AZ2" s="60"/>
      <c r="BA2" s="60"/>
      <c r="BB2" s="79">
        <f>SUM(Financials20263[[#This Row],[Jan AC]:[Dec AC]])</f>
        <v>150416.66666666666</v>
      </c>
      <c r="BC2" s="71">
        <f>Financials20263[[#This Row],[Jan AC]]-Financials20263[[#This Row],[Jan FC]]</f>
        <v>0</v>
      </c>
      <c r="BD2" s="71">
        <f>Financials20263[[#This Row],[Feb AC]]-Financials20263[[#This Row],[Feb FC]]</f>
        <v>0</v>
      </c>
      <c r="BE2" s="71">
        <f>Financials20263[[#This Row],[Mar AC]]-Financials20263[[#This Row],[Mar FC]]</f>
        <v>0</v>
      </c>
      <c r="BF2" s="71">
        <f>Financials20263[[#This Row],[Apr AC]]-Financials20263[[#This Row],[Apr FC]]</f>
        <v>0</v>
      </c>
      <c r="BG2" s="71">
        <f>Financials20263[[#This Row],[May AC]]-Financials20263[[#This Row],[May FC]]</f>
        <v>0</v>
      </c>
      <c r="BH2" s="71">
        <f>Financials20263[[#This Row],[Jun AC]]-Financials20263[[#This Row],[Jun FC]]</f>
        <v>-31568</v>
      </c>
      <c r="BI2" s="71">
        <f>Financials20263[[#This Row],[Jul AC]]-Financials20263[[#This Row],[Jul FC]]</f>
        <v>-31568</v>
      </c>
      <c r="BJ2" s="71">
        <f>Financials20263[[#This Row],[Aug AC]]-Financials20263[[#This Row],[Aug FC]]</f>
        <v>-31568</v>
      </c>
      <c r="BK2" s="71">
        <f>Financials20263[[#This Row],[Sep AC]]-Financials20263[[#This Row],[Sep FC]]</f>
        <v>-31568</v>
      </c>
      <c r="BL2" s="71">
        <f>Financials20263[[#This Row],[Oct AC]]-Financials20263[[#This Row],[Oct FC]]</f>
        <v>-31568</v>
      </c>
      <c r="BM2" s="71">
        <f>Financials20263[[#This Row],[Nov AC]]-Financials20263[[#This Row],[Nov FC]]</f>
        <v>-31568</v>
      </c>
      <c r="BN2" s="71">
        <f>Financials20263[[#This Row],[Dec AC]]-Financials20263[[#This Row],[Dec FC]]</f>
        <v>-31568</v>
      </c>
      <c r="BO2" s="71">
        <f>SUM(Financials20263[[#This Row],[Jan Opp/Risk]:[Dec Opp./Risk]])</f>
        <v>-220976</v>
      </c>
      <c r="BP2" s="86"/>
      <c r="BQ2" s="47">
        <f>SUM(Financials20263[[#This Row],[Jan AC]:[May AC]])</f>
        <v>150416.66666666666</v>
      </c>
      <c r="BR2" s="6">
        <f>Financials20263[[#This Row],[2026 (Actuals + Forecast)]]-Financials20263[[#This Row],[Jan-May Actuals]]-Financials20263[[#This Row],[Jun-Dec FC]]</f>
        <v>0</v>
      </c>
      <c r="BS2" s="6">
        <f>Financials20263[[#This Row],[Jun-Dec FC]]+Financials20263[[#This Row],[Jan-May Forecast ]]</f>
        <v>220976</v>
      </c>
      <c r="BT2" s="6">
        <f>SUM(Financials20263[[#This Row],[Jan FC]:[May FC]])</f>
        <v>150416.66666666666</v>
      </c>
      <c r="BU2" s="6">
        <f>Financials20263[[#This Row],[Jan-May Actuals]]+Financials20263[[#This Row],[Forecast Jun-Dec]]</f>
        <v>371392.66666666663</v>
      </c>
      <c r="BV2" s="6"/>
      <c r="BW2" s="6"/>
      <c r="BX2" s="6"/>
    </row>
    <row r="3" spans="1:76">
      <c r="A3" s="22" t="s">
        <v>473</v>
      </c>
      <c r="B3" s="21" t="s">
        <v>134</v>
      </c>
      <c r="C3" s="21" t="s">
        <v>474</v>
      </c>
      <c r="D3" s="10" t="s">
        <v>475</v>
      </c>
      <c r="E3" s="7" t="s">
        <v>476</v>
      </c>
      <c r="F3" s="3" t="s">
        <v>91</v>
      </c>
      <c r="G3" s="3" t="s">
        <v>21</v>
      </c>
      <c r="H3" s="4">
        <v>45809</v>
      </c>
      <c r="I3" s="4">
        <v>46904</v>
      </c>
      <c r="J3" s="21" t="s">
        <v>483</v>
      </c>
      <c r="K3" s="3" t="str">
        <f t="shared" si="0"/>
        <v>Prj000350-Support - Infrastructure for Tech</v>
      </c>
      <c r="L3" s="21" t="s">
        <v>478</v>
      </c>
      <c r="M3" s="21" t="s">
        <v>16</v>
      </c>
      <c r="N3" s="21" t="s">
        <v>16</v>
      </c>
      <c r="O3" s="21" t="s">
        <v>483</v>
      </c>
      <c r="P3" s="21" t="s">
        <v>479</v>
      </c>
      <c r="Q3" s="21" t="s">
        <v>480</v>
      </c>
      <c r="R3" s="21" t="s">
        <v>480</v>
      </c>
      <c r="S3" s="21" t="s">
        <v>481</v>
      </c>
      <c r="T3" s="5">
        <v>104417</v>
      </c>
      <c r="U3" s="15">
        <v>179000</v>
      </c>
      <c r="V3" s="15">
        <v>179000</v>
      </c>
      <c r="W3" s="15">
        <f t="shared" si="1"/>
        <v>273923.73333333334</v>
      </c>
      <c r="X3" s="15">
        <f t="shared" ref="X3:X70" si="7">IF(V3 &gt;= W3, V3 - W3, 0)*-1</f>
        <v>0</v>
      </c>
      <c r="Y3" s="15">
        <f t="shared" si="2"/>
        <v>94923.733333333337</v>
      </c>
      <c r="Z3" s="15">
        <f>SUM(Financials20263[[#This Row],[2026 Opportunity]:[2026 Risk]])</f>
        <v>94923.733333333337</v>
      </c>
      <c r="AA3" s="3" t="s">
        <v>484</v>
      </c>
      <c r="AB3" s="52">
        <f>179000/12</f>
        <v>14916.666666666666</v>
      </c>
      <c r="AC3" s="52">
        <f t="shared" ref="AC3:AF3" si="8">179000/12</f>
        <v>14916.666666666666</v>
      </c>
      <c r="AD3" s="52">
        <f t="shared" si="8"/>
        <v>14916.666666666666</v>
      </c>
      <c r="AE3" s="52">
        <f t="shared" si="8"/>
        <v>14916.666666666666</v>
      </c>
      <c r="AF3" s="52">
        <f t="shared" si="8"/>
        <v>14916.666666666666</v>
      </c>
      <c r="AG3" s="52">
        <f>341726.4/12</f>
        <v>28477.200000000001</v>
      </c>
      <c r="AH3" s="52">
        <f t="shared" ref="AH3:AM3" si="9">341726.4/12</f>
        <v>28477.200000000001</v>
      </c>
      <c r="AI3" s="52">
        <f t="shared" si="9"/>
        <v>28477.200000000001</v>
      </c>
      <c r="AJ3" s="52">
        <f t="shared" si="9"/>
        <v>28477.200000000001</v>
      </c>
      <c r="AK3" s="52">
        <f t="shared" si="9"/>
        <v>28477.200000000001</v>
      </c>
      <c r="AL3" s="52">
        <f t="shared" si="9"/>
        <v>28477.200000000001</v>
      </c>
      <c r="AM3" s="52">
        <f t="shared" si="9"/>
        <v>28477.200000000001</v>
      </c>
      <c r="AN3" s="52">
        <f>SUM(Financials20263[[#This Row],[Jan FC]:[Dec FC]])</f>
        <v>273923.7333333334</v>
      </c>
      <c r="AO3" s="15">
        <f t="shared" si="5"/>
        <v>199340.40000000002</v>
      </c>
      <c r="AP3" s="61">
        <f>179000/12</f>
        <v>14916.666666666666</v>
      </c>
      <c r="AQ3" s="61">
        <f t="shared" ref="AQ3:AT3" si="10">179000/12</f>
        <v>14916.666666666666</v>
      </c>
      <c r="AR3" s="61">
        <f t="shared" si="10"/>
        <v>14916.666666666666</v>
      </c>
      <c r="AS3" s="61">
        <f t="shared" si="10"/>
        <v>14916.666666666666</v>
      </c>
      <c r="AT3" s="61">
        <f t="shared" si="10"/>
        <v>14916.666666666666</v>
      </c>
      <c r="AU3" s="61"/>
      <c r="AV3" s="61"/>
      <c r="AW3" s="61"/>
      <c r="AX3" s="61"/>
      <c r="AY3" s="61"/>
      <c r="AZ3" s="61"/>
      <c r="BA3" s="61"/>
      <c r="BB3" s="80">
        <f>SUM(Financials20263[[#This Row],[Jan AC]:[Dec AC]])</f>
        <v>74583.333333333328</v>
      </c>
      <c r="BC3" s="71">
        <f>Financials20263[[#This Row],[Jan AC]]-Financials20263[[#This Row],[Jan FC]]</f>
        <v>0</v>
      </c>
      <c r="BD3" s="71">
        <f>Financials20263[[#This Row],[Feb AC]]-Financials20263[[#This Row],[Feb FC]]</f>
        <v>0</v>
      </c>
      <c r="BE3" s="71">
        <f>Financials20263[[#This Row],[Mar AC]]-Financials20263[[#This Row],[Mar FC]]</f>
        <v>0</v>
      </c>
      <c r="BF3" s="71">
        <f>Financials20263[[#This Row],[Apr AC]]-Financials20263[[#This Row],[Apr FC]]</f>
        <v>0</v>
      </c>
      <c r="BG3" s="71">
        <f>Financials20263[[#This Row],[May AC]]-Financials20263[[#This Row],[May FC]]</f>
        <v>0</v>
      </c>
      <c r="BH3" s="71">
        <f>Financials20263[[#This Row],[Jun AC]]-Financials20263[[#This Row],[Jun FC]]</f>
        <v>-28477.200000000001</v>
      </c>
      <c r="BI3" s="71">
        <f>Financials20263[[#This Row],[Jul AC]]-Financials20263[[#This Row],[Jul FC]]</f>
        <v>-28477.200000000001</v>
      </c>
      <c r="BJ3" s="71">
        <f>Financials20263[[#This Row],[Aug AC]]-Financials20263[[#This Row],[Aug FC]]</f>
        <v>-28477.200000000001</v>
      </c>
      <c r="BK3" s="71">
        <f>Financials20263[[#This Row],[Sep AC]]-Financials20263[[#This Row],[Sep FC]]</f>
        <v>-28477.200000000001</v>
      </c>
      <c r="BL3" s="71">
        <f>Financials20263[[#This Row],[Oct AC]]-Financials20263[[#This Row],[Oct FC]]</f>
        <v>-28477.200000000001</v>
      </c>
      <c r="BM3" s="71">
        <f>Financials20263[[#This Row],[Nov AC]]-Financials20263[[#This Row],[Nov FC]]</f>
        <v>-28477.200000000001</v>
      </c>
      <c r="BN3" s="71">
        <f>Financials20263[[#This Row],[Dec AC]]-Financials20263[[#This Row],[Dec FC]]</f>
        <v>-28477.200000000001</v>
      </c>
      <c r="BO3" s="71">
        <f>SUM(Financials20263[[#This Row],[Jan Opp/Risk]:[Dec Opp./Risk]])</f>
        <v>-199340.40000000002</v>
      </c>
      <c r="BP3" s="86"/>
      <c r="BQ3" s="47">
        <f>SUM(Financials20263[[#This Row],[Jan AC]:[May AC]])</f>
        <v>74583.333333333328</v>
      </c>
      <c r="BR3" s="6">
        <f>Financials20263[[#This Row],[2026 (Actuals + Forecast)]]-Financials20263[[#This Row],[Jan-May Actuals]]-Financials20263[[#This Row],[Jun-Dec FC]]</f>
        <v>0</v>
      </c>
      <c r="BS3" s="6">
        <f>Financials20263[[#This Row],[Jun-Dec FC]]+Financials20263[[#This Row],[Jan-May Forecast ]]</f>
        <v>199340.40000000002</v>
      </c>
      <c r="BT3" s="6">
        <f>SUM(Financials20263[[#This Row],[Jan FC]:[May FC]])</f>
        <v>74583.333333333328</v>
      </c>
      <c r="BU3" s="6">
        <f>Financials20263[[#This Row],[Jan-May Actuals]]+Financials20263[[#This Row],[Forecast Jun-Dec]]</f>
        <v>273923.73333333334</v>
      </c>
      <c r="BV3" s="6"/>
      <c r="BW3" s="6"/>
      <c r="BX3" s="6"/>
    </row>
    <row r="4" spans="1:76">
      <c r="A4" s="22" t="s">
        <v>485</v>
      </c>
      <c r="B4" s="21" t="s">
        <v>273</v>
      </c>
      <c r="C4" s="21"/>
      <c r="D4" s="10" t="s">
        <v>486</v>
      </c>
      <c r="E4" s="7" t="s">
        <v>487</v>
      </c>
      <c r="F4" s="3" t="s">
        <v>488</v>
      </c>
      <c r="G4" s="3" t="s">
        <v>25</v>
      </c>
      <c r="H4" s="4" t="s">
        <v>489</v>
      </c>
      <c r="I4" s="4" t="s">
        <v>489</v>
      </c>
      <c r="J4" s="3"/>
      <c r="K4" s="3" t="str">
        <f t="shared" si="0"/>
        <v>Prj000266-Support - Internal Tech Workforce Activities</v>
      </c>
      <c r="L4" s="21" t="s">
        <v>478</v>
      </c>
      <c r="M4" s="21" t="s">
        <v>15</v>
      </c>
      <c r="N4" s="21" t="s">
        <v>15</v>
      </c>
      <c r="O4" s="21"/>
      <c r="P4" s="21" t="s">
        <v>490</v>
      </c>
      <c r="Q4" s="21" t="s">
        <v>491</v>
      </c>
      <c r="R4" s="21" t="s">
        <v>492</v>
      </c>
      <c r="S4" s="21" t="s">
        <v>493</v>
      </c>
      <c r="T4" s="5">
        <v>211257</v>
      </c>
      <c r="U4" s="15">
        <v>259449</v>
      </c>
      <c r="V4" s="15">
        <v>259449</v>
      </c>
      <c r="W4" s="15">
        <f t="shared" si="1"/>
        <v>209448.84999999998</v>
      </c>
      <c r="X4" s="15">
        <f t="shared" si="7"/>
        <v>-50000.150000000023</v>
      </c>
      <c r="Y4" s="15">
        <f t="shared" si="2"/>
        <v>0</v>
      </c>
      <c r="Z4" s="15">
        <f>SUM(Financials20263[[#This Row],[2026 Opportunity]:[2026 Risk]])</f>
        <v>-50000.150000000023</v>
      </c>
      <c r="AA4" s="14" t="s">
        <v>494</v>
      </c>
      <c r="AB4" s="52">
        <v>11185.549999999997</v>
      </c>
      <c r="AC4" s="52">
        <v>7399.97</v>
      </c>
      <c r="AD4" s="52">
        <v>16129.190000000002</v>
      </c>
      <c r="AE4" s="52">
        <v>25262</v>
      </c>
      <c r="AF4" s="52">
        <v>23681.14</v>
      </c>
      <c r="AG4" s="52"/>
      <c r="AH4" s="52"/>
      <c r="AI4" s="52"/>
      <c r="AJ4" s="52"/>
      <c r="AK4" s="52"/>
      <c r="AL4" s="52"/>
      <c r="AM4" s="46">
        <f>159449-83658+50000</f>
        <v>125791</v>
      </c>
      <c r="AN4" s="46">
        <f>SUM(Financials20263[[#This Row],[Jan FC]:[Dec FC]])</f>
        <v>209448.85</v>
      </c>
      <c r="AO4" s="15">
        <f t="shared" si="5"/>
        <v>125791</v>
      </c>
      <c r="AP4" s="61">
        <v>11185.549999999997</v>
      </c>
      <c r="AQ4" s="61">
        <v>7399.97</v>
      </c>
      <c r="AR4" s="61">
        <v>16129.190000000002</v>
      </c>
      <c r="AS4" s="61">
        <v>25262</v>
      </c>
      <c r="AT4" s="61">
        <v>23681.14</v>
      </c>
      <c r="AU4" s="61"/>
      <c r="AV4" s="61"/>
      <c r="AW4" s="61"/>
      <c r="AX4" s="61"/>
      <c r="AY4" s="61"/>
      <c r="AZ4" s="61"/>
      <c r="BA4" s="61"/>
      <c r="BB4" s="80">
        <f>SUM(Financials20263[[#This Row],[Jan AC]:[Dec AC]])</f>
        <v>83657.850000000006</v>
      </c>
      <c r="BC4" s="71">
        <f>Financials20263[[#This Row],[Jan AC]]-Financials20263[[#This Row],[Jan FC]]</f>
        <v>0</v>
      </c>
      <c r="BD4" s="71">
        <f>Financials20263[[#This Row],[Feb AC]]-Financials20263[[#This Row],[Feb FC]]</f>
        <v>0</v>
      </c>
      <c r="BE4" s="71">
        <f>Financials20263[[#This Row],[Mar AC]]-Financials20263[[#This Row],[Mar FC]]</f>
        <v>0</v>
      </c>
      <c r="BF4" s="71">
        <f>Financials20263[[#This Row],[Apr AC]]-Financials20263[[#This Row],[Apr FC]]</f>
        <v>0</v>
      </c>
      <c r="BG4" s="71">
        <f>Financials20263[[#This Row],[May AC]]-Financials20263[[#This Row],[May FC]]</f>
        <v>0</v>
      </c>
      <c r="BH4" s="71">
        <f>Financials20263[[#This Row],[Jun AC]]-Financials20263[[#This Row],[Jun FC]]</f>
        <v>0</v>
      </c>
      <c r="BI4" s="71">
        <f>Financials20263[[#This Row],[Jul AC]]-Financials20263[[#This Row],[Jul FC]]</f>
        <v>0</v>
      </c>
      <c r="BJ4" s="71">
        <f>Financials20263[[#This Row],[Aug AC]]-Financials20263[[#This Row],[Aug FC]]</f>
        <v>0</v>
      </c>
      <c r="BK4" s="71">
        <f>Financials20263[[#This Row],[Sep AC]]-Financials20263[[#This Row],[Sep FC]]</f>
        <v>0</v>
      </c>
      <c r="BL4" s="71">
        <f>Financials20263[[#This Row],[Oct AC]]-Financials20263[[#This Row],[Oct FC]]</f>
        <v>0</v>
      </c>
      <c r="BM4" s="71">
        <f>Financials20263[[#This Row],[Nov AC]]-Financials20263[[#This Row],[Nov FC]]</f>
        <v>0</v>
      </c>
      <c r="BN4" s="71">
        <f>Financials20263[[#This Row],[Dec AC]]-Financials20263[[#This Row],[Dec FC]]</f>
        <v>-125791</v>
      </c>
      <c r="BO4" s="71">
        <f>SUM(Financials20263[[#This Row],[Jan Opp/Risk]:[Dec Opp./Risk]])</f>
        <v>-125791</v>
      </c>
      <c r="BP4" s="87" t="s">
        <v>495</v>
      </c>
      <c r="BQ4" s="47">
        <f>SUM(Financials20263[[#This Row],[Jan AC]:[May AC]])</f>
        <v>83657.850000000006</v>
      </c>
      <c r="BR4" s="6">
        <f>Financials20263[[#This Row],[2026 (Actuals + Forecast)]]-Financials20263[[#This Row],[Jan-May Actuals]]-Financials20263[[#This Row],[Jun-Dec FC]]</f>
        <v>0</v>
      </c>
      <c r="BS4" s="6">
        <f>Financials20263[[#This Row],[Jun-Dec FC]]+Financials20263[[#This Row],[Jan-May Forecast ]]</f>
        <v>125791</v>
      </c>
      <c r="BT4" s="6">
        <f>SUM(Financials20263[[#This Row],[Jan FC]:[May FC]])</f>
        <v>83657.850000000006</v>
      </c>
      <c r="BU4" s="6">
        <f>Financials20263[[#This Row],[Jan-May Actuals]]+Financials20263[[#This Row],[Forecast Jun-Dec]]</f>
        <v>209448.85</v>
      </c>
      <c r="BV4" s="6"/>
      <c r="BW4" s="6"/>
      <c r="BX4" s="6"/>
    </row>
    <row r="5" spans="1:76">
      <c r="A5" s="22" t="s">
        <v>473</v>
      </c>
      <c r="B5" s="21" t="s">
        <v>216</v>
      </c>
      <c r="C5" s="21"/>
      <c r="D5" s="10" t="s">
        <v>496</v>
      </c>
      <c r="E5" s="7" t="s">
        <v>497</v>
      </c>
      <c r="F5" s="3" t="s">
        <v>498</v>
      </c>
      <c r="G5" s="3" t="s">
        <v>22</v>
      </c>
      <c r="H5" s="4">
        <v>45666</v>
      </c>
      <c r="I5" s="4">
        <v>46031</v>
      </c>
      <c r="J5" s="3"/>
      <c r="K5" s="3" t="str">
        <f t="shared" si="0"/>
        <v>Prj000344-Support - Prod support for Finance Applications</v>
      </c>
      <c r="L5" s="21" t="s">
        <v>499</v>
      </c>
      <c r="M5" s="21" t="s">
        <v>14</v>
      </c>
      <c r="N5" s="21" t="s">
        <v>500</v>
      </c>
      <c r="O5" s="21" t="s">
        <v>10</v>
      </c>
      <c r="P5" s="21" t="s">
        <v>501</v>
      </c>
      <c r="Q5" s="21" t="s">
        <v>502</v>
      </c>
      <c r="R5" s="21" t="s">
        <v>503</v>
      </c>
      <c r="S5" s="21" t="s">
        <v>504</v>
      </c>
      <c r="T5" s="5">
        <v>91200</v>
      </c>
      <c r="U5" s="15">
        <v>100000</v>
      </c>
      <c r="V5" s="15">
        <v>100000</v>
      </c>
      <c r="W5" s="15">
        <f t="shared" si="1"/>
        <v>100000</v>
      </c>
      <c r="X5" s="15">
        <f t="shared" si="7"/>
        <v>0</v>
      </c>
      <c r="Y5" s="15">
        <f t="shared" si="2"/>
        <v>0</v>
      </c>
      <c r="Z5" s="15">
        <f>SUM(Financials20263[[#This Row],[2026 Opportunity]:[2026 Risk]])</f>
        <v>0</v>
      </c>
      <c r="AA5" s="14" t="s">
        <v>505</v>
      </c>
      <c r="AB5" s="52">
        <v>7600</v>
      </c>
      <c r="AC5" s="52">
        <v>7600</v>
      </c>
      <c r="AD5" s="52">
        <v>7600</v>
      </c>
      <c r="AE5" s="52">
        <v>7600</v>
      </c>
      <c r="AF5" s="52">
        <v>7600</v>
      </c>
      <c r="AG5" s="52">
        <v>7600</v>
      </c>
      <c r="AH5" s="52">
        <v>7600</v>
      </c>
      <c r="AI5" s="52">
        <v>7600</v>
      </c>
      <c r="AJ5" s="52">
        <v>7600</v>
      </c>
      <c r="AK5" s="52">
        <v>7600</v>
      </c>
      <c r="AL5" s="52">
        <v>7600</v>
      </c>
      <c r="AM5" s="46">
        <f>7600-15</f>
        <v>7585</v>
      </c>
      <c r="AN5" s="46">
        <f>SUM(Financials20263[[#This Row],[Jan FC]:[Dec FC]])</f>
        <v>91185</v>
      </c>
      <c r="AO5" s="15">
        <f t="shared" si="5"/>
        <v>53185</v>
      </c>
      <c r="AP5" s="61">
        <v>7600</v>
      </c>
      <c r="AQ5" s="61">
        <v>7600</v>
      </c>
      <c r="AR5" s="61">
        <v>8675</v>
      </c>
      <c r="AS5" s="61">
        <v>7600</v>
      </c>
      <c r="AT5" s="61">
        <v>15340</v>
      </c>
      <c r="AU5" s="61">
        <v>7600</v>
      </c>
      <c r="AV5" s="61"/>
      <c r="AW5" s="61"/>
      <c r="AX5" s="61"/>
      <c r="AY5" s="61"/>
      <c r="AZ5" s="61"/>
      <c r="BA5" s="61"/>
      <c r="BB5" s="80">
        <f>SUM(Financials20263[[#This Row],[Jan AC]:[Dec AC]])</f>
        <v>54415</v>
      </c>
      <c r="BC5" s="71">
        <f>Financials20263[[#This Row],[Jan AC]]-Financials20263[[#This Row],[Jan FC]]</f>
        <v>0</v>
      </c>
      <c r="BD5" s="71">
        <f>Financials20263[[#This Row],[Feb AC]]-Financials20263[[#This Row],[Feb FC]]</f>
        <v>0</v>
      </c>
      <c r="BE5" s="71">
        <f>Financials20263[[#This Row],[Mar AC]]-Financials20263[[#This Row],[Mar FC]]</f>
        <v>1075</v>
      </c>
      <c r="BF5" s="71">
        <f>Financials20263[[#This Row],[Apr AC]]-Financials20263[[#This Row],[Apr FC]]</f>
        <v>0</v>
      </c>
      <c r="BG5" s="71">
        <f>Financials20263[[#This Row],[May AC]]-Financials20263[[#This Row],[May FC]]</f>
        <v>7740</v>
      </c>
      <c r="BH5" s="71">
        <f>Financials20263[[#This Row],[Jun AC]]-Financials20263[[#This Row],[Jun FC]]</f>
        <v>0</v>
      </c>
      <c r="BI5" s="71">
        <f>Financials20263[[#This Row],[Jul AC]]-Financials20263[[#This Row],[Jul FC]]</f>
        <v>-7600</v>
      </c>
      <c r="BJ5" s="71">
        <f>Financials20263[[#This Row],[Aug AC]]-Financials20263[[#This Row],[Aug FC]]</f>
        <v>-7600</v>
      </c>
      <c r="BK5" s="71">
        <f>Financials20263[[#This Row],[Sep AC]]-Financials20263[[#This Row],[Sep FC]]</f>
        <v>-7600</v>
      </c>
      <c r="BL5" s="71">
        <f>Financials20263[[#This Row],[Oct AC]]-Financials20263[[#This Row],[Oct FC]]</f>
        <v>-7600</v>
      </c>
      <c r="BM5" s="71">
        <f>Financials20263[[#This Row],[Nov AC]]-Financials20263[[#This Row],[Nov FC]]</f>
        <v>-7600</v>
      </c>
      <c r="BN5" s="71">
        <f>Financials20263[[#This Row],[Dec AC]]-Financials20263[[#This Row],[Dec FC]]</f>
        <v>-7585</v>
      </c>
      <c r="BO5" s="71">
        <f>SUM(Financials20263[[#This Row],[Jan Opp/Risk]:[Dec Opp./Risk]])</f>
        <v>-36770</v>
      </c>
      <c r="BP5" s="88" t="s">
        <v>506</v>
      </c>
      <c r="BQ5" s="47">
        <f>SUM(Financials20263[[#This Row],[Jan AC]:[May AC]])</f>
        <v>46815</v>
      </c>
      <c r="BR5" s="6">
        <f>Financials20263[[#This Row],[2026 (Actuals + Forecast)]]-Financials20263[[#This Row],[Jan-May Actuals]]-Financials20263[[#This Row],[Jun-Dec FC]]</f>
        <v>0</v>
      </c>
      <c r="BS5" s="6">
        <f>Financials20263[[#This Row],[Jun-Dec FC]]+Financials20263[[#This Row],[Jan-May Forecast ]]</f>
        <v>53185</v>
      </c>
      <c r="BT5" s="6">
        <f>SUM(Financials20263[[#This Row],[Jan FC]:[May FC]])</f>
        <v>38000</v>
      </c>
      <c r="BU5" s="6">
        <f>Financials20263[[#This Row],[Jan-May Actuals]]+Financials20263[[#This Row],[Forecast Jun-Dec]]</f>
        <v>100000</v>
      </c>
      <c r="BV5" s="6"/>
      <c r="BW5" s="6"/>
      <c r="BX5" s="6"/>
    </row>
    <row r="6" spans="1:76">
      <c r="A6" s="22" t="s">
        <v>473</v>
      </c>
      <c r="B6" s="21" t="s">
        <v>321</v>
      </c>
      <c r="C6" s="21" t="s">
        <v>507</v>
      </c>
      <c r="D6" s="10" t="s">
        <v>475</v>
      </c>
      <c r="E6" s="7" t="s">
        <v>476</v>
      </c>
      <c r="F6" s="3" t="s">
        <v>91</v>
      </c>
      <c r="G6" s="3" t="s">
        <v>21</v>
      </c>
      <c r="H6" s="4">
        <v>45853</v>
      </c>
      <c r="I6" s="4">
        <v>46217</v>
      </c>
      <c r="J6" s="3" t="s">
        <v>507</v>
      </c>
      <c r="K6" s="3" t="str">
        <f t="shared" si="0"/>
        <v>Prj000350-Support - Infrastructure for Tech</v>
      </c>
      <c r="L6" s="21" t="s">
        <v>478</v>
      </c>
      <c r="M6" s="21" t="s">
        <v>16</v>
      </c>
      <c r="N6" s="21" t="s">
        <v>16</v>
      </c>
      <c r="O6" s="21"/>
      <c r="P6" s="21" t="s">
        <v>479</v>
      </c>
      <c r="Q6" s="21" t="s">
        <v>480</v>
      </c>
      <c r="R6" s="21" t="s">
        <v>480</v>
      </c>
      <c r="S6" s="21" t="s">
        <v>508</v>
      </c>
      <c r="T6" s="5">
        <v>37630</v>
      </c>
      <c r="U6" s="15">
        <v>39512</v>
      </c>
      <c r="V6" s="15">
        <v>39512</v>
      </c>
      <c r="W6" s="15">
        <f t="shared" si="1"/>
        <v>39512</v>
      </c>
      <c r="X6" s="15">
        <f t="shared" si="7"/>
        <v>0</v>
      </c>
      <c r="Y6" s="15">
        <f t="shared" si="2"/>
        <v>0</v>
      </c>
      <c r="Z6" s="15">
        <f>SUM(Financials20263[[#This Row],[2026 Opportunity]:[2026 Risk]])</f>
        <v>0</v>
      </c>
      <c r="AA6" s="14"/>
      <c r="AB6" s="52"/>
      <c r="AC6" s="52"/>
      <c r="AD6" s="52"/>
      <c r="AE6" s="52"/>
      <c r="AF6" s="51"/>
      <c r="AG6" s="51"/>
      <c r="AH6" s="52">
        <v>39512</v>
      </c>
      <c r="AI6" s="52"/>
      <c r="AJ6" s="52"/>
      <c r="AK6" s="52"/>
      <c r="AL6" s="51"/>
      <c r="AM6" s="51"/>
      <c r="AN6" s="51">
        <f>SUM(Financials20263[[#This Row],[Jan FC]:[Dec FC]])</f>
        <v>39512</v>
      </c>
      <c r="AO6" s="15">
        <f t="shared" si="5"/>
        <v>39512</v>
      </c>
      <c r="AP6" s="61"/>
      <c r="AQ6" s="61"/>
      <c r="AR6" s="61"/>
      <c r="AS6" s="61"/>
      <c r="AT6" s="60"/>
      <c r="AU6" s="60"/>
      <c r="AV6" s="61"/>
      <c r="AW6" s="61"/>
      <c r="AX6" s="61"/>
      <c r="AY6" s="61"/>
      <c r="AZ6" s="60"/>
      <c r="BA6" s="60"/>
      <c r="BB6" s="79">
        <f>SUM(Financials20263[[#This Row],[Jan AC]:[Dec AC]])</f>
        <v>0</v>
      </c>
      <c r="BC6" s="71">
        <f>Financials20263[[#This Row],[Jan AC]]-Financials20263[[#This Row],[Jan FC]]</f>
        <v>0</v>
      </c>
      <c r="BD6" s="71">
        <f>Financials20263[[#This Row],[Feb AC]]-Financials20263[[#This Row],[Feb FC]]</f>
        <v>0</v>
      </c>
      <c r="BE6" s="71">
        <f>Financials20263[[#This Row],[Mar AC]]-Financials20263[[#This Row],[Mar FC]]</f>
        <v>0</v>
      </c>
      <c r="BF6" s="71">
        <f>Financials20263[[#This Row],[Apr AC]]-Financials20263[[#This Row],[Apr FC]]</f>
        <v>0</v>
      </c>
      <c r="BG6" s="71">
        <f>Financials20263[[#This Row],[May AC]]-Financials20263[[#This Row],[May FC]]</f>
        <v>0</v>
      </c>
      <c r="BH6" s="71">
        <f>Financials20263[[#This Row],[Jun AC]]-Financials20263[[#This Row],[Jun FC]]</f>
        <v>0</v>
      </c>
      <c r="BI6" s="71">
        <f>Financials20263[[#This Row],[Jul AC]]-Financials20263[[#This Row],[Jul FC]]</f>
        <v>-39512</v>
      </c>
      <c r="BJ6" s="71">
        <f>Financials20263[[#This Row],[Aug AC]]-Financials20263[[#This Row],[Aug FC]]</f>
        <v>0</v>
      </c>
      <c r="BK6" s="71">
        <f>Financials20263[[#This Row],[Sep AC]]-Financials20263[[#This Row],[Sep FC]]</f>
        <v>0</v>
      </c>
      <c r="BL6" s="71">
        <f>Financials20263[[#This Row],[Oct AC]]-Financials20263[[#This Row],[Oct FC]]</f>
        <v>0</v>
      </c>
      <c r="BM6" s="71">
        <f>Financials20263[[#This Row],[Nov AC]]-Financials20263[[#This Row],[Nov FC]]</f>
        <v>0</v>
      </c>
      <c r="BN6" s="71">
        <f>Financials20263[[#This Row],[Dec AC]]-Financials20263[[#This Row],[Dec FC]]</f>
        <v>0</v>
      </c>
      <c r="BO6" s="71">
        <f>SUM(Financials20263[[#This Row],[Jan Opp/Risk]:[Dec Opp./Risk]])</f>
        <v>-39512</v>
      </c>
      <c r="BP6" s="87"/>
      <c r="BQ6" s="47">
        <f>SUM(Financials20263[[#This Row],[Jan AC]:[May AC]])</f>
        <v>0</v>
      </c>
      <c r="BR6" s="6">
        <f>Financials20263[[#This Row],[2026 (Actuals + Forecast)]]-Financials20263[[#This Row],[Jan-May Actuals]]-Financials20263[[#This Row],[Jun-Dec FC]]</f>
        <v>0</v>
      </c>
      <c r="BS6" s="6">
        <f>Financials20263[[#This Row],[Jun-Dec FC]]+Financials20263[[#This Row],[Jan-May Forecast ]]</f>
        <v>39512</v>
      </c>
      <c r="BT6" s="6">
        <f>SUM(Financials20263[[#This Row],[Jan FC]:[May FC]])</f>
        <v>0</v>
      </c>
      <c r="BU6" s="6">
        <f>Financials20263[[#This Row],[Jan-May Actuals]]+Financials20263[[#This Row],[Forecast Jun-Dec]]</f>
        <v>39512</v>
      </c>
      <c r="BV6" s="6"/>
      <c r="BW6" s="6"/>
      <c r="BX6" s="6"/>
    </row>
    <row r="7" spans="1:76" s="18" customFormat="1">
      <c r="A7" s="22" t="s">
        <v>473</v>
      </c>
      <c r="B7" s="21" t="s">
        <v>241</v>
      </c>
      <c r="C7" s="21"/>
      <c r="D7" s="10" t="s">
        <v>496</v>
      </c>
      <c r="E7" s="7" t="s">
        <v>497</v>
      </c>
      <c r="F7" s="3" t="s">
        <v>498</v>
      </c>
      <c r="G7" s="3" t="s">
        <v>22</v>
      </c>
      <c r="H7" s="4" t="s">
        <v>489</v>
      </c>
      <c r="I7" s="4" t="s">
        <v>489</v>
      </c>
      <c r="J7" s="3"/>
      <c r="K7" s="3" t="str">
        <f t="shared" si="0"/>
        <v>Prj000344-Support - Prod support for Finance Applications</v>
      </c>
      <c r="L7" s="21" t="s">
        <v>478</v>
      </c>
      <c r="M7" s="21" t="s">
        <v>16</v>
      </c>
      <c r="N7" s="21" t="s">
        <v>16</v>
      </c>
      <c r="O7" s="21"/>
      <c r="P7" s="21" t="s">
        <v>479</v>
      </c>
      <c r="Q7" s="21" t="s">
        <v>509</v>
      </c>
      <c r="R7" s="21" t="s">
        <v>510</v>
      </c>
      <c r="S7" s="21" t="s">
        <v>511</v>
      </c>
      <c r="T7" s="5">
        <v>14000</v>
      </c>
      <c r="U7" s="15">
        <v>14700</v>
      </c>
      <c r="V7" s="15">
        <v>14700</v>
      </c>
      <c r="W7" s="15">
        <f t="shared" si="1"/>
        <v>14700</v>
      </c>
      <c r="X7" s="15">
        <f t="shared" si="7"/>
        <v>0</v>
      </c>
      <c r="Y7" s="15">
        <f t="shared" si="2"/>
        <v>0</v>
      </c>
      <c r="Z7" s="15">
        <f>SUM(Financials20263[[#This Row],[2026 Opportunity]:[2026 Risk]])</f>
        <v>0</v>
      </c>
      <c r="AA7" s="14" t="s">
        <v>512</v>
      </c>
      <c r="AB7" s="52"/>
      <c r="AC7" s="52"/>
      <c r="AD7" s="52"/>
      <c r="AE7" s="52"/>
      <c r="AF7" s="52"/>
      <c r="AG7" s="51"/>
      <c r="AH7" s="52"/>
      <c r="AI7" s="52"/>
      <c r="AJ7" s="52"/>
      <c r="AK7" s="52"/>
      <c r="AL7" s="51"/>
      <c r="AM7" s="51">
        <v>14700</v>
      </c>
      <c r="AN7" s="51">
        <f>SUM(Financials20263[[#This Row],[Jan FC]:[Dec FC]])</f>
        <v>14700</v>
      </c>
      <c r="AO7" s="15">
        <f t="shared" si="5"/>
        <v>14700</v>
      </c>
      <c r="AP7" s="61"/>
      <c r="AQ7" s="61"/>
      <c r="AR7" s="61"/>
      <c r="AS7" s="61"/>
      <c r="AT7" s="61"/>
      <c r="AU7" s="60"/>
      <c r="AV7" s="61"/>
      <c r="AW7" s="61"/>
      <c r="AX7" s="61"/>
      <c r="AY7" s="61"/>
      <c r="AZ7" s="60"/>
      <c r="BA7" s="60"/>
      <c r="BB7" s="79">
        <f>SUM(Financials20263[[#This Row],[Jan AC]:[Dec AC]])</f>
        <v>0</v>
      </c>
      <c r="BC7" s="71">
        <f>Financials20263[[#This Row],[Jan AC]]-Financials20263[[#This Row],[Jan FC]]</f>
        <v>0</v>
      </c>
      <c r="BD7" s="71">
        <f>Financials20263[[#This Row],[Feb AC]]-Financials20263[[#This Row],[Feb FC]]</f>
        <v>0</v>
      </c>
      <c r="BE7" s="71">
        <f>Financials20263[[#This Row],[Mar AC]]-Financials20263[[#This Row],[Mar FC]]</f>
        <v>0</v>
      </c>
      <c r="BF7" s="71">
        <f>Financials20263[[#This Row],[Apr AC]]-Financials20263[[#This Row],[Apr FC]]</f>
        <v>0</v>
      </c>
      <c r="BG7" s="71">
        <f>Financials20263[[#This Row],[May AC]]-Financials20263[[#This Row],[May FC]]</f>
        <v>0</v>
      </c>
      <c r="BH7" s="71">
        <f>Financials20263[[#This Row],[Jun AC]]-Financials20263[[#This Row],[Jun FC]]</f>
        <v>0</v>
      </c>
      <c r="BI7" s="71">
        <f>Financials20263[[#This Row],[Jul AC]]-Financials20263[[#This Row],[Jul FC]]</f>
        <v>0</v>
      </c>
      <c r="BJ7" s="71">
        <f>Financials20263[[#This Row],[Aug AC]]-Financials20263[[#This Row],[Aug FC]]</f>
        <v>0</v>
      </c>
      <c r="BK7" s="71">
        <f>Financials20263[[#This Row],[Sep AC]]-Financials20263[[#This Row],[Sep FC]]</f>
        <v>0</v>
      </c>
      <c r="BL7" s="71">
        <f>Financials20263[[#This Row],[Oct AC]]-Financials20263[[#This Row],[Oct FC]]</f>
        <v>0</v>
      </c>
      <c r="BM7" s="71">
        <f>Financials20263[[#This Row],[Nov AC]]-Financials20263[[#This Row],[Nov FC]]</f>
        <v>0</v>
      </c>
      <c r="BN7" s="71">
        <f>Financials20263[[#This Row],[Dec AC]]-Financials20263[[#This Row],[Dec FC]]</f>
        <v>-14700</v>
      </c>
      <c r="BO7" s="71">
        <f>SUM(Financials20263[[#This Row],[Jan Opp/Risk]:[Dec Opp./Risk]])</f>
        <v>-14700</v>
      </c>
      <c r="BP7" s="87"/>
      <c r="BQ7" s="48">
        <f>SUM(Financials20263[[#This Row],[Jan AC]:[May AC]])</f>
        <v>0</v>
      </c>
      <c r="BR7" s="160">
        <f>Financials20263[[#This Row],[2026 (Actuals + Forecast)]]-Financials20263[[#This Row],[Jan-May Actuals]]-Financials20263[[#This Row],[Jun-Dec FC]]</f>
        <v>0</v>
      </c>
      <c r="BS7" s="6">
        <f>Financials20263[[#This Row],[Jun-Dec FC]]+Financials20263[[#This Row],[Jan-May Forecast ]]</f>
        <v>14700</v>
      </c>
      <c r="BT7" s="6">
        <f>SUM(Financials20263[[#This Row],[Jan FC]:[May FC]])</f>
        <v>0</v>
      </c>
      <c r="BU7" s="6">
        <f>Financials20263[[#This Row],[Jan-May Actuals]]+Financials20263[[#This Row],[Forecast Jun-Dec]]</f>
        <v>14700</v>
      </c>
      <c r="BV7" s="6"/>
      <c r="BW7" s="6"/>
      <c r="BX7" s="6"/>
    </row>
    <row r="8" spans="1:76">
      <c r="A8" s="22" t="s">
        <v>473</v>
      </c>
      <c r="B8" s="21" t="s">
        <v>241</v>
      </c>
      <c r="C8" s="21"/>
      <c r="D8" s="10" t="s">
        <v>513</v>
      </c>
      <c r="E8" s="7" t="s">
        <v>514</v>
      </c>
      <c r="F8" s="3" t="s">
        <v>498</v>
      </c>
      <c r="G8" s="3" t="s">
        <v>22</v>
      </c>
      <c r="H8" s="105">
        <v>46120</v>
      </c>
      <c r="I8" s="105">
        <v>46484</v>
      </c>
      <c r="J8" s="3"/>
      <c r="K8" s="3" t="str">
        <f t="shared" si="0"/>
        <v>Prj000603-Implement - Cash Matching Recon Solution</v>
      </c>
      <c r="L8" s="21" t="s">
        <v>478</v>
      </c>
      <c r="M8" s="21" t="s">
        <v>16</v>
      </c>
      <c r="N8" s="21" t="s">
        <v>16</v>
      </c>
      <c r="O8" s="21"/>
      <c r="P8" s="21" t="s">
        <v>479</v>
      </c>
      <c r="Q8" s="21" t="s">
        <v>509</v>
      </c>
      <c r="R8" s="21" t="s">
        <v>510</v>
      </c>
      <c r="S8" s="21" t="s">
        <v>508</v>
      </c>
      <c r="T8" s="5"/>
      <c r="U8" s="15"/>
      <c r="V8" s="15"/>
      <c r="W8" s="15">
        <f t="shared" si="1"/>
        <v>41250</v>
      </c>
      <c r="X8" s="15">
        <f>IF(V8 &gt;= W8, V8 - W8, 0)*-1</f>
        <v>0</v>
      </c>
      <c r="Y8" s="15">
        <f>IF(W8 &gt; V8, W8 - V8, 0)</f>
        <v>41250</v>
      </c>
      <c r="Z8" s="15">
        <f>SUM(Financials20263[[#This Row],[2026 Opportunity]:[2026 Risk]])</f>
        <v>41250</v>
      </c>
      <c r="AA8" s="14" t="s">
        <v>515</v>
      </c>
      <c r="AB8" s="52"/>
      <c r="AC8" s="52"/>
      <c r="AD8" s="52"/>
      <c r="AE8" s="52">
        <v>7500</v>
      </c>
      <c r="AF8" s="52">
        <v>2400</v>
      </c>
      <c r="AG8" s="51"/>
      <c r="AH8" s="52"/>
      <c r="AI8" s="52"/>
      <c r="AJ8" s="52"/>
      <c r="AK8" s="52"/>
      <c r="AL8" s="51"/>
      <c r="AM8" s="126">
        <f>41250-7500-2400</f>
        <v>31350</v>
      </c>
      <c r="AN8" s="51">
        <f>SUM(Financials20263[[#This Row],[Jan FC]:[Dec FC]])</f>
        <v>41250</v>
      </c>
      <c r="AO8" s="15">
        <f t="shared" si="5"/>
        <v>31350</v>
      </c>
      <c r="AP8" s="61"/>
      <c r="AQ8" s="61"/>
      <c r="AR8" s="61"/>
      <c r="AS8" s="61">
        <v>7500</v>
      </c>
      <c r="AT8" s="61">
        <v>2400</v>
      </c>
      <c r="AU8" s="60"/>
      <c r="AV8" s="61"/>
      <c r="AW8" s="61"/>
      <c r="AX8" s="61"/>
      <c r="AY8" s="61"/>
      <c r="AZ8" s="60"/>
      <c r="BA8" s="60"/>
      <c r="BB8" s="79">
        <f>SUM(Financials20263[[#This Row],[Jan AC]:[Dec AC]])</f>
        <v>9900</v>
      </c>
      <c r="BC8" s="71">
        <f>Financials20263[[#This Row],[Jan AC]]-Financials20263[[#This Row],[Jan FC]]</f>
        <v>0</v>
      </c>
      <c r="BD8" s="71">
        <f>Financials20263[[#This Row],[Feb AC]]-Financials20263[[#This Row],[Feb FC]]</f>
        <v>0</v>
      </c>
      <c r="BE8" s="71">
        <f>Financials20263[[#This Row],[Mar AC]]-Financials20263[[#This Row],[Mar FC]]</f>
        <v>0</v>
      </c>
      <c r="BF8" s="71">
        <f>Financials20263[[#This Row],[Apr AC]]-Financials20263[[#This Row],[Apr FC]]</f>
        <v>0</v>
      </c>
      <c r="BG8" s="71">
        <f>Financials20263[[#This Row],[May AC]]-Financials20263[[#This Row],[May FC]]</f>
        <v>0</v>
      </c>
      <c r="BH8" s="71">
        <f>Financials20263[[#This Row],[Jun AC]]-Financials20263[[#This Row],[Jun FC]]</f>
        <v>0</v>
      </c>
      <c r="BI8" s="71">
        <f>Financials20263[[#This Row],[Jul AC]]-Financials20263[[#This Row],[Jul FC]]</f>
        <v>0</v>
      </c>
      <c r="BJ8" s="71">
        <f>Financials20263[[#This Row],[Aug AC]]-Financials20263[[#This Row],[Aug FC]]</f>
        <v>0</v>
      </c>
      <c r="BK8" s="71">
        <f>Financials20263[[#This Row],[Sep AC]]-Financials20263[[#This Row],[Sep FC]]</f>
        <v>0</v>
      </c>
      <c r="BL8" s="71">
        <f>Financials20263[[#This Row],[Oct AC]]-Financials20263[[#This Row],[Oct FC]]</f>
        <v>0</v>
      </c>
      <c r="BM8" s="71">
        <f>Financials20263[[#This Row],[Nov AC]]-Financials20263[[#This Row],[Nov FC]]</f>
        <v>0</v>
      </c>
      <c r="BN8" s="71">
        <f>Financials20263[[#This Row],[Dec AC]]-Financials20263[[#This Row],[Dec FC]]</f>
        <v>-31350</v>
      </c>
      <c r="BO8" s="71">
        <f>SUM(Financials20263[[#This Row],[Jan Opp/Risk]:[Dec Opp./Risk]])</f>
        <v>-31350</v>
      </c>
      <c r="BP8" s="87" t="s">
        <v>516</v>
      </c>
      <c r="BQ8" s="48">
        <f>SUM(Financials20263[[#This Row],[Jan AC]:[May AC]])</f>
        <v>9900</v>
      </c>
      <c r="BR8" s="6">
        <f>Financials20263[[#This Row],[2026 (Actuals + Forecast)]]-Financials20263[[#This Row],[Jan-May Actuals]]-Financials20263[[#This Row],[Jun-Dec FC]]</f>
        <v>0</v>
      </c>
      <c r="BS8" s="6">
        <f>Financials20263[[#This Row],[Jun-Dec FC]]+Financials20263[[#This Row],[Jan-May Forecast ]]</f>
        <v>31350</v>
      </c>
      <c r="BT8" s="6">
        <f>SUM(Financials20263[[#This Row],[Jan FC]:[May FC]])</f>
        <v>9900</v>
      </c>
      <c r="BU8" s="6">
        <f>Financials20263[[#This Row],[Jan-May Actuals]]+Financials20263[[#This Row],[Forecast Jun-Dec]]</f>
        <v>41250</v>
      </c>
      <c r="BV8" s="6"/>
      <c r="BW8" s="6"/>
      <c r="BX8" s="6"/>
    </row>
    <row r="9" spans="1:76">
      <c r="A9" s="22" t="s">
        <v>473</v>
      </c>
      <c r="B9" s="21" t="s">
        <v>366</v>
      </c>
      <c r="C9" s="21" t="s">
        <v>517</v>
      </c>
      <c r="D9" s="10" t="s">
        <v>518</v>
      </c>
      <c r="E9" s="7" t="s">
        <v>519</v>
      </c>
      <c r="F9" s="3" t="s">
        <v>520</v>
      </c>
      <c r="G9" s="3" t="s">
        <v>24</v>
      </c>
      <c r="H9" s="4" t="s">
        <v>521</v>
      </c>
      <c r="I9" s="4" t="s">
        <v>521</v>
      </c>
      <c r="J9" s="3"/>
      <c r="K9" s="3" t="str">
        <f t="shared" si="0"/>
        <v>Prj000290-Support - Asset Management Applications</v>
      </c>
      <c r="L9" s="21" t="s">
        <v>478</v>
      </c>
      <c r="M9" s="21" t="s">
        <v>16</v>
      </c>
      <c r="N9" s="21" t="s">
        <v>16</v>
      </c>
      <c r="O9" s="21" t="s">
        <v>10</v>
      </c>
      <c r="P9" s="21" t="s">
        <v>479</v>
      </c>
      <c r="Q9" s="21" t="s">
        <v>480</v>
      </c>
      <c r="R9" s="21" t="s">
        <v>522</v>
      </c>
      <c r="S9" s="21" t="s">
        <v>523</v>
      </c>
      <c r="T9" s="5">
        <v>40000</v>
      </c>
      <c r="U9" s="15">
        <v>42000</v>
      </c>
      <c r="V9" s="15">
        <v>42000</v>
      </c>
      <c r="W9" s="15">
        <f t="shared" si="1"/>
        <v>42000</v>
      </c>
      <c r="X9" s="15">
        <f t="shared" si="7"/>
        <v>0</v>
      </c>
      <c r="Y9" s="15">
        <f t="shared" si="2"/>
        <v>0</v>
      </c>
      <c r="Z9" s="15">
        <f>SUM(Financials20263[[#This Row],[2026 Opportunity]:[2026 Risk]])</f>
        <v>0</v>
      </c>
      <c r="AA9" s="14" t="s">
        <v>524</v>
      </c>
      <c r="AB9" s="52">
        <f t="shared" ref="AB9:AL9" si="11">42000/12</f>
        <v>3500</v>
      </c>
      <c r="AC9" s="52">
        <f t="shared" si="11"/>
        <v>3500</v>
      </c>
      <c r="AD9" s="52">
        <f t="shared" si="11"/>
        <v>3500</v>
      </c>
      <c r="AE9" s="52">
        <f t="shared" si="11"/>
        <v>3500</v>
      </c>
      <c r="AF9" s="52">
        <f t="shared" si="11"/>
        <v>3500</v>
      </c>
      <c r="AG9" s="52">
        <f t="shared" si="11"/>
        <v>3500</v>
      </c>
      <c r="AH9" s="52">
        <f t="shared" si="11"/>
        <v>3500</v>
      </c>
      <c r="AI9" s="52">
        <f t="shared" si="11"/>
        <v>3500</v>
      </c>
      <c r="AJ9" s="52">
        <f t="shared" si="11"/>
        <v>3500</v>
      </c>
      <c r="AK9" s="52">
        <f t="shared" si="11"/>
        <v>3500</v>
      </c>
      <c r="AL9" s="52">
        <f t="shared" si="11"/>
        <v>3500</v>
      </c>
      <c r="AM9" s="46">
        <v>7000</v>
      </c>
      <c r="AN9" s="46">
        <f>SUM(Financials20263[[#This Row],[Jan FC]:[Dec FC]])</f>
        <v>45500</v>
      </c>
      <c r="AO9" s="15">
        <f t="shared" si="5"/>
        <v>28000</v>
      </c>
      <c r="AP9" s="61">
        <v>1000</v>
      </c>
      <c r="AQ9" s="61">
        <v>2500</v>
      </c>
      <c r="AR9" s="61"/>
      <c r="AS9" s="61"/>
      <c r="AT9" s="61"/>
      <c r="AU9" s="60"/>
      <c r="AV9" s="61"/>
      <c r="AW9" s="61"/>
      <c r="AX9" s="61"/>
      <c r="AY9" s="61"/>
      <c r="AZ9" s="60"/>
      <c r="BA9" s="60"/>
      <c r="BB9" s="79">
        <f>SUM(Financials20263[[#This Row],[Jan AC]:[Dec AC]])</f>
        <v>3500</v>
      </c>
      <c r="BC9" s="71">
        <f>Financials20263[[#This Row],[Jan AC]]-Financials20263[[#This Row],[Jan FC]]</f>
        <v>-2500</v>
      </c>
      <c r="BD9" s="71">
        <f>Financials20263[[#This Row],[Feb AC]]-Financials20263[[#This Row],[Feb FC]]</f>
        <v>-1000</v>
      </c>
      <c r="BE9" s="71">
        <f>Financials20263[[#This Row],[Mar AC]]-Financials20263[[#This Row],[Mar FC]]</f>
        <v>-3500</v>
      </c>
      <c r="BF9" s="71">
        <f>Financials20263[[#This Row],[Apr AC]]-Financials20263[[#This Row],[Apr FC]]</f>
        <v>-3500</v>
      </c>
      <c r="BG9" s="71">
        <f>Financials20263[[#This Row],[May AC]]-Financials20263[[#This Row],[May FC]]</f>
        <v>-3500</v>
      </c>
      <c r="BH9" s="71">
        <f>Financials20263[[#This Row],[Jun AC]]-Financials20263[[#This Row],[Jun FC]]</f>
        <v>-3500</v>
      </c>
      <c r="BI9" s="71">
        <f>Financials20263[[#This Row],[Jul AC]]-Financials20263[[#This Row],[Jul FC]]</f>
        <v>-3500</v>
      </c>
      <c r="BJ9" s="71">
        <f>Financials20263[[#This Row],[Aug AC]]-Financials20263[[#This Row],[Aug FC]]</f>
        <v>-3500</v>
      </c>
      <c r="BK9" s="71">
        <f>Financials20263[[#This Row],[Sep AC]]-Financials20263[[#This Row],[Sep FC]]</f>
        <v>-3500</v>
      </c>
      <c r="BL9" s="71">
        <f>Financials20263[[#This Row],[Oct AC]]-Financials20263[[#This Row],[Oct FC]]</f>
        <v>-3500</v>
      </c>
      <c r="BM9" s="71">
        <f>Financials20263[[#This Row],[Nov AC]]-Financials20263[[#This Row],[Nov FC]]</f>
        <v>-3500</v>
      </c>
      <c r="BN9" s="71">
        <f>Financials20263[[#This Row],[Dec AC]]-Financials20263[[#This Row],[Dec FC]]</f>
        <v>-7000</v>
      </c>
      <c r="BO9" s="71">
        <f>SUM(Financials20263[[#This Row],[Jan Opp/Risk]:[Dec Opp./Risk]])</f>
        <v>-42000</v>
      </c>
      <c r="BP9" s="87" t="s">
        <v>525</v>
      </c>
      <c r="BQ9" s="47">
        <f>SUM(Financials20263[[#This Row],[Jan AC]:[May AC]])</f>
        <v>3500</v>
      </c>
      <c r="BR9" s="6">
        <f>Financials20263[[#This Row],[2026 (Actuals + Forecast)]]-Financials20263[[#This Row],[Jan-May Actuals]]-Financials20263[[#This Row],[Jun-Dec FC]]</f>
        <v>10500</v>
      </c>
      <c r="BS9" s="6">
        <f>Financials20263[[#This Row],[Jun-Dec FC]]+Financials20263[[#This Row],[Jan-May Forecast ]]</f>
        <v>38500</v>
      </c>
      <c r="BT9" s="6">
        <f>SUM(Financials20263[[#This Row],[Jan FC]:[May FC]])</f>
        <v>17500</v>
      </c>
      <c r="BU9" s="6">
        <f>Financials20263[[#This Row],[Jan-May Actuals]]+Financials20263[[#This Row],[Forecast Jun-Dec]]</f>
        <v>42000</v>
      </c>
      <c r="BV9" s="6"/>
      <c r="BW9" s="6"/>
      <c r="BX9" s="6"/>
    </row>
    <row r="10" spans="1:76">
      <c r="A10" s="22" t="s">
        <v>473</v>
      </c>
      <c r="B10" s="21" t="s">
        <v>92</v>
      </c>
      <c r="C10" s="21"/>
      <c r="D10" s="10" t="s">
        <v>475</v>
      </c>
      <c r="E10" s="7" t="s">
        <v>476</v>
      </c>
      <c r="F10" s="3" t="s">
        <v>91</v>
      </c>
      <c r="G10" s="3" t="s">
        <v>21</v>
      </c>
      <c r="H10" s="4" t="s">
        <v>521</v>
      </c>
      <c r="I10" s="4" t="s">
        <v>521</v>
      </c>
      <c r="J10" s="3"/>
      <c r="K10" s="3" t="str">
        <f t="shared" si="0"/>
        <v>Prj000350-Support - Infrastructure for Tech</v>
      </c>
      <c r="L10" s="21" t="s">
        <v>478</v>
      </c>
      <c r="M10" s="21" t="s">
        <v>12</v>
      </c>
      <c r="N10" s="21" t="s">
        <v>12</v>
      </c>
      <c r="O10" s="21"/>
      <c r="P10" s="21" t="s">
        <v>479</v>
      </c>
      <c r="Q10" s="21" t="s">
        <v>526</v>
      </c>
      <c r="R10" s="21" t="s">
        <v>526</v>
      </c>
      <c r="S10" s="21" t="s">
        <v>504</v>
      </c>
      <c r="T10" s="5">
        <v>237545.39</v>
      </c>
      <c r="U10" s="15">
        <v>180000</v>
      </c>
      <c r="V10" s="15">
        <v>180000</v>
      </c>
      <c r="W10" s="15">
        <f t="shared" si="1"/>
        <v>165100.70000000001</v>
      </c>
      <c r="X10" s="15">
        <f t="shared" si="7"/>
        <v>-14899.299999999988</v>
      </c>
      <c r="Y10" s="15">
        <f t="shared" si="2"/>
        <v>0</v>
      </c>
      <c r="Z10" s="15">
        <f>SUM(Financials20263[[#This Row],[2026 Opportunity]:[2026 Risk]])</f>
        <v>-14899.299999999988</v>
      </c>
      <c r="AA10" s="3" t="s">
        <v>527</v>
      </c>
      <c r="AB10" s="52">
        <v>15000</v>
      </c>
      <c r="AC10" s="52">
        <v>15000</v>
      </c>
      <c r="AD10" s="52">
        <v>15000</v>
      </c>
      <c r="AE10" s="52">
        <v>15000</v>
      </c>
      <c r="AF10" s="52">
        <v>15000</v>
      </c>
      <c r="AG10" s="52">
        <v>15725</v>
      </c>
      <c r="AH10" s="52">
        <v>15725</v>
      </c>
      <c r="AI10" s="52">
        <v>15725</v>
      </c>
      <c r="AJ10" s="52">
        <v>15725</v>
      </c>
      <c r="AK10" s="52">
        <v>15725</v>
      </c>
      <c r="AL10" s="52">
        <v>15725</v>
      </c>
      <c r="AM10" s="52">
        <v>15725</v>
      </c>
      <c r="AN10" s="46">
        <f>SUM(Financials20263[[#This Row],[Jan FC]:[Dec FC]])</f>
        <v>185075</v>
      </c>
      <c r="AO10" s="15">
        <f t="shared" si="5"/>
        <v>110075</v>
      </c>
      <c r="AP10" s="61">
        <v>11005.14</v>
      </c>
      <c r="AQ10" s="61">
        <v>11005.14</v>
      </c>
      <c r="AR10" s="61">
        <v>11005.14</v>
      </c>
      <c r="AS10" s="61">
        <v>11005.14</v>
      </c>
      <c r="AT10" s="61">
        <v>11005.14</v>
      </c>
      <c r="AU10" s="61"/>
      <c r="AV10" s="61"/>
      <c r="AW10" s="61"/>
      <c r="AX10" s="61"/>
      <c r="AY10" s="61"/>
      <c r="AZ10" s="61"/>
      <c r="BA10" s="61"/>
      <c r="BB10" s="80">
        <f>SUM(Financials20263[[#This Row],[Jan AC]:[Dec AC]])</f>
        <v>55025.7</v>
      </c>
      <c r="BC10" s="71">
        <f>Financials20263[[#This Row],[Jan AC]]-Financials20263[[#This Row],[Jan FC]]</f>
        <v>-3994.8600000000006</v>
      </c>
      <c r="BD10" s="71">
        <f>Financials20263[[#This Row],[Feb AC]]-Financials20263[[#This Row],[Feb FC]]</f>
        <v>-3994.8600000000006</v>
      </c>
      <c r="BE10" s="71">
        <f>Financials20263[[#This Row],[Mar AC]]-Financials20263[[#This Row],[Mar FC]]</f>
        <v>-3994.8600000000006</v>
      </c>
      <c r="BF10" s="71">
        <f>Financials20263[[#This Row],[Apr AC]]-Financials20263[[#This Row],[Apr FC]]</f>
        <v>-3994.8600000000006</v>
      </c>
      <c r="BG10" s="71">
        <f>Financials20263[[#This Row],[May AC]]-Financials20263[[#This Row],[May FC]]</f>
        <v>-3994.8600000000006</v>
      </c>
      <c r="BH10" s="71">
        <f>Financials20263[[#This Row],[Jun AC]]-Financials20263[[#This Row],[Jun FC]]</f>
        <v>-15725</v>
      </c>
      <c r="BI10" s="71">
        <f>Financials20263[[#This Row],[Jul AC]]-Financials20263[[#This Row],[Jul FC]]</f>
        <v>-15725</v>
      </c>
      <c r="BJ10" s="71">
        <f>Financials20263[[#This Row],[Aug AC]]-Financials20263[[#This Row],[Aug FC]]</f>
        <v>-15725</v>
      </c>
      <c r="BK10" s="71">
        <f>Financials20263[[#This Row],[Sep AC]]-Financials20263[[#This Row],[Sep FC]]</f>
        <v>-15725</v>
      </c>
      <c r="BL10" s="71">
        <f>Financials20263[[#This Row],[Oct AC]]-Financials20263[[#This Row],[Oct FC]]</f>
        <v>-15725</v>
      </c>
      <c r="BM10" s="71">
        <f>Financials20263[[#This Row],[Nov AC]]-Financials20263[[#This Row],[Nov FC]]</f>
        <v>-15725</v>
      </c>
      <c r="BN10" s="71">
        <f>Financials20263[[#This Row],[Dec AC]]-Financials20263[[#This Row],[Dec FC]]</f>
        <v>-15725</v>
      </c>
      <c r="BO10" s="71">
        <f>SUM(Financials20263[[#This Row],[Jan Opp/Risk]:[Dec Opp./Risk]])</f>
        <v>-130049.3</v>
      </c>
      <c r="BP10" s="88" t="s">
        <v>528</v>
      </c>
      <c r="BQ10" s="47">
        <f>SUM(Financials20263[[#This Row],[Jan AC]:[May AC]])</f>
        <v>55025.7</v>
      </c>
      <c r="BR10" s="6">
        <f>Financials20263[[#This Row],[2026 (Actuals + Forecast)]]-Financials20263[[#This Row],[Jan-May Actuals]]-Financials20263[[#This Row],[Jun-Dec FC]]</f>
        <v>0</v>
      </c>
      <c r="BS10" s="6">
        <f>Financials20263[[#This Row],[Jun-Dec FC]]+Financials20263[[#This Row],[Jan-May Forecast ]]</f>
        <v>110075</v>
      </c>
      <c r="BT10" s="6">
        <f>SUM(Financials20263[[#This Row],[Jan FC]:[May FC]])</f>
        <v>75000</v>
      </c>
      <c r="BU10" s="6">
        <f>Financials20263[[#This Row],[Jan-May Actuals]]+Financials20263[[#This Row],[Forecast Jun-Dec]]</f>
        <v>165100.70000000001</v>
      </c>
      <c r="BV10" s="6"/>
      <c r="BW10" s="6"/>
      <c r="BX10" s="6"/>
    </row>
    <row r="11" spans="1:76">
      <c r="A11" s="22" t="s">
        <v>473</v>
      </c>
      <c r="B11" s="21" t="s">
        <v>122</v>
      </c>
      <c r="C11" s="21"/>
      <c r="D11" s="10" t="s">
        <v>475</v>
      </c>
      <c r="E11" s="7" t="s">
        <v>476</v>
      </c>
      <c r="F11" s="3" t="s">
        <v>91</v>
      </c>
      <c r="G11" s="3" t="s">
        <v>21</v>
      </c>
      <c r="H11" s="4" t="s">
        <v>521</v>
      </c>
      <c r="I11" s="4" t="s">
        <v>521</v>
      </c>
      <c r="J11" s="3"/>
      <c r="K11" s="3" t="str">
        <f t="shared" si="0"/>
        <v>Prj000350-Support - Infrastructure for Tech</v>
      </c>
      <c r="L11" s="21" t="s">
        <v>478</v>
      </c>
      <c r="M11" s="21" t="s">
        <v>12</v>
      </c>
      <c r="N11" s="21" t="s">
        <v>12</v>
      </c>
      <c r="O11" s="21" t="s">
        <v>529</v>
      </c>
      <c r="P11" s="21" t="s">
        <v>479</v>
      </c>
      <c r="Q11" s="21" t="s">
        <v>526</v>
      </c>
      <c r="R11" s="21" t="s">
        <v>526</v>
      </c>
      <c r="S11" s="21" t="s">
        <v>504</v>
      </c>
      <c r="T11" s="5">
        <v>32767</v>
      </c>
      <c r="U11" s="15">
        <v>35314</v>
      </c>
      <c r="V11" s="15">
        <v>35314</v>
      </c>
      <c r="W11" s="15">
        <f t="shared" si="1"/>
        <v>35702.549999999996</v>
      </c>
      <c r="X11" s="15">
        <f t="shared" si="7"/>
        <v>0</v>
      </c>
      <c r="Y11" s="15">
        <f t="shared" si="2"/>
        <v>388.54999999999563</v>
      </c>
      <c r="Z11" s="15">
        <f>SUM(Financials20263[[#This Row],[2026 Opportunity]:[2026 Risk]])</f>
        <v>388.54999999999563</v>
      </c>
      <c r="AA11" s="3" t="s">
        <v>530</v>
      </c>
      <c r="AB11" s="52">
        <v>2943</v>
      </c>
      <c r="AC11" s="52">
        <v>2943</v>
      </c>
      <c r="AD11" s="52">
        <v>2943</v>
      </c>
      <c r="AE11" s="52">
        <v>2943</v>
      </c>
      <c r="AF11" s="52">
        <v>2943</v>
      </c>
      <c r="AG11" s="52">
        <v>2943</v>
      </c>
      <c r="AH11" s="52">
        <v>2943</v>
      </c>
      <c r="AI11" s="52">
        <v>2943</v>
      </c>
      <c r="AJ11" s="52">
        <v>2943</v>
      </c>
      <c r="AK11" s="52">
        <v>2943</v>
      </c>
      <c r="AL11" s="52">
        <v>2943</v>
      </c>
      <c r="AM11" s="52">
        <f>2943-2</f>
        <v>2941</v>
      </c>
      <c r="AN11" s="46">
        <f>SUM(Financials20263[[#This Row],[Jan FC]:[Dec FC]])</f>
        <v>35314</v>
      </c>
      <c r="AO11" s="15">
        <f t="shared" si="5"/>
        <v>20599</v>
      </c>
      <c r="AP11" s="61">
        <f>650+902.71+1250</f>
        <v>2802.71</v>
      </c>
      <c r="AQ11" s="61">
        <v>2802.71</v>
      </c>
      <c r="AR11" s="61">
        <v>2802.71</v>
      </c>
      <c r="AS11" s="61">
        <f>1300+1540+902.71</f>
        <v>3742.71</v>
      </c>
      <c r="AT11" s="61">
        <f>902.71+1300+750</f>
        <v>2952.71</v>
      </c>
      <c r="AU11" s="61">
        <f>1300+902.71+750</f>
        <v>2952.71</v>
      </c>
      <c r="AV11" s="61"/>
      <c r="AW11" s="61"/>
      <c r="AX11" s="61"/>
      <c r="AY11" s="61"/>
      <c r="AZ11" s="61"/>
      <c r="BA11" s="61"/>
      <c r="BB11" s="80">
        <f>SUM(Financials20263[[#This Row],[Jan AC]:[Dec AC]])</f>
        <v>18056.259999999998</v>
      </c>
      <c r="BC11" s="71">
        <f>Financials20263[[#This Row],[Jan AC]]-Financials20263[[#This Row],[Jan FC]]</f>
        <v>-140.28999999999996</v>
      </c>
      <c r="BD11" s="71">
        <f>Financials20263[[#This Row],[Feb AC]]-Financials20263[[#This Row],[Feb FC]]</f>
        <v>-140.28999999999996</v>
      </c>
      <c r="BE11" s="71">
        <f>Financials20263[[#This Row],[Mar AC]]-Financials20263[[#This Row],[Mar FC]]</f>
        <v>-140.28999999999996</v>
      </c>
      <c r="BF11" s="71">
        <f>Financials20263[[#This Row],[Apr AC]]-Financials20263[[#This Row],[Apr FC]]</f>
        <v>799.71</v>
      </c>
      <c r="BG11" s="71">
        <f>Financials20263[[#This Row],[May AC]]-Financials20263[[#This Row],[May FC]]</f>
        <v>9.7100000000000364</v>
      </c>
      <c r="BH11" s="71">
        <f>Financials20263[[#This Row],[Jun AC]]-Financials20263[[#This Row],[Jun FC]]</f>
        <v>9.7100000000000364</v>
      </c>
      <c r="BI11" s="71">
        <f>Financials20263[[#This Row],[Jul AC]]-Financials20263[[#This Row],[Jul FC]]</f>
        <v>-2943</v>
      </c>
      <c r="BJ11" s="71">
        <f>Financials20263[[#This Row],[Aug AC]]-Financials20263[[#This Row],[Aug FC]]</f>
        <v>-2943</v>
      </c>
      <c r="BK11" s="71">
        <f>Financials20263[[#This Row],[Sep AC]]-Financials20263[[#This Row],[Sep FC]]</f>
        <v>-2943</v>
      </c>
      <c r="BL11" s="71">
        <f>Financials20263[[#This Row],[Oct AC]]-Financials20263[[#This Row],[Oct FC]]</f>
        <v>-2943</v>
      </c>
      <c r="BM11" s="71">
        <f>Financials20263[[#This Row],[Nov AC]]-Financials20263[[#This Row],[Nov FC]]</f>
        <v>-2943</v>
      </c>
      <c r="BN11" s="71">
        <f>Financials20263[[#This Row],[Dec AC]]-Financials20263[[#This Row],[Dec FC]]</f>
        <v>-2941</v>
      </c>
      <c r="BO11" s="71">
        <f>SUM(Financials20263[[#This Row],[Jan Opp/Risk]:[Dec Opp./Risk]])</f>
        <v>-17257.739999999998</v>
      </c>
      <c r="BP11" s="87" t="s">
        <v>531</v>
      </c>
      <c r="BQ11" s="47">
        <f>SUM(Financials20263[[#This Row],[Jan AC]:[May AC]])</f>
        <v>15103.55</v>
      </c>
      <c r="BR11" s="6">
        <f>Financials20263[[#This Row],[2026 (Actuals + Forecast)]]-Financials20263[[#This Row],[Jan-May Actuals]]-Financials20263[[#This Row],[Jun-Dec FC]]</f>
        <v>0</v>
      </c>
      <c r="BS11" s="6">
        <f>Financials20263[[#This Row],[Jun-Dec FC]]+Financials20263[[#This Row],[Jan-May Forecast ]]</f>
        <v>20599</v>
      </c>
      <c r="BT11" s="6">
        <f>SUM(Financials20263[[#This Row],[Jan FC]:[May FC]])</f>
        <v>14715</v>
      </c>
      <c r="BU11" s="6">
        <f>Financials20263[[#This Row],[Jan-May Actuals]]+Financials20263[[#This Row],[Forecast Jun-Dec]]</f>
        <v>35702.550000000003</v>
      </c>
      <c r="BV11" s="6"/>
      <c r="BW11" s="6"/>
      <c r="BX11" s="6"/>
    </row>
    <row r="12" spans="1:76">
      <c r="A12" s="22" t="s">
        <v>473</v>
      </c>
      <c r="B12" s="21" t="s">
        <v>128</v>
      </c>
      <c r="C12" s="21" t="s">
        <v>532</v>
      </c>
      <c r="D12" s="10" t="s">
        <v>475</v>
      </c>
      <c r="E12" s="7" t="s">
        <v>476</v>
      </c>
      <c r="F12" s="3" t="s">
        <v>91</v>
      </c>
      <c r="G12" s="3" t="s">
        <v>21</v>
      </c>
      <c r="H12" s="4" t="s">
        <v>521</v>
      </c>
      <c r="I12" s="4" t="s">
        <v>521</v>
      </c>
      <c r="J12" s="3"/>
      <c r="K12" s="3" t="str">
        <f t="shared" si="0"/>
        <v>Prj000350-Support - Infrastructure for Tech</v>
      </c>
      <c r="L12" s="21" t="s">
        <v>478</v>
      </c>
      <c r="M12" s="21" t="s">
        <v>12</v>
      </c>
      <c r="N12" s="21" t="s">
        <v>12</v>
      </c>
      <c r="O12" s="21" t="s">
        <v>529</v>
      </c>
      <c r="P12" s="21" t="s">
        <v>479</v>
      </c>
      <c r="Q12" s="21" t="s">
        <v>526</v>
      </c>
      <c r="R12" s="21" t="s">
        <v>526</v>
      </c>
      <c r="S12" s="21" t="s">
        <v>504</v>
      </c>
      <c r="T12" s="5">
        <v>23746</v>
      </c>
      <c r="U12" s="15">
        <v>25439</v>
      </c>
      <c r="V12" s="15">
        <v>25439</v>
      </c>
      <c r="W12" s="15">
        <f t="shared" si="1"/>
        <v>24935.936666666668</v>
      </c>
      <c r="X12" s="15">
        <f t="shared" si="7"/>
        <v>-503.06333333333168</v>
      </c>
      <c r="Y12" s="15">
        <f t="shared" si="2"/>
        <v>0</v>
      </c>
      <c r="Z12" s="15">
        <f>SUM(Financials20263[[#This Row],[2026 Opportunity]:[2026 Risk]])</f>
        <v>-503.06333333333168</v>
      </c>
      <c r="AA12" s="3" t="s">
        <v>530</v>
      </c>
      <c r="AB12" s="52">
        <f>Financials20263[[#This Row],[2026 Final Budget]]/12</f>
        <v>2119.9166666666665</v>
      </c>
      <c r="AC12" s="52">
        <f>Financials20263[[#This Row],[2026 Final Budget]]/12</f>
        <v>2119.9166666666665</v>
      </c>
      <c r="AD12" s="52">
        <f>Financials20263[[#This Row],[2026 Final Budget]]/12</f>
        <v>2119.9166666666665</v>
      </c>
      <c r="AE12" s="52">
        <f>Financials20263[[#This Row],[2026 Final Budget]]/12</f>
        <v>2119.9166666666665</v>
      </c>
      <c r="AF12" s="52">
        <f>Financials20263[[#This Row],[2026 Final Budget]]/12</f>
        <v>2119.9166666666665</v>
      </c>
      <c r="AG12" s="52">
        <f>Financials20263[[#This Row],[2026 Final Budget]]/12</f>
        <v>2119.9166666666665</v>
      </c>
      <c r="AH12" s="52">
        <f>Financials20263[[#This Row],[2026 Final Budget]]/12</f>
        <v>2119.9166666666665</v>
      </c>
      <c r="AI12" s="52">
        <f>Financials20263[[#This Row],[2026 Final Budget]]/12</f>
        <v>2119.9166666666665</v>
      </c>
      <c r="AJ12" s="52">
        <f>Financials20263[[#This Row],[2026 Final Budget]]/12</f>
        <v>2119.9166666666665</v>
      </c>
      <c r="AK12" s="52">
        <f>Financials20263[[#This Row],[2026 Final Budget]]/12</f>
        <v>2119.9166666666665</v>
      </c>
      <c r="AL12" s="52">
        <f>Financials20263[[#This Row],[2026 Final Budget]]/12</f>
        <v>2119.9166666666665</v>
      </c>
      <c r="AM12" s="52">
        <f>Financials20263[[#This Row],[2026 Final Budget]]/12</f>
        <v>2119.9166666666665</v>
      </c>
      <c r="AN12" s="52">
        <f>SUM(Financials20263[[#This Row],[Jan FC]:[Dec FC]])</f>
        <v>25439.000000000004</v>
      </c>
      <c r="AO12" s="15">
        <f t="shared" si="5"/>
        <v>14839.416666666664</v>
      </c>
      <c r="AP12" s="61">
        <v>2019.14</v>
      </c>
      <c r="AQ12" s="61">
        <v>2019.24</v>
      </c>
      <c r="AR12" s="61">
        <v>2019.24</v>
      </c>
      <c r="AS12" s="61">
        <v>2019.45</v>
      </c>
      <c r="AT12" s="61">
        <v>2019.45</v>
      </c>
      <c r="AU12" s="61">
        <v>2019.45</v>
      </c>
      <c r="AV12" s="61"/>
      <c r="AW12" s="61"/>
      <c r="AX12" s="61"/>
      <c r="AY12" s="61"/>
      <c r="AZ12" s="61"/>
      <c r="BA12" s="61"/>
      <c r="BB12" s="80">
        <f>SUM(Financials20263[[#This Row],[Jan AC]:[Dec AC]])</f>
        <v>12115.970000000001</v>
      </c>
      <c r="BC12" s="71">
        <f>Financials20263[[#This Row],[Jan AC]]-Financials20263[[#This Row],[Jan FC]]</f>
        <v>-100.77666666666642</v>
      </c>
      <c r="BD12" s="71">
        <f>Financials20263[[#This Row],[Feb AC]]-Financials20263[[#This Row],[Feb FC]]</f>
        <v>-100.67666666666651</v>
      </c>
      <c r="BE12" s="71">
        <f>Financials20263[[#This Row],[Mar AC]]-Financials20263[[#This Row],[Mar FC]]</f>
        <v>-100.67666666666651</v>
      </c>
      <c r="BF12" s="71">
        <f>Financials20263[[#This Row],[Apr AC]]-Financials20263[[#This Row],[Apr FC]]</f>
        <v>-100.46666666666647</v>
      </c>
      <c r="BG12" s="71">
        <f>Financials20263[[#This Row],[May AC]]-Financials20263[[#This Row],[May FC]]</f>
        <v>-100.46666666666647</v>
      </c>
      <c r="BH12" s="71">
        <f>Financials20263[[#This Row],[Jun AC]]-Financials20263[[#This Row],[Jun FC]]</f>
        <v>-100.46666666666647</v>
      </c>
      <c r="BI12" s="71">
        <f>Financials20263[[#This Row],[Jul AC]]-Financials20263[[#This Row],[Jul FC]]</f>
        <v>-2119.9166666666665</v>
      </c>
      <c r="BJ12" s="71">
        <f>Financials20263[[#This Row],[Aug AC]]-Financials20263[[#This Row],[Aug FC]]</f>
        <v>-2119.9166666666665</v>
      </c>
      <c r="BK12" s="71">
        <f>Financials20263[[#This Row],[Sep AC]]-Financials20263[[#This Row],[Sep FC]]</f>
        <v>-2119.9166666666665</v>
      </c>
      <c r="BL12" s="71">
        <f>Financials20263[[#This Row],[Oct AC]]-Financials20263[[#This Row],[Oct FC]]</f>
        <v>-2119.9166666666665</v>
      </c>
      <c r="BM12" s="71">
        <f>Financials20263[[#This Row],[Nov AC]]-Financials20263[[#This Row],[Nov FC]]</f>
        <v>-2119.9166666666665</v>
      </c>
      <c r="BN12" s="71">
        <f>Financials20263[[#This Row],[Dec AC]]-Financials20263[[#This Row],[Dec FC]]</f>
        <v>-2119.9166666666665</v>
      </c>
      <c r="BO12" s="71">
        <f>SUM(Financials20263[[#This Row],[Jan Opp/Risk]:[Dec Opp./Risk]])</f>
        <v>-13323.029999999997</v>
      </c>
      <c r="BP12" s="87" t="s">
        <v>531</v>
      </c>
      <c r="BQ12" s="47">
        <f>SUM(Financials20263[[#This Row],[Jan AC]:[May AC]])</f>
        <v>10096.52</v>
      </c>
      <c r="BR12" s="6">
        <f>Financials20263[[#This Row],[2026 (Actuals + Forecast)]]-Financials20263[[#This Row],[Jan-May Actuals]]-Financials20263[[#This Row],[Jun-Dec FC]]</f>
        <v>0</v>
      </c>
      <c r="BS12" s="6">
        <f>Financials20263[[#This Row],[Jun-Dec FC]]+Financials20263[[#This Row],[Jan-May Forecast ]]</f>
        <v>14839.416666666664</v>
      </c>
      <c r="BT12" s="6">
        <f>SUM(Financials20263[[#This Row],[Jan FC]:[May FC]])</f>
        <v>10599.583333333332</v>
      </c>
      <c r="BU12" s="6">
        <f>Financials20263[[#This Row],[Jan-May Actuals]]+Financials20263[[#This Row],[Forecast Jun-Dec]]</f>
        <v>24935.936666666665</v>
      </c>
      <c r="BV12" s="6"/>
      <c r="BW12" s="6"/>
      <c r="BX12" s="6"/>
    </row>
    <row r="13" spans="1:76">
      <c r="A13" s="22" t="s">
        <v>473</v>
      </c>
      <c r="B13" s="21" t="s">
        <v>111</v>
      </c>
      <c r="C13" s="21"/>
      <c r="D13" s="10" t="s">
        <v>475</v>
      </c>
      <c r="E13" s="7" t="s">
        <v>476</v>
      </c>
      <c r="F13" s="3" t="s">
        <v>91</v>
      </c>
      <c r="G13" s="3" t="s">
        <v>21</v>
      </c>
      <c r="H13" s="4">
        <v>45658</v>
      </c>
      <c r="I13" s="4">
        <v>46022</v>
      </c>
      <c r="J13" s="3"/>
      <c r="K13" s="3" t="str">
        <f t="shared" si="0"/>
        <v>Prj000350-Support - Infrastructure for Tech</v>
      </c>
      <c r="L13" s="21" t="s">
        <v>478</v>
      </c>
      <c r="M13" s="21" t="s">
        <v>12</v>
      </c>
      <c r="N13" s="21" t="s">
        <v>12</v>
      </c>
      <c r="O13" s="21" t="s">
        <v>533</v>
      </c>
      <c r="P13" s="21" t="s">
        <v>534</v>
      </c>
      <c r="Q13" s="21" t="s">
        <v>535</v>
      </c>
      <c r="R13" s="21" t="s">
        <v>536</v>
      </c>
      <c r="S13" s="21" t="s">
        <v>537</v>
      </c>
      <c r="T13" s="5">
        <v>2726</v>
      </c>
      <c r="U13" s="15">
        <v>2863</v>
      </c>
      <c r="V13" s="15">
        <v>2863</v>
      </c>
      <c r="W13" s="15">
        <f t="shared" si="1"/>
        <v>2863</v>
      </c>
      <c r="X13" s="15">
        <f t="shared" si="7"/>
        <v>0</v>
      </c>
      <c r="Y13" s="15">
        <f t="shared" si="2"/>
        <v>0</v>
      </c>
      <c r="Z13" s="15">
        <f>SUM(Financials20263[[#This Row],[2026 Opportunity]:[2026 Risk]])</f>
        <v>0</v>
      </c>
      <c r="AA13" s="3"/>
      <c r="AB13" s="52"/>
      <c r="AC13" s="52"/>
      <c r="AD13" s="52">
        <v>715.75</v>
      </c>
      <c r="AE13" s="52"/>
      <c r="AF13" s="52"/>
      <c r="AG13" s="52">
        <v>715.75</v>
      </c>
      <c r="AH13" s="52"/>
      <c r="AI13" s="52"/>
      <c r="AJ13" s="52">
        <v>715.75</v>
      </c>
      <c r="AK13" s="52"/>
      <c r="AL13" s="52"/>
      <c r="AM13" s="52">
        <v>715.75</v>
      </c>
      <c r="AN13" s="52">
        <f>SUM(Financials20263[[#This Row],[Jan FC]:[Dec FC]])</f>
        <v>2863</v>
      </c>
      <c r="AO13" s="15">
        <f t="shared" si="5"/>
        <v>2147.25</v>
      </c>
      <c r="AP13" s="61"/>
      <c r="AQ13" s="61"/>
      <c r="AR13" s="61"/>
      <c r="AS13" s="61"/>
      <c r="AT13" s="61"/>
      <c r="AU13" s="61"/>
      <c r="AV13" s="61"/>
      <c r="AW13" s="61"/>
      <c r="AX13" s="61"/>
      <c r="AY13" s="61"/>
      <c r="AZ13" s="61"/>
      <c r="BA13" s="61"/>
      <c r="BB13" s="80">
        <f>SUM(Financials20263[[#This Row],[Jan AC]:[Dec AC]])</f>
        <v>0</v>
      </c>
      <c r="BC13" s="71">
        <f>Financials20263[[#This Row],[Jan AC]]-Financials20263[[#This Row],[Jan FC]]</f>
        <v>0</v>
      </c>
      <c r="BD13" s="71">
        <f>Financials20263[[#This Row],[Feb AC]]-Financials20263[[#This Row],[Feb FC]]</f>
        <v>0</v>
      </c>
      <c r="BE13" s="71">
        <f>Financials20263[[#This Row],[Mar AC]]-Financials20263[[#This Row],[Mar FC]]</f>
        <v>-715.75</v>
      </c>
      <c r="BF13" s="71">
        <f>Financials20263[[#This Row],[Apr AC]]-Financials20263[[#This Row],[Apr FC]]</f>
        <v>0</v>
      </c>
      <c r="BG13" s="71">
        <f>Financials20263[[#This Row],[May AC]]-Financials20263[[#This Row],[May FC]]</f>
        <v>0</v>
      </c>
      <c r="BH13" s="71">
        <f>Financials20263[[#This Row],[Jun AC]]-Financials20263[[#This Row],[Jun FC]]</f>
        <v>-715.75</v>
      </c>
      <c r="BI13" s="71">
        <f>Financials20263[[#This Row],[Jul AC]]-Financials20263[[#This Row],[Jul FC]]</f>
        <v>0</v>
      </c>
      <c r="BJ13" s="71">
        <f>Financials20263[[#This Row],[Aug AC]]-Financials20263[[#This Row],[Aug FC]]</f>
        <v>0</v>
      </c>
      <c r="BK13" s="71">
        <f>Financials20263[[#This Row],[Sep AC]]-Financials20263[[#This Row],[Sep FC]]</f>
        <v>-715.75</v>
      </c>
      <c r="BL13" s="71">
        <f>Financials20263[[#This Row],[Oct AC]]-Financials20263[[#This Row],[Oct FC]]</f>
        <v>0</v>
      </c>
      <c r="BM13" s="71">
        <f>Financials20263[[#This Row],[Nov AC]]-Financials20263[[#This Row],[Nov FC]]</f>
        <v>0</v>
      </c>
      <c r="BN13" s="71">
        <f>Financials20263[[#This Row],[Dec AC]]-Financials20263[[#This Row],[Dec FC]]</f>
        <v>-715.75</v>
      </c>
      <c r="BO13" s="71">
        <f>SUM(Financials20263[[#This Row],[Jan Opp/Risk]:[Dec Opp./Risk]])</f>
        <v>-2863</v>
      </c>
      <c r="BP13" s="88"/>
      <c r="BQ13" s="47">
        <f>SUM(Financials20263[[#This Row],[Jan AC]:[May AC]])</f>
        <v>0</v>
      </c>
      <c r="BR13" s="6">
        <f>Financials20263[[#This Row],[2026 (Actuals + Forecast)]]-Financials20263[[#This Row],[Jan-May Actuals]]-Financials20263[[#This Row],[Jun-Dec FC]]</f>
        <v>715.75</v>
      </c>
      <c r="BS13" s="6">
        <f>Financials20263[[#This Row],[Jun-Dec FC]]+Financials20263[[#This Row],[Jan-May Forecast ]]</f>
        <v>2863</v>
      </c>
      <c r="BT13" s="6">
        <f>SUM(Financials20263[[#This Row],[Jan FC]:[May FC]])</f>
        <v>715.75</v>
      </c>
      <c r="BU13" s="6">
        <f>Financials20263[[#This Row],[Jan-May Actuals]]+Financials20263[[#This Row],[Forecast Jun-Dec]]</f>
        <v>2863</v>
      </c>
      <c r="BV13" s="6"/>
      <c r="BW13" s="6"/>
      <c r="BX13" s="6"/>
    </row>
    <row r="14" spans="1:76">
      <c r="A14" s="22" t="s">
        <v>473</v>
      </c>
      <c r="B14" s="21" t="s">
        <v>148</v>
      </c>
      <c r="C14" s="21"/>
      <c r="D14" s="10" t="s">
        <v>475</v>
      </c>
      <c r="E14" s="7" t="s">
        <v>476</v>
      </c>
      <c r="F14" s="3" t="s">
        <v>91</v>
      </c>
      <c r="G14" s="3" t="s">
        <v>21</v>
      </c>
      <c r="H14" s="4">
        <v>45947</v>
      </c>
      <c r="I14" s="4">
        <v>46311</v>
      </c>
      <c r="J14" s="3" t="s">
        <v>538</v>
      </c>
      <c r="K14" s="3" t="str">
        <f t="shared" si="0"/>
        <v>Prj000350-Support - Infrastructure for Tech</v>
      </c>
      <c r="L14" s="21" t="s">
        <v>478</v>
      </c>
      <c r="M14" s="21" t="s">
        <v>12</v>
      </c>
      <c r="N14" s="21" t="s">
        <v>12</v>
      </c>
      <c r="O14" s="21"/>
      <c r="P14" s="21" t="s">
        <v>534</v>
      </c>
      <c r="Q14" s="21" t="s">
        <v>535</v>
      </c>
      <c r="R14" s="21" t="s">
        <v>536</v>
      </c>
      <c r="S14" s="21" t="s">
        <v>508</v>
      </c>
      <c r="T14" s="5">
        <v>14686</v>
      </c>
      <c r="U14" s="15">
        <v>15750</v>
      </c>
      <c r="V14" s="15">
        <v>15750</v>
      </c>
      <c r="W14" s="15">
        <f t="shared" si="1"/>
        <v>15750</v>
      </c>
      <c r="X14" s="15">
        <f t="shared" si="7"/>
        <v>0</v>
      </c>
      <c r="Y14" s="15">
        <f t="shared" si="2"/>
        <v>0</v>
      </c>
      <c r="Z14" s="15">
        <f>SUM(Financials20263[[#This Row],[2026 Opportunity]:[2026 Risk]])</f>
        <v>0</v>
      </c>
      <c r="AA14" s="3" t="s">
        <v>539</v>
      </c>
      <c r="AB14" s="52"/>
      <c r="AC14" s="52"/>
      <c r="AD14" s="52"/>
      <c r="AE14" s="52"/>
      <c r="AF14" s="52"/>
      <c r="AG14" s="52"/>
      <c r="AH14" s="52"/>
      <c r="AI14" s="52"/>
      <c r="AJ14" s="52"/>
      <c r="AK14" s="52">
        <v>15750</v>
      </c>
      <c r="AL14" s="52"/>
      <c r="AM14" s="52"/>
      <c r="AN14" s="52">
        <f>SUM(Financials20263[[#This Row],[Jan FC]:[Dec FC]])</f>
        <v>15750</v>
      </c>
      <c r="AO14" s="15">
        <f t="shared" si="5"/>
        <v>15750</v>
      </c>
      <c r="AP14" s="61"/>
      <c r="AQ14" s="61"/>
      <c r="AR14" s="61"/>
      <c r="AS14" s="61"/>
      <c r="AT14" s="61"/>
      <c r="AU14" s="61"/>
      <c r="AV14" s="61"/>
      <c r="AW14" s="61"/>
      <c r="AX14" s="61"/>
      <c r="AY14" s="61"/>
      <c r="AZ14" s="61"/>
      <c r="BA14" s="61"/>
      <c r="BB14" s="80">
        <f>SUM(Financials20263[[#This Row],[Jan AC]:[Dec AC]])</f>
        <v>0</v>
      </c>
      <c r="BC14" s="71">
        <f>Financials20263[[#This Row],[Jan AC]]-Financials20263[[#This Row],[Jan FC]]</f>
        <v>0</v>
      </c>
      <c r="BD14" s="71">
        <f>Financials20263[[#This Row],[Feb AC]]-Financials20263[[#This Row],[Feb FC]]</f>
        <v>0</v>
      </c>
      <c r="BE14" s="71">
        <f>Financials20263[[#This Row],[Mar AC]]-Financials20263[[#This Row],[Mar FC]]</f>
        <v>0</v>
      </c>
      <c r="BF14" s="71">
        <f>Financials20263[[#This Row],[Apr AC]]-Financials20263[[#This Row],[Apr FC]]</f>
        <v>0</v>
      </c>
      <c r="BG14" s="71">
        <f>Financials20263[[#This Row],[May AC]]-Financials20263[[#This Row],[May FC]]</f>
        <v>0</v>
      </c>
      <c r="BH14" s="71">
        <f>Financials20263[[#This Row],[Jun AC]]-Financials20263[[#This Row],[Jun FC]]</f>
        <v>0</v>
      </c>
      <c r="BI14" s="71">
        <f>Financials20263[[#This Row],[Jul AC]]-Financials20263[[#This Row],[Jul FC]]</f>
        <v>0</v>
      </c>
      <c r="BJ14" s="71">
        <f>Financials20263[[#This Row],[Aug AC]]-Financials20263[[#This Row],[Aug FC]]</f>
        <v>0</v>
      </c>
      <c r="BK14" s="71">
        <f>Financials20263[[#This Row],[Sep AC]]-Financials20263[[#This Row],[Sep FC]]</f>
        <v>0</v>
      </c>
      <c r="BL14" s="71">
        <f>Financials20263[[#This Row],[Oct AC]]-Financials20263[[#This Row],[Oct FC]]</f>
        <v>-15750</v>
      </c>
      <c r="BM14" s="71">
        <f>Financials20263[[#This Row],[Nov AC]]-Financials20263[[#This Row],[Nov FC]]</f>
        <v>0</v>
      </c>
      <c r="BN14" s="71">
        <f>Financials20263[[#This Row],[Dec AC]]-Financials20263[[#This Row],[Dec FC]]</f>
        <v>0</v>
      </c>
      <c r="BO14" s="71">
        <f>SUM(Financials20263[[#This Row],[Jan Opp/Risk]:[Dec Opp./Risk]])</f>
        <v>-15750</v>
      </c>
      <c r="BP14" s="88"/>
      <c r="BQ14" s="47">
        <f>SUM(Financials20263[[#This Row],[Jan AC]:[May AC]])</f>
        <v>0</v>
      </c>
      <c r="BR14" s="6">
        <f>Financials20263[[#This Row],[2026 (Actuals + Forecast)]]-Financials20263[[#This Row],[Jan-May Actuals]]-Financials20263[[#This Row],[Jun-Dec FC]]</f>
        <v>0</v>
      </c>
      <c r="BS14" s="6">
        <f>Financials20263[[#This Row],[Jun-Dec FC]]+Financials20263[[#This Row],[Jan-May Forecast ]]</f>
        <v>15750</v>
      </c>
      <c r="BT14" s="6">
        <f>SUM(Financials20263[[#This Row],[Jan FC]:[May FC]])</f>
        <v>0</v>
      </c>
      <c r="BU14" s="6">
        <f>Financials20263[[#This Row],[Jan-May Actuals]]+Financials20263[[#This Row],[Forecast Jun-Dec]]</f>
        <v>15750</v>
      </c>
      <c r="BV14" s="6"/>
      <c r="BW14" s="6"/>
      <c r="BX14" s="6"/>
    </row>
    <row r="15" spans="1:76">
      <c r="A15" s="22" t="s">
        <v>540</v>
      </c>
      <c r="B15" s="21" t="s">
        <v>137</v>
      </c>
      <c r="C15" s="21"/>
      <c r="D15" s="10" t="s">
        <v>475</v>
      </c>
      <c r="E15" s="7" t="s">
        <v>476</v>
      </c>
      <c r="F15" s="3" t="s">
        <v>91</v>
      </c>
      <c r="G15" s="3" t="s">
        <v>21</v>
      </c>
      <c r="H15" s="4" t="s">
        <v>489</v>
      </c>
      <c r="I15" s="4" t="s">
        <v>489</v>
      </c>
      <c r="J15" s="3"/>
      <c r="K15" s="3" t="str">
        <f t="shared" si="0"/>
        <v>Prj000350-Support - Infrastructure for Tech</v>
      </c>
      <c r="L15" s="21" t="s">
        <v>478</v>
      </c>
      <c r="M15" s="21" t="s">
        <v>12</v>
      </c>
      <c r="N15" s="21" t="s">
        <v>12</v>
      </c>
      <c r="O15" s="21"/>
      <c r="P15" s="21" t="s">
        <v>534</v>
      </c>
      <c r="Q15" s="21" t="s">
        <v>535</v>
      </c>
      <c r="R15" s="21" t="s">
        <v>536</v>
      </c>
      <c r="S15" s="21" t="s">
        <v>511</v>
      </c>
      <c r="T15" s="5">
        <v>0</v>
      </c>
      <c r="U15" s="15">
        <v>52500</v>
      </c>
      <c r="V15" s="15">
        <v>52500</v>
      </c>
      <c r="W15" s="15">
        <f t="shared" si="1"/>
        <v>52500</v>
      </c>
      <c r="X15" s="15">
        <f t="shared" si="7"/>
        <v>0</v>
      </c>
      <c r="Y15" s="15">
        <f t="shared" si="2"/>
        <v>0</v>
      </c>
      <c r="Z15" s="15">
        <f>SUM(Financials20263[[#This Row],[2026 Opportunity]:[2026 Risk]])</f>
        <v>0</v>
      </c>
      <c r="AA15" s="3" t="s">
        <v>47</v>
      </c>
      <c r="AB15" s="52"/>
      <c r="AC15" s="52"/>
      <c r="AD15" s="52"/>
      <c r="AE15" s="52"/>
      <c r="AF15" s="52"/>
      <c r="AG15" s="52"/>
      <c r="AH15" s="52"/>
      <c r="AI15" s="52"/>
      <c r="AJ15" s="52"/>
      <c r="AK15" s="52"/>
      <c r="AL15" s="52"/>
      <c r="AM15" s="52">
        <v>52500</v>
      </c>
      <c r="AN15" s="52">
        <f>SUM(Financials20263[[#This Row],[Jan FC]:[Dec FC]])</f>
        <v>52500</v>
      </c>
      <c r="AO15" s="15">
        <f t="shared" si="5"/>
        <v>52500</v>
      </c>
      <c r="AP15" s="61"/>
      <c r="AQ15" s="61"/>
      <c r="AR15" s="61"/>
      <c r="AS15" s="61"/>
      <c r="AT15" s="61"/>
      <c r="AU15" s="61"/>
      <c r="AV15" s="61"/>
      <c r="AW15" s="61"/>
      <c r="AX15" s="61"/>
      <c r="AY15" s="61"/>
      <c r="AZ15" s="61"/>
      <c r="BA15" s="61"/>
      <c r="BB15" s="80">
        <f>SUM(Financials20263[[#This Row],[Jan AC]:[Dec AC]])</f>
        <v>0</v>
      </c>
      <c r="BC15" s="71">
        <f>Financials20263[[#This Row],[Jan AC]]-Financials20263[[#This Row],[Jan FC]]</f>
        <v>0</v>
      </c>
      <c r="BD15" s="71">
        <f>Financials20263[[#This Row],[Feb AC]]-Financials20263[[#This Row],[Feb FC]]</f>
        <v>0</v>
      </c>
      <c r="BE15" s="71">
        <f>Financials20263[[#This Row],[Mar AC]]-Financials20263[[#This Row],[Mar FC]]</f>
        <v>0</v>
      </c>
      <c r="BF15" s="71">
        <f>Financials20263[[#This Row],[Apr AC]]-Financials20263[[#This Row],[Apr FC]]</f>
        <v>0</v>
      </c>
      <c r="BG15" s="71">
        <f>Financials20263[[#This Row],[May AC]]-Financials20263[[#This Row],[May FC]]</f>
        <v>0</v>
      </c>
      <c r="BH15" s="71">
        <f>Financials20263[[#This Row],[Jun AC]]-Financials20263[[#This Row],[Jun FC]]</f>
        <v>0</v>
      </c>
      <c r="BI15" s="71">
        <f>Financials20263[[#This Row],[Jul AC]]-Financials20263[[#This Row],[Jul FC]]</f>
        <v>0</v>
      </c>
      <c r="BJ15" s="71">
        <f>Financials20263[[#This Row],[Aug AC]]-Financials20263[[#This Row],[Aug FC]]</f>
        <v>0</v>
      </c>
      <c r="BK15" s="71">
        <f>Financials20263[[#This Row],[Sep AC]]-Financials20263[[#This Row],[Sep FC]]</f>
        <v>0</v>
      </c>
      <c r="BL15" s="71">
        <f>Financials20263[[#This Row],[Oct AC]]-Financials20263[[#This Row],[Oct FC]]</f>
        <v>0</v>
      </c>
      <c r="BM15" s="71">
        <f>Financials20263[[#This Row],[Nov AC]]-Financials20263[[#This Row],[Nov FC]]</f>
        <v>0</v>
      </c>
      <c r="BN15" s="71">
        <f>Financials20263[[#This Row],[Dec AC]]-Financials20263[[#This Row],[Dec FC]]</f>
        <v>-52500</v>
      </c>
      <c r="BO15" s="71">
        <f>SUM(Financials20263[[#This Row],[Jan Opp/Risk]:[Dec Opp./Risk]])</f>
        <v>-52500</v>
      </c>
      <c r="BP15" s="88"/>
      <c r="BQ15" s="47">
        <f>SUM(Financials20263[[#This Row],[Jan AC]:[May AC]])</f>
        <v>0</v>
      </c>
      <c r="BR15" s="6">
        <f>Financials20263[[#This Row],[2026 (Actuals + Forecast)]]-Financials20263[[#This Row],[Jan-May Actuals]]-Financials20263[[#This Row],[Jun-Dec FC]]</f>
        <v>0</v>
      </c>
      <c r="BS15" s="6">
        <f>Financials20263[[#This Row],[Jun-Dec FC]]+Financials20263[[#This Row],[Jan-May Forecast ]]</f>
        <v>52500</v>
      </c>
      <c r="BT15" s="6">
        <f>SUM(Financials20263[[#This Row],[Jan FC]:[May FC]])</f>
        <v>0</v>
      </c>
      <c r="BU15" s="6">
        <f>Financials20263[[#This Row],[Jan-May Actuals]]+Financials20263[[#This Row],[Forecast Jun-Dec]]</f>
        <v>52500</v>
      </c>
      <c r="BV15" s="6"/>
      <c r="BW15" s="6"/>
      <c r="BX15" s="6"/>
    </row>
    <row r="16" spans="1:76">
      <c r="A16" s="22" t="s">
        <v>473</v>
      </c>
      <c r="B16" s="21" t="s">
        <v>238</v>
      </c>
      <c r="C16" s="21"/>
      <c r="D16" s="10" t="s">
        <v>541</v>
      </c>
      <c r="E16" s="7" t="s">
        <v>542</v>
      </c>
      <c r="F16" s="3" t="s">
        <v>543</v>
      </c>
      <c r="G16" s="3" t="s">
        <v>22</v>
      </c>
      <c r="H16" s="4" t="s">
        <v>521</v>
      </c>
      <c r="I16" s="4" t="s">
        <v>521</v>
      </c>
      <c r="J16" s="3"/>
      <c r="K16" s="3" t="str">
        <f t="shared" si="0"/>
        <v>Prj000381-Support - Prod Support for Credit Apps</v>
      </c>
      <c r="L16" s="21" t="s">
        <v>478</v>
      </c>
      <c r="M16" s="21" t="s">
        <v>15</v>
      </c>
      <c r="N16" s="21" t="s">
        <v>15</v>
      </c>
      <c r="O16" s="21" t="s">
        <v>544</v>
      </c>
      <c r="P16" s="21" t="s">
        <v>545</v>
      </c>
      <c r="Q16" s="21" t="s">
        <v>545</v>
      </c>
      <c r="R16" s="21" t="s">
        <v>546</v>
      </c>
      <c r="S16" s="21" t="s">
        <v>504</v>
      </c>
      <c r="T16" s="5">
        <v>13064.939999999999</v>
      </c>
      <c r="U16" s="15">
        <v>14886</v>
      </c>
      <c r="V16" s="15">
        <v>14886</v>
      </c>
      <c r="W16" s="15">
        <f t="shared" si="1"/>
        <v>13065.06</v>
      </c>
      <c r="X16" s="15">
        <f t="shared" si="7"/>
        <v>-1820.9400000000005</v>
      </c>
      <c r="Y16" s="15">
        <f t="shared" si="2"/>
        <v>0</v>
      </c>
      <c r="Z16" s="15">
        <f>SUM(Financials20263[[#This Row],[2026 Opportunity]:[2026 Risk]])</f>
        <v>-1820.9400000000005</v>
      </c>
      <c r="AA16" s="3" t="s">
        <v>547</v>
      </c>
      <c r="AB16" s="52">
        <v>1088.76</v>
      </c>
      <c r="AC16" s="52">
        <v>1088.76</v>
      </c>
      <c r="AD16" s="52">
        <v>1088.76</v>
      </c>
      <c r="AE16" s="52">
        <v>1088.76</v>
      </c>
      <c r="AF16" s="52">
        <v>1088.76</v>
      </c>
      <c r="AG16" s="52">
        <v>1088.76</v>
      </c>
      <c r="AH16" s="52">
        <v>1088.76</v>
      </c>
      <c r="AI16" s="52">
        <v>1088.76</v>
      </c>
      <c r="AJ16" s="52">
        <v>1088.76</v>
      </c>
      <c r="AK16" s="52">
        <v>1088.76</v>
      </c>
      <c r="AL16" s="52">
        <v>1088.76</v>
      </c>
      <c r="AM16" s="52">
        <v>1088.76</v>
      </c>
      <c r="AN16" s="46">
        <f>SUM(Financials20263[[#This Row],[Jan FC]:[Dec FC]])</f>
        <v>13065.12</v>
      </c>
      <c r="AO16" s="15">
        <f t="shared" si="5"/>
        <v>7621.3200000000006</v>
      </c>
      <c r="AP16" s="61">
        <v>1088.76</v>
      </c>
      <c r="AQ16" s="61">
        <v>1088.74</v>
      </c>
      <c r="AR16" s="61">
        <v>1088.76</v>
      </c>
      <c r="AS16" s="61">
        <v>1088.74</v>
      </c>
      <c r="AT16" s="61">
        <v>1088.74</v>
      </c>
      <c r="AU16" s="61"/>
      <c r="AV16" s="61"/>
      <c r="AW16" s="61"/>
      <c r="AX16" s="61"/>
      <c r="AY16" s="61"/>
      <c r="AZ16" s="61"/>
      <c r="BA16" s="61"/>
      <c r="BB16" s="80">
        <f>SUM(Financials20263[[#This Row],[Jan AC]:[Dec AC]])</f>
        <v>5443.74</v>
      </c>
      <c r="BC16" s="71">
        <f>Financials20263[[#This Row],[Jan AC]]-Financials20263[[#This Row],[Jan FC]]</f>
        <v>0</v>
      </c>
      <c r="BD16" s="71">
        <f>Financials20263[[#This Row],[Feb AC]]-Financials20263[[#This Row],[Feb FC]]</f>
        <v>-1.999999999998181E-2</v>
      </c>
      <c r="BE16" s="71">
        <f>Financials20263[[#This Row],[Mar AC]]-Financials20263[[#This Row],[Mar FC]]</f>
        <v>0</v>
      </c>
      <c r="BF16" s="71">
        <f>Financials20263[[#This Row],[Apr AC]]-Financials20263[[#This Row],[Apr FC]]</f>
        <v>-1.999999999998181E-2</v>
      </c>
      <c r="BG16" s="71">
        <f>Financials20263[[#This Row],[May AC]]-Financials20263[[#This Row],[May FC]]</f>
        <v>-1.999999999998181E-2</v>
      </c>
      <c r="BH16" s="71">
        <f>Financials20263[[#This Row],[Jun AC]]-Financials20263[[#This Row],[Jun FC]]</f>
        <v>-1088.76</v>
      </c>
      <c r="BI16" s="71">
        <f>Financials20263[[#This Row],[Jul AC]]-Financials20263[[#This Row],[Jul FC]]</f>
        <v>-1088.76</v>
      </c>
      <c r="BJ16" s="71">
        <f>Financials20263[[#This Row],[Aug AC]]-Financials20263[[#This Row],[Aug FC]]</f>
        <v>-1088.76</v>
      </c>
      <c r="BK16" s="71">
        <f>Financials20263[[#This Row],[Sep AC]]-Financials20263[[#This Row],[Sep FC]]</f>
        <v>-1088.76</v>
      </c>
      <c r="BL16" s="71">
        <f>Financials20263[[#This Row],[Oct AC]]-Financials20263[[#This Row],[Oct FC]]</f>
        <v>-1088.76</v>
      </c>
      <c r="BM16" s="71">
        <f>Financials20263[[#This Row],[Nov AC]]-Financials20263[[#This Row],[Nov FC]]</f>
        <v>-1088.76</v>
      </c>
      <c r="BN16" s="71">
        <f>Financials20263[[#This Row],[Dec AC]]-Financials20263[[#This Row],[Dec FC]]</f>
        <v>-1088.76</v>
      </c>
      <c r="BO16" s="71">
        <f>SUM(Financials20263[[#This Row],[Jan Opp/Risk]:[Dec Opp./Risk]])</f>
        <v>-7621.380000000001</v>
      </c>
      <c r="BP16" s="87" t="s">
        <v>531</v>
      </c>
      <c r="BQ16" s="47">
        <f>SUM(Financials20263[[#This Row],[Jan AC]:[May AC]])</f>
        <v>5443.74</v>
      </c>
      <c r="BR16" s="6">
        <f>Financials20263[[#This Row],[2026 (Actuals + Forecast)]]-Financials20263[[#This Row],[Jan-May Actuals]]-Financials20263[[#This Row],[Jun-Dec FC]]</f>
        <v>0</v>
      </c>
      <c r="BS16" s="6">
        <f>Financials20263[[#This Row],[Jun-Dec FC]]+Financials20263[[#This Row],[Jan-May Forecast ]]</f>
        <v>7621.3200000000006</v>
      </c>
      <c r="BT16" s="6">
        <f>SUM(Financials20263[[#This Row],[Jan FC]:[May FC]])</f>
        <v>5443.8</v>
      </c>
      <c r="BU16" s="6">
        <f>Financials20263[[#This Row],[Jan-May Actuals]]+Financials20263[[#This Row],[Forecast Jun-Dec]]</f>
        <v>13065.060000000001</v>
      </c>
      <c r="BV16" s="6"/>
      <c r="BW16" s="6"/>
      <c r="BX16" s="6"/>
    </row>
    <row r="17" spans="1:76">
      <c r="A17" s="22" t="s">
        <v>473</v>
      </c>
      <c r="B17" s="21" t="s">
        <v>256</v>
      </c>
      <c r="C17" s="21"/>
      <c r="D17" s="10" t="s">
        <v>548</v>
      </c>
      <c r="E17" s="7" t="s">
        <v>549</v>
      </c>
      <c r="F17" s="3" t="s">
        <v>69</v>
      </c>
      <c r="G17" s="3" t="s">
        <v>23</v>
      </c>
      <c r="H17" s="4">
        <v>45838</v>
      </c>
      <c r="I17" s="4">
        <v>46567</v>
      </c>
      <c r="J17" s="3"/>
      <c r="K17" s="3" t="str">
        <f t="shared" si="0"/>
        <v>Prj000426-Implement - Minor Enhancements for Sales</v>
      </c>
      <c r="L17" s="21" t="s">
        <v>478</v>
      </c>
      <c r="M17" s="21" t="s">
        <v>15</v>
      </c>
      <c r="N17" s="21" t="s">
        <v>15</v>
      </c>
      <c r="O17" s="21"/>
      <c r="P17" s="21" t="s">
        <v>545</v>
      </c>
      <c r="Q17" s="21" t="s">
        <v>545</v>
      </c>
      <c r="R17" s="21" t="s">
        <v>546</v>
      </c>
      <c r="S17" s="21" t="s">
        <v>508</v>
      </c>
      <c r="T17" s="5">
        <v>11845</v>
      </c>
      <c r="U17" s="15">
        <v>12200</v>
      </c>
      <c r="V17" s="15">
        <v>12200</v>
      </c>
      <c r="W17" s="15">
        <f t="shared" si="1"/>
        <v>12200</v>
      </c>
      <c r="X17" s="15">
        <f t="shared" si="7"/>
        <v>0</v>
      </c>
      <c r="Y17" s="15">
        <f t="shared" si="2"/>
        <v>0</v>
      </c>
      <c r="Z17" s="15">
        <f>SUM(Financials20263[[#This Row],[2026 Opportunity]:[2026 Risk]])</f>
        <v>0</v>
      </c>
      <c r="AA17" s="3" t="s">
        <v>550</v>
      </c>
      <c r="AB17" s="52"/>
      <c r="AC17" s="52"/>
      <c r="AD17" s="52"/>
      <c r="AE17" s="52"/>
      <c r="AF17" s="52"/>
      <c r="AG17" s="52"/>
      <c r="AH17" s="52"/>
      <c r="AI17" s="52"/>
      <c r="AJ17" s="52"/>
      <c r="AK17" s="52"/>
      <c r="AL17" s="52"/>
      <c r="AM17" s="52">
        <v>12200</v>
      </c>
      <c r="AN17" s="52">
        <f>SUM(Financials20263[[#This Row],[Jan FC]:[Dec FC]])</f>
        <v>12200</v>
      </c>
      <c r="AO17" s="15">
        <f t="shared" si="5"/>
        <v>12200</v>
      </c>
      <c r="AP17" s="61"/>
      <c r="AQ17" s="61"/>
      <c r="AR17" s="61"/>
      <c r="AS17" s="61"/>
      <c r="AT17" s="61"/>
      <c r="AU17" s="61"/>
      <c r="AV17" s="61"/>
      <c r="AW17" s="61"/>
      <c r="AX17" s="61"/>
      <c r="AY17" s="61"/>
      <c r="AZ17" s="61"/>
      <c r="BA17" s="61"/>
      <c r="BB17" s="80">
        <f>SUM(Financials20263[[#This Row],[Jan AC]:[Dec AC]])</f>
        <v>0</v>
      </c>
      <c r="BC17" s="71">
        <f>Financials20263[[#This Row],[Jan AC]]-Financials20263[[#This Row],[Jan FC]]</f>
        <v>0</v>
      </c>
      <c r="BD17" s="71">
        <f>Financials20263[[#This Row],[Feb AC]]-Financials20263[[#This Row],[Feb FC]]</f>
        <v>0</v>
      </c>
      <c r="BE17" s="71">
        <f>Financials20263[[#This Row],[Mar AC]]-Financials20263[[#This Row],[Mar FC]]</f>
        <v>0</v>
      </c>
      <c r="BF17" s="71">
        <f>Financials20263[[#This Row],[Apr AC]]-Financials20263[[#This Row],[Apr FC]]</f>
        <v>0</v>
      </c>
      <c r="BG17" s="71">
        <f>Financials20263[[#This Row],[May AC]]-Financials20263[[#This Row],[May FC]]</f>
        <v>0</v>
      </c>
      <c r="BH17" s="71">
        <f>Financials20263[[#This Row],[Jun AC]]-Financials20263[[#This Row],[Jun FC]]</f>
        <v>0</v>
      </c>
      <c r="BI17" s="71">
        <f>Financials20263[[#This Row],[Jul AC]]-Financials20263[[#This Row],[Jul FC]]</f>
        <v>0</v>
      </c>
      <c r="BJ17" s="71">
        <f>Financials20263[[#This Row],[Aug AC]]-Financials20263[[#This Row],[Aug FC]]</f>
        <v>0</v>
      </c>
      <c r="BK17" s="71">
        <f>Financials20263[[#This Row],[Sep AC]]-Financials20263[[#This Row],[Sep FC]]</f>
        <v>0</v>
      </c>
      <c r="BL17" s="71">
        <f>Financials20263[[#This Row],[Oct AC]]-Financials20263[[#This Row],[Oct FC]]</f>
        <v>0</v>
      </c>
      <c r="BM17" s="71">
        <f>Financials20263[[#This Row],[Nov AC]]-Financials20263[[#This Row],[Nov FC]]</f>
        <v>0</v>
      </c>
      <c r="BN17" s="71">
        <f>Financials20263[[#This Row],[Dec AC]]-Financials20263[[#This Row],[Dec FC]]</f>
        <v>-12200</v>
      </c>
      <c r="BO17" s="71">
        <f>SUM(Financials20263[[#This Row],[Jan Opp/Risk]:[Dec Opp./Risk]])</f>
        <v>-12200</v>
      </c>
      <c r="BP17" s="87"/>
      <c r="BQ17" s="47">
        <f>SUM(Financials20263[[#This Row],[Jan AC]:[May AC]])</f>
        <v>0</v>
      </c>
      <c r="BR17" s="6">
        <f>Financials20263[[#This Row],[2026 (Actuals + Forecast)]]-Financials20263[[#This Row],[Jan-May Actuals]]-Financials20263[[#This Row],[Jun-Dec FC]]</f>
        <v>0</v>
      </c>
      <c r="BS17" s="6">
        <f>Financials20263[[#This Row],[Jun-Dec FC]]+Financials20263[[#This Row],[Jan-May Forecast ]]</f>
        <v>12200</v>
      </c>
      <c r="BT17" s="6">
        <f>SUM(Financials20263[[#This Row],[Jan FC]:[May FC]])</f>
        <v>0</v>
      </c>
      <c r="BU17" s="6">
        <f>Financials20263[[#This Row],[Jan-May Actuals]]+Financials20263[[#This Row],[Forecast Jun-Dec]]</f>
        <v>12200</v>
      </c>
      <c r="BV17" s="6"/>
      <c r="BW17" s="6"/>
      <c r="BX17" s="6"/>
    </row>
    <row r="18" spans="1:76">
      <c r="A18" s="22" t="s">
        <v>485</v>
      </c>
      <c r="B18" s="21" t="s">
        <v>266</v>
      </c>
      <c r="C18" s="21" t="s">
        <v>551</v>
      </c>
      <c r="D18" s="10" t="s">
        <v>486</v>
      </c>
      <c r="E18" s="7" t="s">
        <v>487</v>
      </c>
      <c r="F18" s="3" t="s">
        <v>488</v>
      </c>
      <c r="G18" s="3" t="s">
        <v>25</v>
      </c>
      <c r="H18" s="4" t="s">
        <v>489</v>
      </c>
      <c r="I18" s="4" t="s">
        <v>489</v>
      </c>
      <c r="J18" s="3"/>
      <c r="K18" s="3" t="str">
        <f t="shared" si="0"/>
        <v>Prj000266-Support - Internal Tech Workforce Activities</v>
      </c>
      <c r="L18" s="21" t="s">
        <v>478</v>
      </c>
      <c r="M18" s="21" t="s">
        <v>15</v>
      </c>
      <c r="N18" s="21" t="s">
        <v>15</v>
      </c>
      <c r="O18" s="21"/>
      <c r="P18" s="21" t="s">
        <v>552</v>
      </c>
      <c r="Q18" s="21" t="s">
        <v>553</v>
      </c>
      <c r="R18" s="21" t="s">
        <v>554</v>
      </c>
      <c r="S18" s="21" t="s">
        <v>508</v>
      </c>
      <c r="T18" s="5">
        <v>225000</v>
      </c>
      <c r="U18" s="15">
        <v>236250</v>
      </c>
      <c r="V18" s="15">
        <v>236250</v>
      </c>
      <c r="W18" s="15">
        <f t="shared" si="1"/>
        <v>236250</v>
      </c>
      <c r="X18" s="15">
        <f t="shared" si="7"/>
        <v>0</v>
      </c>
      <c r="Y18" s="15">
        <f t="shared" si="2"/>
        <v>0</v>
      </c>
      <c r="Z18" s="15">
        <f>SUM(Financials20263[[#This Row],[2026 Opportunity]:[2026 Risk]])</f>
        <v>0</v>
      </c>
      <c r="AA18" s="3" t="s">
        <v>555</v>
      </c>
      <c r="AB18" s="52"/>
      <c r="AC18" s="52"/>
      <c r="AD18" s="52"/>
      <c r="AE18" s="52"/>
      <c r="AF18" s="52"/>
      <c r="AG18" s="52"/>
      <c r="AH18" s="52"/>
      <c r="AI18" s="52"/>
      <c r="AJ18" s="52"/>
      <c r="AK18" s="52"/>
      <c r="AL18" s="52"/>
      <c r="AM18" s="52">
        <v>236250</v>
      </c>
      <c r="AN18" s="52">
        <f>SUM(Financials20263[[#This Row],[Jan FC]:[Dec FC]])</f>
        <v>236250</v>
      </c>
      <c r="AO18" s="15">
        <f t="shared" si="5"/>
        <v>236250</v>
      </c>
      <c r="AP18" s="61"/>
      <c r="AQ18" s="61"/>
      <c r="AR18" s="61"/>
      <c r="AS18" s="61"/>
      <c r="AT18" s="61"/>
      <c r="AU18" s="61"/>
      <c r="AV18" s="61"/>
      <c r="AW18" s="61"/>
      <c r="AX18" s="61"/>
      <c r="AY18" s="61"/>
      <c r="AZ18" s="61"/>
      <c r="BA18" s="61"/>
      <c r="BB18" s="80">
        <f>SUM(Financials20263[[#This Row],[Jan AC]:[Dec AC]])</f>
        <v>0</v>
      </c>
      <c r="BC18" s="71">
        <f>Financials20263[[#This Row],[Jan AC]]-Financials20263[[#This Row],[Jan FC]]</f>
        <v>0</v>
      </c>
      <c r="BD18" s="71">
        <f>Financials20263[[#This Row],[Feb AC]]-Financials20263[[#This Row],[Feb FC]]</f>
        <v>0</v>
      </c>
      <c r="BE18" s="71">
        <f>Financials20263[[#This Row],[Mar AC]]-Financials20263[[#This Row],[Mar FC]]</f>
        <v>0</v>
      </c>
      <c r="BF18" s="71">
        <f>Financials20263[[#This Row],[Apr AC]]-Financials20263[[#This Row],[Apr FC]]</f>
        <v>0</v>
      </c>
      <c r="BG18" s="71">
        <f>Financials20263[[#This Row],[May AC]]-Financials20263[[#This Row],[May FC]]</f>
        <v>0</v>
      </c>
      <c r="BH18" s="71">
        <f>Financials20263[[#This Row],[Jun AC]]-Financials20263[[#This Row],[Jun FC]]</f>
        <v>0</v>
      </c>
      <c r="BI18" s="71">
        <f>Financials20263[[#This Row],[Jul AC]]-Financials20263[[#This Row],[Jul FC]]</f>
        <v>0</v>
      </c>
      <c r="BJ18" s="71">
        <f>Financials20263[[#This Row],[Aug AC]]-Financials20263[[#This Row],[Aug FC]]</f>
        <v>0</v>
      </c>
      <c r="BK18" s="71">
        <f>Financials20263[[#This Row],[Sep AC]]-Financials20263[[#This Row],[Sep FC]]</f>
        <v>0</v>
      </c>
      <c r="BL18" s="71">
        <f>Financials20263[[#This Row],[Oct AC]]-Financials20263[[#This Row],[Oct FC]]</f>
        <v>0</v>
      </c>
      <c r="BM18" s="71">
        <f>Financials20263[[#This Row],[Nov AC]]-Financials20263[[#This Row],[Nov FC]]</f>
        <v>0</v>
      </c>
      <c r="BN18" s="71">
        <f>Financials20263[[#This Row],[Dec AC]]-Financials20263[[#This Row],[Dec FC]]</f>
        <v>-236250</v>
      </c>
      <c r="BO18" s="71">
        <f>SUM(Financials20263[[#This Row],[Jan Opp/Risk]:[Dec Opp./Risk]])</f>
        <v>-236250</v>
      </c>
      <c r="BP18" s="88"/>
      <c r="BQ18" s="47">
        <f>SUM(Financials20263[[#This Row],[Jan AC]:[May AC]])</f>
        <v>0</v>
      </c>
      <c r="BR18" s="6">
        <f>Financials20263[[#This Row],[2026 (Actuals + Forecast)]]-Financials20263[[#This Row],[Jan-May Actuals]]-Financials20263[[#This Row],[Jun-Dec FC]]</f>
        <v>0</v>
      </c>
      <c r="BS18" s="6">
        <f>Financials20263[[#This Row],[Jun-Dec FC]]+Financials20263[[#This Row],[Jan-May Forecast ]]</f>
        <v>236250</v>
      </c>
      <c r="BT18" s="6">
        <f>SUM(Financials20263[[#This Row],[Jan FC]:[May FC]])</f>
        <v>0</v>
      </c>
      <c r="BU18" s="6">
        <f>Financials20263[[#This Row],[Jan-May Actuals]]+Financials20263[[#This Row],[Forecast Jun-Dec]]</f>
        <v>236250</v>
      </c>
      <c r="BV18" s="6"/>
      <c r="BW18" s="6"/>
      <c r="BX18" s="6"/>
    </row>
    <row r="19" spans="1:76">
      <c r="A19" s="22" t="s">
        <v>485</v>
      </c>
      <c r="B19" t="s">
        <v>269</v>
      </c>
      <c r="C19" s="21" t="s">
        <v>551</v>
      </c>
      <c r="D19" s="10" t="s">
        <v>486</v>
      </c>
      <c r="E19" s="7" t="s">
        <v>487</v>
      </c>
      <c r="F19" s="3" t="s">
        <v>488</v>
      </c>
      <c r="G19" s="3" t="s">
        <v>25</v>
      </c>
      <c r="H19" s="4" t="s">
        <v>489</v>
      </c>
      <c r="I19" s="4" t="s">
        <v>489</v>
      </c>
      <c r="J19" s="3"/>
      <c r="K19" s="3" t="str">
        <f t="shared" si="0"/>
        <v>Prj000266-Support - Internal Tech Workforce Activities</v>
      </c>
      <c r="L19" s="21" t="s">
        <v>478</v>
      </c>
      <c r="M19" s="21" t="s">
        <v>15</v>
      </c>
      <c r="N19" s="21" t="s">
        <v>15</v>
      </c>
      <c r="O19" s="21"/>
      <c r="P19" s="21" t="s">
        <v>552</v>
      </c>
      <c r="Q19" s="21" t="s">
        <v>553</v>
      </c>
      <c r="R19" s="21" t="s">
        <v>554</v>
      </c>
      <c r="S19" s="21" t="s">
        <v>508</v>
      </c>
      <c r="T19" s="5">
        <v>135000</v>
      </c>
      <c r="U19" s="5">
        <v>141750</v>
      </c>
      <c r="V19" s="5">
        <v>141750</v>
      </c>
      <c r="W19" s="15">
        <f t="shared" si="1"/>
        <v>141750</v>
      </c>
      <c r="X19" s="15">
        <f t="shared" si="7"/>
        <v>0</v>
      </c>
      <c r="Y19" s="15">
        <f t="shared" si="2"/>
        <v>0</v>
      </c>
      <c r="Z19" s="15">
        <f>SUM(Financials20263[[#This Row],[2026 Opportunity]:[2026 Risk]])</f>
        <v>0</v>
      </c>
      <c r="AA19" s="3" t="s">
        <v>555</v>
      </c>
      <c r="AB19" s="52"/>
      <c r="AC19" s="52"/>
      <c r="AD19" s="52"/>
      <c r="AE19" s="52"/>
      <c r="AF19" s="52"/>
      <c r="AG19" s="52"/>
      <c r="AH19" s="52"/>
      <c r="AI19" s="52"/>
      <c r="AJ19" s="52"/>
      <c r="AK19" s="52"/>
      <c r="AL19" s="52"/>
      <c r="AM19" s="52">
        <v>141750</v>
      </c>
      <c r="AN19" s="52">
        <f>SUM(Financials20263[[#This Row],[Jan FC]:[Dec FC]])</f>
        <v>141750</v>
      </c>
      <c r="AO19" s="15">
        <f t="shared" si="5"/>
        <v>141750</v>
      </c>
      <c r="AP19" s="61"/>
      <c r="AQ19" s="61"/>
      <c r="AR19" s="61"/>
      <c r="AS19" s="61"/>
      <c r="AT19" s="61"/>
      <c r="AU19" s="61"/>
      <c r="AV19" s="61"/>
      <c r="AW19" s="61"/>
      <c r="AX19" s="61"/>
      <c r="AY19" s="61"/>
      <c r="AZ19" s="61"/>
      <c r="BA19" s="61"/>
      <c r="BB19" s="80">
        <f>SUM(Financials20263[[#This Row],[Jan AC]:[Dec AC]])</f>
        <v>0</v>
      </c>
      <c r="BC19" s="71">
        <f>Financials20263[[#This Row],[Jan AC]]-Financials20263[[#This Row],[Jan FC]]</f>
        <v>0</v>
      </c>
      <c r="BD19" s="71">
        <f>Financials20263[[#This Row],[Feb AC]]-Financials20263[[#This Row],[Feb FC]]</f>
        <v>0</v>
      </c>
      <c r="BE19" s="71">
        <f>Financials20263[[#This Row],[Mar AC]]-Financials20263[[#This Row],[Mar FC]]</f>
        <v>0</v>
      </c>
      <c r="BF19" s="71">
        <f>Financials20263[[#This Row],[Apr AC]]-Financials20263[[#This Row],[Apr FC]]</f>
        <v>0</v>
      </c>
      <c r="BG19" s="71">
        <f>Financials20263[[#This Row],[May AC]]-Financials20263[[#This Row],[May FC]]</f>
        <v>0</v>
      </c>
      <c r="BH19" s="71">
        <f>Financials20263[[#This Row],[Jun AC]]-Financials20263[[#This Row],[Jun FC]]</f>
        <v>0</v>
      </c>
      <c r="BI19" s="71">
        <f>Financials20263[[#This Row],[Jul AC]]-Financials20263[[#This Row],[Jul FC]]</f>
        <v>0</v>
      </c>
      <c r="BJ19" s="71">
        <f>Financials20263[[#This Row],[Aug AC]]-Financials20263[[#This Row],[Aug FC]]</f>
        <v>0</v>
      </c>
      <c r="BK19" s="71">
        <f>Financials20263[[#This Row],[Sep AC]]-Financials20263[[#This Row],[Sep FC]]</f>
        <v>0</v>
      </c>
      <c r="BL19" s="71">
        <f>Financials20263[[#This Row],[Oct AC]]-Financials20263[[#This Row],[Oct FC]]</f>
        <v>0</v>
      </c>
      <c r="BM19" s="71">
        <f>Financials20263[[#This Row],[Nov AC]]-Financials20263[[#This Row],[Nov FC]]</f>
        <v>0</v>
      </c>
      <c r="BN19" s="71">
        <f>Financials20263[[#This Row],[Dec AC]]-Financials20263[[#This Row],[Dec FC]]</f>
        <v>-141750</v>
      </c>
      <c r="BO19" s="71">
        <f>SUM(Financials20263[[#This Row],[Jan Opp/Risk]:[Dec Opp./Risk]])</f>
        <v>-141750</v>
      </c>
      <c r="BP19" s="88"/>
      <c r="BQ19" s="47">
        <f>SUM(Financials20263[[#This Row],[Jan AC]:[May AC]])</f>
        <v>0</v>
      </c>
      <c r="BR19" s="6">
        <f>Financials20263[[#This Row],[2026 (Actuals + Forecast)]]-Financials20263[[#This Row],[Jan-May Actuals]]-Financials20263[[#This Row],[Jun-Dec FC]]</f>
        <v>0</v>
      </c>
      <c r="BS19" s="6">
        <f>Financials20263[[#This Row],[Jun-Dec FC]]+Financials20263[[#This Row],[Jan-May Forecast ]]</f>
        <v>141750</v>
      </c>
      <c r="BT19" s="6">
        <f>SUM(Financials20263[[#This Row],[Jan FC]:[May FC]])</f>
        <v>0</v>
      </c>
      <c r="BU19" s="6">
        <f>Financials20263[[#This Row],[Jan-May Actuals]]+Financials20263[[#This Row],[Forecast Jun-Dec]]</f>
        <v>141750</v>
      </c>
      <c r="BV19" s="6"/>
      <c r="BW19" s="6"/>
      <c r="BX19" s="6"/>
    </row>
    <row r="20" spans="1:76">
      <c r="A20" s="22" t="s">
        <v>485</v>
      </c>
      <c r="B20" s="21" t="s">
        <v>270</v>
      </c>
      <c r="C20" s="21" t="s">
        <v>556</v>
      </c>
      <c r="D20" s="10" t="s">
        <v>486</v>
      </c>
      <c r="E20" s="7" t="s">
        <v>487</v>
      </c>
      <c r="F20" s="3" t="s">
        <v>488</v>
      </c>
      <c r="G20" s="3" t="s">
        <v>25</v>
      </c>
      <c r="H20" s="4" t="s">
        <v>489</v>
      </c>
      <c r="I20" s="4" t="s">
        <v>489</v>
      </c>
      <c r="J20" s="3"/>
      <c r="K20" s="3" t="str">
        <f t="shared" si="0"/>
        <v>Prj000266-Support - Internal Tech Workforce Activities</v>
      </c>
      <c r="L20" s="21" t="s">
        <v>478</v>
      </c>
      <c r="M20" s="21" t="s">
        <v>15</v>
      </c>
      <c r="N20" s="21" t="s">
        <v>15</v>
      </c>
      <c r="O20" s="21"/>
      <c r="P20" s="21" t="s">
        <v>490</v>
      </c>
      <c r="Q20" s="21" t="s">
        <v>557</v>
      </c>
      <c r="R20" s="21" t="s">
        <v>558</v>
      </c>
      <c r="S20" s="21" t="s">
        <v>511</v>
      </c>
      <c r="T20" s="5">
        <v>16285</v>
      </c>
      <c r="U20" s="15">
        <v>17099</v>
      </c>
      <c r="V20" s="15">
        <v>17099</v>
      </c>
      <c r="W20" s="15">
        <f t="shared" si="1"/>
        <v>17099</v>
      </c>
      <c r="X20" s="15">
        <f t="shared" si="7"/>
        <v>0</v>
      </c>
      <c r="Y20" s="15">
        <f t="shared" si="2"/>
        <v>0</v>
      </c>
      <c r="Z20" s="15">
        <f>SUM(Financials20263[[#This Row],[2026 Opportunity]:[2026 Risk]])</f>
        <v>0</v>
      </c>
      <c r="AA20" s="3" t="s">
        <v>530</v>
      </c>
      <c r="AB20" s="52"/>
      <c r="AC20" s="52"/>
      <c r="AD20" s="52"/>
      <c r="AE20" s="52"/>
      <c r="AF20" s="52"/>
      <c r="AG20" s="52"/>
      <c r="AH20" s="52"/>
      <c r="AI20" s="52"/>
      <c r="AJ20" s="52"/>
      <c r="AK20" s="52"/>
      <c r="AL20" s="52"/>
      <c r="AM20" s="52">
        <v>17099</v>
      </c>
      <c r="AN20" s="52">
        <f>SUM(Financials20263[[#This Row],[Jan FC]:[Dec FC]])</f>
        <v>17099</v>
      </c>
      <c r="AO20" s="15">
        <f t="shared" si="5"/>
        <v>17099</v>
      </c>
      <c r="AP20" s="61"/>
      <c r="AQ20" s="61"/>
      <c r="AR20" s="61"/>
      <c r="AS20" s="61"/>
      <c r="AT20" s="61"/>
      <c r="AU20" s="61"/>
      <c r="AV20" s="61"/>
      <c r="AW20" s="61"/>
      <c r="AX20" s="61"/>
      <c r="AY20" s="61"/>
      <c r="AZ20" s="61"/>
      <c r="BA20" s="61"/>
      <c r="BB20" s="80">
        <f>SUM(Financials20263[[#This Row],[Jan AC]:[Dec AC]])</f>
        <v>0</v>
      </c>
      <c r="BC20" s="71">
        <f>Financials20263[[#This Row],[Jan AC]]-Financials20263[[#This Row],[Jan FC]]</f>
        <v>0</v>
      </c>
      <c r="BD20" s="71">
        <f>Financials20263[[#This Row],[Feb AC]]-Financials20263[[#This Row],[Feb FC]]</f>
        <v>0</v>
      </c>
      <c r="BE20" s="71">
        <f>Financials20263[[#This Row],[Mar AC]]-Financials20263[[#This Row],[Mar FC]]</f>
        <v>0</v>
      </c>
      <c r="BF20" s="71">
        <f>Financials20263[[#This Row],[Apr AC]]-Financials20263[[#This Row],[Apr FC]]</f>
        <v>0</v>
      </c>
      <c r="BG20" s="71">
        <f>Financials20263[[#This Row],[May AC]]-Financials20263[[#This Row],[May FC]]</f>
        <v>0</v>
      </c>
      <c r="BH20" s="71">
        <f>Financials20263[[#This Row],[Jun AC]]-Financials20263[[#This Row],[Jun FC]]</f>
        <v>0</v>
      </c>
      <c r="BI20" s="71">
        <f>Financials20263[[#This Row],[Jul AC]]-Financials20263[[#This Row],[Jul FC]]</f>
        <v>0</v>
      </c>
      <c r="BJ20" s="71">
        <f>Financials20263[[#This Row],[Aug AC]]-Financials20263[[#This Row],[Aug FC]]</f>
        <v>0</v>
      </c>
      <c r="BK20" s="71">
        <f>Financials20263[[#This Row],[Sep AC]]-Financials20263[[#This Row],[Sep FC]]</f>
        <v>0</v>
      </c>
      <c r="BL20" s="71">
        <f>Financials20263[[#This Row],[Oct AC]]-Financials20263[[#This Row],[Oct FC]]</f>
        <v>0</v>
      </c>
      <c r="BM20" s="71">
        <f>Financials20263[[#This Row],[Nov AC]]-Financials20263[[#This Row],[Nov FC]]</f>
        <v>0</v>
      </c>
      <c r="BN20" s="71">
        <f>Financials20263[[#This Row],[Dec AC]]-Financials20263[[#This Row],[Dec FC]]</f>
        <v>-17099</v>
      </c>
      <c r="BO20" s="71">
        <f>SUM(Financials20263[[#This Row],[Jan Opp/Risk]:[Dec Opp./Risk]])</f>
        <v>-17099</v>
      </c>
      <c r="BP20" s="88"/>
      <c r="BQ20" s="47">
        <f>SUM(Financials20263[[#This Row],[Jan AC]:[May AC]])</f>
        <v>0</v>
      </c>
      <c r="BR20" s="6">
        <f>Financials20263[[#This Row],[2026 (Actuals + Forecast)]]-Financials20263[[#This Row],[Jan-May Actuals]]-Financials20263[[#This Row],[Jun-Dec FC]]</f>
        <v>0</v>
      </c>
      <c r="BS20" s="6">
        <f>Financials20263[[#This Row],[Jun-Dec FC]]+Financials20263[[#This Row],[Jan-May Forecast ]]</f>
        <v>17099</v>
      </c>
      <c r="BT20" s="6">
        <f>SUM(Financials20263[[#This Row],[Jan FC]:[May FC]])</f>
        <v>0</v>
      </c>
      <c r="BU20" s="6">
        <f>Financials20263[[#This Row],[Jan-May Actuals]]+Financials20263[[#This Row],[Forecast Jun-Dec]]</f>
        <v>17099</v>
      </c>
      <c r="BV20" s="6"/>
      <c r="BW20" s="6"/>
      <c r="BX20" s="6"/>
    </row>
    <row r="21" spans="1:76">
      <c r="A21" s="22" t="s">
        <v>473</v>
      </c>
      <c r="B21" s="21" t="s">
        <v>44</v>
      </c>
      <c r="C21" s="21"/>
      <c r="D21" s="10" t="s">
        <v>559</v>
      </c>
      <c r="E21" s="7" t="s">
        <v>560</v>
      </c>
      <c r="F21" s="3" t="s">
        <v>561</v>
      </c>
      <c r="G21" s="3" t="s">
        <v>20</v>
      </c>
      <c r="H21" s="4">
        <v>46023</v>
      </c>
      <c r="I21" s="4">
        <v>46387</v>
      </c>
      <c r="J21" s="3"/>
      <c r="K21" s="3" t="str">
        <f t="shared" si="0"/>
        <v>Prj000403-Support - L2 CoE Management for Tech Horizontals</v>
      </c>
      <c r="L21" s="21" t="s">
        <v>499</v>
      </c>
      <c r="M21" s="21" t="s">
        <v>14</v>
      </c>
      <c r="N21" s="21" t="s">
        <v>500</v>
      </c>
      <c r="O21" s="21" t="s">
        <v>562</v>
      </c>
      <c r="P21" s="21" t="s">
        <v>479</v>
      </c>
      <c r="Q21" s="21" t="s">
        <v>509</v>
      </c>
      <c r="R21" s="21" t="s">
        <v>509</v>
      </c>
      <c r="S21" s="21" t="s">
        <v>504</v>
      </c>
      <c r="T21" s="5">
        <v>1357227</v>
      </c>
      <c r="U21" s="15">
        <v>1359552</v>
      </c>
      <c r="V21" s="15">
        <v>1359552</v>
      </c>
      <c r="W21" s="15">
        <f t="shared" si="1"/>
        <v>1446139</v>
      </c>
      <c r="X21" s="15">
        <f t="shared" si="7"/>
        <v>0</v>
      </c>
      <c r="Y21" s="15">
        <f t="shared" si="2"/>
        <v>86587</v>
      </c>
      <c r="Z21" s="15">
        <f>SUM(Financials20263[[#This Row],[2026 Opportunity]:[2026 Risk]])</f>
        <v>86587</v>
      </c>
      <c r="AA21" s="3" t="s">
        <v>562</v>
      </c>
      <c r="AB21" s="52">
        <v>113296</v>
      </c>
      <c r="AC21" s="52">
        <v>113296</v>
      </c>
      <c r="AD21" s="52">
        <v>113296</v>
      </c>
      <c r="AE21" s="52">
        <v>113296</v>
      </c>
      <c r="AF21" s="52">
        <v>124084</v>
      </c>
      <c r="AG21" s="52">
        <v>120637</v>
      </c>
      <c r="AH21" s="52">
        <v>123837</v>
      </c>
      <c r="AI21" s="52">
        <v>127037</v>
      </c>
      <c r="AJ21" s="52">
        <v>127037</v>
      </c>
      <c r="AK21" s="52">
        <v>127037</v>
      </c>
      <c r="AL21" s="52">
        <v>127037</v>
      </c>
      <c r="AM21" s="52">
        <v>127037</v>
      </c>
      <c r="AN21" s="52">
        <f>SUM(Financials20263[[#This Row],[Jan FC]:[Dec FC]])</f>
        <v>1456927</v>
      </c>
      <c r="AO21" s="15">
        <f t="shared" si="5"/>
        <v>879659</v>
      </c>
      <c r="AP21" s="61">
        <v>113296</v>
      </c>
      <c r="AQ21" s="61">
        <v>113296</v>
      </c>
      <c r="AR21" s="61">
        <v>113296</v>
      </c>
      <c r="AS21" s="61">
        <v>113296</v>
      </c>
      <c r="AT21" s="61">
        <v>113296</v>
      </c>
      <c r="AU21" s="61"/>
      <c r="AV21" s="61"/>
      <c r="AW21" s="61"/>
      <c r="AX21" s="61"/>
      <c r="AY21" s="61"/>
      <c r="AZ21" s="61"/>
      <c r="BA21" s="61"/>
      <c r="BB21" s="80">
        <f>SUM(Financials20263[[#This Row],[Jan AC]:[Dec AC]])</f>
        <v>566480</v>
      </c>
      <c r="BC21" s="71">
        <f>Financials20263[[#This Row],[Jan AC]]-Financials20263[[#This Row],[Jan FC]]</f>
        <v>0</v>
      </c>
      <c r="BD21" s="71">
        <f>Financials20263[[#This Row],[Feb AC]]-Financials20263[[#This Row],[Feb FC]]</f>
        <v>0</v>
      </c>
      <c r="BE21" s="71">
        <f>Financials20263[[#This Row],[Mar AC]]-Financials20263[[#This Row],[Mar FC]]</f>
        <v>0</v>
      </c>
      <c r="BF21" s="71">
        <f>Financials20263[[#This Row],[Apr AC]]-Financials20263[[#This Row],[Apr FC]]</f>
        <v>0</v>
      </c>
      <c r="BG21" s="71">
        <f>Financials20263[[#This Row],[May AC]]-Financials20263[[#This Row],[May FC]]</f>
        <v>-10788</v>
      </c>
      <c r="BH21" s="71">
        <f>Financials20263[[#This Row],[Jun AC]]-Financials20263[[#This Row],[Jun FC]]</f>
        <v>-120637</v>
      </c>
      <c r="BI21" s="71">
        <f>Financials20263[[#This Row],[Jul AC]]-Financials20263[[#This Row],[Jul FC]]</f>
        <v>-123837</v>
      </c>
      <c r="BJ21" s="71">
        <f>Financials20263[[#This Row],[Aug AC]]-Financials20263[[#This Row],[Aug FC]]</f>
        <v>-127037</v>
      </c>
      <c r="BK21" s="71">
        <f>Financials20263[[#This Row],[Sep AC]]-Financials20263[[#This Row],[Sep FC]]</f>
        <v>-127037</v>
      </c>
      <c r="BL21" s="71">
        <f>Financials20263[[#This Row],[Oct AC]]-Financials20263[[#This Row],[Oct FC]]</f>
        <v>-127037</v>
      </c>
      <c r="BM21" s="71">
        <f>Financials20263[[#This Row],[Nov AC]]-Financials20263[[#This Row],[Nov FC]]</f>
        <v>-127037</v>
      </c>
      <c r="BN21" s="71">
        <f>Financials20263[[#This Row],[Dec AC]]-Financials20263[[#This Row],[Dec FC]]</f>
        <v>-127037</v>
      </c>
      <c r="BO21" s="71">
        <f>SUM(Financials20263[[#This Row],[Jan Opp/Risk]:[Dec Opp./Risk]])</f>
        <v>-890447</v>
      </c>
      <c r="BP21" s="89" t="s">
        <v>563</v>
      </c>
      <c r="BQ21" s="47">
        <f>SUM(Financials20263[[#This Row],[Jan AC]:[May AC]])</f>
        <v>566480</v>
      </c>
      <c r="BR21" s="6">
        <f>Financials20263[[#This Row],[2026 (Actuals + Forecast)]]-Financials20263[[#This Row],[Jan-May Actuals]]-Financials20263[[#This Row],[Jun-Dec FC]]</f>
        <v>0</v>
      </c>
      <c r="BS21" s="6">
        <f>Financials20263[[#This Row],[Jun-Dec FC]]+Financials20263[[#This Row],[Jan-May Forecast ]]</f>
        <v>879659</v>
      </c>
      <c r="BT21" s="6">
        <f>SUM(Financials20263[[#This Row],[Jan FC]:[May FC]])</f>
        <v>577268</v>
      </c>
      <c r="BU21" s="6">
        <f>Financials20263[[#This Row],[Jan-May Actuals]]+Financials20263[[#This Row],[Forecast Jun-Dec]]</f>
        <v>1446139</v>
      </c>
      <c r="BV21" s="6"/>
      <c r="BW21" s="6"/>
      <c r="BX21" s="6"/>
    </row>
    <row r="22" spans="1:76">
      <c r="A22" s="22" t="s">
        <v>473</v>
      </c>
      <c r="B22" s="21" t="s">
        <v>194</v>
      </c>
      <c r="C22" s="21"/>
      <c r="D22" s="10" t="s">
        <v>564</v>
      </c>
      <c r="E22" s="7" t="s">
        <v>564</v>
      </c>
      <c r="F22" s="3" t="s">
        <v>565</v>
      </c>
      <c r="G22" s="3" t="s">
        <v>25</v>
      </c>
      <c r="H22" s="4">
        <v>46023</v>
      </c>
      <c r="I22" s="4">
        <v>46387</v>
      </c>
      <c r="J22" s="3" t="s">
        <v>566</v>
      </c>
      <c r="K22" s="3" t="str">
        <f t="shared" si="0"/>
        <v>T&amp;M-T&amp;M</v>
      </c>
      <c r="L22" s="21" t="s">
        <v>499</v>
      </c>
      <c r="M22" s="21" t="s">
        <v>13</v>
      </c>
      <c r="N22" s="21" t="s">
        <v>567</v>
      </c>
      <c r="O22" s="21" t="s">
        <v>564</v>
      </c>
      <c r="P22" s="21" t="s">
        <v>501</v>
      </c>
      <c r="Q22" s="21" t="s">
        <v>502</v>
      </c>
      <c r="R22" s="21" t="s">
        <v>503</v>
      </c>
      <c r="S22" s="21" t="s">
        <v>504</v>
      </c>
      <c r="T22" s="5">
        <v>302712</v>
      </c>
      <c r="U22" s="15">
        <v>32832.000000000007</v>
      </c>
      <c r="V22" s="15">
        <v>218880</v>
      </c>
      <c r="W22" s="15">
        <f t="shared" si="1"/>
        <v>213572</v>
      </c>
      <c r="X22" s="15">
        <f t="shared" si="7"/>
        <v>-5308</v>
      </c>
      <c r="Y22" s="15">
        <f t="shared" si="2"/>
        <v>0</v>
      </c>
      <c r="Z22" s="15">
        <f>SUM(Financials20263[[#This Row],[2026 Opportunity]:[2026 Risk]])</f>
        <v>-5308</v>
      </c>
      <c r="AA22" s="3" t="s">
        <v>564</v>
      </c>
      <c r="AB22" s="52">
        <f>Financials20263[[#This Row],[2026 Final Budget]]/12</f>
        <v>18240</v>
      </c>
      <c r="AC22" s="52">
        <v>18240</v>
      </c>
      <c r="AD22" s="52">
        <v>18240</v>
      </c>
      <c r="AE22" s="52">
        <v>18240</v>
      </c>
      <c r="AF22" s="52">
        <v>18240</v>
      </c>
      <c r="AG22" s="52">
        <v>18240</v>
      </c>
      <c r="AH22" s="52">
        <v>18240</v>
      </c>
      <c r="AI22" s="52">
        <v>18240</v>
      </c>
      <c r="AJ22" s="52">
        <v>18240</v>
      </c>
      <c r="AK22" s="52">
        <v>18240</v>
      </c>
      <c r="AL22" s="52">
        <v>18240</v>
      </c>
      <c r="AM22" s="52">
        <v>18240</v>
      </c>
      <c r="AN22" s="52">
        <f>SUM(Financials20263[[#This Row],[Jan FC]:[Dec FC]])</f>
        <v>218880</v>
      </c>
      <c r="AO22" s="15">
        <f t="shared" si="5"/>
        <v>127680</v>
      </c>
      <c r="AP22" s="61">
        <v>16128</v>
      </c>
      <c r="AQ22" s="61">
        <v>16464</v>
      </c>
      <c r="AR22" s="61">
        <v>16588</v>
      </c>
      <c r="AS22" s="61">
        <v>19104</v>
      </c>
      <c r="AT22" s="61">
        <v>17608</v>
      </c>
      <c r="AU22" s="61"/>
      <c r="AV22" s="61"/>
      <c r="AW22" s="61"/>
      <c r="AX22" s="61"/>
      <c r="AY22" s="61"/>
      <c r="AZ22" s="61"/>
      <c r="BA22" s="61"/>
      <c r="BB22" s="80">
        <f>SUM(Financials20263[[#This Row],[Jan AC]:[Dec AC]])</f>
        <v>85892</v>
      </c>
      <c r="BC22" s="71">
        <f>Financials20263[[#This Row],[Jan AC]]-Financials20263[[#This Row],[Jan FC]]</f>
        <v>-2112</v>
      </c>
      <c r="BD22" s="71">
        <f>Financials20263[[#This Row],[Feb AC]]-Financials20263[[#This Row],[Feb FC]]</f>
        <v>-1776</v>
      </c>
      <c r="BE22" s="71">
        <f>Financials20263[[#This Row],[Mar AC]]-Financials20263[[#This Row],[Mar FC]]</f>
        <v>-1652</v>
      </c>
      <c r="BF22" s="71">
        <f>Financials20263[[#This Row],[Apr AC]]-Financials20263[[#This Row],[Apr FC]]</f>
        <v>864</v>
      </c>
      <c r="BG22" s="71">
        <f>Financials20263[[#This Row],[May AC]]-Financials20263[[#This Row],[May FC]]</f>
        <v>-632</v>
      </c>
      <c r="BH22" s="71">
        <f>Financials20263[[#This Row],[Jun AC]]-Financials20263[[#This Row],[Jun FC]]</f>
        <v>-18240</v>
      </c>
      <c r="BI22" s="71">
        <f>Financials20263[[#This Row],[Jul AC]]-Financials20263[[#This Row],[Jul FC]]</f>
        <v>-18240</v>
      </c>
      <c r="BJ22" s="71">
        <f>Financials20263[[#This Row],[Aug AC]]-Financials20263[[#This Row],[Aug FC]]</f>
        <v>-18240</v>
      </c>
      <c r="BK22" s="71">
        <f>Financials20263[[#This Row],[Sep AC]]-Financials20263[[#This Row],[Sep FC]]</f>
        <v>-18240</v>
      </c>
      <c r="BL22" s="71">
        <f>Financials20263[[#This Row],[Oct AC]]-Financials20263[[#This Row],[Oct FC]]</f>
        <v>-18240</v>
      </c>
      <c r="BM22" s="71">
        <f>Financials20263[[#This Row],[Nov AC]]-Financials20263[[#This Row],[Nov FC]]</f>
        <v>-18240</v>
      </c>
      <c r="BN22" s="71">
        <f>Financials20263[[#This Row],[Dec AC]]-Financials20263[[#This Row],[Dec FC]]</f>
        <v>-18240</v>
      </c>
      <c r="BO22" s="71">
        <f>SUM(Financials20263[[#This Row],[Jan Opp/Risk]:[Dec Opp./Risk]])</f>
        <v>-132988</v>
      </c>
      <c r="BP22" s="89" t="s">
        <v>568</v>
      </c>
      <c r="BQ22" s="47">
        <f>SUM(Financials20263[[#This Row],[Jan AC]:[May AC]])</f>
        <v>85892</v>
      </c>
      <c r="BR22" s="6">
        <f>Financials20263[[#This Row],[2026 (Actuals + Forecast)]]-Financials20263[[#This Row],[Jan-May Actuals]]-Financials20263[[#This Row],[Jun-Dec FC]]</f>
        <v>0</v>
      </c>
      <c r="BS22" s="6">
        <f>Financials20263[[#This Row],[Jun-Dec FC]]+Financials20263[[#This Row],[Jan-May Forecast ]]</f>
        <v>127680</v>
      </c>
      <c r="BT22" s="6">
        <f>SUM(Financials20263[[#This Row],[Jan FC]:[May FC]])</f>
        <v>91200</v>
      </c>
      <c r="BU22" s="6">
        <f>Financials20263[[#This Row],[Jan-May Actuals]]+Financials20263[[#This Row],[Forecast Jun-Dec]]</f>
        <v>213572</v>
      </c>
      <c r="BV22" s="6"/>
      <c r="BW22" s="6"/>
      <c r="BX22" s="6"/>
    </row>
    <row r="23" spans="1:76">
      <c r="A23" s="22" t="s">
        <v>473</v>
      </c>
      <c r="B23" s="21" t="s">
        <v>164</v>
      </c>
      <c r="C23" s="21" t="s">
        <v>569</v>
      </c>
      <c r="D23" s="10" t="s">
        <v>564</v>
      </c>
      <c r="E23" s="7" t="s">
        <v>564</v>
      </c>
      <c r="F23" s="3" t="s">
        <v>565</v>
      </c>
      <c r="G23" s="3" t="s">
        <v>20</v>
      </c>
      <c r="H23" s="4">
        <v>46023</v>
      </c>
      <c r="I23" s="4">
        <v>46387</v>
      </c>
      <c r="J23" s="3"/>
      <c r="K23" s="3" t="str">
        <f t="shared" si="0"/>
        <v>T&amp;M-T&amp;M</v>
      </c>
      <c r="L23" s="21" t="s">
        <v>499</v>
      </c>
      <c r="M23" s="21" t="s">
        <v>13</v>
      </c>
      <c r="N23" s="21" t="s">
        <v>567</v>
      </c>
      <c r="O23" s="21" t="s">
        <v>564</v>
      </c>
      <c r="P23" s="21" t="s">
        <v>501</v>
      </c>
      <c r="Q23" s="21" t="s">
        <v>502</v>
      </c>
      <c r="R23" s="21" t="s">
        <v>503</v>
      </c>
      <c r="S23" s="21" t="s">
        <v>504</v>
      </c>
      <c r="T23" s="5">
        <v>3007993</v>
      </c>
      <c r="U23" s="15">
        <v>1580266.3960475361</v>
      </c>
      <c r="V23" s="15">
        <v>1438080</v>
      </c>
      <c r="W23" s="15">
        <f t="shared" si="1"/>
        <v>1477609</v>
      </c>
      <c r="X23" s="15">
        <f t="shared" si="7"/>
        <v>0</v>
      </c>
      <c r="Y23" s="15">
        <f t="shared" si="2"/>
        <v>39529</v>
      </c>
      <c r="Z23" s="15">
        <f>SUM(Financials20263[[#This Row],[2026 Opportunity]:[2026 Risk]])</f>
        <v>39529</v>
      </c>
      <c r="AA23" s="3" t="s">
        <v>570</v>
      </c>
      <c r="AB23" s="52">
        <f>Financials20263[[#This Row],[2026 Final Budget]]/12</f>
        <v>119840</v>
      </c>
      <c r="AC23" s="52">
        <f>Financials20263[[#This Row],[2026 Final Budget]]/12</f>
        <v>119840</v>
      </c>
      <c r="AD23" s="52">
        <f>Financials20263[[#This Row],[2026 Final Budget]]/12</f>
        <v>119840</v>
      </c>
      <c r="AE23" s="52">
        <f>Financials20263[[#This Row],[2026 Final Budget]]/12</f>
        <v>119840</v>
      </c>
      <c r="AF23" s="52">
        <f>Financials20263[[#This Row],[2026 Final Budget]]/12</f>
        <v>119840</v>
      </c>
      <c r="AG23" s="52">
        <f>Financials20263[[#This Row],[2026 Final Budget]]/12</f>
        <v>119840</v>
      </c>
      <c r="AH23" s="52">
        <f>Financials20263[[#This Row],[2026 Final Budget]]/12</f>
        <v>119840</v>
      </c>
      <c r="AI23" s="52">
        <f>Financials20263[[#This Row],[2026 Final Budget]]/12</f>
        <v>119840</v>
      </c>
      <c r="AJ23" s="52">
        <f>Financials20263[[#This Row],[2026 Final Budget]]/12</f>
        <v>119840</v>
      </c>
      <c r="AK23" s="52">
        <f>Financials20263[[#This Row],[2026 Final Budget]]/12</f>
        <v>119840</v>
      </c>
      <c r="AL23" s="52">
        <f>Financials20263[[#This Row],[2026 Final Budget]]/12</f>
        <v>119840</v>
      </c>
      <c r="AM23" s="52">
        <f>Financials20263[[#This Row],[2026 Final Budget]]/12</f>
        <v>119840</v>
      </c>
      <c r="AN23" s="52">
        <f>SUM(Financials20263[[#This Row],[Jan FC]:[Dec FC]])</f>
        <v>1438080</v>
      </c>
      <c r="AO23" s="15">
        <f t="shared" si="5"/>
        <v>838880</v>
      </c>
      <c r="AP23" s="62">
        <v>115160</v>
      </c>
      <c r="AQ23" s="61">
        <v>107611</v>
      </c>
      <c r="AR23" s="61">
        <v>124972</v>
      </c>
      <c r="AS23" s="61">
        <v>151664</v>
      </c>
      <c r="AT23" s="61">
        <v>139322</v>
      </c>
      <c r="AU23" s="61"/>
      <c r="AV23" s="61"/>
      <c r="AW23" s="61"/>
      <c r="AX23" s="61"/>
      <c r="AY23" s="61"/>
      <c r="AZ23" s="61"/>
      <c r="BA23" s="61"/>
      <c r="BB23" s="80">
        <f>SUM(Financials20263[[#This Row],[Jan AC]:[Dec AC]])</f>
        <v>638729</v>
      </c>
      <c r="BC23" s="71">
        <f>Financials20263[[#This Row],[Jan AC]]-Financials20263[[#This Row],[Jan FC]]</f>
        <v>-4680</v>
      </c>
      <c r="BD23" s="71">
        <f>Financials20263[[#This Row],[Feb AC]]-Financials20263[[#This Row],[Feb FC]]</f>
        <v>-12229</v>
      </c>
      <c r="BE23" s="71">
        <f>Financials20263[[#This Row],[Mar AC]]-Financials20263[[#This Row],[Mar FC]]</f>
        <v>5132</v>
      </c>
      <c r="BF23" s="71">
        <f>Financials20263[[#This Row],[Apr AC]]-Financials20263[[#This Row],[Apr FC]]</f>
        <v>31824</v>
      </c>
      <c r="BG23" s="71">
        <f>Financials20263[[#This Row],[May AC]]-Financials20263[[#This Row],[May FC]]</f>
        <v>19482</v>
      </c>
      <c r="BH23" s="71">
        <f>Financials20263[[#This Row],[Jun AC]]-Financials20263[[#This Row],[Jun FC]]</f>
        <v>-119840</v>
      </c>
      <c r="BI23" s="71">
        <f>Financials20263[[#This Row],[Jul AC]]-Financials20263[[#This Row],[Jul FC]]</f>
        <v>-119840</v>
      </c>
      <c r="BJ23" s="71">
        <f>Financials20263[[#This Row],[Aug AC]]-Financials20263[[#This Row],[Aug FC]]</f>
        <v>-119840</v>
      </c>
      <c r="BK23" s="71">
        <f>Financials20263[[#This Row],[Sep AC]]-Financials20263[[#This Row],[Sep FC]]</f>
        <v>-119840</v>
      </c>
      <c r="BL23" s="71">
        <f>Financials20263[[#This Row],[Oct AC]]-Financials20263[[#This Row],[Oct FC]]</f>
        <v>-119840</v>
      </c>
      <c r="BM23" s="71">
        <f>Financials20263[[#This Row],[Nov AC]]-Financials20263[[#This Row],[Nov FC]]</f>
        <v>-119840</v>
      </c>
      <c r="BN23" s="71">
        <f>Financials20263[[#This Row],[Dec AC]]-Financials20263[[#This Row],[Dec FC]]</f>
        <v>-119840</v>
      </c>
      <c r="BO23" s="71">
        <f>SUM(Financials20263[[#This Row],[Jan Opp/Risk]:[Dec Opp./Risk]])</f>
        <v>-799351</v>
      </c>
      <c r="BP23" s="89" t="s">
        <v>568</v>
      </c>
      <c r="BQ23" s="47">
        <f>SUM(Financials20263[[#This Row],[Jan AC]:[May AC]])</f>
        <v>638729</v>
      </c>
      <c r="BR23" s="6">
        <f>Financials20263[[#This Row],[2026 (Actuals + Forecast)]]-Financials20263[[#This Row],[Jan-May Actuals]]-Financials20263[[#This Row],[Jun-Dec FC]]</f>
        <v>0</v>
      </c>
      <c r="BS23" s="6">
        <f>Financials20263[[#This Row],[Jun-Dec FC]]+Financials20263[[#This Row],[Jan-May Forecast ]]</f>
        <v>838880</v>
      </c>
      <c r="BT23" s="6">
        <f>SUM(Financials20263[[#This Row],[Jan FC]:[May FC]])</f>
        <v>599200</v>
      </c>
      <c r="BU23" s="6">
        <f>Financials20263[[#This Row],[Jan-May Actuals]]+Financials20263[[#This Row],[Forecast Jun-Dec]]</f>
        <v>1477609</v>
      </c>
      <c r="BV23" s="6"/>
      <c r="BW23" s="6"/>
      <c r="BX23" s="6"/>
    </row>
    <row r="24" spans="1:76">
      <c r="A24" s="22" t="s">
        <v>473</v>
      </c>
      <c r="B24" s="21" t="s">
        <v>164</v>
      </c>
      <c r="C24" s="21" t="s">
        <v>569</v>
      </c>
      <c r="D24" s="10" t="s">
        <v>564</v>
      </c>
      <c r="E24" s="7" t="s">
        <v>564</v>
      </c>
      <c r="F24" s="3" t="s">
        <v>565</v>
      </c>
      <c r="G24" s="3" t="s">
        <v>21</v>
      </c>
      <c r="H24" s="4">
        <v>46023</v>
      </c>
      <c r="I24" s="4">
        <v>46387</v>
      </c>
      <c r="J24" s="3"/>
      <c r="K24" s="3" t="str">
        <f t="shared" si="0"/>
        <v>T&amp;M-T&amp;M</v>
      </c>
      <c r="L24" s="21" t="s">
        <v>499</v>
      </c>
      <c r="M24" s="21" t="s">
        <v>13</v>
      </c>
      <c r="N24" s="21" t="s">
        <v>567</v>
      </c>
      <c r="O24" s="21" t="s">
        <v>564</v>
      </c>
      <c r="P24" s="21" t="s">
        <v>501</v>
      </c>
      <c r="Q24" s="21" t="s">
        <v>502</v>
      </c>
      <c r="R24" s="21" t="s">
        <v>503</v>
      </c>
      <c r="S24" s="21" t="s">
        <v>504</v>
      </c>
      <c r="T24" s="5">
        <v>3007993</v>
      </c>
      <c r="U24" s="15">
        <v>424425.54146080924</v>
      </c>
      <c r="V24" s="15">
        <f>372480+41600</f>
        <v>414080</v>
      </c>
      <c r="W24" s="15">
        <f t="shared" si="1"/>
        <v>317902</v>
      </c>
      <c r="X24" s="15">
        <f t="shared" si="7"/>
        <v>-96178</v>
      </c>
      <c r="Y24" s="15">
        <f t="shared" si="2"/>
        <v>0</v>
      </c>
      <c r="Z24" s="15">
        <f>SUM(Financials20263[[#This Row],[2026 Opportunity]:[2026 Risk]])</f>
        <v>-96178</v>
      </c>
      <c r="AA24" s="3" t="s">
        <v>570</v>
      </c>
      <c r="AB24" s="53">
        <v>38560</v>
      </c>
      <c r="AC24" s="53">
        <v>38560</v>
      </c>
      <c r="AD24" s="53">
        <v>38560</v>
      </c>
      <c r="AE24" s="53">
        <v>38560</v>
      </c>
      <c r="AF24" s="53">
        <v>38560</v>
      </c>
      <c r="AG24" s="53">
        <f>38560-15840</f>
        <v>22720</v>
      </c>
      <c r="AH24" s="53">
        <f t="shared" ref="AH24:AM24" si="12">38560-15840</f>
        <v>22720</v>
      </c>
      <c r="AI24" s="53">
        <f t="shared" si="12"/>
        <v>22720</v>
      </c>
      <c r="AJ24" s="53">
        <f t="shared" si="12"/>
        <v>22720</v>
      </c>
      <c r="AK24" s="53">
        <f t="shared" si="12"/>
        <v>22720</v>
      </c>
      <c r="AL24" s="53">
        <f t="shared" si="12"/>
        <v>22720</v>
      </c>
      <c r="AM24" s="53">
        <f t="shared" si="12"/>
        <v>22720</v>
      </c>
      <c r="AN24" s="52">
        <f>SUM(Financials20263[[#This Row],[Jan FC]:[Dec FC]])</f>
        <v>351840</v>
      </c>
      <c r="AO24" s="15">
        <f t="shared" si="5"/>
        <v>159040</v>
      </c>
      <c r="AP24" s="62">
        <v>30336</v>
      </c>
      <c r="AQ24" s="61">
        <v>27266</v>
      </c>
      <c r="AR24" s="61">
        <f>46080-7144</f>
        <v>38936</v>
      </c>
      <c r="AS24" s="61">
        <f>45396-8272</f>
        <v>37124</v>
      </c>
      <c r="AT24" s="61">
        <f>33566-8366</f>
        <v>25200</v>
      </c>
      <c r="AU24" s="61"/>
      <c r="AV24" s="61"/>
      <c r="AW24" s="61"/>
      <c r="AX24" s="61"/>
      <c r="AY24" s="61"/>
      <c r="AZ24" s="61"/>
      <c r="BA24" s="61"/>
      <c r="BB24" s="80">
        <f>SUM(Financials20263[[#This Row],[Jan AC]:[Dec AC]])</f>
        <v>158862</v>
      </c>
      <c r="BC24" s="71">
        <f>Financials20263[[#This Row],[Jan AC]]-Financials20263[[#This Row],[Jan FC]]</f>
        <v>-8224</v>
      </c>
      <c r="BD24" s="71">
        <f>Financials20263[[#This Row],[Feb AC]]-Financials20263[[#This Row],[Feb FC]]</f>
        <v>-11294</v>
      </c>
      <c r="BE24" s="71">
        <f>Financials20263[[#This Row],[Mar AC]]-Financials20263[[#This Row],[Mar FC]]</f>
        <v>376</v>
      </c>
      <c r="BF24" s="71">
        <f>Financials20263[[#This Row],[Apr AC]]-Financials20263[[#This Row],[Apr FC]]</f>
        <v>-1436</v>
      </c>
      <c r="BG24" s="71">
        <f>Financials20263[[#This Row],[May AC]]-Financials20263[[#This Row],[May FC]]</f>
        <v>-13360</v>
      </c>
      <c r="BH24" s="71">
        <f>Financials20263[[#This Row],[Jun AC]]-Financials20263[[#This Row],[Jun FC]]</f>
        <v>-22720</v>
      </c>
      <c r="BI24" s="71">
        <f>Financials20263[[#This Row],[Jul AC]]-Financials20263[[#This Row],[Jul FC]]</f>
        <v>-22720</v>
      </c>
      <c r="BJ24" s="71">
        <f>Financials20263[[#This Row],[Aug AC]]-Financials20263[[#This Row],[Aug FC]]</f>
        <v>-22720</v>
      </c>
      <c r="BK24" s="71">
        <f>Financials20263[[#This Row],[Sep AC]]-Financials20263[[#This Row],[Sep FC]]</f>
        <v>-22720</v>
      </c>
      <c r="BL24" s="71">
        <f>Financials20263[[#This Row],[Oct AC]]-Financials20263[[#This Row],[Oct FC]]</f>
        <v>-22720</v>
      </c>
      <c r="BM24" s="71">
        <f>Financials20263[[#This Row],[Nov AC]]-Financials20263[[#This Row],[Nov FC]]</f>
        <v>-22720</v>
      </c>
      <c r="BN24" s="71">
        <f>Financials20263[[#This Row],[Dec AC]]-Financials20263[[#This Row],[Dec FC]]</f>
        <v>-22720</v>
      </c>
      <c r="BO24" s="71">
        <f>SUM(Financials20263[[#This Row],[Jan Opp/Risk]:[Dec Opp./Risk]])</f>
        <v>-192978</v>
      </c>
      <c r="BP24" s="89" t="s">
        <v>571</v>
      </c>
      <c r="BQ24" s="47">
        <f>SUM(Financials20263[[#This Row],[Jan AC]:[May AC]])</f>
        <v>158862</v>
      </c>
      <c r="BR24" s="6">
        <f>Financials20263[[#This Row],[2026 (Actuals + Forecast)]]-Financials20263[[#This Row],[Jan-May Actuals]]-Financials20263[[#This Row],[Jun-Dec FC]]</f>
        <v>0</v>
      </c>
      <c r="BS24" s="6">
        <f>Financials20263[[#This Row],[Jun-Dec FC]]+Financials20263[[#This Row],[Jan-May Forecast ]]</f>
        <v>159040</v>
      </c>
      <c r="BT24" s="6">
        <f>SUM(Financials20263[[#This Row],[Jan FC]:[May FC]])</f>
        <v>192800</v>
      </c>
      <c r="BU24" s="6">
        <f>Financials20263[[#This Row],[Jan-May Actuals]]+Financials20263[[#This Row],[Forecast Jun-Dec]]</f>
        <v>317902</v>
      </c>
      <c r="BV24" s="6"/>
      <c r="BW24" s="6"/>
      <c r="BX24" s="6"/>
    </row>
    <row r="25" spans="1:76">
      <c r="A25" s="22" t="s">
        <v>473</v>
      </c>
      <c r="B25" s="21" t="s">
        <v>164</v>
      </c>
      <c r="C25" s="21" t="s">
        <v>569</v>
      </c>
      <c r="D25" s="10" t="s">
        <v>564</v>
      </c>
      <c r="E25" s="7" t="s">
        <v>564</v>
      </c>
      <c r="F25" s="3" t="s">
        <v>565</v>
      </c>
      <c r="G25" s="3" t="s">
        <v>22</v>
      </c>
      <c r="H25" s="4">
        <v>46023</v>
      </c>
      <c r="I25" s="4">
        <v>46387</v>
      </c>
      <c r="J25" s="3"/>
      <c r="K25" s="3" t="str">
        <f t="shared" si="0"/>
        <v>T&amp;M-T&amp;M</v>
      </c>
      <c r="L25" s="21" t="s">
        <v>499</v>
      </c>
      <c r="M25" s="21" t="s">
        <v>13</v>
      </c>
      <c r="N25" s="21" t="s">
        <v>567</v>
      </c>
      <c r="O25" s="21" t="s">
        <v>564</v>
      </c>
      <c r="P25" s="21" t="s">
        <v>501</v>
      </c>
      <c r="Q25" s="21" t="s">
        <v>502</v>
      </c>
      <c r="R25" s="21" t="s">
        <v>503</v>
      </c>
      <c r="S25" s="21" t="s">
        <v>504</v>
      </c>
      <c r="T25" s="5">
        <v>3007993</v>
      </c>
      <c r="U25" s="15">
        <v>1527639.5780478038</v>
      </c>
      <c r="V25" s="15">
        <v>1505280</v>
      </c>
      <c r="W25" s="15">
        <f t="shared" si="1"/>
        <v>1168776</v>
      </c>
      <c r="X25" s="15">
        <f t="shared" si="7"/>
        <v>-336504</v>
      </c>
      <c r="Y25" s="15">
        <f t="shared" si="2"/>
        <v>0</v>
      </c>
      <c r="Z25" s="15">
        <f>SUM(Financials20263[[#This Row],[2026 Opportunity]:[2026 Risk]])</f>
        <v>-336504</v>
      </c>
      <c r="AA25" s="3" t="s">
        <v>570</v>
      </c>
      <c r="AB25" s="53">
        <f>Financials20263[[#This Row],[2026 Final Budget]]/12</f>
        <v>125440</v>
      </c>
      <c r="AC25" s="53">
        <f>Financials20263[[#This Row],[2026 Final Budget]]/12</f>
        <v>125440</v>
      </c>
      <c r="AD25" s="53">
        <f>Financials20263[[#This Row],[2026 Final Budget]]/12</f>
        <v>125440</v>
      </c>
      <c r="AE25" s="53">
        <f>Financials20263[[#This Row],[2026 Final Budget]]/12</f>
        <v>125440</v>
      </c>
      <c r="AF25" s="53">
        <f>Financials20263[[#This Row],[2026 Final Budget]]/12</f>
        <v>125440</v>
      </c>
      <c r="AG25" s="53">
        <f>(Financials20263[[#This Row],[2026 Final Budget]]/12)-21000</f>
        <v>104440</v>
      </c>
      <c r="AH25" s="53">
        <f>(Financials20263[[#This Row],[2026 Final Budget]]/12)-21000</f>
        <v>104440</v>
      </c>
      <c r="AI25" s="53">
        <f>(Financials20263[[#This Row],[2026 Final Budget]]/12)-21000-17920</f>
        <v>86520</v>
      </c>
      <c r="AJ25" s="53">
        <f>(Financials20263[[#This Row],[2026 Final Budget]]/12)-21000-17920</f>
        <v>86520</v>
      </c>
      <c r="AK25" s="53">
        <f>(Financials20263[[#This Row],[2026 Final Budget]]/12)-21000-17920</f>
        <v>86520</v>
      </c>
      <c r="AL25" s="53">
        <f>(Financials20263[[#This Row],[2026 Final Budget]]/12)-21000-17920</f>
        <v>86520</v>
      </c>
      <c r="AM25" s="53">
        <f>(Financials20263[[#This Row],[2026 Final Budget]]/12)-21000-17920</f>
        <v>86520</v>
      </c>
      <c r="AN25" s="52">
        <f>SUM(Financials20263[[#This Row],[Jan FC]:[Dec FC]])</f>
        <v>1268680</v>
      </c>
      <c r="AO25" s="15">
        <f t="shared" si="5"/>
        <v>641480</v>
      </c>
      <c r="AP25" s="62">
        <v>108864</v>
      </c>
      <c r="AQ25" s="61">
        <v>104184</v>
      </c>
      <c r="AR25" s="61">
        <v>129488</v>
      </c>
      <c r="AS25" s="61">
        <v>93120</v>
      </c>
      <c r="AT25" s="61">
        <v>91640</v>
      </c>
      <c r="AU25" s="61"/>
      <c r="AV25" s="61"/>
      <c r="AW25" s="61"/>
      <c r="AX25" s="61"/>
      <c r="AY25" s="61"/>
      <c r="AZ25" s="61"/>
      <c r="BA25" s="61"/>
      <c r="BB25" s="80">
        <f>SUM(Financials20263[[#This Row],[Jan AC]:[Dec AC]])</f>
        <v>527296</v>
      </c>
      <c r="BC25" s="71">
        <f>Financials20263[[#This Row],[Jan AC]]-Financials20263[[#This Row],[Jan FC]]</f>
        <v>-16576</v>
      </c>
      <c r="BD25" s="71">
        <f>Financials20263[[#This Row],[Feb AC]]-Financials20263[[#This Row],[Feb FC]]</f>
        <v>-21256</v>
      </c>
      <c r="BE25" s="71">
        <f>Financials20263[[#This Row],[Mar AC]]-Financials20263[[#This Row],[Mar FC]]</f>
        <v>4048</v>
      </c>
      <c r="BF25" s="71">
        <f>Financials20263[[#This Row],[Apr AC]]-Financials20263[[#This Row],[Apr FC]]</f>
        <v>-32320</v>
      </c>
      <c r="BG25" s="71">
        <f>Financials20263[[#This Row],[May AC]]-Financials20263[[#This Row],[May FC]]</f>
        <v>-33800</v>
      </c>
      <c r="BH25" s="71">
        <f>Financials20263[[#This Row],[Jun AC]]-Financials20263[[#This Row],[Jun FC]]</f>
        <v>-104440</v>
      </c>
      <c r="BI25" s="71">
        <f>Financials20263[[#This Row],[Jul AC]]-Financials20263[[#This Row],[Jul FC]]</f>
        <v>-104440</v>
      </c>
      <c r="BJ25" s="71">
        <f>Financials20263[[#This Row],[Aug AC]]-Financials20263[[#This Row],[Aug FC]]</f>
        <v>-86520</v>
      </c>
      <c r="BK25" s="71">
        <f>Financials20263[[#This Row],[Sep AC]]-Financials20263[[#This Row],[Sep FC]]</f>
        <v>-86520</v>
      </c>
      <c r="BL25" s="71">
        <f>Financials20263[[#This Row],[Oct AC]]-Financials20263[[#This Row],[Oct FC]]</f>
        <v>-86520</v>
      </c>
      <c r="BM25" s="71">
        <f>Financials20263[[#This Row],[Nov AC]]-Financials20263[[#This Row],[Nov FC]]</f>
        <v>-86520</v>
      </c>
      <c r="BN25" s="71">
        <f>Financials20263[[#This Row],[Dec AC]]-Financials20263[[#This Row],[Dec FC]]</f>
        <v>-86520</v>
      </c>
      <c r="BO25" s="71">
        <f>SUM(Financials20263[[#This Row],[Jan Opp/Risk]:[Dec Opp./Risk]])</f>
        <v>-741384</v>
      </c>
      <c r="BP25" s="89" t="s">
        <v>572</v>
      </c>
      <c r="BQ25" s="47">
        <f>SUM(Financials20263[[#This Row],[Jan AC]:[May AC]])</f>
        <v>527296</v>
      </c>
      <c r="BR25" s="6">
        <f>Financials20263[[#This Row],[2026 (Actuals + Forecast)]]-Financials20263[[#This Row],[Jan-May Actuals]]-Financials20263[[#This Row],[Jun-Dec FC]]</f>
        <v>0</v>
      </c>
      <c r="BS25" s="6">
        <f>Financials20263[[#This Row],[Jun-Dec FC]]+Financials20263[[#This Row],[Jan-May Forecast ]]</f>
        <v>641480</v>
      </c>
      <c r="BT25" s="6">
        <f>SUM(Financials20263[[#This Row],[Jan FC]:[May FC]])</f>
        <v>627200</v>
      </c>
      <c r="BU25" s="6">
        <f>Financials20263[[#This Row],[Jan-May Actuals]]+Financials20263[[#This Row],[Forecast Jun-Dec]]</f>
        <v>1168776</v>
      </c>
      <c r="BV25" s="6"/>
      <c r="BW25" s="6"/>
      <c r="BX25" s="6"/>
    </row>
    <row r="26" spans="1:76">
      <c r="A26" s="22" t="s">
        <v>473</v>
      </c>
      <c r="B26" s="21" t="s">
        <v>164</v>
      </c>
      <c r="C26" s="21" t="s">
        <v>569</v>
      </c>
      <c r="D26" s="10" t="s">
        <v>564</v>
      </c>
      <c r="E26" s="7" t="s">
        <v>564</v>
      </c>
      <c r="F26" s="3" t="s">
        <v>565</v>
      </c>
      <c r="G26" s="3" t="s">
        <v>25</v>
      </c>
      <c r="H26" s="4">
        <v>46023</v>
      </c>
      <c r="I26" s="4">
        <v>46387</v>
      </c>
      <c r="J26" s="3"/>
      <c r="K26" s="3" t="str">
        <f t="shared" si="0"/>
        <v>T&amp;M-T&amp;M</v>
      </c>
      <c r="L26" s="21" t="s">
        <v>499</v>
      </c>
      <c r="M26" s="21" t="s">
        <v>13</v>
      </c>
      <c r="N26" s="21" t="s">
        <v>567</v>
      </c>
      <c r="O26" s="21" t="s">
        <v>564</v>
      </c>
      <c r="P26" s="21" t="s">
        <v>501</v>
      </c>
      <c r="Q26" s="21" t="s">
        <v>502</v>
      </c>
      <c r="R26" s="21" t="s">
        <v>503</v>
      </c>
      <c r="S26" s="21" t="s">
        <v>504</v>
      </c>
      <c r="T26" s="5">
        <v>3007993</v>
      </c>
      <c r="U26" s="15">
        <v>116948.48444385102</v>
      </c>
      <c r="V26" s="15">
        <v>291840</v>
      </c>
      <c r="W26" s="15">
        <f t="shared" si="1"/>
        <v>294272</v>
      </c>
      <c r="X26" s="15">
        <f t="shared" si="7"/>
        <v>0</v>
      </c>
      <c r="Y26" s="15">
        <f t="shared" si="2"/>
        <v>2432</v>
      </c>
      <c r="Z26" s="15">
        <f>SUM(Financials20263[[#This Row],[2026 Opportunity]:[2026 Risk]])</f>
        <v>2432</v>
      </c>
      <c r="AA26" s="3" t="s">
        <v>570</v>
      </c>
      <c r="AB26" s="53">
        <f>Financials20263[[#This Row],[2026 Final Budget]]/12</f>
        <v>24320</v>
      </c>
      <c r="AC26" s="53">
        <f>Financials20263[[#This Row],[2026 Final Budget]]/12</f>
        <v>24320</v>
      </c>
      <c r="AD26" s="53">
        <f>Financials20263[[#This Row],[2026 Final Budget]]/12</f>
        <v>24320</v>
      </c>
      <c r="AE26" s="53">
        <f>Financials20263[[#This Row],[2026 Final Budget]]/12</f>
        <v>24320</v>
      </c>
      <c r="AF26" s="53">
        <f>Financials20263[[#This Row],[2026 Final Budget]]/12</f>
        <v>24320</v>
      </c>
      <c r="AG26" s="53">
        <f>Financials20263[[#This Row],[2026 Final Budget]]/12</f>
        <v>24320</v>
      </c>
      <c r="AH26" s="53">
        <f>Financials20263[[#This Row],[2026 Final Budget]]/12</f>
        <v>24320</v>
      </c>
      <c r="AI26" s="53">
        <f>Financials20263[[#This Row],[2026 Final Budget]]/12</f>
        <v>24320</v>
      </c>
      <c r="AJ26" s="53">
        <f>Financials20263[[#This Row],[2026 Final Budget]]/12</f>
        <v>24320</v>
      </c>
      <c r="AK26" s="53">
        <f>Financials20263[[#This Row],[2026 Final Budget]]/12</f>
        <v>24320</v>
      </c>
      <c r="AL26" s="53">
        <f>Financials20263[[#This Row],[2026 Final Budget]]/12</f>
        <v>24320</v>
      </c>
      <c r="AM26" s="53">
        <f>Financials20263[[#This Row],[2026 Final Budget]]/12</f>
        <v>24320</v>
      </c>
      <c r="AN26" s="52">
        <f>SUM(Financials20263[[#This Row],[Jan FC]:[Dec FC]])</f>
        <v>291840</v>
      </c>
      <c r="AO26" s="15">
        <f t="shared" si="5"/>
        <v>170240</v>
      </c>
      <c r="AP26" s="62">
        <v>24320</v>
      </c>
      <c r="AQ26" s="61">
        <v>24320</v>
      </c>
      <c r="AR26" s="61">
        <v>26752</v>
      </c>
      <c r="AS26" s="61">
        <f>31640-4888</f>
        <v>26752</v>
      </c>
      <c r="AT26" s="61">
        <f>29925-8037</f>
        <v>21888</v>
      </c>
      <c r="AU26" s="61"/>
      <c r="AV26" s="61"/>
      <c r="AW26" s="61"/>
      <c r="AX26" s="61"/>
      <c r="AY26" s="61"/>
      <c r="AZ26" s="61"/>
      <c r="BA26" s="61"/>
      <c r="BB26" s="80">
        <f>SUM(Financials20263[[#This Row],[Jan AC]:[Dec AC]])</f>
        <v>124032</v>
      </c>
      <c r="BC26" s="71">
        <f>Financials20263[[#This Row],[Jan AC]]-Financials20263[[#This Row],[Jan FC]]</f>
        <v>0</v>
      </c>
      <c r="BD26" s="71">
        <f>Financials20263[[#This Row],[Feb AC]]-Financials20263[[#This Row],[Feb FC]]</f>
        <v>0</v>
      </c>
      <c r="BE26" s="71">
        <f>Financials20263[[#This Row],[Mar AC]]-Financials20263[[#This Row],[Mar FC]]</f>
        <v>2432</v>
      </c>
      <c r="BF26" s="71">
        <f>Financials20263[[#This Row],[Apr AC]]-Financials20263[[#This Row],[Apr FC]]</f>
        <v>2432</v>
      </c>
      <c r="BG26" s="71">
        <f>Financials20263[[#This Row],[May AC]]-Financials20263[[#This Row],[May FC]]</f>
        <v>-2432</v>
      </c>
      <c r="BH26" s="71">
        <f>Financials20263[[#This Row],[Jun AC]]-Financials20263[[#This Row],[Jun FC]]</f>
        <v>-24320</v>
      </c>
      <c r="BI26" s="71">
        <f>Financials20263[[#This Row],[Jul AC]]-Financials20263[[#This Row],[Jul FC]]</f>
        <v>-24320</v>
      </c>
      <c r="BJ26" s="71">
        <f>Financials20263[[#This Row],[Aug AC]]-Financials20263[[#This Row],[Aug FC]]</f>
        <v>-24320</v>
      </c>
      <c r="BK26" s="71">
        <f>Financials20263[[#This Row],[Sep AC]]-Financials20263[[#This Row],[Sep FC]]</f>
        <v>-24320</v>
      </c>
      <c r="BL26" s="71">
        <f>Financials20263[[#This Row],[Oct AC]]-Financials20263[[#This Row],[Oct FC]]</f>
        <v>-24320</v>
      </c>
      <c r="BM26" s="71">
        <f>Financials20263[[#This Row],[Nov AC]]-Financials20263[[#This Row],[Nov FC]]</f>
        <v>-24320</v>
      </c>
      <c r="BN26" s="71">
        <f>Financials20263[[#This Row],[Dec AC]]-Financials20263[[#This Row],[Dec FC]]</f>
        <v>-24320</v>
      </c>
      <c r="BO26" s="71">
        <f>SUM(Financials20263[[#This Row],[Jan Opp/Risk]:[Dec Opp./Risk]])</f>
        <v>-167808</v>
      </c>
      <c r="BP26" s="89" t="s">
        <v>568</v>
      </c>
      <c r="BQ26" s="47">
        <f>SUM(Financials20263[[#This Row],[Jan AC]:[May AC]])</f>
        <v>124032</v>
      </c>
      <c r="BR26" s="6">
        <f>Financials20263[[#This Row],[2026 (Actuals + Forecast)]]-Financials20263[[#This Row],[Jan-May Actuals]]-Financials20263[[#This Row],[Jun-Dec FC]]</f>
        <v>0</v>
      </c>
      <c r="BS26" s="6">
        <f>Financials20263[[#This Row],[Jun-Dec FC]]+Financials20263[[#This Row],[Jan-May Forecast ]]</f>
        <v>170240</v>
      </c>
      <c r="BT26" s="6">
        <f>SUM(Financials20263[[#This Row],[Jan FC]:[May FC]])</f>
        <v>121600</v>
      </c>
      <c r="BU26" s="6">
        <f>Financials20263[[#This Row],[Jan-May Actuals]]+Financials20263[[#This Row],[Forecast Jun-Dec]]</f>
        <v>294272</v>
      </c>
      <c r="BV26" s="6"/>
      <c r="BW26" s="6"/>
      <c r="BX26" s="6"/>
    </row>
    <row r="27" spans="1:76">
      <c r="A27" s="22" t="s">
        <v>473</v>
      </c>
      <c r="B27" s="21" t="s">
        <v>206</v>
      </c>
      <c r="C27" s="21" t="s">
        <v>573</v>
      </c>
      <c r="D27" s="10" t="s">
        <v>574</v>
      </c>
      <c r="E27" s="7" t="s">
        <v>575</v>
      </c>
      <c r="F27" s="3" t="s">
        <v>561</v>
      </c>
      <c r="G27" s="3" t="s">
        <v>20</v>
      </c>
      <c r="H27" s="4" t="s">
        <v>521</v>
      </c>
      <c r="I27" s="4" t="s">
        <v>521</v>
      </c>
      <c r="J27" s="3"/>
      <c r="K27" s="3" t="str">
        <f t="shared" si="0"/>
        <v>Prj000467-Support - Enterprise Tech Helpdesk</v>
      </c>
      <c r="L27" s="21" t="s">
        <v>499</v>
      </c>
      <c r="M27" s="21" t="s">
        <v>14</v>
      </c>
      <c r="N27" s="21" t="s">
        <v>500</v>
      </c>
      <c r="O27" s="21" t="s">
        <v>10</v>
      </c>
      <c r="P27" s="21" t="s">
        <v>501</v>
      </c>
      <c r="Q27" s="21" t="s">
        <v>502</v>
      </c>
      <c r="R27" s="21" t="s">
        <v>503</v>
      </c>
      <c r="S27" s="21" t="s">
        <v>504</v>
      </c>
      <c r="T27" s="5">
        <v>178950</v>
      </c>
      <c r="U27" s="15">
        <v>190000</v>
      </c>
      <c r="V27" s="15">
        <v>190000</v>
      </c>
      <c r="W27" s="15">
        <f t="shared" si="1"/>
        <v>116650</v>
      </c>
      <c r="X27" s="15">
        <f t="shared" si="7"/>
        <v>-73350</v>
      </c>
      <c r="Y27" s="15">
        <f t="shared" si="2"/>
        <v>0</v>
      </c>
      <c r="Z27" s="15">
        <f>SUM(Financials20263[[#This Row],[2026 Opportunity]:[2026 Risk]])</f>
        <v>-73350</v>
      </c>
      <c r="AA27" s="3" t="s">
        <v>576</v>
      </c>
      <c r="AB27" s="52">
        <v>15000</v>
      </c>
      <c r="AC27" s="52">
        <v>15000</v>
      </c>
      <c r="AD27" s="52">
        <v>15000</v>
      </c>
      <c r="AE27" s="52">
        <v>15000</v>
      </c>
      <c r="AF27" s="52">
        <v>15000</v>
      </c>
      <c r="AG27" s="52">
        <v>5950</v>
      </c>
      <c r="AH27" s="52">
        <v>5950</v>
      </c>
      <c r="AI27" s="52">
        <v>5950</v>
      </c>
      <c r="AJ27" s="52">
        <v>5950</v>
      </c>
      <c r="AK27" s="52">
        <v>5950</v>
      </c>
      <c r="AL27" s="52">
        <v>5950</v>
      </c>
      <c r="AM27" s="52">
        <v>5950</v>
      </c>
      <c r="AN27" s="52">
        <f>SUM(Financials20263[[#This Row],[Jan FC]:[Dec FC]])</f>
        <v>116650</v>
      </c>
      <c r="AO27" s="15">
        <f t="shared" si="5"/>
        <v>41650</v>
      </c>
      <c r="AP27" s="61">
        <v>15000</v>
      </c>
      <c r="AQ27" s="61">
        <v>15000</v>
      </c>
      <c r="AR27" s="61">
        <v>15000</v>
      </c>
      <c r="AS27" s="61">
        <v>15000</v>
      </c>
      <c r="AT27" s="61">
        <v>15000</v>
      </c>
      <c r="AU27" s="61">
        <v>5950</v>
      </c>
      <c r="AV27" s="61"/>
      <c r="AW27" s="61"/>
      <c r="AX27" s="61"/>
      <c r="AY27" s="61"/>
      <c r="AZ27" s="61"/>
      <c r="BA27" s="61"/>
      <c r="BB27" s="80">
        <f>SUM(Financials20263[[#This Row],[Jan AC]:[Dec AC]])</f>
        <v>80950</v>
      </c>
      <c r="BC27" s="71">
        <f>Financials20263[[#This Row],[Jan AC]]-Financials20263[[#This Row],[Jan FC]]</f>
        <v>0</v>
      </c>
      <c r="BD27" s="71">
        <f>Financials20263[[#This Row],[Feb AC]]-Financials20263[[#This Row],[Feb FC]]</f>
        <v>0</v>
      </c>
      <c r="BE27" s="71">
        <f>Financials20263[[#This Row],[Mar AC]]-Financials20263[[#This Row],[Mar FC]]</f>
        <v>0</v>
      </c>
      <c r="BF27" s="71">
        <f>Financials20263[[#This Row],[Apr AC]]-Financials20263[[#This Row],[Apr FC]]</f>
        <v>0</v>
      </c>
      <c r="BG27" s="71">
        <f>Financials20263[[#This Row],[May AC]]-Financials20263[[#This Row],[May FC]]</f>
        <v>0</v>
      </c>
      <c r="BH27" s="71">
        <f>Financials20263[[#This Row],[Jun AC]]-Financials20263[[#This Row],[Jun FC]]</f>
        <v>0</v>
      </c>
      <c r="BI27" s="71">
        <f>Financials20263[[#This Row],[Jul AC]]-Financials20263[[#This Row],[Jul FC]]</f>
        <v>-5950</v>
      </c>
      <c r="BJ27" s="71">
        <f>Financials20263[[#This Row],[Aug AC]]-Financials20263[[#This Row],[Aug FC]]</f>
        <v>-5950</v>
      </c>
      <c r="BK27" s="71">
        <f>Financials20263[[#This Row],[Sep AC]]-Financials20263[[#This Row],[Sep FC]]</f>
        <v>-5950</v>
      </c>
      <c r="BL27" s="71">
        <f>Financials20263[[#This Row],[Oct AC]]-Financials20263[[#This Row],[Oct FC]]</f>
        <v>-5950</v>
      </c>
      <c r="BM27" s="71">
        <f>Financials20263[[#This Row],[Nov AC]]-Financials20263[[#This Row],[Nov FC]]</f>
        <v>-5950</v>
      </c>
      <c r="BN27" s="71">
        <f>Financials20263[[#This Row],[Dec AC]]-Financials20263[[#This Row],[Dec FC]]</f>
        <v>-5950</v>
      </c>
      <c r="BO27" s="71">
        <f>SUM(Financials20263[[#This Row],[Jan Opp/Risk]:[Dec Opp./Risk]])</f>
        <v>-35700</v>
      </c>
      <c r="BP27" s="87" t="s">
        <v>531</v>
      </c>
      <c r="BQ27" s="47">
        <f>SUM(Financials20263[[#This Row],[Jan AC]:[May AC]])</f>
        <v>75000</v>
      </c>
      <c r="BR27" s="6">
        <f>Financials20263[[#This Row],[2026 (Actuals + Forecast)]]-Financials20263[[#This Row],[Jan-May Actuals]]-Financials20263[[#This Row],[Jun-Dec FC]]</f>
        <v>0</v>
      </c>
      <c r="BS27" s="6">
        <f>Financials20263[[#This Row],[Jun-Dec FC]]+Financials20263[[#This Row],[Jan-May Forecast ]]</f>
        <v>41650</v>
      </c>
      <c r="BT27" s="6">
        <f>SUM(Financials20263[[#This Row],[Jan FC]:[May FC]])</f>
        <v>75000</v>
      </c>
      <c r="BU27" s="6">
        <f>Financials20263[[#This Row],[Jan-May Actuals]]+Financials20263[[#This Row],[Forecast Jun-Dec]]</f>
        <v>116650</v>
      </c>
      <c r="BV27" s="6"/>
      <c r="BW27" s="6"/>
      <c r="BX27" s="6"/>
    </row>
    <row r="28" spans="1:76" ht="72">
      <c r="A28" s="22" t="s">
        <v>473</v>
      </c>
      <c r="B28" s="21" t="s">
        <v>44</v>
      </c>
      <c r="C28" s="21"/>
      <c r="D28" s="10" t="s">
        <v>577</v>
      </c>
      <c r="E28" s="7" t="s">
        <v>578</v>
      </c>
      <c r="F28" s="3" t="s">
        <v>561</v>
      </c>
      <c r="G28" s="3" t="s">
        <v>23</v>
      </c>
      <c r="H28" s="4">
        <v>46023</v>
      </c>
      <c r="I28" s="4">
        <v>46387</v>
      </c>
      <c r="J28" s="3"/>
      <c r="K28" s="3" t="str">
        <f t="shared" si="0"/>
        <v>Prj000404-Support - QA CoE Management for Tech Horizontals</v>
      </c>
      <c r="L28" s="21" t="s">
        <v>499</v>
      </c>
      <c r="M28" s="21" t="s">
        <v>14</v>
      </c>
      <c r="N28" s="21" t="s">
        <v>500</v>
      </c>
      <c r="O28" s="21" t="s">
        <v>579</v>
      </c>
      <c r="P28" s="21" t="s">
        <v>501</v>
      </c>
      <c r="Q28" s="21" t="s">
        <v>502</v>
      </c>
      <c r="R28" s="21" t="s">
        <v>503</v>
      </c>
      <c r="S28" s="21" t="s">
        <v>504</v>
      </c>
      <c r="T28" s="5">
        <v>780191</v>
      </c>
      <c r="U28" s="15">
        <v>345000</v>
      </c>
      <c r="V28" s="15">
        <v>345000</v>
      </c>
      <c r="W28" s="15">
        <f t="shared" si="1"/>
        <v>592000</v>
      </c>
      <c r="X28" s="15">
        <f t="shared" si="7"/>
        <v>0</v>
      </c>
      <c r="Y28" s="15">
        <f t="shared" si="2"/>
        <v>247000</v>
      </c>
      <c r="Z28" s="15">
        <f>SUM(Financials20263[[#This Row],[2026 Opportunity]:[2026 Risk]])</f>
        <v>247000</v>
      </c>
      <c r="AA28" s="11" t="s">
        <v>580</v>
      </c>
      <c r="AB28" s="52">
        <f>Financials20263[[#This Row],[2026 Final Budget]]/12</f>
        <v>28750</v>
      </c>
      <c r="AC28" s="52">
        <f>Financials20263[[#This Row],[2026 Final Budget]]/12</f>
        <v>28750</v>
      </c>
      <c r="AD28" s="52">
        <v>41750</v>
      </c>
      <c r="AE28" s="52">
        <v>54750</v>
      </c>
      <c r="AF28" s="52">
        <v>54750</v>
      </c>
      <c r="AG28" s="52">
        <v>54750</v>
      </c>
      <c r="AH28" s="52">
        <v>54750</v>
      </c>
      <c r="AI28" s="52">
        <v>54750</v>
      </c>
      <c r="AJ28" s="52">
        <v>54750</v>
      </c>
      <c r="AK28" s="52">
        <v>54750</v>
      </c>
      <c r="AL28" s="52">
        <v>54750</v>
      </c>
      <c r="AM28" s="52">
        <v>54750</v>
      </c>
      <c r="AN28" s="52">
        <f>SUM(Financials20263[[#This Row],[Jan FC]:[Dec FC]])</f>
        <v>592000</v>
      </c>
      <c r="AO28" s="15">
        <f t="shared" si="5"/>
        <v>383250</v>
      </c>
      <c r="AP28" s="61">
        <v>28750</v>
      </c>
      <c r="AQ28" s="61">
        <v>28750</v>
      </c>
      <c r="AR28" s="61">
        <v>41750</v>
      </c>
      <c r="AS28" s="61">
        <v>54750</v>
      </c>
      <c r="AT28" s="61"/>
      <c r="AU28" s="61"/>
      <c r="AV28" s="61"/>
      <c r="AW28" s="61"/>
      <c r="AX28" s="61"/>
      <c r="AY28" s="61"/>
      <c r="AZ28" s="61"/>
      <c r="BA28" s="61"/>
      <c r="BB28" s="80">
        <f>SUM(Financials20263[[#This Row],[Jan AC]:[Dec AC]])</f>
        <v>154000</v>
      </c>
      <c r="BC28" s="71">
        <f>Financials20263[[#This Row],[Jan AC]]-Financials20263[[#This Row],[Jan FC]]</f>
        <v>0</v>
      </c>
      <c r="BD28" s="71">
        <f>Financials20263[[#This Row],[Feb AC]]-Financials20263[[#This Row],[Feb FC]]</f>
        <v>0</v>
      </c>
      <c r="BE28" s="71">
        <f>Financials20263[[#This Row],[Mar AC]]-Financials20263[[#This Row],[Mar FC]]</f>
        <v>0</v>
      </c>
      <c r="BF28" s="71">
        <f>Financials20263[[#This Row],[Apr AC]]-Financials20263[[#This Row],[Apr FC]]</f>
        <v>0</v>
      </c>
      <c r="BG28" s="71">
        <f>Financials20263[[#This Row],[May AC]]-Financials20263[[#This Row],[May FC]]</f>
        <v>-54750</v>
      </c>
      <c r="BH28" s="71">
        <f>Financials20263[[#This Row],[Jun AC]]-Financials20263[[#This Row],[Jun FC]]</f>
        <v>-54750</v>
      </c>
      <c r="BI28" s="71">
        <f>Financials20263[[#This Row],[Jul AC]]-Financials20263[[#This Row],[Jul FC]]</f>
        <v>-54750</v>
      </c>
      <c r="BJ28" s="71">
        <f>Financials20263[[#This Row],[Aug AC]]-Financials20263[[#This Row],[Aug FC]]</f>
        <v>-54750</v>
      </c>
      <c r="BK28" s="71">
        <f>Financials20263[[#This Row],[Sep AC]]-Financials20263[[#This Row],[Sep FC]]</f>
        <v>-54750</v>
      </c>
      <c r="BL28" s="71">
        <f>Financials20263[[#This Row],[Oct AC]]-Financials20263[[#This Row],[Oct FC]]</f>
        <v>-54750</v>
      </c>
      <c r="BM28" s="71">
        <f>Financials20263[[#This Row],[Nov AC]]-Financials20263[[#This Row],[Nov FC]]</f>
        <v>-54750</v>
      </c>
      <c r="BN28" s="71">
        <f>Financials20263[[#This Row],[Dec AC]]-Financials20263[[#This Row],[Dec FC]]</f>
        <v>-54750</v>
      </c>
      <c r="BO28" s="71">
        <f>SUM(Financials20263[[#This Row],[Jan Opp/Risk]:[Dec Opp./Risk]])</f>
        <v>-438000</v>
      </c>
      <c r="BP28" s="87" t="s">
        <v>581</v>
      </c>
      <c r="BQ28" s="47">
        <f>SUM(Financials20263[[#This Row],[Jan AC]:[May AC]])</f>
        <v>154000</v>
      </c>
      <c r="BR28" s="6">
        <f>Financials20263[[#This Row],[2026 (Actuals + Forecast)]]-Financials20263[[#This Row],[Jan-May Actuals]]-Financials20263[[#This Row],[Jun-Dec FC]]</f>
        <v>54750</v>
      </c>
      <c r="BS28" s="6">
        <f>Financials20263[[#This Row],[Jun-Dec FC]]+Financials20263[[#This Row],[Jan-May Forecast ]]</f>
        <v>438000</v>
      </c>
      <c r="BT28" s="6">
        <f>SUM(Financials20263[[#This Row],[Jan FC]:[May FC]])</f>
        <v>208750</v>
      </c>
      <c r="BU28" s="6">
        <f>Financials20263[[#This Row],[Jan-May Actuals]]+Financials20263[[#This Row],[Forecast Jun-Dec]]</f>
        <v>592000</v>
      </c>
      <c r="BV28" s="6"/>
      <c r="BW28" s="6"/>
      <c r="BX28" s="6"/>
    </row>
    <row r="29" spans="1:76">
      <c r="A29" s="22" t="s">
        <v>473</v>
      </c>
      <c r="B29" s="21" t="s">
        <v>44</v>
      </c>
      <c r="C29" s="21"/>
      <c r="D29" s="10" t="s">
        <v>564</v>
      </c>
      <c r="E29" s="7" t="s">
        <v>564</v>
      </c>
      <c r="F29" s="3" t="s">
        <v>565</v>
      </c>
      <c r="G29" s="3" t="s">
        <v>20</v>
      </c>
      <c r="H29" s="4">
        <v>46023</v>
      </c>
      <c r="I29" s="4">
        <v>46387</v>
      </c>
      <c r="J29" s="3"/>
      <c r="K29" s="3" t="str">
        <f t="shared" si="0"/>
        <v>T&amp;M-T&amp;M</v>
      </c>
      <c r="L29" s="21" t="s">
        <v>499</v>
      </c>
      <c r="M29" s="21" t="s">
        <v>13</v>
      </c>
      <c r="N29" s="21" t="s">
        <v>567</v>
      </c>
      <c r="O29" s="21" t="s">
        <v>564</v>
      </c>
      <c r="P29" s="21" t="s">
        <v>501</v>
      </c>
      <c r="Q29" s="21" t="s">
        <v>502</v>
      </c>
      <c r="R29" s="21" t="s">
        <v>503</v>
      </c>
      <c r="S29" s="21" t="s">
        <v>504</v>
      </c>
      <c r="T29" s="5">
        <v>1019762.75</v>
      </c>
      <c r="U29" s="15">
        <v>180884.67598475222</v>
      </c>
      <c r="V29" s="15">
        <v>403200</v>
      </c>
      <c r="W29" s="15">
        <f t="shared" si="1"/>
        <v>558763.91999999993</v>
      </c>
      <c r="X29" s="15">
        <f t="shared" si="7"/>
        <v>0</v>
      </c>
      <c r="Y29" s="15">
        <f t="shared" si="2"/>
        <v>155563.91999999993</v>
      </c>
      <c r="Z29" s="15">
        <f>SUM(Financials20263[[#This Row],[2026 Opportunity]:[2026 Risk]])</f>
        <v>155563.91999999993</v>
      </c>
      <c r="AA29" s="3" t="s">
        <v>582</v>
      </c>
      <c r="AB29" s="52">
        <f>Financials20263[[#This Row],[2026 Final Budget]]/12</f>
        <v>33600</v>
      </c>
      <c r="AC29" s="52">
        <f>Financials20263[[#This Row],[2026 Final Budget]]/12</f>
        <v>33600</v>
      </c>
      <c r="AD29" s="52">
        <f>Financials20263[[#This Row],[2026 Final Budget]]/12</f>
        <v>33600</v>
      </c>
      <c r="AE29" s="52">
        <f>Financials20263[[#This Row],[2026 Final Budget]]/12</f>
        <v>33600</v>
      </c>
      <c r="AF29" s="52">
        <f>Financials20263[[#This Row],[2026 Final Budget]]/12</f>
        <v>33600</v>
      </c>
      <c r="AG29" s="52">
        <f>Financials20263[[#This Row],[2026 Final Budget]]/12</f>
        <v>33600</v>
      </c>
      <c r="AH29" s="52">
        <f>Financials20263[[#This Row],[2026 Final Budget]]/12</f>
        <v>33600</v>
      </c>
      <c r="AI29" s="52">
        <f>Financials20263[[#This Row],[2026 Final Budget]]/12</f>
        <v>33600</v>
      </c>
      <c r="AJ29" s="52">
        <f>Financials20263[[#This Row],[2026 Final Budget]]/12</f>
        <v>33600</v>
      </c>
      <c r="AK29" s="52">
        <f>Financials20263[[#This Row],[2026 Final Budget]]/12</f>
        <v>33600</v>
      </c>
      <c r="AL29" s="52">
        <f>Financials20263[[#This Row],[2026 Final Budget]]/12</f>
        <v>33600</v>
      </c>
      <c r="AM29" s="52">
        <f>Financials20263[[#This Row],[2026 Final Budget]]/12</f>
        <v>33600</v>
      </c>
      <c r="AN29" s="52">
        <f>SUM(Financials20263[[#This Row],[Jan FC]:[Dec FC]])</f>
        <v>403200</v>
      </c>
      <c r="AO29" s="15">
        <f t="shared" si="5"/>
        <v>235200</v>
      </c>
      <c r="AP29" s="61">
        <f>33600+23360.56</f>
        <v>56960.56</v>
      </c>
      <c r="AQ29" s="61">
        <f>28560+60962.8</f>
        <v>89522.8</v>
      </c>
      <c r="AR29" s="61">
        <v>106520.55999999998</v>
      </c>
      <c r="AS29" s="61">
        <v>36960</v>
      </c>
      <c r="AT29" s="61">
        <v>33600</v>
      </c>
      <c r="AU29" s="61"/>
      <c r="AV29" s="61"/>
      <c r="AW29" s="61"/>
      <c r="AX29" s="61"/>
      <c r="AY29" s="61"/>
      <c r="AZ29" s="61"/>
      <c r="BA29" s="61"/>
      <c r="BB29" s="80">
        <f>SUM(Financials20263[[#This Row],[Jan AC]:[Dec AC]])</f>
        <v>323563.92</v>
      </c>
      <c r="BC29" s="71">
        <f>Financials20263[[#This Row],[Jan AC]]-Financials20263[[#This Row],[Jan FC]]</f>
        <v>23360.559999999998</v>
      </c>
      <c r="BD29" s="71">
        <f>Financials20263[[#This Row],[Feb AC]]-Financials20263[[#This Row],[Feb FC]]</f>
        <v>55922.8</v>
      </c>
      <c r="BE29" s="71">
        <f>Financials20263[[#This Row],[Mar AC]]-Financials20263[[#This Row],[Mar FC]]</f>
        <v>72920.559999999983</v>
      </c>
      <c r="BF29" s="71">
        <f>Financials20263[[#This Row],[Apr AC]]-Financials20263[[#This Row],[Apr FC]]</f>
        <v>3360</v>
      </c>
      <c r="BG29" s="71">
        <f>Financials20263[[#This Row],[May AC]]-Financials20263[[#This Row],[May FC]]</f>
        <v>0</v>
      </c>
      <c r="BH29" s="71">
        <f>Financials20263[[#This Row],[Jun AC]]-Financials20263[[#This Row],[Jun FC]]</f>
        <v>-33600</v>
      </c>
      <c r="BI29" s="71">
        <f>Financials20263[[#This Row],[Jul AC]]-Financials20263[[#This Row],[Jul FC]]</f>
        <v>-33600</v>
      </c>
      <c r="BJ29" s="71">
        <f>Financials20263[[#This Row],[Aug AC]]-Financials20263[[#This Row],[Aug FC]]</f>
        <v>-33600</v>
      </c>
      <c r="BK29" s="71">
        <f>Financials20263[[#This Row],[Sep AC]]-Financials20263[[#This Row],[Sep FC]]</f>
        <v>-33600</v>
      </c>
      <c r="BL29" s="71">
        <f>Financials20263[[#This Row],[Oct AC]]-Financials20263[[#This Row],[Oct FC]]</f>
        <v>-33600</v>
      </c>
      <c r="BM29" s="71">
        <f>Financials20263[[#This Row],[Nov AC]]-Financials20263[[#This Row],[Nov FC]]</f>
        <v>-33600</v>
      </c>
      <c r="BN29" s="71">
        <f>Financials20263[[#This Row],[Dec AC]]-Financials20263[[#This Row],[Dec FC]]</f>
        <v>-33600</v>
      </c>
      <c r="BO29" s="71">
        <f>SUM(Financials20263[[#This Row],[Jan Opp/Risk]:[Dec Opp./Risk]])</f>
        <v>-79636.080000000016</v>
      </c>
      <c r="BP29" s="89" t="s">
        <v>568</v>
      </c>
      <c r="BQ29" s="47">
        <f>SUM(Financials20263[[#This Row],[Jan AC]:[May AC]])</f>
        <v>323563.92</v>
      </c>
      <c r="BR29" s="6">
        <f>Financials20263[[#This Row],[2026 (Actuals + Forecast)]]-Financials20263[[#This Row],[Jan-May Actuals]]-Financials20263[[#This Row],[Jun-Dec FC]]</f>
        <v>0</v>
      </c>
      <c r="BS29" s="6">
        <f>Financials20263[[#This Row],[Jun-Dec FC]]+Financials20263[[#This Row],[Jan-May Forecast ]]</f>
        <v>235200</v>
      </c>
      <c r="BT29" s="6">
        <f>SUM(Financials20263[[#This Row],[Jan FC]:[May FC]])</f>
        <v>168000</v>
      </c>
      <c r="BU29" s="6">
        <f>Financials20263[[#This Row],[Jan-May Actuals]]+Financials20263[[#This Row],[Forecast Jun-Dec]]</f>
        <v>558763.91999999993</v>
      </c>
      <c r="BV29" s="6"/>
      <c r="BW29" s="6"/>
      <c r="BX29" s="6"/>
    </row>
    <row r="30" spans="1:76">
      <c r="A30" s="22" t="s">
        <v>473</v>
      </c>
      <c r="B30" s="21" t="s">
        <v>44</v>
      </c>
      <c r="C30" s="21"/>
      <c r="D30" s="10" t="s">
        <v>564</v>
      </c>
      <c r="E30" s="7" t="s">
        <v>564</v>
      </c>
      <c r="F30" s="3" t="s">
        <v>565</v>
      </c>
      <c r="G30" s="3" t="s">
        <v>22</v>
      </c>
      <c r="H30" s="4">
        <v>46023</v>
      </c>
      <c r="I30" s="4">
        <v>46387</v>
      </c>
      <c r="J30" s="3"/>
      <c r="K30" s="3" t="str">
        <f t="shared" si="0"/>
        <v>T&amp;M-T&amp;M</v>
      </c>
      <c r="L30" s="21" t="s">
        <v>499</v>
      </c>
      <c r="M30" s="21" t="s">
        <v>13</v>
      </c>
      <c r="N30" s="21" t="s">
        <v>567</v>
      </c>
      <c r="O30" s="21" t="s">
        <v>564</v>
      </c>
      <c r="P30" s="21" t="s">
        <v>501</v>
      </c>
      <c r="Q30" s="21" t="s">
        <v>502</v>
      </c>
      <c r="R30" s="21" t="s">
        <v>503</v>
      </c>
      <c r="S30" s="21" t="s">
        <v>504</v>
      </c>
      <c r="T30" s="5">
        <v>1019762.75</v>
      </c>
      <c r="U30" s="15">
        <v>245679.18678526054</v>
      </c>
      <c r="V30" s="15">
        <v>252000</v>
      </c>
      <c r="W30" s="15">
        <f t="shared" si="1"/>
        <v>244650</v>
      </c>
      <c r="X30" s="15">
        <f t="shared" si="7"/>
        <v>-7350</v>
      </c>
      <c r="Y30" s="15">
        <f t="shared" si="2"/>
        <v>0</v>
      </c>
      <c r="Z30" s="15">
        <f>SUM(Financials20263[[#This Row],[2026 Opportunity]:[2026 Risk]])</f>
        <v>-7350</v>
      </c>
      <c r="AA30" s="3" t="s">
        <v>582</v>
      </c>
      <c r="AB30" s="52">
        <f>Financials20263[[#This Row],[2026 Final Budget]]/12</f>
        <v>21000</v>
      </c>
      <c r="AC30" s="52">
        <f>Financials20263[[#This Row],[2026 Final Budget]]/12</f>
        <v>21000</v>
      </c>
      <c r="AD30" s="52">
        <f>Financials20263[[#This Row],[2026 Final Budget]]/12</f>
        <v>21000</v>
      </c>
      <c r="AE30" s="52">
        <f>Financials20263[[#This Row],[2026 Final Budget]]/12</f>
        <v>21000</v>
      </c>
      <c r="AF30" s="52">
        <f>Financials20263[[#This Row],[2026 Final Budget]]/12</f>
        <v>21000</v>
      </c>
      <c r="AG30" s="52">
        <f>Financials20263[[#This Row],[2026 Final Budget]]/12</f>
        <v>21000</v>
      </c>
      <c r="AH30" s="52">
        <f>Financials20263[[#This Row],[2026 Final Budget]]/12</f>
        <v>21000</v>
      </c>
      <c r="AI30" s="52">
        <f>Financials20263[[#This Row],[2026 Final Budget]]/12</f>
        <v>21000</v>
      </c>
      <c r="AJ30" s="52">
        <f>Financials20263[[#This Row],[2026 Final Budget]]/12</f>
        <v>21000</v>
      </c>
      <c r="AK30" s="52">
        <f>Financials20263[[#This Row],[2026 Final Budget]]/12</f>
        <v>21000</v>
      </c>
      <c r="AL30" s="52">
        <f>Financials20263[[#This Row],[2026 Final Budget]]/12</f>
        <v>21000</v>
      </c>
      <c r="AM30" s="52">
        <f>Financials20263[[#This Row],[2026 Final Budget]]/12</f>
        <v>21000</v>
      </c>
      <c r="AN30" s="52">
        <f>SUM(Financials20263[[#This Row],[Jan FC]:[Dec FC]])</f>
        <v>252000</v>
      </c>
      <c r="AO30" s="15">
        <f t="shared" si="5"/>
        <v>147000</v>
      </c>
      <c r="AP30" s="61">
        <v>21000</v>
      </c>
      <c r="AQ30" s="61">
        <v>19950</v>
      </c>
      <c r="AR30" s="61">
        <v>23100</v>
      </c>
      <c r="AS30" s="61">
        <v>17850</v>
      </c>
      <c r="AT30" s="61">
        <v>15750</v>
      </c>
      <c r="AU30" s="61"/>
      <c r="AV30" s="61"/>
      <c r="AW30" s="61"/>
      <c r="AX30" s="61"/>
      <c r="AY30" s="61"/>
      <c r="AZ30" s="61"/>
      <c r="BA30" s="61"/>
      <c r="BB30" s="80">
        <f>SUM(Financials20263[[#This Row],[Jan AC]:[Dec AC]])</f>
        <v>97650</v>
      </c>
      <c r="BC30" s="71">
        <f>Financials20263[[#This Row],[Jan AC]]-Financials20263[[#This Row],[Jan FC]]</f>
        <v>0</v>
      </c>
      <c r="BD30" s="71">
        <f>Financials20263[[#This Row],[Feb AC]]-Financials20263[[#This Row],[Feb FC]]</f>
        <v>-1050</v>
      </c>
      <c r="BE30" s="71">
        <f>Financials20263[[#This Row],[Mar AC]]-Financials20263[[#This Row],[Mar FC]]</f>
        <v>2100</v>
      </c>
      <c r="BF30" s="71">
        <f>Financials20263[[#This Row],[Apr AC]]-Financials20263[[#This Row],[Apr FC]]</f>
        <v>-3150</v>
      </c>
      <c r="BG30" s="71">
        <f>Financials20263[[#This Row],[May AC]]-Financials20263[[#This Row],[May FC]]</f>
        <v>-5250</v>
      </c>
      <c r="BH30" s="71">
        <f>Financials20263[[#This Row],[Jun AC]]-Financials20263[[#This Row],[Jun FC]]</f>
        <v>-21000</v>
      </c>
      <c r="BI30" s="71">
        <f>Financials20263[[#This Row],[Jul AC]]-Financials20263[[#This Row],[Jul FC]]</f>
        <v>-21000</v>
      </c>
      <c r="BJ30" s="71">
        <f>Financials20263[[#This Row],[Aug AC]]-Financials20263[[#This Row],[Aug FC]]</f>
        <v>-21000</v>
      </c>
      <c r="BK30" s="71">
        <f>Financials20263[[#This Row],[Sep AC]]-Financials20263[[#This Row],[Sep FC]]</f>
        <v>-21000</v>
      </c>
      <c r="BL30" s="71">
        <f>Financials20263[[#This Row],[Oct AC]]-Financials20263[[#This Row],[Oct FC]]</f>
        <v>-21000</v>
      </c>
      <c r="BM30" s="71">
        <f>Financials20263[[#This Row],[Nov AC]]-Financials20263[[#This Row],[Nov FC]]</f>
        <v>-21000</v>
      </c>
      <c r="BN30" s="71">
        <f>Financials20263[[#This Row],[Dec AC]]-Financials20263[[#This Row],[Dec FC]]</f>
        <v>-21000</v>
      </c>
      <c r="BO30" s="71">
        <f>SUM(Financials20263[[#This Row],[Jan Opp/Risk]:[Dec Opp./Risk]])</f>
        <v>-154350</v>
      </c>
      <c r="BP30" s="89" t="s">
        <v>568</v>
      </c>
      <c r="BQ30" s="47">
        <f>SUM(Financials20263[[#This Row],[Jan AC]:[May AC]])</f>
        <v>97650</v>
      </c>
      <c r="BR30" s="6">
        <f>Financials20263[[#This Row],[2026 (Actuals + Forecast)]]-Financials20263[[#This Row],[Jan-May Actuals]]-Financials20263[[#This Row],[Jun-Dec FC]]</f>
        <v>0</v>
      </c>
      <c r="BS30" s="6">
        <f>Financials20263[[#This Row],[Jun-Dec FC]]+Financials20263[[#This Row],[Jan-May Forecast ]]</f>
        <v>147000</v>
      </c>
      <c r="BT30" s="6">
        <f>SUM(Financials20263[[#This Row],[Jan FC]:[May FC]])</f>
        <v>105000</v>
      </c>
      <c r="BU30" s="6">
        <f>Financials20263[[#This Row],[Jan-May Actuals]]+Financials20263[[#This Row],[Forecast Jun-Dec]]</f>
        <v>244650</v>
      </c>
      <c r="BV30" s="6"/>
      <c r="BW30" s="6"/>
      <c r="BX30" s="6"/>
    </row>
    <row r="31" spans="1:76">
      <c r="A31" s="22" t="s">
        <v>473</v>
      </c>
      <c r="B31" s="21" t="s">
        <v>44</v>
      </c>
      <c r="C31" s="21"/>
      <c r="D31" s="10" t="s">
        <v>564</v>
      </c>
      <c r="E31" s="7" t="s">
        <v>564</v>
      </c>
      <c r="F31" s="3" t="s">
        <v>565</v>
      </c>
      <c r="G31" s="3" t="s">
        <v>23</v>
      </c>
      <c r="H31" s="4">
        <v>46023</v>
      </c>
      <c r="I31" s="4">
        <v>46387</v>
      </c>
      <c r="J31" s="3"/>
      <c r="K31" s="3" t="str">
        <f t="shared" si="0"/>
        <v>T&amp;M-T&amp;M</v>
      </c>
      <c r="L31" s="21" t="s">
        <v>499</v>
      </c>
      <c r="M31" s="21" t="s">
        <v>13</v>
      </c>
      <c r="N31" s="21" t="s">
        <v>567</v>
      </c>
      <c r="O31" s="21" t="s">
        <v>564</v>
      </c>
      <c r="P31" s="21" t="s">
        <v>501</v>
      </c>
      <c r="Q31" s="21" t="s">
        <v>502</v>
      </c>
      <c r="R31" s="21" t="s">
        <v>503</v>
      </c>
      <c r="S31" s="21" t="s">
        <v>504</v>
      </c>
      <c r="T31" s="5">
        <v>1019762.75</v>
      </c>
      <c r="U31" s="15">
        <v>539054.33290978405</v>
      </c>
      <c r="V31" s="15">
        <v>600000</v>
      </c>
      <c r="W31" s="15">
        <f t="shared" si="1"/>
        <v>321040</v>
      </c>
      <c r="X31" s="15">
        <f t="shared" si="7"/>
        <v>-278960</v>
      </c>
      <c r="Y31" s="15">
        <f t="shared" si="2"/>
        <v>0</v>
      </c>
      <c r="Z31" s="15">
        <f>SUM(Financials20263[[#This Row],[2026 Opportunity]:[2026 Risk]])</f>
        <v>-278960</v>
      </c>
      <c r="AA31" s="3" t="s">
        <v>582</v>
      </c>
      <c r="AB31" s="52">
        <f>Financials20263[[#This Row],[2026 Final Budget]]/12</f>
        <v>50000</v>
      </c>
      <c r="AC31" s="52">
        <f>50000-26000</f>
        <v>24000</v>
      </c>
      <c r="AD31" s="52">
        <f t="shared" ref="AD31:AE31" si="13">50000-26000</f>
        <v>24000</v>
      </c>
      <c r="AE31" s="52">
        <f t="shared" si="13"/>
        <v>24000</v>
      </c>
      <c r="AF31" s="52">
        <f>50000-26000</f>
        <v>24000</v>
      </c>
      <c r="AG31" s="52">
        <f>50000-26000</f>
        <v>24000</v>
      </c>
      <c r="AH31" s="52">
        <f t="shared" ref="AH31:AM31" si="14">50000-26000</f>
        <v>24000</v>
      </c>
      <c r="AI31" s="52">
        <f t="shared" si="14"/>
        <v>24000</v>
      </c>
      <c r="AJ31" s="52">
        <f t="shared" si="14"/>
        <v>24000</v>
      </c>
      <c r="AK31" s="52">
        <f t="shared" si="14"/>
        <v>24000</v>
      </c>
      <c r="AL31" s="52">
        <f t="shared" si="14"/>
        <v>24000</v>
      </c>
      <c r="AM31" s="52">
        <f t="shared" si="14"/>
        <v>24000</v>
      </c>
      <c r="AN31" s="52">
        <f>SUM(Financials20263[[#This Row],[Jan FC]:[Dec FC]])</f>
        <v>314000</v>
      </c>
      <c r="AO31" s="15">
        <f t="shared" si="5"/>
        <v>168000</v>
      </c>
      <c r="AP31" s="61">
        <v>44800</v>
      </c>
      <c r="AQ31" s="61">
        <v>22800</v>
      </c>
      <c r="AR31" s="61">
        <v>26400</v>
      </c>
      <c r="AS31" s="61">
        <v>26400</v>
      </c>
      <c r="AT31" s="61">
        <v>32640</v>
      </c>
      <c r="AU31" s="61"/>
      <c r="AV31" s="61"/>
      <c r="AW31" s="61"/>
      <c r="AX31" s="61"/>
      <c r="AY31" s="61"/>
      <c r="AZ31" s="61"/>
      <c r="BA31" s="61"/>
      <c r="BB31" s="80">
        <f>SUM(Financials20263[[#This Row],[Jan AC]:[Dec AC]])</f>
        <v>153040</v>
      </c>
      <c r="BC31" s="71">
        <f>Financials20263[[#This Row],[Jan AC]]-Financials20263[[#This Row],[Jan FC]]</f>
        <v>-5200</v>
      </c>
      <c r="BD31" s="71">
        <f>Financials20263[[#This Row],[Feb AC]]-Financials20263[[#This Row],[Feb FC]]</f>
        <v>-1200</v>
      </c>
      <c r="BE31" s="71">
        <f>Financials20263[[#This Row],[Mar AC]]-Financials20263[[#This Row],[Mar FC]]</f>
        <v>2400</v>
      </c>
      <c r="BF31" s="71">
        <f>Financials20263[[#This Row],[Apr AC]]-Financials20263[[#This Row],[Apr FC]]</f>
        <v>2400</v>
      </c>
      <c r="BG31" s="71">
        <f>Financials20263[[#This Row],[May AC]]-Financials20263[[#This Row],[May FC]]</f>
        <v>8640</v>
      </c>
      <c r="BH31" s="71">
        <f>Financials20263[[#This Row],[Jun AC]]-Financials20263[[#This Row],[Jun FC]]</f>
        <v>-24000</v>
      </c>
      <c r="BI31" s="71">
        <f>Financials20263[[#This Row],[Jul AC]]-Financials20263[[#This Row],[Jul FC]]</f>
        <v>-24000</v>
      </c>
      <c r="BJ31" s="71">
        <f>Financials20263[[#This Row],[Aug AC]]-Financials20263[[#This Row],[Aug FC]]</f>
        <v>-24000</v>
      </c>
      <c r="BK31" s="71">
        <f>Financials20263[[#This Row],[Sep AC]]-Financials20263[[#This Row],[Sep FC]]</f>
        <v>-24000</v>
      </c>
      <c r="BL31" s="71">
        <f>Financials20263[[#This Row],[Oct AC]]-Financials20263[[#This Row],[Oct FC]]</f>
        <v>-24000</v>
      </c>
      <c r="BM31" s="71">
        <f>Financials20263[[#This Row],[Nov AC]]-Financials20263[[#This Row],[Nov FC]]</f>
        <v>-24000</v>
      </c>
      <c r="BN31" s="71">
        <f>Financials20263[[#This Row],[Dec AC]]-Financials20263[[#This Row],[Dec FC]]</f>
        <v>-24000</v>
      </c>
      <c r="BO31" s="71">
        <f>SUM(Financials20263[[#This Row],[Jan Opp/Risk]:[Dec Opp./Risk]])</f>
        <v>-160960</v>
      </c>
      <c r="BP31" s="89" t="s">
        <v>583</v>
      </c>
      <c r="BQ31" s="47">
        <f>SUM(Financials20263[[#This Row],[Jan AC]:[May AC]])</f>
        <v>153040</v>
      </c>
      <c r="BR31" s="6">
        <f>Financials20263[[#This Row],[2026 (Actuals + Forecast)]]-Financials20263[[#This Row],[Jan-May Actuals]]-Financials20263[[#This Row],[Jun-Dec FC]]</f>
        <v>0</v>
      </c>
      <c r="BS31" s="6">
        <f>Financials20263[[#This Row],[Jun-Dec FC]]+Financials20263[[#This Row],[Jan-May Forecast ]]</f>
        <v>168000</v>
      </c>
      <c r="BT31" s="6">
        <f>SUM(Financials20263[[#This Row],[Jan FC]:[May FC]])</f>
        <v>146000</v>
      </c>
      <c r="BU31" s="6">
        <f>Financials20263[[#This Row],[Jan-May Actuals]]+Financials20263[[#This Row],[Forecast Jun-Dec]]</f>
        <v>321040</v>
      </c>
      <c r="BV31" s="6"/>
      <c r="BW31" s="6"/>
      <c r="BX31" s="6"/>
    </row>
    <row r="32" spans="1:76">
      <c r="A32" s="22" t="s">
        <v>473</v>
      </c>
      <c r="B32" s="21" t="s">
        <v>44</v>
      </c>
      <c r="C32" s="21"/>
      <c r="D32" s="10" t="s">
        <v>564</v>
      </c>
      <c r="E32" s="7" t="s">
        <v>564</v>
      </c>
      <c r="F32" s="3" t="s">
        <v>565</v>
      </c>
      <c r="G32" s="3" t="s">
        <v>25</v>
      </c>
      <c r="H32" s="4">
        <v>46023</v>
      </c>
      <c r="I32" s="4">
        <v>46387</v>
      </c>
      <c r="J32" s="3"/>
      <c r="K32" s="3" t="str">
        <f t="shared" si="0"/>
        <v>T&amp;M-T&amp;M</v>
      </c>
      <c r="L32" s="21" t="s">
        <v>499</v>
      </c>
      <c r="M32" s="21" t="s">
        <v>13</v>
      </c>
      <c r="N32" s="21" t="s">
        <v>567</v>
      </c>
      <c r="O32" s="21" t="s">
        <v>564</v>
      </c>
      <c r="P32" s="21" t="s">
        <v>501</v>
      </c>
      <c r="Q32" s="21" t="s">
        <v>502</v>
      </c>
      <c r="R32" s="21" t="s">
        <v>503</v>
      </c>
      <c r="S32" s="21" t="s">
        <v>504</v>
      </c>
      <c r="T32" s="5">
        <v>1019762.75</v>
      </c>
      <c r="U32" s="15">
        <v>431963.4053367218</v>
      </c>
      <c r="V32" s="15">
        <v>161280</v>
      </c>
      <c r="W32" s="15">
        <f t="shared" si="1"/>
        <v>84176</v>
      </c>
      <c r="X32" s="15">
        <f t="shared" si="7"/>
        <v>-77104</v>
      </c>
      <c r="Y32" s="15">
        <f t="shared" si="2"/>
        <v>0</v>
      </c>
      <c r="Z32" s="15">
        <f>SUM(Financials20263[[#This Row],[2026 Opportunity]:[2026 Risk]])</f>
        <v>-77104</v>
      </c>
      <c r="AA32" s="3" t="s">
        <v>582</v>
      </c>
      <c r="AB32" s="52">
        <f>Financials20263[[#This Row],[2026 Final Budget]]/12</f>
        <v>13440</v>
      </c>
      <c r="AC32" s="52">
        <v>13440</v>
      </c>
      <c r="AD32" s="52">
        <v>13440</v>
      </c>
      <c r="AE32" s="52">
        <f>13440-8000</f>
        <v>5440</v>
      </c>
      <c r="AF32" s="52">
        <f t="shared" ref="AF32:AM32" si="15">13440-8000</f>
        <v>5440</v>
      </c>
      <c r="AG32" s="52">
        <f t="shared" si="15"/>
        <v>5440</v>
      </c>
      <c r="AH32" s="52">
        <f t="shared" si="15"/>
        <v>5440</v>
      </c>
      <c r="AI32" s="52">
        <f t="shared" si="15"/>
        <v>5440</v>
      </c>
      <c r="AJ32" s="52">
        <f t="shared" si="15"/>
        <v>5440</v>
      </c>
      <c r="AK32" s="52">
        <f t="shared" si="15"/>
        <v>5440</v>
      </c>
      <c r="AL32" s="52">
        <f t="shared" si="15"/>
        <v>5440</v>
      </c>
      <c r="AM32" s="52">
        <f t="shared" si="15"/>
        <v>5440</v>
      </c>
      <c r="AN32" s="52">
        <f>SUM(Financials20263[[#This Row],[Jan FC]:[Dec FC]])</f>
        <v>89280</v>
      </c>
      <c r="AO32" s="15">
        <f t="shared" si="5"/>
        <v>38080</v>
      </c>
      <c r="AP32" s="61">
        <v>11152</v>
      </c>
      <c r="AQ32" s="61">
        <v>11296</v>
      </c>
      <c r="AR32" s="61">
        <v>13584</v>
      </c>
      <c r="AS32" s="61">
        <v>4624</v>
      </c>
      <c r="AT32" s="61">
        <v>5440</v>
      </c>
      <c r="AU32" s="61"/>
      <c r="AV32" s="61"/>
      <c r="AW32" s="61"/>
      <c r="AX32" s="61"/>
      <c r="AY32" s="61"/>
      <c r="AZ32" s="61"/>
      <c r="BA32" s="61"/>
      <c r="BB32" s="80">
        <f>SUM(Financials20263[[#This Row],[Jan AC]:[Dec AC]])</f>
        <v>46096</v>
      </c>
      <c r="BC32" s="71">
        <f>Financials20263[[#This Row],[Jan AC]]-Financials20263[[#This Row],[Jan FC]]</f>
        <v>-2288</v>
      </c>
      <c r="BD32" s="71">
        <f>Financials20263[[#This Row],[Feb AC]]-Financials20263[[#This Row],[Feb FC]]</f>
        <v>-2144</v>
      </c>
      <c r="BE32" s="71">
        <f>Financials20263[[#This Row],[Mar AC]]-Financials20263[[#This Row],[Mar FC]]</f>
        <v>144</v>
      </c>
      <c r="BF32" s="71">
        <f>Financials20263[[#This Row],[Apr AC]]-Financials20263[[#This Row],[Apr FC]]</f>
        <v>-816</v>
      </c>
      <c r="BG32" s="71">
        <f>Financials20263[[#This Row],[May AC]]-Financials20263[[#This Row],[May FC]]</f>
        <v>0</v>
      </c>
      <c r="BH32" s="71">
        <f>Financials20263[[#This Row],[Jun AC]]-Financials20263[[#This Row],[Jun FC]]</f>
        <v>-5440</v>
      </c>
      <c r="BI32" s="71">
        <f>Financials20263[[#This Row],[Jul AC]]-Financials20263[[#This Row],[Jul FC]]</f>
        <v>-5440</v>
      </c>
      <c r="BJ32" s="71">
        <f>Financials20263[[#This Row],[Aug AC]]-Financials20263[[#This Row],[Aug FC]]</f>
        <v>-5440</v>
      </c>
      <c r="BK32" s="71">
        <f>Financials20263[[#This Row],[Sep AC]]-Financials20263[[#This Row],[Sep FC]]</f>
        <v>-5440</v>
      </c>
      <c r="BL32" s="71">
        <f>Financials20263[[#This Row],[Oct AC]]-Financials20263[[#This Row],[Oct FC]]</f>
        <v>-5440</v>
      </c>
      <c r="BM32" s="71">
        <f>Financials20263[[#This Row],[Nov AC]]-Financials20263[[#This Row],[Nov FC]]</f>
        <v>-5440</v>
      </c>
      <c r="BN32" s="71">
        <f>Financials20263[[#This Row],[Dec AC]]-Financials20263[[#This Row],[Dec FC]]</f>
        <v>-5440</v>
      </c>
      <c r="BO32" s="71">
        <f>SUM(Financials20263[[#This Row],[Jan Opp/Risk]:[Dec Opp./Risk]])</f>
        <v>-43184</v>
      </c>
      <c r="BP32" s="89" t="s">
        <v>584</v>
      </c>
      <c r="BQ32" s="47">
        <f>SUM(Financials20263[[#This Row],[Jan AC]:[May AC]])</f>
        <v>46096</v>
      </c>
      <c r="BR32" s="6">
        <f>Financials20263[[#This Row],[2026 (Actuals + Forecast)]]-Financials20263[[#This Row],[Jan-May Actuals]]-Financials20263[[#This Row],[Jun-Dec FC]]</f>
        <v>0</v>
      </c>
      <c r="BS32" s="6">
        <f>Financials20263[[#This Row],[Jun-Dec FC]]+Financials20263[[#This Row],[Jan-May Forecast ]]</f>
        <v>38080</v>
      </c>
      <c r="BT32" s="6">
        <f>SUM(Financials20263[[#This Row],[Jan FC]:[May FC]])</f>
        <v>51200</v>
      </c>
      <c r="BU32" s="6">
        <f>Financials20263[[#This Row],[Jan-May Actuals]]+Financials20263[[#This Row],[Forecast Jun-Dec]]</f>
        <v>84176</v>
      </c>
      <c r="BV32" s="6"/>
      <c r="BW32" s="6"/>
      <c r="BX32" s="6"/>
    </row>
    <row r="33" spans="1:76">
      <c r="A33" s="22" t="s">
        <v>473</v>
      </c>
      <c r="B33" s="21" t="s">
        <v>44</v>
      </c>
      <c r="C33" s="21"/>
      <c r="D33" s="10" t="s">
        <v>564</v>
      </c>
      <c r="E33" s="7" t="s">
        <v>564</v>
      </c>
      <c r="F33" s="3" t="s">
        <v>565</v>
      </c>
      <c r="G33" s="3" t="s">
        <v>23</v>
      </c>
      <c r="H33" s="4">
        <v>46157</v>
      </c>
      <c r="I33" s="4">
        <v>46387</v>
      </c>
      <c r="J33" s="3"/>
      <c r="K33" s="3" t="str">
        <f t="shared" si="0"/>
        <v>T&amp;M-T&amp;M</v>
      </c>
      <c r="L33" s="21" t="s">
        <v>499</v>
      </c>
      <c r="M33" s="21" t="s">
        <v>13</v>
      </c>
      <c r="N33" s="21" t="s">
        <v>567</v>
      </c>
      <c r="O33" s="21" t="s">
        <v>564</v>
      </c>
      <c r="P33" s="21" t="s">
        <v>501</v>
      </c>
      <c r="Q33" s="21" t="s">
        <v>502</v>
      </c>
      <c r="R33" s="21" t="s">
        <v>503</v>
      </c>
      <c r="S33" s="21" t="s">
        <v>504</v>
      </c>
      <c r="T33" s="5">
        <v>0</v>
      </c>
      <c r="U33" s="15">
        <v>0</v>
      </c>
      <c r="V33" s="15">
        <v>230400</v>
      </c>
      <c r="W33" s="15">
        <f t="shared" si="1"/>
        <v>230400</v>
      </c>
      <c r="X33" s="15">
        <f t="shared" si="7"/>
        <v>0</v>
      </c>
      <c r="Y33" s="15">
        <f t="shared" si="2"/>
        <v>0</v>
      </c>
      <c r="Z33" s="15">
        <f>SUM(Financials20263[[#This Row],[2026 Opportunity]:[2026 Risk]])</f>
        <v>0</v>
      </c>
      <c r="AA33" s="3" t="s">
        <v>585</v>
      </c>
      <c r="AB33" s="52"/>
      <c r="AC33" s="52"/>
      <c r="AD33" s="52"/>
      <c r="AE33" s="52"/>
      <c r="AF33" s="52">
        <v>15360</v>
      </c>
      <c r="AG33" s="52">
        <v>30720</v>
      </c>
      <c r="AH33" s="52">
        <v>30720</v>
      </c>
      <c r="AI33" s="52">
        <v>30720</v>
      </c>
      <c r="AJ33" s="52">
        <v>30720</v>
      </c>
      <c r="AK33" s="52">
        <v>30720</v>
      </c>
      <c r="AL33" s="52">
        <v>30720</v>
      </c>
      <c r="AM33" s="52">
        <v>30720</v>
      </c>
      <c r="AN33" s="52">
        <f>SUM(Financials20263[[#This Row],[Jan FC]:[Dec FC]])</f>
        <v>230400</v>
      </c>
      <c r="AO33" s="15">
        <f t="shared" si="5"/>
        <v>215040</v>
      </c>
      <c r="AP33" s="61"/>
      <c r="AQ33" s="61"/>
      <c r="AR33" s="61"/>
      <c r="AS33" s="61"/>
      <c r="AT33" s="61"/>
      <c r="AU33" s="61"/>
      <c r="AV33" s="61"/>
      <c r="AW33" s="61"/>
      <c r="AX33" s="61"/>
      <c r="AY33" s="61"/>
      <c r="AZ33" s="61"/>
      <c r="BA33" s="61"/>
      <c r="BB33" s="80">
        <f>SUM(Financials20263[[#This Row],[Jan AC]:[Dec AC]])</f>
        <v>0</v>
      </c>
      <c r="BC33" s="71">
        <f>Financials20263[[#This Row],[Jan AC]]-Financials20263[[#This Row],[Jan FC]]</f>
        <v>0</v>
      </c>
      <c r="BD33" s="71">
        <f>Financials20263[[#This Row],[Feb AC]]-Financials20263[[#This Row],[Feb FC]]</f>
        <v>0</v>
      </c>
      <c r="BE33" s="71">
        <f>Financials20263[[#This Row],[Mar AC]]-Financials20263[[#This Row],[Mar FC]]</f>
        <v>0</v>
      </c>
      <c r="BF33" s="71">
        <f>Financials20263[[#This Row],[Apr AC]]-Financials20263[[#This Row],[Apr FC]]</f>
        <v>0</v>
      </c>
      <c r="BG33" s="71">
        <f>Financials20263[[#This Row],[May AC]]-Financials20263[[#This Row],[May FC]]</f>
        <v>-15360</v>
      </c>
      <c r="BH33" s="71">
        <f>Financials20263[[#This Row],[Jun AC]]-Financials20263[[#This Row],[Jun FC]]</f>
        <v>-30720</v>
      </c>
      <c r="BI33" s="71">
        <f>Financials20263[[#This Row],[Jul AC]]-Financials20263[[#This Row],[Jul FC]]</f>
        <v>-30720</v>
      </c>
      <c r="BJ33" s="71">
        <f>Financials20263[[#This Row],[Aug AC]]-Financials20263[[#This Row],[Aug FC]]</f>
        <v>-30720</v>
      </c>
      <c r="BK33" s="71">
        <f>Financials20263[[#This Row],[Sep AC]]-Financials20263[[#This Row],[Sep FC]]</f>
        <v>-30720</v>
      </c>
      <c r="BL33" s="71">
        <f>Financials20263[[#This Row],[Oct AC]]-Financials20263[[#This Row],[Oct FC]]</f>
        <v>-30720</v>
      </c>
      <c r="BM33" s="71">
        <f>Financials20263[[#This Row],[Nov AC]]-Financials20263[[#This Row],[Nov FC]]</f>
        <v>-30720</v>
      </c>
      <c r="BN33" s="71">
        <f>Financials20263[[#This Row],[Dec AC]]-Financials20263[[#This Row],[Dec FC]]</f>
        <v>-30720</v>
      </c>
      <c r="BO33" s="71">
        <f>SUM(Financials20263[[#This Row],[Jan Opp/Risk]:[Dec Opp./Risk]])</f>
        <v>-230400</v>
      </c>
      <c r="BP33" s="89" t="s">
        <v>586</v>
      </c>
      <c r="BQ33" s="47">
        <f>SUM(Financials20263[[#This Row],[Jan AC]:[May AC]])</f>
        <v>0</v>
      </c>
      <c r="BR33" s="6">
        <f>Financials20263[[#This Row],[2026 (Actuals + Forecast)]]-Financials20263[[#This Row],[Jan-May Actuals]]-Financials20263[[#This Row],[Jun-Dec FC]]</f>
        <v>15360</v>
      </c>
      <c r="BS33" s="6">
        <f>Financials20263[[#This Row],[Jun-Dec FC]]+Financials20263[[#This Row],[Jan-May Forecast ]]</f>
        <v>230400</v>
      </c>
      <c r="BT33" s="6">
        <f>SUM(Financials20263[[#This Row],[Jan FC]:[May FC]])</f>
        <v>15360</v>
      </c>
      <c r="BU33" s="6">
        <f>Financials20263[[#This Row],[Jan-May Actuals]]+Financials20263[[#This Row],[Forecast Jun-Dec]]</f>
        <v>230400</v>
      </c>
      <c r="BV33" s="6"/>
      <c r="BW33" s="6"/>
      <c r="BX33" s="6"/>
    </row>
    <row r="34" spans="1:76">
      <c r="A34" s="22" t="s">
        <v>473</v>
      </c>
      <c r="B34" s="21" t="s">
        <v>359</v>
      </c>
      <c r="C34" s="21"/>
      <c r="D34" s="10" t="s">
        <v>518</v>
      </c>
      <c r="E34" s="7" t="s">
        <v>519</v>
      </c>
      <c r="F34" s="3" t="s">
        <v>520</v>
      </c>
      <c r="G34" s="3" t="s">
        <v>24</v>
      </c>
      <c r="H34" s="4">
        <v>44545</v>
      </c>
      <c r="I34" s="4">
        <v>46370</v>
      </c>
      <c r="J34" s="3" t="s">
        <v>587</v>
      </c>
      <c r="K34" s="3" t="str">
        <f t="shared" si="0"/>
        <v>Prj000290-Support - Asset Management Applications</v>
      </c>
      <c r="L34" s="21" t="s">
        <v>478</v>
      </c>
      <c r="M34" s="21" t="s">
        <v>16</v>
      </c>
      <c r="N34" s="21" t="s">
        <v>16</v>
      </c>
      <c r="O34" s="21" t="s">
        <v>588</v>
      </c>
      <c r="P34" s="21" t="s">
        <v>479</v>
      </c>
      <c r="Q34" s="21" t="s">
        <v>589</v>
      </c>
      <c r="R34" s="21" t="s">
        <v>589</v>
      </c>
      <c r="S34" s="21" t="s">
        <v>590</v>
      </c>
      <c r="T34" s="5">
        <v>1039565.6499999999</v>
      </c>
      <c r="U34" s="15">
        <v>1091543.9324999999</v>
      </c>
      <c r="V34" s="15">
        <v>1091543.9324999999</v>
      </c>
      <c r="W34" s="15">
        <f t="shared" si="1"/>
        <v>1091543.6399999999</v>
      </c>
      <c r="X34" s="15">
        <f t="shared" si="7"/>
        <v>-0.29249999998137355</v>
      </c>
      <c r="Y34" s="15">
        <f t="shared" si="2"/>
        <v>0</v>
      </c>
      <c r="Z34" s="15">
        <f>SUM(Financials20263[[#This Row],[2026 Opportunity]:[2026 Risk]])</f>
        <v>-0.29249999998137355</v>
      </c>
      <c r="AA34" s="3" t="s">
        <v>591</v>
      </c>
      <c r="AB34" s="52">
        <v>117486.73333333334</v>
      </c>
      <c r="AC34" s="52">
        <v>92793.753333333341</v>
      </c>
      <c r="AD34" s="52">
        <v>117939.75333333334</v>
      </c>
      <c r="AE34" s="52">
        <v>149042.80666666667</v>
      </c>
      <c r="AF34" s="52">
        <v>98639.296666666676</v>
      </c>
      <c r="AG34" s="52">
        <v>98639.296666666676</v>
      </c>
      <c r="AH34" s="46">
        <v>208501</v>
      </c>
      <c r="AI34" s="52"/>
      <c r="AJ34" s="52"/>
      <c r="AK34" s="46">
        <f>208501-50309</f>
        <v>158192</v>
      </c>
      <c r="AL34" s="52"/>
      <c r="AM34" s="52"/>
      <c r="AN34" s="52">
        <f>SUM(Financials20263[[#This Row],[Jan FC]:[Dec FC]])</f>
        <v>1041234.64</v>
      </c>
      <c r="AO34" s="15">
        <f t="shared" si="5"/>
        <v>465332.29666666669</v>
      </c>
      <c r="AP34" s="61">
        <f>(278381.26/3)+24692.98</f>
        <v>117486.73333333334</v>
      </c>
      <c r="AQ34" s="61">
        <f>278381.26/3</f>
        <v>92793.753333333341</v>
      </c>
      <c r="AR34" s="61">
        <f>(278381.26/3)+25146</f>
        <v>117939.75333333334</v>
      </c>
      <c r="AS34" s="61">
        <f>(295917.89/3)+25261.22+25142.29</f>
        <v>149042.80666666667</v>
      </c>
      <c r="AT34" s="61">
        <f>(295917.89/3)+25055.4+25253.6</f>
        <v>148948.29666666669</v>
      </c>
      <c r="AU34" s="61">
        <f>295917.89/3</f>
        <v>98639.296666666676</v>
      </c>
      <c r="AV34" s="61"/>
      <c r="AW34" s="61"/>
      <c r="AX34" s="61"/>
      <c r="AY34" s="61"/>
      <c r="AZ34" s="61"/>
      <c r="BA34" s="61"/>
      <c r="BB34" s="80">
        <f>SUM(Financials20263[[#This Row],[Jan AC]:[Dec AC]])</f>
        <v>724850.64000000013</v>
      </c>
      <c r="BC34" s="71">
        <f>Financials20263[[#This Row],[Jan AC]]-Financials20263[[#This Row],[Jan FC]]</f>
        <v>0</v>
      </c>
      <c r="BD34" s="71">
        <f>Financials20263[[#This Row],[Feb AC]]-Financials20263[[#This Row],[Feb FC]]</f>
        <v>0</v>
      </c>
      <c r="BE34" s="71">
        <f>Financials20263[[#This Row],[Mar AC]]-Financials20263[[#This Row],[Mar FC]]</f>
        <v>0</v>
      </c>
      <c r="BF34" s="71">
        <f>Financials20263[[#This Row],[Apr AC]]-Financials20263[[#This Row],[Apr FC]]</f>
        <v>0</v>
      </c>
      <c r="BG34" s="71">
        <f>Financials20263[[#This Row],[May AC]]-Financials20263[[#This Row],[May FC]]</f>
        <v>50309.000000000015</v>
      </c>
      <c r="BH34" s="71">
        <f>Financials20263[[#This Row],[Jun AC]]-Financials20263[[#This Row],[Jun FC]]</f>
        <v>0</v>
      </c>
      <c r="BI34" s="71">
        <f>Financials20263[[#This Row],[Jul AC]]-Financials20263[[#This Row],[Jul FC]]</f>
        <v>-208501</v>
      </c>
      <c r="BJ34" s="71">
        <f>Financials20263[[#This Row],[Aug AC]]-Financials20263[[#This Row],[Aug FC]]</f>
        <v>0</v>
      </c>
      <c r="BK34" s="71">
        <f>Financials20263[[#This Row],[Sep AC]]-Financials20263[[#This Row],[Sep FC]]</f>
        <v>0</v>
      </c>
      <c r="BL34" s="71">
        <f>Financials20263[[#This Row],[Oct AC]]-Financials20263[[#This Row],[Oct FC]]</f>
        <v>-158192</v>
      </c>
      <c r="BM34" s="71">
        <f>Financials20263[[#This Row],[Nov AC]]-Financials20263[[#This Row],[Nov FC]]</f>
        <v>0</v>
      </c>
      <c r="BN34" s="71">
        <f>Financials20263[[#This Row],[Dec AC]]-Financials20263[[#This Row],[Dec FC]]</f>
        <v>0</v>
      </c>
      <c r="BO34" s="71">
        <f>SUM(Financials20263[[#This Row],[Jan Opp/Risk]:[Dec Opp./Risk]])</f>
        <v>-316384</v>
      </c>
      <c r="BP34" s="87" t="s">
        <v>592</v>
      </c>
      <c r="BQ34" s="47">
        <f>SUM(Financials20263[[#This Row],[Jan AC]:[May AC]])</f>
        <v>626211.3433333335</v>
      </c>
      <c r="BR34" s="6">
        <f>Financials20263[[#This Row],[2026 (Actuals + Forecast)]]-Financials20263[[#This Row],[Jan-May Actuals]]-Financials20263[[#This Row],[Jun-Dec FC]]</f>
        <v>0</v>
      </c>
      <c r="BS34" s="6">
        <f>Financials20263[[#This Row],[Jun-Dec FC]]+Financials20263[[#This Row],[Jan-May Forecast ]]</f>
        <v>465332.29666666669</v>
      </c>
      <c r="BT34" s="6">
        <f>SUM(Financials20263[[#This Row],[Jan FC]:[May FC]])</f>
        <v>575902.34333333338</v>
      </c>
      <c r="BU34" s="6">
        <f>Financials20263[[#This Row],[Jan-May Actuals]]+Financials20263[[#This Row],[Forecast Jun-Dec]]</f>
        <v>1091543.6400000001</v>
      </c>
      <c r="BV34" s="6"/>
      <c r="BW34" s="6"/>
      <c r="BX34" s="6"/>
    </row>
    <row r="35" spans="1:76">
      <c r="A35" s="22" t="s">
        <v>473</v>
      </c>
      <c r="B35" s="21" t="s">
        <v>60</v>
      </c>
      <c r="C35" s="21" t="s">
        <v>593</v>
      </c>
      <c r="D35" s="10" t="s">
        <v>594</v>
      </c>
      <c r="E35" s="7" t="s">
        <v>595</v>
      </c>
      <c r="F35" s="3" t="s">
        <v>596</v>
      </c>
      <c r="G35" s="3" t="s">
        <v>22</v>
      </c>
      <c r="H35" s="4">
        <v>46037</v>
      </c>
      <c r="I35" s="4">
        <v>46401</v>
      </c>
      <c r="J35" s="3" t="s">
        <v>597</v>
      </c>
      <c r="K35" s="3" t="str">
        <f t="shared" si="0"/>
        <v>Prj000469-Support - Prod Support for Ops Apps</v>
      </c>
      <c r="L35" s="21" t="s">
        <v>478</v>
      </c>
      <c r="M35" s="21" t="s">
        <v>16</v>
      </c>
      <c r="N35" s="21" t="s">
        <v>16</v>
      </c>
      <c r="O35" s="21" t="s">
        <v>16</v>
      </c>
      <c r="P35" s="21" t="s">
        <v>479</v>
      </c>
      <c r="Q35" s="21" t="s">
        <v>589</v>
      </c>
      <c r="R35" s="21" t="s">
        <v>589</v>
      </c>
      <c r="S35" s="21" t="s">
        <v>481</v>
      </c>
      <c r="T35" s="5">
        <v>2866540</v>
      </c>
      <c r="U35" s="15">
        <v>3617396</v>
      </c>
      <c r="V35" s="15">
        <v>3617396</v>
      </c>
      <c r="W35" s="15">
        <f t="shared" si="1"/>
        <v>4073475.3699999992</v>
      </c>
      <c r="X35" s="15">
        <f t="shared" si="7"/>
        <v>0</v>
      </c>
      <c r="Y35" s="15">
        <f t="shared" si="2"/>
        <v>456079.36999999918</v>
      </c>
      <c r="Z35" s="15">
        <f>SUM(Financials20263[[#This Row],[2026 Opportunity]:[2026 Risk]])</f>
        <v>456079.36999999918</v>
      </c>
      <c r="AA35" s="3" t="s">
        <v>598</v>
      </c>
      <c r="AB35" s="52">
        <v>333776.63</v>
      </c>
      <c r="AC35" s="52">
        <v>333776.63</v>
      </c>
      <c r="AD35" s="52">
        <v>333776.63</v>
      </c>
      <c r="AE35" s="52">
        <v>333776.63</v>
      </c>
      <c r="AF35" s="52">
        <v>333776.63</v>
      </c>
      <c r="AG35" s="52">
        <v>333776.63</v>
      </c>
      <c r="AH35" s="52">
        <v>333776.63</v>
      </c>
      <c r="AI35" s="52">
        <v>333776.63</v>
      </c>
      <c r="AJ35" s="52">
        <v>333776.63</v>
      </c>
      <c r="AK35" s="52">
        <v>333776.63</v>
      </c>
      <c r="AL35" s="52">
        <v>333776.63</v>
      </c>
      <c r="AM35" s="52">
        <v>333776.63</v>
      </c>
      <c r="AN35" s="52">
        <f>SUM(Financials20263[[#This Row],[Jan FC]:[Dec FC]])</f>
        <v>4005319.5599999991</v>
      </c>
      <c r="AO35" s="15">
        <f t="shared" si="5"/>
        <v>2336436.4099999997</v>
      </c>
      <c r="AP35" s="61">
        <f>321.73+3713.72+54129.99+9990+333777</f>
        <v>401932.44</v>
      </c>
      <c r="AQ35" s="61">
        <f t="shared" ref="AQ35:BA35" si="16">4005319.56/12</f>
        <v>333776.63</v>
      </c>
      <c r="AR35" s="61">
        <f t="shared" si="16"/>
        <v>333776.63</v>
      </c>
      <c r="AS35" s="61">
        <f t="shared" si="16"/>
        <v>333776.63</v>
      </c>
      <c r="AT35" s="61">
        <f t="shared" si="16"/>
        <v>333776.63</v>
      </c>
      <c r="AU35" s="61">
        <f t="shared" si="16"/>
        <v>333776.63</v>
      </c>
      <c r="AV35" s="61">
        <f t="shared" si="16"/>
        <v>333776.63</v>
      </c>
      <c r="AW35" s="61">
        <f t="shared" si="16"/>
        <v>333776.63</v>
      </c>
      <c r="AX35" s="61">
        <f t="shared" si="16"/>
        <v>333776.63</v>
      </c>
      <c r="AY35" s="61">
        <f t="shared" si="16"/>
        <v>333776.63</v>
      </c>
      <c r="AZ35" s="61">
        <f t="shared" si="16"/>
        <v>333776.63</v>
      </c>
      <c r="BA35" s="61">
        <f t="shared" si="16"/>
        <v>333776.63</v>
      </c>
      <c r="BB35" s="80">
        <f>SUM(Financials20263[[#This Row],[Jan AC]:[Dec AC]])</f>
        <v>4073475.3699999992</v>
      </c>
      <c r="BC35" s="71">
        <f>Financials20263[[#This Row],[Jan AC]]-Financials20263[[#This Row],[Jan FC]]</f>
        <v>68155.81</v>
      </c>
      <c r="BD35" s="71">
        <f>Financials20263[[#This Row],[Feb AC]]-Financials20263[[#This Row],[Feb FC]]</f>
        <v>0</v>
      </c>
      <c r="BE35" s="71">
        <f>Financials20263[[#This Row],[Mar AC]]-Financials20263[[#This Row],[Mar FC]]</f>
        <v>0</v>
      </c>
      <c r="BF35" s="71">
        <f>Financials20263[[#This Row],[Apr AC]]-Financials20263[[#This Row],[Apr FC]]</f>
        <v>0</v>
      </c>
      <c r="BG35" s="71">
        <f>Financials20263[[#This Row],[May AC]]-Financials20263[[#This Row],[May FC]]</f>
        <v>0</v>
      </c>
      <c r="BH35" s="71">
        <f>Financials20263[[#This Row],[Jun AC]]-Financials20263[[#This Row],[Jun FC]]</f>
        <v>0</v>
      </c>
      <c r="BI35" s="71">
        <f>Financials20263[[#This Row],[Jul AC]]-Financials20263[[#This Row],[Jul FC]]</f>
        <v>0</v>
      </c>
      <c r="BJ35" s="71">
        <f>Financials20263[[#This Row],[Aug AC]]-Financials20263[[#This Row],[Aug FC]]</f>
        <v>0</v>
      </c>
      <c r="BK35" s="71">
        <f>Financials20263[[#This Row],[Sep AC]]-Financials20263[[#This Row],[Sep FC]]</f>
        <v>0</v>
      </c>
      <c r="BL35" s="71">
        <f>Financials20263[[#This Row],[Oct AC]]-Financials20263[[#This Row],[Oct FC]]</f>
        <v>0</v>
      </c>
      <c r="BM35" s="71">
        <f>Financials20263[[#This Row],[Nov AC]]-Financials20263[[#This Row],[Nov FC]]</f>
        <v>0</v>
      </c>
      <c r="BN35" s="71">
        <f>Financials20263[[#This Row],[Dec AC]]-Financials20263[[#This Row],[Dec FC]]</f>
        <v>0</v>
      </c>
      <c r="BO35" s="71">
        <f>SUM(Financials20263[[#This Row],[Jan Opp/Risk]:[Dec Opp./Risk]])</f>
        <v>68155.81</v>
      </c>
      <c r="BP35" s="87" t="s">
        <v>599</v>
      </c>
      <c r="BQ35" s="47">
        <f>SUM(Financials20263[[#This Row],[Jan AC]:[May AC]])</f>
        <v>1737038.96</v>
      </c>
      <c r="BR35" s="6">
        <f>Financials20263[[#This Row],[2026 (Actuals + Forecast)]]-Financials20263[[#This Row],[Jan-May Actuals]]-Financials20263[[#This Row],[Jun-Dec FC]]</f>
        <v>0</v>
      </c>
      <c r="BS35" s="6">
        <f>Financials20263[[#This Row],[Jun-Dec FC]]+Financials20263[[#This Row],[Jan-May Forecast ]]</f>
        <v>2336436.4099999997</v>
      </c>
      <c r="BT35" s="6">
        <f>SUM(Financials20263[[#This Row],[Jan FC]:[May FC]])</f>
        <v>1668883.15</v>
      </c>
      <c r="BU35" s="6">
        <f>Financials20263[[#This Row],[Jan-May Actuals]]+Financials20263[[#This Row],[Forecast Jun-Dec]]</f>
        <v>4073475.3699999996</v>
      </c>
      <c r="BV35" s="6"/>
      <c r="BW35" s="6"/>
      <c r="BX35" s="6"/>
    </row>
    <row r="36" spans="1:76">
      <c r="A36" s="22" t="s">
        <v>473</v>
      </c>
      <c r="B36" s="21" t="s">
        <v>48</v>
      </c>
      <c r="C36" s="21" t="s">
        <v>600</v>
      </c>
      <c r="D36" s="10" t="s">
        <v>601</v>
      </c>
      <c r="E36" s="7" t="s">
        <v>602</v>
      </c>
      <c r="F36" s="3" t="s">
        <v>43</v>
      </c>
      <c r="G36" s="3" t="s">
        <v>20</v>
      </c>
      <c r="H36" s="4">
        <v>45968</v>
      </c>
      <c r="I36" s="4">
        <v>46332</v>
      </c>
      <c r="J36" s="3" t="s">
        <v>603</v>
      </c>
      <c r="K36" s="3" t="str">
        <f t="shared" si="0"/>
        <v>Prj000458-Support - Data Analytics Office</v>
      </c>
      <c r="L36" s="21" t="s">
        <v>478</v>
      </c>
      <c r="M36" s="21" t="s">
        <v>16</v>
      </c>
      <c r="N36" s="21" t="s">
        <v>16</v>
      </c>
      <c r="O36" s="21" t="s">
        <v>16</v>
      </c>
      <c r="P36" s="21" t="s">
        <v>479</v>
      </c>
      <c r="Q36" s="21" t="s">
        <v>589</v>
      </c>
      <c r="R36" s="21" t="s">
        <v>589</v>
      </c>
      <c r="S36" s="21" t="s">
        <v>481</v>
      </c>
      <c r="T36" s="5">
        <v>889688</v>
      </c>
      <c r="U36" s="15">
        <v>1051185.52165</v>
      </c>
      <c r="V36" s="15">
        <v>1051185.52165</v>
      </c>
      <c r="W36" s="15">
        <f t="shared" si="1"/>
        <v>835409.9</v>
      </c>
      <c r="X36" s="15">
        <f t="shared" si="7"/>
        <v>-215775.62164999999</v>
      </c>
      <c r="Y36" s="15">
        <f t="shared" si="2"/>
        <v>0</v>
      </c>
      <c r="Z36" s="15">
        <f>SUM(Financials20263[[#This Row],[2026 Opportunity]:[2026 Risk]])</f>
        <v>-215775.62164999999</v>
      </c>
      <c r="AA36" s="3" t="s">
        <v>604</v>
      </c>
      <c r="AB36" s="52">
        <v>103138.49</v>
      </c>
      <c r="AC36" s="52">
        <v>81363.490000000005</v>
      </c>
      <c r="AD36" s="52">
        <v>81363.490000000005</v>
      </c>
      <c r="AE36" s="52">
        <v>81363.490000000005</v>
      </c>
      <c r="AF36" s="52">
        <v>81363.490000000005</v>
      </c>
      <c r="AG36" s="52">
        <v>81363.490000000005</v>
      </c>
      <c r="AH36" s="52">
        <v>81363.490000000005</v>
      </c>
      <c r="AI36" s="52">
        <v>81363.490000000005</v>
      </c>
      <c r="AJ36" s="52">
        <v>81363.490000000005</v>
      </c>
      <c r="AK36" s="52">
        <v>81363.490000000005</v>
      </c>
      <c r="AL36" s="51"/>
      <c r="AM36" s="51"/>
      <c r="AN36" s="77">
        <f>SUM(Financials20263[[#This Row],[Jan FC]:[Dec FC]])</f>
        <v>835409.9</v>
      </c>
      <c r="AO36" s="15">
        <f t="shared" si="5"/>
        <v>406817.45</v>
      </c>
      <c r="AP36" s="61">
        <f>81363.49+21775</f>
        <v>103138.49</v>
      </c>
      <c r="AQ36" s="61">
        <v>81363.490000000005</v>
      </c>
      <c r="AR36" s="61">
        <v>81363.490000000005</v>
      </c>
      <c r="AS36" s="61">
        <v>81363.490000000005</v>
      </c>
      <c r="AT36" s="61">
        <v>81363.490000000005</v>
      </c>
      <c r="AU36" s="61">
        <v>81363.490000000005</v>
      </c>
      <c r="AV36" s="61">
        <v>81363.490000000005</v>
      </c>
      <c r="AW36" s="61">
        <v>81363.490000000005</v>
      </c>
      <c r="AX36" s="61">
        <v>81363.490000000005</v>
      </c>
      <c r="AY36" s="61">
        <v>81363.490000000005</v>
      </c>
      <c r="AZ36" s="60"/>
      <c r="BA36" s="60"/>
      <c r="BB36" s="79">
        <f>SUM(Financials20263[[#This Row],[Jan AC]:[Dec AC]])</f>
        <v>835409.9</v>
      </c>
      <c r="BC36" s="71">
        <f>Financials20263[[#This Row],[Jan AC]]-Financials20263[[#This Row],[Jan FC]]</f>
        <v>0</v>
      </c>
      <c r="BD36" s="71">
        <f>Financials20263[[#This Row],[Feb AC]]-Financials20263[[#This Row],[Feb FC]]</f>
        <v>0</v>
      </c>
      <c r="BE36" s="71">
        <f>Financials20263[[#This Row],[Mar AC]]-Financials20263[[#This Row],[Mar FC]]</f>
        <v>0</v>
      </c>
      <c r="BF36" s="71">
        <f>Financials20263[[#This Row],[Apr AC]]-Financials20263[[#This Row],[Apr FC]]</f>
        <v>0</v>
      </c>
      <c r="BG36" s="71">
        <f>Financials20263[[#This Row],[May AC]]-Financials20263[[#This Row],[May FC]]</f>
        <v>0</v>
      </c>
      <c r="BH36" s="71">
        <f>Financials20263[[#This Row],[Jun AC]]-Financials20263[[#This Row],[Jun FC]]</f>
        <v>0</v>
      </c>
      <c r="BI36" s="71">
        <f>Financials20263[[#This Row],[Jul AC]]-Financials20263[[#This Row],[Jul FC]]</f>
        <v>0</v>
      </c>
      <c r="BJ36" s="71">
        <f>Financials20263[[#This Row],[Aug AC]]-Financials20263[[#This Row],[Aug FC]]</f>
        <v>0</v>
      </c>
      <c r="BK36" s="71">
        <f>Financials20263[[#This Row],[Sep AC]]-Financials20263[[#This Row],[Sep FC]]</f>
        <v>0</v>
      </c>
      <c r="BL36" s="71">
        <f>Financials20263[[#This Row],[Oct AC]]-Financials20263[[#This Row],[Oct FC]]</f>
        <v>0</v>
      </c>
      <c r="BM36" s="71">
        <f>Financials20263[[#This Row],[Nov AC]]-Financials20263[[#This Row],[Nov FC]]</f>
        <v>0</v>
      </c>
      <c r="BN36" s="71">
        <f>Financials20263[[#This Row],[Dec AC]]-Financials20263[[#This Row],[Dec FC]]</f>
        <v>0</v>
      </c>
      <c r="BO36" s="71">
        <f>SUM(Financials20263[[#This Row],[Jan Opp/Risk]:[Dec Opp./Risk]])</f>
        <v>0</v>
      </c>
      <c r="BP36" s="87" t="s">
        <v>531</v>
      </c>
      <c r="BQ36" s="47">
        <f>SUM(Financials20263[[#This Row],[Jan AC]:[May AC]])</f>
        <v>428592.45</v>
      </c>
      <c r="BR36" s="6">
        <f>Financials20263[[#This Row],[2026 (Actuals + Forecast)]]-Financials20263[[#This Row],[Jan-May Actuals]]-Financials20263[[#This Row],[Jun-Dec FC]]</f>
        <v>0</v>
      </c>
      <c r="BS36" s="6">
        <f>Financials20263[[#This Row],[Jun-Dec FC]]+Financials20263[[#This Row],[Jan-May Forecast ]]</f>
        <v>406817.45</v>
      </c>
      <c r="BT36" s="6">
        <f>SUM(Financials20263[[#This Row],[Jan FC]:[May FC]])</f>
        <v>428592.45</v>
      </c>
      <c r="BU36" s="6">
        <f>Financials20263[[#This Row],[Jan-May Actuals]]+Financials20263[[#This Row],[Forecast Jun-Dec]]</f>
        <v>835409.9</v>
      </c>
      <c r="BV36" s="6"/>
      <c r="BW36" s="6"/>
      <c r="BX36" s="6"/>
    </row>
    <row r="37" spans="1:76">
      <c r="A37" s="22" t="s">
        <v>473</v>
      </c>
      <c r="B37" s="21" t="s">
        <v>48</v>
      </c>
      <c r="C37" s="21" t="s">
        <v>600</v>
      </c>
      <c r="D37" s="10" t="s">
        <v>605</v>
      </c>
      <c r="E37" s="7" t="s">
        <v>606</v>
      </c>
      <c r="F37" s="3" t="s">
        <v>43</v>
      </c>
      <c r="G37" s="3" t="s">
        <v>20</v>
      </c>
      <c r="H37" s="4">
        <v>45839</v>
      </c>
      <c r="I37" s="4">
        <v>46203</v>
      </c>
      <c r="J37" s="3" t="s">
        <v>607</v>
      </c>
      <c r="K37" s="3" t="str">
        <f t="shared" si="0"/>
        <v>Prj000548-Implement - Reporting for Internal Audit</v>
      </c>
      <c r="L37" s="21" t="s">
        <v>478</v>
      </c>
      <c r="M37" s="21" t="s">
        <v>16</v>
      </c>
      <c r="N37" s="21" t="s">
        <v>16</v>
      </c>
      <c r="O37" s="21"/>
      <c r="P37" s="21" t="s">
        <v>479</v>
      </c>
      <c r="Q37" s="21" t="s">
        <v>589</v>
      </c>
      <c r="R37" s="21" t="s">
        <v>589</v>
      </c>
      <c r="S37" s="21" t="s">
        <v>481</v>
      </c>
      <c r="T37" s="5">
        <v>100000</v>
      </c>
      <c r="U37" s="15">
        <v>200000</v>
      </c>
      <c r="V37" s="15">
        <v>200000</v>
      </c>
      <c r="W37" s="15">
        <f t="shared" si="1"/>
        <v>199999.99999999997</v>
      </c>
      <c r="X37" s="15">
        <f t="shared" si="7"/>
        <v>-2.9103830456733704E-11</v>
      </c>
      <c r="Y37" s="15">
        <f t="shared" si="2"/>
        <v>0</v>
      </c>
      <c r="Z37" s="15">
        <f>SUM(Financials20263[[#This Row],[2026 Opportunity]:[2026 Risk]])</f>
        <v>-2.9103830456733704E-11</v>
      </c>
      <c r="AA37" s="3" t="s">
        <v>608</v>
      </c>
      <c r="AB37" s="52">
        <f t="shared" ref="AB37:AU37" si="17">200000/12</f>
        <v>16666.666666666668</v>
      </c>
      <c r="AC37" s="52">
        <f t="shared" si="17"/>
        <v>16666.666666666668</v>
      </c>
      <c r="AD37" s="52">
        <f t="shared" si="17"/>
        <v>16666.666666666668</v>
      </c>
      <c r="AE37" s="52">
        <f t="shared" si="17"/>
        <v>16666.666666666668</v>
      </c>
      <c r="AF37" s="52">
        <f t="shared" si="17"/>
        <v>16666.666666666668</v>
      </c>
      <c r="AG37" s="52">
        <f t="shared" si="17"/>
        <v>16666.666666666668</v>
      </c>
      <c r="AH37" s="52">
        <f t="shared" si="17"/>
        <v>16666.666666666668</v>
      </c>
      <c r="AI37" s="52">
        <f t="shared" si="17"/>
        <v>16666.666666666668</v>
      </c>
      <c r="AJ37" s="52">
        <f t="shared" si="17"/>
        <v>16666.666666666668</v>
      </c>
      <c r="AK37" s="52">
        <f t="shared" si="17"/>
        <v>16666.666666666668</v>
      </c>
      <c r="AL37" s="52">
        <f t="shared" si="17"/>
        <v>16666.666666666668</v>
      </c>
      <c r="AM37" s="52">
        <f t="shared" si="17"/>
        <v>16666.666666666668</v>
      </c>
      <c r="AN37" s="52">
        <f>SUM(Financials20263[[#This Row],[Jan FC]:[Dec FC]])</f>
        <v>199999.99999999997</v>
      </c>
      <c r="AO37" s="15">
        <f t="shared" si="5"/>
        <v>116666.66666666669</v>
      </c>
      <c r="AP37" s="61">
        <f t="shared" si="17"/>
        <v>16666.666666666668</v>
      </c>
      <c r="AQ37" s="61">
        <f t="shared" si="17"/>
        <v>16666.666666666668</v>
      </c>
      <c r="AR37" s="61">
        <f t="shared" si="17"/>
        <v>16666.666666666668</v>
      </c>
      <c r="AS37" s="61">
        <f t="shared" si="17"/>
        <v>16666.666666666668</v>
      </c>
      <c r="AT37" s="61">
        <f t="shared" si="17"/>
        <v>16666.666666666668</v>
      </c>
      <c r="AU37" s="61">
        <f t="shared" si="17"/>
        <v>16666.666666666668</v>
      </c>
      <c r="AV37" s="61"/>
      <c r="AW37" s="61"/>
      <c r="AX37" s="61"/>
      <c r="AY37" s="61"/>
      <c r="AZ37" s="61"/>
      <c r="BA37" s="61"/>
      <c r="BB37" s="80">
        <f>SUM(Financials20263[[#This Row],[Jan AC]:[Dec AC]])</f>
        <v>100000.00000000001</v>
      </c>
      <c r="BC37" s="71">
        <f>Financials20263[[#This Row],[Jan AC]]-Financials20263[[#This Row],[Jan FC]]</f>
        <v>0</v>
      </c>
      <c r="BD37" s="71">
        <f>Financials20263[[#This Row],[Feb AC]]-Financials20263[[#This Row],[Feb FC]]</f>
        <v>0</v>
      </c>
      <c r="BE37" s="71">
        <f>Financials20263[[#This Row],[Mar AC]]-Financials20263[[#This Row],[Mar FC]]</f>
        <v>0</v>
      </c>
      <c r="BF37" s="71">
        <f>Financials20263[[#This Row],[Apr AC]]-Financials20263[[#This Row],[Apr FC]]</f>
        <v>0</v>
      </c>
      <c r="BG37" s="71">
        <f>Financials20263[[#This Row],[May AC]]-Financials20263[[#This Row],[May FC]]</f>
        <v>0</v>
      </c>
      <c r="BH37" s="71">
        <f>Financials20263[[#This Row],[Jun AC]]-Financials20263[[#This Row],[Jun FC]]</f>
        <v>0</v>
      </c>
      <c r="BI37" s="71">
        <f>Financials20263[[#This Row],[Jul AC]]-Financials20263[[#This Row],[Jul FC]]</f>
        <v>-16666.666666666668</v>
      </c>
      <c r="BJ37" s="71">
        <f>Financials20263[[#This Row],[Aug AC]]-Financials20263[[#This Row],[Aug FC]]</f>
        <v>-16666.666666666668</v>
      </c>
      <c r="BK37" s="71">
        <f>Financials20263[[#This Row],[Sep AC]]-Financials20263[[#This Row],[Sep FC]]</f>
        <v>-16666.666666666668</v>
      </c>
      <c r="BL37" s="71">
        <f>Financials20263[[#This Row],[Oct AC]]-Financials20263[[#This Row],[Oct FC]]</f>
        <v>-16666.666666666668</v>
      </c>
      <c r="BM37" s="71">
        <f>Financials20263[[#This Row],[Nov AC]]-Financials20263[[#This Row],[Nov FC]]</f>
        <v>-16666.666666666668</v>
      </c>
      <c r="BN37" s="71">
        <f>Financials20263[[#This Row],[Dec AC]]-Financials20263[[#This Row],[Dec FC]]</f>
        <v>-16666.666666666668</v>
      </c>
      <c r="BO37" s="71">
        <f>SUM(Financials20263[[#This Row],[Jan Opp/Risk]:[Dec Opp./Risk]])</f>
        <v>-100000.00000000001</v>
      </c>
      <c r="BP37" s="87"/>
      <c r="BQ37" s="47">
        <f>SUM(Financials20263[[#This Row],[Jan AC]:[May AC]])</f>
        <v>83333.333333333343</v>
      </c>
      <c r="BR37" s="6">
        <f>Financials20263[[#This Row],[2026 (Actuals + Forecast)]]-Financials20263[[#This Row],[Jan-May Actuals]]-Financials20263[[#This Row],[Jun-Dec FC]]</f>
        <v>0</v>
      </c>
      <c r="BS37" s="6">
        <f>Financials20263[[#This Row],[Jun-Dec FC]]+Financials20263[[#This Row],[Jan-May Forecast ]]</f>
        <v>116666.66666666669</v>
      </c>
      <c r="BT37" s="6">
        <f>SUM(Financials20263[[#This Row],[Jan FC]:[May FC]])</f>
        <v>83333.333333333343</v>
      </c>
      <c r="BU37" s="6">
        <f>Financials20263[[#This Row],[Jan-May Actuals]]+Financials20263[[#This Row],[Forecast Jun-Dec]]</f>
        <v>200000.00000000003</v>
      </c>
      <c r="BV37" s="6"/>
      <c r="BW37" s="6"/>
      <c r="BX37" s="6"/>
    </row>
    <row r="38" spans="1:76">
      <c r="A38" s="22" t="s">
        <v>473</v>
      </c>
      <c r="B38" s="21" t="s">
        <v>48</v>
      </c>
      <c r="C38" s="21" t="s">
        <v>600</v>
      </c>
      <c r="D38" s="10" t="s">
        <v>601</v>
      </c>
      <c r="E38" s="7" t="s">
        <v>602</v>
      </c>
      <c r="F38" s="3" t="s">
        <v>43</v>
      </c>
      <c r="G38" s="3" t="s">
        <v>20</v>
      </c>
      <c r="H38" s="4">
        <v>46143</v>
      </c>
      <c r="I38" s="4">
        <v>46507</v>
      </c>
      <c r="J38" s="3" t="s">
        <v>607</v>
      </c>
      <c r="K38" s="3" t="str">
        <f t="shared" si="0"/>
        <v>Prj000458-Support - Data Analytics Office</v>
      </c>
      <c r="L38" s="21" t="s">
        <v>478</v>
      </c>
      <c r="M38" s="21" t="s">
        <v>16</v>
      </c>
      <c r="N38" s="21" t="s">
        <v>16</v>
      </c>
      <c r="O38" s="21" t="s">
        <v>16</v>
      </c>
      <c r="P38" s="21" t="s">
        <v>479</v>
      </c>
      <c r="Q38" s="21" t="s">
        <v>589</v>
      </c>
      <c r="R38" s="21" t="s">
        <v>589</v>
      </c>
      <c r="S38" s="21" t="s">
        <v>481</v>
      </c>
      <c r="T38" s="5">
        <v>66666.666666666672</v>
      </c>
      <c r="U38" s="15">
        <v>100000</v>
      </c>
      <c r="V38" s="15">
        <v>100000</v>
      </c>
      <c r="W38" s="15">
        <f t="shared" si="1"/>
        <v>99999.999999999985</v>
      </c>
      <c r="X38" s="15">
        <f t="shared" si="7"/>
        <v>-1.4551915228366852E-11</v>
      </c>
      <c r="Y38" s="15">
        <f t="shared" si="2"/>
        <v>0</v>
      </c>
      <c r="Z38" s="15">
        <f>SUM(Financials20263[[#This Row],[2026 Opportunity]:[2026 Risk]])</f>
        <v>-1.4551915228366852E-11</v>
      </c>
      <c r="AA38" s="3" t="s">
        <v>609</v>
      </c>
      <c r="AB38" s="52">
        <f>100000/12</f>
        <v>8333.3333333333339</v>
      </c>
      <c r="AC38" s="52">
        <f>100000/12</f>
        <v>8333.3333333333339</v>
      </c>
      <c r="AD38" s="52">
        <f>100000/12</f>
        <v>8333.3333333333339</v>
      </c>
      <c r="AE38" s="52">
        <f>100000/12</f>
        <v>8333.3333333333339</v>
      </c>
      <c r="AF38" s="52">
        <f>100000/12</f>
        <v>8333.3333333333339</v>
      </c>
      <c r="AG38" s="52">
        <f t="shared" ref="AG38:AM38" si="18">+AF38</f>
        <v>8333.3333333333339</v>
      </c>
      <c r="AH38" s="52">
        <f t="shared" si="18"/>
        <v>8333.3333333333339</v>
      </c>
      <c r="AI38" s="52">
        <f t="shared" si="18"/>
        <v>8333.3333333333339</v>
      </c>
      <c r="AJ38" s="52">
        <f t="shared" si="18"/>
        <v>8333.3333333333339</v>
      </c>
      <c r="AK38" s="52">
        <f t="shared" si="18"/>
        <v>8333.3333333333339</v>
      </c>
      <c r="AL38" s="52">
        <f t="shared" si="18"/>
        <v>8333.3333333333339</v>
      </c>
      <c r="AM38" s="52">
        <f t="shared" si="18"/>
        <v>8333.3333333333339</v>
      </c>
      <c r="AN38" s="52">
        <f>SUM(Financials20263[[#This Row],[Jan FC]:[Dec FC]])</f>
        <v>99999.999999999985</v>
      </c>
      <c r="AO38" s="15">
        <f t="shared" si="5"/>
        <v>58333.333333333343</v>
      </c>
      <c r="AP38" s="61">
        <f>100000/12</f>
        <v>8333.3333333333339</v>
      </c>
      <c r="AQ38" s="61">
        <f>100000/12</f>
        <v>8333.3333333333339</v>
      </c>
      <c r="AR38" s="61">
        <f>100000/12</f>
        <v>8333.3333333333339</v>
      </c>
      <c r="AS38" s="61">
        <f>100000/12</f>
        <v>8333.3333333333339</v>
      </c>
      <c r="AT38" s="61">
        <f>100000/12</f>
        <v>8333.3333333333339</v>
      </c>
      <c r="AU38" s="61">
        <f t="shared" ref="AU38:BA38" si="19">+AT38</f>
        <v>8333.3333333333339</v>
      </c>
      <c r="AV38" s="61">
        <f t="shared" si="19"/>
        <v>8333.3333333333339</v>
      </c>
      <c r="AW38" s="61">
        <f t="shared" si="19"/>
        <v>8333.3333333333339</v>
      </c>
      <c r="AX38" s="61">
        <f t="shared" si="19"/>
        <v>8333.3333333333339</v>
      </c>
      <c r="AY38" s="61">
        <f t="shared" si="19"/>
        <v>8333.3333333333339</v>
      </c>
      <c r="AZ38" s="61">
        <f t="shared" si="19"/>
        <v>8333.3333333333339</v>
      </c>
      <c r="BA38" s="61">
        <f t="shared" si="19"/>
        <v>8333.3333333333339</v>
      </c>
      <c r="BB38" s="80">
        <f>SUM(Financials20263[[#This Row],[Jan AC]:[Dec AC]])</f>
        <v>99999.999999999985</v>
      </c>
      <c r="BC38" s="71">
        <f>Financials20263[[#This Row],[Jan AC]]-Financials20263[[#This Row],[Jan FC]]</f>
        <v>0</v>
      </c>
      <c r="BD38" s="71">
        <f>Financials20263[[#This Row],[Feb AC]]-Financials20263[[#This Row],[Feb FC]]</f>
        <v>0</v>
      </c>
      <c r="BE38" s="71">
        <f>Financials20263[[#This Row],[Mar AC]]-Financials20263[[#This Row],[Mar FC]]</f>
        <v>0</v>
      </c>
      <c r="BF38" s="71">
        <f>Financials20263[[#This Row],[Apr AC]]-Financials20263[[#This Row],[Apr FC]]</f>
        <v>0</v>
      </c>
      <c r="BG38" s="71">
        <f>Financials20263[[#This Row],[May AC]]-Financials20263[[#This Row],[May FC]]</f>
        <v>0</v>
      </c>
      <c r="BH38" s="71">
        <f>Financials20263[[#This Row],[Jun AC]]-Financials20263[[#This Row],[Jun FC]]</f>
        <v>0</v>
      </c>
      <c r="BI38" s="71">
        <f>Financials20263[[#This Row],[Jul AC]]-Financials20263[[#This Row],[Jul FC]]</f>
        <v>0</v>
      </c>
      <c r="BJ38" s="71">
        <f>Financials20263[[#This Row],[Aug AC]]-Financials20263[[#This Row],[Aug FC]]</f>
        <v>0</v>
      </c>
      <c r="BK38" s="71">
        <f>Financials20263[[#This Row],[Sep AC]]-Financials20263[[#This Row],[Sep FC]]</f>
        <v>0</v>
      </c>
      <c r="BL38" s="71">
        <f>Financials20263[[#This Row],[Oct AC]]-Financials20263[[#This Row],[Oct FC]]</f>
        <v>0</v>
      </c>
      <c r="BM38" s="71">
        <f>Financials20263[[#This Row],[Nov AC]]-Financials20263[[#This Row],[Nov FC]]</f>
        <v>0</v>
      </c>
      <c r="BN38" s="71">
        <f>Financials20263[[#This Row],[Dec AC]]-Financials20263[[#This Row],[Dec FC]]</f>
        <v>0</v>
      </c>
      <c r="BO38" s="71">
        <f>SUM(Financials20263[[#This Row],[Jan Opp/Risk]:[Dec Opp./Risk]])</f>
        <v>0</v>
      </c>
      <c r="BP38" s="87"/>
      <c r="BQ38" s="47">
        <f>SUM(Financials20263[[#This Row],[Jan AC]:[May AC]])</f>
        <v>41666.666666666672</v>
      </c>
      <c r="BR38" s="6">
        <f>Financials20263[[#This Row],[2026 (Actuals + Forecast)]]-Financials20263[[#This Row],[Jan-May Actuals]]-Financials20263[[#This Row],[Jun-Dec FC]]</f>
        <v>0</v>
      </c>
      <c r="BS38" s="6">
        <f>Financials20263[[#This Row],[Jun-Dec FC]]+Financials20263[[#This Row],[Jan-May Forecast ]]</f>
        <v>58333.333333333343</v>
      </c>
      <c r="BT38" s="6">
        <f>SUM(Financials20263[[#This Row],[Jan FC]:[May FC]])</f>
        <v>41666.666666666672</v>
      </c>
      <c r="BU38" s="6">
        <f>Financials20263[[#This Row],[Jan-May Actuals]]+Financials20263[[#This Row],[Forecast Jun-Dec]]</f>
        <v>100000.00000000001</v>
      </c>
      <c r="BV38" s="6"/>
      <c r="BW38" s="6"/>
      <c r="BX38" s="6"/>
    </row>
    <row r="39" spans="1:76">
      <c r="A39" s="22" t="s">
        <v>473</v>
      </c>
      <c r="B39" s="21" t="s">
        <v>385</v>
      </c>
      <c r="C39" s="21"/>
      <c r="D39" s="10" t="s">
        <v>610</v>
      </c>
      <c r="E39" s="7" t="s">
        <v>611</v>
      </c>
      <c r="F39" s="3" t="s">
        <v>488</v>
      </c>
      <c r="G39" s="3" t="s">
        <v>25</v>
      </c>
      <c r="H39" s="4">
        <v>46082</v>
      </c>
      <c r="I39" s="4">
        <v>46446</v>
      </c>
      <c r="J39" s="3" t="s">
        <v>612</v>
      </c>
      <c r="K39" s="3" t="str">
        <f t="shared" si="0"/>
        <v>Prj000446-Implement - Minor Enhancements for Enterprise Apps</v>
      </c>
      <c r="L39" s="21" t="s">
        <v>478</v>
      </c>
      <c r="M39" s="21" t="s">
        <v>16</v>
      </c>
      <c r="N39" s="21" t="s">
        <v>16</v>
      </c>
      <c r="O39" s="21" t="s">
        <v>16</v>
      </c>
      <c r="P39" s="21" t="s">
        <v>479</v>
      </c>
      <c r="Q39" s="21" t="s">
        <v>589</v>
      </c>
      <c r="R39" s="21" t="s">
        <v>589</v>
      </c>
      <c r="S39" s="21" t="s">
        <v>481</v>
      </c>
      <c r="T39" s="5">
        <v>464992</v>
      </c>
      <c r="U39" s="15">
        <v>440671.35000000003</v>
      </c>
      <c r="V39" s="15">
        <v>440671.35000000003</v>
      </c>
      <c r="W39" s="15">
        <f t="shared" si="1"/>
        <v>440671.00000000006</v>
      </c>
      <c r="X39" s="15">
        <f t="shared" si="7"/>
        <v>-0.34999999997671694</v>
      </c>
      <c r="Y39" s="15">
        <f t="shared" si="2"/>
        <v>0</v>
      </c>
      <c r="Z39" s="15">
        <f>SUM(Financials20263[[#This Row],[2026 Opportunity]:[2026 Risk]])</f>
        <v>-0.34999999997671694</v>
      </c>
      <c r="AA39" s="3" t="s">
        <v>613</v>
      </c>
      <c r="AB39" s="52"/>
      <c r="AC39" s="52"/>
      <c r="AD39" s="52">
        <f t="shared" ref="AD39:AL39" si="20">434810.4/12</f>
        <v>36234.200000000004</v>
      </c>
      <c r="AE39" s="52">
        <f t="shared" si="20"/>
        <v>36234.200000000004</v>
      </c>
      <c r="AF39" s="52">
        <f t="shared" si="20"/>
        <v>36234.200000000004</v>
      </c>
      <c r="AG39" s="52">
        <f t="shared" si="20"/>
        <v>36234.200000000004</v>
      </c>
      <c r="AH39" s="52">
        <f t="shared" si="20"/>
        <v>36234.200000000004</v>
      </c>
      <c r="AI39" s="52">
        <f t="shared" si="20"/>
        <v>36234.200000000004</v>
      </c>
      <c r="AJ39" s="52">
        <f t="shared" si="20"/>
        <v>36234.200000000004</v>
      </c>
      <c r="AK39" s="52">
        <f t="shared" si="20"/>
        <v>36234.200000000004</v>
      </c>
      <c r="AL39" s="52">
        <f t="shared" si="20"/>
        <v>36234.200000000004</v>
      </c>
      <c r="AM39" s="85">
        <f>(434810.4/12)+78329</f>
        <v>114563.20000000001</v>
      </c>
      <c r="AN39" s="52">
        <f>SUM(Financials20263[[#This Row],[Jan FC]:[Dec FC]])</f>
        <v>440671.00000000006</v>
      </c>
      <c r="AO39" s="15">
        <f t="shared" si="5"/>
        <v>331968.40000000002</v>
      </c>
      <c r="AP39" s="61"/>
      <c r="AQ39" s="61"/>
      <c r="AR39" s="61">
        <f t="shared" ref="AR39:BA39" si="21">434810.4/12</f>
        <v>36234.200000000004</v>
      </c>
      <c r="AS39" s="61">
        <f t="shared" si="21"/>
        <v>36234.200000000004</v>
      </c>
      <c r="AT39" s="61">
        <f t="shared" si="21"/>
        <v>36234.200000000004</v>
      </c>
      <c r="AU39" s="61">
        <f t="shared" si="21"/>
        <v>36234.200000000004</v>
      </c>
      <c r="AV39" s="61">
        <f t="shared" si="21"/>
        <v>36234.200000000004</v>
      </c>
      <c r="AW39" s="61">
        <f t="shared" si="21"/>
        <v>36234.200000000004</v>
      </c>
      <c r="AX39" s="61">
        <f t="shared" si="21"/>
        <v>36234.200000000004</v>
      </c>
      <c r="AY39" s="61">
        <f t="shared" si="21"/>
        <v>36234.200000000004</v>
      </c>
      <c r="AZ39" s="61">
        <f t="shared" si="21"/>
        <v>36234.200000000004</v>
      </c>
      <c r="BA39" s="61">
        <f t="shared" si="21"/>
        <v>36234.200000000004</v>
      </c>
      <c r="BB39" s="80">
        <f>SUM(Financials20263[[#This Row],[Jan AC]:[Dec AC]])</f>
        <v>362342.00000000006</v>
      </c>
      <c r="BC39" s="71">
        <f>Financials20263[[#This Row],[Jan AC]]-Financials20263[[#This Row],[Jan FC]]</f>
        <v>0</v>
      </c>
      <c r="BD39" s="71">
        <f>Financials20263[[#This Row],[Feb AC]]-Financials20263[[#This Row],[Feb FC]]</f>
        <v>0</v>
      </c>
      <c r="BE39" s="71">
        <f>Financials20263[[#This Row],[Mar AC]]-Financials20263[[#This Row],[Mar FC]]</f>
        <v>0</v>
      </c>
      <c r="BF39" s="71">
        <f>Financials20263[[#This Row],[Apr AC]]-Financials20263[[#This Row],[Apr FC]]</f>
        <v>0</v>
      </c>
      <c r="BG39" s="71">
        <f>Financials20263[[#This Row],[May AC]]-Financials20263[[#This Row],[May FC]]</f>
        <v>0</v>
      </c>
      <c r="BH39" s="71">
        <f>Financials20263[[#This Row],[Jun AC]]-Financials20263[[#This Row],[Jun FC]]</f>
        <v>0</v>
      </c>
      <c r="BI39" s="71">
        <f>Financials20263[[#This Row],[Jul AC]]-Financials20263[[#This Row],[Jul FC]]</f>
        <v>0</v>
      </c>
      <c r="BJ39" s="71">
        <f>Financials20263[[#This Row],[Aug AC]]-Financials20263[[#This Row],[Aug FC]]</f>
        <v>0</v>
      </c>
      <c r="BK39" s="71">
        <f>Financials20263[[#This Row],[Sep AC]]-Financials20263[[#This Row],[Sep FC]]</f>
        <v>0</v>
      </c>
      <c r="BL39" s="71">
        <f>Financials20263[[#This Row],[Oct AC]]-Financials20263[[#This Row],[Oct FC]]</f>
        <v>0</v>
      </c>
      <c r="BM39" s="71">
        <f>Financials20263[[#This Row],[Nov AC]]-Financials20263[[#This Row],[Nov FC]]</f>
        <v>0</v>
      </c>
      <c r="BN39" s="71">
        <f>Financials20263[[#This Row],[Dec AC]]-Financials20263[[#This Row],[Dec FC]]</f>
        <v>-78329</v>
      </c>
      <c r="BO39" s="71">
        <f>SUM(Financials20263[[#This Row],[Jan Opp/Risk]:[Dec Opp./Risk]])</f>
        <v>-78329</v>
      </c>
      <c r="BP39" s="87" t="s">
        <v>614</v>
      </c>
      <c r="BQ39" s="47">
        <f>SUM(Financials20263[[#This Row],[Jan AC]:[May AC]])</f>
        <v>108702.6</v>
      </c>
      <c r="BR39" s="6">
        <f>Financials20263[[#This Row],[2026 (Actuals + Forecast)]]-Financials20263[[#This Row],[Jan-May Actuals]]-Financials20263[[#This Row],[Jun-Dec FC]]</f>
        <v>0</v>
      </c>
      <c r="BS39" s="6">
        <f>Financials20263[[#This Row],[Jun-Dec FC]]+Financials20263[[#This Row],[Jan-May Forecast ]]</f>
        <v>331968.40000000002</v>
      </c>
      <c r="BT39" s="6">
        <f>SUM(Financials20263[[#This Row],[Jan FC]:[May FC]])</f>
        <v>108702.6</v>
      </c>
      <c r="BU39" s="6">
        <f>Financials20263[[#This Row],[Jan-May Actuals]]+Financials20263[[#This Row],[Forecast Jun-Dec]]</f>
        <v>440671</v>
      </c>
      <c r="BV39" s="6"/>
      <c r="BW39" s="6"/>
      <c r="BX39" s="6"/>
    </row>
    <row r="40" spans="1:76">
      <c r="A40" s="22" t="s">
        <v>473</v>
      </c>
      <c r="B40" s="21" t="s">
        <v>134</v>
      </c>
      <c r="C40" s="21"/>
      <c r="D40" s="10" t="s">
        <v>475</v>
      </c>
      <c r="E40" s="7" t="s">
        <v>476</v>
      </c>
      <c r="F40" s="3" t="s">
        <v>91</v>
      </c>
      <c r="G40" s="3" t="s">
        <v>21</v>
      </c>
      <c r="H40" s="4" t="s">
        <v>521</v>
      </c>
      <c r="I40" s="4" t="s">
        <v>521</v>
      </c>
      <c r="J40" s="3"/>
      <c r="K40" s="3" t="str">
        <f t="shared" si="0"/>
        <v>Prj000350-Support - Infrastructure for Tech</v>
      </c>
      <c r="L40" s="21" t="s">
        <v>478</v>
      </c>
      <c r="M40" s="21" t="s">
        <v>16</v>
      </c>
      <c r="N40" s="21" t="s">
        <v>16</v>
      </c>
      <c r="O40" s="21" t="s">
        <v>615</v>
      </c>
      <c r="P40" s="21" t="s">
        <v>479</v>
      </c>
      <c r="Q40" s="21" t="s">
        <v>480</v>
      </c>
      <c r="R40" s="21" t="s">
        <v>480</v>
      </c>
      <c r="S40" s="21" t="s">
        <v>504</v>
      </c>
      <c r="T40" s="5">
        <v>12685</v>
      </c>
      <c r="U40" s="15">
        <v>15000</v>
      </c>
      <c r="V40" s="15">
        <v>15000</v>
      </c>
      <c r="W40" s="15">
        <f t="shared" si="1"/>
        <v>14999.48</v>
      </c>
      <c r="X40" s="15">
        <f t="shared" si="7"/>
        <v>-0.52000000000043656</v>
      </c>
      <c r="Y40" s="15">
        <f t="shared" si="2"/>
        <v>0</v>
      </c>
      <c r="Z40" s="15">
        <f>SUM(Financials20263[[#This Row],[2026 Opportunity]:[2026 Risk]])</f>
        <v>-0.52000000000043656</v>
      </c>
      <c r="AA40" s="3" t="s">
        <v>616</v>
      </c>
      <c r="AB40" s="52">
        <v>1250</v>
      </c>
      <c r="AC40" s="52">
        <v>1250</v>
      </c>
      <c r="AD40" s="52">
        <v>1250</v>
      </c>
      <c r="AE40" s="52">
        <f>1250+717</f>
        <v>1967</v>
      </c>
      <c r="AF40" s="52">
        <f>1250+717</f>
        <v>1967</v>
      </c>
      <c r="AG40" s="52">
        <v>1250</v>
      </c>
      <c r="AH40" s="52">
        <v>1250</v>
      </c>
      <c r="AI40" s="52">
        <v>1250</v>
      </c>
      <c r="AJ40" s="52">
        <v>1250</v>
      </c>
      <c r="AK40" s="52">
        <v>1250</v>
      </c>
      <c r="AL40" s="52">
        <v>1250</v>
      </c>
      <c r="AM40" s="46">
        <f>1250+3054-717-716</f>
        <v>2871</v>
      </c>
      <c r="AN40" s="52">
        <f>SUM(Financials20263[[#This Row],[Jan FC]:[Dec FC]])</f>
        <v>18055</v>
      </c>
      <c r="AO40" s="15">
        <f t="shared" si="5"/>
        <v>10371</v>
      </c>
      <c r="AP40" s="61">
        <v>0</v>
      </c>
      <c r="AQ40" s="61">
        <v>0</v>
      </c>
      <c r="AR40" s="61">
        <v>696.32</v>
      </c>
      <c r="AS40" s="61">
        <v>1966.08</v>
      </c>
      <c r="AT40" s="61">
        <v>1966.08</v>
      </c>
      <c r="AU40" s="61">
        <v>1966.08</v>
      </c>
      <c r="AV40" s="61"/>
      <c r="AW40" s="61"/>
      <c r="AX40" s="61"/>
      <c r="AY40" s="61"/>
      <c r="AZ40" s="61"/>
      <c r="BA40" s="61"/>
      <c r="BB40" s="80">
        <f>SUM(Financials20263[[#This Row],[Jan AC]:[Dec AC]])</f>
        <v>6594.5599999999995</v>
      </c>
      <c r="BC40" s="71">
        <f>Financials20263[[#This Row],[Jan AC]]-Financials20263[[#This Row],[Jan FC]]</f>
        <v>-1250</v>
      </c>
      <c r="BD40" s="71">
        <f>Financials20263[[#This Row],[Feb AC]]-Financials20263[[#This Row],[Feb FC]]</f>
        <v>-1250</v>
      </c>
      <c r="BE40" s="71">
        <f>Financials20263[[#This Row],[Mar AC]]-Financials20263[[#This Row],[Mar FC]]</f>
        <v>-553.67999999999995</v>
      </c>
      <c r="BF40" s="71">
        <f>Financials20263[[#This Row],[Apr AC]]-Financials20263[[#This Row],[Apr FC]]</f>
        <v>-0.92000000000007276</v>
      </c>
      <c r="BG40" s="71">
        <f>Financials20263[[#This Row],[May AC]]-Financials20263[[#This Row],[May FC]]</f>
        <v>-0.92000000000007276</v>
      </c>
      <c r="BH40" s="71">
        <f>Financials20263[[#This Row],[Jun AC]]-Financials20263[[#This Row],[Jun FC]]</f>
        <v>716.07999999999993</v>
      </c>
      <c r="BI40" s="71">
        <f>Financials20263[[#This Row],[Jul AC]]-Financials20263[[#This Row],[Jul FC]]</f>
        <v>-1250</v>
      </c>
      <c r="BJ40" s="71">
        <f>Financials20263[[#This Row],[Aug AC]]-Financials20263[[#This Row],[Aug FC]]</f>
        <v>-1250</v>
      </c>
      <c r="BK40" s="71">
        <f>Financials20263[[#This Row],[Sep AC]]-Financials20263[[#This Row],[Sep FC]]</f>
        <v>-1250</v>
      </c>
      <c r="BL40" s="71">
        <f>Financials20263[[#This Row],[Oct AC]]-Financials20263[[#This Row],[Oct FC]]</f>
        <v>-1250</v>
      </c>
      <c r="BM40" s="71">
        <f>Financials20263[[#This Row],[Nov AC]]-Financials20263[[#This Row],[Nov FC]]</f>
        <v>-1250</v>
      </c>
      <c r="BN40" s="71">
        <f>Financials20263[[#This Row],[Dec AC]]-Financials20263[[#This Row],[Dec FC]]</f>
        <v>-2871</v>
      </c>
      <c r="BO40" s="71">
        <f>SUM(Financials20263[[#This Row],[Jan Opp/Risk]:[Dec Opp./Risk]])</f>
        <v>-11460.44</v>
      </c>
      <c r="BP40" s="87" t="s">
        <v>617</v>
      </c>
      <c r="BQ40" s="47">
        <f>SUM(Financials20263[[#This Row],[Jan AC]:[May AC]])</f>
        <v>4628.4799999999996</v>
      </c>
      <c r="BR40" s="6">
        <f>Financials20263[[#This Row],[2026 (Actuals + Forecast)]]-Financials20263[[#This Row],[Jan-May Actuals]]-Financials20263[[#This Row],[Jun-Dec FC]]</f>
        <v>0</v>
      </c>
      <c r="BS40" s="6">
        <f>Financials20263[[#This Row],[Jun-Dec FC]]+Financials20263[[#This Row],[Jan-May Forecast ]]</f>
        <v>10371</v>
      </c>
      <c r="BT40" s="6">
        <f>SUM(Financials20263[[#This Row],[Jan FC]:[May FC]])</f>
        <v>7684</v>
      </c>
      <c r="BU40" s="6">
        <f>Financials20263[[#This Row],[Jan-May Actuals]]+Financials20263[[#This Row],[Forecast Jun-Dec]]</f>
        <v>14999.48</v>
      </c>
      <c r="BV40" s="6"/>
      <c r="BW40" s="6"/>
      <c r="BX40" s="6"/>
    </row>
    <row r="41" spans="1:76">
      <c r="A41" s="22" t="s">
        <v>473</v>
      </c>
      <c r="B41" s="21" t="s">
        <v>134</v>
      </c>
      <c r="C41" s="21"/>
      <c r="D41" s="10" t="s">
        <v>618</v>
      </c>
      <c r="E41" s="7" t="s">
        <v>619</v>
      </c>
      <c r="F41" s="3" t="s">
        <v>91</v>
      </c>
      <c r="G41" s="3" t="s">
        <v>21</v>
      </c>
      <c r="H41" s="4">
        <v>45444</v>
      </c>
      <c r="I41" s="4">
        <v>46538</v>
      </c>
      <c r="J41" s="3"/>
      <c r="K41" s="3" t="str">
        <f t="shared" si="0"/>
        <v>Prj000342-Support - Site Reliability Engineering for Tech</v>
      </c>
      <c r="L41" s="21" t="s">
        <v>478</v>
      </c>
      <c r="M41" s="21" t="s">
        <v>12</v>
      </c>
      <c r="N41" s="21" t="s">
        <v>12</v>
      </c>
      <c r="O41" s="21" t="s">
        <v>620</v>
      </c>
      <c r="P41" s="21" t="s">
        <v>479</v>
      </c>
      <c r="Q41" s="21" t="s">
        <v>621</v>
      </c>
      <c r="R41" s="21" t="s">
        <v>621</v>
      </c>
      <c r="S41" s="21" t="s">
        <v>504</v>
      </c>
      <c r="T41" s="5">
        <v>7121037.5</v>
      </c>
      <c r="U41" s="15">
        <v>7500000</v>
      </c>
      <c r="V41" s="15">
        <v>7500000</v>
      </c>
      <c r="W41" s="15">
        <f t="shared" si="1"/>
        <v>7499999.5600000005</v>
      </c>
      <c r="X41" s="15">
        <f t="shared" si="7"/>
        <v>-0.43999999947845936</v>
      </c>
      <c r="Y41" s="15">
        <f t="shared" si="2"/>
        <v>0</v>
      </c>
      <c r="Z41" s="15">
        <f>SUM(Financials20263[[#This Row],[2026 Opportunity]:[2026 Risk]])</f>
        <v>-0.43999999947845936</v>
      </c>
      <c r="AA41" s="3" t="s">
        <v>622</v>
      </c>
      <c r="AB41" s="52">
        <v>625000</v>
      </c>
      <c r="AC41" s="52">
        <v>625000</v>
      </c>
      <c r="AD41" s="52">
        <v>625000</v>
      </c>
      <c r="AE41" s="52">
        <v>625000</v>
      </c>
      <c r="AF41" s="52">
        <v>625000</v>
      </c>
      <c r="AG41" s="52">
        <v>625000</v>
      </c>
      <c r="AH41" s="52">
        <v>625000</v>
      </c>
      <c r="AI41" s="52">
        <v>625000</v>
      </c>
      <c r="AJ41" s="52">
        <v>625000</v>
      </c>
      <c r="AK41" s="52">
        <v>625000</v>
      </c>
      <c r="AL41" s="52">
        <v>625000</v>
      </c>
      <c r="AM41" s="46">
        <f>625000-2569</f>
        <v>622431</v>
      </c>
      <c r="AN41" s="52">
        <f>SUM(Financials20263[[#This Row],[Jan FC]:[Dec FC]])</f>
        <v>7497431</v>
      </c>
      <c r="AO41" s="15">
        <f t="shared" si="5"/>
        <v>4372431</v>
      </c>
      <c r="AP41" s="61">
        <f>553.89+659816.51</f>
        <v>660370.4</v>
      </c>
      <c r="AQ41" s="61">
        <f>573.85+983.04+602302.68</f>
        <v>603859.57000000007</v>
      </c>
      <c r="AR41" s="61">
        <f>983.04+573.85+625988.8</f>
        <v>627545.69000000006</v>
      </c>
      <c r="AS41" s="61">
        <f>573.85+601821.2</f>
        <v>602395.04999999993</v>
      </c>
      <c r="AT41" s="61">
        <f>573.85+632824</f>
        <v>633397.85</v>
      </c>
      <c r="AU41" s="61">
        <f>573.85</f>
        <v>573.85</v>
      </c>
      <c r="AV41" s="61"/>
      <c r="AW41" s="61"/>
      <c r="AX41" s="61"/>
      <c r="AY41" s="61"/>
      <c r="AZ41" s="61"/>
      <c r="BA41" s="61"/>
      <c r="BB41" s="80">
        <f>SUM(Financials20263[[#This Row],[Jan AC]:[Dec AC]])</f>
        <v>3128142.41</v>
      </c>
      <c r="BC41" s="71">
        <f>Financials20263[[#This Row],[Jan AC]]-Financials20263[[#This Row],[Jan FC]]</f>
        <v>35370.400000000023</v>
      </c>
      <c r="BD41" s="71">
        <f>Financials20263[[#This Row],[Feb AC]]-Financials20263[[#This Row],[Feb FC]]</f>
        <v>-21140.429999999935</v>
      </c>
      <c r="BE41" s="71">
        <f>Financials20263[[#This Row],[Mar AC]]-Financials20263[[#This Row],[Mar FC]]</f>
        <v>2545.6900000000605</v>
      </c>
      <c r="BF41" s="71">
        <f>Financials20263[[#This Row],[Apr AC]]-Financials20263[[#This Row],[Apr FC]]</f>
        <v>-22604.95000000007</v>
      </c>
      <c r="BG41" s="71">
        <f>Financials20263[[#This Row],[May AC]]-Financials20263[[#This Row],[May FC]]</f>
        <v>8397.8499999999767</v>
      </c>
      <c r="BH41" s="71">
        <f>Financials20263[[#This Row],[Jun AC]]-Financials20263[[#This Row],[Jun FC]]</f>
        <v>-624426.15</v>
      </c>
      <c r="BI41" s="71">
        <f>Financials20263[[#This Row],[Jul AC]]-Financials20263[[#This Row],[Jul FC]]</f>
        <v>-625000</v>
      </c>
      <c r="BJ41" s="71">
        <f>Financials20263[[#This Row],[Aug AC]]-Financials20263[[#This Row],[Aug FC]]</f>
        <v>-625000</v>
      </c>
      <c r="BK41" s="71">
        <f>Financials20263[[#This Row],[Sep AC]]-Financials20263[[#This Row],[Sep FC]]</f>
        <v>-625000</v>
      </c>
      <c r="BL41" s="71">
        <f>Financials20263[[#This Row],[Oct AC]]-Financials20263[[#This Row],[Oct FC]]</f>
        <v>-625000</v>
      </c>
      <c r="BM41" s="71">
        <f>Financials20263[[#This Row],[Nov AC]]-Financials20263[[#This Row],[Nov FC]]</f>
        <v>-625000</v>
      </c>
      <c r="BN41" s="71">
        <f>Financials20263[[#This Row],[Dec AC]]-Financials20263[[#This Row],[Dec FC]]</f>
        <v>-622431</v>
      </c>
      <c r="BO41" s="71">
        <f>SUM(Financials20263[[#This Row],[Jan Opp/Risk]:[Dec Opp./Risk]])</f>
        <v>-4369288.59</v>
      </c>
      <c r="BP41" s="89" t="s">
        <v>623</v>
      </c>
      <c r="BQ41" s="47">
        <f>SUM(Financials20263[[#This Row],[Jan AC]:[May AC]])</f>
        <v>3127568.56</v>
      </c>
      <c r="BR41" s="6">
        <f>Financials20263[[#This Row],[2026 (Actuals + Forecast)]]-Financials20263[[#This Row],[Jan-May Actuals]]-Financials20263[[#This Row],[Jun-Dec FC]]</f>
        <v>0</v>
      </c>
      <c r="BS41" s="6">
        <f>Financials20263[[#This Row],[Jun-Dec FC]]+Financials20263[[#This Row],[Jan-May Forecast ]]</f>
        <v>4372431</v>
      </c>
      <c r="BT41" s="6">
        <f>SUM(Financials20263[[#This Row],[Jan FC]:[May FC]])</f>
        <v>3125000</v>
      </c>
      <c r="BU41" s="6">
        <f>Financials20263[[#This Row],[Jan-May Actuals]]+Financials20263[[#This Row],[Forecast Jun-Dec]]</f>
        <v>7499999.5600000005</v>
      </c>
      <c r="BV41" s="6"/>
      <c r="BW41" s="6"/>
      <c r="BX41" s="6"/>
    </row>
    <row r="42" spans="1:76">
      <c r="A42" s="22" t="s">
        <v>473</v>
      </c>
      <c r="B42" s="21" t="s">
        <v>227</v>
      </c>
      <c r="C42" s="21" t="s">
        <v>624</v>
      </c>
      <c r="D42" s="10" t="s">
        <v>610</v>
      </c>
      <c r="E42" s="7" t="s">
        <v>611</v>
      </c>
      <c r="F42" s="3" t="s">
        <v>488</v>
      </c>
      <c r="G42" s="3" t="s">
        <v>25</v>
      </c>
      <c r="H42" s="4">
        <v>45870</v>
      </c>
      <c r="I42" s="4">
        <v>46234</v>
      </c>
      <c r="J42" s="3"/>
      <c r="K42" s="3" t="str">
        <f t="shared" si="0"/>
        <v>Prj000446-Implement - Minor Enhancements for Enterprise Apps</v>
      </c>
      <c r="L42" s="21" t="s">
        <v>478</v>
      </c>
      <c r="M42" s="21" t="s">
        <v>16</v>
      </c>
      <c r="N42" s="21" t="s">
        <v>16</v>
      </c>
      <c r="O42" s="21" t="s">
        <v>625</v>
      </c>
      <c r="P42" s="21" t="s">
        <v>479</v>
      </c>
      <c r="Q42" s="21" t="s">
        <v>480</v>
      </c>
      <c r="R42" s="21" t="s">
        <v>480</v>
      </c>
      <c r="S42" s="21" t="s">
        <v>481</v>
      </c>
      <c r="T42" s="5">
        <v>40500</v>
      </c>
      <c r="U42" s="15">
        <v>99225</v>
      </c>
      <c r="V42" s="15">
        <v>99225</v>
      </c>
      <c r="W42" s="15">
        <f t="shared" si="1"/>
        <v>99225</v>
      </c>
      <c r="X42" s="15">
        <f t="shared" si="7"/>
        <v>0</v>
      </c>
      <c r="Y42" s="15">
        <f t="shared" si="2"/>
        <v>0</v>
      </c>
      <c r="Z42" s="15">
        <f>SUM(Financials20263[[#This Row],[2026 Opportunity]:[2026 Risk]])</f>
        <v>0</v>
      </c>
      <c r="AA42" s="3" t="s">
        <v>626</v>
      </c>
      <c r="AB42" s="52">
        <f t="shared" ref="AB42:AH42" si="22">(97200)/12</f>
        <v>8100</v>
      </c>
      <c r="AC42" s="52">
        <f t="shared" si="22"/>
        <v>8100</v>
      </c>
      <c r="AD42" s="52">
        <f t="shared" si="22"/>
        <v>8100</v>
      </c>
      <c r="AE42" s="52">
        <f t="shared" si="22"/>
        <v>8100</v>
      </c>
      <c r="AF42" s="52">
        <f t="shared" si="22"/>
        <v>8100</v>
      </c>
      <c r="AG42" s="52">
        <f t="shared" si="22"/>
        <v>8100</v>
      </c>
      <c r="AH42" s="52">
        <f t="shared" si="22"/>
        <v>8100</v>
      </c>
      <c r="AI42" s="52">
        <f>102060/12</f>
        <v>8505</v>
      </c>
      <c r="AJ42" s="52">
        <f t="shared" ref="AJ42:AM42" si="23">102060/12</f>
        <v>8505</v>
      </c>
      <c r="AK42" s="52">
        <f t="shared" si="23"/>
        <v>8505</v>
      </c>
      <c r="AL42" s="52">
        <f t="shared" si="23"/>
        <v>8505</v>
      </c>
      <c r="AM42" s="52">
        <f t="shared" si="23"/>
        <v>8505</v>
      </c>
      <c r="AN42" s="52">
        <f>SUM(Financials20263[[#This Row],[Jan FC]:[Dec FC]])</f>
        <v>99225</v>
      </c>
      <c r="AO42" s="15">
        <f t="shared" si="5"/>
        <v>58725</v>
      </c>
      <c r="AP42" s="61">
        <f t="shared" ref="AP42:AV42" si="24">(97200)/12</f>
        <v>8100</v>
      </c>
      <c r="AQ42" s="61">
        <f t="shared" si="24"/>
        <v>8100</v>
      </c>
      <c r="AR42" s="61">
        <f t="shared" si="24"/>
        <v>8100</v>
      </c>
      <c r="AS42" s="61">
        <f t="shared" si="24"/>
        <v>8100</v>
      </c>
      <c r="AT42" s="61">
        <f t="shared" si="24"/>
        <v>8100</v>
      </c>
      <c r="AU42" s="61">
        <f t="shared" si="24"/>
        <v>8100</v>
      </c>
      <c r="AV42" s="61">
        <f t="shared" si="24"/>
        <v>8100</v>
      </c>
      <c r="AW42" s="61"/>
      <c r="AX42" s="61"/>
      <c r="AY42" s="61"/>
      <c r="AZ42" s="61"/>
      <c r="BA42" s="61"/>
      <c r="BB42" s="80">
        <f>SUM(Financials20263[[#This Row],[Jan AC]:[Dec AC]])</f>
        <v>56700</v>
      </c>
      <c r="BC42" s="71">
        <f>Financials20263[[#This Row],[Jan AC]]-Financials20263[[#This Row],[Jan FC]]</f>
        <v>0</v>
      </c>
      <c r="BD42" s="71">
        <f>Financials20263[[#This Row],[Feb AC]]-Financials20263[[#This Row],[Feb FC]]</f>
        <v>0</v>
      </c>
      <c r="BE42" s="71">
        <f>Financials20263[[#This Row],[Mar AC]]-Financials20263[[#This Row],[Mar FC]]</f>
        <v>0</v>
      </c>
      <c r="BF42" s="71">
        <f>Financials20263[[#This Row],[Apr AC]]-Financials20263[[#This Row],[Apr FC]]</f>
        <v>0</v>
      </c>
      <c r="BG42" s="71">
        <f>Financials20263[[#This Row],[May AC]]-Financials20263[[#This Row],[May FC]]</f>
        <v>0</v>
      </c>
      <c r="BH42" s="71">
        <f>Financials20263[[#This Row],[Jun AC]]-Financials20263[[#This Row],[Jun FC]]</f>
        <v>0</v>
      </c>
      <c r="BI42" s="71">
        <f>Financials20263[[#This Row],[Jul AC]]-Financials20263[[#This Row],[Jul FC]]</f>
        <v>0</v>
      </c>
      <c r="BJ42" s="71">
        <f>Financials20263[[#This Row],[Aug AC]]-Financials20263[[#This Row],[Aug FC]]</f>
        <v>-8505</v>
      </c>
      <c r="BK42" s="71">
        <f>Financials20263[[#This Row],[Sep AC]]-Financials20263[[#This Row],[Sep FC]]</f>
        <v>-8505</v>
      </c>
      <c r="BL42" s="71">
        <f>Financials20263[[#This Row],[Oct AC]]-Financials20263[[#This Row],[Oct FC]]</f>
        <v>-8505</v>
      </c>
      <c r="BM42" s="71">
        <f>Financials20263[[#This Row],[Nov AC]]-Financials20263[[#This Row],[Nov FC]]</f>
        <v>-8505</v>
      </c>
      <c r="BN42" s="71">
        <f>Financials20263[[#This Row],[Dec AC]]-Financials20263[[#This Row],[Dec FC]]</f>
        <v>-8505</v>
      </c>
      <c r="BO42" s="71">
        <f>SUM(Financials20263[[#This Row],[Jan Opp/Risk]:[Dec Opp./Risk]])</f>
        <v>-42525</v>
      </c>
      <c r="BP42" s="87"/>
      <c r="BQ42" s="47">
        <f>SUM(Financials20263[[#This Row],[Jan AC]:[May AC]])</f>
        <v>40500</v>
      </c>
      <c r="BR42" s="6">
        <f>Financials20263[[#This Row],[2026 (Actuals + Forecast)]]-Financials20263[[#This Row],[Jan-May Actuals]]-Financials20263[[#This Row],[Jun-Dec FC]]</f>
        <v>0</v>
      </c>
      <c r="BS42" s="6">
        <f>Financials20263[[#This Row],[Jun-Dec FC]]+Financials20263[[#This Row],[Jan-May Forecast ]]</f>
        <v>58725</v>
      </c>
      <c r="BT42" s="6">
        <f>SUM(Financials20263[[#This Row],[Jan FC]:[May FC]])</f>
        <v>40500</v>
      </c>
      <c r="BU42" s="6">
        <f>Financials20263[[#This Row],[Jan-May Actuals]]+Financials20263[[#This Row],[Forecast Jun-Dec]]</f>
        <v>99225</v>
      </c>
      <c r="BV42" s="6"/>
      <c r="BW42" s="6"/>
      <c r="BX42" s="6"/>
    </row>
    <row r="43" spans="1:76">
      <c r="A43" s="22" t="s">
        <v>473</v>
      </c>
      <c r="B43" s="21" t="s">
        <v>92</v>
      </c>
      <c r="C43" s="21" t="s">
        <v>627</v>
      </c>
      <c r="D43" s="10" t="s">
        <v>475</v>
      </c>
      <c r="E43" s="7" t="s">
        <v>476</v>
      </c>
      <c r="F43" s="3" t="s">
        <v>91</v>
      </c>
      <c r="G43" s="3" t="s">
        <v>21</v>
      </c>
      <c r="H43" s="4">
        <v>46023</v>
      </c>
      <c r="I43" s="4">
        <v>46387</v>
      </c>
      <c r="J43" s="3" t="s">
        <v>628</v>
      </c>
      <c r="K43" s="3" t="str">
        <f t="shared" si="0"/>
        <v>Prj000350-Support - Infrastructure for Tech</v>
      </c>
      <c r="L43" s="21" t="s">
        <v>478</v>
      </c>
      <c r="M43" s="21" t="s">
        <v>16</v>
      </c>
      <c r="N43" s="21" t="s">
        <v>16</v>
      </c>
      <c r="O43" s="21"/>
      <c r="P43" s="21" t="s">
        <v>479</v>
      </c>
      <c r="Q43" s="21" t="s">
        <v>480</v>
      </c>
      <c r="R43" s="21" t="s">
        <v>480</v>
      </c>
      <c r="S43" s="21" t="s">
        <v>504</v>
      </c>
      <c r="T43" s="5">
        <v>59388.740000000013</v>
      </c>
      <c r="U43" s="15">
        <v>86949.723000000013</v>
      </c>
      <c r="V43" s="15">
        <v>86949.723000000013</v>
      </c>
      <c r="W43" s="15">
        <f t="shared" si="1"/>
        <v>86949.882000000012</v>
      </c>
      <c r="X43" s="15">
        <f t="shared" si="7"/>
        <v>0</v>
      </c>
      <c r="Y43" s="15">
        <f t="shared" si="2"/>
        <v>0.15899999999965075</v>
      </c>
      <c r="Z43" s="15">
        <f>SUM(Financials20263[[#This Row],[2026 Opportunity]:[2026 Risk]])</f>
        <v>0.15899999999965075</v>
      </c>
      <c r="AA43" s="3" t="s">
        <v>629</v>
      </c>
      <c r="AB43" s="52">
        <v>840.88</v>
      </c>
      <c r="AC43" s="52">
        <v>1681.7600000000002</v>
      </c>
      <c r="AD43" s="52">
        <v>7245.8102500000014</v>
      </c>
      <c r="AE43" s="52">
        <v>7245.8102500000014</v>
      </c>
      <c r="AF43" s="52">
        <v>7245.8102500000014</v>
      </c>
      <c r="AG43" s="52">
        <v>7245.8102500000014</v>
      </c>
      <c r="AH43" s="52">
        <v>7245.8102500000014</v>
      </c>
      <c r="AI43" s="52">
        <v>7245.8102500000014</v>
      </c>
      <c r="AJ43" s="52">
        <v>7245.8102500000014</v>
      </c>
      <c r="AK43" s="52">
        <v>7245.8102500000014</v>
      </c>
      <c r="AL43" s="52">
        <v>7245.8102500000014</v>
      </c>
      <c r="AM43" s="46">
        <f>7245.81025+6405+5564+12810</f>
        <v>32024.810250000002</v>
      </c>
      <c r="AN43" s="52">
        <f>SUM(Financials20263[[#This Row],[Jan FC]:[Dec FC]])</f>
        <v>99759.742500000022</v>
      </c>
      <c r="AO43" s="15">
        <f t="shared" si="5"/>
        <v>75499.671750000009</v>
      </c>
      <c r="AP43" s="61">
        <v>840.88</v>
      </c>
      <c r="AQ43" s="61">
        <v>1681.7600000000002</v>
      </c>
      <c r="AR43" s="61">
        <v>840.88000000000011</v>
      </c>
      <c r="AS43" s="61"/>
      <c r="AT43" s="61">
        <v>840.88000000000011</v>
      </c>
      <c r="AU43" s="61">
        <v>4347.6899999999996</v>
      </c>
      <c r="AV43" s="61"/>
      <c r="AW43" s="61"/>
      <c r="AX43" s="61"/>
      <c r="AY43" s="61"/>
      <c r="AZ43" s="61"/>
      <c r="BA43" s="61"/>
      <c r="BB43" s="80">
        <f>SUM(Financials20263[[#This Row],[Jan AC]:[Dec AC]])</f>
        <v>8552.09</v>
      </c>
      <c r="BC43" s="71">
        <f>Financials20263[[#This Row],[Jan AC]]-Financials20263[[#This Row],[Jan FC]]</f>
        <v>0</v>
      </c>
      <c r="BD43" s="71">
        <f>Financials20263[[#This Row],[Feb AC]]-Financials20263[[#This Row],[Feb FC]]</f>
        <v>0</v>
      </c>
      <c r="BE43" s="71">
        <f>Financials20263[[#This Row],[Mar AC]]-Financials20263[[#This Row],[Mar FC]]</f>
        <v>-6404.9302500000013</v>
      </c>
      <c r="BF43" s="71">
        <f>Financials20263[[#This Row],[Apr AC]]-Financials20263[[#This Row],[Apr FC]]</f>
        <v>-7245.8102500000014</v>
      </c>
      <c r="BG43" s="71">
        <f>Financials20263[[#This Row],[May AC]]-Financials20263[[#This Row],[May FC]]</f>
        <v>-6404.9302500000013</v>
      </c>
      <c r="BH43" s="71">
        <f>Financials20263[[#This Row],[Jun AC]]-Financials20263[[#This Row],[Jun FC]]</f>
        <v>-2898.1202500000018</v>
      </c>
      <c r="BI43" s="71">
        <f>Financials20263[[#This Row],[Jul AC]]-Financials20263[[#This Row],[Jul FC]]</f>
        <v>-7245.8102500000014</v>
      </c>
      <c r="BJ43" s="71">
        <f>Financials20263[[#This Row],[Aug AC]]-Financials20263[[#This Row],[Aug FC]]</f>
        <v>-7245.8102500000014</v>
      </c>
      <c r="BK43" s="71">
        <f>Financials20263[[#This Row],[Sep AC]]-Financials20263[[#This Row],[Sep FC]]</f>
        <v>-7245.8102500000014</v>
      </c>
      <c r="BL43" s="71">
        <f>Financials20263[[#This Row],[Oct AC]]-Financials20263[[#This Row],[Oct FC]]</f>
        <v>-7245.8102500000014</v>
      </c>
      <c r="BM43" s="71">
        <f>Financials20263[[#This Row],[Nov AC]]-Financials20263[[#This Row],[Nov FC]]</f>
        <v>-7245.8102500000014</v>
      </c>
      <c r="BN43" s="71">
        <f>Financials20263[[#This Row],[Dec AC]]-Financials20263[[#This Row],[Dec FC]]</f>
        <v>-32024.810250000002</v>
      </c>
      <c r="BO43" s="71">
        <f>SUM(Financials20263[[#This Row],[Jan Opp/Risk]:[Dec Opp./Risk]])</f>
        <v>-91207.652500000026</v>
      </c>
      <c r="BP43" s="87" t="s">
        <v>630</v>
      </c>
      <c r="BQ43" s="47">
        <f>SUM(Financials20263[[#This Row],[Jan AC]:[May AC]])</f>
        <v>4204.4000000000005</v>
      </c>
      <c r="BR43" s="6">
        <f>Financials20263[[#This Row],[2026 (Actuals + Forecast)]]-Financials20263[[#This Row],[Jan-May Actuals]]-Financials20263[[#This Row],[Jun-Dec FC]]</f>
        <v>7245.8102500000095</v>
      </c>
      <c r="BS43" s="6">
        <f>Financials20263[[#This Row],[Jun-Dec FC]]+Financials20263[[#This Row],[Jan-May Forecast ]]</f>
        <v>82745.482000000018</v>
      </c>
      <c r="BT43" s="6">
        <f>SUM(Financials20263[[#This Row],[Jan FC]:[May FC]])</f>
        <v>24260.070750000006</v>
      </c>
      <c r="BU43" s="6">
        <f>Financials20263[[#This Row],[Jan-May Actuals]]+Financials20263[[#This Row],[Forecast Jun-Dec]]</f>
        <v>86949.882000000012</v>
      </c>
      <c r="BV43" s="6"/>
      <c r="BW43" s="6"/>
      <c r="BX43" s="6"/>
    </row>
    <row r="44" spans="1:76">
      <c r="A44" s="22" t="s">
        <v>473</v>
      </c>
      <c r="B44" s="21" t="s">
        <v>92</v>
      </c>
      <c r="C44" s="21" t="s">
        <v>627</v>
      </c>
      <c r="D44" s="10" t="s">
        <v>475</v>
      </c>
      <c r="E44" s="7" t="s">
        <v>476</v>
      </c>
      <c r="F44" s="3" t="s">
        <v>91</v>
      </c>
      <c r="G44" s="3" t="s">
        <v>21</v>
      </c>
      <c r="H44" s="4">
        <v>45931</v>
      </c>
      <c r="I44" s="4">
        <v>46295</v>
      </c>
      <c r="J44" s="3" t="s">
        <v>631</v>
      </c>
      <c r="K44" s="3" t="str">
        <f t="shared" si="0"/>
        <v>Prj000350-Support - Infrastructure for Tech</v>
      </c>
      <c r="L44" s="21" t="s">
        <v>478</v>
      </c>
      <c r="M44" s="21" t="s">
        <v>16</v>
      </c>
      <c r="N44" s="21" t="s">
        <v>16</v>
      </c>
      <c r="O44" s="21"/>
      <c r="P44" s="21" t="s">
        <v>479</v>
      </c>
      <c r="Q44" s="21" t="s">
        <v>480</v>
      </c>
      <c r="R44" s="21" t="s">
        <v>480</v>
      </c>
      <c r="S44" s="21" t="s">
        <v>508</v>
      </c>
      <c r="T44" s="5">
        <v>79876</v>
      </c>
      <c r="U44" s="15">
        <v>63000</v>
      </c>
      <c r="V44" s="15">
        <v>63000</v>
      </c>
      <c r="W44" s="15">
        <f t="shared" si="1"/>
        <v>63000.37</v>
      </c>
      <c r="X44" s="15">
        <f t="shared" si="7"/>
        <v>0</v>
      </c>
      <c r="Y44" s="15">
        <f t="shared" si="2"/>
        <v>0.37000000000261934</v>
      </c>
      <c r="Z44" s="15">
        <f>SUM(Financials20263[[#This Row],[2026 Opportunity]:[2026 Risk]])</f>
        <v>0.37000000000261934</v>
      </c>
      <c r="AA44" s="3" t="s">
        <v>632</v>
      </c>
      <c r="AB44" s="52"/>
      <c r="AC44" s="52"/>
      <c r="AD44" s="52"/>
      <c r="AE44" s="52"/>
      <c r="AF44" s="52">
        <v>2274.37</v>
      </c>
      <c r="AG44" s="51"/>
      <c r="AH44" s="52"/>
      <c r="AI44" s="52"/>
      <c r="AJ44" s="52"/>
      <c r="AK44" s="52"/>
      <c r="AL44" s="52"/>
      <c r="AM44" s="52">
        <f>63000-2274</f>
        <v>60726</v>
      </c>
      <c r="AN44" s="52">
        <f>SUM(Financials20263[[#This Row],[Jan FC]:[Dec FC]])</f>
        <v>63000.37</v>
      </c>
      <c r="AO44" s="15">
        <f t="shared" si="5"/>
        <v>60726</v>
      </c>
      <c r="AP44" s="61"/>
      <c r="AQ44" s="61"/>
      <c r="AR44" s="61"/>
      <c r="AS44" s="61"/>
      <c r="AT44" s="61">
        <v>2274.37</v>
      </c>
      <c r="AU44" s="60"/>
      <c r="AV44" s="61"/>
      <c r="AW44" s="61"/>
      <c r="AX44" s="61"/>
      <c r="AY44" s="61"/>
      <c r="AZ44" s="61"/>
      <c r="BA44" s="61"/>
      <c r="BB44" s="80">
        <f>SUM(Financials20263[[#This Row],[Jan AC]:[Dec AC]])</f>
        <v>2274.37</v>
      </c>
      <c r="BC44" s="71">
        <f>Financials20263[[#This Row],[Jan AC]]-Financials20263[[#This Row],[Jan FC]]</f>
        <v>0</v>
      </c>
      <c r="BD44" s="71">
        <f>Financials20263[[#This Row],[Feb AC]]-Financials20263[[#This Row],[Feb FC]]</f>
        <v>0</v>
      </c>
      <c r="BE44" s="71">
        <f>Financials20263[[#This Row],[Mar AC]]-Financials20263[[#This Row],[Mar FC]]</f>
        <v>0</v>
      </c>
      <c r="BF44" s="71">
        <f>Financials20263[[#This Row],[Apr AC]]-Financials20263[[#This Row],[Apr FC]]</f>
        <v>0</v>
      </c>
      <c r="BG44" s="71">
        <f>Financials20263[[#This Row],[May AC]]-Financials20263[[#This Row],[May FC]]</f>
        <v>0</v>
      </c>
      <c r="BH44" s="71">
        <f>Financials20263[[#This Row],[Jun AC]]-Financials20263[[#This Row],[Jun FC]]</f>
        <v>0</v>
      </c>
      <c r="BI44" s="71">
        <f>Financials20263[[#This Row],[Jul AC]]-Financials20263[[#This Row],[Jul FC]]</f>
        <v>0</v>
      </c>
      <c r="BJ44" s="71">
        <f>Financials20263[[#This Row],[Aug AC]]-Financials20263[[#This Row],[Aug FC]]</f>
        <v>0</v>
      </c>
      <c r="BK44" s="71">
        <f>Financials20263[[#This Row],[Sep AC]]-Financials20263[[#This Row],[Sep FC]]</f>
        <v>0</v>
      </c>
      <c r="BL44" s="71">
        <f>Financials20263[[#This Row],[Oct AC]]-Financials20263[[#This Row],[Oct FC]]</f>
        <v>0</v>
      </c>
      <c r="BM44" s="71">
        <f>Financials20263[[#This Row],[Nov AC]]-Financials20263[[#This Row],[Nov FC]]</f>
        <v>0</v>
      </c>
      <c r="BN44" s="71">
        <f>Financials20263[[#This Row],[Dec AC]]-Financials20263[[#This Row],[Dec FC]]</f>
        <v>-60726</v>
      </c>
      <c r="BO44" s="71">
        <f>SUM(Financials20263[[#This Row],[Jan Opp/Risk]:[Dec Opp./Risk]])</f>
        <v>-60726</v>
      </c>
      <c r="BP44" s="87" t="s">
        <v>633</v>
      </c>
      <c r="BQ44" s="47">
        <f>SUM(Financials20263[[#This Row],[Jan AC]:[May AC]])</f>
        <v>2274.37</v>
      </c>
      <c r="BR44" s="6">
        <f>Financials20263[[#This Row],[2026 (Actuals + Forecast)]]-Financials20263[[#This Row],[Jan-May Actuals]]-Financials20263[[#This Row],[Jun-Dec FC]]</f>
        <v>0</v>
      </c>
      <c r="BS44" s="6">
        <f>Financials20263[[#This Row],[Jun-Dec FC]]+Financials20263[[#This Row],[Jan-May Forecast ]]</f>
        <v>60726</v>
      </c>
      <c r="BT44" s="6">
        <f>SUM(Financials20263[[#This Row],[Jan FC]:[May FC]])</f>
        <v>2274.37</v>
      </c>
      <c r="BU44" s="6">
        <f>Financials20263[[#This Row],[Jan-May Actuals]]+Financials20263[[#This Row],[Forecast Jun-Dec]]</f>
        <v>63000.37</v>
      </c>
      <c r="BV44" s="6"/>
      <c r="BW44" s="6"/>
      <c r="BX44" s="6"/>
    </row>
    <row r="45" spans="1:76">
      <c r="A45" s="22" t="s">
        <v>473</v>
      </c>
      <c r="B45" s="21" t="s">
        <v>92</v>
      </c>
      <c r="C45" s="21" t="s">
        <v>634</v>
      </c>
      <c r="D45" s="10" t="s">
        <v>618</v>
      </c>
      <c r="E45" s="7" t="s">
        <v>619</v>
      </c>
      <c r="F45" s="3" t="s">
        <v>91</v>
      </c>
      <c r="G45" s="3" t="s">
        <v>21</v>
      </c>
      <c r="H45" s="4">
        <v>45901</v>
      </c>
      <c r="I45" s="4">
        <v>46265</v>
      </c>
      <c r="J45" s="3" t="s">
        <v>635</v>
      </c>
      <c r="K45" s="3" t="str">
        <f t="shared" si="0"/>
        <v>Prj000342-Support - Site Reliability Engineering for Tech</v>
      </c>
      <c r="L45" s="21" t="s">
        <v>478</v>
      </c>
      <c r="M45" s="21" t="s">
        <v>16</v>
      </c>
      <c r="N45" s="21" t="s">
        <v>16</v>
      </c>
      <c r="O45" s="21"/>
      <c r="P45" s="21" t="s">
        <v>479</v>
      </c>
      <c r="Q45" s="21" t="s">
        <v>480</v>
      </c>
      <c r="R45" s="21" t="s">
        <v>480</v>
      </c>
      <c r="S45" s="21" t="s">
        <v>508</v>
      </c>
      <c r="T45" s="5">
        <v>31521</v>
      </c>
      <c r="U45" s="15">
        <v>33096.819000000003</v>
      </c>
      <c r="V45" s="15">
        <v>33096.819000000003</v>
      </c>
      <c r="W45" s="15">
        <f t="shared" si="1"/>
        <v>33096.819000000003</v>
      </c>
      <c r="X45" s="15">
        <f t="shared" si="7"/>
        <v>0</v>
      </c>
      <c r="Y45" s="15">
        <f t="shared" si="2"/>
        <v>0</v>
      </c>
      <c r="Z45" s="15">
        <f>SUM(Financials20263[[#This Row],[2026 Opportunity]:[2026 Risk]])</f>
        <v>0</v>
      </c>
      <c r="AA45" s="3" t="s">
        <v>636</v>
      </c>
      <c r="AB45" s="52"/>
      <c r="AC45" s="52"/>
      <c r="AD45" s="52"/>
      <c r="AE45" s="52"/>
      <c r="AF45" s="52"/>
      <c r="AG45" s="51"/>
      <c r="AH45" s="52"/>
      <c r="AI45" s="52"/>
      <c r="AJ45" s="52">
        <v>33096.819000000003</v>
      </c>
      <c r="AK45" s="52"/>
      <c r="AL45" s="52"/>
      <c r="AM45" s="52"/>
      <c r="AN45" s="52">
        <f>SUM(Financials20263[[#This Row],[Jan FC]:[Dec FC]])</f>
        <v>33096.819000000003</v>
      </c>
      <c r="AO45" s="15">
        <f t="shared" si="5"/>
        <v>33096.819000000003</v>
      </c>
      <c r="AP45" s="61"/>
      <c r="AQ45" s="61"/>
      <c r="AR45" s="61"/>
      <c r="AS45" s="61"/>
      <c r="AT45" s="61"/>
      <c r="AU45" s="60"/>
      <c r="AV45" s="61"/>
      <c r="AW45" s="61"/>
      <c r="AX45" s="61"/>
      <c r="AY45" s="61"/>
      <c r="AZ45" s="61"/>
      <c r="BA45" s="61"/>
      <c r="BB45" s="80">
        <f>SUM(Financials20263[[#This Row],[Jan AC]:[Dec AC]])</f>
        <v>0</v>
      </c>
      <c r="BC45" s="71">
        <f>Financials20263[[#This Row],[Jan AC]]-Financials20263[[#This Row],[Jan FC]]</f>
        <v>0</v>
      </c>
      <c r="BD45" s="71">
        <f>Financials20263[[#This Row],[Feb AC]]-Financials20263[[#This Row],[Feb FC]]</f>
        <v>0</v>
      </c>
      <c r="BE45" s="71">
        <f>Financials20263[[#This Row],[Mar AC]]-Financials20263[[#This Row],[Mar FC]]</f>
        <v>0</v>
      </c>
      <c r="BF45" s="71">
        <f>Financials20263[[#This Row],[Apr AC]]-Financials20263[[#This Row],[Apr FC]]</f>
        <v>0</v>
      </c>
      <c r="BG45" s="71">
        <f>Financials20263[[#This Row],[May AC]]-Financials20263[[#This Row],[May FC]]</f>
        <v>0</v>
      </c>
      <c r="BH45" s="71">
        <f>Financials20263[[#This Row],[Jun AC]]-Financials20263[[#This Row],[Jun FC]]</f>
        <v>0</v>
      </c>
      <c r="BI45" s="71">
        <f>Financials20263[[#This Row],[Jul AC]]-Financials20263[[#This Row],[Jul FC]]</f>
        <v>0</v>
      </c>
      <c r="BJ45" s="71">
        <f>Financials20263[[#This Row],[Aug AC]]-Financials20263[[#This Row],[Aug FC]]</f>
        <v>0</v>
      </c>
      <c r="BK45" s="71">
        <f>Financials20263[[#This Row],[Sep AC]]-Financials20263[[#This Row],[Sep FC]]</f>
        <v>-33096.819000000003</v>
      </c>
      <c r="BL45" s="71">
        <f>Financials20263[[#This Row],[Oct AC]]-Financials20263[[#This Row],[Oct FC]]</f>
        <v>0</v>
      </c>
      <c r="BM45" s="71">
        <f>Financials20263[[#This Row],[Nov AC]]-Financials20263[[#This Row],[Nov FC]]</f>
        <v>0</v>
      </c>
      <c r="BN45" s="71">
        <f>Financials20263[[#This Row],[Dec AC]]-Financials20263[[#This Row],[Dec FC]]</f>
        <v>0</v>
      </c>
      <c r="BO45" s="71">
        <f>SUM(Financials20263[[#This Row],[Jan Opp/Risk]:[Dec Opp./Risk]])</f>
        <v>-33096.819000000003</v>
      </c>
      <c r="BP45" s="87"/>
      <c r="BQ45" s="47">
        <f>SUM(Financials20263[[#This Row],[Jan AC]:[May AC]])</f>
        <v>0</v>
      </c>
      <c r="BR45" s="6">
        <f>Financials20263[[#This Row],[2026 (Actuals + Forecast)]]-Financials20263[[#This Row],[Jan-May Actuals]]-Financials20263[[#This Row],[Jun-Dec FC]]</f>
        <v>0</v>
      </c>
      <c r="BS45" s="6">
        <f>Financials20263[[#This Row],[Jun-Dec FC]]+Financials20263[[#This Row],[Jan-May Forecast ]]</f>
        <v>33096.819000000003</v>
      </c>
      <c r="BT45" s="6">
        <f>SUM(Financials20263[[#This Row],[Jan FC]:[May FC]])</f>
        <v>0</v>
      </c>
      <c r="BU45" s="6">
        <f>Financials20263[[#This Row],[Jan-May Actuals]]+Financials20263[[#This Row],[Forecast Jun-Dec]]</f>
        <v>33096.819000000003</v>
      </c>
      <c r="BV45" s="6"/>
      <c r="BW45" s="6"/>
      <c r="BX45" s="6"/>
    </row>
    <row r="46" spans="1:76">
      <c r="A46" s="22" t="s">
        <v>473</v>
      </c>
      <c r="B46" s="21" t="s">
        <v>92</v>
      </c>
      <c r="C46" s="21" t="s">
        <v>634</v>
      </c>
      <c r="D46" s="10" t="s">
        <v>637</v>
      </c>
      <c r="E46" s="7" t="s">
        <v>638</v>
      </c>
      <c r="F46" s="3" t="s">
        <v>91</v>
      </c>
      <c r="G46" s="3" t="s">
        <v>21</v>
      </c>
      <c r="H46" s="4" t="s">
        <v>489</v>
      </c>
      <c r="I46" s="4" t="s">
        <v>489</v>
      </c>
      <c r="J46" s="3"/>
      <c r="K46" s="3" t="str">
        <f t="shared" si="0"/>
        <v>Prj000358-Support - Security Operations for Cybersecurity</v>
      </c>
      <c r="L46" s="21" t="s">
        <v>478</v>
      </c>
      <c r="M46" s="21" t="s">
        <v>16</v>
      </c>
      <c r="N46" s="21" t="s">
        <v>16</v>
      </c>
      <c r="O46" s="21"/>
      <c r="P46" s="21" t="s">
        <v>479</v>
      </c>
      <c r="Q46" s="21" t="s">
        <v>480</v>
      </c>
      <c r="R46" s="21" t="s">
        <v>480</v>
      </c>
      <c r="S46" s="21" t="s">
        <v>508</v>
      </c>
      <c r="T46" s="5">
        <v>60310</v>
      </c>
      <c r="U46" s="15">
        <v>63325.5</v>
      </c>
      <c r="V46" s="15">
        <v>63325.5</v>
      </c>
      <c r="W46" s="15">
        <f t="shared" si="1"/>
        <v>63325.5</v>
      </c>
      <c r="X46" s="15">
        <f t="shared" si="7"/>
        <v>0</v>
      </c>
      <c r="Y46" s="15">
        <f t="shared" si="2"/>
        <v>0</v>
      </c>
      <c r="Z46" s="15">
        <f>SUM(Financials20263[[#This Row],[2026 Opportunity]:[2026 Risk]])</f>
        <v>0</v>
      </c>
      <c r="AA46" s="3" t="s">
        <v>639</v>
      </c>
      <c r="AB46" s="52"/>
      <c r="AC46" s="52"/>
      <c r="AD46" s="52">
        <v>1100.47</v>
      </c>
      <c r="AE46" s="52"/>
      <c r="AF46" s="52"/>
      <c r="AG46" s="51"/>
      <c r="AH46" s="52"/>
      <c r="AI46" s="52">
        <v>62225.03</v>
      </c>
      <c r="AJ46" s="52"/>
      <c r="AK46" s="52"/>
      <c r="AL46" s="52"/>
      <c r="AM46" s="52"/>
      <c r="AN46" s="52">
        <f>SUM(Financials20263[[#This Row],[Jan FC]:[Dec FC]])</f>
        <v>63325.5</v>
      </c>
      <c r="AO46" s="15">
        <f t="shared" si="5"/>
        <v>62225.03</v>
      </c>
      <c r="AP46" s="61"/>
      <c r="AQ46" s="61"/>
      <c r="AR46" s="61">
        <v>1100.47</v>
      </c>
      <c r="AS46" s="61"/>
      <c r="AT46" s="61"/>
      <c r="AU46" s="60"/>
      <c r="AV46" s="61"/>
      <c r="AW46" s="61"/>
      <c r="AX46" s="61"/>
      <c r="AY46" s="61"/>
      <c r="AZ46" s="61"/>
      <c r="BA46" s="61"/>
      <c r="BB46" s="80">
        <f>SUM(Financials20263[[#This Row],[Jan AC]:[Dec AC]])</f>
        <v>1100.47</v>
      </c>
      <c r="BC46" s="71">
        <f>Financials20263[[#This Row],[Jan AC]]-Financials20263[[#This Row],[Jan FC]]</f>
        <v>0</v>
      </c>
      <c r="BD46" s="71">
        <f>Financials20263[[#This Row],[Feb AC]]-Financials20263[[#This Row],[Feb FC]]</f>
        <v>0</v>
      </c>
      <c r="BE46" s="71">
        <f>Financials20263[[#This Row],[Mar AC]]-Financials20263[[#This Row],[Mar FC]]</f>
        <v>0</v>
      </c>
      <c r="BF46" s="71">
        <f>Financials20263[[#This Row],[Apr AC]]-Financials20263[[#This Row],[Apr FC]]</f>
        <v>0</v>
      </c>
      <c r="BG46" s="71">
        <f>Financials20263[[#This Row],[May AC]]-Financials20263[[#This Row],[May FC]]</f>
        <v>0</v>
      </c>
      <c r="BH46" s="71">
        <f>Financials20263[[#This Row],[Jun AC]]-Financials20263[[#This Row],[Jun FC]]</f>
        <v>0</v>
      </c>
      <c r="BI46" s="71">
        <f>Financials20263[[#This Row],[Jul AC]]-Financials20263[[#This Row],[Jul FC]]</f>
        <v>0</v>
      </c>
      <c r="BJ46" s="71">
        <f>Financials20263[[#This Row],[Aug AC]]-Financials20263[[#This Row],[Aug FC]]</f>
        <v>-62225.03</v>
      </c>
      <c r="BK46" s="71">
        <f>Financials20263[[#This Row],[Sep AC]]-Financials20263[[#This Row],[Sep FC]]</f>
        <v>0</v>
      </c>
      <c r="BL46" s="71">
        <f>Financials20263[[#This Row],[Oct AC]]-Financials20263[[#This Row],[Oct FC]]</f>
        <v>0</v>
      </c>
      <c r="BM46" s="71">
        <f>Financials20263[[#This Row],[Nov AC]]-Financials20263[[#This Row],[Nov FC]]</f>
        <v>0</v>
      </c>
      <c r="BN46" s="71">
        <f>Financials20263[[#This Row],[Dec AC]]-Financials20263[[#This Row],[Dec FC]]</f>
        <v>0</v>
      </c>
      <c r="BO46" s="71">
        <f>SUM(Financials20263[[#This Row],[Jan Opp/Risk]:[Dec Opp./Risk]])</f>
        <v>-62225.03</v>
      </c>
      <c r="BP46" s="87"/>
      <c r="BQ46" s="47">
        <f>SUM(Financials20263[[#This Row],[Jan AC]:[May AC]])</f>
        <v>1100.47</v>
      </c>
      <c r="BR46" s="6">
        <f>Financials20263[[#This Row],[2026 (Actuals + Forecast)]]-Financials20263[[#This Row],[Jan-May Actuals]]-Financials20263[[#This Row],[Jun-Dec FC]]</f>
        <v>0</v>
      </c>
      <c r="BS46" s="6">
        <f>Financials20263[[#This Row],[Jun-Dec FC]]+Financials20263[[#This Row],[Jan-May Forecast ]]</f>
        <v>62225.03</v>
      </c>
      <c r="BT46" s="6">
        <f>SUM(Financials20263[[#This Row],[Jan FC]:[May FC]])</f>
        <v>1100.47</v>
      </c>
      <c r="BU46" s="6">
        <f>Financials20263[[#This Row],[Jan-May Actuals]]+Financials20263[[#This Row],[Forecast Jun-Dec]]</f>
        <v>63325.5</v>
      </c>
      <c r="BV46" s="6"/>
      <c r="BW46" s="6"/>
      <c r="BX46" s="6"/>
    </row>
    <row r="47" spans="1:76">
      <c r="A47" s="22" t="s">
        <v>473</v>
      </c>
      <c r="B47" s="21" t="s">
        <v>288</v>
      </c>
      <c r="C47" s="21" t="s">
        <v>640</v>
      </c>
      <c r="D47" s="10" t="s">
        <v>559</v>
      </c>
      <c r="E47" s="7" t="s">
        <v>560</v>
      </c>
      <c r="F47" s="3" t="s">
        <v>561</v>
      </c>
      <c r="G47" s="3" t="s">
        <v>20</v>
      </c>
      <c r="H47" s="4">
        <v>46174</v>
      </c>
      <c r="I47" s="4">
        <v>46538</v>
      </c>
      <c r="J47" s="3"/>
      <c r="K47" s="3" t="str">
        <f t="shared" si="0"/>
        <v>Prj000403-Support - L2 CoE Management for Tech Horizontals</v>
      </c>
      <c r="L47" s="21" t="s">
        <v>478</v>
      </c>
      <c r="M47" s="21" t="s">
        <v>16</v>
      </c>
      <c r="N47" s="21" t="s">
        <v>16</v>
      </c>
      <c r="O47" s="21" t="s">
        <v>16</v>
      </c>
      <c r="P47" s="21" t="s">
        <v>479</v>
      </c>
      <c r="Q47" s="21" t="s">
        <v>480</v>
      </c>
      <c r="R47" s="21" t="s">
        <v>480</v>
      </c>
      <c r="S47" s="21" t="s">
        <v>508</v>
      </c>
      <c r="T47" s="5">
        <v>9600</v>
      </c>
      <c r="U47" s="15">
        <v>10080</v>
      </c>
      <c r="V47" s="15">
        <v>10080</v>
      </c>
      <c r="W47" s="15">
        <f t="shared" si="1"/>
        <v>10080</v>
      </c>
      <c r="X47" s="15">
        <f t="shared" si="7"/>
        <v>0</v>
      </c>
      <c r="Y47" s="15">
        <f t="shared" si="2"/>
        <v>0</v>
      </c>
      <c r="Z47" s="15">
        <f>SUM(Financials20263[[#This Row],[2026 Opportunity]:[2026 Risk]])</f>
        <v>0</v>
      </c>
      <c r="AA47" s="3" t="s">
        <v>641</v>
      </c>
      <c r="AB47" s="52"/>
      <c r="AC47" s="52"/>
      <c r="AD47" s="52"/>
      <c r="AE47" s="52"/>
      <c r="AF47" s="52">
        <v>4800</v>
      </c>
      <c r="AG47" s="46">
        <f>10080-4800</f>
        <v>5280</v>
      </c>
      <c r="AH47" s="52"/>
      <c r="AI47" s="52"/>
      <c r="AJ47" s="52"/>
      <c r="AK47" s="52"/>
      <c r="AL47" s="52"/>
      <c r="AM47" s="52"/>
      <c r="AN47" s="52">
        <f>SUM(Financials20263[[#This Row],[Jan FC]:[Dec FC]])</f>
        <v>10080</v>
      </c>
      <c r="AO47" s="15">
        <f t="shared" si="5"/>
        <v>5280</v>
      </c>
      <c r="AP47" s="61"/>
      <c r="AQ47" s="61"/>
      <c r="AR47" s="61"/>
      <c r="AS47" s="61"/>
      <c r="AT47" s="61">
        <v>4800</v>
      </c>
      <c r="AU47" s="61"/>
      <c r="AV47" s="61"/>
      <c r="AW47" s="61"/>
      <c r="AX47" s="61"/>
      <c r="AY47" s="61"/>
      <c r="AZ47" s="61"/>
      <c r="BA47" s="61"/>
      <c r="BB47" s="80">
        <f>SUM(Financials20263[[#This Row],[Jan AC]:[Dec AC]])</f>
        <v>4800</v>
      </c>
      <c r="BC47" s="71">
        <f>Financials20263[[#This Row],[Jan AC]]-Financials20263[[#This Row],[Jan FC]]</f>
        <v>0</v>
      </c>
      <c r="BD47" s="71">
        <f>Financials20263[[#This Row],[Feb AC]]-Financials20263[[#This Row],[Feb FC]]</f>
        <v>0</v>
      </c>
      <c r="BE47" s="71">
        <f>Financials20263[[#This Row],[Mar AC]]-Financials20263[[#This Row],[Mar FC]]</f>
        <v>0</v>
      </c>
      <c r="BF47" s="71">
        <f>Financials20263[[#This Row],[Apr AC]]-Financials20263[[#This Row],[Apr FC]]</f>
        <v>0</v>
      </c>
      <c r="BG47" s="71">
        <f>Financials20263[[#This Row],[May AC]]-Financials20263[[#This Row],[May FC]]</f>
        <v>0</v>
      </c>
      <c r="BH47" s="71">
        <f>Financials20263[[#This Row],[Jun AC]]-Financials20263[[#This Row],[Jun FC]]</f>
        <v>-5280</v>
      </c>
      <c r="BI47" s="71">
        <f>Financials20263[[#This Row],[Jul AC]]-Financials20263[[#This Row],[Jul FC]]</f>
        <v>0</v>
      </c>
      <c r="BJ47" s="71">
        <f>Financials20263[[#This Row],[Aug AC]]-Financials20263[[#This Row],[Aug FC]]</f>
        <v>0</v>
      </c>
      <c r="BK47" s="71">
        <f>Financials20263[[#This Row],[Sep AC]]-Financials20263[[#This Row],[Sep FC]]</f>
        <v>0</v>
      </c>
      <c r="BL47" s="71">
        <f>Financials20263[[#This Row],[Oct AC]]-Financials20263[[#This Row],[Oct FC]]</f>
        <v>0</v>
      </c>
      <c r="BM47" s="71">
        <f>Financials20263[[#This Row],[Nov AC]]-Financials20263[[#This Row],[Nov FC]]</f>
        <v>0</v>
      </c>
      <c r="BN47" s="71">
        <f>Financials20263[[#This Row],[Dec AC]]-Financials20263[[#This Row],[Dec FC]]</f>
        <v>0</v>
      </c>
      <c r="BO47" s="71">
        <f>SUM(Financials20263[[#This Row],[Jan Opp/Risk]:[Dec Opp./Risk]])</f>
        <v>-5280</v>
      </c>
      <c r="BP47" s="87" t="s">
        <v>642</v>
      </c>
      <c r="BQ47" s="47">
        <f>SUM(Financials20263[[#This Row],[Jan AC]:[May AC]])</f>
        <v>4800</v>
      </c>
      <c r="BR47" s="6">
        <f>Financials20263[[#This Row],[2026 (Actuals + Forecast)]]-Financials20263[[#This Row],[Jan-May Actuals]]-Financials20263[[#This Row],[Jun-Dec FC]]</f>
        <v>0</v>
      </c>
      <c r="BS47" s="6">
        <f>Financials20263[[#This Row],[Jun-Dec FC]]+Financials20263[[#This Row],[Jan-May Forecast ]]</f>
        <v>5280</v>
      </c>
      <c r="BT47" s="6">
        <f>SUM(Financials20263[[#This Row],[Jan FC]:[May FC]])</f>
        <v>4800</v>
      </c>
      <c r="BU47" s="6">
        <f>Financials20263[[#This Row],[Jan-May Actuals]]+Financials20263[[#This Row],[Forecast Jun-Dec]]</f>
        <v>10080</v>
      </c>
      <c r="BV47" s="6"/>
      <c r="BW47" s="6"/>
      <c r="BX47" s="6"/>
    </row>
    <row r="48" spans="1:76">
      <c r="A48" s="22" t="s">
        <v>473</v>
      </c>
      <c r="B48" s="21" t="s">
        <v>362</v>
      </c>
      <c r="C48" s="21" t="s">
        <v>643</v>
      </c>
      <c r="D48" s="10" t="s">
        <v>518</v>
      </c>
      <c r="E48" s="7" t="s">
        <v>519</v>
      </c>
      <c r="F48" s="3" t="s">
        <v>520</v>
      </c>
      <c r="G48" s="3" t="s">
        <v>24</v>
      </c>
      <c r="H48" s="4">
        <v>46113</v>
      </c>
      <c r="I48" s="4">
        <v>46477</v>
      </c>
      <c r="J48" s="3" t="s">
        <v>644</v>
      </c>
      <c r="K48" s="3" t="str">
        <f t="shared" si="0"/>
        <v>Prj000290-Support - Asset Management Applications</v>
      </c>
      <c r="L48" s="21" t="s">
        <v>478</v>
      </c>
      <c r="M48" s="21" t="s">
        <v>16</v>
      </c>
      <c r="N48" s="21" t="s">
        <v>16</v>
      </c>
      <c r="O48" s="21" t="s">
        <v>645</v>
      </c>
      <c r="P48" s="21" t="s">
        <v>479</v>
      </c>
      <c r="Q48" s="21" t="s">
        <v>480</v>
      </c>
      <c r="R48" s="21" t="s">
        <v>480</v>
      </c>
      <c r="S48" s="21" t="s">
        <v>508</v>
      </c>
      <c r="T48" s="5">
        <v>230262.5</v>
      </c>
      <c r="U48" s="15">
        <v>238897.86250000002</v>
      </c>
      <c r="V48" s="15">
        <v>238897.86250000002</v>
      </c>
      <c r="W48" s="15">
        <f t="shared" si="1"/>
        <v>232868.65</v>
      </c>
      <c r="X48" s="15">
        <f t="shared" si="7"/>
        <v>-6029.2125000000233</v>
      </c>
      <c r="Y48" s="15">
        <f t="shared" si="2"/>
        <v>0</v>
      </c>
      <c r="Z48" s="15">
        <f>SUM(Financials20263[[#This Row],[2026 Opportunity]:[2026 Risk]])</f>
        <v>-6029.2125000000233</v>
      </c>
      <c r="AA48" s="3" t="s">
        <v>646</v>
      </c>
      <c r="AB48" s="52"/>
      <c r="AC48" s="52"/>
      <c r="AD48" s="52"/>
      <c r="AE48" s="52">
        <v>232868.65</v>
      </c>
      <c r="AF48" s="52"/>
      <c r="AG48" s="51"/>
      <c r="AH48" s="52"/>
      <c r="AI48" s="52"/>
      <c r="AJ48" s="52"/>
      <c r="AK48" s="52"/>
      <c r="AL48" s="52"/>
      <c r="AM48" s="52"/>
      <c r="AN48" s="52">
        <f>SUM(Financials20263[[#This Row],[Jan FC]:[Dec FC]])</f>
        <v>232868.65</v>
      </c>
      <c r="AO48" s="15">
        <f t="shared" si="5"/>
        <v>0</v>
      </c>
      <c r="AP48" s="61"/>
      <c r="AQ48" s="61"/>
      <c r="AR48" s="61"/>
      <c r="AS48" s="61"/>
      <c r="AT48" s="61"/>
      <c r="AU48" s="60"/>
      <c r="AV48" s="61"/>
      <c r="AW48" s="61"/>
      <c r="AX48" s="61"/>
      <c r="AY48" s="61"/>
      <c r="AZ48" s="61"/>
      <c r="BA48" s="61"/>
      <c r="BB48" s="80">
        <f>SUM(Financials20263[[#This Row],[Jan AC]:[Dec AC]])</f>
        <v>0</v>
      </c>
      <c r="BC48" s="71">
        <f>Financials20263[[#This Row],[Jan AC]]-Financials20263[[#This Row],[Jan FC]]</f>
        <v>0</v>
      </c>
      <c r="BD48" s="71">
        <f>Financials20263[[#This Row],[Feb AC]]-Financials20263[[#This Row],[Feb FC]]</f>
        <v>0</v>
      </c>
      <c r="BE48" s="71">
        <f>Financials20263[[#This Row],[Mar AC]]-Financials20263[[#This Row],[Mar FC]]</f>
        <v>0</v>
      </c>
      <c r="BF48" s="71">
        <f>Financials20263[[#This Row],[Apr AC]]-Financials20263[[#This Row],[Apr FC]]</f>
        <v>-232868.65</v>
      </c>
      <c r="BG48" s="71">
        <f>Financials20263[[#This Row],[May AC]]-Financials20263[[#This Row],[May FC]]</f>
        <v>0</v>
      </c>
      <c r="BH48" s="71">
        <f>Financials20263[[#This Row],[Jun AC]]-Financials20263[[#This Row],[Jun FC]]</f>
        <v>0</v>
      </c>
      <c r="BI48" s="71">
        <f>Financials20263[[#This Row],[Jul AC]]-Financials20263[[#This Row],[Jul FC]]</f>
        <v>0</v>
      </c>
      <c r="BJ48" s="71">
        <f>Financials20263[[#This Row],[Aug AC]]-Financials20263[[#This Row],[Aug FC]]</f>
        <v>0</v>
      </c>
      <c r="BK48" s="71">
        <f>Financials20263[[#This Row],[Sep AC]]-Financials20263[[#This Row],[Sep FC]]</f>
        <v>0</v>
      </c>
      <c r="BL48" s="71">
        <f>Financials20263[[#This Row],[Oct AC]]-Financials20263[[#This Row],[Oct FC]]</f>
        <v>0</v>
      </c>
      <c r="BM48" s="71">
        <f>Financials20263[[#This Row],[Nov AC]]-Financials20263[[#This Row],[Nov FC]]</f>
        <v>0</v>
      </c>
      <c r="BN48" s="71">
        <f>Financials20263[[#This Row],[Dec AC]]-Financials20263[[#This Row],[Dec FC]]</f>
        <v>0</v>
      </c>
      <c r="BO48" s="71">
        <f>SUM(Financials20263[[#This Row],[Jan Opp/Risk]:[Dec Opp./Risk]])</f>
        <v>-232868.65</v>
      </c>
      <c r="BP48" s="88" t="s">
        <v>647</v>
      </c>
      <c r="BQ48" s="47">
        <f>SUM(Financials20263[[#This Row],[Jan AC]:[May AC]])</f>
        <v>0</v>
      </c>
      <c r="BR48" s="6">
        <f>Financials20263[[#This Row],[2026 (Actuals + Forecast)]]-Financials20263[[#This Row],[Jan-May Actuals]]-Financials20263[[#This Row],[Jun-Dec FC]]</f>
        <v>232868.65</v>
      </c>
      <c r="BS48" s="6">
        <f>Financials20263[[#This Row],[Jun-Dec FC]]+Financials20263[[#This Row],[Jan-May Forecast ]]</f>
        <v>232868.65</v>
      </c>
      <c r="BT48" s="6">
        <f>SUM(Financials20263[[#This Row],[Jan FC]:[May FC]])</f>
        <v>232868.65</v>
      </c>
      <c r="BU48" s="6">
        <f>Financials20263[[#This Row],[Jan-May Actuals]]+Financials20263[[#This Row],[Forecast Jun-Dec]]</f>
        <v>232868.65</v>
      </c>
      <c r="BV48" s="6"/>
      <c r="BW48" s="6"/>
      <c r="BX48" s="6"/>
    </row>
    <row r="49" spans="1:76">
      <c r="A49" s="22" t="s">
        <v>473</v>
      </c>
      <c r="B49" s="21" t="s">
        <v>335</v>
      </c>
      <c r="C49" s="21" t="s">
        <v>648</v>
      </c>
      <c r="D49" s="10" t="s">
        <v>496</v>
      </c>
      <c r="E49" s="7" t="s">
        <v>497</v>
      </c>
      <c r="F49" s="3" t="s">
        <v>498</v>
      </c>
      <c r="G49" s="3" t="s">
        <v>22</v>
      </c>
      <c r="H49" s="4">
        <v>46054</v>
      </c>
      <c r="I49" s="4">
        <v>46418</v>
      </c>
      <c r="J49" s="3"/>
      <c r="K49" s="3" t="str">
        <f t="shared" si="0"/>
        <v>Prj000344-Support - Prod support for Finance Applications</v>
      </c>
      <c r="L49" s="21" t="s">
        <v>478</v>
      </c>
      <c r="M49" s="21" t="s">
        <v>16</v>
      </c>
      <c r="N49" s="21" t="s">
        <v>16</v>
      </c>
      <c r="O49" s="21"/>
      <c r="P49" s="21" t="s">
        <v>479</v>
      </c>
      <c r="Q49" s="21" t="s">
        <v>480</v>
      </c>
      <c r="R49" s="21" t="s">
        <v>480</v>
      </c>
      <c r="S49" s="21" t="s">
        <v>508</v>
      </c>
      <c r="T49" s="5">
        <v>12000</v>
      </c>
      <c r="U49" s="15">
        <v>12600</v>
      </c>
      <c r="V49" s="15">
        <v>12600</v>
      </c>
      <c r="W49" s="15">
        <f t="shared" si="1"/>
        <v>12000</v>
      </c>
      <c r="X49" s="15">
        <f t="shared" si="7"/>
        <v>-600</v>
      </c>
      <c r="Y49" s="15">
        <f t="shared" si="2"/>
        <v>0</v>
      </c>
      <c r="Z49" s="15">
        <f>SUM(Financials20263[[#This Row],[2026 Opportunity]:[2026 Risk]])</f>
        <v>-600</v>
      </c>
      <c r="AA49" s="3" t="s">
        <v>530</v>
      </c>
      <c r="AB49" s="52"/>
      <c r="AC49" s="52">
        <v>12600</v>
      </c>
      <c r="AD49" s="52"/>
      <c r="AE49" s="52"/>
      <c r="AF49" s="52"/>
      <c r="AG49" s="51"/>
      <c r="AH49" s="52"/>
      <c r="AI49" s="52"/>
      <c r="AJ49" s="52"/>
      <c r="AK49" s="52"/>
      <c r="AL49" s="52"/>
      <c r="AM49" s="52"/>
      <c r="AN49" s="52">
        <f>SUM(Financials20263[[#This Row],[Jan FC]:[Dec FC]])</f>
        <v>12600</v>
      </c>
      <c r="AO49" s="15">
        <f t="shared" si="5"/>
        <v>0</v>
      </c>
      <c r="AP49" s="61"/>
      <c r="AQ49" s="61">
        <v>12000</v>
      </c>
      <c r="AR49" s="61"/>
      <c r="AS49" s="61"/>
      <c r="AT49" s="61"/>
      <c r="AU49" s="60"/>
      <c r="AV49" s="61"/>
      <c r="AW49" s="61"/>
      <c r="AX49" s="61"/>
      <c r="AY49" s="61"/>
      <c r="AZ49" s="61"/>
      <c r="BA49" s="61"/>
      <c r="BB49" s="80">
        <f>SUM(Financials20263[[#This Row],[Jan AC]:[Dec AC]])</f>
        <v>12000</v>
      </c>
      <c r="BC49" s="71">
        <f>Financials20263[[#This Row],[Jan AC]]-Financials20263[[#This Row],[Jan FC]]</f>
        <v>0</v>
      </c>
      <c r="BD49" s="71">
        <f>Financials20263[[#This Row],[Feb AC]]-Financials20263[[#This Row],[Feb FC]]</f>
        <v>-600</v>
      </c>
      <c r="BE49" s="71">
        <f>Financials20263[[#This Row],[Mar AC]]-Financials20263[[#This Row],[Mar FC]]</f>
        <v>0</v>
      </c>
      <c r="BF49" s="71">
        <f>Financials20263[[#This Row],[Apr AC]]-Financials20263[[#This Row],[Apr FC]]</f>
        <v>0</v>
      </c>
      <c r="BG49" s="71">
        <f>Financials20263[[#This Row],[May AC]]-Financials20263[[#This Row],[May FC]]</f>
        <v>0</v>
      </c>
      <c r="BH49" s="71">
        <f>Financials20263[[#This Row],[Jun AC]]-Financials20263[[#This Row],[Jun FC]]</f>
        <v>0</v>
      </c>
      <c r="BI49" s="71">
        <f>Financials20263[[#This Row],[Jul AC]]-Financials20263[[#This Row],[Jul FC]]</f>
        <v>0</v>
      </c>
      <c r="BJ49" s="71">
        <f>Financials20263[[#This Row],[Aug AC]]-Financials20263[[#This Row],[Aug FC]]</f>
        <v>0</v>
      </c>
      <c r="BK49" s="71">
        <f>Financials20263[[#This Row],[Sep AC]]-Financials20263[[#This Row],[Sep FC]]</f>
        <v>0</v>
      </c>
      <c r="BL49" s="71">
        <f>Financials20263[[#This Row],[Oct AC]]-Financials20263[[#This Row],[Oct FC]]</f>
        <v>0</v>
      </c>
      <c r="BM49" s="71">
        <f>Financials20263[[#This Row],[Nov AC]]-Financials20263[[#This Row],[Nov FC]]</f>
        <v>0</v>
      </c>
      <c r="BN49" s="71">
        <f>Financials20263[[#This Row],[Dec AC]]-Financials20263[[#This Row],[Dec FC]]</f>
        <v>0</v>
      </c>
      <c r="BO49" s="71">
        <f>SUM(Financials20263[[#This Row],[Jan Opp/Risk]:[Dec Opp./Risk]])</f>
        <v>-600</v>
      </c>
      <c r="BP49" s="87" t="s">
        <v>531</v>
      </c>
      <c r="BQ49" s="47">
        <f>SUM(Financials20263[[#This Row],[Jan AC]:[May AC]])</f>
        <v>12000</v>
      </c>
      <c r="BR49" s="6">
        <f>Financials20263[[#This Row],[2026 (Actuals + Forecast)]]-Financials20263[[#This Row],[Jan-May Actuals]]-Financials20263[[#This Row],[Jun-Dec FC]]</f>
        <v>0</v>
      </c>
      <c r="BS49" s="6">
        <f>Financials20263[[#This Row],[Jun-Dec FC]]+Financials20263[[#This Row],[Jan-May Forecast ]]</f>
        <v>0</v>
      </c>
      <c r="BT49" s="6">
        <f>SUM(Financials20263[[#This Row],[Jan FC]:[May FC]])</f>
        <v>12600</v>
      </c>
      <c r="BU49" s="6">
        <f>Financials20263[[#This Row],[Jan-May Actuals]]+Financials20263[[#This Row],[Forecast Jun-Dec]]</f>
        <v>12000</v>
      </c>
      <c r="BV49" s="6"/>
      <c r="BW49" s="6"/>
      <c r="BX49" s="6"/>
    </row>
    <row r="50" spans="1:76">
      <c r="A50" s="22" t="s">
        <v>473</v>
      </c>
      <c r="B50" s="21" t="s">
        <v>375</v>
      </c>
      <c r="C50" s="21" t="s">
        <v>649</v>
      </c>
      <c r="D50" s="10" t="s">
        <v>610</v>
      </c>
      <c r="E50" s="7" t="s">
        <v>611</v>
      </c>
      <c r="F50" s="3" t="s">
        <v>488</v>
      </c>
      <c r="G50" s="3" t="s">
        <v>25</v>
      </c>
      <c r="H50" s="4">
        <v>45857</v>
      </c>
      <c r="I50" s="4">
        <v>46221</v>
      </c>
      <c r="J50" s="3" t="s">
        <v>650</v>
      </c>
      <c r="K50" s="3" t="str">
        <f t="shared" si="0"/>
        <v>Prj000446-Implement - Minor Enhancements for Enterprise Apps</v>
      </c>
      <c r="L50" s="21" t="s">
        <v>478</v>
      </c>
      <c r="M50" s="21" t="s">
        <v>16</v>
      </c>
      <c r="N50" s="21" t="s">
        <v>16</v>
      </c>
      <c r="O50" s="21"/>
      <c r="P50" s="21" t="s">
        <v>479</v>
      </c>
      <c r="Q50" s="21" t="s">
        <v>480</v>
      </c>
      <c r="R50" s="21" t="s">
        <v>480</v>
      </c>
      <c r="S50" s="21" t="s">
        <v>508</v>
      </c>
      <c r="T50" s="5">
        <v>85330.79</v>
      </c>
      <c r="U50" s="15">
        <v>90000</v>
      </c>
      <c r="V50" s="15">
        <v>90000</v>
      </c>
      <c r="W50" s="15">
        <f t="shared" si="1"/>
        <v>90000</v>
      </c>
      <c r="X50" s="15">
        <f t="shared" si="7"/>
        <v>0</v>
      </c>
      <c r="Y50" s="15">
        <f t="shared" si="2"/>
        <v>0</v>
      </c>
      <c r="Z50" s="15">
        <f>SUM(Financials20263[[#This Row],[2026 Opportunity]:[2026 Risk]])</f>
        <v>0</v>
      </c>
      <c r="AA50" s="3" t="s">
        <v>651</v>
      </c>
      <c r="AB50" s="52"/>
      <c r="AC50" s="52"/>
      <c r="AD50" s="52"/>
      <c r="AE50" s="52"/>
      <c r="AF50" s="52"/>
      <c r="AG50" s="51"/>
      <c r="AH50" s="52"/>
      <c r="AI50" s="52">
        <v>90000</v>
      </c>
      <c r="AJ50" s="52"/>
      <c r="AK50" s="52"/>
      <c r="AL50" s="51"/>
      <c r="AM50" s="51"/>
      <c r="AN50" s="51">
        <f>SUM(Financials20263[[#This Row],[Jan FC]:[Dec FC]])</f>
        <v>90000</v>
      </c>
      <c r="AO50" s="15">
        <f t="shared" si="5"/>
        <v>90000</v>
      </c>
      <c r="AP50" s="61"/>
      <c r="AQ50" s="61"/>
      <c r="AR50" s="61"/>
      <c r="AS50" s="61"/>
      <c r="AT50" s="61"/>
      <c r="AU50" s="60"/>
      <c r="AV50" s="61"/>
      <c r="AW50" s="61"/>
      <c r="AX50" s="61"/>
      <c r="AY50" s="61"/>
      <c r="AZ50" s="60"/>
      <c r="BA50" s="60"/>
      <c r="BB50" s="79">
        <f>SUM(Financials20263[[#This Row],[Jan AC]:[Dec AC]])</f>
        <v>0</v>
      </c>
      <c r="BC50" s="71">
        <f>Financials20263[[#This Row],[Jan AC]]-Financials20263[[#This Row],[Jan FC]]</f>
        <v>0</v>
      </c>
      <c r="BD50" s="71">
        <f>Financials20263[[#This Row],[Feb AC]]-Financials20263[[#This Row],[Feb FC]]</f>
        <v>0</v>
      </c>
      <c r="BE50" s="71">
        <f>Financials20263[[#This Row],[Mar AC]]-Financials20263[[#This Row],[Mar FC]]</f>
        <v>0</v>
      </c>
      <c r="BF50" s="71">
        <f>Financials20263[[#This Row],[Apr AC]]-Financials20263[[#This Row],[Apr FC]]</f>
        <v>0</v>
      </c>
      <c r="BG50" s="71">
        <f>Financials20263[[#This Row],[May AC]]-Financials20263[[#This Row],[May FC]]</f>
        <v>0</v>
      </c>
      <c r="BH50" s="71">
        <f>Financials20263[[#This Row],[Jun AC]]-Financials20263[[#This Row],[Jun FC]]</f>
        <v>0</v>
      </c>
      <c r="BI50" s="71">
        <f>Financials20263[[#This Row],[Jul AC]]-Financials20263[[#This Row],[Jul FC]]</f>
        <v>0</v>
      </c>
      <c r="BJ50" s="71">
        <f>Financials20263[[#This Row],[Aug AC]]-Financials20263[[#This Row],[Aug FC]]</f>
        <v>-90000</v>
      </c>
      <c r="BK50" s="71">
        <f>Financials20263[[#This Row],[Sep AC]]-Financials20263[[#This Row],[Sep FC]]</f>
        <v>0</v>
      </c>
      <c r="BL50" s="71">
        <f>Financials20263[[#This Row],[Oct AC]]-Financials20263[[#This Row],[Oct FC]]</f>
        <v>0</v>
      </c>
      <c r="BM50" s="71">
        <f>Financials20263[[#This Row],[Nov AC]]-Financials20263[[#This Row],[Nov FC]]</f>
        <v>0</v>
      </c>
      <c r="BN50" s="71">
        <f>Financials20263[[#This Row],[Dec AC]]-Financials20263[[#This Row],[Dec FC]]</f>
        <v>0</v>
      </c>
      <c r="BO50" s="71">
        <f>SUM(Financials20263[[#This Row],[Jan Opp/Risk]:[Dec Opp./Risk]])</f>
        <v>-90000</v>
      </c>
      <c r="BP50" s="87"/>
      <c r="BQ50" s="47">
        <f>SUM(Financials20263[[#This Row],[Jan AC]:[May AC]])</f>
        <v>0</v>
      </c>
      <c r="BR50" s="6">
        <f>Financials20263[[#This Row],[2026 (Actuals + Forecast)]]-Financials20263[[#This Row],[Jan-May Actuals]]-Financials20263[[#This Row],[Jun-Dec FC]]</f>
        <v>0</v>
      </c>
      <c r="BS50" s="6">
        <f>Financials20263[[#This Row],[Jun-Dec FC]]+Financials20263[[#This Row],[Jan-May Forecast ]]</f>
        <v>90000</v>
      </c>
      <c r="BT50" s="6">
        <f>SUM(Financials20263[[#This Row],[Jan FC]:[May FC]])</f>
        <v>0</v>
      </c>
      <c r="BU50" s="6">
        <f>Financials20263[[#This Row],[Jan-May Actuals]]+Financials20263[[#This Row],[Forecast Jun-Dec]]</f>
        <v>90000</v>
      </c>
      <c r="BV50" s="6"/>
      <c r="BW50" s="6"/>
      <c r="BX50" s="6"/>
    </row>
    <row r="51" spans="1:76">
      <c r="A51" s="22" t="s">
        <v>473</v>
      </c>
      <c r="B51" s="21" t="s">
        <v>48</v>
      </c>
      <c r="C51" s="21" t="s">
        <v>600</v>
      </c>
      <c r="D51" s="10" t="s">
        <v>496</v>
      </c>
      <c r="E51" s="7" t="s">
        <v>497</v>
      </c>
      <c r="F51" s="3" t="s">
        <v>498</v>
      </c>
      <c r="G51" s="3" t="s">
        <v>22</v>
      </c>
      <c r="H51" s="4">
        <v>46132</v>
      </c>
      <c r="I51" s="4">
        <v>47227</v>
      </c>
      <c r="J51" s="3" t="str">
        <f>+AA51</f>
        <v>Recon, this annual cost was projected at 96K but actuals cost was 101k since over threshold it is spread over 12 months as prepaid from May'26-Apr'26 in accounting records</v>
      </c>
      <c r="K51" s="3" t="str">
        <f t="shared" si="0"/>
        <v>Prj000344-Support - Prod support for Finance Applications</v>
      </c>
      <c r="L51" s="21" t="s">
        <v>478</v>
      </c>
      <c r="M51" s="21" t="s">
        <v>16</v>
      </c>
      <c r="N51" s="21" t="s">
        <v>16</v>
      </c>
      <c r="O51" s="21" t="s">
        <v>16</v>
      </c>
      <c r="P51" s="21" t="s">
        <v>479</v>
      </c>
      <c r="Q51" s="21" t="s">
        <v>480</v>
      </c>
      <c r="R51" s="21" t="s">
        <v>480</v>
      </c>
      <c r="S51" s="21" t="s">
        <v>508</v>
      </c>
      <c r="T51" s="5">
        <v>80119</v>
      </c>
      <c r="U51" s="15">
        <v>96543</v>
      </c>
      <c r="V51" s="15">
        <v>96543</v>
      </c>
      <c r="W51" s="15">
        <f t="shared" si="1"/>
        <v>101291</v>
      </c>
      <c r="X51" s="15">
        <f t="shared" si="7"/>
        <v>0</v>
      </c>
      <c r="Y51" s="15">
        <f t="shared" si="2"/>
        <v>4748</v>
      </c>
      <c r="Z51" s="15">
        <f>SUM(Financials20263[[#This Row],[2026 Opportunity]:[2026 Risk]])</f>
        <v>4748</v>
      </c>
      <c r="AA51" s="3" t="s">
        <v>652</v>
      </c>
      <c r="AB51" s="52"/>
      <c r="AC51" s="52"/>
      <c r="AD51" s="52"/>
      <c r="AE51" s="52"/>
      <c r="AF51" s="52">
        <f>96543</f>
        <v>96543</v>
      </c>
      <c r="AG51" s="52"/>
      <c r="AH51" s="52"/>
      <c r="AI51" s="52"/>
      <c r="AJ51" s="52"/>
      <c r="AK51" s="52"/>
      <c r="AL51" s="52"/>
      <c r="AM51" s="52"/>
      <c r="AN51" s="51">
        <f>SUM(Financials20263[[#This Row],[Jan FC]:[Dec FC]])</f>
        <v>96543</v>
      </c>
      <c r="AO51" s="15">
        <f t="shared" si="5"/>
        <v>0</v>
      </c>
      <c r="AP51" s="61"/>
      <c r="AQ51" s="61"/>
      <c r="AR51" s="61"/>
      <c r="AS51" s="61"/>
      <c r="AT51" s="61">
        <f>101291</f>
        <v>101291</v>
      </c>
      <c r="AU51" s="61"/>
      <c r="AV51" s="61"/>
      <c r="AW51" s="61"/>
      <c r="AX51" s="61"/>
      <c r="AY51" s="61"/>
      <c r="AZ51" s="61"/>
      <c r="BA51" s="61"/>
      <c r="BB51" s="79">
        <f>SUM(Financials20263[[#This Row],[Jan AC]:[Dec AC]])</f>
        <v>101291</v>
      </c>
      <c r="BC51" s="71">
        <f>Financials20263[[#This Row],[Jan AC]]-Financials20263[[#This Row],[Jan FC]]</f>
        <v>0</v>
      </c>
      <c r="BD51" s="71">
        <f>Financials20263[[#This Row],[Feb AC]]-Financials20263[[#This Row],[Feb FC]]</f>
        <v>0</v>
      </c>
      <c r="BE51" s="71">
        <f>Financials20263[[#This Row],[Mar AC]]-Financials20263[[#This Row],[Mar FC]]</f>
        <v>0</v>
      </c>
      <c r="BF51" s="71">
        <f>Financials20263[[#This Row],[Apr AC]]-Financials20263[[#This Row],[Apr FC]]</f>
        <v>0</v>
      </c>
      <c r="BG51" s="71">
        <f>Financials20263[[#This Row],[May AC]]-Financials20263[[#This Row],[May FC]]</f>
        <v>4748</v>
      </c>
      <c r="BH51" s="71">
        <f>Financials20263[[#This Row],[Jun AC]]-Financials20263[[#This Row],[Jun FC]]</f>
        <v>0</v>
      </c>
      <c r="BI51" s="71">
        <f>Financials20263[[#This Row],[Jul AC]]-Financials20263[[#This Row],[Jul FC]]</f>
        <v>0</v>
      </c>
      <c r="BJ51" s="71">
        <f>Financials20263[[#This Row],[Aug AC]]-Financials20263[[#This Row],[Aug FC]]</f>
        <v>0</v>
      </c>
      <c r="BK51" s="71">
        <f>Financials20263[[#This Row],[Sep AC]]-Financials20263[[#This Row],[Sep FC]]</f>
        <v>0</v>
      </c>
      <c r="BL51" s="71">
        <f>Financials20263[[#This Row],[Oct AC]]-Financials20263[[#This Row],[Oct FC]]</f>
        <v>0</v>
      </c>
      <c r="BM51" s="71">
        <f>Financials20263[[#This Row],[Nov AC]]-Financials20263[[#This Row],[Nov FC]]</f>
        <v>0</v>
      </c>
      <c r="BN51" s="71">
        <f>Financials20263[[#This Row],[Dec AC]]-Financials20263[[#This Row],[Dec FC]]</f>
        <v>0</v>
      </c>
      <c r="BO51" s="71">
        <f>SUM(Financials20263[[#This Row],[Jan Opp/Risk]:[Dec Opp./Risk]])</f>
        <v>4748</v>
      </c>
      <c r="BP51" s="90" t="s">
        <v>653</v>
      </c>
      <c r="BQ51" s="47">
        <f>SUM(Financials20263[[#This Row],[Jan AC]:[May AC]])</f>
        <v>101291</v>
      </c>
      <c r="BR51" s="6">
        <f>Financials20263[[#This Row],[2026 (Actuals + Forecast)]]-Financials20263[[#This Row],[Jan-May Actuals]]-Financials20263[[#This Row],[Jun-Dec FC]]</f>
        <v>0</v>
      </c>
      <c r="BS51" s="6">
        <f>Financials20263[[#This Row],[Jun-Dec FC]]+Financials20263[[#This Row],[Jan-May Forecast ]]</f>
        <v>0</v>
      </c>
      <c r="BT51" s="6">
        <f>SUM(Financials20263[[#This Row],[Jan FC]:[May FC]])</f>
        <v>96543</v>
      </c>
      <c r="BU51" s="6">
        <f>Financials20263[[#This Row],[Jan-May Actuals]]+Financials20263[[#This Row],[Forecast Jun-Dec]]</f>
        <v>101291</v>
      </c>
      <c r="BV51" s="6"/>
      <c r="BW51" s="6"/>
      <c r="BX51" s="6"/>
    </row>
    <row r="52" spans="1:76">
      <c r="A52" s="22" t="s">
        <v>473</v>
      </c>
      <c r="B52" s="21" t="s">
        <v>48</v>
      </c>
      <c r="C52" s="21" t="s">
        <v>600</v>
      </c>
      <c r="D52" s="10" t="s">
        <v>496</v>
      </c>
      <c r="E52" s="7" t="s">
        <v>497</v>
      </c>
      <c r="F52" s="3" t="s">
        <v>498</v>
      </c>
      <c r="G52" s="3" t="s">
        <v>22</v>
      </c>
      <c r="H52" s="4">
        <v>45640</v>
      </c>
      <c r="I52" s="4">
        <v>46004</v>
      </c>
      <c r="J52" s="3" t="s">
        <v>654</v>
      </c>
      <c r="K52" s="3" t="str">
        <f t="shared" si="0"/>
        <v>Prj000344-Support - Prod support for Finance Applications</v>
      </c>
      <c r="L52" s="21" t="s">
        <v>478</v>
      </c>
      <c r="M52" s="21" t="s">
        <v>16</v>
      </c>
      <c r="N52" s="21" t="s">
        <v>16</v>
      </c>
      <c r="O52" s="21" t="s">
        <v>16</v>
      </c>
      <c r="P52" s="21" t="s">
        <v>479</v>
      </c>
      <c r="Q52" s="21" t="s">
        <v>480</v>
      </c>
      <c r="R52" s="21" t="s">
        <v>480</v>
      </c>
      <c r="S52" s="21" t="s">
        <v>508</v>
      </c>
      <c r="T52" s="5">
        <v>12000</v>
      </c>
      <c r="U52" s="15">
        <v>14460</v>
      </c>
      <c r="V52" s="15">
        <v>14460</v>
      </c>
      <c r="W52" s="15">
        <f t="shared" si="1"/>
        <v>14460</v>
      </c>
      <c r="X52" s="15">
        <f t="shared" si="7"/>
        <v>0</v>
      </c>
      <c r="Y52" s="15">
        <f t="shared" si="2"/>
        <v>0</v>
      </c>
      <c r="Z52" s="15">
        <f>SUM(Financials20263[[#This Row],[2026 Opportunity]:[2026 Risk]])</f>
        <v>0</v>
      </c>
      <c r="AA52" s="3" t="s">
        <v>655</v>
      </c>
      <c r="AB52" s="52"/>
      <c r="AC52" s="52"/>
      <c r="AD52" s="52"/>
      <c r="AE52" s="52">
        <v>14460</v>
      </c>
      <c r="AF52" s="52"/>
      <c r="AG52" s="51"/>
      <c r="AH52" s="52"/>
      <c r="AI52" s="52"/>
      <c r="AJ52" s="52"/>
      <c r="AK52" s="52"/>
      <c r="AL52" s="51"/>
      <c r="AM52" s="51"/>
      <c r="AN52" s="51">
        <f>SUM(Financials20263[[#This Row],[Jan FC]:[Dec FC]])</f>
        <v>14460</v>
      </c>
      <c r="AO52" s="15">
        <f t="shared" si="5"/>
        <v>0</v>
      </c>
      <c r="AP52" s="61"/>
      <c r="AQ52" s="61"/>
      <c r="AR52" s="61"/>
      <c r="AS52" s="61"/>
      <c r="AT52" s="61"/>
      <c r="AU52" s="60"/>
      <c r="AV52" s="61"/>
      <c r="AW52" s="61"/>
      <c r="AX52" s="61"/>
      <c r="AY52" s="61"/>
      <c r="AZ52" s="60"/>
      <c r="BA52" s="60"/>
      <c r="BB52" s="79">
        <f>SUM(Financials20263[[#This Row],[Jan AC]:[Dec AC]])</f>
        <v>0</v>
      </c>
      <c r="BC52" s="71">
        <f>Financials20263[[#This Row],[Jan AC]]-Financials20263[[#This Row],[Jan FC]]</f>
        <v>0</v>
      </c>
      <c r="BD52" s="71">
        <f>Financials20263[[#This Row],[Feb AC]]-Financials20263[[#This Row],[Feb FC]]</f>
        <v>0</v>
      </c>
      <c r="BE52" s="71">
        <f>Financials20263[[#This Row],[Mar AC]]-Financials20263[[#This Row],[Mar FC]]</f>
        <v>0</v>
      </c>
      <c r="BF52" s="71">
        <f>Financials20263[[#This Row],[Apr AC]]-Financials20263[[#This Row],[Apr FC]]</f>
        <v>-14460</v>
      </c>
      <c r="BG52" s="71">
        <f>Financials20263[[#This Row],[May AC]]-Financials20263[[#This Row],[May FC]]</f>
        <v>0</v>
      </c>
      <c r="BH52" s="71">
        <f>Financials20263[[#This Row],[Jun AC]]-Financials20263[[#This Row],[Jun FC]]</f>
        <v>0</v>
      </c>
      <c r="BI52" s="71">
        <f>Financials20263[[#This Row],[Jul AC]]-Financials20263[[#This Row],[Jul FC]]</f>
        <v>0</v>
      </c>
      <c r="BJ52" s="71">
        <f>Financials20263[[#This Row],[Aug AC]]-Financials20263[[#This Row],[Aug FC]]</f>
        <v>0</v>
      </c>
      <c r="BK52" s="71">
        <f>Financials20263[[#This Row],[Sep AC]]-Financials20263[[#This Row],[Sep FC]]</f>
        <v>0</v>
      </c>
      <c r="BL52" s="71">
        <f>Financials20263[[#This Row],[Oct AC]]-Financials20263[[#This Row],[Oct FC]]</f>
        <v>0</v>
      </c>
      <c r="BM52" s="71">
        <f>Financials20263[[#This Row],[Nov AC]]-Financials20263[[#This Row],[Nov FC]]</f>
        <v>0</v>
      </c>
      <c r="BN52" s="71">
        <f>Financials20263[[#This Row],[Dec AC]]-Financials20263[[#This Row],[Dec FC]]</f>
        <v>0</v>
      </c>
      <c r="BO52" s="71">
        <f>SUM(Financials20263[[#This Row],[Jan Opp/Risk]:[Dec Opp./Risk]])</f>
        <v>-14460</v>
      </c>
      <c r="BP52" s="90"/>
      <c r="BQ52" s="47">
        <f>SUM(Financials20263[[#This Row],[Jan AC]:[May AC]])</f>
        <v>0</v>
      </c>
      <c r="BR52" s="6">
        <f>Financials20263[[#This Row],[2026 (Actuals + Forecast)]]-Financials20263[[#This Row],[Jan-May Actuals]]-Financials20263[[#This Row],[Jun-Dec FC]]</f>
        <v>14460</v>
      </c>
      <c r="BS52" s="6">
        <f>Financials20263[[#This Row],[Jun-Dec FC]]+Financials20263[[#This Row],[Jan-May Forecast ]]</f>
        <v>14460</v>
      </c>
      <c r="BT52" s="6">
        <f>SUM(Financials20263[[#This Row],[Jan FC]:[May FC]])</f>
        <v>14460</v>
      </c>
      <c r="BU52" s="6">
        <f>Financials20263[[#This Row],[Jan-May Actuals]]+Financials20263[[#This Row],[Forecast Jun-Dec]]</f>
        <v>14460</v>
      </c>
      <c r="BV52" s="6"/>
      <c r="BW52" s="6"/>
      <c r="BX52" s="6"/>
    </row>
    <row r="53" spans="1:76">
      <c r="A53" s="22" t="s">
        <v>473</v>
      </c>
      <c r="B53" s="21" t="s">
        <v>48</v>
      </c>
      <c r="C53" s="21" t="s">
        <v>600</v>
      </c>
      <c r="D53" s="10" t="s">
        <v>601</v>
      </c>
      <c r="E53" s="7" t="s">
        <v>602</v>
      </c>
      <c r="F53" s="3" t="s">
        <v>43</v>
      </c>
      <c r="G53" s="3" t="s">
        <v>20</v>
      </c>
      <c r="H53" s="12">
        <v>45603</v>
      </c>
      <c r="I53" s="12">
        <v>45967</v>
      </c>
      <c r="J53" s="3" t="str">
        <f>+AA53</f>
        <v>Navigate</v>
      </c>
      <c r="K53" s="3" t="str">
        <f t="shared" si="0"/>
        <v>Prj000458-Support - Data Analytics Office</v>
      </c>
      <c r="L53" s="21" t="s">
        <v>478</v>
      </c>
      <c r="M53" s="21" t="s">
        <v>16</v>
      </c>
      <c r="N53" s="21" t="s">
        <v>16</v>
      </c>
      <c r="O53" s="21" t="s">
        <v>16</v>
      </c>
      <c r="P53" s="21" t="s">
        <v>479</v>
      </c>
      <c r="Q53" s="21" t="s">
        <v>480</v>
      </c>
      <c r="R53" s="21" t="s">
        <v>480</v>
      </c>
      <c r="S53" s="21" t="s">
        <v>508</v>
      </c>
      <c r="T53" s="5">
        <v>80161</v>
      </c>
      <c r="U53" s="15">
        <v>59783.0625</v>
      </c>
      <c r="V53" s="15">
        <v>59783.0625</v>
      </c>
      <c r="W53" s="15">
        <f t="shared" si="1"/>
        <v>59783.0625</v>
      </c>
      <c r="X53" s="15">
        <f t="shared" si="7"/>
        <v>0</v>
      </c>
      <c r="Y53" s="15">
        <f t="shared" si="2"/>
        <v>0</v>
      </c>
      <c r="Z53" s="15">
        <f>SUM(Financials20263[[#This Row],[2026 Opportunity]:[2026 Risk]])</f>
        <v>0</v>
      </c>
      <c r="AA53" s="3" t="s">
        <v>656</v>
      </c>
      <c r="AB53" s="52"/>
      <c r="AC53" s="52"/>
      <c r="AD53" s="52"/>
      <c r="AE53" s="52"/>
      <c r="AF53" s="52"/>
      <c r="AG53" s="51"/>
      <c r="AH53" s="52"/>
      <c r="AI53" s="52"/>
      <c r="AJ53" s="52"/>
      <c r="AK53" s="52"/>
      <c r="AL53" s="51">
        <v>59783.0625</v>
      </c>
      <c r="AM53" s="51"/>
      <c r="AN53" s="51">
        <f>SUM(Financials20263[[#This Row],[Jan FC]:[Dec FC]])</f>
        <v>59783.0625</v>
      </c>
      <c r="AO53" s="15">
        <f t="shared" si="5"/>
        <v>59783.0625</v>
      </c>
      <c r="AP53" s="61"/>
      <c r="AQ53" s="61"/>
      <c r="AR53" s="61"/>
      <c r="AS53" s="61"/>
      <c r="AT53" s="61"/>
      <c r="AU53" s="60"/>
      <c r="AV53" s="61"/>
      <c r="AW53" s="61"/>
      <c r="AX53" s="61"/>
      <c r="AY53" s="61"/>
      <c r="AZ53" s="60"/>
      <c r="BA53" s="60"/>
      <c r="BB53" s="79">
        <f>SUM(Financials20263[[#This Row],[Jan AC]:[Dec AC]])</f>
        <v>0</v>
      </c>
      <c r="BC53" s="71">
        <f>Financials20263[[#This Row],[Jan AC]]-Financials20263[[#This Row],[Jan FC]]</f>
        <v>0</v>
      </c>
      <c r="BD53" s="71">
        <f>Financials20263[[#This Row],[Feb AC]]-Financials20263[[#This Row],[Feb FC]]</f>
        <v>0</v>
      </c>
      <c r="BE53" s="71">
        <f>Financials20263[[#This Row],[Mar AC]]-Financials20263[[#This Row],[Mar FC]]</f>
        <v>0</v>
      </c>
      <c r="BF53" s="71">
        <f>Financials20263[[#This Row],[Apr AC]]-Financials20263[[#This Row],[Apr FC]]</f>
        <v>0</v>
      </c>
      <c r="BG53" s="71">
        <f>Financials20263[[#This Row],[May AC]]-Financials20263[[#This Row],[May FC]]</f>
        <v>0</v>
      </c>
      <c r="BH53" s="71">
        <f>Financials20263[[#This Row],[Jun AC]]-Financials20263[[#This Row],[Jun FC]]</f>
        <v>0</v>
      </c>
      <c r="BI53" s="71">
        <f>Financials20263[[#This Row],[Jul AC]]-Financials20263[[#This Row],[Jul FC]]</f>
        <v>0</v>
      </c>
      <c r="BJ53" s="71">
        <f>Financials20263[[#This Row],[Aug AC]]-Financials20263[[#This Row],[Aug FC]]</f>
        <v>0</v>
      </c>
      <c r="BK53" s="71">
        <f>Financials20263[[#This Row],[Sep AC]]-Financials20263[[#This Row],[Sep FC]]</f>
        <v>0</v>
      </c>
      <c r="BL53" s="71">
        <f>Financials20263[[#This Row],[Oct AC]]-Financials20263[[#This Row],[Oct FC]]</f>
        <v>0</v>
      </c>
      <c r="BM53" s="71">
        <f>Financials20263[[#This Row],[Nov AC]]-Financials20263[[#This Row],[Nov FC]]</f>
        <v>-59783.0625</v>
      </c>
      <c r="BN53" s="71">
        <f>Financials20263[[#This Row],[Dec AC]]-Financials20263[[#This Row],[Dec FC]]</f>
        <v>0</v>
      </c>
      <c r="BO53" s="71">
        <f>SUM(Financials20263[[#This Row],[Jan Opp/Risk]:[Dec Opp./Risk]])</f>
        <v>-59783.0625</v>
      </c>
      <c r="BP53" s="90"/>
      <c r="BQ53" s="47">
        <f>SUM(Financials20263[[#This Row],[Jan AC]:[May AC]])</f>
        <v>0</v>
      </c>
      <c r="BR53" s="6">
        <f>Financials20263[[#This Row],[2026 (Actuals + Forecast)]]-Financials20263[[#This Row],[Jan-May Actuals]]-Financials20263[[#This Row],[Jun-Dec FC]]</f>
        <v>0</v>
      </c>
      <c r="BS53" s="6">
        <f>Financials20263[[#This Row],[Jun-Dec FC]]+Financials20263[[#This Row],[Jan-May Forecast ]]</f>
        <v>59783.0625</v>
      </c>
      <c r="BT53" s="6">
        <f>SUM(Financials20263[[#This Row],[Jan FC]:[May FC]])</f>
        <v>0</v>
      </c>
      <c r="BU53" s="6">
        <f>Financials20263[[#This Row],[Jan-May Actuals]]+Financials20263[[#This Row],[Forecast Jun-Dec]]</f>
        <v>59783.0625</v>
      </c>
      <c r="BV53" s="6"/>
      <c r="BW53" s="6"/>
      <c r="BX53" s="6"/>
    </row>
    <row r="54" spans="1:76">
      <c r="A54" s="22" t="s">
        <v>473</v>
      </c>
      <c r="B54" s="21" t="s">
        <v>352</v>
      </c>
      <c r="C54" s="21" t="s">
        <v>657</v>
      </c>
      <c r="D54" s="10" t="s">
        <v>658</v>
      </c>
      <c r="E54" s="7" t="s">
        <v>659</v>
      </c>
      <c r="F54" s="3" t="s">
        <v>69</v>
      </c>
      <c r="G54" s="3" t="s">
        <v>23</v>
      </c>
      <c r="H54" s="4">
        <v>46043</v>
      </c>
      <c r="I54" s="4">
        <v>46417</v>
      </c>
      <c r="J54" s="3"/>
      <c r="K54" s="3" t="str">
        <f t="shared" si="0"/>
        <v>Prj000427-Implement - Minor Enhancements for Marketing</v>
      </c>
      <c r="L54" s="21" t="s">
        <v>478</v>
      </c>
      <c r="M54" s="21" t="s">
        <v>16</v>
      </c>
      <c r="N54" s="21" t="s">
        <v>16</v>
      </c>
      <c r="O54" s="21"/>
      <c r="P54" s="21" t="s">
        <v>479</v>
      </c>
      <c r="Q54" s="21" t="s">
        <v>480</v>
      </c>
      <c r="R54" s="21" t="s">
        <v>480</v>
      </c>
      <c r="S54" s="21" t="s">
        <v>508</v>
      </c>
      <c r="T54" s="5">
        <v>1200</v>
      </c>
      <c r="U54" s="15">
        <v>1260</v>
      </c>
      <c r="V54" s="15">
        <v>1260</v>
      </c>
      <c r="W54" s="15">
        <f t="shared" si="1"/>
        <v>1260</v>
      </c>
      <c r="X54" s="15">
        <f t="shared" si="7"/>
        <v>0</v>
      </c>
      <c r="Y54" s="15">
        <f t="shared" si="2"/>
        <v>0</v>
      </c>
      <c r="Z54" s="15">
        <f>SUM(Financials20263[[#This Row],[2026 Opportunity]:[2026 Risk]])</f>
        <v>0</v>
      </c>
      <c r="AA54" s="3" t="s">
        <v>530</v>
      </c>
      <c r="AB54" s="52">
        <v>1260</v>
      </c>
      <c r="AC54" s="52">
        <v>0</v>
      </c>
      <c r="AD54" s="52">
        <v>0</v>
      </c>
      <c r="AE54" s="52">
        <v>0</v>
      </c>
      <c r="AF54" s="52">
        <v>0</v>
      </c>
      <c r="AG54" s="52">
        <v>0</v>
      </c>
      <c r="AH54" s="52">
        <v>0</v>
      </c>
      <c r="AI54" s="52">
        <v>0</v>
      </c>
      <c r="AJ54" s="52">
        <v>0</v>
      </c>
      <c r="AK54" s="52">
        <v>0</v>
      </c>
      <c r="AL54" s="52">
        <v>0</v>
      </c>
      <c r="AM54" s="52">
        <v>0</v>
      </c>
      <c r="AN54" s="52">
        <f>SUM(Financials20263[[#This Row],[Jan FC]:[Dec FC]])</f>
        <v>1260</v>
      </c>
      <c r="AO54" s="15">
        <f t="shared" si="5"/>
        <v>0</v>
      </c>
      <c r="AP54" s="61">
        <v>1260</v>
      </c>
      <c r="AQ54" s="61">
        <v>0</v>
      </c>
      <c r="AR54" s="61">
        <v>0</v>
      </c>
      <c r="AS54" s="61">
        <v>0</v>
      </c>
      <c r="AT54" s="61">
        <v>0</v>
      </c>
      <c r="AU54" s="61">
        <v>0</v>
      </c>
      <c r="AV54" s="61">
        <v>0</v>
      </c>
      <c r="AW54" s="61">
        <v>0</v>
      </c>
      <c r="AX54" s="61">
        <v>0</v>
      </c>
      <c r="AY54" s="61">
        <v>0</v>
      </c>
      <c r="AZ54" s="61">
        <v>0</v>
      </c>
      <c r="BA54" s="61">
        <v>0</v>
      </c>
      <c r="BB54" s="80">
        <f>SUM(Financials20263[[#This Row],[Jan AC]:[Dec AC]])</f>
        <v>1260</v>
      </c>
      <c r="BC54" s="71">
        <f>Financials20263[[#This Row],[Jan AC]]-Financials20263[[#This Row],[Jan FC]]</f>
        <v>0</v>
      </c>
      <c r="BD54" s="71">
        <f>Financials20263[[#This Row],[Feb AC]]-Financials20263[[#This Row],[Feb FC]]</f>
        <v>0</v>
      </c>
      <c r="BE54" s="71">
        <f>Financials20263[[#This Row],[Mar AC]]-Financials20263[[#This Row],[Mar FC]]</f>
        <v>0</v>
      </c>
      <c r="BF54" s="71">
        <f>Financials20263[[#This Row],[Apr AC]]-Financials20263[[#This Row],[Apr FC]]</f>
        <v>0</v>
      </c>
      <c r="BG54" s="71">
        <f>Financials20263[[#This Row],[May AC]]-Financials20263[[#This Row],[May FC]]</f>
        <v>0</v>
      </c>
      <c r="BH54" s="71">
        <f>Financials20263[[#This Row],[Jun AC]]-Financials20263[[#This Row],[Jun FC]]</f>
        <v>0</v>
      </c>
      <c r="BI54" s="71">
        <f>Financials20263[[#This Row],[Jul AC]]-Financials20263[[#This Row],[Jul FC]]</f>
        <v>0</v>
      </c>
      <c r="BJ54" s="71">
        <f>Financials20263[[#This Row],[Aug AC]]-Financials20263[[#This Row],[Aug FC]]</f>
        <v>0</v>
      </c>
      <c r="BK54" s="71">
        <f>Financials20263[[#This Row],[Sep AC]]-Financials20263[[#This Row],[Sep FC]]</f>
        <v>0</v>
      </c>
      <c r="BL54" s="71">
        <f>Financials20263[[#This Row],[Oct AC]]-Financials20263[[#This Row],[Oct FC]]</f>
        <v>0</v>
      </c>
      <c r="BM54" s="71">
        <f>Financials20263[[#This Row],[Nov AC]]-Financials20263[[#This Row],[Nov FC]]</f>
        <v>0</v>
      </c>
      <c r="BN54" s="71">
        <f>Financials20263[[#This Row],[Dec AC]]-Financials20263[[#This Row],[Dec FC]]</f>
        <v>0</v>
      </c>
      <c r="BO54" s="71">
        <f>SUM(Financials20263[[#This Row],[Jan Opp/Risk]:[Dec Opp./Risk]])</f>
        <v>0</v>
      </c>
      <c r="BP54" s="87"/>
      <c r="BQ54" s="47">
        <f>SUM(Financials20263[[#This Row],[Jan AC]:[May AC]])</f>
        <v>1260</v>
      </c>
      <c r="BR54" s="6">
        <f>Financials20263[[#This Row],[2026 (Actuals + Forecast)]]-Financials20263[[#This Row],[Jan-May Actuals]]-Financials20263[[#This Row],[Jun-Dec FC]]</f>
        <v>0</v>
      </c>
      <c r="BS54" s="6">
        <f>Financials20263[[#This Row],[Jun-Dec FC]]+Financials20263[[#This Row],[Jan-May Forecast ]]</f>
        <v>0</v>
      </c>
      <c r="BT54" s="6">
        <f>SUM(Financials20263[[#This Row],[Jan FC]:[May FC]])</f>
        <v>1260</v>
      </c>
      <c r="BU54" s="6">
        <f>Financials20263[[#This Row],[Jan-May Actuals]]+Financials20263[[#This Row],[Forecast Jun-Dec]]</f>
        <v>1260</v>
      </c>
      <c r="BV54" s="6"/>
      <c r="BW54" s="6"/>
      <c r="BX54" s="6"/>
    </row>
    <row r="55" spans="1:76">
      <c r="A55" s="22" t="s">
        <v>473</v>
      </c>
      <c r="B55" s="21" t="s">
        <v>309</v>
      </c>
      <c r="C55" s="21" t="s">
        <v>660</v>
      </c>
      <c r="D55" s="10" t="s">
        <v>661</v>
      </c>
      <c r="E55" s="7" t="s">
        <v>662</v>
      </c>
      <c r="F55" s="3" t="s">
        <v>91</v>
      </c>
      <c r="G55" s="3" t="s">
        <v>21</v>
      </c>
      <c r="H55" s="4">
        <v>45912</v>
      </c>
      <c r="I55" s="4">
        <v>46174</v>
      </c>
      <c r="J55" s="3" t="s">
        <v>663</v>
      </c>
      <c r="K55" s="3" t="str">
        <f t="shared" si="0"/>
        <v>Prj000410-Support - Tech Enablement 2026</v>
      </c>
      <c r="L55" s="21" t="s">
        <v>478</v>
      </c>
      <c r="M55" s="21" t="s">
        <v>16</v>
      </c>
      <c r="N55" s="21" t="s">
        <v>16</v>
      </c>
      <c r="O55" s="21"/>
      <c r="P55" s="21" t="s">
        <v>479</v>
      </c>
      <c r="Q55" s="21" t="s">
        <v>480</v>
      </c>
      <c r="R55" s="21" t="s">
        <v>480</v>
      </c>
      <c r="S55" s="21" t="s">
        <v>508</v>
      </c>
      <c r="T55" s="5">
        <v>1643.58</v>
      </c>
      <c r="U55" s="15">
        <v>1725.759</v>
      </c>
      <c r="V55" s="15">
        <v>1725.759</v>
      </c>
      <c r="W55" s="15">
        <f t="shared" si="1"/>
        <v>1726</v>
      </c>
      <c r="X55" s="15">
        <f t="shared" si="7"/>
        <v>0</v>
      </c>
      <c r="Y55" s="15">
        <f t="shared" si="2"/>
        <v>0.24099999999998545</v>
      </c>
      <c r="Z55" s="15">
        <f>SUM(Financials20263[[#This Row],[2026 Opportunity]:[2026 Risk]])</f>
        <v>0.24099999999998545</v>
      </c>
      <c r="AA55" s="3" t="s">
        <v>664</v>
      </c>
      <c r="AB55" s="52"/>
      <c r="AC55" s="52"/>
      <c r="AD55" s="52"/>
      <c r="AE55" s="52"/>
      <c r="AF55" s="52"/>
      <c r="AG55" s="51"/>
      <c r="AH55" s="52"/>
      <c r="AI55" s="52"/>
      <c r="AJ55" s="52">
        <v>1726</v>
      </c>
      <c r="AK55" s="52"/>
      <c r="AL55" s="52"/>
      <c r="AM55" s="52"/>
      <c r="AN55" s="52">
        <f>SUM(Financials20263[[#This Row],[Jan FC]:[Dec FC]])</f>
        <v>1726</v>
      </c>
      <c r="AO55" s="15">
        <f t="shared" si="5"/>
        <v>1726</v>
      </c>
      <c r="AP55" s="61"/>
      <c r="AQ55" s="61"/>
      <c r="AR55" s="61"/>
      <c r="AS55" s="61"/>
      <c r="AT55" s="61"/>
      <c r="AU55" s="60"/>
      <c r="AV55" s="61"/>
      <c r="AW55" s="61"/>
      <c r="AX55" s="61"/>
      <c r="AY55" s="61"/>
      <c r="AZ55" s="61"/>
      <c r="BA55" s="61"/>
      <c r="BB55" s="80">
        <f>SUM(Financials20263[[#This Row],[Jan AC]:[Dec AC]])</f>
        <v>0</v>
      </c>
      <c r="BC55" s="71">
        <f>Financials20263[[#This Row],[Jan AC]]-Financials20263[[#This Row],[Jan FC]]</f>
        <v>0</v>
      </c>
      <c r="BD55" s="71">
        <f>Financials20263[[#This Row],[Feb AC]]-Financials20263[[#This Row],[Feb FC]]</f>
        <v>0</v>
      </c>
      <c r="BE55" s="71">
        <f>Financials20263[[#This Row],[Mar AC]]-Financials20263[[#This Row],[Mar FC]]</f>
        <v>0</v>
      </c>
      <c r="BF55" s="71">
        <f>Financials20263[[#This Row],[Apr AC]]-Financials20263[[#This Row],[Apr FC]]</f>
        <v>0</v>
      </c>
      <c r="BG55" s="71">
        <f>Financials20263[[#This Row],[May AC]]-Financials20263[[#This Row],[May FC]]</f>
        <v>0</v>
      </c>
      <c r="BH55" s="71">
        <f>Financials20263[[#This Row],[Jun AC]]-Financials20263[[#This Row],[Jun FC]]</f>
        <v>0</v>
      </c>
      <c r="BI55" s="71">
        <f>Financials20263[[#This Row],[Jul AC]]-Financials20263[[#This Row],[Jul FC]]</f>
        <v>0</v>
      </c>
      <c r="BJ55" s="71">
        <f>Financials20263[[#This Row],[Aug AC]]-Financials20263[[#This Row],[Aug FC]]</f>
        <v>0</v>
      </c>
      <c r="BK55" s="71">
        <f>Financials20263[[#This Row],[Sep AC]]-Financials20263[[#This Row],[Sep FC]]</f>
        <v>-1726</v>
      </c>
      <c r="BL55" s="71">
        <f>Financials20263[[#This Row],[Oct AC]]-Financials20263[[#This Row],[Oct FC]]</f>
        <v>0</v>
      </c>
      <c r="BM55" s="71">
        <f>Financials20263[[#This Row],[Nov AC]]-Financials20263[[#This Row],[Nov FC]]</f>
        <v>0</v>
      </c>
      <c r="BN55" s="71">
        <f>Financials20263[[#This Row],[Dec AC]]-Financials20263[[#This Row],[Dec FC]]</f>
        <v>0</v>
      </c>
      <c r="BO55" s="71">
        <f>SUM(Financials20263[[#This Row],[Jan Opp/Risk]:[Dec Opp./Risk]])</f>
        <v>-1726</v>
      </c>
      <c r="BP55" s="87"/>
      <c r="BQ55" s="47">
        <f>SUM(Financials20263[[#This Row],[Jan AC]:[May AC]])</f>
        <v>0</v>
      </c>
      <c r="BR55" s="6">
        <f>Financials20263[[#This Row],[2026 (Actuals + Forecast)]]-Financials20263[[#This Row],[Jan-May Actuals]]-Financials20263[[#This Row],[Jun-Dec FC]]</f>
        <v>0</v>
      </c>
      <c r="BS55" s="6">
        <f>Financials20263[[#This Row],[Jun-Dec FC]]+Financials20263[[#This Row],[Jan-May Forecast ]]</f>
        <v>1726</v>
      </c>
      <c r="BT55" s="6">
        <f>SUM(Financials20263[[#This Row],[Jan FC]:[May FC]])</f>
        <v>0</v>
      </c>
      <c r="BU55" s="6">
        <f>Financials20263[[#This Row],[Jan-May Actuals]]+Financials20263[[#This Row],[Forecast Jun-Dec]]</f>
        <v>1726</v>
      </c>
      <c r="BV55" s="6"/>
      <c r="BW55" s="6"/>
      <c r="BX55" s="6"/>
    </row>
    <row r="56" spans="1:76">
      <c r="A56" s="22" t="s">
        <v>473</v>
      </c>
      <c r="B56" s="21" t="s">
        <v>309</v>
      </c>
      <c r="C56" s="21" t="s">
        <v>660</v>
      </c>
      <c r="D56" s="10" t="s">
        <v>661</v>
      </c>
      <c r="E56" s="7" t="s">
        <v>662</v>
      </c>
      <c r="F56" s="3" t="s">
        <v>91</v>
      </c>
      <c r="G56" s="3" t="s">
        <v>21</v>
      </c>
      <c r="H56" s="4">
        <v>45809</v>
      </c>
      <c r="I56" s="4">
        <v>46175</v>
      </c>
      <c r="J56" s="3" t="s">
        <v>663</v>
      </c>
      <c r="K56" s="3" t="str">
        <f t="shared" si="0"/>
        <v>Prj000410-Support - Tech Enablement 2026</v>
      </c>
      <c r="L56" s="21" t="s">
        <v>478</v>
      </c>
      <c r="M56" s="21" t="s">
        <v>16</v>
      </c>
      <c r="N56" s="21" t="s">
        <v>16</v>
      </c>
      <c r="O56" s="21"/>
      <c r="P56" s="21" t="s">
        <v>479</v>
      </c>
      <c r="Q56" s="21" t="s">
        <v>480</v>
      </c>
      <c r="R56" s="21" t="s">
        <v>480</v>
      </c>
      <c r="S56" s="21" t="s">
        <v>508</v>
      </c>
      <c r="T56" s="5">
        <v>24823.59</v>
      </c>
      <c r="U56" s="15">
        <v>26064.769500000002</v>
      </c>
      <c r="V56" s="15">
        <v>26064.769500000002</v>
      </c>
      <c r="W56" s="15">
        <f t="shared" si="1"/>
        <v>26065</v>
      </c>
      <c r="X56" s="15">
        <f t="shared" si="7"/>
        <v>0</v>
      </c>
      <c r="Y56" s="15">
        <f t="shared" si="2"/>
        <v>0.23049999999784632</v>
      </c>
      <c r="Z56" s="15">
        <f>SUM(Financials20263[[#This Row],[2026 Opportunity]:[2026 Risk]])</f>
        <v>0.23049999999784632</v>
      </c>
      <c r="AA56" s="3" t="s">
        <v>665</v>
      </c>
      <c r="AB56" s="52"/>
      <c r="AC56" s="52"/>
      <c r="AD56" s="52"/>
      <c r="AE56" s="52"/>
      <c r="AF56" s="52">
        <v>26065</v>
      </c>
      <c r="AG56" s="51"/>
      <c r="AH56" s="52"/>
      <c r="AI56" s="52"/>
      <c r="AJ56" s="52"/>
      <c r="AK56" s="52"/>
      <c r="AL56" s="52"/>
      <c r="AM56" s="52"/>
      <c r="AN56" s="52">
        <f>SUM(Financials20263[[#This Row],[Jan FC]:[Dec FC]])</f>
        <v>26065</v>
      </c>
      <c r="AO56" s="15">
        <f t="shared" si="5"/>
        <v>0</v>
      </c>
      <c r="AP56" s="61"/>
      <c r="AQ56" s="61"/>
      <c r="AR56" s="61"/>
      <c r="AS56" s="61"/>
      <c r="AT56" s="61"/>
      <c r="AU56" s="60"/>
      <c r="AV56" s="61"/>
      <c r="AW56" s="61"/>
      <c r="AX56" s="61"/>
      <c r="AY56" s="61"/>
      <c r="AZ56" s="61"/>
      <c r="BA56" s="61"/>
      <c r="BB56" s="80">
        <f>SUM(Financials20263[[#This Row],[Jan AC]:[Dec AC]])</f>
        <v>0</v>
      </c>
      <c r="BC56" s="71">
        <f>Financials20263[[#This Row],[Jan AC]]-Financials20263[[#This Row],[Jan FC]]</f>
        <v>0</v>
      </c>
      <c r="BD56" s="71">
        <f>Financials20263[[#This Row],[Feb AC]]-Financials20263[[#This Row],[Feb FC]]</f>
        <v>0</v>
      </c>
      <c r="BE56" s="71">
        <f>Financials20263[[#This Row],[Mar AC]]-Financials20263[[#This Row],[Mar FC]]</f>
        <v>0</v>
      </c>
      <c r="BF56" s="71">
        <f>Financials20263[[#This Row],[Apr AC]]-Financials20263[[#This Row],[Apr FC]]</f>
        <v>0</v>
      </c>
      <c r="BG56" s="71">
        <f>Financials20263[[#This Row],[May AC]]-Financials20263[[#This Row],[May FC]]</f>
        <v>-26065</v>
      </c>
      <c r="BH56" s="71">
        <f>Financials20263[[#This Row],[Jun AC]]-Financials20263[[#This Row],[Jun FC]]</f>
        <v>0</v>
      </c>
      <c r="BI56" s="71">
        <f>Financials20263[[#This Row],[Jul AC]]-Financials20263[[#This Row],[Jul FC]]</f>
        <v>0</v>
      </c>
      <c r="BJ56" s="71">
        <f>Financials20263[[#This Row],[Aug AC]]-Financials20263[[#This Row],[Aug FC]]</f>
        <v>0</v>
      </c>
      <c r="BK56" s="71">
        <f>Financials20263[[#This Row],[Sep AC]]-Financials20263[[#This Row],[Sep FC]]</f>
        <v>0</v>
      </c>
      <c r="BL56" s="71">
        <f>Financials20263[[#This Row],[Oct AC]]-Financials20263[[#This Row],[Oct FC]]</f>
        <v>0</v>
      </c>
      <c r="BM56" s="71">
        <f>Financials20263[[#This Row],[Nov AC]]-Financials20263[[#This Row],[Nov FC]]</f>
        <v>0</v>
      </c>
      <c r="BN56" s="71">
        <f>Financials20263[[#This Row],[Dec AC]]-Financials20263[[#This Row],[Dec FC]]</f>
        <v>0</v>
      </c>
      <c r="BO56" s="71">
        <f>SUM(Financials20263[[#This Row],[Jan Opp/Risk]:[Dec Opp./Risk]])</f>
        <v>-26065</v>
      </c>
      <c r="BP56" s="87"/>
      <c r="BQ56" s="47">
        <f>SUM(Financials20263[[#This Row],[Jan AC]:[May AC]])</f>
        <v>0</v>
      </c>
      <c r="BR56" s="6">
        <f>Financials20263[[#This Row],[2026 (Actuals + Forecast)]]-Financials20263[[#This Row],[Jan-May Actuals]]-Financials20263[[#This Row],[Jun-Dec FC]]</f>
        <v>26065</v>
      </c>
      <c r="BS56" s="6">
        <f>Financials20263[[#This Row],[Jun-Dec FC]]+Financials20263[[#This Row],[Jan-May Forecast ]]</f>
        <v>26065</v>
      </c>
      <c r="BT56" s="6">
        <f>SUM(Financials20263[[#This Row],[Jan FC]:[May FC]])</f>
        <v>26065</v>
      </c>
      <c r="BU56" s="6">
        <f>Financials20263[[#This Row],[Jan-May Actuals]]+Financials20263[[#This Row],[Forecast Jun-Dec]]</f>
        <v>26065</v>
      </c>
      <c r="BV56" s="6"/>
      <c r="BW56" s="6"/>
      <c r="BX56" s="6"/>
    </row>
    <row r="57" spans="1:76">
      <c r="A57" s="22" t="s">
        <v>473</v>
      </c>
      <c r="B57" s="21" t="s">
        <v>338</v>
      </c>
      <c r="C57" s="21" t="s">
        <v>666</v>
      </c>
      <c r="D57" s="10" t="s">
        <v>496</v>
      </c>
      <c r="E57" s="7" t="s">
        <v>497</v>
      </c>
      <c r="F57" s="3" t="s">
        <v>498</v>
      </c>
      <c r="G57" s="3" t="s">
        <v>22</v>
      </c>
      <c r="H57" s="4">
        <v>45770</v>
      </c>
      <c r="I57" s="4">
        <v>46135</v>
      </c>
      <c r="J57" s="3" t="s">
        <v>667</v>
      </c>
      <c r="K57" s="3" t="str">
        <f t="shared" si="0"/>
        <v>Prj000344-Support - Prod support for Finance Applications</v>
      </c>
      <c r="L57" s="21" t="s">
        <v>478</v>
      </c>
      <c r="M57" s="21" t="s">
        <v>16</v>
      </c>
      <c r="N57" s="21" t="s">
        <v>16</v>
      </c>
      <c r="O57" s="21"/>
      <c r="P57" s="21" t="s">
        <v>479</v>
      </c>
      <c r="Q57" s="21" t="s">
        <v>480</v>
      </c>
      <c r="R57" s="21" t="s">
        <v>480</v>
      </c>
      <c r="S57" s="21" t="s">
        <v>508</v>
      </c>
      <c r="T57" s="5">
        <v>1297</v>
      </c>
      <c r="U57" s="5">
        <v>1361.8500000000001</v>
      </c>
      <c r="V57" s="5">
        <v>1361.8500000000001</v>
      </c>
      <c r="W57" s="15">
        <f t="shared" si="1"/>
        <v>1719.9</v>
      </c>
      <c r="X57" s="15">
        <f t="shared" si="7"/>
        <v>0</v>
      </c>
      <c r="Y57" s="15">
        <f t="shared" si="2"/>
        <v>358.04999999999995</v>
      </c>
      <c r="Z57" s="15">
        <f>SUM(Financials20263[[#This Row],[2026 Opportunity]:[2026 Risk]])</f>
        <v>358.04999999999995</v>
      </c>
      <c r="AA57" s="3" t="s">
        <v>530</v>
      </c>
      <c r="AB57" s="52"/>
      <c r="AC57" s="52"/>
      <c r="AD57" s="52"/>
      <c r="AE57" s="52">
        <v>1362</v>
      </c>
      <c r="AF57" s="52"/>
      <c r="AG57" s="51"/>
      <c r="AH57" s="52"/>
      <c r="AI57" s="52"/>
      <c r="AJ57" s="52"/>
      <c r="AK57" s="52"/>
      <c r="AL57" s="51"/>
      <c r="AM57" s="51"/>
      <c r="AN57" s="51">
        <f>SUM(Financials20263[[#This Row],[Jan FC]:[Dec FC]])</f>
        <v>1362</v>
      </c>
      <c r="AO57" s="15">
        <f t="shared" si="5"/>
        <v>0</v>
      </c>
      <c r="AP57" s="61"/>
      <c r="AQ57" s="61"/>
      <c r="AR57" s="61"/>
      <c r="AS57" s="61">
        <v>1719.9</v>
      </c>
      <c r="AT57" s="61"/>
      <c r="AU57" s="60"/>
      <c r="AV57" s="61"/>
      <c r="AW57" s="61"/>
      <c r="AX57" s="61"/>
      <c r="AY57" s="61"/>
      <c r="AZ57" s="60"/>
      <c r="BA57" s="60"/>
      <c r="BB57" s="79">
        <f>SUM(Financials20263[[#This Row],[Jan AC]:[Dec AC]])</f>
        <v>1719.9</v>
      </c>
      <c r="BC57" s="71">
        <f>Financials20263[[#This Row],[Jan AC]]-Financials20263[[#This Row],[Jan FC]]</f>
        <v>0</v>
      </c>
      <c r="BD57" s="71">
        <f>Financials20263[[#This Row],[Feb AC]]-Financials20263[[#This Row],[Feb FC]]</f>
        <v>0</v>
      </c>
      <c r="BE57" s="71">
        <f>Financials20263[[#This Row],[Mar AC]]-Financials20263[[#This Row],[Mar FC]]</f>
        <v>0</v>
      </c>
      <c r="BF57" s="71">
        <f>Financials20263[[#This Row],[Apr AC]]-Financials20263[[#This Row],[Apr FC]]</f>
        <v>357.90000000000009</v>
      </c>
      <c r="BG57" s="71">
        <f>Financials20263[[#This Row],[May AC]]-Financials20263[[#This Row],[May FC]]</f>
        <v>0</v>
      </c>
      <c r="BH57" s="71">
        <f>Financials20263[[#This Row],[Jun AC]]-Financials20263[[#This Row],[Jun FC]]</f>
        <v>0</v>
      </c>
      <c r="BI57" s="71">
        <f>Financials20263[[#This Row],[Jul AC]]-Financials20263[[#This Row],[Jul FC]]</f>
        <v>0</v>
      </c>
      <c r="BJ57" s="71">
        <f>Financials20263[[#This Row],[Aug AC]]-Financials20263[[#This Row],[Aug FC]]</f>
        <v>0</v>
      </c>
      <c r="BK57" s="71">
        <f>Financials20263[[#This Row],[Sep AC]]-Financials20263[[#This Row],[Sep FC]]</f>
        <v>0</v>
      </c>
      <c r="BL57" s="71">
        <f>Financials20263[[#This Row],[Oct AC]]-Financials20263[[#This Row],[Oct FC]]</f>
        <v>0</v>
      </c>
      <c r="BM57" s="71">
        <f>Financials20263[[#This Row],[Nov AC]]-Financials20263[[#This Row],[Nov FC]]</f>
        <v>0</v>
      </c>
      <c r="BN57" s="71">
        <f>Financials20263[[#This Row],[Dec AC]]-Financials20263[[#This Row],[Dec FC]]</f>
        <v>0</v>
      </c>
      <c r="BO57" s="71">
        <f>SUM(Financials20263[[#This Row],[Jan Opp/Risk]:[Dec Opp./Risk]])</f>
        <v>357.90000000000009</v>
      </c>
      <c r="BP57" s="87" t="s">
        <v>531</v>
      </c>
      <c r="BQ57" s="47">
        <f>SUM(Financials20263[[#This Row],[Jan AC]:[May AC]])</f>
        <v>1719.9</v>
      </c>
      <c r="BR57" s="6">
        <f>Financials20263[[#This Row],[2026 (Actuals + Forecast)]]-Financials20263[[#This Row],[Jan-May Actuals]]-Financials20263[[#This Row],[Jun-Dec FC]]</f>
        <v>0</v>
      </c>
      <c r="BS57" s="6">
        <f>Financials20263[[#This Row],[Jun-Dec FC]]+Financials20263[[#This Row],[Jan-May Forecast ]]</f>
        <v>0</v>
      </c>
      <c r="BT57" s="6">
        <f>SUM(Financials20263[[#This Row],[Jan FC]:[May FC]])</f>
        <v>1362</v>
      </c>
      <c r="BU57" s="6">
        <f>Financials20263[[#This Row],[Jan-May Actuals]]+Financials20263[[#This Row],[Forecast Jun-Dec]]</f>
        <v>1719.9</v>
      </c>
      <c r="BV57" s="6"/>
      <c r="BW57" s="6"/>
      <c r="BX57" s="6"/>
    </row>
    <row r="58" spans="1:76">
      <c r="A58" s="22" t="s">
        <v>473</v>
      </c>
      <c r="B58" s="21" t="s">
        <v>338</v>
      </c>
      <c r="C58" s="21" t="s">
        <v>666</v>
      </c>
      <c r="D58" s="10" t="s">
        <v>496</v>
      </c>
      <c r="E58" s="7" t="s">
        <v>497</v>
      </c>
      <c r="F58" s="3" t="s">
        <v>498</v>
      </c>
      <c r="G58" s="3" t="s">
        <v>22</v>
      </c>
      <c r="H58" s="4">
        <v>46056</v>
      </c>
      <c r="I58" s="4">
        <v>46421</v>
      </c>
      <c r="J58" s="3" t="s">
        <v>668</v>
      </c>
      <c r="K58" s="3" t="str">
        <f t="shared" si="0"/>
        <v>Prj000344-Support - Prod support for Finance Applications</v>
      </c>
      <c r="L58" s="21" t="s">
        <v>478</v>
      </c>
      <c r="M58" s="21" t="s">
        <v>16</v>
      </c>
      <c r="N58" s="21" t="s">
        <v>16</v>
      </c>
      <c r="O58" s="21"/>
      <c r="P58" s="21" t="s">
        <v>479</v>
      </c>
      <c r="Q58" s="21" t="s">
        <v>480</v>
      </c>
      <c r="R58" s="21" t="s">
        <v>480</v>
      </c>
      <c r="S58" s="21" t="s">
        <v>508</v>
      </c>
      <c r="T58" s="5">
        <v>1323</v>
      </c>
      <c r="U58" s="5">
        <v>1389.15</v>
      </c>
      <c r="V58" s="5">
        <v>1389.15</v>
      </c>
      <c r="W58" s="15">
        <f t="shared" si="1"/>
        <v>1472.85</v>
      </c>
      <c r="X58" s="15">
        <f t="shared" si="7"/>
        <v>0</v>
      </c>
      <c r="Y58" s="15">
        <f t="shared" si="2"/>
        <v>83.699999999999818</v>
      </c>
      <c r="Z58" s="15">
        <f>SUM(Financials20263[[#This Row],[2026 Opportunity]:[2026 Risk]])</f>
        <v>83.699999999999818</v>
      </c>
      <c r="AA58" s="3" t="s">
        <v>530</v>
      </c>
      <c r="AB58" s="52"/>
      <c r="AC58" s="52">
        <v>1389</v>
      </c>
      <c r="AD58" s="52"/>
      <c r="AE58" s="52"/>
      <c r="AF58" s="52"/>
      <c r="AG58" s="52"/>
      <c r="AH58" s="52"/>
      <c r="AI58" s="52"/>
      <c r="AJ58" s="52"/>
      <c r="AK58" s="52"/>
      <c r="AL58" s="52"/>
      <c r="AM58" s="52"/>
      <c r="AN58" s="52">
        <f>SUM(Financials20263[[#This Row],[Jan FC]:[Dec FC]])</f>
        <v>1389</v>
      </c>
      <c r="AO58" s="15">
        <f t="shared" si="5"/>
        <v>0</v>
      </c>
      <c r="AP58" s="61"/>
      <c r="AQ58" s="61">
        <v>1472.85</v>
      </c>
      <c r="AR58" s="61"/>
      <c r="AS58" s="61"/>
      <c r="AT58" s="61"/>
      <c r="AU58" s="61"/>
      <c r="AV58" s="61"/>
      <c r="AW58" s="61"/>
      <c r="AX58" s="61"/>
      <c r="AY58" s="61"/>
      <c r="AZ58" s="61"/>
      <c r="BA58" s="61"/>
      <c r="BB58" s="80">
        <f>SUM(Financials20263[[#This Row],[Jan AC]:[Dec AC]])</f>
        <v>1472.85</v>
      </c>
      <c r="BC58" s="71">
        <f>Financials20263[[#This Row],[Jan AC]]-Financials20263[[#This Row],[Jan FC]]</f>
        <v>0</v>
      </c>
      <c r="BD58" s="71">
        <f>Financials20263[[#This Row],[Feb AC]]-Financials20263[[#This Row],[Feb FC]]</f>
        <v>83.849999999999909</v>
      </c>
      <c r="BE58" s="71">
        <f>Financials20263[[#This Row],[Mar AC]]-Financials20263[[#This Row],[Mar FC]]</f>
        <v>0</v>
      </c>
      <c r="BF58" s="71">
        <f>Financials20263[[#This Row],[Apr AC]]-Financials20263[[#This Row],[Apr FC]]</f>
        <v>0</v>
      </c>
      <c r="BG58" s="71">
        <f>Financials20263[[#This Row],[May AC]]-Financials20263[[#This Row],[May FC]]</f>
        <v>0</v>
      </c>
      <c r="BH58" s="71">
        <f>Financials20263[[#This Row],[Jun AC]]-Financials20263[[#This Row],[Jun FC]]</f>
        <v>0</v>
      </c>
      <c r="BI58" s="71">
        <f>Financials20263[[#This Row],[Jul AC]]-Financials20263[[#This Row],[Jul FC]]</f>
        <v>0</v>
      </c>
      <c r="BJ58" s="71">
        <f>Financials20263[[#This Row],[Aug AC]]-Financials20263[[#This Row],[Aug FC]]</f>
        <v>0</v>
      </c>
      <c r="BK58" s="71">
        <f>Financials20263[[#This Row],[Sep AC]]-Financials20263[[#This Row],[Sep FC]]</f>
        <v>0</v>
      </c>
      <c r="BL58" s="71">
        <f>Financials20263[[#This Row],[Oct AC]]-Financials20263[[#This Row],[Oct FC]]</f>
        <v>0</v>
      </c>
      <c r="BM58" s="71">
        <f>Financials20263[[#This Row],[Nov AC]]-Financials20263[[#This Row],[Nov FC]]</f>
        <v>0</v>
      </c>
      <c r="BN58" s="71">
        <f>Financials20263[[#This Row],[Dec AC]]-Financials20263[[#This Row],[Dec FC]]</f>
        <v>0</v>
      </c>
      <c r="BO58" s="71">
        <f>SUM(Financials20263[[#This Row],[Jan Opp/Risk]:[Dec Opp./Risk]])</f>
        <v>83.849999999999909</v>
      </c>
      <c r="BP58" s="87" t="s">
        <v>531</v>
      </c>
      <c r="BQ58" s="47">
        <f>SUM(Financials20263[[#This Row],[Jan AC]:[May AC]])</f>
        <v>1472.85</v>
      </c>
      <c r="BR58" s="6">
        <f>Financials20263[[#This Row],[2026 (Actuals + Forecast)]]-Financials20263[[#This Row],[Jan-May Actuals]]-Financials20263[[#This Row],[Jun-Dec FC]]</f>
        <v>0</v>
      </c>
      <c r="BS58" s="6">
        <f>Financials20263[[#This Row],[Jun-Dec FC]]+Financials20263[[#This Row],[Jan-May Forecast ]]</f>
        <v>0</v>
      </c>
      <c r="BT58" s="6">
        <f>SUM(Financials20263[[#This Row],[Jan FC]:[May FC]])</f>
        <v>1389</v>
      </c>
      <c r="BU58" s="6">
        <f>Financials20263[[#This Row],[Jan-May Actuals]]+Financials20263[[#This Row],[Forecast Jun-Dec]]</f>
        <v>1472.85</v>
      </c>
      <c r="BV58" s="6"/>
      <c r="BW58" s="6"/>
      <c r="BX58" s="6"/>
    </row>
    <row r="59" spans="1:76">
      <c r="A59" s="22" t="s">
        <v>473</v>
      </c>
      <c r="B59" s="21" t="s">
        <v>134</v>
      </c>
      <c r="C59" s="21" t="s">
        <v>669</v>
      </c>
      <c r="D59" s="10" t="s">
        <v>475</v>
      </c>
      <c r="E59" s="7" t="s">
        <v>476</v>
      </c>
      <c r="F59" s="3" t="s">
        <v>91</v>
      </c>
      <c r="G59" s="3" t="s">
        <v>21</v>
      </c>
      <c r="H59" s="4">
        <v>45809</v>
      </c>
      <c r="I59" s="4">
        <v>46904</v>
      </c>
      <c r="J59" s="3" t="s">
        <v>670</v>
      </c>
      <c r="K59" s="3" t="str">
        <f t="shared" si="0"/>
        <v>Prj000350-Support - Infrastructure for Tech</v>
      </c>
      <c r="L59" s="21" t="s">
        <v>478</v>
      </c>
      <c r="M59" s="21" t="s">
        <v>16</v>
      </c>
      <c r="N59" s="21" t="s">
        <v>16</v>
      </c>
      <c r="O59" s="21" t="s">
        <v>671</v>
      </c>
      <c r="P59" s="21" t="s">
        <v>479</v>
      </c>
      <c r="Q59" s="21" t="s">
        <v>480</v>
      </c>
      <c r="R59" s="21" t="s">
        <v>480</v>
      </c>
      <c r="S59" s="21" t="s">
        <v>481</v>
      </c>
      <c r="T59" s="5">
        <v>1916944.1866666665</v>
      </c>
      <c r="U59" s="15">
        <v>1900385</v>
      </c>
      <c r="V59" s="15">
        <v>1900385</v>
      </c>
      <c r="W59" s="15">
        <f t="shared" si="1"/>
        <v>2073920.716666667</v>
      </c>
      <c r="X59" s="15">
        <f t="shared" si="7"/>
        <v>0</v>
      </c>
      <c r="Y59" s="15">
        <f t="shared" si="2"/>
        <v>173535.71666666702</v>
      </c>
      <c r="Z59" s="15">
        <f>SUM(Financials20263[[#This Row],[2026 Opportunity]:[2026 Risk]])</f>
        <v>173535.71666666702</v>
      </c>
      <c r="AA59" s="3" t="s">
        <v>672</v>
      </c>
      <c r="AB59" s="51">
        <f t="shared" ref="AB59:AT59" si="25">(1900385/12)</f>
        <v>158365.41666666666</v>
      </c>
      <c r="AC59" s="51">
        <f t="shared" si="25"/>
        <v>158365.41666666666</v>
      </c>
      <c r="AD59" s="51">
        <f t="shared" si="25"/>
        <v>158365.41666666666</v>
      </c>
      <c r="AE59" s="51">
        <f t="shared" si="25"/>
        <v>158365.41666666666</v>
      </c>
      <c r="AF59" s="51">
        <f t="shared" si="25"/>
        <v>158365.41666666666</v>
      </c>
      <c r="AG59" s="51">
        <f>(2197874.8/12)</f>
        <v>183156.23333333331</v>
      </c>
      <c r="AH59" s="51">
        <f t="shared" ref="AH59:AM59" si="26">(2197874.8/12)</f>
        <v>183156.23333333331</v>
      </c>
      <c r="AI59" s="51">
        <f t="shared" si="26"/>
        <v>183156.23333333331</v>
      </c>
      <c r="AJ59" s="51">
        <f t="shared" si="26"/>
        <v>183156.23333333331</v>
      </c>
      <c r="AK59" s="51">
        <f t="shared" si="26"/>
        <v>183156.23333333331</v>
      </c>
      <c r="AL59" s="51">
        <f t="shared" si="26"/>
        <v>183156.23333333331</v>
      </c>
      <c r="AM59" s="51">
        <f t="shared" si="26"/>
        <v>183156.23333333331</v>
      </c>
      <c r="AN59" s="51">
        <f>SUM(Financials20263[[#This Row],[Jan FC]:[Dec FC]])</f>
        <v>2073920.7166666668</v>
      </c>
      <c r="AO59" s="15">
        <f t="shared" si="5"/>
        <v>1282093.6333333333</v>
      </c>
      <c r="AP59" s="60">
        <f t="shared" si="25"/>
        <v>158365.41666666666</v>
      </c>
      <c r="AQ59" s="60">
        <f t="shared" si="25"/>
        <v>158365.41666666666</v>
      </c>
      <c r="AR59" s="60">
        <f t="shared" si="25"/>
        <v>158365.41666666666</v>
      </c>
      <c r="AS59" s="60">
        <f t="shared" si="25"/>
        <v>158365.41666666666</v>
      </c>
      <c r="AT59" s="60">
        <f t="shared" si="25"/>
        <v>158365.41666666666</v>
      </c>
      <c r="AU59" s="60"/>
      <c r="AV59" s="60"/>
      <c r="AW59" s="60"/>
      <c r="AX59" s="60"/>
      <c r="AY59" s="60"/>
      <c r="AZ59" s="60"/>
      <c r="BA59" s="60"/>
      <c r="BB59" s="79">
        <f>SUM(Financials20263[[#This Row],[Jan AC]:[Dec AC]])</f>
        <v>791827.08333333326</v>
      </c>
      <c r="BC59" s="71">
        <f>Financials20263[[#This Row],[Jan AC]]-Financials20263[[#This Row],[Jan FC]]</f>
        <v>0</v>
      </c>
      <c r="BD59" s="71">
        <f>Financials20263[[#This Row],[Feb AC]]-Financials20263[[#This Row],[Feb FC]]</f>
        <v>0</v>
      </c>
      <c r="BE59" s="71">
        <f>Financials20263[[#This Row],[Mar AC]]-Financials20263[[#This Row],[Mar FC]]</f>
        <v>0</v>
      </c>
      <c r="BF59" s="71">
        <f>Financials20263[[#This Row],[Apr AC]]-Financials20263[[#This Row],[Apr FC]]</f>
        <v>0</v>
      </c>
      <c r="BG59" s="71">
        <f>Financials20263[[#This Row],[May AC]]-Financials20263[[#This Row],[May FC]]</f>
        <v>0</v>
      </c>
      <c r="BH59" s="71">
        <f>Financials20263[[#This Row],[Jun AC]]-Financials20263[[#This Row],[Jun FC]]</f>
        <v>-183156.23333333331</v>
      </c>
      <c r="BI59" s="71">
        <f>Financials20263[[#This Row],[Jul AC]]-Financials20263[[#This Row],[Jul FC]]</f>
        <v>-183156.23333333331</v>
      </c>
      <c r="BJ59" s="71">
        <f>Financials20263[[#This Row],[Aug AC]]-Financials20263[[#This Row],[Aug FC]]</f>
        <v>-183156.23333333331</v>
      </c>
      <c r="BK59" s="71">
        <f>Financials20263[[#This Row],[Sep AC]]-Financials20263[[#This Row],[Sep FC]]</f>
        <v>-183156.23333333331</v>
      </c>
      <c r="BL59" s="71">
        <f>Financials20263[[#This Row],[Oct AC]]-Financials20263[[#This Row],[Oct FC]]</f>
        <v>-183156.23333333331</v>
      </c>
      <c r="BM59" s="71">
        <f>Financials20263[[#This Row],[Nov AC]]-Financials20263[[#This Row],[Nov FC]]</f>
        <v>-183156.23333333331</v>
      </c>
      <c r="BN59" s="71">
        <f>Financials20263[[#This Row],[Dec AC]]-Financials20263[[#This Row],[Dec FC]]</f>
        <v>-183156.23333333331</v>
      </c>
      <c r="BO59" s="71">
        <f>SUM(Financials20263[[#This Row],[Jan Opp/Risk]:[Dec Opp./Risk]])</f>
        <v>-1282093.6333333333</v>
      </c>
      <c r="BP59" s="86"/>
      <c r="BQ59" s="47">
        <f>SUM(Financials20263[[#This Row],[Jan AC]:[May AC]])</f>
        <v>791827.08333333326</v>
      </c>
      <c r="BR59" s="6">
        <f>Financials20263[[#This Row],[2026 (Actuals + Forecast)]]-Financials20263[[#This Row],[Jan-May Actuals]]-Financials20263[[#This Row],[Jun-Dec FC]]</f>
        <v>0</v>
      </c>
      <c r="BS59" s="6">
        <f>Financials20263[[#This Row],[Jun-Dec FC]]+Financials20263[[#This Row],[Jan-May Forecast ]]</f>
        <v>1282093.6333333333</v>
      </c>
      <c r="BT59" s="6">
        <f>SUM(Financials20263[[#This Row],[Jan FC]:[May FC]])</f>
        <v>791827.08333333326</v>
      </c>
      <c r="BU59" s="6">
        <f>Financials20263[[#This Row],[Jan-May Actuals]]+Financials20263[[#This Row],[Forecast Jun-Dec]]</f>
        <v>2073920.7166666666</v>
      </c>
      <c r="BV59" s="6"/>
      <c r="BW59" s="6"/>
      <c r="BX59" s="6"/>
    </row>
    <row r="60" spans="1:76">
      <c r="A60" s="22" t="s">
        <v>473</v>
      </c>
      <c r="B60" s="21" t="s">
        <v>312</v>
      </c>
      <c r="C60" s="21" t="s">
        <v>673</v>
      </c>
      <c r="D60" s="10" t="s">
        <v>661</v>
      </c>
      <c r="E60" s="7" t="s">
        <v>662</v>
      </c>
      <c r="F60" s="3" t="s">
        <v>91</v>
      </c>
      <c r="G60" s="3" t="s">
        <v>21</v>
      </c>
      <c r="H60" s="4">
        <v>45822</v>
      </c>
      <c r="I60" s="4">
        <v>46186</v>
      </c>
      <c r="J60" s="3" t="s">
        <v>674</v>
      </c>
      <c r="K60" s="3" t="str">
        <f t="shared" si="0"/>
        <v>Prj000410-Support - Tech Enablement 2026</v>
      </c>
      <c r="L60" s="21" t="s">
        <v>478</v>
      </c>
      <c r="M60" s="21" t="s">
        <v>16</v>
      </c>
      <c r="N60" s="21" t="s">
        <v>16</v>
      </c>
      <c r="O60" s="21"/>
      <c r="P60" s="21" t="s">
        <v>479</v>
      </c>
      <c r="Q60" s="21" t="s">
        <v>480</v>
      </c>
      <c r="R60" s="21" t="s">
        <v>480</v>
      </c>
      <c r="S60" s="21" t="s">
        <v>481</v>
      </c>
      <c r="T60" s="5">
        <v>174358</v>
      </c>
      <c r="U60" s="15">
        <v>307613.80000000005</v>
      </c>
      <c r="V60" s="15">
        <v>307613.80000000005</v>
      </c>
      <c r="W60" s="15">
        <f t="shared" si="1"/>
        <v>305666.66666666669</v>
      </c>
      <c r="X60" s="15">
        <f t="shared" si="7"/>
        <v>-1947.1333333333605</v>
      </c>
      <c r="Y60" s="15">
        <f t="shared" si="2"/>
        <v>0</v>
      </c>
      <c r="Z60" s="15">
        <f>SUM(Financials20263[[#This Row],[2026 Opportunity]:[2026 Risk]])</f>
        <v>-1947.1333333333605</v>
      </c>
      <c r="AA60" s="3" t="s">
        <v>675</v>
      </c>
      <c r="AB60" s="51">
        <v>24908.333333333332</v>
      </c>
      <c r="AC60" s="51">
        <v>24908.333333333332</v>
      </c>
      <c r="AD60" s="51">
        <v>24908.333333333332</v>
      </c>
      <c r="AE60" s="51">
        <v>24908.333333333332</v>
      </c>
      <c r="AF60" s="51">
        <v>24908.333333333332</v>
      </c>
      <c r="AG60" s="51">
        <v>25875</v>
      </c>
      <c r="AH60" s="51">
        <v>25875</v>
      </c>
      <c r="AI60" s="51">
        <v>25875</v>
      </c>
      <c r="AJ60" s="51">
        <v>25875</v>
      </c>
      <c r="AK60" s="51">
        <v>25875</v>
      </c>
      <c r="AL60" s="51">
        <v>25875</v>
      </c>
      <c r="AM60" s="51">
        <v>25875</v>
      </c>
      <c r="AN60" s="51">
        <f>SUM(Financials20263[[#This Row],[Jan FC]:[Dec FC]])</f>
        <v>305666.66666666663</v>
      </c>
      <c r="AO60" s="15">
        <f t="shared" si="5"/>
        <v>181125</v>
      </c>
      <c r="AP60" s="61">
        <f>298900/12</f>
        <v>24908.333333333332</v>
      </c>
      <c r="AQ60" s="61">
        <f>298900/12</f>
        <v>24908.333333333332</v>
      </c>
      <c r="AR60" s="61">
        <f>298900/12</f>
        <v>24908.333333333332</v>
      </c>
      <c r="AS60" s="61">
        <f>298900/12</f>
        <v>24908.333333333332</v>
      </c>
      <c r="AT60" s="61">
        <f>298900/12</f>
        <v>24908.333333333332</v>
      </c>
      <c r="AU60" s="60">
        <v>25875</v>
      </c>
      <c r="AV60" s="60">
        <v>25875</v>
      </c>
      <c r="AW60" s="60">
        <v>25875</v>
      </c>
      <c r="AX60" s="60">
        <v>25875</v>
      </c>
      <c r="AY60" s="60">
        <v>25875</v>
      </c>
      <c r="AZ60" s="60">
        <v>25875</v>
      </c>
      <c r="BA60" s="60">
        <v>25875</v>
      </c>
      <c r="BB60" s="79">
        <f>SUM(Financials20263[[#This Row],[Jan AC]:[Dec AC]])</f>
        <v>305666.66666666663</v>
      </c>
      <c r="BC60" s="71">
        <f>Financials20263[[#This Row],[Jan AC]]-Financials20263[[#This Row],[Jan FC]]</f>
        <v>0</v>
      </c>
      <c r="BD60" s="71">
        <f>Financials20263[[#This Row],[Feb AC]]-Financials20263[[#This Row],[Feb FC]]</f>
        <v>0</v>
      </c>
      <c r="BE60" s="71">
        <f>Financials20263[[#This Row],[Mar AC]]-Financials20263[[#This Row],[Mar FC]]</f>
        <v>0</v>
      </c>
      <c r="BF60" s="71">
        <f>Financials20263[[#This Row],[Apr AC]]-Financials20263[[#This Row],[Apr FC]]</f>
        <v>0</v>
      </c>
      <c r="BG60" s="71">
        <f>Financials20263[[#This Row],[May AC]]-Financials20263[[#This Row],[May FC]]</f>
        <v>0</v>
      </c>
      <c r="BH60" s="71">
        <f>Financials20263[[#This Row],[Jun AC]]-Financials20263[[#This Row],[Jun FC]]</f>
        <v>0</v>
      </c>
      <c r="BI60" s="71">
        <f>Financials20263[[#This Row],[Jul AC]]-Financials20263[[#This Row],[Jul FC]]</f>
        <v>0</v>
      </c>
      <c r="BJ60" s="71">
        <f>Financials20263[[#This Row],[Aug AC]]-Financials20263[[#This Row],[Aug FC]]</f>
        <v>0</v>
      </c>
      <c r="BK60" s="71">
        <f>Financials20263[[#This Row],[Sep AC]]-Financials20263[[#This Row],[Sep FC]]</f>
        <v>0</v>
      </c>
      <c r="BL60" s="71">
        <f>Financials20263[[#This Row],[Oct AC]]-Financials20263[[#This Row],[Oct FC]]</f>
        <v>0</v>
      </c>
      <c r="BM60" s="71">
        <f>Financials20263[[#This Row],[Nov AC]]-Financials20263[[#This Row],[Nov FC]]</f>
        <v>0</v>
      </c>
      <c r="BN60" s="71">
        <f>Financials20263[[#This Row],[Dec AC]]-Financials20263[[#This Row],[Dec FC]]</f>
        <v>0</v>
      </c>
      <c r="BO60" s="71">
        <f>SUM(Financials20263[[#This Row],[Jan Opp/Risk]:[Dec Opp./Risk]])</f>
        <v>0</v>
      </c>
      <c r="BP60" s="87" t="s">
        <v>676</v>
      </c>
      <c r="BQ60" s="47">
        <f>SUM(Financials20263[[#This Row],[Jan AC]:[May AC]])</f>
        <v>124541.66666666666</v>
      </c>
      <c r="BR60" s="6">
        <f>Financials20263[[#This Row],[2026 (Actuals + Forecast)]]-Financials20263[[#This Row],[Jan-May Actuals]]-Financials20263[[#This Row],[Jun-Dec FC]]</f>
        <v>0</v>
      </c>
      <c r="BS60" s="6">
        <f>Financials20263[[#This Row],[Jun-Dec FC]]+Financials20263[[#This Row],[Jan-May Forecast ]]</f>
        <v>181125</v>
      </c>
      <c r="BT60" s="6">
        <f>SUM(Financials20263[[#This Row],[Jan FC]:[May FC]])</f>
        <v>124541.66666666666</v>
      </c>
      <c r="BU60" s="6">
        <f>Financials20263[[#This Row],[Jan-May Actuals]]+Financials20263[[#This Row],[Forecast Jun-Dec]]</f>
        <v>305666.66666666663</v>
      </c>
      <c r="BV60" s="6"/>
      <c r="BW60" s="6"/>
      <c r="BX60" s="6"/>
    </row>
    <row r="61" spans="1:76">
      <c r="A61" s="22" t="s">
        <v>473</v>
      </c>
      <c r="B61" s="21" t="s">
        <v>211</v>
      </c>
      <c r="C61" s="21" t="s">
        <v>677</v>
      </c>
      <c r="D61" s="10" t="s">
        <v>475</v>
      </c>
      <c r="E61" s="7" t="s">
        <v>476</v>
      </c>
      <c r="F61" s="3" t="s">
        <v>91</v>
      </c>
      <c r="G61" s="3" t="s">
        <v>21</v>
      </c>
      <c r="H61" s="4">
        <v>46010</v>
      </c>
      <c r="I61" s="4">
        <v>46374</v>
      </c>
      <c r="J61" s="3" t="s">
        <v>678</v>
      </c>
      <c r="K61" s="3" t="str">
        <f t="shared" si="0"/>
        <v>Prj000350-Support - Infrastructure for Tech</v>
      </c>
      <c r="L61" s="21" t="s">
        <v>478</v>
      </c>
      <c r="M61" s="21" t="s">
        <v>16</v>
      </c>
      <c r="N61" s="21" t="s">
        <v>16</v>
      </c>
      <c r="O61" s="21" t="s">
        <v>679</v>
      </c>
      <c r="P61" s="21" t="s">
        <v>479</v>
      </c>
      <c r="Q61" s="21" t="s">
        <v>480</v>
      </c>
      <c r="R61" s="21" t="s">
        <v>480</v>
      </c>
      <c r="S61" s="21" t="s">
        <v>481</v>
      </c>
      <c r="T61" s="5">
        <v>437527.60583333333</v>
      </c>
      <c r="U61" s="15">
        <v>361049</v>
      </c>
      <c r="V61" s="15">
        <v>361049</v>
      </c>
      <c r="W61" s="15">
        <f t="shared" si="1"/>
        <v>461680.95416666666</v>
      </c>
      <c r="X61" s="15">
        <f t="shared" si="7"/>
        <v>0</v>
      </c>
      <c r="Y61" s="15">
        <f t="shared" si="2"/>
        <v>100631.95416666666</v>
      </c>
      <c r="Z61" s="15">
        <f>SUM(Financials20263[[#This Row],[2026 Opportunity]:[2026 Risk]])</f>
        <v>100631.95416666666</v>
      </c>
      <c r="AA61" s="3" t="s">
        <v>680</v>
      </c>
      <c r="AB61" s="52">
        <v>41970.995833333327</v>
      </c>
      <c r="AC61" s="52">
        <v>41970.995833333327</v>
      </c>
      <c r="AD61" s="52">
        <v>41970.995833333327</v>
      </c>
      <c r="AE61" s="52">
        <v>41970.995833333327</v>
      </c>
      <c r="AF61" s="52">
        <v>41970.995833333327</v>
      </c>
      <c r="AG61" s="52">
        <v>41970.995833333327</v>
      </c>
      <c r="AH61" s="52">
        <v>41970.995833333327</v>
      </c>
      <c r="AI61" s="52">
        <v>41970.995833333327</v>
      </c>
      <c r="AJ61" s="52">
        <v>41970.995833333327</v>
      </c>
      <c r="AK61" s="52">
        <v>41970.995833333327</v>
      </c>
      <c r="AL61" s="52">
        <v>41970.995833333327</v>
      </c>
      <c r="AM61" s="51"/>
      <c r="AN61" s="51">
        <f>SUM(Financials20263[[#This Row],[Jan FC]:[Dec FC]])</f>
        <v>461680.95416666666</v>
      </c>
      <c r="AO61" s="15">
        <f t="shared" si="5"/>
        <v>251825.97499999995</v>
      </c>
      <c r="AP61" s="61">
        <f t="shared" ref="AP61:AZ61" si="27">((109780.1+393871.85)/12)</f>
        <v>41970.995833333327</v>
      </c>
      <c r="AQ61" s="61">
        <f t="shared" si="27"/>
        <v>41970.995833333327</v>
      </c>
      <c r="AR61" s="61">
        <f t="shared" si="27"/>
        <v>41970.995833333327</v>
      </c>
      <c r="AS61" s="61">
        <f t="shared" si="27"/>
        <v>41970.995833333327</v>
      </c>
      <c r="AT61" s="61">
        <f t="shared" si="27"/>
        <v>41970.995833333327</v>
      </c>
      <c r="AU61" s="61">
        <f t="shared" si="27"/>
        <v>41970.995833333327</v>
      </c>
      <c r="AV61" s="61">
        <f t="shared" si="27"/>
        <v>41970.995833333327</v>
      </c>
      <c r="AW61" s="61">
        <f t="shared" si="27"/>
        <v>41970.995833333327</v>
      </c>
      <c r="AX61" s="61">
        <f t="shared" si="27"/>
        <v>41970.995833333327</v>
      </c>
      <c r="AY61" s="61">
        <f t="shared" si="27"/>
        <v>41970.995833333327</v>
      </c>
      <c r="AZ61" s="61">
        <f t="shared" si="27"/>
        <v>41970.995833333327</v>
      </c>
      <c r="BA61" s="60"/>
      <c r="BB61" s="79">
        <f>SUM(Financials20263[[#This Row],[Jan AC]:[Dec AC]])</f>
        <v>461680.95416666666</v>
      </c>
      <c r="BC61" s="71">
        <f>Financials20263[[#This Row],[Jan AC]]-Financials20263[[#This Row],[Jan FC]]</f>
        <v>0</v>
      </c>
      <c r="BD61" s="71">
        <f>Financials20263[[#This Row],[Feb AC]]-Financials20263[[#This Row],[Feb FC]]</f>
        <v>0</v>
      </c>
      <c r="BE61" s="71">
        <f>Financials20263[[#This Row],[Mar AC]]-Financials20263[[#This Row],[Mar FC]]</f>
        <v>0</v>
      </c>
      <c r="BF61" s="71">
        <f>Financials20263[[#This Row],[Apr AC]]-Financials20263[[#This Row],[Apr FC]]</f>
        <v>0</v>
      </c>
      <c r="BG61" s="71">
        <f>Financials20263[[#This Row],[May AC]]-Financials20263[[#This Row],[May FC]]</f>
        <v>0</v>
      </c>
      <c r="BH61" s="71">
        <f>Financials20263[[#This Row],[Jun AC]]-Financials20263[[#This Row],[Jun FC]]</f>
        <v>0</v>
      </c>
      <c r="BI61" s="71">
        <f>Financials20263[[#This Row],[Jul AC]]-Financials20263[[#This Row],[Jul FC]]</f>
        <v>0</v>
      </c>
      <c r="BJ61" s="71">
        <f>Financials20263[[#This Row],[Aug AC]]-Financials20263[[#This Row],[Aug FC]]</f>
        <v>0</v>
      </c>
      <c r="BK61" s="71">
        <f>Financials20263[[#This Row],[Sep AC]]-Financials20263[[#This Row],[Sep FC]]</f>
        <v>0</v>
      </c>
      <c r="BL61" s="71">
        <f>Financials20263[[#This Row],[Oct AC]]-Financials20263[[#This Row],[Oct FC]]</f>
        <v>0</v>
      </c>
      <c r="BM61" s="71">
        <f>Financials20263[[#This Row],[Nov AC]]-Financials20263[[#This Row],[Nov FC]]</f>
        <v>0</v>
      </c>
      <c r="BN61" s="71">
        <f>Financials20263[[#This Row],[Dec AC]]-Financials20263[[#This Row],[Dec FC]]</f>
        <v>0</v>
      </c>
      <c r="BO61" s="71">
        <f>SUM(Financials20263[[#This Row],[Jan Opp/Risk]:[Dec Opp./Risk]])</f>
        <v>0</v>
      </c>
      <c r="BP61" s="87" t="s">
        <v>681</v>
      </c>
      <c r="BQ61" s="47">
        <f>SUM(Financials20263[[#This Row],[Jan AC]:[May AC]])</f>
        <v>209854.97916666663</v>
      </c>
      <c r="BR61" s="6">
        <f>Financials20263[[#This Row],[2026 (Actuals + Forecast)]]-Financials20263[[#This Row],[Jan-May Actuals]]-Financials20263[[#This Row],[Jun-Dec FC]]</f>
        <v>0</v>
      </c>
      <c r="BS61" s="6">
        <f>Financials20263[[#This Row],[Jun-Dec FC]]+Financials20263[[#This Row],[Jan-May Forecast ]]</f>
        <v>251825.97499999995</v>
      </c>
      <c r="BT61" s="6">
        <f>SUM(Financials20263[[#This Row],[Jan FC]:[May FC]])</f>
        <v>209854.97916666663</v>
      </c>
      <c r="BU61" s="6">
        <f>Financials20263[[#This Row],[Jan-May Actuals]]+Financials20263[[#This Row],[Forecast Jun-Dec]]</f>
        <v>461680.9541666666</v>
      </c>
      <c r="BV61" s="6"/>
      <c r="BW61" s="6"/>
      <c r="BX61" s="6"/>
    </row>
    <row r="62" spans="1:76">
      <c r="A62" s="22" t="s">
        <v>473</v>
      </c>
      <c r="B62" s="21" t="s">
        <v>211</v>
      </c>
      <c r="C62" s="21" t="s">
        <v>677</v>
      </c>
      <c r="D62" s="10" t="s">
        <v>475</v>
      </c>
      <c r="E62" s="7" t="s">
        <v>476</v>
      </c>
      <c r="F62" s="3" t="s">
        <v>91</v>
      </c>
      <c r="G62" s="3" t="s">
        <v>21</v>
      </c>
      <c r="H62" s="4">
        <v>45645</v>
      </c>
      <c r="I62" s="4">
        <v>46009</v>
      </c>
      <c r="J62" s="3" t="s">
        <v>682</v>
      </c>
      <c r="K62" s="3" t="str">
        <f t="shared" si="0"/>
        <v>Prj000350-Support - Infrastructure for Tech</v>
      </c>
      <c r="L62" s="21" t="s">
        <v>478</v>
      </c>
      <c r="M62" s="21" t="s">
        <v>16</v>
      </c>
      <c r="N62" s="21" t="s">
        <v>16</v>
      </c>
      <c r="O62" s="21" t="s">
        <v>683</v>
      </c>
      <c r="P62" s="21" t="s">
        <v>479</v>
      </c>
      <c r="Q62" s="21" t="s">
        <v>480</v>
      </c>
      <c r="R62" s="21" t="s">
        <v>480</v>
      </c>
      <c r="S62" s="21" t="s">
        <v>508</v>
      </c>
      <c r="T62" s="5">
        <v>0</v>
      </c>
      <c r="U62" s="15">
        <v>34875</v>
      </c>
      <c r="V62" s="15">
        <v>34875</v>
      </c>
      <c r="W62" s="15">
        <f t="shared" si="1"/>
        <v>34875</v>
      </c>
      <c r="X62" s="15">
        <f t="shared" si="7"/>
        <v>0</v>
      </c>
      <c r="Y62" s="15">
        <f t="shared" si="2"/>
        <v>0</v>
      </c>
      <c r="Z62" s="15">
        <f>SUM(Financials20263[[#This Row],[2026 Opportunity]:[2026 Risk]])</f>
        <v>0</v>
      </c>
      <c r="AA62" s="3" t="s">
        <v>684</v>
      </c>
      <c r="AB62" s="52"/>
      <c r="AC62" s="52"/>
      <c r="AD62" s="52">
        <v>34875</v>
      </c>
      <c r="AE62" s="52"/>
      <c r="AF62" s="52"/>
      <c r="AG62" s="51"/>
      <c r="AH62" s="52"/>
      <c r="AI62" s="52"/>
      <c r="AJ62" s="52"/>
      <c r="AK62" s="52"/>
      <c r="AL62" s="51"/>
      <c r="AM62" s="51"/>
      <c r="AN62" s="51">
        <f>SUM(Financials20263[[#This Row],[Jan FC]:[Dec FC]])</f>
        <v>34875</v>
      </c>
      <c r="AO62" s="15">
        <f t="shared" si="5"/>
        <v>0</v>
      </c>
      <c r="AP62" s="61"/>
      <c r="AQ62" s="61"/>
      <c r="AR62" s="61"/>
      <c r="AS62" s="61"/>
      <c r="AT62" s="61"/>
      <c r="AU62" s="60"/>
      <c r="AV62" s="61"/>
      <c r="AW62" s="61"/>
      <c r="AX62" s="61"/>
      <c r="AY62" s="61"/>
      <c r="AZ62" s="60"/>
      <c r="BA62" s="60"/>
      <c r="BB62" s="79">
        <f>SUM(Financials20263[[#This Row],[Jan AC]:[Dec AC]])</f>
        <v>0</v>
      </c>
      <c r="BC62" s="71">
        <f>Financials20263[[#This Row],[Jan AC]]-Financials20263[[#This Row],[Jan FC]]</f>
        <v>0</v>
      </c>
      <c r="BD62" s="71">
        <f>Financials20263[[#This Row],[Feb AC]]-Financials20263[[#This Row],[Feb FC]]</f>
        <v>0</v>
      </c>
      <c r="BE62" s="71">
        <f>Financials20263[[#This Row],[Mar AC]]-Financials20263[[#This Row],[Mar FC]]</f>
        <v>-34875</v>
      </c>
      <c r="BF62" s="71">
        <f>Financials20263[[#This Row],[Apr AC]]-Financials20263[[#This Row],[Apr FC]]</f>
        <v>0</v>
      </c>
      <c r="BG62" s="71">
        <f>Financials20263[[#This Row],[May AC]]-Financials20263[[#This Row],[May FC]]</f>
        <v>0</v>
      </c>
      <c r="BH62" s="71">
        <f>Financials20263[[#This Row],[Jun AC]]-Financials20263[[#This Row],[Jun FC]]</f>
        <v>0</v>
      </c>
      <c r="BI62" s="71">
        <f>Financials20263[[#This Row],[Jul AC]]-Financials20263[[#This Row],[Jul FC]]</f>
        <v>0</v>
      </c>
      <c r="BJ62" s="71">
        <f>Financials20263[[#This Row],[Aug AC]]-Financials20263[[#This Row],[Aug FC]]</f>
        <v>0</v>
      </c>
      <c r="BK62" s="71">
        <f>Financials20263[[#This Row],[Sep AC]]-Financials20263[[#This Row],[Sep FC]]</f>
        <v>0</v>
      </c>
      <c r="BL62" s="71">
        <f>Financials20263[[#This Row],[Oct AC]]-Financials20263[[#This Row],[Oct FC]]</f>
        <v>0</v>
      </c>
      <c r="BM62" s="71">
        <f>Financials20263[[#This Row],[Nov AC]]-Financials20263[[#This Row],[Nov FC]]</f>
        <v>0</v>
      </c>
      <c r="BN62" s="71">
        <f>Financials20263[[#This Row],[Dec AC]]-Financials20263[[#This Row],[Dec FC]]</f>
        <v>0</v>
      </c>
      <c r="BO62" s="71">
        <f>SUM(Financials20263[[#This Row],[Jan Opp/Risk]:[Dec Opp./Risk]])</f>
        <v>-34875</v>
      </c>
      <c r="BP62" s="87"/>
      <c r="BQ62" s="47">
        <f>SUM(Financials20263[[#This Row],[Jan AC]:[May AC]])</f>
        <v>0</v>
      </c>
      <c r="BR62" s="6">
        <f>Financials20263[[#This Row],[2026 (Actuals + Forecast)]]-Financials20263[[#This Row],[Jan-May Actuals]]-Financials20263[[#This Row],[Jun-Dec FC]]</f>
        <v>34875</v>
      </c>
      <c r="BS62" s="6">
        <f>Financials20263[[#This Row],[Jun-Dec FC]]+Financials20263[[#This Row],[Jan-May Forecast ]]</f>
        <v>34875</v>
      </c>
      <c r="BT62" s="6">
        <f>SUM(Financials20263[[#This Row],[Jan FC]:[May FC]])</f>
        <v>34875</v>
      </c>
      <c r="BU62" s="6">
        <f>Financials20263[[#This Row],[Jan-May Actuals]]+Financials20263[[#This Row],[Forecast Jun-Dec]]</f>
        <v>34875</v>
      </c>
      <c r="BV62" s="6"/>
      <c r="BW62" s="6"/>
      <c r="BX62" s="6"/>
    </row>
    <row r="63" spans="1:76">
      <c r="A63" s="22" t="s">
        <v>473</v>
      </c>
      <c r="B63" s="21" t="s">
        <v>211</v>
      </c>
      <c r="C63" s="21" t="s">
        <v>677</v>
      </c>
      <c r="D63" s="10" t="s">
        <v>475</v>
      </c>
      <c r="E63" s="7" t="s">
        <v>476</v>
      </c>
      <c r="F63" s="3" t="s">
        <v>91</v>
      </c>
      <c r="G63" s="3" t="s">
        <v>21</v>
      </c>
      <c r="H63" s="4">
        <v>46010</v>
      </c>
      <c r="I63" s="4">
        <v>46374</v>
      </c>
      <c r="J63" s="3" t="s">
        <v>685</v>
      </c>
      <c r="K63" s="3" t="str">
        <f t="shared" si="0"/>
        <v>Prj000350-Support - Infrastructure for Tech</v>
      </c>
      <c r="L63" s="21" t="s">
        <v>478</v>
      </c>
      <c r="M63" s="21" t="s">
        <v>16</v>
      </c>
      <c r="N63" s="21" t="s">
        <v>16</v>
      </c>
      <c r="O63" s="21" t="s">
        <v>686</v>
      </c>
      <c r="P63" s="21" t="s">
        <v>479</v>
      </c>
      <c r="Q63" s="21" t="s">
        <v>480</v>
      </c>
      <c r="R63" s="21" t="s">
        <v>480</v>
      </c>
      <c r="S63" s="21" t="s">
        <v>508</v>
      </c>
      <c r="T63" s="5">
        <v>54369.49</v>
      </c>
      <c r="U63" s="15">
        <v>57087.964500000002</v>
      </c>
      <c r="V63" s="15">
        <v>57087.964500000002</v>
      </c>
      <c r="W63" s="15">
        <f t="shared" si="1"/>
        <v>57087.964500000002</v>
      </c>
      <c r="X63" s="15">
        <f t="shared" si="7"/>
        <v>0</v>
      </c>
      <c r="Y63" s="15">
        <f t="shared" si="2"/>
        <v>0</v>
      </c>
      <c r="Z63" s="15">
        <f>SUM(Financials20263[[#This Row],[2026 Opportunity]:[2026 Risk]])</f>
        <v>0</v>
      </c>
      <c r="AA63" s="3" t="s">
        <v>687</v>
      </c>
      <c r="AB63" s="52"/>
      <c r="AC63" s="52"/>
      <c r="AD63" s="52"/>
      <c r="AE63" s="52"/>
      <c r="AF63" s="52"/>
      <c r="AG63" s="51"/>
      <c r="AH63" s="52"/>
      <c r="AI63" s="52"/>
      <c r="AJ63" s="52"/>
      <c r="AK63" s="52"/>
      <c r="AL63" s="51"/>
      <c r="AM63" s="126">
        <v>57087.964500000002</v>
      </c>
      <c r="AN63" s="51">
        <f>SUM(Financials20263[[#This Row],[Jan FC]:[Dec FC]])</f>
        <v>57087.964500000002</v>
      </c>
      <c r="AO63" s="15">
        <f t="shared" si="5"/>
        <v>57087.964500000002</v>
      </c>
      <c r="AP63" s="61"/>
      <c r="AQ63" s="61"/>
      <c r="AR63" s="61"/>
      <c r="AS63" s="61"/>
      <c r="AT63" s="61"/>
      <c r="AU63" s="60"/>
      <c r="AV63" s="61"/>
      <c r="AW63" s="61"/>
      <c r="AX63" s="61"/>
      <c r="AY63" s="61"/>
      <c r="AZ63" s="60"/>
      <c r="BA63" s="60"/>
      <c r="BB63" s="79">
        <f>SUM(Financials20263[[#This Row],[Jan AC]:[Dec AC]])</f>
        <v>0</v>
      </c>
      <c r="BC63" s="71">
        <f>Financials20263[[#This Row],[Jan AC]]-Financials20263[[#This Row],[Jan FC]]</f>
        <v>0</v>
      </c>
      <c r="BD63" s="71">
        <f>Financials20263[[#This Row],[Feb AC]]-Financials20263[[#This Row],[Feb FC]]</f>
        <v>0</v>
      </c>
      <c r="BE63" s="71">
        <f>Financials20263[[#This Row],[Mar AC]]-Financials20263[[#This Row],[Mar FC]]</f>
        <v>0</v>
      </c>
      <c r="BF63" s="71">
        <f>Financials20263[[#This Row],[Apr AC]]-Financials20263[[#This Row],[Apr FC]]</f>
        <v>0</v>
      </c>
      <c r="BG63" s="71">
        <f>Financials20263[[#This Row],[May AC]]-Financials20263[[#This Row],[May FC]]</f>
        <v>0</v>
      </c>
      <c r="BH63" s="71">
        <f>Financials20263[[#This Row],[Jun AC]]-Financials20263[[#This Row],[Jun FC]]</f>
        <v>0</v>
      </c>
      <c r="BI63" s="71">
        <f>Financials20263[[#This Row],[Jul AC]]-Financials20263[[#This Row],[Jul FC]]</f>
        <v>0</v>
      </c>
      <c r="BJ63" s="71">
        <f>Financials20263[[#This Row],[Aug AC]]-Financials20263[[#This Row],[Aug FC]]</f>
        <v>0</v>
      </c>
      <c r="BK63" s="71">
        <f>Financials20263[[#This Row],[Sep AC]]-Financials20263[[#This Row],[Sep FC]]</f>
        <v>0</v>
      </c>
      <c r="BL63" s="71">
        <f>Financials20263[[#This Row],[Oct AC]]-Financials20263[[#This Row],[Oct FC]]</f>
        <v>0</v>
      </c>
      <c r="BM63" s="71">
        <f>Financials20263[[#This Row],[Nov AC]]-Financials20263[[#This Row],[Nov FC]]</f>
        <v>0</v>
      </c>
      <c r="BN63" s="71">
        <f>Financials20263[[#This Row],[Dec AC]]-Financials20263[[#This Row],[Dec FC]]</f>
        <v>-57087.964500000002</v>
      </c>
      <c r="BO63" s="71">
        <f>SUM(Financials20263[[#This Row],[Jan Opp/Risk]:[Dec Opp./Risk]])</f>
        <v>-57087.964500000002</v>
      </c>
      <c r="BP63" s="87" t="s">
        <v>531</v>
      </c>
      <c r="BQ63" s="47">
        <f>SUM(Financials20263[[#This Row],[Jan AC]:[May AC]])</f>
        <v>0</v>
      </c>
      <c r="BR63" s="6">
        <f>Financials20263[[#This Row],[2026 (Actuals + Forecast)]]-Financials20263[[#This Row],[Jan-May Actuals]]-Financials20263[[#This Row],[Jun-Dec FC]]</f>
        <v>0</v>
      </c>
      <c r="BS63" s="6">
        <f>Financials20263[[#This Row],[Jun-Dec FC]]+Financials20263[[#This Row],[Jan-May Forecast ]]</f>
        <v>57087.964500000002</v>
      </c>
      <c r="BT63" s="6">
        <f>SUM(Financials20263[[#This Row],[Jan FC]:[May FC]])</f>
        <v>0</v>
      </c>
      <c r="BU63" s="6">
        <f>Financials20263[[#This Row],[Jan-May Actuals]]+Financials20263[[#This Row],[Forecast Jun-Dec]]</f>
        <v>57087.964500000002</v>
      </c>
      <c r="BV63" s="6"/>
      <c r="BW63" s="6"/>
      <c r="BX63" s="6"/>
    </row>
    <row r="64" spans="1:76">
      <c r="A64" s="22" t="s">
        <v>473</v>
      </c>
      <c r="B64" s="21" t="s">
        <v>346</v>
      </c>
      <c r="C64" s="21" t="s">
        <v>688</v>
      </c>
      <c r="D64" s="10" t="s">
        <v>594</v>
      </c>
      <c r="E64" s="7" t="s">
        <v>595</v>
      </c>
      <c r="F64" s="3" t="s">
        <v>596</v>
      </c>
      <c r="G64" s="3" t="s">
        <v>22</v>
      </c>
      <c r="H64" s="4">
        <v>45362</v>
      </c>
      <c r="I64" s="4">
        <v>45726</v>
      </c>
      <c r="J64" s="3" t="s">
        <v>689</v>
      </c>
      <c r="K64" s="3" t="str">
        <f t="shared" si="0"/>
        <v>Prj000469-Support - Prod Support for Ops Apps</v>
      </c>
      <c r="L64" s="21" t="s">
        <v>478</v>
      </c>
      <c r="M64" s="21" t="s">
        <v>16</v>
      </c>
      <c r="N64" s="21" t="s">
        <v>16</v>
      </c>
      <c r="O64" s="21"/>
      <c r="P64" s="21" t="s">
        <v>479</v>
      </c>
      <c r="Q64" s="21" t="s">
        <v>480</v>
      </c>
      <c r="R64" s="21" t="s">
        <v>480</v>
      </c>
      <c r="S64" s="21" t="s">
        <v>508</v>
      </c>
      <c r="T64" s="5">
        <v>8034</v>
      </c>
      <c r="U64" s="15">
        <v>8435.7000000000007</v>
      </c>
      <c r="V64" s="15">
        <v>8435.7000000000007</v>
      </c>
      <c r="W64" s="15">
        <f t="shared" si="1"/>
        <v>8436</v>
      </c>
      <c r="X64" s="15">
        <f t="shared" si="7"/>
        <v>0</v>
      </c>
      <c r="Y64" s="15">
        <f t="shared" si="2"/>
        <v>0.2999999999992724</v>
      </c>
      <c r="Z64" s="15">
        <f>SUM(Financials20263[[#This Row],[2026 Opportunity]:[2026 Risk]])</f>
        <v>0.2999999999992724</v>
      </c>
      <c r="AA64" s="3" t="s">
        <v>690</v>
      </c>
      <c r="AB64" s="52"/>
      <c r="AC64" s="52"/>
      <c r="AD64" s="52"/>
      <c r="AE64" s="52"/>
      <c r="AF64" s="52"/>
      <c r="AG64" s="51"/>
      <c r="AH64" s="52"/>
      <c r="AI64" s="52">
        <v>8436</v>
      </c>
      <c r="AJ64" s="52"/>
      <c r="AK64" s="52"/>
      <c r="AL64" s="52"/>
      <c r="AM64" s="52"/>
      <c r="AN64" s="52">
        <f>SUM(Financials20263[[#This Row],[Jan FC]:[Dec FC]])</f>
        <v>8436</v>
      </c>
      <c r="AO64" s="15">
        <f t="shared" si="5"/>
        <v>8436</v>
      </c>
      <c r="AP64" s="61"/>
      <c r="AQ64" s="61"/>
      <c r="AR64" s="61"/>
      <c r="AS64" s="61"/>
      <c r="AT64" s="61"/>
      <c r="AU64" s="60"/>
      <c r="AV64" s="61"/>
      <c r="AW64" s="61"/>
      <c r="AX64" s="61"/>
      <c r="AY64" s="61"/>
      <c r="AZ64" s="61"/>
      <c r="BA64" s="61"/>
      <c r="BB64" s="80">
        <f>SUM(Financials20263[[#This Row],[Jan AC]:[Dec AC]])</f>
        <v>0</v>
      </c>
      <c r="BC64" s="71">
        <f>Financials20263[[#This Row],[Jan AC]]-Financials20263[[#This Row],[Jan FC]]</f>
        <v>0</v>
      </c>
      <c r="BD64" s="71">
        <f>Financials20263[[#This Row],[Feb AC]]-Financials20263[[#This Row],[Feb FC]]</f>
        <v>0</v>
      </c>
      <c r="BE64" s="71">
        <f>Financials20263[[#This Row],[Mar AC]]-Financials20263[[#This Row],[Mar FC]]</f>
        <v>0</v>
      </c>
      <c r="BF64" s="71">
        <f>Financials20263[[#This Row],[Apr AC]]-Financials20263[[#This Row],[Apr FC]]</f>
        <v>0</v>
      </c>
      <c r="BG64" s="71">
        <f>Financials20263[[#This Row],[May AC]]-Financials20263[[#This Row],[May FC]]</f>
        <v>0</v>
      </c>
      <c r="BH64" s="71">
        <f>Financials20263[[#This Row],[Jun AC]]-Financials20263[[#This Row],[Jun FC]]</f>
        <v>0</v>
      </c>
      <c r="BI64" s="71">
        <f>Financials20263[[#This Row],[Jul AC]]-Financials20263[[#This Row],[Jul FC]]</f>
        <v>0</v>
      </c>
      <c r="BJ64" s="71">
        <f>Financials20263[[#This Row],[Aug AC]]-Financials20263[[#This Row],[Aug FC]]</f>
        <v>-8436</v>
      </c>
      <c r="BK64" s="71">
        <f>Financials20263[[#This Row],[Sep AC]]-Financials20263[[#This Row],[Sep FC]]</f>
        <v>0</v>
      </c>
      <c r="BL64" s="71">
        <f>Financials20263[[#This Row],[Oct AC]]-Financials20263[[#This Row],[Oct FC]]</f>
        <v>0</v>
      </c>
      <c r="BM64" s="71">
        <f>Financials20263[[#This Row],[Nov AC]]-Financials20263[[#This Row],[Nov FC]]</f>
        <v>0</v>
      </c>
      <c r="BN64" s="71">
        <f>Financials20263[[#This Row],[Dec AC]]-Financials20263[[#This Row],[Dec FC]]</f>
        <v>0</v>
      </c>
      <c r="BO64" s="71">
        <f>SUM(Financials20263[[#This Row],[Jan Opp/Risk]:[Dec Opp./Risk]])</f>
        <v>-8436</v>
      </c>
      <c r="BP64" s="87"/>
      <c r="BQ64" s="47">
        <f>SUM(Financials20263[[#This Row],[Jan AC]:[May AC]])</f>
        <v>0</v>
      </c>
      <c r="BR64" s="6">
        <f>Financials20263[[#This Row],[2026 (Actuals + Forecast)]]-Financials20263[[#This Row],[Jan-May Actuals]]-Financials20263[[#This Row],[Jun-Dec FC]]</f>
        <v>0</v>
      </c>
      <c r="BS64" s="6">
        <f>Financials20263[[#This Row],[Jun-Dec FC]]+Financials20263[[#This Row],[Jan-May Forecast ]]</f>
        <v>8436</v>
      </c>
      <c r="BT64" s="6">
        <f>SUM(Financials20263[[#This Row],[Jan FC]:[May FC]])</f>
        <v>0</v>
      </c>
      <c r="BU64" s="6">
        <f>Financials20263[[#This Row],[Jan-May Actuals]]+Financials20263[[#This Row],[Forecast Jun-Dec]]</f>
        <v>8436</v>
      </c>
      <c r="BV64" s="6"/>
      <c r="BW64" s="6"/>
      <c r="BX64" s="6"/>
    </row>
    <row r="65" spans="1:76">
      <c r="A65" s="22" t="s">
        <v>473</v>
      </c>
      <c r="B65" s="21" t="s">
        <v>378</v>
      </c>
      <c r="C65" s="21" t="s">
        <v>691</v>
      </c>
      <c r="D65" s="10" t="s">
        <v>610</v>
      </c>
      <c r="E65" s="7" t="s">
        <v>611</v>
      </c>
      <c r="F65" s="3" t="s">
        <v>488</v>
      </c>
      <c r="G65" s="3" t="s">
        <v>25</v>
      </c>
      <c r="H65" s="4">
        <v>46110</v>
      </c>
      <c r="I65" s="4">
        <v>46474</v>
      </c>
      <c r="J65" s="3"/>
      <c r="K65" s="3" t="str">
        <f t="shared" si="0"/>
        <v>Prj000446-Implement - Minor Enhancements for Enterprise Apps</v>
      </c>
      <c r="L65" s="21" t="s">
        <v>478</v>
      </c>
      <c r="M65" s="21" t="s">
        <v>16</v>
      </c>
      <c r="N65" s="21" t="s">
        <v>16</v>
      </c>
      <c r="O65" s="21"/>
      <c r="P65" s="21" t="s">
        <v>479</v>
      </c>
      <c r="Q65" s="21" t="s">
        <v>480</v>
      </c>
      <c r="R65" s="21" t="s">
        <v>480</v>
      </c>
      <c r="S65" s="21" t="s">
        <v>508</v>
      </c>
      <c r="T65" s="5">
        <v>69417.919999999998</v>
      </c>
      <c r="U65" s="15">
        <v>72888.816000000006</v>
      </c>
      <c r="V65" s="15">
        <v>72888.816000000006</v>
      </c>
      <c r="W65" s="15">
        <f t="shared" si="1"/>
        <v>69417.919999999998</v>
      </c>
      <c r="X65" s="15">
        <f t="shared" si="7"/>
        <v>-3470.8960000000079</v>
      </c>
      <c r="Y65" s="15">
        <f t="shared" si="2"/>
        <v>0</v>
      </c>
      <c r="Z65" s="15">
        <f>SUM(Financials20263[[#This Row],[2026 Opportunity]:[2026 Risk]])</f>
        <v>-3470.8960000000079</v>
      </c>
      <c r="AA65" s="3" t="s">
        <v>530</v>
      </c>
      <c r="AB65" s="52"/>
      <c r="AC65" s="52"/>
      <c r="AD65" s="52">
        <v>72888.816000000006</v>
      </c>
      <c r="AE65" s="52"/>
      <c r="AF65" s="52"/>
      <c r="AG65" s="51"/>
      <c r="AH65" s="52"/>
      <c r="AI65" s="52"/>
      <c r="AJ65" s="52"/>
      <c r="AK65" s="52"/>
      <c r="AL65" s="52"/>
      <c r="AM65" s="52"/>
      <c r="AN65" s="52">
        <f>SUM(Financials20263[[#This Row],[Jan FC]:[Dec FC]])</f>
        <v>72888.816000000006</v>
      </c>
      <c r="AO65" s="15">
        <f t="shared" si="5"/>
        <v>0</v>
      </c>
      <c r="AP65" s="61"/>
      <c r="AQ65" s="61"/>
      <c r="AR65" s="61">
        <v>69417.919999999998</v>
      </c>
      <c r="AS65" s="61"/>
      <c r="AT65" s="61"/>
      <c r="AU65" s="60"/>
      <c r="AV65" s="61"/>
      <c r="AW65" s="61"/>
      <c r="AX65" s="61"/>
      <c r="AY65" s="61"/>
      <c r="AZ65" s="61"/>
      <c r="BA65" s="61"/>
      <c r="BB65" s="80">
        <f>SUM(Financials20263[[#This Row],[Jan AC]:[Dec AC]])</f>
        <v>69417.919999999998</v>
      </c>
      <c r="BC65" s="71">
        <f>Financials20263[[#This Row],[Jan AC]]-Financials20263[[#This Row],[Jan FC]]</f>
        <v>0</v>
      </c>
      <c r="BD65" s="71">
        <f>Financials20263[[#This Row],[Feb AC]]-Financials20263[[#This Row],[Feb FC]]</f>
        <v>0</v>
      </c>
      <c r="BE65" s="71">
        <f>Financials20263[[#This Row],[Mar AC]]-Financials20263[[#This Row],[Mar FC]]</f>
        <v>-3470.8960000000079</v>
      </c>
      <c r="BF65" s="71">
        <f>Financials20263[[#This Row],[Apr AC]]-Financials20263[[#This Row],[Apr FC]]</f>
        <v>0</v>
      </c>
      <c r="BG65" s="71">
        <f>Financials20263[[#This Row],[May AC]]-Financials20263[[#This Row],[May FC]]</f>
        <v>0</v>
      </c>
      <c r="BH65" s="71">
        <f>Financials20263[[#This Row],[Jun AC]]-Financials20263[[#This Row],[Jun FC]]</f>
        <v>0</v>
      </c>
      <c r="BI65" s="71">
        <f>Financials20263[[#This Row],[Jul AC]]-Financials20263[[#This Row],[Jul FC]]</f>
        <v>0</v>
      </c>
      <c r="BJ65" s="71">
        <f>Financials20263[[#This Row],[Aug AC]]-Financials20263[[#This Row],[Aug FC]]</f>
        <v>0</v>
      </c>
      <c r="BK65" s="71">
        <f>Financials20263[[#This Row],[Sep AC]]-Financials20263[[#This Row],[Sep FC]]</f>
        <v>0</v>
      </c>
      <c r="BL65" s="71">
        <f>Financials20263[[#This Row],[Oct AC]]-Financials20263[[#This Row],[Oct FC]]</f>
        <v>0</v>
      </c>
      <c r="BM65" s="71">
        <f>Financials20263[[#This Row],[Nov AC]]-Financials20263[[#This Row],[Nov FC]]</f>
        <v>0</v>
      </c>
      <c r="BN65" s="71">
        <f>Financials20263[[#This Row],[Dec AC]]-Financials20263[[#This Row],[Dec FC]]</f>
        <v>0</v>
      </c>
      <c r="BO65" s="71">
        <f>SUM(Financials20263[[#This Row],[Jan Opp/Risk]:[Dec Opp./Risk]])</f>
        <v>-3470.8960000000079</v>
      </c>
      <c r="BP65" s="87" t="s">
        <v>531</v>
      </c>
      <c r="BQ65" s="47">
        <f>SUM(Financials20263[[#This Row],[Jan AC]:[May AC]])</f>
        <v>69417.919999999998</v>
      </c>
      <c r="BR65" s="6">
        <f>Financials20263[[#This Row],[2026 (Actuals + Forecast)]]-Financials20263[[#This Row],[Jan-May Actuals]]-Financials20263[[#This Row],[Jun-Dec FC]]</f>
        <v>0</v>
      </c>
      <c r="BS65" s="6">
        <f>Financials20263[[#This Row],[Jun-Dec FC]]+Financials20263[[#This Row],[Jan-May Forecast ]]</f>
        <v>0</v>
      </c>
      <c r="BT65" s="6">
        <f>SUM(Financials20263[[#This Row],[Jan FC]:[May FC]])</f>
        <v>72888.816000000006</v>
      </c>
      <c r="BU65" s="6">
        <f>Financials20263[[#This Row],[Jan-May Actuals]]+Financials20263[[#This Row],[Forecast Jun-Dec]]</f>
        <v>69417.919999999998</v>
      </c>
      <c r="BV65" s="6"/>
      <c r="BW65" s="6"/>
      <c r="BX65" s="6"/>
    </row>
    <row r="66" spans="1:76">
      <c r="A66" s="22" t="s">
        <v>473</v>
      </c>
      <c r="B66" s="21" t="s">
        <v>299</v>
      </c>
      <c r="C66" s="21" t="s">
        <v>692</v>
      </c>
      <c r="D66" s="10" t="s">
        <v>601</v>
      </c>
      <c r="E66" s="7" t="s">
        <v>602</v>
      </c>
      <c r="F66" s="3" t="s">
        <v>43</v>
      </c>
      <c r="G66" s="3" t="s">
        <v>20</v>
      </c>
      <c r="H66" s="4">
        <v>45745</v>
      </c>
      <c r="I66" s="4">
        <v>46109</v>
      </c>
      <c r="J66" s="3" t="s">
        <v>693</v>
      </c>
      <c r="K66" s="3" t="str">
        <f t="shared" ref="K66:K129" si="28">D66 &amp; "-" &amp;E66</f>
        <v>Prj000458-Support - Data Analytics Office</v>
      </c>
      <c r="L66" s="21" t="s">
        <v>478</v>
      </c>
      <c r="M66" s="21" t="s">
        <v>16</v>
      </c>
      <c r="N66" s="21" t="s">
        <v>16</v>
      </c>
      <c r="O66" s="21" t="s">
        <v>694</v>
      </c>
      <c r="P66" s="21" t="s">
        <v>479</v>
      </c>
      <c r="Q66" s="21" t="s">
        <v>480</v>
      </c>
      <c r="R66" s="21" t="s">
        <v>480</v>
      </c>
      <c r="S66" s="21" t="s">
        <v>508</v>
      </c>
      <c r="T66" s="5">
        <v>42342.67</v>
      </c>
      <c r="U66" s="15">
        <v>44460.15</v>
      </c>
      <c r="V66" s="15">
        <v>44460.15</v>
      </c>
      <c r="W66" s="15">
        <f t="shared" ref="W66:W129" si="29">AO66+IF(ISBLANK(AP66),AB66,AP66)+IF(ISBLANK(AQ66),AC66,AQ66)+IF(ISBLANK(AR66),AD66,AR66)+IF(ISBLANK(AS66),AE66,AS66)+IF(ISBLANK(AT66),AF66,AT66)</f>
        <v>46713</v>
      </c>
      <c r="X66" s="15">
        <f t="shared" si="7"/>
        <v>0</v>
      </c>
      <c r="Y66" s="15">
        <f t="shared" ref="Y66:Y129" si="30">IF(W66 &gt; V66, W66 - V66, 0)</f>
        <v>2252.8499999999985</v>
      </c>
      <c r="Z66" s="15">
        <f>SUM(Financials20263[[#This Row],[2026 Opportunity]:[2026 Risk]])</f>
        <v>2252.8499999999985</v>
      </c>
      <c r="AA66" s="3"/>
      <c r="AB66" s="52"/>
      <c r="AC66" s="52"/>
      <c r="AD66" s="52">
        <v>44460.15</v>
      </c>
      <c r="AE66" s="52"/>
      <c r="AF66" s="52"/>
      <c r="AG66" s="51"/>
      <c r="AH66" s="52"/>
      <c r="AI66" s="52"/>
      <c r="AJ66" s="52"/>
      <c r="AK66" s="52"/>
      <c r="AL66" s="52"/>
      <c r="AM66" s="52"/>
      <c r="AN66" s="52">
        <f>SUM(Financials20263[[#This Row],[Jan FC]:[Dec FC]])</f>
        <v>44460.15</v>
      </c>
      <c r="AO66" s="15">
        <f t="shared" ref="AO66:AO130" si="31">SUM(AG66:AM66)</f>
        <v>0</v>
      </c>
      <c r="AP66" s="61"/>
      <c r="AQ66" s="61"/>
      <c r="AR66" s="61">
        <v>46713</v>
      </c>
      <c r="AS66" s="61"/>
      <c r="AT66" s="61"/>
      <c r="AU66" s="60"/>
      <c r="AV66" s="61"/>
      <c r="AW66" s="61"/>
      <c r="AX66" s="61"/>
      <c r="AY66" s="61"/>
      <c r="AZ66" s="61"/>
      <c r="BA66" s="61"/>
      <c r="BB66" s="80">
        <f>SUM(Financials20263[[#This Row],[Jan AC]:[Dec AC]])</f>
        <v>46713</v>
      </c>
      <c r="BC66" s="71">
        <f>Financials20263[[#This Row],[Jan AC]]-Financials20263[[#This Row],[Jan FC]]</f>
        <v>0</v>
      </c>
      <c r="BD66" s="71">
        <f>Financials20263[[#This Row],[Feb AC]]-Financials20263[[#This Row],[Feb FC]]</f>
        <v>0</v>
      </c>
      <c r="BE66" s="71">
        <f>Financials20263[[#This Row],[Mar AC]]-Financials20263[[#This Row],[Mar FC]]</f>
        <v>2252.8499999999985</v>
      </c>
      <c r="BF66" s="71">
        <f>Financials20263[[#This Row],[Apr AC]]-Financials20263[[#This Row],[Apr FC]]</f>
        <v>0</v>
      </c>
      <c r="BG66" s="71">
        <f>Financials20263[[#This Row],[May AC]]-Financials20263[[#This Row],[May FC]]</f>
        <v>0</v>
      </c>
      <c r="BH66" s="71">
        <f>Financials20263[[#This Row],[Jun AC]]-Financials20263[[#This Row],[Jun FC]]</f>
        <v>0</v>
      </c>
      <c r="BI66" s="71">
        <f>Financials20263[[#This Row],[Jul AC]]-Financials20263[[#This Row],[Jul FC]]</f>
        <v>0</v>
      </c>
      <c r="BJ66" s="71">
        <f>Financials20263[[#This Row],[Aug AC]]-Financials20263[[#This Row],[Aug FC]]</f>
        <v>0</v>
      </c>
      <c r="BK66" s="71">
        <f>Financials20263[[#This Row],[Sep AC]]-Financials20263[[#This Row],[Sep FC]]</f>
        <v>0</v>
      </c>
      <c r="BL66" s="71">
        <f>Financials20263[[#This Row],[Oct AC]]-Financials20263[[#This Row],[Oct FC]]</f>
        <v>0</v>
      </c>
      <c r="BM66" s="71">
        <f>Financials20263[[#This Row],[Nov AC]]-Financials20263[[#This Row],[Nov FC]]</f>
        <v>0</v>
      </c>
      <c r="BN66" s="71">
        <f>Financials20263[[#This Row],[Dec AC]]-Financials20263[[#This Row],[Dec FC]]</f>
        <v>0</v>
      </c>
      <c r="BO66" s="71">
        <f>SUM(Financials20263[[#This Row],[Jan Opp/Risk]:[Dec Opp./Risk]])</f>
        <v>2252.8499999999985</v>
      </c>
      <c r="BP66" s="87" t="s">
        <v>95</v>
      </c>
      <c r="BQ66" s="47">
        <f>SUM(Financials20263[[#This Row],[Jan AC]:[May AC]])</f>
        <v>46713</v>
      </c>
      <c r="BR66" s="6">
        <f>Financials20263[[#This Row],[2026 (Actuals + Forecast)]]-Financials20263[[#This Row],[Jan-May Actuals]]-Financials20263[[#This Row],[Jun-Dec FC]]</f>
        <v>0</v>
      </c>
      <c r="BS66" s="6">
        <f>Financials20263[[#This Row],[Jun-Dec FC]]+Financials20263[[#This Row],[Jan-May Forecast ]]</f>
        <v>0</v>
      </c>
      <c r="BT66" s="6">
        <f>SUM(Financials20263[[#This Row],[Jan FC]:[May FC]])</f>
        <v>44460.15</v>
      </c>
      <c r="BU66" s="6">
        <f>Financials20263[[#This Row],[Jan-May Actuals]]+Financials20263[[#This Row],[Forecast Jun-Dec]]</f>
        <v>46713</v>
      </c>
      <c r="BV66" s="6"/>
      <c r="BW66" s="6"/>
      <c r="BX66" s="6"/>
    </row>
    <row r="67" spans="1:76">
      <c r="A67" s="22" t="s">
        <v>473</v>
      </c>
      <c r="B67" s="21" t="s">
        <v>355</v>
      </c>
      <c r="C67" s="21" t="s">
        <v>695</v>
      </c>
      <c r="D67" s="10" t="s">
        <v>548</v>
      </c>
      <c r="E67" s="7" t="s">
        <v>549</v>
      </c>
      <c r="F67" s="3" t="s">
        <v>69</v>
      </c>
      <c r="G67" s="3" t="s">
        <v>23</v>
      </c>
      <c r="H67" s="4">
        <v>45962</v>
      </c>
      <c r="I67" s="4">
        <v>46326</v>
      </c>
      <c r="J67" s="3"/>
      <c r="K67" s="3" t="str">
        <f t="shared" si="28"/>
        <v>Prj000426-Implement - Minor Enhancements for Sales</v>
      </c>
      <c r="L67" s="21" t="s">
        <v>478</v>
      </c>
      <c r="M67" s="21" t="s">
        <v>16</v>
      </c>
      <c r="N67" s="21" t="s">
        <v>16</v>
      </c>
      <c r="O67" s="21"/>
      <c r="P67" s="21" t="s">
        <v>479</v>
      </c>
      <c r="Q67" s="21" t="s">
        <v>480</v>
      </c>
      <c r="R67" s="21" t="s">
        <v>480</v>
      </c>
      <c r="S67" s="21" t="s">
        <v>508</v>
      </c>
      <c r="T67" s="5">
        <v>81053.040000000008</v>
      </c>
      <c r="U67" s="15">
        <v>39305.700000000004</v>
      </c>
      <c r="V67" s="15">
        <v>39305.700000000004</v>
      </c>
      <c r="W67" s="15">
        <f t="shared" si="29"/>
        <v>39306</v>
      </c>
      <c r="X67" s="15">
        <f t="shared" si="7"/>
        <v>0</v>
      </c>
      <c r="Y67" s="15">
        <f t="shared" si="30"/>
        <v>0.29999999999563443</v>
      </c>
      <c r="Z67" s="15">
        <f>SUM(Financials20263[[#This Row],[2026 Opportunity]:[2026 Risk]])</f>
        <v>0.29999999999563443</v>
      </c>
      <c r="AA67" s="3" t="s">
        <v>530</v>
      </c>
      <c r="AB67" s="52"/>
      <c r="AC67" s="52"/>
      <c r="AD67" s="52">
        <v>2028</v>
      </c>
      <c r="AE67" s="52">
        <v>780</v>
      </c>
      <c r="AF67" s="52"/>
      <c r="AG67" s="51"/>
      <c r="AH67" s="52"/>
      <c r="AI67" s="52"/>
      <c r="AJ67" s="52"/>
      <c r="AK67" s="52"/>
      <c r="AL67" s="52">
        <f>39306-2028-780</f>
        <v>36498</v>
      </c>
      <c r="AM67" s="52"/>
      <c r="AN67" s="52">
        <f>SUM(Financials20263[[#This Row],[Jan FC]:[Dec FC]])</f>
        <v>39306</v>
      </c>
      <c r="AO67" s="15">
        <f t="shared" si="31"/>
        <v>36498</v>
      </c>
      <c r="AP67" s="61"/>
      <c r="AQ67" s="61"/>
      <c r="AR67" s="61">
        <v>2028</v>
      </c>
      <c r="AS67" s="61">
        <v>780</v>
      </c>
      <c r="AT67" s="61"/>
      <c r="AU67" s="60"/>
      <c r="AV67" s="61"/>
      <c r="AW67" s="61"/>
      <c r="AX67" s="61"/>
      <c r="AY67" s="61"/>
      <c r="AZ67" s="61"/>
      <c r="BA67" s="61"/>
      <c r="BB67" s="80">
        <f>SUM(Financials20263[[#This Row],[Jan AC]:[Dec AC]])</f>
        <v>2808</v>
      </c>
      <c r="BC67" s="71">
        <f>Financials20263[[#This Row],[Jan AC]]-Financials20263[[#This Row],[Jan FC]]</f>
        <v>0</v>
      </c>
      <c r="BD67" s="71">
        <f>Financials20263[[#This Row],[Feb AC]]-Financials20263[[#This Row],[Feb FC]]</f>
        <v>0</v>
      </c>
      <c r="BE67" s="71">
        <f>Financials20263[[#This Row],[Mar AC]]-Financials20263[[#This Row],[Mar FC]]</f>
        <v>0</v>
      </c>
      <c r="BF67" s="71">
        <f>Financials20263[[#This Row],[Apr AC]]-Financials20263[[#This Row],[Apr FC]]</f>
        <v>0</v>
      </c>
      <c r="BG67" s="71">
        <f>Financials20263[[#This Row],[May AC]]-Financials20263[[#This Row],[May FC]]</f>
        <v>0</v>
      </c>
      <c r="BH67" s="71">
        <f>Financials20263[[#This Row],[Jun AC]]-Financials20263[[#This Row],[Jun FC]]</f>
        <v>0</v>
      </c>
      <c r="BI67" s="71">
        <f>Financials20263[[#This Row],[Jul AC]]-Financials20263[[#This Row],[Jul FC]]</f>
        <v>0</v>
      </c>
      <c r="BJ67" s="71">
        <f>Financials20263[[#This Row],[Aug AC]]-Financials20263[[#This Row],[Aug FC]]</f>
        <v>0</v>
      </c>
      <c r="BK67" s="71">
        <f>Financials20263[[#This Row],[Sep AC]]-Financials20263[[#This Row],[Sep FC]]</f>
        <v>0</v>
      </c>
      <c r="BL67" s="71">
        <f>Financials20263[[#This Row],[Oct AC]]-Financials20263[[#This Row],[Oct FC]]</f>
        <v>0</v>
      </c>
      <c r="BM67" s="71">
        <f>Financials20263[[#This Row],[Nov AC]]-Financials20263[[#This Row],[Nov FC]]</f>
        <v>-36498</v>
      </c>
      <c r="BN67" s="71">
        <f>Financials20263[[#This Row],[Dec AC]]-Financials20263[[#This Row],[Dec FC]]</f>
        <v>0</v>
      </c>
      <c r="BO67" s="71">
        <f>SUM(Financials20263[[#This Row],[Jan Opp/Risk]:[Dec Opp./Risk]])</f>
        <v>-36498</v>
      </c>
      <c r="BP67" s="87"/>
      <c r="BQ67" s="47">
        <f>SUM(Financials20263[[#This Row],[Jan AC]:[May AC]])</f>
        <v>2808</v>
      </c>
      <c r="BR67" s="6">
        <f>Financials20263[[#This Row],[2026 (Actuals + Forecast)]]-Financials20263[[#This Row],[Jan-May Actuals]]-Financials20263[[#This Row],[Jun-Dec FC]]</f>
        <v>0</v>
      </c>
      <c r="BS67" s="6">
        <f>Financials20263[[#This Row],[Jun-Dec FC]]+Financials20263[[#This Row],[Jan-May Forecast ]]</f>
        <v>36498</v>
      </c>
      <c r="BT67" s="6">
        <f>SUM(Financials20263[[#This Row],[Jan FC]:[May FC]])</f>
        <v>2808</v>
      </c>
      <c r="BU67" s="6">
        <f>Financials20263[[#This Row],[Jan-May Actuals]]+Financials20263[[#This Row],[Forecast Jun-Dec]]</f>
        <v>39306</v>
      </c>
      <c r="BV67" s="6"/>
      <c r="BW67" s="6"/>
      <c r="BX67" s="6"/>
    </row>
    <row r="68" spans="1:76">
      <c r="A68" s="22" t="s">
        <v>473</v>
      </c>
      <c r="B68" s="21" t="s">
        <v>356</v>
      </c>
      <c r="C68" s="21" t="s">
        <v>696</v>
      </c>
      <c r="D68" s="10" t="s">
        <v>548</v>
      </c>
      <c r="E68" s="7" t="s">
        <v>549</v>
      </c>
      <c r="F68" s="3" t="s">
        <v>69</v>
      </c>
      <c r="G68" s="3" t="s">
        <v>23</v>
      </c>
      <c r="H68" s="4">
        <v>45904</v>
      </c>
      <c r="I68" s="4">
        <v>46268</v>
      </c>
      <c r="J68" s="3" t="s">
        <v>697</v>
      </c>
      <c r="K68" s="3" t="str">
        <f t="shared" si="28"/>
        <v>Prj000426-Implement - Minor Enhancements for Sales</v>
      </c>
      <c r="L68" s="21" t="s">
        <v>478</v>
      </c>
      <c r="M68" s="21" t="s">
        <v>16</v>
      </c>
      <c r="N68" s="21" t="s">
        <v>16</v>
      </c>
      <c r="O68" s="21"/>
      <c r="P68" s="21" t="s">
        <v>479</v>
      </c>
      <c r="Q68" s="21" t="s">
        <v>480</v>
      </c>
      <c r="R68" s="21" t="s">
        <v>480</v>
      </c>
      <c r="S68" s="21" t="s">
        <v>481</v>
      </c>
      <c r="T68" s="5">
        <v>43706</v>
      </c>
      <c r="U68" s="15">
        <v>174825</v>
      </c>
      <c r="V68" s="15">
        <v>174825</v>
      </c>
      <c r="W68" s="15">
        <f t="shared" si="29"/>
        <v>174825</v>
      </c>
      <c r="X68" s="15">
        <f t="shared" si="7"/>
        <v>0</v>
      </c>
      <c r="Y68" s="15">
        <f t="shared" si="30"/>
        <v>0</v>
      </c>
      <c r="Z68" s="15">
        <f>SUM(Financials20263[[#This Row],[2026 Opportunity]:[2026 Risk]])</f>
        <v>0</v>
      </c>
      <c r="AA68" s="3" t="s">
        <v>698</v>
      </c>
      <c r="AB68" s="52">
        <f t="shared" ref="AB68:AX68" si="32">174825/12</f>
        <v>14568.75</v>
      </c>
      <c r="AC68" s="52">
        <f t="shared" si="32"/>
        <v>14568.75</v>
      </c>
      <c r="AD68" s="52">
        <f t="shared" si="32"/>
        <v>14568.75</v>
      </c>
      <c r="AE68" s="52">
        <f t="shared" si="32"/>
        <v>14568.75</v>
      </c>
      <c r="AF68" s="52">
        <f t="shared" si="32"/>
        <v>14568.75</v>
      </c>
      <c r="AG68" s="52">
        <f t="shared" si="32"/>
        <v>14568.75</v>
      </c>
      <c r="AH68" s="52">
        <f t="shared" si="32"/>
        <v>14568.75</v>
      </c>
      <c r="AI68" s="52">
        <f t="shared" si="32"/>
        <v>14568.75</v>
      </c>
      <c r="AJ68" s="52">
        <f t="shared" si="32"/>
        <v>14568.75</v>
      </c>
      <c r="AK68" s="52">
        <f t="shared" si="32"/>
        <v>14568.75</v>
      </c>
      <c r="AL68" s="52">
        <f t="shared" si="32"/>
        <v>14568.75</v>
      </c>
      <c r="AM68" s="52">
        <f t="shared" si="32"/>
        <v>14568.75</v>
      </c>
      <c r="AN68" s="52">
        <f>SUM(Financials20263[[#This Row],[Jan FC]:[Dec FC]])</f>
        <v>174825</v>
      </c>
      <c r="AO68" s="15">
        <f t="shared" si="31"/>
        <v>101981.25</v>
      </c>
      <c r="AP68" s="61">
        <f t="shared" si="32"/>
        <v>14568.75</v>
      </c>
      <c r="AQ68" s="61">
        <f t="shared" si="32"/>
        <v>14568.75</v>
      </c>
      <c r="AR68" s="61">
        <f t="shared" si="32"/>
        <v>14568.75</v>
      </c>
      <c r="AS68" s="61">
        <f t="shared" si="32"/>
        <v>14568.75</v>
      </c>
      <c r="AT68" s="61">
        <f t="shared" si="32"/>
        <v>14568.75</v>
      </c>
      <c r="AU68" s="61">
        <f t="shared" si="32"/>
        <v>14568.75</v>
      </c>
      <c r="AV68" s="61">
        <f t="shared" si="32"/>
        <v>14568.75</v>
      </c>
      <c r="AW68" s="61">
        <f t="shared" si="32"/>
        <v>14568.75</v>
      </c>
      <c r="AX68" s="61">
        <f t="shared" si="32"/>
        <v>14568.75</v>
      </c>
      <c r="AY68" s="61"/>
      <c r="AZ68" s="61"/>
      <c r="BA68" s="61"/>
      <c r="BB68" s="80">
        <f>SUM(Financials20263[[#This Row],[Jan AC]:[Dec AC]])</f>
        <v>131118.75</v>
      </c>
      <c r="BC68" s="71">
        <f>Financials20263[[#This Row],[Jan AC]]-Financials20263[[#This Row],[Jan FC]]</f>
        <v>0</v>
      </c>
      <c r="BD68" s="71">
        <f>Financials20263[[#This Row],[Feb AC]]-Financials20263[[#This Row],[Feb FC]]</f>
        <v>0</v>
      </c>
      <c r="BE68" s="71">
        <f>Financials20263[[#This Row],[Mar AC]]-Financials20263[[#This Row],[Mar FC]]</f>
        <v>0</v>
      </c>
      <c r="BF68" s="71">
        <f>Financials20263[[#This Row],[Apr AC]]-Financials20263[[#This Row],[Apr FC]]</f>
        <v>0</v>
      </c>
      <c r="BG68" s="71">
        <f>Financials20263[[#This Row],[May AC]]-Financials20263[[#This Row],[May FC]]</f>
        <v>0</v>
      </c>
      <c r="BH68" s="71">
        <f>Financials20263[[#This Row],[Jun AC]]-Financials20263[[#This Row],[Jun FC]]</f>
        <v>0</v>
      </c>
      <c r="BI68" s="71">
        <f>Financials20263[[#This Row],[Jul AC]]-Financials20263[[#This Row],[Jul FC]]</f>
        <v>0</v>
      </c>
      <c r="BJ68" s="71">
        <f>Financials20263[[#This Row],[Aug AC]]-Financials20263[[#This Row],[Aug FC]]</f>
        <v>0</v>
      </c>
      <c r="BK68" s="71">
        <f>Financials20263[[#This Row],[Sep AC]]-Financials20263[[#This Row],[Sep FC]]</f>
        <v>0</v>
      </c>
      <c r="BL68" s="71">
        <f>Financials20263[[#This Row],[Oct AC]]-Financials20263[[#This Row],[Oct FC]]</f>
        <v>-14568.75</v>
      </c>
      <c r="BM68" s="71">
        <f>Financials20263[[#This Row],[Nov AC]]-Financials20263[[#This Row],[Nov FC]]</f>
        <v>-14568.75</v>
      </c>
      <c r="BN68" s="71">
        <f>Financials20263[[#This Row],[Dec AC]]-Financials20263[[#This Row],[Dec FC]]</f>
        <v>-14568.75</v>
      </c>
      <c r="BO68" s="71">
        <f>SUM(Financials20263[[#This Row],[Jan Opp/Risk]:[Dec Opp./Risk]])</f>
        <v>-43706.25</v>
      </c>
      <c r="BP68" s="87"/>
      <c r="BQ68" s="47">
        <f>SUM(Financials20263[[#This Row],[Jan AC]:[May AC]])</f>
        <v>72843.75</v>
      </c>
      <c r="BR68" s="6">
        <f>Financials20263[[#This Row],[2026 (Actuals + Forecast)]]-Financials20263[[#This Row],[Jan-May Actuals]]-Financials20263[[#This Row],[Jun-Dec FC]]</f>
        <v>0</v>
      </c>
      <c r="BS68" s="6">
        <f>Financials20263[[#This Row],[Jun-Dec FC]]+Financials20263[[#This Row],[Jan-May Forecast ]]</f>
        <v>101981.25</v>
      </c>
      <c r="BT68" s="6">
        <f>SUM(Financials20263[[#This Row],[Jan FC]:[May FC]])</f>
        <v>72843.75</v>
      </c>
      <c r="BU68" s="6">
        <f>Financials20263[[#This Row],[Jan-May Actuals]]+Financials20263[[#This Row],[Forecast Jun-Dec]]</f>
        <v>174825</v>
      </c>
      <c r="BV68" s="6"/>
      <c r="BW68" s="6"/>
      <c r="BX68" s="6"/>
    </row>
    <row r="69" spans="1:76">
      <c r="A69" s="22" t="s">
        <v>473</v>
      </c>
      <c r="B69" s="21" t="s">
        <v>319</v>
      </c>
      <c r="C69" s="21" t="s">
        <v>699</v>
      </c>
      <c r="D69" s="10" t="s">
        <v>618</v>
      </c>
      <c r="E69" s="7" t="s">
        <v>619</v>
      </c>
      <c r="F69" s="3" t="s">
        <v>91</v>
      </c>
      <c r="G69" s="3" t="s">
        <v>21</v>
      </c>
      <c r="H69" s="4">
        <v>45983</v>
      </c>
      <c r="I69" s="4">
        <v>46347</v>
      </c>
      <c r="J69" s="3"/>
      <c r="K69" s="3" t="str">
        <f t="shared" si="28"/>
        <v>Prj000342-Support - Site Reliability Engineering for Tech</v>
      </c>
      <c r="L69" s="21" t="s">
        <v>478</v>
      </c>
      <c r="M69" s="21" t="s">
        <v>16</v>
      </c>
      <c r="N69" s="21" t="s">
        <v>16</v>
      </c>
      <c r="O69" s="21"/>
      <c r="P69" s="21" t="s">
        <v>479</v>
      </c>
      <c r="Q69" s="21" t="s">
        <v>480</v>
      </c>
      <c r="R69" s="21" t="s">
        <v>480</v>
      </c>
      <c r="S69" s="21" t="s">
        <v>508</v>
      </c>
      <c r="T69" s="5">
        <v>4895</v>
      </c>
      <c r="U69" s="15">
        <v>5407.5</v>
      </c>
      <c r="V69" s="15">
        <v>5407.5</v>
      </c>
      <c r="W69" s="15">
        <f t="shared" si="29"/>
        <v>5407.5</v>
      </c>
      <c r="X69" s="15">
        <f t="shared" si="7"/>
        <v>0</v>
      </c>
      <c r="Y69" s="15">
        <f t="shared" si="30"/>
        <v>0</v>
      </c>
      <c r="Z69" s="15">
        <f>SUM(Financials20263[[#This Row],[2026 Opportunity]:[2026 Risk]])</f>
        <v>0</v>
      </c>
      <c r="AA69" s="3" t="s">
        <v>530</v>
      </c>
      <c r="AB69" s="52"/>
      <c r="AC69" s="52"/>
      <c r="AD69" s="52"/>
      <c r="AE69" s="52"/>
      <c r="AF69" s="52"/>
      <c r="AG69" s="52"/>
      <c r="AH69" s="52"/>
      <c r="AI69" s="52"/>
      <c r="AJ69" s="52"/>
      <c r="AK69" s="52"/>
      <c r="AL69" s="52"/>
      <c r="AM69" s="52">
        <v>5407.5</v>
      </c>
      <c r="AN69" s="52">
        <f>SUM(Financials20263[[#This Row],[Jan FC]:[Dec FC]])</f>
        <v>5407.5</v>
      </c>
      <c r="AO69" s="15">
        <f t="shared" si="31"/>
        <v>5407.5</v>
      </c>
      <c r="AP69" s="61"/>
      <c r="AQ69" s="61"/>
      <c r="AR69" s="61"/>
      <c r="AS69" s="61"/>
      <c r="AT69" s="61"/>
      <c r="AU69" s="61"/>
      <c r="AV69" s="61"/>
      <c r="AW69" s="61"/>
      <c r="AX69" s="61"/>
      <c r="AY69" s="61"/>
      <c r="AZ69" s="61"/>
      <c r="BA69" s="61"/>
      <c r="BB69" s="80">
        <f>SUM(Financials20263[[#This Row],[Jan AC]:[Dec AC]])</f>
        <v>0</v>
      </c>
      <c r="BC69" s="71">
        <f>Financials20263[[#This Row],[Jan AC]]-Financials20263[[#This Row],[Jan FC]]</f>
        <v>0</v>
      </c>
      <c r="BD69" s="71">
        <f>Financials20263[[#This Row],[Feb AC]]-Financials20263[[#This Row],[Feb FC]]</f>
        <v>0</v>
      </c>
      <c r="BE69" s="71">
        <f>Financials20263[[#This Row],[Mar AC]]-Financials20263[[#This Row],[Mar FC]]</f>
        <v>0</v>
      </c>
      <c r="BF69" s="71">
        <f>Financials20263[[#This Row],[Apr AC]]-Financials20263[[#This Row],[Apr FC]]</f>
        <v>0</v>
      </c>
      <c r="BG69" s="71">
        <f>Financials20263[[#This Row],[May AC]]-Financials20263[[#This Row],[May FC]]</f>
        <v>0</v>
      </c>
      <c r="BH69" s="71">
        <f>Financials20263[[#This Row],[Jun AC]]-Financials20263[[#This Row],[Jun FC]]</f>
        <v>0</v>
      </c>
      <c r="BI69" s="71">
        <f>Financials20263[[#This Row],[Jul AC]]-Financials20263[[#This Row],[Jul FC]]</f>
        <v>0</v>
      </c>
      <c r="BJ69" s="71">
        <f>Financials20263[[#This Row],[Aug AC]]-Financials20263[[#This Row],[Aug FC]]</f>
        <v>0</v>
      </c>
      <c r="BK69" s="71">
        <f>Financials20263[[#This Row],[Sep AC]]-Financials20263[[#This Row],[Sep FC]]</f>
        <v>0</v>
      </c>
      <c r="BL69" s="71">
        <f>Financials20263[[#This Row],[Oct AC]]-Financials20263[[#This Row],[Oct FC]]</f>
        <v>0</v>
      </c>
      <c r="BM69" s="71">
        <f>Financials20263[[#This Row],[Nov AC]]-Financials20263[[#This Row],[Nov FC]]</f>
        <v>0</v>
      </c>
      <c r="BN69" s="71">
        <f>Financials20263[[#This Row],[Dec AC]]-Financials20263[[#This Row],[Dec FC]]</f>
        <v>-5407.5</v>
      </c>
      <c r="BO69" s="71">
        <f>SUM(Financials20263[[#This Row],[Jan Opp/Risk]:[Dec Opp./Risk]])</f>
        <v>-5407.5</v>
      </c>
      <c r="BP69" s="87"/>
      <c r="BQ69" s="47">
        <f>SUM(Financials20263[[#This Row],[Jan AC]:[May AC]])</f>
        <v>0</v>
      </c>
      <c r="BR69" s="6">
        <f>Financials20263[[#This Row],[2026 (Actuals + Forecast)]]-Financials20263[[#This Row],[Jan-May Actuals]]-Financials20263[[#This Row],[Jun-Dec FC]]</f>
        <v>0</v>
      </c>
      <c r="BS69" s="6">
        <f>Financials20263[[#This Row],[Jun-Dec FC]]+Financials20263[[#This Row],[Jan-May Forecast ]]</f>
        <v>5407.5</v>
      </c>
      <c r="BT69" s="6">
        <f>SUM(Financials20263[[#This Row],[Jan FC]:[May FC]])</f>
        <v>0</v>
      </c>
      <c r="BU69" s="6">
        <f>Financials20263[[#This Row],[Jan-May Actuals]]+Financials20263[[#This Row],[Forecast Jun-Dec]]</f>
        <v>5407.5</v>
      </c>
      <c r="BV69" s="6"/>
      <c r="BW69" s="6"/>
      <c r="BX69" s="6"/>
    </row>
    <row r="70" spans="1:76">
      <c r="A70" s="22" t="s">
        <v>473</v>
      </c>
      <c r="B70" s="21" t="s">
        <v>86</v>
      </c>
      <c r="C70" s="21" t="s">
        <v>700</v>
      </c>
      <c r="D70" s="10" t="s">
        <v>475</v>
      </c>
      <c r="E70" s="7" t="s">
        <v>476</v>
      </c>
      <c r="F70" s="3" t="s">
        <v>91</v>
      </c>
      <c r="G70" s="3" t="s">
        <v>21</v>
      </c>
      <c r="H70" s="4">
        <v>45947</v>
      </c>
      <c r="I70" s="4">
        <v>46676</v>
      </c>
      <c r="J70" s="3" t="s">
        <v>701</v>
      </c>
      <c r="K70" s="3" t="str">
        <f t="shared" si="28"/>
        <v>Prj000350-Support - Infrastructure for Tech</v>
      </c>
      <c r="L70" s="21" t="s">
        <v>478</v>
      </c>
      <c r="M70" s="21" t="s">
        <v>16</v>
      </c>
      <c r="N70" s="21" t="s">
        <v>16</v>
      </c>
      <c r="O70" s="21" t="s">
        <v>16</v>
      </c>
      <c r="P70" s="21" t="s">
        <v>479</v>
      </c>
      <c r="Q70" s="21" t="s">
        <v>480</v>
      </c>
      <c r="R70" s="21" t="s">
        <v>480</v>
      </c>
      <c r="S70" s="21" t="s">
        <v>489</v>
      </c>
      <c r="T70" s="5">
        <v>48135.15</v>
      </c>
      <c r="U70" s="15"/>
      <c r="V70" s="15"/>
      <c r="W70" s="15">
        <f t="shared" si="29"/>
        <v>0</v>
      </c>
      <c r="X70" s="15">
        <f t="shared" si="7"/>
        <v>0</v>
      </c>
      <c r="Y70" s="15">
        <f t="shared" si="30"/>
        <v>0</v>
      </c>
      <c r="Z70" s="15">
        <f>SUM(Financials20263[[#This Row],[2026 Opportunity]:[2026 Risk]])</f>
        <v>0</v>
      </c>
      <c r="AA70" s="3" t="s">
        <v>702</v>
      </c>
      <c r="AB70" s="52"/>
      <c r="AC70" s="52"/>
      <c r="AD70" s="52"/>
      <c r="AE70" s="52"/>
      <c r="AF70" s="52"/>
      <c r="AG70" s="51"/>
      <c r="AH70" s="52"/>
      <c r="AI70" s="52"/>
      <c r="AJ70" s="52"/>
      <c r="AK70" s="52"/>
      <c r="AL70" s="52"/>
      <c r="AM70" s="52"/>
      <c r="AN70" s="52">
        <f>SUM(Financials20263[[#This Row],[Jan FC]:[Dec FC]])</f>
        <v>0</v>
      </c>
      <c r="AO70" s="15">
        <f t="shared" si="31"/>
        <v>0</v>
      </c>
      <c r="AP70" s="61"/>
      <c r="AQ70" s="61"/>
      <c r="AR70" s="61"/>
      <c r="AS70" s="61"/>
      <c r="AT70" s="61"/>
      <c r="AU70" s="60"/>
      <c r="AV70" s="61"/>
      <c r="AW70" s="61"/>
      <c r="AX70" s="61"/>
      <c r="AY70" s="61"/>
      <c r="AZ70" s="61"/>
      <c r="BA70" s="61"/>
      <c r="BB70" s="80">
        <f>SUM(Financials20263[[#This Row],[Jan AC]:[Dec AC]])</f>
        <v>0</v>
      </c>
      <c r="BC70" s="71">
        <f>Financials20263[[#This Row],[Jan AC]]-Financials20263[[#This Row],[Jan FC]]</f>
        <v>0</v>
      </c>
      <c r="BD70" s="71">
        <f>Financials20263[[#This Row],[Feb AC]]-Financials20263[[#This Row],[Feb FC]]</f>
        <v>0</v>
      </c>
      <c r="BE70" s="71">
        <f>Financials20263[[#This Row],[Mar AC]]-Financials20263[[#This Row],[Mar FC]]</f>
        <v>0</v>
      </c>
      <c r="BF70" s="71">
        <f>Financials20263[[#This Row],[Apr AC]]-Financials20263[[#This Row],[Apr FC]]</f>
        <v>0</v>
      </c>
      <c r="BG70" s="71">
        <f>Financials20263[[#This Row],[May AC]]-Financials20263[[#This Row],[May FC]]</f>
        <v>0</v>
      </c>
      <c r="BH70" s="71">
        <f>Financials20263[[#This Row],[Jun AC]]-Financials20263[[#This Row],[Jun FC]]</f>
        <v>0</v>
      </c>
      <c r="BI70" s="71">
        <f>Financials20263[[#This Row],[Jul AC]]-Financials20263[[#This Row],[Jul FC]]</f>
        <v>0</v>
      </c>
      <c r="BJ70" s="71">
        <f>Financials20263[[#This Row],[Aug AC]]-Financials20263[[#This Row],[Aug FC]]</f>
        <v>0</v>
      </c>
      <c r="BK70" s="71">
        <f>Financials20263[[#This Row],[Sep AC]]-Financials20263[[#This Row],[Sep FC]]</f>
        <v>0</v>
      </c>
      <c r="BL70" s="71">
        <f>Financials20263[[#This Row],[Oct AC]]-Financials20263[[#This Row],[Oct FC]]</f>
        <v>0</v>
      </c>
      <c r="BM70" s="71">
        <f>Financials20263[[#This Row],[Nov AC]]-Financials20263[[#This Row],[Nov FC]]</f>
        <v>0</v>
      </c>
      <c r="BN70" s="71">
        <f>Financials20263[[#This Row],[Dec AC]]-Financials20263[[#This Row],[Dec FC]]</f>
        <v>0</v>
      </c>
      <c r="BO70" s="71">
        <f>SUM(Financials20263[[#This Row],[Jan Opp/Risk]:[Dec Opp./Risk]])</f>
        <v>0</v>
      </c>
      <c r="BP70" s="87"/>
      <c r="BQ70" s="47">
        <f>SUM(Financials20263[[#This Row],[Jan AC]:[May AC]])</f>
        <v>0</v>
      </c>
      <c r="BR70" s="6">
        <f>Financials20263[[#This Row],[2026 (Actuals + Forecast)]]-Financials20263[[#This Row],[Jan-May Actuals]]-Financials20263[[#This Row],[Jun-Dec FC]]</f>
        <v>0</v>
      </c>
      <c r="BS70" s="6">
        <f>Financials20263[[#This Row],[Jun-Dec FC]]+Financials20263[[#This Row],[Jan-May Forecast ]]</f>
        <v>0</v>
      </c>
      <c r="BT70" s="6">
        <f>SUM(Financials20263[[#This Row],[Jan FC]:[May FC]])</f>
        <v>0</v>
      </c>
      <c r="BU70" s="6">
        <f>Financials20263[[#This Row],[Jan-May Actuals]]+Financials20263[[#This Row],[Forecast Jun-Dec]]</f>
        <v>0</v>
      </c>
      <c r="BV70" s="6"/>
      <c r="BW70" s="6"/>
      <c r="BX70" s="6"/>
    </row>
    <row r="71" spans="1:76">
      <c r="A71" s="22" t="s">
        <v>473</v>
      </c>
      <c r="B71" s="21" t="s">
        <v>86</v>
      </c>
      <c r="C71" s="21" t="s">
        <v>700</v>
      </c>
      <c r="D71" s="10" t="s">
        <v>574</v>
      </c>
      <c r="E71" s="7" t="s">
        <v>575</v>
      </c>
      <c r="F71" s="3" t="s">
        <v>561</v>
      </c>
      <c r="G71" s="3" t="s">
        <v>20</v>
      </c>
      <c r="H71" s="4">
        <v>45960</v>
      </c>
      <c r="I71" s="4">
        <v>46324</v>
      </c>
      <c r="J71" s="3" t="s">
        <v>703</v>
      </c>
      <c r="K71" s="3" t="str">
        <f t="shared" si="28"/>
        <v>Prj000467-Support - Enterprise Tech Helpdesk</v>
      </c>
      <c r="L71" s="21" t="s">
        <v>478</v>
      </c>
      <c r="M71" s="21" t="s">
        <v>16</v>
      </c>
      <c r="N71" s="21" t="s">
        <v>16</v>
      </c>
      <c r="O71" s="21" t="s">
        <v>16</v>
      </c>
      <c r="P71" s="21" t="s">
        <v>479</v>
      </c>
      <c r="Q71" s="21" t="s">
        <v>480</v>
      </c>
      <c r="R71" s="21" t="s">
        <v>480</v>
      </c>
      <c r="S71" s="21" t="s">
        <v>508</v>
      </c>
      <c r="T71" s="5">
        <v>94231.349999999991</v>
      </c>
      <c r="U71" s="15">
        <v>98942.917499999996</v>
      </c>
      <c r="V71" s="15">
        <v>98942.917499999996</v>
      </c>
      <c r="W71" s="15">
        <f t="shared" si="29"/>
        <v>98943.23</v>
      </c>
      <c r="X71" s="15">
        <f t="shared" ref="X71:X136" si="33">IF(V71 &gt;= W71, V71 - W71, 0)*-1</f>
        <v>0</v>
      </c>
      <c r="Y71" s="15">
        <f t="shared" si="30"/>
        <v>0.3125</v>
      </c>
      <c r="Z71" s="15">
        <f>SUM(Financials20263[[#This Row],[2026 Opportunity]:[2026 Risk]])</f>
        <v>0.3125</v>
      </c>
      <c r="AA71" s="3" t="s">
        <v>703</v>
      </c>
      <c r="AB71" s="52">
        <v>957</v>
      </c>
      <c r="AC71" s="52"/>
      <c r="AD71" s="52"/>
      <c r="AE71" s="52"/>
      <c r="AF71" s="52"/>
      <c r="AG71" s="51"/>
      <c r="AH71" s="52"/>
      <c r="AI71" s="52"/>
      <c r="AJ71" s="52"/>
      <c r="AK71" s="52">
        <f>98943-957</f>
        <v>97986</v>
      </c>
      <c r="AL71" s="52"/>
      <c r="AM71" s="52"/>
      <c r="AN71" s="52">
        <f>SUM(Financials20263[[#This Row],[Jan FC]:[Dec FC]])</f>
        <v>98943</v>
      </c>
      <c r="AO71" s="15">
        <f t="shared" si="31"/>
        <v>97986</v>
      </c>
      <c r="AP71" s="61">
        <v>957.23</v>
      </c>
      <c r="AQ71" s="61"/>
      <c r="AR71" s="61"/>
      <c r="AS71" s="61"/>
      <c r="AT71" s="61"/>
      <c r="AU71" s="60"/>
      <c r="AV71" s="61"/>
      <c r="AW71" s="61"/>
      <c r="AX71" s="61"/>
      <c r="AY71" s="61"/>
      <c r="AZ71" s="61"/>
      <c r="BA71" s="61"/>
      <c r="BB71" s="80">
        <f>SUM(Financials20263[[#This Row],[Jan AC]:[Dec AC]])</f>
        <v>957.23</v>
      </c>
      <c r="BC71" s="71">
        <f>Financials20263[[#This Row],[Jan AC]]-Financials20263[[#This Row],[Jan FC]]</f>
        <v>0.23000000000001819</v>
      </c>
      <c r="BD71" s="71">
        <f>Financials20263[[#This Row],[Feb AC]]-Financials20263[[#This Row],[Feb FC]]</f>
        <v>0</v>
      </c>
      <c r="BE71" s="71">
        <f>Financials20263[[#This Row],[Mar AC]]-Financials20263[[#This Row],[Mar FC]]</f>
        <v>0</v>
      </c>
      <c r="BF71" s="71">
        <f>Financials20263[[#This Row],[Apr AC]]-Financials20263[[#This Row],[Apr FC]]</f>
        <v>0</v>
      </c>
      <c r="BG71" s="71">
        <f>Financials20263[[#This Row],[May AC]]-Financials20263[[#This Row],[May FC]]</f>
        <v>0</v>
      </c>
      <c r="BH71" s="71">
        <f>Financials20263[[#This Row],[Jun AC]]-Financials20263[[#This Row],[Jun FC]]</f>
        <v>0</v>
      </c>
      <c r="BI71" s="71">
        <f>Financials20263[[#This Row],[Jul AC]]-Financials20263[[#This Row],[Jul FC]]</f>
        <v>0</v>
      </c>
      <c r="BJ71" s="71">
        <f>Financials20263[[#This Row],[Aug AC]]-Financials20263[[#This Row],[Aug FC]]</f>
        <v>0</v>
      </c>
      <c r="BK71" s="71">
        <f>Financials20263[[#This Row],[Sep AC]]-Financials20263[[#This Row],[Sep FC]]</f>
        <v>0</v>
      </c>
      <c r="BL71" s="71">
        <f>Financials20263[[#This Row],[Oct AC]]-Financials20263[[#This Row],[Oct FC]]</f>
        <v>-97986</v>
      </c>
      <c r="BM71" s="71">
        <f>Financials20263[[#This Row],[Nov AC]]-Financials20263[[#This Row],[Nov FC]]</f>
        <v>0</v>
      </c>
      <c r="BN71" s="71">
        <f>Financials20263[[#This Row],[Dec AC]]-Financials20263[[#This Row],[Dec FC]]</f>
        <v>0</v>
      </c>
      <c r="BO71" s="71">
        <f>SUM(Financials20263[[#This Row],[Jan Opp/Risk]:[Dec Opp./Risk]])</f>
        <v>-97985.77</v>
      </c>
      <c r="BP71" s="87"/>
      <c r="BQ71" s="47">
        <f>SUM(Financials20263[[#This Row],[Jan AC]:[May AC]])</f>
        <v>957.23</v>
      </c>
      <c r="BR71" s="6">
        <f>Financials20263[[#This Row],[2026 (Actuals + Forecast)]]-Financials20263[[#This Row],[Jan-May Actuals]]-Financials20263[[#This Row],[Jun-Dec FC]]</f>
        <v>0</v>
      </c>
      <c r="BS71" s="6">
        <f>Financials20263[[#This Row],[Jun-Dec FC]]+Financials20263[[#This Row],[Jan-May Forecast ]]</f>
        <v>97986</v>
      </c>
      <c r="BT71" s="6">
        <f>SUM(Financials20263[[#This Row],[Jan FC]:[May FC]])</f>
        <v>957</v>
      </c>
      <c r="BU71" s="6">
        <f>Financials20263[[#This Row],[Jan-May Actuals]]+Financials20263[[#This Row],[Forecast Jun-Dec]]</f>
        <v>98943.23</v>
      </c>
      <c r="BV71" s="6"/>
      <c r="BW71" s="6"/>
      <c r="BX71" s="6"/>
    </row>
    <row r="72" spans="1:76">
      <c r="A72" s="22" t="s">
        <v>473</v>
      </c>
      <c r="B72" s="21" t="s">
        <v>86</v>
      </c>
      <c r="C72" s="21" t="s">
        <v>700</v>
      </c>
      <c r="D72" s="10" t="s">
        <v>605</v>
      </c>
      <c r="E72" s="7" t="s">
        <v>606</v>
      </c>
      <c r="F72" s="3" t="s">
        <v>43</v>
      </c>
      <c r="G72" s="3" t="s">
        <v>20</v>
      </c>
      <c r="H72" s="4">
        <v>45870</v>
      </c>
      <c r="I72" s="4">
        <v>46234</v>
      </c>
      <c r="J72" s="3" t="s">
        <v>704</v>
      </c>
      <c r="K72" s="3" t="str">
        <f t="shared" si="28"/>
        <v>Prj000548-Implement - Reporting for Internal Audit</v>
      </c>
      <c r="L72" s="21" t="s">
        <v>478</v>
      </c>
      <c r="M72" s="21" t="s">
        <v>16</v>
      </c>
      <c r="N72" s="21" t="s">
        <v>16</v>
      </c>
      <c r="O72" s="21" t="s">
        <v>16</v>
      </c>
      <c r="P72" s="21" t="s">
        <v>479</v>
      </c>
      <c r="Q72" s="21" t="s">
        <v>480</v>
      </c>
      <c r="R72" s="21" t="s">
        <v>480</v>
      </c>
      <c r="S72" s="21" t="s">
        <v>508</v>
      </c>
      <c r="T72" s="5">
        <v>8804.2099999999991</v>
      </c>
      <c r="U72" s="15">
        <v>48667.5</v>
      </c>
      <c r="V72" s="15">
        <v>48667.5</v>
      </c>
      <c r="W72" s="15">
        <f t="shared" si="29"/>
        <v>48667.5</v>
      </c>
      <c r="X72" s="15">
        <f t="shared" si="33"/>
        <v>0</v>
      </c>
      <c r="Y72" s="15">
        <f t="shared" si="30"/>
        <v>0</v>
      </c>
      <c r="Z72" s="15">
        <f>SUM(Financials20263[[#This Row],[2026 Opportunity]:[2026 Risk]])</f>
        <v>0</v>
      </c>
      <c r="AA72" s="3" t="s">
        <v>705</v>
      </c>
      <c r="AB72" s="52"/>
      <c r="AC72" s="52"/>
      <c r="AD72" s="52"/>
      <c r="AE72" s="52"/>
      <c r="AF72" s="52"/>
      <c r="AG72" s="51"/>
      <c r="AH72" s="52"/>
      <c r="AI72" s="52"/>
      <c r="AJ72" s="52"/>
      <c r="AK72" s="52">
        <v>48667.5</v>
      </c>
      <c r="AL72" s="52"/>
      <c r="AM72" s="52"/>
      <c r="AN72" s="52">
        <f>SUM(Financials20263[[#This Row],[Jan FC]:[Dec FC]])</f>
        <v>48667.5</v>
      </c>
      <c r="AO72" s="15">
        <f t="shared" si="31"/>
        <v>48667.5</v>
      </c>
      <c r="AP72" s="61"/>
      <c r="AQ72" s="61"/>
      <c r="AR72" s="61"/>
      <c r="AS72" s="61"/>
      <c r="AT72" s="61"/>
      <c r="AU72" s="60"/>
      <c r="AV72" s="61"/>
      <c r="AW72" s="61"/>
      <c r="AX72" s="61"/>
      <c r="AY72" s="61"/>
      <c r="AZ72" s="61"/>
      <c r="BA72" s="61"/>
      <c r="BB72" s="80">
        <f>SUM(Financials20263[[#This Row],[Jan AC]:[Dec AC]])</f>
        <v>0</v>
      </c>
      <c r="BC72" s="71">
        <f>Financials20263[[#This Row],[Jan AC]]-Financials20263[[#This Row],[Jan FC]]</f>
        <v>0</v>
      </c>
      <c r="BD72" s="71">
        <f>Financials20263[[#This Row],[Feb AC]]-Financials20263[[#This Row],[Feb FC]]</f>
        <v>0</v>
      </c>
      <c r="BE72" s="71">
        <f>Financials20263[[#This Row],[Mar AC]]-Financials20263[[#This Row],[Mar FC]]</f>
        <v>0</v>
      </c>
      <c r="BF72" s="71">
        <f>Financials20263[[#This Row],[Apr AC]]-Financials20263[[#This Row],[Apr FC]]</f>
        <v>0</v>
      </c>
      <c r="BG72" s="71">
        <f>Financials20263[[#This Row],[May AC]]-Financials20263[[#This Row],[May FC]]</f>
        <v>0</v>
      </c>
      <c r="BH72" s="71">
        <f>Financials20263[[#This Row],[Jun AC]]-Financials20263[[#This Row],[Jun FC]]</f>
        <v>0</v>
      </c>
      <c r="BI72" s="71">
        <f>Financials20263[[#This Row],[Jul AC]]-Financials20263[[#This Row],[Jul FC]]</f>
        <v>0</v>
      </c>
      <c r="BJ72" s="71">
        <f>Financials20263[[#This Row],[Aug AC]]-Financials20263[[#This Row],[Aug FC]]</f>
        <v>0</v>
      </c>
      <c r="BK72" s="71">
        <f>Financials20263[[#This Row],[Sep AC]]-Financials20263[[#This Row],[Sep FC]]</f>
        <v>0</v>
      </c>
      <c r="BL72" s="71">
        <f>Financials20263[[#This Row],[Oct AC]]-Financials20263[[#This Row],[Oct FC]]</f>
        <v>-48667.5</v>
      </c>
      <c r="BM72" s="71">
        <f>Financials20263[[#This Row],[Nov AC]]-Financials20263[[#This Row],[Nov FC]]</f>
        <v>0</v>
      </c>
      <c r="BN72" s="71">
        <f>Financials20263[[#This Row],[Dec AC]]-Financials20263[[#This Row],[Dec FC]]</f>
        <v>0</v>
      </c>
      <c r="BO72" s="71">
        <f>SUM(Financials20263[[#This Row],[Jan Opp/Risk]:[Dec Opp./Risk]])</f>
        <v>-48667.5</v>
      </c>
      <c r="BP72" s="87"/>
      <c r="BQ72" s="47">
        <f>SUM(Financials20263[[#This Row],[Jan AC]:[May AC]])</f>
        <v>0</v>
      </c>
      <c r="BR72" s="6">
        <f>Financials20263[[#This Row],[2026 (Actuals + Forecast)]]-Financials20263[[#This Row],[Jan-May Actuals]]-Financials20263[[#This Row],[Jun-Dec FC]]</f>
        <v>0</v>
      </c>
      <c r="BS72" s="6">
        <f>Financials20263[[#This Row],[Jun-Dec FC]]+Financials20263[[#This Row],[Jan-May Forecast ]]</f>
        <v>48667.5</v>
      </c>
      <c r="BT72" s="6">
        <f>SUM(Financials20263[[#This Row],[Jan FC]:[May FC]])</f>
        <v>0</v>
      </c>
      <c r="BU72" s="6">
        <f>Financials20263[[#This Row],[Jan-May Actuals]]+Financials20263[[#This Row],[Forecast Jun-Dec]]</f>
        <v>48667.5</v>
      </c>
      <c r="BV72" s="6"/>
      <c r="BW72" s="6"/>
      <c r="BX72" s="6"/>
    </row>
    <row r="73" spans="1:76">
      <c r="A73" s="22" t="s">
        <v>473</v>
      </c>
      <c r="B73" s="21" t="s">
        <v>86</v>
      </c>
      <c r="C73" s="21" t="s">
        <v>700</v>
      </c>
      <c r="D73" s="10" t="s">
        <v>601</v>
      </c>
      <c r="E73" s="7" t="s">
        <v>602</v>
      </c>
      <c r="F73" s="3" t="s">
        <v>43</v>
      </c>
      <c r="G73" s="3" t="s">
        <v>20</v>
      </c>
      <c r="H73" s="4">
        <v>45896</v>
      </c>
      <c r="I73" s="4">
        <v>46260</v>
      </c>
      <c r="J73" s="3" t="s">
        <v>706</v>
      </c>
      <c r="K73" s="3" t="str">
        <f t="shared" si="28"/>
        <v>Prj000458-Support - Data Analytics Office</v>
      </c>
      <c r="L73" s="21" t="s">
        <v>478</v>
      </c>
      <c r="M73" s="21" t="s">
        <v>16</v>
      </c>
      <c r="N73" s="21" t="s">
        <v>16</v>
      </c>
      <c r="O73" s="21" t="s">
        <v>707</v>
      </c>
      <c r="P73" s="21" t="s">
        <v>479</v>
      </c>
      <c r="Q73" s="21" t="s">
        <v>480</v>
      </c>
      <c r="R73" s="21" t="s">
        <v>480</v>
      </c>
      <c r="S73" s="21" t="s">
        <v>508</v>
      </c>
      <c r="T73" s="5">
        <v>837.46</v>
      </c>
      <c r="U73" s="15">
        <v>68250</v>
      </c>
      <c r="V73" s="15">
        <v>68250</v>
      </c>
      <c r="W73" s="15">
        <f t="shared" si="29"/>
        <v>68250</v>
      </c>
      <c r="X73" s="15">
        <f t="shared" si="33"/>
        <v>0</v>
      </c>
      <c r="Y73" s="15">
        <f t="shared" si="30"/>
        <v>0</v>
      </c>
      <c r="Z73" s="15">
        <f>SUM(Financials20263[[#This Row],[2026 Opportunity]:[2026 Risk]])</f>
        <v>0</v>
      </c>
      <c r="AA73" s="3" t="s">
        <v>708</v>
      </c>
      <c r="AB73" s="52"/>
      <c r="AC73" s="52"/>
      <c r="AD73" s="52"/>
      <c r="AE73" s="52"/>
      <c r="AF73" s="52"/>
      <c r="AG73" s="51"/>
      <c r="AH73" s="52"/>
      <c r="AI73" s="52">
        <v>68250</v>
      </c>
      <c r="AJ73" s="52"/>
      <c r="AK73" s="52"/>
      <c r="AL73" s="52"/>
      <c r="AM73" s="52"/>
      <c r="AN73" s="52">
        <f>SUM(Financials20263[[#This Row],[Jan FC]:[Dec FC]])</f>
        <v>68250</v>
      </c>
      <c r="AO73" s="15">
        <f t="shared" si="31"/>
        <v>68250</v>
      </c>
      <c r="AP73" s="61"/>
      <c r="AQ73" s="61"/>
      <c r="AR73" s="61"/>
      <c r="AS73" s="61"/>
      <c r="AT73" s="61"/>
      <c r="AU73" s="60"/>
      <c r="AV73" s="61"/>
      <c r="AW73" s="61"/>
      <c r="AX73" s="61"/>
      <c r="AY73" s="61"/>
      <c r="AZ73" s="61"/>
      <c r="BA73" s="61"/>
      <c r="BB73" s="80">
        <f>SUM(Financials20263[[#This Row],[Jan AC]:[Dec AC]])</f>
        <v>0</v>
      </c>
      <c r="BC73" s="71">
        <f>Financials20263[[#This Row],[Jan AC]]-Financials20263[[#This Row],[Jan FC]]</f>
        <v>0</v>
      </c>
      <c r="BD73" s="71">
        <f>Financials20263[[#This Row],[Feb AC]]-Financials20263[[#This Row],[Feb FC]]</f>
        <v>0</v>
      </c>
      <c r="BE73" s="71">
        <f>Financials20263[[#This Row],[Mar AC]]-Financials20263[[#This Row],[Mar FC]]</f>
        <v>0</v>
      </c>
      <c r="BF73" s="71">
        <f>Financials20263[[#This Row],[Apr AC]]-Financials20263[[#This Row],[Apr FC]]</f>
        <v>0</v>
      </c>
      <c r="BG73" s="71">
        <f>Financials20263[[#This Row],[May AC]]-Financials20263[[#This Row],[May FC]]</f>
        <v>0</v>
      </c>
      <c r="BH73" s="71">
        <f>Financials20263[[#This Row],[Jun AC]]-Financials20263[[#This Row],[Jun FC]]</f>
        <v>0</v>
      </c>
      <c r="BI73" s="71">
        <f>Financials20263[[#This Row],[Jul AC]]-Financials20263[[#This Row],[Jul FC]]</f>
        <v>0</v>
      </c>
      <c r="BJ73" s="71">
        <f>Financials20263[[#This Row],[Aug AC]]-Financials20263[[#This Row],[Aug FC]]</f>
        <v>-68250</v>
      </c>
      <c r="BK73" s="71">
        <f>Financials20263[[#This Row],[Sep AC]]-Financials20263[[#This Row],[Sep FC]]</f>
        <v>0</v>
      </c>
      <c r="BL73" s="71">
        <f>Financials20263[[#This Row],[Oct AC]]-Financials20263[[#This Row],[Oct FC]]</f>
        <v>0</v>
      </c>
      <c r="BM73" s="71">
        <f>Financials20263[[#This Row],[Nov AC]]-Financials20263[[#This Row],[Nov FC]]</f>
        <v>0</v>
      </c>
      <c r="BN73" s="71">
        <f>Financials20263[[#This Row],[Dec AC]]-Financials20263[[#This Row],[Dec FC]]</f>
        <v>0</v>
      </c>
      <c r="BO73" s="71">
        <f>SUM(Financials20263[[#This Row],[Jan Opp/Risk]:[Dec Opp./Risk]])</f>
        <v>-68250</v>
      </c>
      <c r="BP73" s="87"/>
      <c r="BQ73" s="47">
        <f>SUM(Financials20263[[#This Row],[Jan AC]:[May AC]])</f>
        <v>0</v>
      </c>
      <c r="BR73" s="6">
        <f>Financials20263[[#This Row],[2026 (Actuals + Forecast)]]-Financials20263[[#This Row],[Jan-May Actuals]]-Financials20263[[#This Row],[Jun-Dec FC]]</f>
        <v>0</v>
      </c>
      <c r="BS73" s="6">
        <f>Financials20263[[#This Row],[Jun-Dec FC]]+Financials20263[[#This Row],[Jan-May Forecast ]]</f>
        <v>68250</v>
      </c>
      <c r="BT73" s="6">
        <f>SUM(Financials20263[[#This Row],[Jan FC]:[May FC]])</f>
        <v>0</v>
      </c>
      <c r="BU73" s="6">
        <f>Financials20263[[#This Row],[Jan-May Actuals]]+Financials20263[[#This Row],[Forecast Jun-Dec]]</f>
        <v>68250</v>
      </c>
      <c r="BV73" s="6"/>
      <c r="BW73" s="6"/>
      <c r="BX73" s="6"/>
    </row>
    <row r="74" spans="1:76">
      <c r="A74" s="22" t="s">
        <v>473</v>
      </c>
      <c r="B74" s="21" t="s">
        <v>44</v>
      </c>
      <c r="C74" s="21" t="s">
        <v>709</v>
      </c>
      <c r="D74" s="10" t="s">
        <v>559</v>
      </c>
      <c r="E74" s="7" t="s">
        <v>560</v>
      </c>
      <c r="F74" s="3" t="s">
        <v>561</v>
      </c>
      <c r="G74" s="3" t="s">
        <v>20</v>
      </c>
      <c r="H74" s="4">
        <v>46022</v>
      </c>
      <c r="I74" s="4">
        <v>46386</v>
      </c>
      <c r="J74" s="3" t="s">
        <v>710</v>
      </c>
      <c r="K74" s="3" t="str">
        <f t="shared" si="28"/>
        <v>Prj000403-Support - L2 CoE Management for Tech Horizontals</v>
      </c>
      <c r="L74" s="21" t="s">
        <v>478</v>
      </c>
      <c r="M74" s="21" t="s">
        <v>16</v>
      </c>
      <c r="N74" s="21" t="s">
        <v>16</v>
      </c>
      <c r="O74" s="21" t="s">
        <v>588</v>
      </c>
      <c r="P74" s="21" t="s">
        <v>479</v>
      </c>
      <c r="Q74" s="21" t="s">
        <v>480</v>
      </c>
      <c r="R74" s="21" t="s">
        <v>480</v>
      </c>
      <c r="S74" s="21" t="s">
        <v>508</v>
      </c>
      <c r="T74" s="5">
        <v>96041.64</v>
      </c>
      <c r="U74" s="15">
        <v>100844.1</v>
      </c>
      <c r="V74" s="15">
        <v>100844.1</v>
      </c>
      <c r="W74" s="15">
        <f t="shared" si="29"/>
        <v>96041.64</v>
      </c>
      <c r="X74" s="15">
        <f t="shared" si="33"/>
        <v>-4802.4600000000064</v>
      </c>
      <c r="Y74" s="15">
        <f t="shared" si="30"/>
        <v>0</v>
      </c>
      <c r="Z74" s="15">
        <f>SUM(Financials20263[[#This Row],[2026 Opportunity]:[2026 Risk]])</f>
        <v>-4802.4600000000064</v>
      </c>
      <c r="AA74" s="3" t="s">
        <v>711</v>
      </c>
      <c r="AB74" s="52"/>
      <c r="AC74" s="52">
        <v>100844.1</v>
      </c>
      <c r="AD74" s="52"/>
      <c r="AE74" s="52"/>
      <c r="AF74" s="52"/>
      <c r="AG74" s="52"/>
      <c r="AH74" s="52"/>
      <c r="AI74" s="52"/>
      <c r="AJ74" s="52"/>
      <c r="AK74" s="52"/>
      <c r="AL74" s="52"/>
      <c r="AM74" s="52"/>
      <c r="AN74" s="52">
        <f>SUM(Financials20263[[#This Row],[Jan FC]:[Dec FC]])</f>
        <v>100844.1</v>
      </c>
      <c r="AO74" s="15">
        <f t="shared" si="31"/>
        <v>0</v>
      </c>
      <c r="AP74" s="61"/>
      <c r="AQ74" s="61">
        <v>96041.64</v>
      </c>
      <c r="AR74" s="61"/>
      <c r="AS74" s="61"/>
      <c r="AT74" s="61"/>
      <c r="AU74" s="61"/>
      <c r="AV74" s="61"/>
      <c r="AW74" s="61"/>
      <c r="AX74" s="61"/>
      <c r="AY74" s="61"/>
      <c r="AZ74" s="61"/>
      <c r="BA74" s="61"/>
      <c r="BB74" s="80">
        <f>SUM(Financials20263[[#This Row],[Jan AC]:[Dec AC]])</f>
        <v>96041.64</v>
      </c>
      <c r="BC74" s="71">
        <f>Financials20263[[#This Row],[Jan AC]]-Financials20263[[#This Row],[Jan FC]]</f>
        <v>0</v>
      </c>
      <c r="BD74" s="71">
        <f>Financials20263[[#This Row],[Feb AC]]-Financials20263[[#This Row],[Feb FC]]</f>
        <v>-4802.4600000000064</v>
      </c>
      <c r="BE74" s="71">
        <f>Financials20263[[#This Row],[Mar AC]]-Financials20263[[#This Row],[Mar FC]]</f>
        <v>0</v>
      </c>
      <c r="BF74" s="71">
        <f>Financials20263[[#This Row],[Apr AC]]-Financials20263[[#This Row],[Apr FC]]</f>
        <v>0</v>
      </c>
      <c r="BG74" s="71">
        <f>Financials20263[[#This Row],[May AC]]-Financials20263[[#This Row],[May FC]]</f>
        <v>0</v>
      </c>
      <c r="BH74" s="71">
        <f>Financials20263[[#This Row],[Jun AC]]-Financials20263[[#This Row],[Jun FC]]</f>
        <v>0</v>
      </c>
      <c r="BI74" s="71">
        <f>Financials20263[[#This Row],[Jul AC]]-Financials20263[[#This Row],[Jul FC]]</f>
        <v>0</v>
      </c>
      <c r="BJ74" s="71">
        <f>Financials20263[[#This Row],[Aug AC]]-Financials20263[[#This Row],[Aug FC]]</f>
        <v>0</v>
      </c>
      <c r="BK74" s="71">
        <f>Financials20263[[#This Row],[Sep AC]]-Financials20263[[#This Row],[Sep FC]]</f>
        <v>0</v>
      </c>
      <c r="BL74" s="71">
        <f>Financials20263[[#This Row],[Oct AC]]-Financials20263[[#This Row],[Oct FC]]</f>
        <v>0</v>
      </c>
      <c r="BM74" s="71">
        <f>Financials20263[[#This Row],[Nov AC]]-Financials20263[[#This Row],[Nov FC]]</f>
        <v>0</v>
      </c>
      <c r="BN74" s="71">
        <f>Financials20263[[#This Row],[Dec AC]]-Financials20263[[#This Row],[Dec FC]]</f>
        <v>0</v>
      </c>
      <c r="BO74" s="71">
        <f>SUM(Financials20263[[#This Row],[Jan Opp/Risk]:[Dec Opp./Risk]])</f>
        <v>-4802.4600000000064</v>
      </c>
      <c r="BP74" s="87" t="s">
        <v>531</v>
      </c>
      <c r="BQ74" s="47">
        <f>SUM(Financials20263[[#This Row],[Jan AC]:[May AC]])</f>
        <v>96041.64</v>
      </c>
      <c r="BR74" s="6">
        <f>Financials20263[[#This Row],[2026 (Actuals + Forecast)]]-Financials20263[[#This Row],[Jan-May Actuals]]-Financials20263[[#This Row],[Jun-Dec FC]]</f>
        <v>0</v>
      </c>
      <c r="BS74" s="6">
        <f>Financials20263[[#This Row],[Jun-Dec FC]]+Financials20263[[#This Row],[Jan-May Forecast ]]</f>
        <v>0</v>
      </c>
      <c r="BT74" s="6">
        <f>SUM(Financials20263[[#This Row],[Jan FC]:[May FC]])</f>
        <v>100844.1</v>
      </c>
      <c r="BU74" s="6">
        <f>Financials20263[[#This Row],[Jan-May Actuals]]+Financials20263[[#This Row],[Forecast Jun-Dec]]</f>
        <v>96041.64</v>
      </c>
      <c r="BV74" s="6"/>
      <c r="BW74" s="6"/>
      <c r="BX74" s="6"/>
    </row>
    <row r="75" spans="1:76">
      <c r="A75" s="22" t="s">
        <v>473</v>
      </c>
      <c r="B75" s="21" t="s">
        <v>384</v>
      </c>
      <c r="C75" s="21" t="s">
        <v>712</v>
      </c>
      <c r="D75" s="10" t="s">
        <v>610</v>
      </c>
      <c r="E75" s="7" t="s">
        <v>611</v>
      </c>
      <c r="F75" s="3" t="s">
        <v>488</v>
      </c>
      <c r="G75" s="3" t="s">
        <v>25</v>
      </c>
      <c r="H75" s="4">
        <v>46017</v>
      </c>
      <c r="I75" s="4">
        <v>46381</v>
      </c>
      <c r="J75" s="3" t="s">
        <v>547</v>
      </c>
      <c r="K75" s="3" t="str">
        <f t="shared" si="28"/>
        <v>Prj000446-Implement - Minor Enhancements for Enterprise Apps</v>
      </c>
      <c r="L75" s="21" t="s">
        <v>478</v>
      </c>
      <c r="M75" s="21" t="s">
        <v>16</v>
      </c>
      <c r="N75" s="21" t="s">
        <v>16</v>
      </c>
      <c r="O75" s="21"/>
      <c r="P75" s="21" t="s">
        <v>479</v>
      </c>
      <c r="Q75" s="21" t="s">
        <v>480</v>
      </c>
      <c r="R75" s="21" t="s">
        <v>480</v>
      </c>
      <c r="S75" s="21" t="s">
        <v>508</v>
      </c>
      <c r="T75" s="5">
        <v>71433.45</v>
      </c>
      <c r="U75" s="15">
        <v>70432.698000000004</v>
      </c>
      <c r="V75" s="15">
        <v>70432.698000000004</v>
      </c>
      <c r="W75" s="15">
        <f t="shared" si="29"/>
        <v>70310.907999999996</v>
      </c>
      <c r="X75" s="15">
        <f t="shared" si="33"/>
        <v>-121.79000000000815</v>
      </c>
      <c r="Y75" s="15">
        <f t="shared" si="30"/>
        <v>0</v>
      </c>
      <c r="Z75" s="15">
        <f>SUM(Financials20263[[#This Row],[2026 Opportunity]:[2026 Risk]])</f>
        <v>-121.79000000000815</v>
      </c>
      <c r="AA75" s="3"/>
      <c r="AB75" s="52">
        <v>200</v>
      </c>
      <c r="AC75" s="52">
        <v>200</v>
      </c>
      <c r="AD75" s="52">
        <v>200</v>
      </c>
      <c r="AE75" s="52">
        <v>200</v>
      </c>
      <c r="AF75" s="52">
        <v>200</v>
      </c>
      <c r="AG75" s="52">
        <v>200</v>
      </c>
      <c r="AH75" s="52">
        <v>200</v>
      </c>
      <c r="AI75" s="52">
        <v>200</v>
      </c>
      <c r="AJ75" s="52">
        <v>200</v>
      </c>
      <c r="AK75" s="52">
        <v>200</v>
      </c>
      <c r="AL75" s="52">
        <v>200</v>
      </c>
      <c r="AM75" s="52">
        <v>68232.698000000004</v>
      </c>
      <c r="AN75" s="52">
        <f>SUM(Financials20263[[#This Row],[Jan FC]:[Dec FC]])</f>
        <v>70432.698000000004</v>
      </c>
      <c r="AO75" s="15">
        <f t="shared" si="31"/>
        <v>69432.698000000004</v>
      </c>
      <c r="AP75" s="61">
        <v>161.13999999999999</v>
      </c>
      <c r="AQ75" s="61">
        <v>161.13999999999999</v>
      </c>
      <c r="AR75" s="61">
        <v>185.31</v>
      </c>
      <c r="AS75" s="61">
        <v>185.31</v>
      </c>
      <c r="AT75" s="61">
        <v>185.31</v>
      </c>
      <c r="AU75" s="61"/>
      <c r="AV75" s="61"/>
      <c r="AW75" s="61"/>
      <c r="AX75" s="61"/>
      <c r="AY75" s="61"/>
      <c r="AZ75" s="61"/>
      <c r="BA75" s="61"/>
      <c r="BB75" s="80">
        <f>SUM(Financials20263[[#This Row],[Jan AC]:[Dec AC]])</f>
        <v>878.21</v>
      </c>
      <c r="BC75" s="71">
        <f>Financials20263[[#This Row],[Jan AC]]-Financials20263[[#This Row],[Jan FC]]</f>
        <v>-38.860000000000014</v>
      </c>
      <c r="BD75" s="71">
        <f>Financials20263[[#This Row],[Feb AC]]-Financials20263[[#This Row],[Feb FC]]</f>
        <v>-38.860000000000014</v>
      </c>
      <c r="BE75" s="71">
        <f>Financials20263[[#This Row],[Mar AC]]-Financials20263[[#This Row],[Mar FC]]</f>
        <v>-14.689999999999998</v>
      </c>
      <c r="BF75" s="71">
        <f>Financials20263[[#This Row],[Apr AC]]-Financials20263[[#This Row],[Apr FC]]</f>
        <v>-14.689999999999998</v>
      </c>
      <c r="BG75" s="71">
        <f>Financials20263[[#This Row],[May AC]]-Financials20263[[#This Row],[May FC]]</f>
        <v>-14.689999999999998</v>
      </c>
      <c r="BH75" s="71">
        <f>Financials20263[[#This Row],[Jun AC]]-Financials20263[[#This Row],[Jun FC]]</f>
        <v>-200</v>
      </c>
      <c r="BI75" s="71">
        <f>Financials20263[[#This Row],[Jul AC]]-Financials20263[[#This Row],[Jul FC]]</f>
        <v>-200</v>
      </c>
      <c r="BJ75" s="71">
        <f>Financials20263[[#This Row],[Aug AC]]-Financials20263[[#This Row],[Aug FC]]</f>
        <v>-200</v>
      </c>
      <c r="BK75" s="71">
        <f>Financials20263[[#This Row],[Sep AC]]-Financials20263[[#This Row],[Sep FC]]</f>
        <v>-200</v>
      </c>
      <c r="BL75" s="71">
        <f>Financials20263[[#This Row],[Oct AC]]-Financials20263[[#This Row],[Oct FC]]</f>
        <v>-200</v>
      </c>
      <c r="BM75" s="71">
        <f>Financials20263[[#This Row],[Nov AC]]-Financials20263[[#This Row],[Nov FC]]</f>
        <v>-200</v>
      </c>
      <c r="BN75" s="71">
        <f>Financials20263[[#This Row],[Dec AC]]-Financials20263[[#This Row],[Dec FC]]</f>
        <v>-68232.698000000004</v>
      </c>
      <c r="BO75" s="71">
        <f>SUM(Financials20263[[#This Row],[Jan Opp/Risk]:[Dec Opp./Risk]])</f>
        <v>-69554.487999999998</v>
      </c>
      <c r="BP75" s="87"/>
      <c r="BQ75" s="47">
        <f>SUM(Financials20263[[#This Row],[Jan AC]:[May AC]])</f>
        <v>878.21</v>
      </c>
      <c r="BR75" s="6">
        <f>Financials20263[[#This Row],[2026 (Actuals + Forecast)]]-Financials20263[[#This Row],[Jan-May Actuals]]-Financials20263[[#This Row],[Jun-Dec FC]]</f>
        <v>0</v>
      </c>
      <c r="BS75" s="6">
        <f>Financials20263[[#This Row],[Jun-Dec FC]]+Financials20263[[#This Row],[Jan-May Forecast ]]</f>
        <v>69432.698000000004</v>
      </c>
      <c r="BT75" s="6">
        <f>SUM(Financials20263[[#This Row],[Jan FC]:[May FC]])</f>
        <v>1000</v>
      </c>
      <c r="BU75" s="6">
        <f>Financials20263[[#This Row],[Jan-May Actuals]]+Financials20263[[#This Row],[Forecast Jun-Dec]]</f>
        <v>70310.90800000001</v>
      </c>
      <c r="BV75" s="6"/>
      <c r="BW75" s="6"/>
      <c r="BX75" s="6"/>
    </row>
    <row r="76" spans="1:76">
      <c r="A76" s="22" t="s">
        <v>473</v>
      </c>
      <c r="B76" s="21" t="s">
        <v>366</v>
      </c>
      <c r="C76" s="21" t="s">
        <v>517</v>
      </c>
      <c r="D76" s="10" t="s">
        <v>518</v>
      </c>
      <c r="E76" s="7" t="s">
        <v>519</v>
      </c>
      <c r="F76" s="3" t="s">
        <v>520</v>
      </c>
      <c r="G76" s="3" t="s">
        <v>24</v>
      </c>
      <c r="H76" s="4">
        <v>45831</v>
      </c>
      <c r="I76" s="4">
        <v>46196</v>
      </c>
      <c r="J76" s="3" t="s">
        <v>713</v>
      </c>
      <c r="K76" s="3" t="str">
        <f t="shared" si="28"/>
        <v>Prj000290-Support - Asset Management Applications</v>
      </c>
      <c r="L76" s="21" t="s">
        <v>478</v>
      </c>
      <c r="M76" s="21" t="s">
        <v>16</v>
      </c>
      <c r="N76" s="21" t="s">
        <v>16</v>
      </c>
      <c r="O76" s="21" t="s">
        <v>714</v>
      </c>
      <c r="P76" s="21" t="s">
        <v>479</v>
      </c>
      <c r="Q76" s="21" t="s">
        <v>480</v>
      </c>
      <c r="R76" s="21" t="s">
        <v>480</v>
      </c>
      <c r="S76" s="21" t="s">
        <v>481</v>
      </c>
      <c r="T76" s="5">
        <v>75833</v>
      </c>
      <c r="U76" s="15">
        <v>133245.90000000002</v>
      </c>
      <c r="V76" s="15">
        <v>133245.90000000002</v>
      </c>
      <c r="W76" s="15">
        <f t="shared" si="29"/>
        <v>133246.31666666665</v>
      </c>
      <c r="X76" s="15">
        <f t="shared" si="33"/>
        <v>0</v>
      </c>
      <c r="Y76" s="15">
        <f t="shared" si="30"/>
        <v>0.41666666662786156</v>
      </c>
      <c r="Z76" s="15">
        <f>SUM(Financials20263[[#This Row],[2026 Opportunity]:[2026 Risk]])</f>
        <v>0.41666666662786156</v>
      </c>
      <c r="AA76" s="3" t="s">
        <v>715</v>
      </c>
      <c r="AB76" s="52">
        <v>10832.650000000003</v>
      </c>
      <c r="AC76" s="52">
        <v>10832.650000000003</v>
      </c>
      <c r="AD76" s="52">
        <v>10832.650000000003</v>
      </c>
      <c r="AE76" s="52">
        <v>10832.650000000003</v>
      </c>
      <c r="AF76" s="52">
        <v>10832.650000000003</v>
      </c>
      <c r="AG76" s="52">
        <v>10832.650000000003</v>
      </c>
      <c r="AH76" s="52">
        <v>11375</v>
      </c>
      <c r="AI76" s="52">
        <v>11375</v>
      </c>
      <c r="AJ76" s="52">
        <v>11375</v>
      </c>
      <c r="AK76" s="52">
        <v>11375</v>
      </c>
      <c r="AL76" s="52">
        <v>11375</v>
      </c>
      <c r="AM76" s="52">
        <f>11375-3</f>
        <v>11372</v>
      </c>
      <c r="AN76" s="77">
        <f>SUM(Financials20263[[#This Row],[Jan FC]:[Dec FC]])</f>
        <v>133242.90000000002</v>
      </c>
      <c r="AO76" s="15">
        <f t="shared" si="31"/>
        <v>79079.649999999994</v>
      </c>
      <c r="AP76" s="61">
        <f t="shared" ref="AP76:AU76" si="34">130000/12</f>
        <v>10833.333333333334</v>
      </c>
      <c r="AQ76" s="61">
        <f t="shared" si="34"/>
        <v>10833.333333333334</v>
      </c>
      <c r="AR76" s="61">
        <f t="shared" si="34"/>
        <v>10833.333333333334</v>
      </c>
      <c r="AS76" s="61">
        <f t="shared" si="34"/>
        <v>10833.333333333334</v>
      </c>
      <c r="AT76" s="61">
        <f t="shared" si="34"/>
        <v>10833.333333333334</v>
      </c>
      <c r="AU76" s="61">
        <f t="shared" si="34"/>
        <v>10833.333333333334</v>
      </c>
      <c r="AV76" s="60"/>
      <c r="AW76" s="60"/>
      <c r="AX76" s="60"/>
      <c r="AY76" s="60"/>
      <c r="AZ76" s="60"/>
      <c r="BA76" s="60"/>
      <c r="BB76" s="79">
        <f>SUM(Financials20263[[#This Row],[Jan AC]:[Dec AC]])</f>
        <v>65000.000000000007</v>
      </c>
      <c r="BC76" s="71">
        <f>Financials20263[[#This Row],[Jan AC]]-Financials20263[[#This Row],[Jan FC]]</f>
        <v>0.68333333333066548</v>
      </c>
      <c r="BD76" s="71">
        <f>Financials20263[[#This Row],[Feb AC]]-Financials20263[[#This Row],[Feb FC]]</f>
        <v>0.68333333333066548</v>
      </c>
      <c r="BE76" s="71">
        <f>Financials20263[[#This Row],[Mar AC]]-Financials20263[[#This Row],[Mar FC]]</f>
        <v>0.68333333333066548</v>
      </c>
      <c r="BF76" s="71">
        <f>Financials20263[[#This Row],[Apr AC]]-Financials20263[[#This Row],[Apr FC]]</f>
        <v>0.68333333333066548</v>
      </c>
      <c r="BG76" s="71">
        <f>Financials20263[[#This Row],[May AC]]-Financials20263[[#This Row],[May FC]]</f>
        <v>0.68333333333066548</v>
      </c>
      <c r="BH76" s="71">
        <f>Financials20263[[#This Row],[Jun AC]]-Financials20263[[#This Row],[Jun FC]]</f>
        <v>0.68333333333066548</v>
      </c>
      <c r="BI76" s="71">
        <f>Financials20263[[#This Row],[Jul AC]]-Financials20263[[#This Row],[Jul FC]]</f>
        <v>-11375</v>
      </c>
      <c r="BJ76" s="71">
        <f>Financials20263[[#This Row],[Aug AC]]-Financials20263[[#This Row],[Aug FC]]</f>
        <v>-11375</v>
      </c>
      <c r="BK76" s="71">
        <f>Financials20263[[#This Row],[Sep AC]]-Financials20263[[#This Row],[Sep FC]]</f>
        <v>-11375</v>
      </c>
      <c r="BL76" s="71">
        <f>Financials20263[[#This Row],[Oct AC]]-Financials20263[[#This Row],[Oct FC]]</f>
        <v>-11375</v>
      </c>
      <c r="BM76" s="71">
        <f>Financials20263[[#This Row],[Nov AC]]-Financials20263[[#This Row],[Nov FC]]</f>
        <v>-11375</v>
      </c>
      <c r="BN76" s="71">
        <f>Financials20263[[#This Row],[Dec AC]]-Financials20263[[#This Row],[Dec FC]]</f>
        <v>-11372</v>
      </c>
      <c r="BO76" s="71">
        <f>SUM(Financials20263[[#This Row],[Jan Opp/Risk]:[Dec Opp./Risk]])</f>
        <v>-68242.900000000023</v>
      </c>
      <c r="BP76" s="87"/>
      <c r="BQ76" s="47">
        <f>SUM(Financials20263[[#This Row],[Jan AC]:[May AC]])</f>
        <v>54166.666666666672</v>
      </c>
      <c r="BR76" s="6">
        <f>Financials20263[[#This Row],[2026 (Actuals + Forecast)]]-Financials20263[[#This Row],[Jan-May Actuals]]-Financials20263[[#This Row],[Jun-Dec FC]]</f>
        <v>0</v>
      </c>
      <c r="BS76" s="6">
        <f>Financials20263[[#This Row],[Jun-Dec FC]]+Financials20263[[#This Row],[Jan-May Forecast ]]</f>
        <v>79079.649999999994</v>
      </c>
      <c r="BT76" s="6">
        <f>SUM(Financials20263[[#This Row],[Jan FC]:[May FC]])</f>
        <v>54163.250000000015</v>
      </c>
      <c r="BU76" s="6">
        <f>Financials20263[[#This Row],[Jan-May Actuals]]+Financials20263[[#This Row],[Forecast Jun-Dec]]</f>
        <v>133246.31666666665</v>
      </c>
      <c r="BV76" s="6"/>
      <c r="BW76" s="6"/>
      <c r="BX76" s="6"/>
    </row>
    <row r="77" spans="1:76">
      <c r="A77" s="22" t="s">
        <v>473</v>
      </c>
      <c r="B77" s="21" t="s">
        <v>306</v>
      </c>
      <c r="C77" s="21" t="s">
        <v>716</v>
      </c>
      <c r="D77" s="10" t="s">
        <v>475</v>
      </c>
      <c r="E77" s="7" t="s">
        <v>476</v>
      </c>
      <c r="F77" s="3" t="s">
        <v>91</v>
      </c>
      <c r="G77" s="3" t="s">
        <v>21</v>
      </c>
      <c r="H77" s="4">
        <v>45719</v>
      </c>
      <c r="I77" s="4">
        <v>45719</v>
      </c>
      <c r="J77" s="3"/>
      <c r="K77" s="3" t="str">
        <f t="shared" si="28"/>
        <v>Prj000350-Support - Infrastructure for Tech</v>
      </c>
      <c r="L77" s="21" t="s">
        <v>478</v>
      </c>
      <c r="M77" s="21" t="s">
        <v>16</v>
      </c>
      <c r="N77" s="21" t="s">
        <v>16</v>
      </c>
      <c r="O77" s="21"/>
      <c r="P77" s="21" t="s">
        <v>479</v>
      </c>
      <c r="Q77" s="21" t="s">
        <v>480</v>
      </c>
      <c r="R77" s="21" t="s">
        <v>480</v>
      </c>
      <c r="S77" s="21" t="s">
        <v>508</v>
      </c>
      <c r="T77" s="5">
        <v>5000</v>
      </c>
      <c r="U77" s="15">
        <v>5250</v>
      </c>
      <c r="V77" s="15">
        <v>5250</v>
      </c>
      <c r="W77" s="15">
        <f t="shared" si="29"/>
        <v>5250</v>
      </c>
      <c r="X77" s="15">
        <f t="shared" si="33"/>
        <v>0</v>
      </c>
      <c r="Y77" s="15">
        <f t="shared" si="30"/>
        <v>0</v>
      </c>
      <c r="Z77" s="15">
        <f>SUM(Financials20263[[#This Row],[2026 Opportunity]:[2026 Risk]])</f>
        <v>0</v>
      </c>
      <c r="AA77" s="3"/>
      <c r="AB77" s="52"/>
      <c r="AC77" s="52"/>
      <c r="AD77" s="52">
        <v>5250</v>
      </c>
      <c r="AE77" s="52"/>
      <c r="AF77" s="52"/>
      <c r="AG77" s="52"/>
      <c r="AH77" s="52"/>
      <c r="AI77" s="52"/>
      <c r="AJ77" s="52"/>
      <c r="AK77" s="52"/>
      <c r="AL77" s="52"/>
      <c r="AM77" s="52"/>
      <c r="AN77" s="52">
        <f>SUM(Financials20263[[#This Row],[Jan FC]:[Dec FC]])</f>
        <v>5250</v>
      </c>
      <c r="AO77" s="15">
        <f t="shared" si="31"/>
        <v>0</v>
      </c>
      <c r="AP77" s="61"/>
      <c r="AQ77" s="61"/>
      <c r="AR77" s="61"/>
      <c r="AS77" s="61"/>
      <c r="AT77" s="61"/>
      <c r="AU77" s="61"/>
      <c r="AV77" s="61"/>
      <c r="AW77" s="61"/>
      <c r="AX77" s="61"/>
      <c r="AY77" s="61"/>
      <c r="AZ77" s="61"/>
      <c r="BA77" s="61"/>
      <c r="BB77" s="80">
        <f>SUM(Financials20263[[#This Row],[Jan AC]:[Dec AC]])</f>
        <v>0</v>
      </c>
      <c r="BC77" s="71">
        <f>Financials20263[[#This Row],[Jan AC]]-Financials20263[[#This Row],[Jan FC]]</f>
        <v>0</v>
      </c>
      <c r="BD77" s="71">
        <f>Financials20263[[#This Row],[Feb AC]]-Financials20263[[#This Row],[Feb FC]]</f>
        <v>0</v>
      </c>
      <c r="BE77" s="71">
        <f>Financials20263[[#This Row],[Mar AC]]-Financials20263[[#This Row],[Mar FC]]</f>
        <v>-5250</v>
      </c>
      <c r="BF77" s="71">
        <f>Financials20263[[#This Row],[Apr AC]]-Financials20263[[#This Row],[Apr FC]]</f>
        <v>0</v>
      </c>
      <c r="BG77" s="71">
        <f>Financials20263[[#This Row],[May AC]]-Financials20263[[#This Row],[May FC]]</f>
        <v>0</v>
      </c>
      <c r="BH77" s="71">
        <f>Financials20263[[#This Row],[Jun AC]]-Financials20263[[#This Row],[Jun FC]]</f>
        <v>0</v>
      </c>
      <c r="BI77" s="71">
        <f>Financials20263[[#This Row],[Jul AC]]-Financials20263[[#This Row],[Jul FC]]</f>
        <v>0</v>
      </c>
      <c r="BJ77" s="71">
        <f>Financials20263[[#This Row],[Aug AC]]-Financials20263[[#This Row],[Aug FC]]</f>
        <v>0</v>
      </c>
      <c r="BK77" s="71">
        <f>Financials20263[[#This Row],[Sep AC]]-Financials20263[[#This Row],[Sep FC]]</f>
        <v>0</v>
      </c>
      <c r="BL77" s="71">
        <f>Financials20263[[#This Row],[Oct AC]]-Financials20263[[#This Row],[Oct FC]]</f>
        <v>0</v>
      </c>
      <c r="BM77" s="71">
        <f>Financials20263[[#This Row],[Nov AC]]-Financials20263[[#This Row],[Nov FC]]</f>
        <v>0</v>
      </c>
      <c r="BN77" s="71">
        <f>Financials20263[[#This Row],[Dec AC]]-Financials20263[[#This Row],[Dec FC]]</f>
        <v>0</v>
      </c>
      <c r="BO77" s="71">
        <f>SUM(Financials20263[[#This Row],[Jan Opp/Risk]:[Dec Opp./Risk]])</f>
        <v>-5250</v>
      </c>
      <c r="BP77" s="88"/>
      <c r="BQ77" s="47">
        <f>SUM(Financials20263[[#This Row],[Jan AC]:[May AC]])</f>
        <v>0</v>
      </c>
      <c r="BR77" s="6">
        <f>Financials20263[[#This Row],[2026 (Actuals + Forecast)]]-Financials20263[[#This Row],[Jan-May Actuals]]-Financials20263[[#This Row],[Jun-Dec FC]]</f>
        <v>5250</v>
      </c>
      <c r="BS77" s="6">
        <f>Financials20263[[#This Row],[Jun-Dec FC]]+Financials20263[[#This Row],[Jan-May Forecast ]]</f>
        <v>5250</v>
      </c>
      <c r="BT77" s="6">
        <f>SUM(Financials20263[[#This Row],[Jan FC]:[May FC]])</f>
        <v>5250</v>
      </c>
      <c r="BU77" s="6">
        <f>Financials20263[[#This Row],[Jan-May Actuals]]+Financials20263[[#This Row],[Forecast Jun-Dec]]</f>
        <v>5250</v>
      </c>
      <c r="BV77" s="6"/>
      <c r="BW77" s="6"/>
      <c r="BX77" s="6"/>
    </row>
    <row r="78" spans="1:76">
      <c r="A78" s="22" t="s">
        <v>473</v>
      </c>
      <c r="B78" s="21" t="s">
        <v>296</v>
      </c>
      <c r="C78" s="21" t="s">
        <v>717</v>
      </c>
      <c r="D78" s="10" t="s">
        <v>559</v>
      </c>
      <c r="E78" s="7" t="s">
        <v>560</v>
      </c>
      <c r="F78" s="3" t="s">
        <v>561</v>
      </c>
      <c r="G78" s="3" t="s">
        <v>20</v>
      </c>
      <c r="H78" s="2" t="s">
        <v>521</v>
      </c>
      <c r="I78" s="2" t="s">
        <v>521</v>
      </c>
      <c r="J78" s="3"/>
      <c r="K78" s="3" t="str">
        <f t="shared" si="28"/>
        <v>Prj000403-Support - L2 CoE Management for Tech Horizontals</v>
      </c>
      <c r="L78" s="21" t="s">
        <v>478</v>
      </c>
      <c r="M78" s="21" t="s">
        <v>16</v>
      </c>
      <c r="N78" s="21" t="s">
        <v>16</v>
      </c>
      <c r="O78" s="21" t="s">
        <v>16</v>
      </c>
      <c r="P78" s="21" t="s">
        <v>479</v>
      </c>
      <c r="Q78" s="21" t="s">
        <v>480</v>
      </c>
      <c r="R78" s="21" t="s">
        <v>480</v>
      </c>
      <c r="S78" s="21" t="s">
        <v>504</v>
      </c>
      <c r="T78" s="5">
        <v>23410</v>
      </c>
      <c r="U78" s="15">
        <v>26288.755499999999</v>
      </c>
      <c r="V78" s="15">
        <v>26288.755499999999</v>
      </c>
      <c r="W78" s="15">
        <f t="shared" si="29"/>
        <v>26312.240000000002</v>
      </c>
      <c r="X78" s="15">
        <f t="shared" si="33"/>
        <v>0</v>
      </c>
      <c r="Y78" s="15">
        <f t="shared" si="30"/>
        <v>23.484500000002299</v>
      </c>
      <c r="Z78" s="15">
        <f>SUM(Financials20263[[#This Row],[2026 Opportunity]:[2026 Risk]])</f>
        <v>23.484500000002299</v>
      </c>
      <c r="AA78" s="3" t="s">
        <v>718</v>
      </c>
      <c r="AB78" s="52">
        <v>8984.74</v>
      </c>
      <c r="AC78" s="52">
        <v>2271.65</v>
      </c>
      <c r="AD78" s="52">
        <v>1000</v>
      </c>
      <c r="AE78" s="52">
        <v>1000</v>
      </c>
      <c r="AF78" s="52">
        <v>1000</v>
      </c>
      <c r="AG78" s="52">
        <v>1000</v>
      </c>
      <c r="AH78" s="52">
        <v>1000</v>
      </c>
      <c r="AI78" s="52">
        <v>2190.75</v>
      </c>
      <c r="AJ78" s="52">
        <v>2190.75</v>
      </c>
      <c r="AK78" s="52">
        <v>2190.75</v>
      </c>
      <c r="AL78" s="52">
        <v>2190.75</v>
      </c>
      <c r="AM78" s="52">
        <f>1269.75+254</f>
        <v>1523.75</v>
      </c>
      <c r="AN78" s="52">
        <f>SUM(Financials20263[[#This Row],[Jan FC]:[Dec FC]])</f>
        <v>26543.14</v>
      </c>
      <c r="AO78" s="15">
        <f t="shared" si="31"/>
        <v>12286.75</v>
      </c>
      <c r="AP78" s="61">
        <v>8984.74</v>
      </c>
      <c r="AQ78" s="61">
        <v>2271.65</v>
      </c>
      <c r="AR78" s="61">
        <v>745.2</v>
      </c>
      <c r="AS78" s="61">
        <v>763.08999999999992</v>
      </c>
      <c r="AT78" s="61">
        <v>1260.81</v>
      </c>
      <c r="AU78" s="61"/>
      <c r="AV78" s="61"/>
      <c r="AW78" s="61"/>
      <c r="AX78" s="61"/>
      <c r="AY78" s="61"/>
      <c r="AZ78" s="61"/>
      <c r="BA78" s="61"/>
      <c r="BB78" s="80">
        <f>SUM(Financials20263[[#This Row],[Jan AC]:[Dec AC]])</f>
        <v>14025.49</v>
      </c>
      <c r="BC78" s="71">
        <f>Financials20263[[#This Row],[Jan AC]]-Financials20263[[#This Row],[Jan FC]]</f>
        <v>0</v>
      </c>
      <c r="BD78" s="71">
        <f>Financials20263[[#This Row],[Feb AC]]-Financials20263[[#This Row],[Feb FC]]</f>
        <v>0</v>
      </c>
      <c r="BE78" s="71">
        <f>Financials20263[[#This Row],[Mar AC]]-Financials20263[[#This Row],[Mar FC]]</f>
        <v>-254.79999999999995</v>
      </c>
      <c r="BF78" s="71">
        <f>Financials20263[[#This Row],[Apr AC]]-Financials20263[[#This Row],[Apr FC]]</f>
        <v>-236.91000000000008</v>
      </c>
      <c r="BG78" s="71">
        <f>Financials20263[[#This Row],[May AC]]-Financials20263[[#This Row],[May FC]]</f>
        <v>260.80999999999995</v>
      </c>
      <c r="BH78" s="71">
        <f>Financials20263[[#This Row],[Jun AC]]-Financials20263[[#This Row],[Jun FC]]</f>
        <v>-1000</v>
      </c>
      <c r="BI78" s="71">
        <f>Financials20263[[#This Row],[Jul AC]]-Financials20263[[#This Row],[Jul FC]]</f>
        <v>-1000</v>
      </c>
      <c r="BJ78" s="71">
        <f>Financials20263[[#This Row],[Aug AC]]-Financials20263[[#This Row],[Aug FC]]</f>
        <v>-2190.75</v>
      </c>
      <c r="BK78" s="71">
        <f>Financials20263[[#This Row],[Sep AC]]-Financials20263[[#This Row],[Sep FC]]</f>
        <v>-2190.75</v>
      </c>
      <c r="BL78" s="71">
        <f>Financials20263[[#This Row],[Oct AC]]-Financials20263[[#This Row],[Oct FC]]</f>
        <v>-2190.75</v>
      </c>
      <c r="BM78" s="71">
        <f>Financials20263[[#This Row],[Nov AC]]-Financials20263[[#This Row],[Nov FC]]</f>
        <v>-2190.75</v>
      </c>
      <c r="BN78" s="71">
        <f>Financials20263[[#This Row],[Dec AC]]-Financials20263[[#This Row],[Dec FC]]</f>
        <v>-1523.75</v>
      </c>
      <c r="BO78" s="83">
        <f>SUM(Financials20263[[#This Row],[Jan Opp/Risk]:[Dec Opp./Risk]])</f>
        <v>-12517.65</v>
      </c>
      <c r="BP78" s="91" t="s">
        <v>719</v>
      </c>
      <c r="BQ78" s="47">
        <f>SUM(Financials20263[[#This Row],[Jan AC]:[May AC]])</f>
        <v>14025.49</v>
      </c>
      <c r="BR78" s="6">
        <f>Financials20263[[#This Row],[2026 (Actuals + Forecast)]]-Financials20263[[#This Row],[Jan-May Actuals]]-Financials20263[[#This Row],[Jun-Dec FC]]</f>
        <v>0</v>
      </c>
      <c r="BS78" s="6">
        <f>Financials20263[[#This Row],[Jun-Dec FC]]+Financials20263[[#This Row],[Jan-May Forecast ]]</f>
        <v>12286.75</v>
      </c>
      <c r="BT78" s="6">
        <f>SUM(Financials20263[[#This Row],[Jan FC]:[May FC]])</f>
        <v>14256.39</v>
      </c>
      <c r="BU78" s="6">
        <f>Financials20263[[#This Row],[Jan-May Actuals]]+Financials20263[[#This Row],[Forecast Jun-Dec]]</f>
        <v>26312.239999999998</v>
      </c>
      <c r="BV78" s="6"/>
      <c r="BW78" s="6"/>
      <c r="BX78" s="6"/>
    </row>
    <row r="79" spans="1:76">
      <c r="A79" s="22" t="s">
        <v>473</v>
      </c>
      <c r="B79" s="21" t="s">
        <v>296</v>
      </c>
      <c r="C79" s="21" t="s">
        <v>717</v>
      </c>
      <c r="D79" s="10" t="s">
        <v>559</v>
      </c>
      <c r="E79" s="7" t="s">
        <v>560</v>
      </c>
      <c r="F79" s="3" t="s">
        <v>561</v>
      </c>
      <c r="G79" s="3" t="s">
        <v>20</v>
      </c>
      <c r="H79" s="4">
        <v>45869</v>
      </c>
      <c r="I79" s="4">
        <v>46233</v>
      </c>
      <c r="J79" s="3"/>
      <c r="K79" s="3" t="str">
        <f t="shared" si="28"/>
        <v>Prj000403-Support - L2 CoE Management for Tech Horizontals</v>
      </c>
      <c r="L79" s="21" t="s">
        <v>478</v>
      </c>
      <c r="M79" s="21" t="s">
        <v>16</v>
      </c>
      <c r="N79" s="21" t="s">
        <v>16</v>
      </c>
      <c r="O79" s="21" t="s">
        <v>16</v>
      </c>
      <c r="P79" s="21" t="s">
        <v>479</v>
      </c>
      <c r="Q79" s="21" t="s">
        <v>480</v>
      </c>
      <c r="R79" s="21" t="s">
        <v>480</v>
      </c>
      <c r="S79" s="21" t="s">
        <v>508</v>
      </c>
      <c r="T79" s="5">
        <v>208572.58</v>
      </c>
      <c r="U79" s="15">
        <v>91250.25</v>
      </c>
      <c r="V79" s="15">
        <v>91250.25</v>
      </c>
      <c r="W79" s="15">
        <f t="shared" si="29"/>
        <v>91250</v>
      </c>
      <c r="X79" s="15">
        <f t="shared" si="33"/>
        <v>-0.25</v>
      </c>
      <c r="Y79" s="15">
        <f t="shared" si="30"/>
        <v>0</v>
      </c>
      <c r="Z79" s="15">
        <f>SUM(Financials20263[[#This Row],[2026 Opportunity]:[2026 Risk]])</f>
        <v>-0.25</v>
      </c>
      <c r="AA79" s="3" t="s">
        <v>720</v>
      </c>
      <c r="AB79" s="52"/>
      <c r="AC79" s="52"/>
      <c r="AD79" s="52"/>
      <c r="AE79" s="52"/>
      <c r="AF79" s="51"/>
      <c r="AG79" s="51"/>
      <c r="AH79" s="52"/>
      <c r="AI79" s="52">
        <v>91250</v>
      </c>
      <c r="AJ79" s="52"/>
      <c r="AK79" s="52"/>
      <c r="AL79" s="52"/>
      <c r="AM79" s="52"/>
      <c r="AN79" s="52">
        <f>SUM(Financials20263[[#This Row],[Jan FC]:[Dec FC]])</f>
        <v>91250</v>
      </c>
      <c r="AO79" s="15">
        <f t="shared" si="31"/>
        <v>91250</v>
      </c>
      <c r="AP79" s="61"/>
      <c r="AQ79" s="61"/>
      <c r="AR79" s="61"/>
      <c r="AS79" s="61"/>
      <c r="AT79" s="60"/>
      <c r="AU79" s="60"/>
      <c r="AV79" s="61"/>
      <c r="AW79" s="61"/>
      <c r="AX79" s="61"/>
      <c r="AY79" s="61"/>
      <c r="AZ79" s="61"/>
      <c r="BA79" s="61"/>
      <c r="BB79" s="80">
        <f>SUM(Financials20263[[#This Row],[Jan AC]:[Dec AC]])</f>
        <v>0</v>
      </c>
      <c r="BC79" s="71">
        <f>Financials20263[[#This Row],[Jan AC]]-Financials20263[[#This Row],[Jan FC]]</f>
        <v>0</v>
      </c>
      <c r="BD79" s="71">
        <f>Financials20263[[#This Row],[Feb AC]]-Financials20263[[#This Row],[Feb FC]]</f>
        <v>0</v>
      </c>
      <c r="BE79" s="71">
        <f>Financials20263[[#This Row],[Mar AC]]-Financials20263[[#This Row],[Mar FC]]</f>
        <v>0</v>
      </c>
      <c r="BF79" s="71">
        <f>Financials20263[[#This Row],[Apr AC]]-Financials20263[[#This Row],[Apr FC]]</f>
        <v>0</v>
      </c>
      <c r="BG79" s="71">
        <f>Financials20263[[#This Row],[May AC]]-Financials20263[[#This Row],[May FC]]</f>
        <v>0</v>
      </c>
      <c r="BH79" s="71">
        <f>Financials20263[[#This Row],[Jun AC]]-Financials20263[[#This Row],[Jun FC]]</f>
        <v>0</v>
      </c>
      <c r="BI79" s="71">
        <f>Financials20263[[#This Row],[Jul AC]]-Financials20263[[#This Row],[Jul FC]]</f>
        <v>0</v>
      </c>
      <c r="BJ79" s="71">
        <f>Financials20263[[#This Row],[Aug AC]]-Financials20263[[#This Row],[Aug FC]]</f>
        <v>-91250</v>
      </c>
      <c r="BK79" s="71">
        <f>Financials20263[[#This Row],[Sep AC]]-Financials20263[[#This Row],[Sep FC]]</f>
        <v>0</v>
      </c>
      <c r="BL79" s="71">
        <f>Financials20263[[#This Row],[Oct AC]]-Financials20263[[#This Row],[Oct FC]]</f>
        <v>0</v>
      </c>
      <c r="BM79" s="71">
        <f>Financials20263[[#This Row],[Nov AC]]-Financials20263[[#This Row],[Nov FC]]</f>
        <v>0</v>
      </c>
      <c r="BN79" s="71">
        <f>Financials20263[[#This Row],[Dec AC]]-Financials20263[[#This Row],[Dec FC]]</f>
        <v>0</v>
      </c>
      <c r="BO79" s="71">
        <f>SUM(Financials20263[[#This Row],[Jan Opp/Risk]:[Dec Opp./Risk]])</f>
        <v>-91250</v>
      </c>
      <c r="BP79" s="87"/>
      <c r="BQ79" s="47">
        <f>SUM(Financials20263[[#This Row],[Jan AC]:[May AC]])</f>
        <v>0</v>
      </c>
      <c r="BR79" s="6">
        <f>Financials20263[[#This Row],[2026 (Actuals + Forecast)]]-Financials20263[[#This Row],[Jan-May Actuals]]-Financials20263[[#This Row],[Jun-Dec FC]]</f>
        <v>0</v>
      </c>
      <c r="BS79" s="6">
        <f>Financials20263[[#This Row],[Jun-Dec FC]]+Financials20263[[#This Row],[Jan-May Forecast ]]</f>
        <v>91250</v>
      </c>
      <c r="BT79" s="6">
        <f>SUM(Financials20263[[#This Row],[Jan FC]:[May FC]])</f>
        <v>0</v>
      </c>
      <c r="BU79" s="6">
        <f>Financials20263[[#This Row],[Jan-May Actuals]]+Financials20263[[#This Row],[Forecast Jun-Dec]]</f>
        <v>91250</v>
      </c>
      <c r="BV79" s="6"/>
      <c r="BW79" s="6"/>
      <c r="BX79" s="6"/>
    </row>
    <row r="80" spans="1:76">
      <c r="A80" s="22" t="s">
        <v>473</v>
      </c>
      <c r="B80" s="21" t="s">
        <v>372</v>
      </c>
      <c r="C80" s="21" t="s">
        <v>721</v>
      </c>
      <c r="D80" s="10" t="s">
        <v>486</v>
      </c>
      <c r="E80" s="7" t="s">
        <v>487</v>
      </c>
      <c r="F80" s="3" t="s">
        <v>488</v>
      </c>
      <c r="G80" s="3" t="s">
        <v>25</v>
      </c>
      <c r="H80" s="4">
        <v>45992</v>
      </c>
      <c r="I80" s="4">
        <v>46356</v>
      </c>
      <c r="J80" s="3" t="s">
        <v>721</v>
      </c>
      <c r="K80" s="3" t="str">
        <f t="shared" si="28"/>
        <v>Prj000266-Support - Internal Tech Workforce Activities</v>
      </c>
      <c r="L80" s="21" t="s">
        <v>478</v>
      </c>
      <c r="M80" s="21" t="s">
        <v>16</v>
      </c>
      <c r="N80" s="21" t="s">
        <v>16</v>
      </c>
      <c r="O80" s="21" t="s">
        <v>16</v>
      </c>
      <c r="P80" s="21" t="s">
        <v>479</v>
      </c>
      <c r="Q80" s="21" t="s">
        <v>480</v>
      </c>
      <c r="R80" s="21" t="s">
        <v>480</v>
      </c>
      <c r="S80" s="21" t="s">
        <v>508</v>
      </c>
      <c r="T80" s="5">
        <v>37664</v>
      </c>
      <c r="U80" s="15">
        <v>32760</v>
      </c>
      <c r="V80" s="15">
        <v>32760</v>
      </c>
      <c r="W80" s="15">
        <f t="shared" si="29"/>
        <v>32760</v>
      </c>
      <c r="X80" s="15">
        <f t="shared" si="33"/>
        <v>0</v>
      </c>
      <c r="Y80" s="15">
        <f t="shared" si="30"/>
        <v>0</v>
      </c>
      <c r="Z80" s="15">
        <f>SUM(Financials20263[[#This Row],[2026 Opportunity]:[2026 Risk]])</f>
        <v>0</v>
      </c>
      <c r="AA80" s="3" t="s">
        <v>722</v>
      </c>
      <c r="AB80" s="52"/>
      <c r="AC80" s="52"/>
      <c r="AD80" s="52"/>
      <c r="AE80" s="52"/>
      <c r="AF80" s="52"/>
      <c r="AG80" s="51"/>
      <c r="AH80" s="52"/>
      <c r="AI80" s="52"/>
      <c r="AJ80" s="52"/>
      <c r="AK80" s="52"/>
      <c r="AL80" s="52"/>
      <c r="AM80" s="52">
        <v>32760</v>
      </c>
      <c r="AN80" s="52">
        <f>SUM(Financials20263[[#This Row],[Jan FC]:[Dec FC]])</f>
        <v>32760</v>
      </c>
      <c r="AO80" s="15">
        <f t="shared" si="31"/>
        <v>32760</v>
      </c>
      <c r="AP80" s="61"/>
      <c r="AQ80" s="61"/>
      <c r="AR80" s="61"/>
      <c r="AS80" s="61"/>
      <c r="AT80" s="61"/>
      <c r="AU80" s="60"/>
      <c r="AV80" s="61"/>
      <c r="AW80" s="61"/>
      <c r="AX80" s="61"/>
      <c r="AY80" s="61"/>
      <c r="AZ80" s="61"/>
      <c r="BA80" s="61"/>
      <c r="BB80" s="80">
        <f>SUM(Financials20263[[#This Row],[Jan AC]:[Dec AC]])</f>
        <v>0</v>
      </c>
      <c r="BC80" s="71">
        <f>Financials20263[[#This Row],[Jan AC]]-Financials20263[[#This Row],[Jan FC]]</f>
        <v>0</v>
      </c>
      <c r="BD80" s="71">
        <f>Financials20263[[#This Row],[Feb AC]]-Financials20263[[#This Row],[Feb FC]]</f>
        <v>0</v>
      </c>
      <c r="BE80" s="71">
        <f>Financials20263[[#This Row],[Mar AC]]-Financials20263[[#This Row],[Mar FC]]</f>
        <v>0</v>
      </c>
      <c r="BF80" s="71">
        <f>Financials20263[[#This Row],[Apr AC]]-Financials20263[[#This Row],[Apr FC]]</f>
        <v>0</v>
      </c>
      <c r="BG80" s="71">
        <f>Financials20263[[#This Row],[May AC]]-Financials20263[[#This Row],[May FC]]</f>
        <v>0</v>
      </c>
      <c r="BH80" s="71">
        <f>Financials20263[[#This Row],[Jun AC]]-Financials20263[[#This Row],[Jun FC]]</f>
        <v>0</v>
      </c>
      <c r="BI80" s="71">
        <f>Financials20263[[#This Row],[Jul AC]]-Financials20263[[#This Row],[Jul FC]]</f>
        <v>0</v>
      </c>
      <c r="BJ80" s="71">
        <f>Financials20263[[#This Row],[Aug AC]]-Financials20263[[#This Row],[Aug FC]]</f>
        <v>0</v>
      </c>
      <c r="BK80" s="71">
        <f>Financials20263[[#This Row],[Sep AC]]-Financials20263[[#This Row],[Sep FC]]</f>
        <v>0</v>
      </c>
      <c r="BL80" s="71">
        <f>Financials20263[[#This Row],[Oct AC]]-Financials20263[[#This Row],[Oct FC]]</f>
        <v>0</v>
      </c>
      <c r="BM80" s="71">
        <f>Financials20263[[#This Row],[Nov AC]]-Financials20263[[#This Row],[Nov FC]]</f>
        <v>0</v>
      </c>
      <c r="BN80" s="71">
        <f>Financials20263[[#This Row],[Dec AC]]-Financials20263[[#This Row],[Dec FC]]</f>
        <v>-32760</v>
      </c>
      <c r="BO80" s="71">
        <f>SUM(Financials20263[[#This Row],[Jan Opp/Risk]:[Dec Opp./Risk]])</f>
        <v>-32760</v>
      </c>
      <c r="BP80" s="87" t="s">
        <v>723</v>
      </c>
      <c r="BQ80" s="47">
        <f>SUM(Financials20263[[#This Row],[Jan AC]:[May AC]])</f>
        <v>0</v>
      </c>
      <c r="BR80" s="6">
        <f>Financials20263[[#This Row],[2026 (Actuals + Forecast)]]-Financials20263[[#This Row],[Jan-May Actuals]]-Financials20263[[#This Row],[Jun-Dec FC]]</f>
        <v>0</v>
      </c>
      <c r="BS80" s="6">
        <f>Financials20263[[#This Row],[Jun-Dec FC]]+Financials20263[[#This Row],[Jan-May Forecast ]]</f>
        <v>32760</v>
      </c>
      <c r="BT80" s="6">
        <f>SUM(Financials20263[[#This Row],[Jan FC]:[May FC]])</f>
        <v>0</v>
      </c>
      <c r="BU80" s="6">
        <f>Financials20263[[#This Row],[Jan-May Actuals]]+Financials20263[[#This Row],[Forecast Jun-Dec]]</f>
        <v>32760</v>
      </c>
      <c r="BV80" s="6"/>
      <c r="BW80" s="6"/>
      <c r="BX80" s="6"/>
    </row>
    <row r="81" spans="1:76">
      <c r="A81" s="22" t="s">
        <v>473</v>
      </c>
      <c r="B81" s="21" t="s">
        <v>92</v>
      </c>
      <c r="C81" s="21" t="s">
        <v>724</v>
      </c>
      <c r="D81" s="10" t="s">
        <v>486</v>
      </c>
      <c r="E81" s="7" t="s">
        <v>487</v>
      </c>
      <c r="F81" s="3" t="s">
        <v>488</v>
      </c>
      <c r="G81" s="3" t="s">
        <v>25</v>
      </c>
      <c r="H81" s="4">
        <v>45763</v>
      </c>
      <c r="I81" s="4">
        <v>46096</v>
      </c>
      <c r="J81" s="3" t="s">
        <v>725</v>
      </c>
      <c r="K81" s="3" t="str">
        <f t="shared" si="28"/>
        <v>Prj000266-Support - Internal Tech Workforce Activities</v>
      </c>
      <c r="L81" s="21" t="s">
        <v>478</v>
      </c>
      <c r="M81" s="21" t="s">
        <v>16</v>
      </c>
      <c r="N81" s="21" t="s">
        <v>16</v>
      </c>
      <c r="O81" s="21"/>
      <c r="P81" s="21" t="s">
        <v>479</v>
      </c>
      <c r="Q81" s="21" t="s">
        <v>480</v>
      </c>
      <c r="R81" s="21" t="s">
        <v>480</v>
      </c>
      <c r="S81" s="21" t="s">
        <v>508</v>
      </c>
      <c r="T81" s="5">
        <v>2393</v>
      </c>
      <c r="U81" s="15">
        <v>2512</v>
      </c>
      <c r="V81" s="15">
        <v>2512</v>
      </c>
      <c r="W81" s="15">
        <f t="shared" si="29"/>
        <v>8136.97</v>
      </c>
      <c r="X81" s="15">
        <f t="shared" si="33"/>
        <v>0</v>
      </c>
      <c r="Y81" s="15">
        <f t="shared" si="30"/>
        <v>5624.97</v>
      </c>
      <c r="Z81" s="15">
        <f>SUM(Financials20263[[#This Row],[2026 Opportunity]:[2026 Risk]])</f>
        <v>5624.97</v>
      </c>
      <c r="AA81" s="3" t="s">
        <v>726</v>
      </c>
      <c r="AB81" s="52"/>
      <c r="AC81" s="52"/>
      <c r="AD81" s="52"/>
      <c r="AE81" s="52">
        <v>2512</v>
      </c>
      <c r="AF81" s="52"/>
      <c r="AG81" s="51"/>
      <c r="AH81" s="52"/>
      <c r="AI81" s="52"/>
      <c r="AJ81" s="52"/>
      <c r="AK81" s="52"/>
      <c r="AL81" s="52"/>
      <c r="AM81" s="52"/>
      <c r="AN81" s="52">
        <f>SUM(Financials20263[[#This Row],[Jan FC]:[Dec FC]])</f>
        <v>2512</v>
      </c>
      <c r="AO81" s="15">
        <f t="shared" si="31"/>
        <v>0</v>
      </c>
      <c r="AP81" s="61"/>
      <c r="AQ81" s="61"/>
      <c r="AR81" s="61"/>
      <c r="AS81" s="61">
        <v>8136.97</v>
      </c>
      <c r="AT81" s="61"/>
      <c r="AU81" s="60"/>
      <c r="AV81" s="61"/>
      <c r="AW81" s="61"/>
      <c r="AX81" s="61"/>
      <c r="AY81" s="61"/>
      <c r="AZ81" s="61"/>
      <c r="BA81" s="61"/>
      <c r="BB81" s="80">
        <f>SUM(Financials20263[[#This Row],[Jan AC]:[Dec AC]])</f>
        <v>8136.97</v>
      </c>
      <c r="BC81" s="71">
        <f>Financials20263[[#This Row],[Jan AC]]-Financials20263[[#This Row],[Jan FC]]</f>
        <v>0</v>
      </c>
      <c r="BD81" s="71">
        <f>Financials20263[[#This Row],[Feb AC]]-Financials20263[[#This Row],[Feb FC]]</f>
        <v>0</v>
      </c>
      <c r="BE81" s="71">
        <f>Financials20263[[#This Row],[Mar AC]]-Financials20263[[#This Row],[Mar FC]]</f>
        <v>0</v>
      </c>
      <c r="BF81" s="71">
        <f>Financials20263[[#This Row],[Apr AC]]-Financials20263[[#This Row],[Apr FC]]</f>
        <v>5624.97</v>
      </c>
      <c r="BG81" s="71">
        <f>Financials20263[[#This Row],[May AC]]-Financials20263[[#This Row],[May FC]]</f>
        <v>0</v>
      </c>
      <c r="BH81" s="71">
        <f>Financials20263[[#This Row],[Jun AC]]-Financials20263[[#This Row],[Jun FC]]</f>
        <v>0</v>
      </c>
      <c r="BI81" s="71">
        <f>Financials20263[[#This Row],[Jul AC]]-Financials20263[[#This Row],[Jul FC]]</f>
        <v>0</v>
      </c>
      <c r="BJ81" s="71">
        <f>Financials20263[[#This Row],[Aug AC]]-Financials20263[[#This Row],[Aug FC]]</f>
        <v>0</v>
      </c>
      <c r="BK81" s="71">
        <f>Financials20263[[#This Row],[Sep AC]]-Financials20263[[#This Row],[Sep FC]]</f>
        <v>0</v>
      </c>
      <c r="BL81" s="71">
        <f>Financials20263[[#This Row],[Oct AC]]-Financials20263[[#This Row],[Oct FC]]</f>
        <v>0</v>
      </c>
      <c r="BM81" s="71">
        <f>Financials20263[[#This Row],[Nov AC]]-Financials20263[[#This Row],[Nov FC]]</f>
        <v>0</v>
      </c>
      <c r="BN81" s="71">
        <f>Financials20263[[#This Row],[Dec AC]]-Financials20263[[#This Row],[Dec FC]]</f>
        <v>0</v>
      </c>
      <c r="BO81" s="71">
        <f>SUM(Financials20263[[#This Row],[Jan Opp/Risk]:[Dec Opp./Risk]])</f>
        <v>5624.97</v>
      </c>
      <c r="BP81" s="87" t="s">
        <v>727</v>
      </c>
      <c r="BQ81" s="47">
        <f>SUM(Financials20263[[#This Row],[Jan AC]:[May AC]])</f>
        <v>8136.97</v>
      </c>
      <c r="BR81" s="6">
        <f>Financials20263[[#This Row],[2026 (Actuals + Forecast)]]-Financials20263[[#This Row],[Jan-May Actuals]]-Financials20263[[#This Row],[Jun-Dec FC]]</f>
        <v>0</v>
      </c>
      <c r="BS81" s="6">
        <f>Financials20263[[#This Row],[Jun-Dec FC]]+Financials20263[[#This Row],[Jan-May Forecast ]]</f>
        <v>0</v>
      </c>
      <c r="BT81" s="6">
        <f>SUM(Financials20263[[#This Row],[Jan FC]:[May FC]])</f>
        <v>2512</v>
      </c>
      <c r="BU81" s="6">
        <f>Financials20263[[#This Row],[Jan-May Actuals]]+Financials20263[[#This Row],[Forecast Jun-Dec]]</f>
        <v>8136.97</v>
      </c>
      <c r="BV81" s="6"/>
      <c r="BW81" s="6"/>
      <c r="BX81" s="6"/>
    </row>
    <row r="82" spans="1:76">
      <c r="A82" s="22" t="s">
        <v>473</v>
      </c>
      <c r="B82" s="21" t="s">
        <v>291</v>
      </c>
      <c r="C82" s="21" t="s">
        <v>728</v>
      </c>
      <c r="D82" s="10" t="s">
        <v>601</v>
      </c>
      <c r="E82" s="7" t="s">
        <v>602</v>
      </c>
      <c r="F82" s="3" t="s">
        <v>43</v>
      </c>
      <c r="G82" s="3" t="s">
        <v>20</v>
      </c>
      <c r="H82" s="4">
        <v>45900</v>
      </c>
      <c r="I82" s="4">
        <v>46264</v>
      </c>
      <c r="J82" s="3" t="s">
        <v>729</v>
      </c>
      <c r="K82" s="3" t="str">
        <f t="shared" si="28"/>
        <v>Prj000458-Support - Data Analytics Office</v>
      </c>
      <c r="L82" s="21" t="s">
        <v>478</v>
      </c>
      <c r="M82" s="21" t="s">
        <v>16</v>
      </c>
      <c r="N82" s="21" t="s">
        <v>16</v>
      </c>
      <c r="O82" s="21" t="s">
        <v>730</v>
      </c>
      <c r="P82" s="21" t="s">
        <v>479</v>
      </c>
      <c r="Q82" s="21" t="s">
        <v>480</v>
      </c>
      <c r="R82" s="21" t="s">
        <v>480</v>
      </c>
      <c r="S82" s="21" t="s">
        <v>481</v>
      </c>
      <c r="T82" s="5">
        <v>139684</v>
      </c>
      <c r="U82" s="15">
        <v>139684</v>
      </c>
      <c r="V82" s="15">
        <v>139684</v>
      </c>
      <c r="W82" s="15">
        <f t="shared" si="29"/>
        <v>139683.99999999997</v>
      </c>
      <c r="X82" s="15">
        <f t="shared" si="33"/>
        <v>-2.9103830456733704E-11</v>
      </c>
      <c r="Y82" s="15">
        <f t="shared" si="30"/>
        <v>0</v>
      </c>
      <c r="Z82" s="15">
        <f>SUM(Financials20263[[#This Row],[2026 Opportunity]:[2026 Risk]])</f>
        <v>-2.9103830456733704E-11</v>
      </c>
      <c r="AA82" s="3" t="s">
        <v>731</v>
      </c>
      <c r="AB82" s="52">
        <f t="shared" ref="AB82:AW82" si="35">139684/12</f>
        <v>11640.333333333334</v>
      </c>
      <c r="AC82" s="52">
        <f t="shared" si="35"/>
        <v>11640.333333333334</v>
      </c>
      <c r="AD82" s="52">
        <f t="shared" si="35"/>
        <v>11640.333333333334</v>
      </c>
      <c r="AE82" s="52">
        <f t="shared" si="35"/>
        <v>11640.333333333334</v>
      </c>
      <c r="AF82" s="52">
        <f t="shared" si="35"/>
        <v>11640.333333333334</v>
      </c>
      <c r="AG82" s="52">
        <f t="shared" si="35"/>
        <v>11640.333333333334</v>
      </c>
      <c r="AH82" s="52">
        <f t="shared" si="35"/>
        <v>11640.333333333334</v>
      </c>
      <c r="AI82" s="52">
        <f t="shared" si="35"/>
        <v>11640.333333333334</v>
      </c>
      <c r="AJ82" s="52">
        <f t="shared" si="35"/>
        <v>11640.333333333334</v>
      </c>
      <c r="AK82" s="52">
        <f t="shared" si="35"/>
        <v>11640.333333333334</v>
      </c>
      <c r="AL82" s="52">
        <f t="shared" si="35"/>
        <v>11640.333333333334</v>
      </c>
      <c r="AM82" s="52">
        <f t="shared" si="35"/>
        <v>11640.333333333334</v>
      </c>
      <c r="AN82" s="52">
        <f>SUM(Financials20263[[#This Row],[Jan FC]:[Dec FC]])</f>
        <v>139683.99999999997</v>
      </c>
      <c r="AO82" s="15">
        <f t="shared" si="31"/>
        <v>81482.333333333328</v>
      </c>
      <c r="AP82" s="61">
        <f t="shared" si="35"/>
        <v>11640.333333333334</v>
      </c>
      <c r="AQ82" s="61">
        <f t="shared" si="35"/>
        <v>11640.333333333334</v>
      </c>
      <c r="AR82" s="61">
        <f t="shared" si="35"/>
        <v>11640.333333333334</v>
      </c>
      <c r="AS82" s="61">
        <f t="shared" si="35"/>
        <v>11640.333333333334</v>
      </c>
      <c r="AT82" s="61">
        <f t="shared" si="35"/>
        <v>11640.333333333334</v>
      </c>
      <c r="AU82" s="61">
        <f t="shared" si="35"/>
        <v>11640.333333333334</v>
      </c>
      <c r="AV82" s="61">
        <f t="shared" si="35"/>
        <v>11640.333333333334</v>
      </c>
      <c r="AW82" s="61">
        <f t="shared" si="35"/>
        <v>11640.333333333334</v>
      </c>
      <c r="AX82" s="61"/>
      <c r="AY82" s="61"/>
      <c r="AZ82" s="61"/>
      <c r="BA82" s="61"/>
      <c r="BB82" s="80">
        <f>SUM(Financials20263[[#This Row],[Jan AC]:[Dec AC]])</f>
        <v>93122.666666666657</v>
      </c>
      <c r="BC82" s="71">
        <f>Financials20263[[#This Row],[Jan AC]]-Financials20263[[#This Row],[Jan FC]]</f>
        <v>0</v>
      </c>
      <c r="BD82" s="71">
        <f>Financials20263[[#This Row],[Feb AC]]-Financials20263[[#This Row],[Feb FC]]</f>
        <v>0</v>
      </c>
      <c r="BE82" s="71">
        <f>Financials20263[[#This Row],[Mar AC]]-Financials20263[[#This Row],[Mar FC]]</f>
        <v>0</v>
      </c>
      <c r="BF82" s="71">
        <f>Financials20263[[#This Row],[Apr AC]]-Financials20263[[#This Row],[Apr FC]]</f>
        <v>0</v>
      </c>
      <c r="BG82" s="71">
        <f>Financials20263[[#This Row],[May AC]]-Financials20263[[#This Row],[May FC]]</f>
        <v>0</v>
      </c>
      <c r="BH82" s="71">
        <f>Financials20263[[#This Row],[Jun AC]]-Financials20263[[#This Row],[Jun FC]]</f>
        <v>0</v>
      </c>
      <c r="BI82" s="71">
        <f>Financials20263[[#This Row],[Jul AC]]-Financials20263[[#This Row],[Jul FC]]</f>
        <v>0</v>
      </c>
      <c r="BJ82" s="71">
        <f>Financials20263[[#This Row],[Aug AC]]-Financials20263[[#This Row],[Aug FC]]</f>
        <v>0</v>
      </c>
      <c r="BK82" s="71">
        <f>Financials20263[[#This Row],[Sep AC]]-Financials20263[[#This Row],[Sep FC]]</f>
        <v>-11640.333333333334</v>
      </c>
      <c r="BL82" s="71">
        <f>Financials20263[[#This Row],[Oct AC]]-Financials20263[[#This Row],[Oct FC]]</f>
        <v>-11640.333333333334</v>
      </c>
      <c r="BM82" s="71">
        <f>Financials20263[[#This Row],[Nov AC]]-Financials20263[[#This Row],[Nov FC]]</f>
        <v>-11640.333333333334</v>
      </c>
      <c r="BN82" s="71">
        <f>Financials20263[[#This Row],[Dec AC]]-Financials20263[[#This Row],[Dec FC]]</f>
        <v>-11640.333333333334</v>
      </c>
      <c r="BO82" s="71">
        <f>SUM(Financials20263[[#This Row],[Jan Opp/Risk]:[Dec Opp./Risk]])</f>
        <v>-46561.333333333336</v>
      </c>
      <c r="BP82" s="87"/>
      <c r="BQ82" s="47">
        <f>SUM(Financials20263[[#This Row],[Jan AC]:[May AC]])</f>
        <v>58201.666666666672</v>
      </c>
      <c r="BR82" s="6">
        <f>Financials20263[[#This Row],[2026 (Actuals + Forecast)]]-Financials20263[[#This Row],[Jan-May Actuals]]-Financials20263[[#This Row],[Jun-Dec FC]]</f>
        <v>0</v>
      </c>
      <c r="BS82" s="6">
        <f>Financials20263[[#This Row],[Jun-Dec FC]]+Financials20263[[#This Row],[Jan-May Forecast ]]</f>
        <v>81482.333333333328</v>
      </c>
      <c r="BT82" s="6">
        <f>SUM(Financials20263[[#This Row],[Jan FC]:[May FC]])</f>
        <v>58201.666666666672</v>
      </c>
      <c r="BU82" s="6">
        <f>Financials20263[[#This Row],[Jan-May Actuals]]+Financials20263[[#This Row],[Forecast Jun-Dec]]</f>
        <v>139684</v>
      </c>
      <c r="BV82" s="6"/>
      <c r="BW82" s="6"/>
      <c r="BX82" s="6"/>
    </row>
    <row r="83" spans="1:76">
      <c r="A83" s="22" t="s">
        <v>473</v>
      </c>
      <c r="B83" s="21" t="s">
        <v>373</v>
      </c>
      <c r="C83" s="21" t="s">
        <v>373</v>
      </c>
      <c r="D83" s="10" t="s">
        <v>610</v>
      </c>
      <c r="E83" s="7" t="s">
        <v>611</v>
      </c>
      <c r="F83" s="3" t="s">
        <v>488</v>
      </c>
      <c r="G83" s="3" t="s">
        <v>25</v>
      </c>
      <c r="H83" s="2" t="s">
        <v>521</v>
      </c>
      <c r="I83" s="2" t="s">
        <v>521</v>
      </c>
      <c r="J83" s="3"/>
      <c r="K83" s="3" t="str">
        <f t="shared" si="28"/>
        <v>Prj000446-Implement - Minor Enhancements for Enterprise Apps</v>
      </c>
      <c r="L83" s="21" t="s">
        <v>478</v>
      </c>
      <c r="M83" s="21" t="s">
        <v>16</v>
      </c>
      <c r="N83" s="21" t="s">
        <v>16</v>
      </c>
      <c r="O83" s="21" t="s">
        <v>16</v>
      </c>
      <c r="P83" s="21" t="s">
        <v>479</v>
      </c>
      <c r="Q83" s="21" t="s">
        <v>480</v>
      </c>
      <c r="R83" s="21" t="s">
        <v>480</v>
      </c>
      <c r="S83" s="21" t="s">
        <v>508</v>
      </c>
      <c r="T83" s="5">
        <v>3000</v>
      </c>
      <c r="U83" s="15">
        <v>3150</v>
      </c>
      <c r="V83" s="15">
        <v>3150</v>
      </c>
      <c r="W83" s="15">
        <f t="shared" si="29"/>
        <v>3150</v>
      </c>
      <c r="X83" s="15">
        <f t="shared" si="33"/>
        <v>0</v>
      </c>
      <c r="Y83" s="15">
        <f t="shared" si="30"/>
        <v>0</v>
      </c>
      <c r="Z83" s="15">
        <f>SUM(Financials20263[[#This Row],[2026 Opportunity]:[2026 Risk]])</f>
        <v>0</v>
      </c>
      <c r="AA83" s="3" t="s">
        <v>732</v>
      </c>
      <c r="AB83" s="52"/>
      <c r="AC83" s="52"/>
      <c r="AD83" s="52"/>
      <c r="AE83" s="52"/>
      <c r="AF83" s="52"/>
      <c r="AG83" s="51"/>
      <c r="AH83" s="51"/>
      <c r="AI83" s="51"/>
      <c r="AJ83" s="51"/>
      <c r="AK83" s="51"/>
      <c r="AL83" s="51"/>
      <c r="AM83" s="51">
        <v>3150</v>
      </c>
      <c r="AN83" s="51">
        <f>SUM(Financials20263[[#This Row],[Jan FC]:[Dec FC]])</f>
        <v>3150</v>
      </c>
      <c r="AO83" s="15">
        <f t="shared" si="31"/>
        <v>3150</v>
      </c>
      <c r="AP83" s="61"/>
      <c r="AQ83" s="61"/>
      <c r="AR83" s="61"/>
      <c r="AS83" s="61"/>
      <c r="AT83" s="61"/>
      <c r="AU83" s="60"/>
      <c r="AV83" s="60"/>
      <c r="AW83" s="60"/>
      <c r="AX83" s="60"/>
      <c r="AY83" s="60"/>
      <c r="AZ83" s="60"/>
      <c r="BA83" s="60"/>
      <c r="BB83" s="79">
        <f>SUM(Financials20263[[#This Row],[Jan AC]:[Dec AC]])</f>
        <v>0</v>
      </c>
      <c r="BC83" s="71">
        <f>Financials20263[[#This Row],[Jan AC]]-Financials20263[[#This Row],[Jan FC]]</f>
        <v>0</v>
      </c>
      <c r="BD83" s="71">
        <f>Financials20263[[#This Row],[Feb AC]]-Financials20263[[#This Row],[Feb FC]]</f>
        <v>0</v>
      </c>
      <c r="BE83" s="71">
        <f>Financials20263[[#This Row],[Mar AC]]-Financials20263[[#This Row],[Mar FC]]</f>
        <v>0</v>
      </c>
      <c r="BF83" s="71">
        <f>Financials20263[[#This Row],[Apr AC]]-Financials20263[[#This Row],[Apr FC]]</f>
        <v>0</v>
      </c>
      <c r="BG83" s="71">
        <f>Financials20263[[#This Row],[May AC]]-Financials20263[[#This Row],[May FC]]</f>
        <v>0</v>
      </c>
      <c r="BH83" s="71">
        <f>Financials20263[[#This Row],[Jun AC]]-Financials20263[[#This Row],[Jun FC]]</f>
        <v>0</v>
      </c>
      <c r="BI83" s="71">
        <f>Financials20263[[#This Row],[Jul AC]]-Financials20263[[#This Row],[Jul FC]]</f>
        <v>0</v>
      </c>
      <c r="BJ83" s="71">
        <f>Financials20263[[#This Row],[Aug AC]]-Financials20263[[#This Row],[Aug FC]]</f>
        <v>0</v>
      </c>
      <c r="BK83" s="71">
        <f>Financials20263[[#This Row],[Sep AC]]-Financials20263[[#This Row],[Sep FC]]</f>
        <v>0</v>
      </c>
      <c r="BL83" s="71">
        <f>Financials20263[[#This Row],[Oct AC]]-Financials20263[[#This Row],[Oct FC]]</f>
        <v>0</v>
      </c>
      <c r="BM83" s="71">
        <f>Financials20263[[#This Row],[Nov AC]]-Financials20263[[#This Row],[Nov FC]]</f>
        <v>0</v>
      </c>
      <c r="BN83" s="71">
        <f>Financials20263[[#This Row],[Dec AC]]-Financials20263[[#This Row],[Dec FC]]</f>
        <v>-3150</v>
      </c>
      <c r="BO83" s="71">
        <f>SUM(Financials20263[[#This Row],[Jan Opp/Risk]:[Dec Opp./Risk]])</f>
        <v>-3150</v>
      </c>
      <c r="BP83" s="88"/>
      <c r="BQ83" s="47">
        <f>SUM(Financials20263[[#This Row],[Jan AC]:[May AC]])</f>
        <v>0</v>
      </c>
      <c r="BR83" s="6">
        <f>Financials20263[[#This Row],[2026 (Actuals + Forecast)]]-Financials20263[[#This Row],[Jan-May Actuals]]-Financials20263[[#This Row],[Jun-Dec FC]]</f>
        <v>0</v>
      </c>
      <c r="BS83" s="6">
        <f>Financials20263[[#This Row],[Jun-Dec FC]]+Financials20263[[#This Row],[Jan-May Forecast ]]</f>
        <v>3150</v>
      </c>
      <c r="BT83" s="6">
        <f>SUM(Financials20263[[#This Row],[Jan FC]:[May FC]])</f>
        <v>0</v>
      </c>
      <c r="BU83" s="6">
        <f>Financials20263[[#This Row],[Jan-May Actuals]]+Financials20263[[#This Row],[Forecast Jun-Dec]]</f>
        <v>3150</v>
      </c>
      <c r="BV83" s="6"/>
      <c r="BW83" s="6"/>
      <c r="BX83" s="6"/>
    </row>
    <row r="84" spans="1:76">
      <c r="A84" s="22" t="s">
        <v>473</v>
      </c>
      <c r="B84" s="21" t="s">
        <v>376</v>
      </c>
      <c r="C84" s="21" t="s">
        <v>376</v>
      </c>
      <c r="D84" s="10" t="s">
        <v>610</v>
      </c>
      <c r="E84" s="7" t="s">
        <v>611</v>
      </c>
      <c r="F84" s="3" t="s">
        <v>488</v>
      </c>
      <c r="G84" s="3" t="s">
        <v>25</v>
      </c>
      <c r="H84" s="4">
        <v>45949</v>
      </c>
      <c r="I84" s="4">
        <v>46313</v>
      </c>
      <c r="J84" s="3" t="s">
        <v>733</v>
      </c>
      <c r="K84" s="3" t="str">
        <f t="shared" si="28"/>
        <v>Prj000446-Implement - Minor Enhancements for Enterprise Apps</v>
      </c>
      <c r="L84" s="21" t="s">
        <v>478</v>
      </c>
      <c r="M84" s="21" t="s">
        <v>16</v>
      </c>
      <c r="N84" s="21" t="s">
        <v>16</v>
      </c>
      <c r="O84" s="21" t="s">
        <v>707</v>
      </c>
      <c r="P84" s="21" t="s">
        <v>479</v>
      </c>
      <c r="Q84" s="21" t="s">
        <v>480</v>
      </c>
      <c r="R84" s="21" t="s">
        <v>480</v>
      </c>
      <c r="S84" s="21" t="s">
        <v>508</v>
      </c>
      <c r="T84" s="5">
        <v>2471</v>
      </c>
      <c r="U84" s="15">
        <v>2594.5500000000002</v>
      </c>
      <c r="V84" s="15">
        <v>2594.5500000000002</v>
      </c>
      <c r="W84" s="15">
        <f t="shared" si="29"/>
        <v>2595</v>
      </c>
      <c r="X84" s="15">
        <f t="shared" si="33"/>
        <v>0</v>
      </c>
      <c r="Y84" s="15">
        <f t="shared" si="30"/>
        <v>0.4499999999998181</v>
      </c>
      <c r="Z84" s="15">
        <f>SUM(Financials20263[[#This Row],[2026 Opportunity]:[2026 Risk]])</f>
        <v>0.4499999999998181</v>
      </c>
      <c r="AA84" s="3" t="s">
        <v>530</v>
      </c>
      <c r="AB84" s="52"/>
      <c r="AC84" s="52"/>
      <c r="AD84" s="52"/>
      <c r="AE84" s="52"/>
      <c r="AF84" s="52"/>
      <c r="AG84" s="51"/>
      <c r="AH84" s="52"/>
      <c r="AI84" s="52"/>
      <c r="AJ84" s="52">
        <v>2595</v>
      </c>
      <c r="AK84" s="52"/>
      <c r="AL84" s="51"/>
      <c r="AM84" s="51"/>
      <c r="AN84" s="51">
        <f>SUM(Financials20263[[#This Row],[Jan FC]:[Dec FC]])</f>
        <v>2595</v>
      </c>
      <c r="AO84" s="15">
        <f t="shared" si="31"/>
        <v>2595</v>
      </c>
      <c r="AP84" s="61"/>
      <c r="AQ84" s="61"/>
      <c r="AR84" s="61"/>
      <c r="AS84" s="61"/>
      <c r="AT84" s="61"/>
      <c r="AU84" s="60"/>
      <c r="AV84" s="61"/>
      <c r="AW84" s="61"/>
      <c r="AX84" s="61"/>
      <c r="AY84" s="61"/>
      <c r="AZ84" s="60"/>
      <c r="BA84" s="60"/>
      <c r="BB84" s="79">
        <f>SUM(Financials20263[[#This Row],[Jan AC]:[Dec AC]])</f>
        <v>0</v>
      </c>
      <c r="BC84" s="71">
        <f>Financials20263[[#This Row],[Jan AC]]-Financials20263[[#This Row],[Jan FC]]</f>
        <v>0</v>
      </c>
      <c r="BD84" s="71">
        <f>Financials20263[[#This Row],[Feb AC]]-Financials20263[[#This Row],[Feb FC]]</f>
        <v>0</v>
      </c>
      <c r="BE84" s="71">
        <f>Financials20263[[#This Row],[Mar AC]]-Financials20263[[#This Row],[Mar FC]]</f>
        <v>0</v>
      </c>
      <c r="BF84" s="71">
        <f>Financials20263[[#This Row],[Apr AC]]-Financials20263[[#This Row],[Apr FC]]</f>
        <v>0</v>
      </c>
      <c r="BG84" s="71">
        <f>Financials20263[[#This Row],[May AC]]-Financials20263[[#This Row],[May FC]]</f>
        <v>0</v>
      </c>
      <c r="BH84" s="71">
        <f>Financials20263[[#This Row],[Jun AC]]-Financials20263[[#This Row],[Jun FC]]</f>
        <v>0</v>
      </c>
      <c r="BI84" s="71">
        <f>Financials20263[[#This Row],[Jul AC]]-Financials20263[[#This Row],[Jul FC]]</f>
        <v>0</v>
      </c>
      <c r="BJ84" s="71">
        <f>Financials20263[[#This Row],[Aug AC]]-Financials20263[[#This Row],[Aug FC]]</f>
        <v>0</v>
      </c>
      <c r="BK84" s="71">
        <f>Financials20263[[#This Row],[Sep AC]]-Financials20263[[#This Row],[Sep FC]]</f>
        <v>-2595</v>
      </c>
      <c r="BL84" s="71">
        <f>Financials20263[[#This Row],[Oct AC]]-Financials20263[[#This Row],[Oct FC]]</f>
        <v>0</v>
      </c>
      <c r="BM84" s="71">
        <f>Financials20263[[#This Row],[Nov AC]]-Financials20263[[#This Row],[Nov FC]]</f>
        <v>0</v>
      </c>
      <c r="BN84" s="71">
        <f>Financials20263[[#This Row],[Dec AC]]-Financials20263[[#This Row],[Dec FC]]</f>
        <v>0</v>
      </c>
      <c r="BO84" s="71">
        <f>SUM(Financials20263[[#This Row],[Jan Opp/Risk]:[Dec Opp./Risk]])</f>
        <v>-2595</v>
      </c>
      <c r="BP84" s="87"/>
      <c r="BQ84" s="47">
        <f>SUM(Financials20263[[#This Row],[Jan AC]:[May AC]])</f>
        <v>0</v>
      </c>
      <c r="BR84" s="6">
        <f>Financials20263[[#This Row],[2026 (Actuals + Forecast)]]-Financials20263[[#This Row],[Jan-May Actuals]]-Financials20263[[#This Row],[Jun-Dec FC]]</f>
        <v>0</v>
      </c>
      <c r="BS84" s="6">
        <f>Financials20263[[#This Row],[Jun-Dec FC]]+Financials20263[[#This Row],[Jan-May Forecast ]]</f>
        <v>2595</v>
      </c>
      <c r="BT84" s="6">
        <f>SUM(Financials20263[[#This Row],[Jan FC]:[May FC]])</f>
        <v>0</v>
      </c>
      <c r="BU84" s="6">
        <f>Financials20263[[#This Row],[Jan-May Actuals]]+Financials20263[[#This Row],[Forecast Jun-Dec]]</f>
        <v>2595</v>
      </c>
      <c r="BV84" s="6"/>
      <c r="BW84" s="6"/>
      <c r="BX84" s="6"/>
    </row>
    <row r="85" spans="1:76">
      <c r="A85" s="22" t="s">
        <v>473</v>
      </c>
      <c r="B85" s="21" t="s">
        <v>285</v>
      </c>
      <c r="C85" s="21" t="s">
        <v>734</v>
      </c>
      <c r="D85" s="10" t="s">
        <v>601</v>
      </c>
      <c r="E85" s="7" t="s">
        <v>602</v>
      </c>
      <c r="F85" s="3" t="s">
        <v>43</v>
      </c>
      <c r="G85" s="3" t="s">
        <v>20</v>
      </c>
      <c r="H85" s="4">
        <v>45765</v>
      </c>
      <c r="I85" s="4">
        <v>46129</v>
      </c>
      <c r="J85" s="3" t="s">
        <v>734</v>
      </c>
      <c r="K85" s="3" t="str">
        <f t="shared" si="28"/>
        <v>Prj000458-Support - Data Analytics Office</v>
      </c>
      <c r="L85" s="21" t="s">
        <v>478</v>
      </c>
      <c r="M85" s="21" t="s">
        <v>16</v>
      </c>
      <c r="N85" s="21" t="s">
        <v>16</v>
      </c>
      <c r="O85" s="21" t="s">
        <v>547</v>
      </c>
      <c r="P85" s="21" t="s">
        <v>479</v>
      </c>
      <c r="Q85" s="21" t="s">
        <v>480</v>
      </c>
      <c r="R85" s="21" t="s">
        <v>480</v>
      </c>
      <c r="S85" s="21" t="s">
        <v>481</v>
      </c>
      <c r="T85" s="5">
        <v>182520</v>
      </c>
      <c r="U85" s="15">
        <v>191646</v>
      </c>
      <c r="V85" s="15">
        <v>191646</v>
      </c>
      <c r="W85" s="15">
        <f t="shared" si="29"/>
        <v>128265.00749999999</v>
      </c>
      <c r="X85" s="15">
        <f t="shared" si="33"/>
        <v>-63380.992500000008</v>
      </c>
      <c r="Y85" s="15">
        <f t="shared" si="30"/>
        <v>0</v>
      </c>
      <c r="Z85" s="15">
        <f>SUM(Financials20263[[#This Row],[2026 Opportunity]:[2026 Risk]])</f>
        <v>-63380.992500000008</v>
      </c>
      <c r="AA85" s="3" t="s">
        <v>735</v>
      </c>
      <c r="AB85" s="52"/>
      <c r="AC85" s="52"/>
      <c r="AD85" s="52"/>
      <c r="AE85" s="52">
        <v>14251.667500000001</v>
      </c>
      <c r="AF85" s="52">
        <v>14251.667500000001</v>
      </c>
      <c r="AG85" s="52">
        <v>14251.667500000001</v>
      </c>
      <c r="AH85" s="52">
        <v>14251.667500000001</v>
      </c>
      <c r="AI85" s="52">
        <v>14251.667500000001</v>
      </c>
      <c r="AJ85" s="52">
        <v>14251.667500000001</v>
      </c>
      <c r="AK85" s="52">
        <v>14251.667500000001</v>
      </c>
      <c r="AL85" s="52">
        <v>14251.667500000001</v>
      </c>
      <c r="AM85" s="52">
        <v>14251.667500000001</v>
      </c>
      <c r="AN85" s="52">
        <f>SUM(Financials20263[[#This Row],[Jan FC]:[Dec FC]])</f>
        <v>128265.00749999999</v>
      </c>
      <c r="AO85" s="15">
        <f t="shared" si="31"/>
        <v>99761.672500000001</v>
      </c>
      <c r="AP85" s="61"/>
      <c r="AQ85" s="61"/>
      <c r="AR85" s="61"/>
      <c r="AS85" s="61">
        <f t="shared" ref="AS85:BA85" si="36">171020.01/12</f>
        <v>14251.667500000001</v>
      </c>
      <c r="AT85" s="61">
        <f t="shared" si="36"/>
        <v>14251.667500000001</v>
      </c>
      <c r="AU85" s="61">
        <f t="shared" si="36"/>
        <v>14251.667500000001</v>
      </c>
      <c r="AV85" s="61">
        <f t="shared" si="36"/>
        <v>14251.667500000001</v>
      </c>
      <c r="AW85" s="61">
        <f t="shared" si="36"/>
        <v>14251.667500000001</v>
      </c>
      <c r="AX85" s="61">
        <f t="shared" si="36"/>
        <v>14251.667500000001</v>
      </c>
      <c r="AY85" s="61">
        <f t="shared" si="36"/>
        <v>14251.667500000001</v>
      </c>
      <c r="AZ85" s="61">
        <f t="shared" si="36"/>
        <v>14251.667500000001</v>
      </c>
      <c r="BA85" s="61">
        <f t="shared" si="36"/>
        <v>14251.667500000001</v>
      </c>
      <c r="BB85" s="80">
        <f>SUM(Financials20263[[#This Row],[Jan AC]:[Dec AC]])</f>
        <v>128265.00749999999</v>
      </c>
      <c r="BC85" s="71">
        <f>Financials20263[[#This Row],[Jan AC]]-Financials20263[[#This Row],[Jan FC]]</f>
        <v>0</v>
      </c>
      <c r="BD85" s="71">
        <f>Financials20263[[#This Row],[Feb AC]]-Financials20263[[#This Row],[Feb FC]]</f>
        <v>0</v>
      </c>
      <c r="BE85" s="71">
        <f>Financials20263[[#This Row],[Mar AC]]-Financials20263[[#This Row],[Mar FC]]</f>
        <v>0</v>
      </c>
      <c r="BF85" s="71">
        <f>Financials20263[[#This Row],[Apr AC]]-Financials20263[[#This Row],[Apr FC]]</f>
        <v>0</v>
      </c>
      <c r="BG85" s="71">
        <f>Financials20263[[#This Row],[May AC]]-Financials20263[[#This Row],[May FC]]</f>
        <v>0</v>
      </c>
      <c r="BH85" s="71">
        <f>Financials20263[[#This Row],[Jun AC]]-Financials20263[[#This Row],[Jun FC]]</f>
        <v>0</v>
      </c>
      <c r="BI85" s="71">
        <f>Financials20263[[#This Row],[Jul AC]]-Financials20263[[#This Row],[Jul FC]]</f>
        <v>0</v>
      </c>
      <c r="BJ85" s="71">
        <f>Financials20263[[#This Row],[Aug AC]]-Financials20263[[#This Row],[Aug FC]]</f>
        <v>0</v>
      </c>
      <c r="BK85" s="71">
        <f>Financials20263[[#This Row],[Sep AC]]-Financials20263[[#This Row],[Sep FC]]</f>
        <v>0</v>
      </c>
      <c r="BL85" s="71">
        <f>Financials20263[[#This Row],[Oct AC]]-Financials20263[[#This Row],[Oct FC]]</f>
        <v>0</v>
      </c>
      <c r="BM85" s="71">
        <f>Financials20263[[#This Row],[Nov AC]]-Financials20263[[#This Row],[Nov FC]]</f>
        <v>0</v>
      </c>
      <c r="BN85" s="71">
        <f>Financials20263[[#This Row],[Dec AC]]-Financials20263[[#This Row],[Dec FC]]</f>
        <v>0</v>
      </c>
      <c r="BO85" s="71">
        <f>SUM(Financials20263[[#This Row],[Jan Opp/Risk]:[Dec Opp./Risk]])</f>
        <v>0</v>
      </c>
      <c r="BP85" s="88" t="s">
        <v>736</v>
      </c>
      <c r="BQ85" s="47">
        <f>SUM(Financials20263[[#This Row],[Jan AC]:[May AC]])</f>
        <v>28503.335000000003</v>
      </c>
      <c r="BR85" s="6">
        <f>Financials20263[[#This Row],[2026 (Actuals + Forecast)]]-Financials20263[[#This Row],[Jan-May Actuals]]-Financials20263[[#This Row],[Jun-Dec FC]]</f>
        <v>0</v>
      </c>
      <c r="BS85" s="6">
        <f>Financials20263[[#This Row],[Jun-Dec FC]]+Financials20263[[#This Row],[Jan-May Forecast ]]</f>
        <v>99761.672500000001</v>
      </c>
      <c r="BT85" s="6">
        <f>SUM(Financials20263[[#This Row],[Jan FC]:[May FC]])</f>
        <v>28503.335000000003</v>
      </c>
      <c r="BU85" s="6">
        <f>Financials20263[[#This Row],[Jan-May Actuals]]+Financials20263[[#This Row],[Forecast Jun-Dec]]</f>
        <v>128265.00750000001</v>
      </c>
      <c r="BV85" s="6"/>
      <c r="BW85" s="6"/>
      <c r="BX85" s="6"/>
    </row>
    <row r="86" spans="1:76">
      <c r="A86" s="22" t="s">
        <v>473</v>
      </c>
      <c r="B86" s="21" t="s">
        <v>371</v>
      </c>
      <c r="C86" s="21" t="s">
        <v>737</v>
      </c>
      <c r="D86" s="10" t="s">
        <v>610</v>
      </c>
      <c r="E86" s="7" t="s">
        <v>611</v>
      </c>
      <c r="F86" s="3" t="s">
        <v>488</v>
      </c>
      <c r="G86" s="3" t="s">
        <v>25</v>
      </c>
      <c r="H86" s="4" t="s">
        <v>489</v>
      </c>
      <c r="I86" s="4" t="s">
        <v>489</v>
      </c>
      <c r="J86" s="3"/>
      <c r="K86" s="3" t="str">
        <f t="shared" si="28"/>
        <v>Prj000446-Implement - Minor Enhancements for Enterprise Apps</v>
      </c>
      <c r="L86" s="21" t="s">
        <v>478</v>
      </c>
      <c r="M86" s="21" t="s">
        <v>16</v>
      </c>
      <c r="N86" s="21" t="s">
        <v>16</v>
      </c>
      <c r="O86" s="21"/>
      <c r="P86" s="21" t="s">
        <v>479</v>
      </c>
      <c r="Q86" s="21" t="s">
        <v>480</v>
      </c>
      <c r="R86" s="21" t="s">
        <v>480</v>
      </c>
      <c r="S86" s="21" t="s">
        <v>508</v>
      </c>
      <c r="T86" s="5">
        <v>48000</v>
      </c>
      <c r="U86" s="15">
        <v>50400</v>
      </c>
      <c r="V86" s="15">
        <v>50400</v>
      </c>
      <c r="W86" s="15">
        <f t="shared" si="29"/>
        <v>50400</v>
      </c>
      <c r="X86" s="15">
        <f t="shared" si="33"/>
        <v>0</v>
      </c>
      <c r="Y86" s="15">
        <f t="shared" si="30"/>
        <v>0</v>
      </c>
      <c r="Z86" s="15">
        <f>SUM(Financials20263[[#This Row],[2026 Opportunity]:[2026 Risk]])</f>
        <v>0</v>
      </c>
      <c r="AA86" s="3" t="s">
        <v>738</v>
      </c>
      <c r="AB86" s="52"/>
      <c r="AC86" s="52"/>
      <c r="AD86" s="52"/>
      <c r="AE86" s="52"/>
      <c r="AF86" s="52"/>
      <c r="AG86" s="51"/>
      <c r="AH86" s="52"/>
      <c r="AI86" s="52"/>
      <c r="AJ86" s="52"/>
      <c r="AK86" s="52"/>
      <c r="AL86" s="52"/>
      <c r="AM86" s="52">
        <v>50400</v>
      </c>
      <c r="AN86" s="52">
        <f>SUM(Financials20263[[#This Row],[Jan FC]:[Dec FC]])</f>
        <v>50400</v>
      </c>
      <c r="AO86" s="15">
        <f t="shared" si="31"/>
        <v>50400</v>
      </c>
      <c r="AP86" s="61"/>
      <c r="AQ86" s="61"/>
      <c r="AR86" s="61"/>
      <c r="AS86" s="61"/>
      <c r="AT86" s="61"/>
      <c r="AU86" s="60"/>
      <c r="AV86" s="61"/>
      <c r="AW86" s="61"/>
      <c r="AX86" s="61"/>
      <c r="AY86" s="61"/>
      <c r="AZ86" s="61"/>
      <c r="BA86" s="61"/>
      <c r="BB86" s="80">
        <f>SUM(Financials20263[[#This Row],[Jan AC]:[Dec AC]])</f>
        <v>0</v>
      </c>
      <c r="BC86" s="71">
        <f>Financials20263[[#This Row],[Jan AC]]-Financials20263[[#This Row],[Jan FC]]</f>
        <v>0</v>
      </c>
      <c r="BD86" s="71">
        <f>Financials20263[[#This Row],[Feb AC]]-Financials20263[[#This Row],[Feb FC]]</f>
        <v>0</v>
      </c>
      <c r="BE86" s="71">
        <f>Financials20263[[#This Row],[Mar AC]]-Financials20263[[#This Row],[Mar FC]]</f>
        <v>0</v>
      </c>
      <c r="BF86" s="71">
        <f>Financials20263[[#This Row],[Apr AC]]-Financials20263[[#This Row],[Apr FC]]</f>
        <v>0</v>
      </c>
      <c r="BG86" s="71">
        <f>Financials20263[[#This Row],[May AC]]-Financials20263[[#This Row],[May FC]]</f>
        <v>0</v>
      </c>
      <c r="BH86" s="71">
        <f>Financials20263[[#This Row],[Jun AC]]-Financials20263[[#This Row],[Jun FC]]</f>
        <v>0</v>
      </c>
      <c r="BI86" s="71">
        <f>Financials20263[[#This Row],[Jul AC]]-Financials20263[[#This Row],[Jul FC]]</f>
        <v>0</v>
      </c>
      <c r="BJ86" s="71">
        <f>Financials20263[[#This Row],[Aug AC]]-Financials20263[[#This Row],[Aug FC]]</f>
        <v>0</v>
      </c>
      <c r="BK86" s="71">
        <f>Financials20263[[#This Row],[Sep AC]]-Financials20263[[#This Row],[Sep FC]]</f>
        <v>0</v>
      </c>
      <c r="BL86" s="71">
        <f>Financials20263[[#This Row],[Oct AC]]-Financials20263[[#This Row],[Oct FC]]</f>
        <v>0</v>
      </c>
      <c r="BM86" s="71">
        <f>Financials20263[[#This Row],[Nov AC]]-Financials20263[[#This Row],[Nov FC]]</f>
        <v>0</v>
      </c>
      <c r="BN86" s="71">
        <f>Financials20263[[#This Row],[Dec AC]]-Financials20263[[#This Row],[Dec FC]]</f>
        <v>-50400</v>
      </c>
      <c r="BO86" s="71">
        <f>SUM(Financials20263[[#This Row],[Jan Opp/Risk]:[Dec Opp./Risk]])</f>
        <v>-50400</v>
      </c>
      <c r="BP86" s="87"/>
      <c r="BQ86" s="47">
        <f>SUM(Financials20263[[#This Row],[Jan AC]:[May AC]])</f>
        <v>0</v>
      </c>
      <c r="BR86" s="6">
        <f>Financials20263[[#This Row],[2026 (Actuals + Forecast)]]-Financials20263[[#This Row],[Jan-May Actuals]]-Financials20263[[#This Row],[Jun-Dec FC]]</f>
        <v>0</v>
      </c>
      <c r="BS86" s="6">
        <f>Financials20263[[#This Row],[Jun-Dec FC]]+Financials20263[[#This Row],[Jan-May Forecast ]]</f>
        <v>50400</v>
      </c>
      <c r="BT86" s="6">
        <f>SUM(Financials20263[[#This Row],[Jan FC]:[May FC]])</f>
        <v>0</v>
      </c>
      <c r="BU86" s="6">
        <f>Financials20263[[#This Row],[Jan-May Actuals]]+Financials20263[[#This Row],[Forecast Jun-Dec]]</f>
        <v>50400</v>
      </c>
      <c r="BV86" s="6"/>
      <c r="BW86" s="6"/>
      <c r="BX86" s="6"/>
    </row>
    <row r="87" spans="1:76">
      <c r="A87" s="22" t="s">
        <v>473</v>
      </c>
      <c r="B87" s="21" t="s">
        <v>359</v>
      </c>
      <c r="C87" s="21"/>
      <c r="D87" s="10" t="s">
        <v>518</v>
      </c>
      <c r="E87" s="7" t="s">
        <v>519</v>
      </c>
      <c r="F87" s="3" t="s">
        <v>520</v>
      </c>
      <c r="G87" s="3" t="s">
        <v>24</v>
      </c>
      <c r="H87" s="4" t="s">
        <v>489</v>
      </c>
      <c r="I87" s="4" t="s">
        <v>489</v>
      </c>
      <c r="J87" s="3"/>
      <c r="K87" s="3" t="str">
        <f t="shared" si="28"/>
        <v>Prj000290-Support - Asset Management Applications</v>
      </c>
      <c r="L87" s="21" t="s">
        <v>478</v>
      </c>
      <c r="M87" s="21" t="s">
        <v>16</v>
      </c>
      <c r="N87" s="21" t="s">
        <v>16</v>
      </c>
      <c r="O87" s="21"/>
      <c r="P87" s="21" t="s">
        <v>479</v>
      </c>
      <c r="Q87" s="21" t="s">
        <v>509</v>
      </c>
      <c r="R87" s="21" t="s">
        <v>510</v>
      </c>
      <c r="S87" s="21" t="s">
        <v>504</v>
      </c>
      <c r="T87" s="5">
        <v>138759</v>
      </c>
      <c r="U87" s="15">
        <v>119571.06</v>
      </c>
      <c r="V87" s="15">
        <v>119571.06</v>
      </c>
      <c r="W87" s="15">
        <f t="shared" si="29"/>
        <v>119571.06</v>
      </c>
      <c r="X87" s="15">
        <f t="shared" si="33"/>
        <v>0</v>
      </c>
      <c r="Y87" s="15">
        <f t="shared" si="30"/>
        <v>0</v>
      </c>
      <c r="Z87" s="15">
        <f>SUM(Financials20263[[#This Row],[2026 Opportunity]:[2026 Risk]])</f>
        <v>0</v>
      </c>
      <c r="AA87" s="3" t="s">
        <v>739</v>
      </c>
      <c r="AB87" s="52">
        <v>6188</v>
      </c>
      <c r="AC87" s="52">
        <v>3300</v>
      </c>
      <c r="AD87" s="52"/>
      <c r="AE87" s="52"/>
      <c r="AF87" s="52"/>
      <c r="AG87" s="52"/>
      <c r="AH87" s="52"/>
      <c r="AI87" s="52"/>
      <c r="AJ87" s="52"/>
      <c r="AK87" s="52"/>
      <c r="AL87" s="52"/>
      <c r="AM87" s="46">
        <f>119571.06-9488</f>
        <v>110083.06</v>
      </c>
      <c r="AN87" s="52">
        <f>SUM(Financials20263[[#This Row],[Jan FC]:[Dec FC]])</f>
        <v>119571.06</v>
      </c>
      <c r="AO87" s="15">
        <f t="shared" si="31"/>
        <v>110083.06</v>
      </c>
      <c r="AP87" s="61">
        <v>6188</v>
      </c>
      <c r="AQ87" s="61">
        <v>3300</v>
      </c>
      <c r="AR87" s="61"/>
      <c r="AS87" s="61"/>
      <c r="AT87" s="61"/>
      <c r="AU87" s="61"/>
      <c r="AV87" s="61"/>
      <c r="AW87" s="61"/>
      <c r="AX87" s="61"/>
      <c r="AY87" s="61"/>
      <c r="AZ87" s="61"/>
      <c r="BA87" s="61"/>
      <c r="BB87" s="80">
        <f>SUM(Financials20263[[#This Row],[Jan AC]:[Dec AC]])</f>
        <v>9488</v>
      </c>
      <c r="BC87" s="71">
        <f>Financials20263[[#This Row],[Jan AC]]-Financials20263[[#This Row],[Jan FC]]</f>
        <v>0</v>
      </c>
      <c r="BD87" s="71">
        <f>Financials20263[[#This Row],[Feb AC]]-Financials20263[[#This Row],[Feb FC]]</f>
        <v>0</v>
      </c>
      <c r="BE87" s="71">
        <f>Financials20263[[#This Row],[Mar AC]]-Financials20263[[#This Row],[Mar FC]]</f>
        <v>0</v>
      </c>
      <c r="BF87" s="71">
        <f>Financials20263[[#This Row],[Apr AC]]-Financials20263[[#This Row],[Apr FC]]</f>
        <v>0</v>
      </c>
      <c r="BG87" s="71">
        <f>Financials20263[[#This Row],[May AC]]-Financials20263[[#This Row],[May FC]]</f>
        <v>0</v>
      </c>
      <c r="BH87" s="71">
        <f>Financials20263[[#This Row],[Jun AC]]-Financials20263[[#This Row],[Jun FC]]</f>
        <v>0</v>
      </c>
      <c r="BI87" s="71">
        <f>Financials20263[[#This Row],[Jul AC]]-Financials20263[[#This Row],[Jul FC]]</f>
        <v>0</v>
      </c>
      <c r="BJ87" s="71">
        <f>Financials20263[[#This Row],[Aug AC]]-Financials20263[[#This Row],[Aug FC]]</f>
        <v>0</v>
      </c>
      <c r="BK87" s="71">
        <f>Financials20263[[#This Row],[Sep AC]]-Financials20263[[#This Row],[Sep FC]]</f>
        <v>0</v>
      </c>
      <c r="BL87" s="71">
        <f>Financials20263[[#This Row],[Oct AC]]-Financials20263[[#This Row],[Oct FC]]</f>
        <v>0</v>
      </c>
      <c r="BM87" s="71">
        <f>Financials20263[[#This Row],[Nov AC]]-Financials20263[[#This Row],[Nov FC]]</f>
        <v>0</v>
      </c>
      <c r="BN87" s="71">
        <f>Financials20263[[#This Row],[Dec AC]]-Financials20263[[#This Row],[Dec FC]]</f>
        <v>-110083.06</v>
      </c>
      <c r="BO87" s="71">
        <f>SUM(Financials20263[[#This Row],[Jan Opp/Risk]:[Dec Opp./Risk]])</f>
        <v>-110083.06</v>
      </c>
      <c r="BP87" s="87" t="s">
        <v>740</v>
      </c>
      <c r="BQ87" s="47">
        <f>SUM(Financials20263[[#This Row],[Jan AC]:[May AC]])</f>
        <v>9488</v>
      </c>
      <c r="BR87" s="6">
        <f>Financials20263[[#This Row],[2026 (Actuals + Forecast)]]-Financials20263[[#This Row],[Jan-May Actuals]]-Financials20263[[#This Row],[Jun-Dec FC]]</f>
        <v>0</v>
      </c>
      <c r="BS87" s="6">
        <f>Financials20263[[#This Row],[Jun-Dec FC]]+Financials20263[[#This Row],[Jan-May Forecast ]]</f>
        <v>110083.06</v>
      </c>
      <c r="BT87" s="6">
        <f>SUM(Financials20263[[#This Row],[Jan FC]:[May FC]])</f>
        <v>9488</v>
      </c>
      <c r="BU87" s="6">
        <f>Financials20263[[#This Row],[Jan-May Actuals]]+Financials20263[[#This Row],[Forecast Jun-Dec]]</f>
        <v>119571.06</v>
      </c>
      <c r="BV87" s="6"/>
      <c r="BW87" s="6"/>
      <c r="BX87" s="6"/>
    </row>
    <row r="88" spans="1:76">
      <c r="A88" s="22" t="s">
        <v>473</v>
      </c>
      <c r="B88" s="21" t="s">
        <v>227</v>
      </c>
      <c r="C88" s="21" t="s">
        <v>624</v>
      </c>
      <c r="D88" s="10" t="s">
        <v>610</v>
      </c>
      <c r="E88" s="7" t="s">
        <v>611</v>
      </c>
      <c r="F88" s="3" t="s">
        <v>488</v>
      </c>
      <c r="G88" s="3" t="s">
        <v>25</v>
      </c>
      <c r="H88" s="4">
        <v>46023</v>
      </c>
      <c r="I88" s="4">
        <v>46387</v>
      </c>
      <c r="J88" s="3"/>
      <c r="K88" s="3" t="str">
        <f t="shared" si="28"/>
        <v>Prj000446-Implement - Minor Enhancements for Enterprise Apps</v>
      </c>
      <c r="L88" s="21" t="s">
        <v>478</v>
      </c>
      <c r="M88" s="21" t="s">
        <v>14</v>
      </c>
      <c r="N88" s="21" t="s">
        <v>16</v>
      </c>
      <c r="O88" s="21" t="s">
        <v>510</v>
      </c>
      <c r="P88" s="21" t="s">
        <v>501</v>
      </c>
      <c r="Q88" s="21" t="s">
        <v>502</v>
      </c>
      <c r="R88" s="21" t="s">
        <v>503</v>
      </c>
      <c r="S88" s="21" t="s">
        <v>508</v>
      </c>
      <c r="T88" s="5">
        <v>29400</v>
      </c>
      <c r="U88" s="15">
        <v>32400</v>
      </c>
      <c r="V88" s="15">
        <v>32400</v>
      </c>
      <c r="W88" s="15">
        <f t="shared" si="29"/>
        <v>32009.25</v>
      </c>
      <c r="X88" s="15">
        <f t="shared" si="33"/>
        <v>-390.75</v>
      </c>
      <c r="Y88" s="15">
        <f t="shared" si="30"/>
        <v>0</v>
      </c>
      <c r="Z88" s="15">
        <f>SUM(Financials20263[[#This Row],[2026 Opportunity]:[2026 Risk]])</f>
        <v>-390.75</v>
      </c>
      <c r="AA88" s="3"/>
      <c r="AB88" s="52">
        <v>32400</v>
      </c>
      <c r="AC88" s="52">
        <v>0</v>
      </c>
      <c r="AD88" s="52">
        <v>0</v>
      </c>
      <c r="AE88" s="52">
        <v>0</v>
      </c>
      <c r="AF88" s="52">
        <v>0</v>
      </c>
      <c r="AG88" s="52">
        <v>0</v>
      </c>
      <c r="AH88" s="52">
        <v>0</v>
      </c>
      <c r="AI88" s="52">
        <v>0</v>
      </c>
      <c r="AJ88" s="52">
        <v>0</v>
      </c>
      <c r="AK88" s="52">
        <v>0</v>
      </c>
      <c r="AL88" s="52">
        <v>0</v>
      </c>
      <c r="AM88" s="52">
        <v>0</v>
      </c>
      <c r="AN88" s="52">
        <f>SUM(Financials20263[[#This Row],[Jan FC]:[Dec FC]])</f>
        <v>32400</v>
      </c>
      <c r="AO88" s="15">
        <f t="shared" si="31"/>
        <v>0</v>
      </c>
      <c r="AP88" s="61">
        <v>32009.25</v>
      </c>
      <c r="AQ88" s="61">
        <v>0</v>
      </c>
      <c r="AR88" s="61">
        <v>0</v>
      </c>
      <c r="AS88" s="61">
        <v>0</v>
      </c>
      <c r="AT88" s="61">
        <v>0</v>
      </c>
      <c r="AU88" s="61">
        <v>0</v>
      </c>
      <c r="AV88" s="61">
        <v>0</v>
      </c>
      <c r="AW88" s="61">
        <v>0</v>
      </c>
      <c r="AX88" s="61">
        <v>0</v>
      </c>
      <c r="AY88" s="61">
        <v>0</v>
      </c>
      <c r="AZ88" s="61">
        <v>0</v>
      </c>
      <c r="BA88" s="61">
        <v>0</v>
      </c>
      <c r="BB88" s="80">
        <f>SUM(Financials20263[[#This Row],[Jan AC]:[Dec AC]])</f>
        <v>32009.25</v>
      </c>
      <c r="BC88" s="71">
        <f>Financials20263[[#This Row],[Jan AC]]-Financials20263[[#This Row],[Jan FC]]</f>
        <v>-390.75</v>
      </c>
      <c r="BD88" s="71">
        <f>Financials20263[[#This Row],[Feb AC]]-Financials20263[[#This Row],[Feb FC]]</f>
        <v>0</v>
      </c>
      <c r="BE88" s="71">
        <f>Financials20263[[#This Row],[Mar AC]]-Financials20263[[#This Row],[Mar FC]]</f>
        <v>0</v>
      </c>
      <c r="BF88" s="71">
        <f>Financials20263[[#This Row],[Apr AC]]-Financials20263[[#This Row],[Apr FC]]</f>
        <v>0</v>
      </c>
      <c r="BG88" s="71">
        <f>Financials20263[[#This Row],[May AC]]-Financials20263[[#This Row],[May FC]]</f>
        <v>0</v>
      </c>
      <c r="BH88" s="71">
        <f>Financials20263[[#This Row],[Jun AC]]-Financials20263[[#This Row],[Jun FC]]</f>
        <v>0</v>
      </c>
      <c r="BI88" s="71">
        <f>Financials20263[[#This Row],[Jul AC]]-Financials20263[[#This Row],[Jul FC]]</f>
        <v>0</v>
      </c>
      <c r="BJ88" s="71">
        <f>Financials20263[[#This Row],[Aug AC]]-Financials20263[[#This Row],[Aug FC]]</f>
        <v>0</v>
      </c>
      <c r="BK88" s="71">
        <f>Financials20263[[#This Row],[Sep AC]]-Financials20263[[#This Row],[Sep FC]]</f>
        <v>0</v>
      </c>
      <c r="BL88" s="71">
        <f>Financials20263[[#This Row],[Oct AC]]-Financials20263[[#This Row],[Oct FC]]</f>
        <v>0</v>
      </c>
      <c r="BM88" s="71">
        <f>Financials20263[[#This Row],[Nov AC]]-Financials20263[[#This Row],[Nov FC]]</f>
        <v>0</v>
      </c>
      <c r="BN88" s="71">
        <f>Financials20263[[#This Row],[Dec AC]]-Financials20263[[#This Row],[Dec FC]]</f>
        <v>0</v>
      </c>
      <c r="BO88" s="71">
        <f>SUM(Financials20263[[#This Row],[Jan Opp/Risk]:[Dec Opp./Risk]])</f>
        <v>-390.75</v>
      </c>
      <c r="BP88" s="87" t="s">
        <v>531</v>
      </c>
      <c r="BQ88" s="47">
        <f>SUM(Financials20263[[#This Row],[Jan AC]:[May AC]])</f>
        <v>32009.25</v>
      </c>
      <c r="BR88" s="6">
        <f>Financials20263[[#This Row],[2026 (Actuals + Forecast)]]-Financials20263[[#This Row],[Jan-May Actuals]]-Financials20263[[#This Row],[Jun-Dec FC]]</f>
        <v>0</v>
      </c>
      <c r="BS88" s="6">
        <f>Financials20263[[#This Row],[Jun-Dec FC]]+Financials20263[[#This Row],[Jan-May Forecast ]]</f>
        <v>0</v>
      </c>
      <c r="BT88" s="6">
        <f>SUM(Financials20263[[#This Row],[Jan FC]:[May FC]])</f>
        <v>32400</v>
      </c>
      <c r="BU88" s="6">
        <f>Financials20263[[#This Row],[Jan-May Actuals]]+Financials20263[[#This Row],[Forecast Jun-Dec]]</f>
        <v>32009.25</v>
      </c>
      <c r="BV88" s="6"/>
      <c r="BW88" s="6"/>
      <c r="BX88" s="6"/>
    </row>
    <row r="89" spans="1:76" ht="100.9">
      <c r="A89" s="22" t="s">
        <v>473</v>
      </c>
      <c r="B89" s="21" t="s">
        <v>92</v>
      </c>
      <c r="C89" s="21"/>
      <c r="D89" s="10" t="s">
        <v>475</v>
      </c>
      <c r="E89" s="7" t="s">
        <v>476</v>
      </c>
      <c r="F89" s="3" t="s">
        <v>91</v>
      </c>
      <c r="G89" s="3" t="s">
        <v>21</v>
      </c>
      <c r="H89" s="4" t="s">
        <v>741</v>
      </c>
      <c r="I89" s="4" t="s">
        <v>741</v>
      </c>
      <c r="J89" s="3"/>
      <c r="K89" s="3" t="str">
        <f t="shared" si="28"/>
        <v>Prj000350-Support - Infrastructure for Tech</v>
      </c>
      <c r="L89" s="21" t="s">
        <v>478</v>
      </c>
      <c r="M89" s="21" t="s">
        <v>16</v>
      </c>
      <c r="N89" s="21" t="s">
        <v>16</v>
      </c>
      <c r="O89" s="21"/>
      <c r="P89" s="21" t="s">
        <v>479</v>
      </c>
      <c r="Q89" s="21" t="s">
        <v>509</v>
      </c>
      <c r="R89" s="21" t="s">
        <v>510</v>
      </c>
      <c r="S89" s="21" t="s">
        <v>504</v>
      </c>
      <c r="T89" s="5">
        <v>449917.66</v>
      </c>
      <c r="U89" s="15">
        <v>1091630.8800000001</v>
      </c>
      <c r="V89" s="15">
        <v>1091630.8800000001</v>
      </c>
      <c r="W89" s="15">
        <f t="shared" si="29"/>
        <v>1091630.6000000001</v>
      </c>
      <c r="X89" s="15">
        <f t="shared" si="33"/>
        <v>-0.28000000002793968</v>
      </c>
      <c r="Y89" s="15">
        <f t="shared" si="30"/>
        <v>0</v>
      </c>
      <c r="Z89" s="15">
        <f>SUM(Financials20263[[#This Row],[2026 Opportunity]:[2026 Risk]])</f>
        <v>-0.28000000002793968</v>
      </c>
      <c r="AA89" s="11" t="s">
        <v>742</v>
      </c>
      <c r="AB89" s="52"/>
      <c r="AC89" s="52"/>
      <c r="AD89" s="52"/>
      <c r="AE89" s="52"/>
      <c r="AF89" s="52"/>
      <c r="AG89" s="52"/>
      <c r="AH89" s="52"/>
      <c r="AI89" s="52">
        <f>(84819.8+109916.76+14581.85+104952.63+27106.56)+24750</f>
        <v>366127.60000000003</v>
      </c>
      <c r="AJ89" s="52"/>
      <c r="AK89" s="52"/>
      <c r="AL89" s="52"/>
      <c r="AM89" s="46">
        <v>725503</v>
      </c>
      <c r="AN89" s="52">
        <f>SUM(Financials20263[[#This Row],[Jan FC]:[Dec FC]])</f>
        <v>1091630.6000000001</v>
      </c>
      <c r="AO89" s="15">
        <f t="shared" si="31"/>
        <v>1091630.6000000001</v>
      </c>
      <c r="AP89" s="61"/>
      <c r="AQ89" s="61"/>
      <c r="AR89" s="61"/>
      <c r="AS89" s="61"/>
      <c r="AT89" s="61"/>
      <c r="AU89" s="61"/>
      <c r="AV89" s="61"/>
      <c r="AW89" s="61"/>
      <c r="AX89" s="61"/>
      <c r="AY89" s="61"/>
      <c r="AZ89" s="61"/>
      <c r="BA89" s="61"/>
      <c r="BB89" s="80">
        <f>SUM(Financials20263[[#This Row],[Jan AC]:[Dec AC]])</f>
        <v>0</v>
      </c>
      <c r="BC89" s="71">
        <f>Financials20263[[#This Row],[Jan AC]]-Financials20263[[#This Row],[Jan FC]]</f>
        <v>0</v>
      </c>
      <c r="BD89" s="71">
        <f>Financials20263[[#This Row],[Feb AC]]-Financials20263[[#This Row],[Feb FC]]</f>
        <v>0</v>
      </c>
      <c r="BE89" s="71">
        <f>Financials20263[[#This Row],[Mar AC]]-Financials20263[[#This Row],[Mar FC]]</f>
        <v>0</v>
      </c>
      <c r="BF89" s="71">
        <f>Financials20263[[#This Row],[Apr AC]]-Financials20263[[#This Row],[Apr FC]]</f>
        <v>0</v>
      </c>
      <c r="BG89" s="71">
        <f>Financials20263[[#This Row],[May AC]]-Financials20263[[#This Row],[May FC]]</f>
        <v>0</v>
      </c>
      <c r="BH89" s="71">
        <f>Financials20263[[#This Row],[Jun AC]]-Financials20263[[#This Row],[Jun FC]]</f>
        <v>0</v>
      </c>
      <c r="BI89" s="71">
        <f>Financials20263[[#This Row],[Jul AC]]-Financials20263[[#This Row],[Jul FC]]</f>
        <v>0</v>
      </c>
      <c r="BJ89" s="71">
        <f>Financials20263[[#This Row],[Aug AC]]-Financials20263[[#This Row],[Aug FC]]</f>
        <v>-366127.60000000003</v>
      </c>
      <c r="BK89" s="71">
        <f>Financials20263[[#This Row],[Sep AC]]-Financials20263[[#This Row],[Sep FC]]</f>
        <v>0</v>
      </c>
      <c r="BL89" s="71">
        <f>Financials20263[[#This Row],[Oct AC]]-Financials20263[[#This Row],[Oct FC]]</f>
        <v>0</v>
      </c>
      <c r="BM89" s="71">
        <f>Financials20263[[#This Row],[Nov AC]]-Financials20263[[#This Row],[Nov FC]]</f>
        <v>0</v>
      </c>
      <c r="BN89" s="71">
        <f>Financials20263[[#This Row],[Dec AC]]-Financials20263[[#This Row],[Dec FC]]</f>
        <v>-725503</v>
      </c>
      <c r="BO89" s="71">
        <f>SUM(Financials20263[[#This Row],[Jan Opp/Risk]:[Dec Opp./Risk]])</f>
        <v>-1091630.6000000001</v>
      </c>
      <c r="BP89" s="87"/>
      <c r="BQ89" s="47">
        <f>SUM(Financials20263[[#This Row],[Jan AC]:[May AC]])</f>
        <v>0</v>
      </c>
      <c r="BR89" s="6">
        <f>Financials20263[[#This Row],[2026 (Actuals + Forecast)]]-Financials20263[[#This Row],[Jan-May Actuals]]-Financials20263[[#This Row],[Jun-Dec FC]]</f>
        <v>0</v>
      </c>
      <c r="BS89" s="6">
        <f>Financials20263[[#This Row],[Jun-Dec FC]]+Financials20263[[#This Row],[Jan-May Forecast ]]</f>
        <v>1091630.6000000001</v>
      </c>
      <c r="BT89" s="6">
        <f>SUM(Financials20263[[#This Row],[Jan FC]:[May FC]])</f>
        <v>0</v>
      </c>
      <c r="BU89" s="6">
        <f>Financials20263[[#This Row],[Jan-May Actuals]]+Financials20263[[#This Row],[Forecast Jun-Dec]]</f>
        <v>1091630.6000000001</v>
      </c>
      <c r="BV89" s="6"/>
      <c r="BW89" s="6"/>
      <c r="BX89" s="6"/>
    </row>
    <row r="90" spans="1:76">
      <c r="A90" s="22" t="s">
        <v>473</v>
      </c>
      <c r="B90" s="21" t="s">
        <v>48</v>
      </c>
      <c r="C90" s="21" t="s">
        <v>600</v>
      </c>
      <c r="D90" s="10" t="s">
        <v>559</v>
      </c>
      <c r="E90" s="7" t="s">
        <v>560</v>
      </c>
      <c r="F90" s="3" t="s">
        <v>561</v>
      </c>
      <c r="G90" s="3" t="s">
        <v>20</v>
      </c>
      <c r="H90" s="4">
        <v>45413</v>
      </c>
      <c r="I90" s="4">
        <v>46332</v>
      </c>
      <c r="J90" s="3" t="s">
        <v>743</v>
      </c>
      <c r="K90" s="3" t="str">
        <f t="shared" si="28"/>
        <v>Prj000403-Support - L2 CoE Management for Tech Horizontals</v>
      </c>
      <c r="L90" s="21" t="s">
        <v>499</v>
      </c>
      <c r="M90" s="21" t="s">
        <v>14</v>
      </c>
      <c r="N90" s="21" t="s">
        <v>500</v>
      </c>
      <c r="O90" s="21" t="s">
        <v>744</v>
      </c>
      <c r="P90" s="21" t="s">
        <v>479</v>
      </c>
      <c r="Q90" s="21" t="s">
        <v>509</v>
      </c>
      <c r="R90" s="21" t="s">
        <v>509</v>
      </c>
      <c r="S90" s="21" t="s">
        <v>504</v>
      </c>
      <c r="T90" s="5">
        <v>222842</v>
      </c>
      <c r="U90" s="15">
        <v>195584.34</v>
      </c>
      <c r="V90" s="15">
        <v>195584.34</v>
      </c>
      <c r="W90" s="15">
        <f t="shared" si="29"/>
        <v>191940</v>
      </c>
      <c r="X90" s="15">
        <f t="shared" si="33"/>
        <v>-3644.3399999999965</v>
      </c>
      <c r="Y90" s="15">
        <f t="shared" si="30"/>
        <v>0</v>
      </c>
      <c r="Z90" s="15">
        <f>SUM(Financials20263[[#This Row],[2026 Opportunity]:[2026 Risk]])</f>
        <v>-3644.3399999999965</v>
      </c>
      <c r="AA90" s="3" t="s">
        <v>745</v>
      </c>
      <c r="AB90" s="52">
        <v>15449</v>
      </c>
      <c r="AC90" s="52">
        <v>15449</v>
      </c>
      <c r="AD90" s="52">
        <v>15449</v>
      </c>
      <c r="AE90" s="52">
        <v>15449</v>
      </c>
      <c r="AF90" s="52">
        <v>16268</v>
      </c>
      <c r="AG90" s="52">
        <v>16268</v>
      </c>
      <c r="AH90" s="52">
        <v>16268</v>
      </c>
      <c r="AI90" s="52">
        <v>16268</v>
      </c>
      <c r="AJ90" s="52">
        <v>16268</v>
      </c>
      <c r="AK90" s="52">
        <v>16268</v>
      </c>
      <c r="AL90" s="52">
        <v>16268</v>
      </c>
      <c r="AM90" s="52">
        <v>16268</v>
      </c>
      <c r="AN90" s="75">
        <f>SUM(Financials20263[[#This Row],[Jan FC]:[Dec FC]])</f>
        <v>191940</v>
      </c>
      <c r="AO90" s="15">
        <f t="shared" si="31"/>
        <v>113876</v>
      </c>
      <c r="AP90" s="61">
        <v>15449</v>
      </c>
      <c r="AQ90" s="61">
        <v>15449</v>
      </c>
      <c r="AR90" s="61">
        <v>15449</v>
      </c>
      <c r="AS90" s="61">
        <v>15449</v>
      </c>
      <c r="AT90" s="61">
        <v>16268</v>
      </c>
      <c r="AU90" s="61"/>
      <c r="AV90" s="61"/>
      <c r="AW90" s="61"/>
      <c r="AX90" s="61"/>
      <c r="AY90" s="61"/>
      <c r="AZ90" s="61"/>
      <c r="BA90" s="61"/>
      <c r="BB90" s="80">
        <f>SUM(Financials20263[[#This Row],[Jan AC]:[Dec AC]])</f>
        <v>78064</v>
      </c>
      <c r="BC90" s="71">
        <f>Financials20263[[#This Row],[Jan AC]]-Financials20263[[#This Row],[Jan FC]]</f>
        <v>0</v>
      </c>
      <c r="BD90" s="71">
        <f>Financials20263[[#This Row],[Feb AC]]-Financials20263[[#This Row],[Feb FC]]</f>
        <v>0</v>
      </c>
      <c r="BE90" s="71">
        <f>Financials20263[[#This Row],[Mar AC]]-Financials20263[[#This Row],[Mar FC]]</f>
        <v>0</v>
      </c>
      <c r="BF90" s="71">
        <f>Financials20263[[#This Row],[Apr AC]]-Financials20263[[#This Row],[Apr FC]]</f>
        <v>0</v>
      </c>
      <c r="BG90" s="71">
        <f>Financials20263[[#This Row],[May AC]]-Financials20263[[#This Row],[May FC]]</f>
        <v>0</v>
      </c>
      <c r="BH90" s="71">
        <f>Financials20263[[#This Row],[Jun AC]]-Financials20263[[#This Row],[Jun FC]]</f>
        <v>-16268</v>
      </c>
      <c r="BI90" s="71">
        <f>Financials20263[[#This Row],[Jul AC]]-Financials20263[[#This Row],[Jul FC]]</f>
        <v>-16268</v>
      </c>
      <c r="BJ90" s="71">
        <f>Financials20263[[#This Row],[Aug AC]]-Financials20263[[#This Row],[Aug FC]]</f>
        <v>-16268</v>
      </c>
      <c r="BK90" s="71">
        <f>Financials20263[[#This Row],[Sep AC]]-Financials20263[[#This Row],[Sep FC]]</f>
        <v>-16268</v>
      </c>
      <c r="BL90" s="71">
        <f>Financials20263[[#This Row],[Oct AC]]-Financials20263[[#This Row],[Oct FC]]</f>
        <v>-16268</v>
      </c>
      <c r="BM90" s="71">
        <f>Financials20263[[#This Row],[Nov AC]]-Financials20263[[#This Row],[Nov FC]]</f>
        <v>-16268</v>
      </c>
      <c r="BN90" s="71">
        <f>Financials20263[[#This Row],[Dec AC]]-Financials20263[[#This Row],[Dec FC]]</f>
        <v>-16268</v>
      </c>
      <c r="BO90" s="71">
        <f>SUM(Financials20263[[#This Row],[Jan Opp/Risk]:[Dec Opp./Risk]])</f>
        <v>-113876</v>
      </c>
      <c r="BP90" s="87" t="s">
        <v>746</v>
      </c>
      <c r="BQ90" s="47">
        <f>SUM(Financials20263[[#This Row],[Jan AC]:[May AC]])</f>
        <v>78064</v>
      </c>
      <c r="BR90" s="6">
        <f>Financials20263[[#This Row],[2026 (Actuals + Forecast)]]-Financials20263[[#This Row],[Jan-May Actuals]]-Financials20263[[#This Row],[Jun-Dec FC]]</f>
        <v>0</v>
      </c>
      <c r="BS90" s="6">
        <f>Financials20263[[#This Row],[Jun-Dec FC]]+Financials20263[[#This Row],[Jan-May Forecast ]]</f>
        <v>113876</v>
      </c>
      <c r="BT90" s="6">
        <f>SUM(Financials20263[[#This Row],[Jan FC]:[May FC]])</f>
        <v>78064</v>
      </c>
      <c r="BU90" s="6">
        <f>Financials20263[[#This Row],[Jan-May Actuals]]+Financials20263[[#This Row],[Forecast Jun-Dec]]</f>
        <v>191940</v>
      </c>
      <c r="BV90" s="6"/>
      <c r="BW90" s="6"/>
      <c r="BX90" s="6"/>
    </row>
    <row r="91" spans="1:76">
      <c r="A91" s="22" t="s">
        <v>473</v>
      </c>
      <c r="B91" s="21" t="s">
        <v>48</v>
      </c>
      <c r="C91" s="21" t="s">
        <v>600</v>
      </c>
      <c r="D91" s="10" t="s">
        <v>559</v>
      </c>
      <c r="E91" s="7" t="s">
        <v>560</v>
      </c>
      <c r="F91" s="3" t="s">
        <v>561</v>
      </c>
      <c r="G91" s="3" t="s">
        <v>20</v>
      </c>
      <c r="H91" s="4">
        <v>45778</v>
      </c>
      <c r="I91" s="4">
        <v>46332</v>
      </c>
      <c r="J91" s="3" t="s">
        <v>747</v>
      </c>
      <c r="K91" s="3" t="str">
        <f t="shared" si="28"/>
        <v>Prj000403-Support - L2 CoE Management for Tech Horizontals</v>
      </c>
      <c r="L91" s="21" t="s">
        <v>499</v>
      </c>
      <c r="M91" s="21" t="s">
        <v>14</v>
      </c>
      <c r="N91" s="21" t="s">
        <v>500</v>
      </c>
      <c r="O91" s="21" t="s">
        <v>744</v>
      </c>
      <c r="P91" s="21" t="s">
        <v>479</v>
      </c>
      <c r="Q91" s="21" t="s">
        <v>509</v>
      </c>
      <c r="R91" s="21" t="s">
        <v>509</v>
      </c>
      <c r="S91" s="21" t="s">
        <v>504</v>
      </c>
      <c r="T91" s="5">
        <v>57500</v>
      </c>
      <c r="U91" s="15">
        <v>85455</v>
      </c>
      <c r="V91" s="15">
        <v>85455</v>
      </c>
      <c r="W91" s="15">
        <f t="shared" si="29"/>
        <v>85455</v>
      </c>
      <c r="X91" s="15">
        <f t="shared" si="33"/>
        <v>0</v>
      </c>
      <c r="Y91" s="15">
        <f t="shared" si="30"/>
        <v>0</v>
      </c>
      <c r="Z91" s="15">
        <f>SUM(Financials20263[[#This Row],[2026 Opportunity]:[2026 Risk]])</f>
        <v>0</v>
      </c>
      <c r="AA91" s="3" t="s">
        <v>748</v>
      </c>
      <c r="AB91" s="52">
        <v>6750</v>
      </c>
      <c r="AC91" s="52">
        <v>6750</v>
      </c>
      <c r="AD91" s="52">
        <v>6750</v>
      </c>
      <c r="AE91" s="52">
        <v>6750</v>
      </c>
      <c r="AF91" s="52">
        <v>6750</v>
      </c>
      <c r="AG91" s="52">
        <v>6750</v>
      </c>
      <c r="AH91" s="52">
        <v>6750</v>
      </c>
      <c r="AI91" s="52">
        <v>6750</v>
      </c>
      <c r="AJ91" s="52">
        <v>6750</v>
      </c>
      <c r="AK91" s="52">
        <v>6750</v>
      </c>
      <c r="AL91" s="52">
        <v>6750</v>
      </c>
      <c r="AM91" s="46">
        <v>11205</v>
      </c>
      <c r="AN91" s="75">
        <f>SUM(Financials20263[[#This Row],[Jan FC]:[Dec FC]])</f>
        <v>85455</v>
      </c>
      <c r="AO91" s="15">
        <f t="shared" si="31"/>
        <v>51705</v>
      </c>
      <c r="AP91" s="61">
        <v>6750</v>
      </c>
      <c r="AQ91" s="61">
        <v>6750</v>
      </c>
      <c r="AR91" s="61">
        <v>6750</v>
      </c>
      <c r="AS91" s="61">
        <v>6750</v>
      </c>
      <c r="AT91" s="61">
        <v>6750</v>
      </c>
      <c r="AU91" s="61"/>
      <c r="AV91" s="61"/>
      <c r="AW91" s="61"/>
      <c r="AX91" s="61"/>
      <c r="AY91" s="61"/>
      <c r="AZ91" s="61"/>
      <c r="BA91" s="61"/>
      <c r="BB91" s="80">
        <f>SUM(Financials20263[[#This Row],[Jan AC]:[Dec AC]])</f>
        <v>33750</v>
      </c>
      <c r="BC91" s="71">
        <f>Financials20263[[#This Row],[Jan AC]]-Financials20263[[#This Row],[Jan FC]]</f>
        <v>0</v>
      </c>
      <c r="BD91" s="71">
        <f>Financials20263[[#This Row],[Feb AC]]-Financials20263[[#This Row],[Feb FC]]</f>
        <v>0</v>
      </c>
      <c r="BE91" s="71">
        <f>Financials20263[[#This Row],[Mar AC]]-Financials20263[[#This Row],[Mar FC]]</f>
        <v>0</v>
      </c>
      <c r="BF91" s="71">
        <f>Financials20263[[#This Row],[Apr AC]]-Financials20263[[#This Row],[Apr FC]]</f>
        <v>0</v>
      </c>
      <c r="BG91" s="71">
        <f>Financials20263[[#This Row],[May AC]]-Financials20263[[#This Row],[May FC]]</f>
        <v>0</v>
      </c>
      <c r="BH91" s="71">
        <f>Financials20263[[#This Row],[Jun AC]]-Financials20263[[#This Row],[Jun FC]]</f>
        <v>-6750</v>
      </c>
      <c r="BI91" s="71">
        <f>Financials20263[[#This Row],[Jul AC]]-Financials20263[[#This Row],[Jul FC]]</f>
        <v>-6750</v>
      </c>
      <c r="BJ91" s="71">
        <f>Financials20263[[#This Row],[Aug AC]]-Financials20263[[#This Row],[Aug FC]]</f>
        <v>-6750</v>
      </c>
      <c r="BK91" s="71">
        <f>Financials20263[[#This Row],[Sep AC]]-Financials20263[[#This Row],[Sep FC]]</f>
        <v>-6750</v>
      </c>
      <c r="BL91" s="71">
        <f>Financials20263[[#This Row],[Oct AC]]-Financials20263[[#This Row],[Oct FC]]</f>
        <v>-6750</v>
      </c>
      <c r="BM91" s="71">
        <f>Financials20263[[#This Row],[Nov AC]]-Financials20263[[#This Row],[Nov FC]]</f>
        <v>-6750</v>
      </c>
      <c r="BN91" s="71">
        <f>Financials20263[[#This Row],[Dec AC]]-Financials20263[[#This Row],[Dec FC]]</f>
        <v>-11205</v>
      </c>
      <c r="BO91" s="71">
        <f>SUM(Financials20263[[#This Row],[Jan Opp/Risk]:[Dec Opp./Risk]])</f>
        <v>-51705</v>
      </c>
      <c r="BP91" s="87" t="s">
        <v>531</v>
      </c>
      <c r="BQ91" s="47">
        <f>SUM(Financials20263[[#This Row],[Jan AC]:[May AC]])</f>
        <v>33750</v>
      </c>
      <c r="BR91" s="6">
        <f>Financials20263[[#This Row],[2026 (Actuals + Forecast)]]-Financials20263[[#This Row],[Jan-May Actuals]]-Financials20263[[#This Row],[Jun-Dec FC]]</f>
        <v>0</v>
      </c>
      <c r="BS91" s="6">
        <f>Financials20263[[#This Row],[Jun-Dec FC]]+Financials20263[[#This Row],[Jan-May Forecast ]]</f>
        <v>51705</v>
      </c>
      <c r="BT91" s="6">
        <f>SUM(Financials20263[[#This Row],[Jan FC]:[May FC]])</f>
        <v>33750</v>
      </c>
      <c r="BU91" s="6">
        <f>Financials20263[[#This Row],[Jan-May Actuals]]+Financials20263[[#This Row],[Forecast Jun-Dec]]</f>
        <v>85455</v>
      </c>
      <c r="BV91" s="6"/>
      <c r="BW91" s="6"/>
      <c r="BX91" s="6"/>
    </row>
    <row r="92" spans="1:76">
      <c r="A92" s="22" t="s">
        <v>473</v>
      </c>
      <c r="B92" s="21" t="s">
        <v>374</v>
      </c>
      <c r="C92" s="21"/>
      <c r="D92" s="10" t="s">
        <v>610</v>
      </c>
      <c r="E92" s="7" t="s">
        <v>611</v>
      </c>
      <c r="F92" s="3" t="s">
        <v>488</v>
      </c>
      <c r="G92" s="3" t="s">
        <v>25</v>
      </c>
      <c r="H92" s="4"/>
      <c r="I92" s="4"/>
      <c r="J92" s="3"/>
      <c r="K92" s="3" t="str">
        <f t="shared" si="28"/>
        <v>Prj000446-Implement - Minor Enhancements for Enterprise Apps</v>
      </c>
      <c r="L92" s="21" t="s">
        <v>478</v>
      </c>
      <c r="M92" s="21" t="s">
        <v>16</v>
      </c>
      <c r="N92" s="21" t="s">
        <v>16</v>
      </c>
      <c r="O92" s="21"/>
      <c r="P92" s="21" t="s">
        <v>479</v>
      </c>
      <c r="Q92" s="21" t="s">
        <v>509</v>
      </c>
      <c r="R92" s="21" t="s">
        <v>509</v>
      </c>
      <c r="S92" s="21" t="s">
        <v>504</v>
      </c>
      <c r="T92" s="5">
        <v>46598.93</v>
      </c>
      <c r="U92" s="15">
        <v>48934</v>
      </c>
      <c r="V92" s="15">
        <v>48934</v>
      </c>
      <c r="W92" s="15">
        <f t="shared" si="29"/>
        <v>48932</v>
      </c>
      <c r="X92" s="15">
        <f t="shared" si="33"/>
        <v>-2</v>
      </c>
      <c r="Y92" s="15">
        <f t="shared" si="30"/>
        <v>0</v>
      </c>
      <c r="Z92" s="15">
        <f>SUM(Financials20263[[#This Row],[2026 Opportunity]:[2026 Risk]])</f>
        <v>-2</v>
      </c>
      <c r="AA92" s="3" t="s">
        <v>749</v>
      </c>
      <c r="AB92" s="52">
        <v>4702</v>
      </c>
      <c r="AC92" s="52">
        <v>1000</v>
      </c>
      <c r="AD92" s="52">
        <f>1000</f>
        <v>1000</v>
      </c>
      <c r="AE92" s="52">
        <f>1000+195</f>
        <v>1195</v>
      </c>
      <c r="AF92" s="52">
        <v>1000</v>
      </c>
      <c r="AG92" s="52">
        <v>1000</v>
      </c>
      <c r="AH92" s="52">
        <v>1000</v>
      </c>
      <c r="AI92" s="52">
        <v>1000</v>
      </c>
      <c r="AJ92" s="52">
        <v>1000</v>
      </c>
      <c r="AK92" s="52">
        <v>1000</v>
      </c>
      <c r="AL92" s="52">
        <v>1000</v>
      </c>
      <c r="AM92" s="46">
        <f>34232-195</f>
        <v>34037</v>
      </c>
      <c r="AN92" s="52">
        <f>SUM(Financials20263[[#This Row],[Jan FC]:[Dec FC]])</f>
        <v>48934</v>
      </c>
      <c r="AO92" s="15">
        <f t="shared" si="31"/>
        <v>40037</v>
      </c>
      <c r="AP92" s="61">
        <f>999+3705</f>
        <v>4704</v>
      </c>
      <c r="AQ92" s="61">
        <v>999</v>
      </c>
      <c r="AR92" s="61">
        <f>999</f>
        <v>999</v>
      </c>
      <c r="AS92" s="61">
        <f>999+195</f>
        <v>1194</v>
      </c>
      <c r="AT92" s="61">
        <v>999</v>
      </c>
      <c r="AU92" s="61">
        <v>999</v>
      </c>
      <c r="AV92" s="61"/>
      <c r="AW92" s="61"/>
      <c r="AX92" s="61"/>
      <c r="AY92" s="61"/>
      <c r="AZ92" s="61"/>
      <c r="BA92" s="61"/>
      <c r="BB92" s="80">
        <f>SUM(Financials20263[[#This Row],[Jan AC]:[Dec AC]])</f>
        <v>9894</v>
      </c>
      <c r="BC92" s="71">
        <f>Financials20263[[#This Row],[Jan AC]]-Financials20263[[#This Row],[Jan FC]]</f>
        <v>2</v>
      </c>
      <c r="BD92" s="71">
        <f>Financials20263[[#This Row],[Feb AC]]-Financials20263[[#This Row],[Feb FC]]</f>
        <v>-1</v>
      </c>
      <c r="BE92" s="71">
        <f>Financials20263[[#This Row],[Mar AC]]-Financials20263[[#This Row],[Mar FC]]</f>
        <v>-1</v>
      </c>
      <c r="BF92" s="71">
        <f>Financials20263[[#This Row],[Apr AC]]-Financials20263[[#This Row],[Apr FC]]</f>
        <v>-1</v>
      </c>
      <c r="BG92" s="71">
        <f>Financials20263[[#This Row],[May AC]]-Financials20263[[#This Row],[May FC]]</f>
        <v>-1</v>
      </c>
      <c r="BH92" s="71">
        <f>Financials20263[[#This Row],[Jun AC]]-Financials20263[[#This Row],[Jun FC]]</f>
        <v>-1</v>
      </c>
      <c r="BI92" s="71">
        <f>Financials20263[[#This Row],[Jul AC]]-Financials20263[[#This Row],[Jul FC]]</f>
        <v>-1000</v>
      </c>
      <c r="BJ92" s="71">
        <f>Financials20263[[#This Row],[Aug AC]]-Financials20263[[#This Row],[Aug FC]]</f>
        <v>-1000</v>
      </c>
      <c r="BK92" s="71">
        <f>Financials20263[[#This Row],[Sep AC]]-Financials20263[[#This Row],[Sep FC]]</f>
        <v>-1000</v>
      </c>
      <c r="BL92" s="71">
        <f>Financials20263[[#This Row],[Oct AC]]-Financials20263[[#This Row],[Oct FC]]</f>
        <v>-1000</v>
      </c>
      <c r="BM92" s="71">
        <f>Financials20263[[#This Row],[Nov AC]]-Financials20263[[#This Row],[Nov FC]]</f>
        <v>-1000</v>
      </c>
      <c r="BN92" s="71">
        <f>Financials20263[[#This Row],[Dec AC]]-Financials20263[[#This Row],[Dec FC]]</f>
        <v>-34037</v>
      </c>
      <c r="BO92" s="71">
        <f>SUM(Financials20263[[#This Row],[Jan Opp/Risk]:[Dec Opp./Risk]])</f>
        <v>-39040</v>
      </c>
      <c r="BP92" s="87" t="s">
        <v>750</v>
      </c>
      <c r="BQ92" s="47">
        <f>SUM(Financials20263[[#This Row],[Jan AC]:[May AC]])</f>
        <v>8895</v>
      </c>
      <c r="BR92" s="6">
        <f>Financials20263[[#This Row],[2026 (Actuals + Forecast)]]-Financials20263[[#This Row],[Jan-May Actuals]]-Financials20263[[#This Row],[Jun-Dec FC]]</f>
        <v>0</v>
      </c>
      <c r="BS92" s="6">
        <f>Financials20263[[#This Row],[Jun-Dec FC]]+Financials20263[[#This Row],[Jan-May Forecast ]]</f>
        <v>40037</v>
      </c>
      <c r="BT92" s="6">
        <f>SUM(Financials20263[[#This Row],[Jan FC]:[May FC]])</f>
        <v>8897</v>
      </c>
      <c r="BU92" s="6">
        <f>Financials20263[[#This Row],[Jan-May Actuals]]+Financials20263[[#This Row],[Forecast Jun-Dec]]</f>
        <v>48932</v>
      </c>
      <c r="BV92" s="6"/>
      <c r="BW92" s="6"/>
      <c r="BX92" s="6"/>
    </row>
    <row r="93" spans="1:76">
      <c r="A93" s="22" t="s">
        <v>473</v>
      </c>
      <c r="B93" s="21" t="s">
        <v>63</v>
      </c>
      <c r="C93" s="21" t="s">
        <v>751</v>
      </c>
      <c r="D93" s="10" t="s">
        <v>594</v>
      </c>
      <c r="E93" s="7" t="s">
        <v>595</v>
      </c>
      <c r="F93" s="3" t="s">
        <v>596</v>
      </c>
      <c r="G93" s="3" t="s">
        <v>22</v>
      </c>
      <c r="H93" s="4"/>
      <c r="I93" s="4"/>
      <c r="J93" s="3"/>
      <c r="K93" s="3" t="str">
        <f t="shared" si="28"/>
        <v>Prj000469-Support - Prod Support for Ops Apps</v>
      </c>
      <c r="L93" s="21" t="s">
        <v>478</v>
      </c>
      <c r="M93" s="21" t="s">
        <v>16</v>
      </c>
      <c r="N93" s="21" t="s">
        <v>16</v>
      </c>
      <c r="O93" s="21"/>
      <c r="P93" s="21" t="s">
        <v>479</v>
      </c>
      <c r="Q93" s="21" t="s">
        <v>509</v>
      </c>
      <c r="R93" s="21" t="s">
        <v>509</v>
      </c>
      <c r="S93" s="21" t="s">
        <v>590</v>
      </c>
      <c r="T93" s="5">
        <v>3268031.27</v>
      </c>
      <c r="U93" s="15">
        <v>3500000</v>
      </c>
      <c r="V93" s="15">
        <v>3500000</v>
      </c>
      <c r="W93" s="15">
        <f t="shared" si="29"/>
        <v>3385833.333333334</v>
      </c>
      <c r="X93" s="15">
        <f t="shared" si="33"/>
        <v>-114166.66666666605</v>
      </c>
      <c r="Y93" s="15">
        <f t="shared" si="30"/>
        <v>0</v>
      </c>
      <c r="Z93" s="15">
        <f>SUM(Financials20263[[#This Row],[2026 Opportunity]:[2026 Risk]])</f>
        <v>-114166.66666666605</v>
      </c>
      <c r="AA93" s="3" t="s">
        <v>752</v>
      </c>
      <c r="AB93" s="52">
        <v>261174.96666666667</v>
      </c>
      <c r="AC93" s="52">
        <v>261174.96666666667</v>
      </c>
      <c r="AD93" s="52">
        <v>261174.96666666667</v>
      </c>
      <c r="AE93" s="52">
        <v>253282.01</v>
      </c>
      <c r="AF93" s="52">
        <v>253282.01</v>
      </c>
      <c r="AG93" s="52">
        <v>253282.01</v>
      </c>
      <c r="AH93" s="52">
        <v>461647.86833333329</v>
      </c>
      <c r="AI93" s="52">
        <v>461647.86833333329</v>
      </c>
      <c r="AJ93" s="52">
        <v>229791.66666666666</v>
      </c>
      <c r="AK93" s="52">
        <v>229791.66666666666</v>
      </c>
      <c r="AL93" s="52">
        <v>229791.66666666666</v>
      </c>
      <c r="AM93" s="52">
        <v>229791.66666666666</v>
      </c>
      <c r="AN93" s="52">
        <f>SUM(Financials20263[[#This Row],[Jan FC]:[Dec FC]])</f>
        <v>3385833.3333333326</v>
      </c>
      <c r="AO93" s="15">
        <f t="shared" si="31"/>
        <v>2095744.4133333336</v>
      </c>
      <c r="AP93" s="61">
        <f>(637500/3)+(146024.9/3)</f>
        <v>261174.96666666667</v>
      </c>
      <c r="AQ93" s="61">
        <f t="shared" ref="AQ93" si="37">(637500/3)+(146024.9/3)</f>
        <v>261174.96666666667</v>
      </c>
      <c r="AR93" s="61">
        <f>(637500/3)+(146024.9/3)</f>
        <v>261174.96666666667</v>
      </c>
      <c r="AS93" s="61">
        <f>(637500/3)+(122346.03/3)</f>
        <v>253282.01</v>
      </c>
      <c r="AT93" s="61">
        <f t="shared" ref="AT93:AU93" si="38">(637500/3)+(122346.03/3)</f>
        <v>253282.01</v>
      </c>
      <c r="AU93" s="61">
        <f t="shared" si="38"/>
        <v>253282.01</v>
      </c>
      <c r="AV93" s="61"/>
      <c r="AW93" s="61"/>
      <c r="AX93" s="61"/>
      <c r="AY93" s="61"/>
      <c r="AZ93" s="61"/>
      <c r="BA93" s="61"/>
      <c r="BB93" s="80">
        <f>SUM(Financials20263[[#This Row],[Jan AC]:[Dec AC]])</f>
        <v>1543370.93</v>
      </c>
      <c r="BC93" s="71">
        <f>Financials20263[[#This Row],[Jan AC]]-Financials20263[[#This Row],[Jan FC]]</f>
        <v>0</v>
      </c>
      <c r="BD93" s="71">
        <f>Financials20263[[#This Row],[Feb AC]]-Financials20263[[#This Row],[Feb FC]]</f>
        <v>0</v>
      </c>
      <c r="BE93" s="71">
        <f>Financials20263[[#This Row],[Mar AC]]-Financials20263[[#This Row],[Mar FC]]</f>
        <v>0</v>
      </c>
      <c r="BF93" s="71">
        <f>Financials20263[[#This Row],[Apr AC]]-Financials20263[[#This Row],[Apr FC]]</f>
        <v>0</v>
      </c>
      <c r="BG93" s="71">
        <f>Financials20263[[#This Row],[May AC]]-Financials20263[[#This Row],[May FC]]</f>
        <v>0</v>
      </c>
      <c r="BH93" s="71">
        <f>Financials20263[[#This Row],[Jun AC]]-Financials20263[[#This Row],[Jun FC]]</f>
        <v>0</v>
      </c>
      <c r="BI93" s="71">
        <f>Financials20263[[#This Row],[Jul AC]]-Financials20263[[#This Row],[Jul FC]]</f>
        <v>-461647.86833333329</v>
      </c>
      <c r="BJ93" s="71">
        <f>Financials20263[[#This Row],[Aug AC]]-Financials20263[[#This Row],[Aug FC]]</f>
        <v>-461647.86833333329</v>
      </c>
      <c r="BK93" s="71">
        <f>Financials20263[[#This Row],[Sep AC]]-Financials20263[[#This Row],[Sep FC]]</f>
        <v>-229791.66666666666</v>
      </c>
      <c r="BL93" s="71">
        <f>Financials20263[[#This Row],[Oct AC]]-Financials20263[[#This Row],[Oct FC]]</f>
        <v>-229791.66666666666</v>
      </c>
      <c r="BM93" s="71">
        <f>Financials20263[[#This Row],[Nov AC]]-Financials20263[[#This Row],[Nov FC]]</f>
        <v>-229791.66666666666</v>
      </c>
      <c r="BN93" s="71">
        <f>Financials20263[[#This Row],[Dec AC]]-Financials20263[[#This Row],[Dec FC]]</f>
        <v>-229791.66666666666</v>
      </c>
      <c r="BO93" s="71">
        <f>SUM(Financials20263[[#This Row],[Jan Opp/Risk]:[Dec Opp./Risk]])</f>
        <v>-1842462.4033333336</v>
      </c>
      <c r="BP93" s="89" t="s">
        <v>753</v>
      </c>
      <c r="BQ93" s="47">
        <f>SUM(Financials20263[[#This Row],[Jan AC]:[May AC]])</f>
        <v>1290088.92</v>
      </c>
      <c r="BR93" s="6">
        <f>Financials20263[[#This Row],[2026 (Actuals + Forecast)]]-Financials20263[[#This Row],[Jan-May Actuals]]-Financials20263[[#This Row],[Jun-Dec FC]]</f>
        <v>0</v>
      </c>
      <c r="BS93" s="6">
        <f>Financials20263[[#This Row],[Jun-Dec FC]]+Financials20263[[#This Row],[Jan-May Forecast ]]</f>
        <v>2095744.4133333336</v>
      </c>
      <c r="BT93" s="6">
        <f>SUM(Financials20263[[#This Row],[Jan FC]:[May FC]])</f>
        <v>1290088.92</v>
      </c>
      <c r="BU93" s="6">
        <f>Financials20263[[#This Row],[Jan-May Actuals]]+Financials20263[[#This Row],[Forecast Jun-Dec]]</f>
        <v>3385833.3333333335</v>
      </c>
      <c r="BV93" s="6"/>
      <c r="BW93" s="6"/>
      <c r="BX93" s="6"/>
    </row>
    <row r="94" spans="1:76">
      <c r="A94" s="22" t="s">
        <v>473</v>
      </c>
      <c r="B94" s="21" t="s">
        <v>134</v>
      </c>
      <c r="C94" s="21"/>
      <c r="D94" s="10" t="s">
        <v>475</v>
      </c>
      <c r="E94" s="7" t="s">
        <v>476</v>
      </c>
      <c r="F94" s="3" t="s">
        <v>91</v>
      </c>
      <c r="G94" s="3" t="s">
        <v>21</v>
      </c>
      <c r="H94" s="4">
        <v>46174</v>
      </c>
      <c r="I94" s="4">
        <v>46538</v>
      </c>
      <c r="J94" s="3"/>
      <c r="K94" s="3" t="str">
        <f t="shared" si="28"/>
        <v>Prj000350-Support - Infrastructure for Tech</v>
      </c>
      <c r="L94" s="21" t="s">
        <v>478</v>
      </c>
      <c r="M94" s="21" t="s">
        <v>16</v>
      </c>
      <c r="N94" s="21" t="s">
        <v>16</v>
      </c>
      <c r="O94" s="21" t="s">
        <v>744</v>
      </c>
      <c r="P94" s="21" t="s">
        <v>479</v>
      </c>
      <c r="Q94" s="21" t="s">
        <v>509</v>
      </c>
      <c r="R94" s="21" t="s">
        <v>510</v>
      </c>
      <c r="S94" s="21" t="s">
        <v>481</v>
      </c>
      <c r="T94" s="5">
        <v>588000</v>
      </c>
      <c r="U94" s="15">
        <v>596913</v>
      </c>
      <c r="V94" s="15">
        <v>596913</v>
      </c>
      <c r="W94" s="15">
        <f t="shared" si="29"/>
        <v>642692</v>
      </c>
      <c r="X94" s="15">
        <f t="shared" si="33"/>
        <v>0</v>
      </c>
      <c r="Y94" s="15">
        <f t="shared" si="30"/>
        <v>45779</v>
      </c>
      <c r="Z94" s="15">
        <f>SUM(Financials20263[[#This Row],[2026 Opportunity]:[2026 Risk]])</f>
        <v>45779</v>
      </c>
      <c r="AA94" s="3" t="s">
        <v>754</v>
      </c>
      <c r="AB94" s="51">
        <f>580000/12</f>
        <v>48333.333333333336</v>
      </c>
      <c r="AC94" s="51">
        <f>580000/12</f>
        <v>48333.333333333336</v>
      </c>
      <c r="AD94" s="51">
        <f>580000/12</f>
        <v>48333.333333333336</v>
      </c>
      <c r="AE94" s="51">
        <f>580000/12</f>
        <v>48333.333333333336</v>
      </c>
      <c r="AF94" s="51">
        <f>580000/12</f>
        <v>48333.333333333336</v>
      </c>
      <c r="AG94" s="51">
        <f>687472/12</f>
        <v>57289.333333333336</v>
      </c>
      <c r="AH94" s="51">
        <f t="shared" ref="AH94:AM94" si="39">687472/12</f>
        <v>57289.333333333336</v>
      </c>
      <c r="AI94" s="51">
        <f t="shared" si="39"/>
        <v>57289.333333333336</v>
      </c>
      <c r="AJ94" s="51">
        <f t="shared" si="39"/>
        <v>57289.333333333336</v>
      </c>
      <c r="AK94" s="51">
        <f t="shared" si="39"/>
        <v>57289.333333333336</v>
      </c>
      <c r="AL94" s="51">
        <f t="shared" si="39"/>
        <v>57289.333333333336</v>
      </c>
      <c r="AM94" s="51">
        <f t="shared" si="39"/>
        <v>57289.333333333336</v>
      </c>
      <c r="AN94" s="51">
        <f>SUM(Financials20263[[#This Row],[Jan FC]:[Dec FC]])</f>
        <v>642692</v>
      </c>
      <c r="AO94" s="15">
        <f t="shared" si="31"/>
        <v>401025.33333333331</v>
      </c>
      <c r="AP94" s="60">
        <f>580000/12</f>
        <v>48333.333333333336</v>
      </c>
      <c r="AQ94" s="60">
        <f>580000/12</f>
        <v>48333.333333333336</v>
      </c>
      <c r="AR94" s="60">
        <f>580000/12</f>
        <v>48333.333333333336</v>
      </c>
      <c r="AS94" s="60">
        <f>580000/12</f>
        <v>48333.333333333336</v>
      </c>
      <c r="AT94" s="60">
        <f>580000/12</f>
        <v>48333.333333333336</v>
      </c>
      <c r="AU94" s="60">
        <f>687472.16/12</f>
        <v>57289.346666666672</v>
      </c>
      <c r="AV94" s="60">
        <f t="shared" ref="AV94:BA94" si="40">687472.16/12</f>
        <v>57289.346666666672</v>
      </c>
      <c r="AW94" s="60">
        <f t="shared" si="40"/>
        <v>57289.346666666672</v>
      </c>
      <c r="AX94" s="60">
        <f t="shared" si="40"/>
        <v>57289.346666666672</v>
      </c>
      <c r="AY94" s="60">
        <f t="shared" si="40"/>
        <v>57289.346666666672</v>
      </c>
      <c r="AZ94" s="60">
        <f t="shared" si="40"/>
        <v>57289.346666666672</v>
      </c>
      <c r="BA94" s="60">
        <f t="shared" si="40"/>
        <v>57289.346666666672</v>
      </c>
      <c r="BB94" s="79">
        <f>SUM(Financials20263[[#This Row],[Jan AC]:[Dec AC]])</f>
        <v>642692.09333333338</v>
      </c>
      <c r="BC94" s="71">
        <f>Financials20263[[#This Row],[Jan AC]]-Financials20263[[#This Row],[Jan FC]]</f>
        <v>0</v>
      </c>
      <c r="BD94" s="71">
        <f>Financials20263[[#This Row],[Feb AC]]-Financials20263[[#This Row],[Feb FC]]</f>
        <v>0</v>
      </c>
      <c r="BE94" s="71">
        <f>Financials20263[[#This Row],[Mar AC]]-Financials20263[[#This Row],[Mar FC]]</f>
        <v>0</v>
      </c>
      <c r="BF94" s="71">
        <f>Financials20263[[#This Row],[Apr AC]]-Financials20263[[#This Row],[Apr FC]]</f>
        <v>0</v>
      </c>
      <c r="BG94" s="71">
        <f>Financials20263[[#This Row],[May AC]]-Financials20263[[#This Row],[May FC]]</f>
        <v>0</v>
      </c>
      <c r="BH94" s="71">
        <f>Financials20263[[#This Row],[Jun AC]]-Financials20263[[#This Row],[Jun FC]]</f>
        <v>1.3333333336049691E-2</v>
      </c>
      <c r="BI94" s="71">
        <f>Financials20263[[#This Row],[Jul AC]]-Financials20263[[#This Row],[Jul FC]]</f>
        <v>1.3333333336049691E-2</v>
      </c>
      <c r="BJ94" s="71">
        <f>Financials20263[[#This Row],[Aug AC]]-Financials20263[[#This Row],[Aug FC]]</f>
        <v>1.3333333336049691E-2</v>
      </c>
      <c r="BK94" s="71">
        <f>Financials20263[[#This Row],[Sep AC]]-Financials20263[[#This Row],[Sep FC]]</f>
        <v>1.3333333336049691E-2</v>
      </c>
      <c r="BL94" s="71">
        <f>Financials20263[[#This Row],[Oct AC]]-Financials20263[[#This Row],[Oct FC]]</f>
        <v>1.3333333336049691E-2</v>
      </c>
      <c r="BM94" s="71">
        <f>Financials20263[[#This Row],[Nov AC]]-Financials20263[[#This Row],[Nov FC]]</f>
        <v>1.3333333336049691E-2</v>
      </c>
      <c r="BN94" s="71">
        <f>Financials20263[[#This Row],[Dec AC]]-Financials20263[[#This Row],[Dec FC]]</f>
        <v>1.3333333336049691E-2</v>
      </c>
      <c r="BO94" s="71">
        <f>SUM(Financials20263[[#This Row],[Jan Opp/Risk]:[Dec Opp./Risk]])</f>
        <v>9.3333333352347836E-2</v>
      </c>
      <c r="BP94" s="87" t="s">
        <v>755</v>
      </c>
      <c r="BQ94" s="47">
        <f>SUM(Financials20263[[#This Row],[Jan AC]:[May AC]])</f>
        <v>241666.66666666669</v>
      </c>
      <c r="BR94" s="6">
        <f>Financials20263[[#This Row],[2026 (Actuals + Forecast)]]-Financials20263[[#This Row],[Jan-May Actuals]]-Financials20263[[#This Row],[Jun-Dec FC]]</f>
        <v>0</v>
      </c>
      <c r="BS94" s="6">
        <f>Financials20263[[#This Row],[Jun-Dec FC]]+Financials20263[[#This Row],[Jan-May Forecast ]]</f>
        <v>401025.33333333331</v>
      </c>
      <c r="BT94" s="6">
        <f>SUM(Financials20263[[#This Row],[Jan FC]:[May FC]])</f>
        <v>241666.66666666669</v>
      </c>
      <c r="BU94" s="6">
        <f>Financials20263[[#This Row],[Jan-May Actuals]]+Financials20263[[#This Row],[Forecast Jun-Dec]]</f>
        <v>642692</v>
      </c>
      <c r="BV94" s="6"/>
      <c r="BW94" s="6"/>
      <c r="BX94" s="6"/>
    </row>
    <row r="95" spans="1:76">
      <c r="A95" s="22" t="s">
        <v>473</v>
      </c>
      <c r="B95" s="21" t="s">
        <v>48</v>
      </c>
      <c r="C95" s="21" t="s">
        <v>600</v>
      </c>
      <c r="D95" s="10" t="s">
        <v>564</v>
      </c>
      <c r="E95" s="7" t="s">
        <v>564</v>
      </c>
      <c r="F95" s="3" t="s">
        <v>756</v>
      </c>
      <c r="G95" s="3" t="s">
        <v>20</v>
      </c>
      <c r="H95" s="4">
        <v>46023</v>
      </c>
      <c r="I95" s="4">
        <v>46203</v>
      </c>
      <c r="J95" s="3" t="s">
        <v>757</v>
      </c>
      <c r="K95" s="3" t="str">
        <f t="shared" si="28"/>
        <v>T&amp;M-T&amp;M</v>
      </c>
      <c r="L95" s="21" t="s">
        <v>499</v>
      </c>
      <c r="M95" s="21" t="s">
        <v>13</v>
      </c>
      <c r="N95" s="21" t="s">
        <v>567</v>
      </c>
      <c r="O95" s="21" t="s">
        <v>564</v>
      </c>
      <c r="P95" s="21" t="s">
        <v>501</v>
      </c>
      <c r="Q95" s="21" t="s">
        <v>502</v>
      </c>
      <c r="R95" s="21" t="s">
        <v>503</v>
      </c>
      <c r="S95" s="21" t="s">
        <v>504</v>
      </c>
      <c r="T95" s="5">
        <v>433000</v>
      </c>
      <c r="U95" s="15">
        <v>216000</v>
      </c>
      <c r="V95" s="15">
        <v>216000</v>
      </c>
      <c r="W95" s="15">
        <f t="shared" si="29"/>
        <v>488400</v>
      </c>
      <c r="X95" s="15">
        <f t="shared" si="33"/>
        <v>0</v>
      </c>
      <c r="Y95" s="15">
        <f t="shared" si="30"/>
        <v>272400</v>
      </c>
      <c r="Z95" s="15">
        <f>SUM(Financials20263[[#This Row],[2026 Opportunity]:[2026 Risk]])</f>
        <v>272400</v>
      </c>
      <c r="AA95" s="3" t="s">
        <v>758</v>
      </c>
      <c r="AB95" s="52">
        <v>88000</v>
      </c>
      <c r="AC95" s="52">
        <v>88000</v>
      </c>
      <c r="AD95" s="52">
        <v>88000</v>
      </c>
      <c r="AE95" s="52">
        <v>88000</v>
      </c>
      <c r="AF95" s="52">
        <v>88000</v>
      </c>
      <c r="AG95" s="52">
        <v>88000</v>
      </c>
      <c r="AH95" s="52"/>
      <c r="AI95" s="52"/>
      <c r="AJ95" s="52"/>
      <c r="AK95" s="52"/>
      <c r="AL95" s="52"/>
      <c r="AM95" s="52"/>
      <c r="AN95" s="52">
        <f>SUM(Financials20263[[#This Row],[Jan FC]:[Dec FC]])</f>
        <v>528000</v>
      </c>
      <c r="AO95" s="15">
        <f t="shared" si="31"/>
        <v>88000</v>
      </c>
      <c r="AP95" s="61">
        <v>73000</v>
      </c>
      <c r="AQ95" s="61">
        <v>70200</v>
      </c>
      <c r="AR95" s="61">
        <v>87200</v>
      </c>
      <c r="AS95" s="61">
        <v>82000</v>
      </c>
      <c r="AT95" s="61"/>
      <c r="AU95" s="61"/>
      <c r="AV95" s="61"/>
      <c r="AW95" s="61"/>
      <c r="AX95" s="61"/>
      <c r="AY95" s="61"/>
      <c r="AZ95" s="61"/>
      <c r="BA95" s="61"/>
      <c r="BB95" s="80">
        <f>SUM(Financials20263[[#This Row],[Jan AC]:[Dec AC]])</f>
        <v>312400</v>
      </c>
      <c r="BC95" s="71">
        <f>Financials20263[[#This Row],[Jan AC]]-Financials20263[[#This Row],[Jan FC]]</f>
        <v>-15000</v>
      </c>
      <c r="BD95" s="71">
        <f>Financials20263[[#This Row],[Feb AC]]-Financials20263[[#This Row],[Feb FC]]</f>
        <v>-17800</v>
      </c>
      <c r="BE95" s="71">
        <f>Financials20263[[#This Row],[Mar AC]]-Financials20263[[#This Row],[Mar FC]]</f>
        <v>-800</v>
      </c>
      <c r="BF95" s="71">
        <f>Financials20263[[#This Row],[Apr AC]]-Financials20263[[#This Row],[Apr FC]]</f>
        <v>-6000</v>
      </c>
      <c r="BG95" s="71">
        <f>Financials20263[[#This Row],[May AC]]-Financials20263[[#This Row],[May FC]]</f>
        <v>-88000</v>
      </c>
      <c r="BH95" s="71">
        <f>Financials20263[[#This Row],[Jun AC]]-Financials20263[[#This Row],[Jun FC]]</f>
        <v>-88000</v>
      </c>
      <c r="BI95" s="71">
        <f>Financials20263[[#This Row],[Jul AC]]-Financials20263[[#This Row],[Jul FC]]</f>
        <v>0</v>
      </c>
      <c r="BJ95" s="71">
        <f>Financials20263[[#This Row],[Aug AC]]-Financials20263[[#This Row],[Aug FC]]</f>
        <v>0</v>
      </c>
      <c r="BK95" s="71">
        <f>Financials20263[[#This Row],[Sep AC]]-Financials20263[[#This Row],[Sep FC]]</f>
        <v>0</v>
      </c>
      <c r="BL95" s="71">
        <f>Financials20263[[#This Row],[Oct AC]]-Financials20263[[#This Row],[Oct FC]]</f>
        <v>0</v>
      </c>
      <c r="BM95" s="71">
        <f>Financials20263[[#This Row],[Nov AC]]-Financials20263[[#This Row],[Nov FC]]</f>
        <v>0</v>
      </c>
      <c r="BN95" s="71">
        <f>Financials20263[[#This Row],[Dec AC]]-Financials20263[[#This Row],[Dec FC]]</f>
        <v>0</v>
      </c>
      <c r="BO95" s="71">
        <f>SUM(Financials20263[[#This Row],[Jan Opp/Risk]:[Dec Opp./Risk]])</f>
        <v>-215600</v>
      </c>
      <c r="BP95" s="89" t="s">
        <v>759</v>
      </c>
      <c r="BQ95" s="47">
        <f>SUM(Financials20263[[#This Row],[Jan AC]:[May AC]])</f>
        <v>312400</v>
      </c>
      <c r="BR95" s="6">
        <f>Financials20263[[#This Row],[2026 (Actuals + Forecast)]]-Financials20263[[#This Row],[Jan-May Actuals]]-Financials20263[[#This Row],[Jun-Dec FC]]</f>
        <v>88000</v>
      </c>
      <c r="BS95" s="6">
        <f>Financials20263[[#This Row],[Jun-Dec FC]]+Financials20263[[#This Row],[Jan-May Forecast ]]</f>
        <v>176000</v>
      </c>
      <c r="BT95" s="6">
        <f>SUM(Financials20263[[#This Row],[Jan FC]:[May FC]])</f>
        <v>440000</v>
      </c>
      <c r="BU95" s="6">
        <f>Financials20263[[#This Row],[Jan-May Actuals]]+Financials20263[[#This Row],[Forecast Jun-Dec]]</f>
        <v>488400</v>
      </c>
      <c r="BV95" s="6"/>
      <c r="BW95" s="6"/>
      <c r="BX95" s="6"/>
    </row>
    <row r="96" spans="1:76">
      <c r="A96" s="22" t="s">
        <v>473</v>
      </c>
      <c r="B96" s="21" t="s">
        <v>48</v>
      </c>
      <c r="C96" s="21" t="s">
        <v>600</v>
      </c>
      <c r="D96" s="10" t="s">
        <v>760</v>
      </c>
      <c r="E96" s="7" t="s">
        <v>761</v>
      </c>
      <c r="F96" s="3" t="s">
        <v>43</v>
      </c>
      <c r="G96" s="3" t="s">
        <v>20</v>
      </c>
      <c r="H96" s="4">
        <v>46023</v>
      </c>
      <c r="I96" s="4">
        <v>46203</v>
      </c>
      <c r="J96" s="3" t="s">
        <v>762</v>
      </c>
      <c r="K96" s="3" t="str">
        <f t="shared" si="28"/>
        <v>Prj000472-Implement - Build Pipes from CORE Systems to IVP</v>
      </c>
      <c r="L96" s="21" t="s">
        <v>499</v>
      </c>
      <c r="M96" s="21" t="s">
        <v>10</v>
      </c>
      <c r="N96" s="21" t="s">
        <v>763</v>
      </c>
      <c r="O96" s="21"/>
      <c r="P96" s="21" t="s">
        <v>479</v>
      </c>
      <c r="Q96" s="21" t="s">
        <v>509</v>
      </c>
      <c r="R96" s="21" t="s">
        <v>503</v>
      </c>
      <c r="S96" s="21" t="s">
        <v>504</v>
      </c>
      <c r="T96" s="5">
        <v>1612673</v>
      </c>
      <c r="U96" s="17">
        <v>1344000</v>
      </c>
      <c r="V96" s="17">
        <v>1344000</v>
      </c>
      <c r="W96" s="15">
        <f t="shared" si="29"/>
        <v>960000</v>
      </c>
      <c r="X96" s="15">
        <f t="shared" si="33"/>
        <v>-384000</v>
      </c>
      <c r="Y96" s="15">
        <f t="shared" si="30"/>
        <v>0</v>
      </c>
      <c r="Z96" s="15">
        <f>SUM(Financials20263[[#This Row],[2026 Opportunity]:[2026 Risk]])</f>
        <v>-384000</v>
      </c>
      <c r="AA96" s="3" t="s">
        <v>764</v>
      </c>
      <c r="AB96" s="52">
        <v>160000</v>
      </c>
      <c r="AC96" s="52">
        <v>160000</v>
      </c>
      <c r="AD96" s="52">
        <v>160000</v>
      </c>
      <c r="AE96" s="52">
        <v>160000</v>
      </c>
      <c r="AF96" s="52">
        <v>160000</v>
      </c>
      <c r="AG96" s="52">
        <v>160000</v>
      </c>
      <c r="AH96" s="52"/>
      <c r="AI96" s="52"/>
      <c r="AJ96" s="52"/>
      <c r="AK96" s="52"/>
      <c r="AL96" s="52"/>
      <c r="AM96" s="52"/>
      <c r="AN96" s="75">
        <f>SUM(Financials20263[[#This Row],[Jan FC]:[Dec FC]])</f>
        <v>960000</v>
      </c>
      <c r="AO96" s="15">
        <f t="shared" si="31"/>
        <v>160000</v>
      </c>
      <c r="AP96" s="61">
        <v>160000</v>
      </c>
      <c r="AQ96" s="61">
        <v>160000</v>
      </c>
      <c r="AR96" s="61">
        <v>160000</v>
      </c>
      <c r="AS96" s="61">
        <v>160000</v>
      </c>
      <c r="AT96" s="61">
        <v>160000</v>
      </c>
      <c r="AU96" s="61"/>
      <c r="AV96" s="61"/>
      <c r="AW96" s="61"/>
      <c r="AX96" s="61"/>
      <c r="AY96" s="61"/>
      <c r="AZ96" s="61"/>
      <c r="BA96" s="61"/>
      <c r="BB96" s="80">
        <f>SUM(Financials20263[[#This Row],[Jan AC]:[Dec AC]])</f>
        <v>800000</v>
      </c>
      <c r="BC96" s="71">
        <f>Financials20263[[#This Row],[Jan AC]]-Financials20263[[#This Row],[Jan FC]]</f>
        <v>0</v>
      </c>
      <c r="BD96" s="71">
        <f>Financials20263[[#This Row],[Feb AC]]-Financials20263[[#This Row],[Feb FC]]</f>
        <v>0</v>
      </c>
      <c r="BE96" s="71">
        <f>Financials20263[[#This Row],[Mar AC]]-Financials20263[[#This Row],[Mar FC]]</f>
        <v>0</v>
      </c>
      <c r="BF96" s="71">
        <f>Financials20263[[#This Row],[Apr AC]]-Financials20263[[#This Row],[Apr FC]]</f>
        <v>0</v>
      </c>
      <c r="BG96" s="71">
        <f>Financials20263[[#This Row],[May AC]]-Financials20263[[#This Row],[May FC]]</f>
        <v>0</v>
      </c>
      <c r="BH96" s="71">
        <f>Financials20263[[#This Row],[Jun AC]]-Financials20263[[#This Row],[Jun FC]]</f>
        <v>-160000</v>
      </c>
      <c r="BI96" s="71">
        <f>Financials20263[[#This Row],[Jul AC]]-Financials20263[[#This Row],[Jul FC]]</f>
        <v>0</v>
      </c>
      <c r="BJ96" s="71">
        <f>Financials20263[[#This Row],[Aug AC]]-Financials20263[[#This Row],[Aug FC]]</f>
        <v>0</v>
      </c>
      <c r="BK96" s="71">
        <f>Financials20263[[#This Row],[Sep AC]]-Financials20263[[#This Row],[Sep FC]]</f>
        <v>0</v>
      </c>
      <c r="BL96" s="71">
        <f>Financials20263[[#This Row],[Oct AC]]-Financials20263[[#This Row],[Oct FC]]</f>
        <v>0</v>
      </c>
      <c r="BM96" s="71">
        <f>Financials20263[[#This Row],[Nov AC]]-Financials20263[[#This Row],[Nov FC]]</f>
        <v>0</v>
      </c>
      <c r="BN96" s="71">
        <f>Financials20263[[#This Row],[Dec AC]]-Financials20263[[#This Row],[Dec FC]]</f>
        <v>0</v>
      </c>
      <c r="BO96" s="71">
        <f>SUM(Financials20263[[#This Row],[Jan Opp/Risk]:[Dec Opp./Risk]])</f>
        <v>-160000</v>
      </c>
      <c r="BP96" s="87" t="s">
        <v>531</v>
      </c>
      <c r="BQ96" s="47">
        <f>SUM(Financials20263[[#This Row],[Jan AC]:[May AC]])</f>
        <v>800000</v>
      </c>
      <c r="BR96" s="6">
        <f>Financials20263[[#This Row],[2026 (Actuals + Forecast)]]-Financials20263[[#This Row],[Jan-May Actuals]]-Financials20263[[#This Row],[Jun-Dec FC]]</f>
        <v>0</v>
      </c>
      <c r="BS96" s="6">
        <f>Financials20263[[#This Row],[Jun-Dec FC]]+Financials20263[[#This Row],[Jan-May Forecast ]]</f>
        <v>160000</v>
      </c>
      <c r="BT96" s="6">
        <f>SUM(Financials20263[[#This Row],[Jan FC]:[May FC]])</f>
        <v>800000</v>
      </c>
      <c r="BU96" s="6">
        <f>Financials20263[[#This Row],[Jan-May Actuals]]+Financials20263[[#This Row],[Forecast Jun-Dec]]</f>
        <v>960000</v>
      </c>
      <c r="BV96" s="6"/>
      <c r="BW96" s="6"/>
      <c r="BX96" s="6"/>
    </row>
    <row r="97" spans="1:76">
      <c r="A97" s="22" t="s">
        <v>473</v>
      </c>
      <c r="B97" s="21" t="s">
        <v>321</v>
      </c>
      <c r="C97" s="21" t="s">
        <v>507</v>
      </c>
      <c r="D97" s="10" t="s">
        <v>475</v>
      </c>
      <c r="E97" s="7" t="s">
        <v>476</v>
      </c>
      <c r="F97" s="3" t="s">
        <v>91</v>
      </c>
      <c r="G97" s="3" t="s">
        <v>21</v>
      </c>
      <c r="H97" s="4" t="s">
        <v>489</v>
      </c>
      <c r="I97" s="4" t="s">
        <v>489</v>
      </c>
      <c r="J97" s="3"/>
      <c r="K97" s="3" t="str">
        <f t="shared" si="28"/>
        <v>Prj000350-Support - Infrastructure for Tech</v>
      </c>
      <c r="L97" s="21" t="s">
        <v>478</v>
      </c>
      <c r="M97" s="21" t="s">
        <v>16</v>
      </c>
      <c r="N97" s="21" t="s">
        <v>16</v>
      </c>
      <c r="O97" s="21" t="s">
        <v>10</v>
      </c>
      <c r="P97" s="21" t="s">
        <v>479</v>
      </c>
      <c r="Q97" s="21" t="s">
        <v>589</v>
      </c>
      <c r="R97" s="21" t="s">
        <v>589</v>
      </c>
      <c r="S97" s="21" t="s">
        <v>508</v>
      </c>
      <c r="T97" s="5">
        <v>21255</v>
      </c>
      <c r="U97" s="15">
        <v>22318</v>
      </c>
      <c r="V97" s="15">
        <v>22318</v>
      </c>
      <c r="W97" s="15">
        <f t="shared" si="29"/>
        <v>22318</v>
      </c>
      <c r="X97" s="15">
        <f t="shared" si="33"/>
        <v>0</v>
      </c>
      <c r="Y97" s="15">
        <f t="shared" si="30"/>
        <v>0</v>
      </c>
      <c r="Z97" s="15">
        <f>SUM(Financials20263[[#This Row],[2026 Opportunity]:[2026 Risk]])</f>
        <v>0</v>
      </c>
      <c r="AA97" s="3"/>
      <c r="AB97" s="52"/>
      <c r="AC97" s="52"/>
      <c r="AD97" s="52"/>
      <c r="AE97" s="52">
        <v>22318</v>
      </c>
      <c r="AF97" s="52"/>
      <c r="AG97" s="51"/>
      <c r="AH97" s="52"/>
      <c r="AI97" s="52"/>
      <c r="AJ97" s="52"/>
      <c r="AK97" s="52"/>
      <c r="AL97" s="51"/>
      <c r="AM97" s="51"/>
      <c r="AN97" s="51">
        <f>SUM(Financials20263[[#This Row],[Jan FC]:[Dec FC]])</f>
        <v>22318</v>
      </c>
      <c r="AO97" s="15">
        <f t="shared" si="31"/>
        <v>0</v>
      </c>
      <c r="AP97" s="61"/>
      <c r="AQ97" s="61"/>
      <c r="AR97" s="61"/>
      <c r="AS97" s="61"/>
      <c r="AT97" s="61"/>
      <c r="AU97" s="60"/>
      <c r="AV97" s="61"/>
      <c r="AW97" s="61"/>
      <c r="AX97" s="61"/>
      <c r="AY97" s="61"/>
      <c r="AZ97" s="60"/>
      <c r="BA97" s="60"/>
      <c r="BB97" s="79">
        <f>SUM(Financials20263[[#This Row],[Jan AC]:[Dec AC]])</f>
        <v>0</v>
      </c>
      <c r="BC97" s="71">
        <f>Financials20263[[#This Row],[Jan AC]]-Financials20263[[#This Row],[Jan FC]]</f>
        <v>0</v>
      </c>
      <c r="BD97" s="71">
        <f>Financials20263[[#This Row],[Feb AC]]-Financials20263[[#This Row],[Feb FC]]</f>
        <v>0</v>
      </c>
      <c r="BE97" s="71">
        <f>Financials20263[[#This Row],[Mar AC]]-Financials20263[[#This Row],[Mar FC]]</f>
        <v>0</v>
      </c>
      <c r="BF97" s="71">
        <f>Financials20263[[#This Row],[Apr AC]]-Financials20263[[#This Row],[Apr FC]]</f>
        <v>-22318</v>
      </c>
      <c r="BG97" s="71">
        <f>Financials20263[[#This Row],[May AC]]-Financials20263[[#This Row],[May FC]]</f>
        <v>0</v>
      </c>
      <c r="BH97" s="71">
        <f>Financials20263[[#This Row],[Jun AC]]-Financials20263[[#This Row],[Jun FC]]</f>
        <v>0</v>
      </c>
      <c r="BI97" s="71">
        <f>Financials20263[[#This Row],[Jul AC]]-Financials20263[[#This Row],[Jul FC]]</f>
        <v>0</v>
      </c>
      <c r="BJ97" s="71">
        <f>Financials20263[[#This Row],[Aug AC]]-Financials20263[[#This Row],[Aug FC]]</f>
        <v>0</v>
      </c>
      <c r="BK97" s="71">
        <f>Financials20263[[#This Row],[Sep AC]]-Financials20263[[#This Row],[Sep FC]]</f>
        <v>0</v>
      </c>
      <c r="BL97" s="71">
        <f>Financials20263[[#This Row],[Oct AC]]-Financials20263[[#This Row],[Oct FC]]</f>
        <v>0</v>
      </c>
      <c r="BM97" s="71">
        <f>Financials20263[[#This Row],[Nov AC]]-Financials20263[[#This Row],[Nov FC]]</f>
        <v>0</v>
      </c>
      <c r="BN97" s="71">
        <f>Financials20263[[#This Row],[Dec AC]]-Financials20263[[#This Row],[Dec FC]]</f>
        <v>0</v>
      </c>
      <c r="BO97" s="71">
        <f>SUM(Financials20263[[#This Row],[Jan Opp/Risk]:[Dec Opp./Risk]])</f>
        <v>-22318</v>
      </c>
      <c r="BP97" s="87"/>
      <c r="BQ97" s="47">
        <f>SUM(Financials20263[[#This Row],[Jan AC]:[May AC]])</f>
        <v>0</v>
      </c>
      <c r="BR97" s="6">
        <f>Financials20263[[#This Row],[2026 (Actuals + Forecast)]]-Financials20263[[#This Row],[Jan-May Actuals]]-Financials20263[[#This Row],[Jun-Dec FC]]</f>
        <v>22318</v>
      </c>
      <c r="BS97" s="6">
        <f>Financials20263[[#This Row],[Jun-Dec FC]]+Financials20263[[#This Row],[Jan-May Forecast ]]</f>
        <v>22318</v>
      </c>
      <c r="BT97" s="6">
        <f>SUM(Financials20263[[#This Row],[Jan FC]:[May FC]])</f>
        <v>22318</v>
      </c>
      <c r="BU97" s="6">
        <f>Financials20263[[#This Row],[Jan-May Actuals]]+Financials20263[[#This Row],[Forecast Jun-Dec]]</f>
        <v>22318</v>
      </c>
      <c r="BV97" s="6"/>
      <c r="BW97" s="6"/>
      <c r="BX97" s="6"/>
    </row>
    <row r="98" spans="1:76">
      <c r="A98" s="22" t="s">
        <v>473</v>
      </c>
      <c r="B98" s="21" t="s">
        <v>171</v>
      </c>
      <c r="C98" s="21" t="s">
        <v>765</v>
      </c>
      <c r="D98" s="10" t="s">
        <v>564</v>
      </c>
      <c r="E98" s="7" t="s">
        <v>564</v>
      </c>
      <c r="F98" s="3" t="s">
        <v>756</v>
      </c>
      <c r="G98" s="3" t="s">
        <v>20</v>
      </c>
      <c r="H98" s="4">
        <v>46023</v>
      </c>
      <c r="I98" s="4">
        <v>46203</v>
      </c>
      <c r="J98" s="3" t="s">
        <v>564</v>
      </c>
      <c r="K98" s="3" t="str">
        <f t="shared" si="28"/>
        <v>T&amp;M-T&amp;M</v>
      </c>
      <c r="L98" s="21" t="s">
        <v>499</v>
      </c>
      <c r="M98" s="21" t="s">
        <v>13</v>
      </c>
      <c r="N98" s="21" t="s">
        <v>766</v>
      </c>
      <c r="O98" s="21" t="s">
        <v>564</v>
      </c>
      <c r="P98" s="21" t="s">
        <v>767</v>
      </c>
      <c r="Q98" s="21" t="s">
        <v>768</v>
      </c>
      <c r="R98" s="21" t="s">
        <v>522</v>
      </c>
      <c r="S98" s="21" t="s">
        <v>504</v>
      </c>
      <c r="T98" s="5">
        <v>1877896</v>
      </c>
      <c r="U98" s="15">
        <v>932960</v>
      </c>
      <c r="V98" s="15">
        <v>940800</v>
      </c>
      <c r="W98" s="15">
        <f t="shared" si="29"/>
        <v>875668</v>
      </c>
      <c r="X98" s="15">
        <f t="shared" si="33"/>
        <v>-65132</v>
      </c>
      <c r="Y98" s="15">
        <f t="shared" si="30"/>
        <v>0</v>
      </c>
      <c r="Z98" s="15">
        <f>SUM(Financials20263[[#This Row],[2026 Opportunity]:[2026 Risk]])</f>
        <v>-65132</v>
      </c>
      <c r="AA98" s="3" t="s">
        <v>769</v>
      </c>
      <c r="AB98" s="52">
        <f>940800/6</f>
        <v>156800</v>
      </c>
      <c r="AC98" s="52">
        <f t="shared" ref="AC98:AG98" si="41">940800/6</f>
        <v>156800</v>
      </c>
      <c r="AD98" s="52">
        <f t="shared" si="41"/>
        <v>156800</v>
      </c>
      <c r="AE98" s="52">
        <f t="shared" si="41"/>
        <v>156800</v>
      </c>
      <c r="AF98" s="52">
        <f t="shared" si="41"/>
        <v>156800</v>
      </c>
      <c r="AG98" s="52">
        <f t="shared" si="41"/>
        <v>156800</v>
      </c>
      <c r="AH98" s="52"/>
      <c r="AI98" s="52"/>
      <c r="AJ98" s="52"/>
      <c r="AK98" s="52"/>
      <c r="AL98" s="52"/>
      <c r="AM98" s="52"/>
      <c r="AN98" s="52">
        <f>SUM(Financials20263[[#This Row],[Jan FC]:[Dec FC]])</f>
        <v>940800</v>
      </c>
      <c r="AO98" s="15">
        <f t="shared" si="31"/>
        <v>156800</v>
      </c>
      <c r="AP98" s="62">
        <v>153008</v>
      </c>
      <c r="AQ98" s="62">
        <v>138848</v>
      </c>
      <c r="AR98" s="61">
        <v>154496</v>
      </c>
      <c r="AS98" s="61">
        <v>163758</v>
      </c>
      <c r="AT98" s="61">
        <v>108758</v>
      </c>
      <c r="AU98" s="61"/>
      <c r="AV98" s="61"/>
      <c r="AW98" s="61"/>
      <c r="AX98" s="61"/>
      <c r="AY98" s="61"/>
      <c r="AZ98" s="61"/>
      <c r="BA98" s="61"/>
      <c r="BB98" s="80">
        <f>SUM(Financials20263[[#This Row],[Jan AC]:[Dec AC]])</f>
        <v>718868</v>
      </c>
      <c r="BC98" s="71">
        <f>Financials20263[[#This Row],[Jan AC]]-Financials20263[[#This Row],[Jan FC]]</f>
        <v>-3792</v>
      </c>
      <c r="BD98" s="71">
        <f>Financials20263[[#This Row],[Feb AC]]-Financials20263[[#This Row],[Feb FC]]</f>
        <v>-17952</v>
      </c>
      <c r="BE98" s="71">
        <f>Financials20263[[#This Row],[Mar AC]]-Financials20263[[#This Row],[Mar FC]]</f>
        <v>-2304</v>
      </c>
      <c r="BF98" s="71">
        <f>Financials20263[[#This Row],[Apr AC]]-Financials20263[[#This Row],[Apr FC]]</f>
        <v>6958</v>
      </c>
      <c r="BG98" s="71">
        <f>Financials20263[[#This Row],[May AC]]-Financials20263[[#This Row],[May FC]]</f>
        <v>-48042</v>
      </c>
      <c r="BH98" s="71">
        <f>Financials20263[[#This Row],[Jun AC]]-Financials20263[[#This Row],[Jun FC]]</f>
        <v>-156800</v>
      </c>
      <c r="BI98" s="71">
        <f>Financials20263[[#This Row],[Jul AC]]-Financials20263[[#This Row],[Jul FC]]</f>
        <v>0</v>
      </c>
      <c r="BJ98" s="71">
        <f>Financials20263[[#This Row],[Aug AC]]-Financials20263[[#This Row],[Aug FC]]</f>
        <v>0</v>
      </c>
      <c r="BK98" s="71">
        <f>Financials20263[[#This Row],[Sep AC]]-Financials20263[[#This Row],[Sep FC]]</f>
        <v>0</v>
      </c>
      <c r="BL98" s="71">
        <f>Financials20263[[#This Row],[Oct AC]]-Financials20263[[#This Row],[Oct FC]]</f>
        <v>0</v>
      </c>
      <c r="BM98" s="71">
        <f>Financials20263[[#This Row],[Nov AC]]-Financials20263[[#This Row],[Nov FC]]</f>
        <v>0</v>
      </c>
      <c r="BN98" s="71">
        <f>Financials20263[[#This Row],[Dec AC]]-Financials20263[[#This Row],[Dec FC]]</f>
        <v>0</v>
      </c>
      <c r="BO98" s="71">
        <f>SUM(Financials20263[[#This Row],[Jan Opp/Risk]:[Dec Opp./Risk]])</f>
        <v>-221932</v>
      </c>
      <c r="BP98" s="89" t="s">
        <v>568</v>
      </c>
      <c r="BQ98" s="47">
        <f>SUM(Financials20263[[#This Row],[Jan AC]:[May AC]])</f>
        <v>718868</v>
      </c>
      <c r="BR98" s="6">
        <f>Financials20263[[#This Row],[2026 (Actuals + Forecast)]]-Financials20263[[#This Row],[Jan-May Actuals]]-Financials20263[[#This Row],[Jun-Dec FC]]</f>
        <v>0</v>
      </c>
      <c r="BS98" s="6">
        <f>Financials20263[[#This Row],[Jun-Dec FC]]+Financials20263[[#This Row],[Jan-May Forecast ]]</f>
        <v>156800</v>
      </c>
      <c r="BT98" s="6">
        <f>SUM(Financials20263[[#This Row],[Jan FC]:[May FC]])</f>
        <v>784000</v>
      </c>
      <c r="BU98" s="6">
        <f>Financials20263[[#This Row],[Jan-May Actuals]]+Financials20263[[#This Row],[Forecast Jun-Dec]]</f>
        <v>875668</v>
      </c>
      <c r="BV98" s="6"/>
      <c r="BW98" s="6"/>
      <c r="BX98" s="6"/>
    </row>
    <row r="99" spans="1:76">
      <c r="A99" s="22" t="s">
        <v>473</v>
      </c>
      <c r="B99" s="21" t="s">
        <v>381</v>
      </c>
      <c r="C99" s="21"/>
      <c r="D99" s="10" t="s">
        <v>610</v>
      </c>
      <c r="E99" s="7" t="s">
        <v>611</v>
      </c>
      <c r="F99" s="3" t="s">
        <v>488</v>
      </c>
      <c r="G99" s="3" t="s">
        <v>25</v>
      </c>
      <c r="H99" s="4">
        <v>45901</v>
      </c>
      <c r="I99" s="4">
        <v>46265</v>
      </c>
      <c r="J99" s="3"/>
      <c r="K99" s="3" t="str">
        <f t="shared" si="28"/>
        <v>Prj000446-Implement - Minor Enhancements for Enterprise Apps</v>
      </c>
      <c r="L99" s="21" t="s">
        <v>478</v>
      </c>
      <c r="M99" s="21" t="s">
        <v>16</v>
      </c>
      <c r="N99" s="21" t="s">
        <v>16</v>
      </c>
      <c r="O99" s="21" t="s">
        <v>10</v>
      </c>
      <c r="P99" s="21" t="s">
        <v>479</v>
      </c>
      <c r="Q99" s="21" t="s">
        <v>480</v>
      </c>
      <c r="R99" s="21" t="s">
        <v>522</v>
      </c>
      <c r="S99" s="21" t="s">
        <v>481</v>
      </c>
      <c r="T99" s="5">
        <v>56980</v>
      </c>
      <c r="U99" s="15">
        <v>139031.20000000001</v>
      </c>
      <c r="V99" s="15">
        <v>139031.20000000001</v>
      </c>
      <c r="W99" s="15">
        <f t="shared" si="29"/>
        <v>139031.66666666669</v>
      </c>
      <c r="X99" s="15">
        <f t="shared" si="33"/>
        <v>0</v>
      </c>
      <c r="Y99" s="15">
        <f t="shared" si="30"/>
        <v>0.46666666667442769</v>
      </c>
      <c r="Z99" s="15">
        <f>SUM(Financials20263[[#This Row],[2026 Opportunity]:[2026 Risk]])</f>
        <v>0.46666666667442769</v>
      </c>
      <c r="AA99" s="3" t="s">
        <v>770</v>
      </c>
      <c r="AB99" s="52">
        <v>11396</v>
      </c>
      <c r="AC99" s="52">
        <v>11396</v>
      </c>
      <c r="AD99" s="52">
        <v>11396</v>
      </c>
      <c r="AE99" s="52">
        <v>11396</v>
      </c>
      <c r="AF99" s="52">
        <v>11396</v>
      </c>
      <c r="AG99" s="52">
        <v>11396</v>
      </c>
      <c r="AH99" s="52">
        <v>11396</v>
      </c>
      <c r="AI99" s="52">
        <f>139031.2/12</f>
        <v>11585.933333333334</v>
      </c>
      <c r="AJ99" s="52">
        <f>AI99</f>
        <v>11585.933333333334</v>
      </c>
      <c r="AK99" s="52">
        <f>AJ99</f>
        <v>11585.933333333334</v>
      </c>
      <c r="AL99" s="52">
        <f>AK99</f>
        <v>11585.933333333334</v>
      </c>
      <c r="AM99" s="46">
        <f>AL99+1330</f>
        <v>12915.933333333334</v>
      </c>
      <c r="AN99" s="52">
        <f>SUM(Financials20263[[#This Row],[Jan FC]:[Dec FC]])</f>
        <v>139031.66666666669</v>
      </c>
      <c r="AO99" s="15">
        <f t="shared" si="31"/>
        <v>82051.666666666672</v>
      </c>
      <c r="AP99" s="61">
        <f t="shared" ref="AP99:AV99" si="42">136752/12</f>
        <v>11396</v>
      </c>
      <c r="AQ99" s="61">
        <f t="shared" si="42"/>
        <v>11396</v>
      </c>
      <c r="AR99" s="61">
        <f t="shared" si="42"/>
        <v>11396</v>
      </c>
      <c r="AS99" s="61">
        <f t="shared" si="42"/>
        <v>11396</v>
      </c>
      <c r="AT99" s="61">
        <f t="shared" si="42"/>
        <v>11396</v>
      </c>
      <c r="AU99" s="61">
        <f t="shared" si="42"/>
        <v>11396</v>
      </c>
      <c r="AV99" s="61">
        <f t="shared" si="42"/>
        <v>11396</v>
      </c>
      <c r="AW99" s="61"/>
      <c r="AX99" s="61"/>
      <c r="AY99" s="61"/>
      <c r="AZ99" s="61"/>
      <c r="BA99" s="61"/>
      <c r="BB99" s="80">
        <f>SUM(Financials20263[[#This Row],[Jan AC]:[Dec AC]])</f>
        <v>79772</v>
      </c>
      <c r="BC99" s="71">
        <f>Financials20263[[#This Row],[Jan AC]]-Financials20263[[#This Row],[Jan FC]]</f>
        <v>0</v>
      </c>
      <c r="BD99" s="71">
        <f>Financials20263[[#This Row],[Feb AC]]-Financials20263[[#This Row],[Feb FC]]</f>
        <v>0</v>
      </c>
      <c r="BE99" s="71">
        <f>Financials20263[[#This Row],[Mar AC]]-Financials20263[[#This Row],[Mar FC]]</f>
        <v>0</v>
      </c>
      <c r="BF99" s="71">
        <f>Financials20263[[#This Row],[Apr AC]]-Financials20263[[#This Row],[Apr FC]]</f>
        <v>0</v>
      </c>
      <c r="BG99" s="71">
        <f>Financials20263[[#This Row],[May AC]]-Financials20263[[#This Row],[May FC]]</f>
        <v>0</v>
      </c>
      <c r="BH99" s="71">
        <f>Financials20263[[#This Row],[Jun AC]]-Financials20263[[#This Row],[Jun FC]]</f>
        <v>0</v>
      </c>
      <c r="BI99" s="71">
        <f>Financials20263[[#This Row],[Jul AC]]-Financials20263[[#This Row],[Jul FC]]</f>
        <v>0</v>
      </c>
      <c r="BJ99" s="71">
        <f>Financials20263[[#This Row],[Aug AC]]-Financials20263[[#This Row],[Aug FC]]</f>
        <v>-11585.933333333334</v>
      </c>
      <c r="BK99" s="71">
        <f>Financials20263[[#This Row],[Sep AC]]-Financials20263[[#This Row],[Sep FC]]</f>
        <v>-11585.933333333334</v>
      </c>
      <c r="BL99" s="71">
        <f>Financials20263[[#This Row],[Oct AC]]-Financials20263[[#This Row],[Oct FC]]</f>
        <v>-11585.933333333334</v>
      </c>
      <c r="BM99" s="71">
        <f>Financials20263[[#This Row],[Nov AC]]-Financials20263[[#This Row],[Nov FC]]</f>
        <v>-11585.933333333334</v>
      </c>
      <c r="BN99" s="71">
        <f>Financials20263[[#This Row],[Dec AC]]-Financials20263[[#This Row],[Dec FC]]</f>
        <v>-12915.933333333334</v>
      </c>
      <c r="BO99" s="71">
        <f>SUM(Financials20263[[#This Row],[Jan Opp/Risk]:[Dec Opp./Risk]])</f>
        <v>-59259.666666666672</v>
      </c>
      <c r="BP99" s="87" t="s">
        <v>531</v>
      </c>
      <c r="BQ99" s="47">
        <f>SUM(Financials20263[[#This Row],[Jan AC]:[May AC]])</f>
        <v>56980</v>
      </c>
      <c r="BR99" s="6">
        <f>Financials20263[[#This Row],[2026 (Actuals + Forecast)]]-Financials20263[[#This Row],[Jan-May Actuals]]-Financials20263[[#This Row],[Jun-Dec FC]]</f>
        <v>0</v>
      </c>
      <c r="BS99" s="6">
        <f>Financials20263[[#This Row],[Jun-Dec FC]]+Financials20263[[#This Row],[Jan-May Forecast ]]</f>
        <v>82051.666666666672</v>
      </c>
      <c r="BT99" s="6">
        <f>SUM(Financials20263[[#This Row],[Jan FC]:[May FC]])</f>
        <v>56980</v>
      </c>
      <c r="BU99" s="6">
        <f>Financials20263[[#This Row],[Jan-May Actuals]]+Financials20263[[#This Row],[Forecast Jun-Dec]]</f>
        <v>139031.66666666669</v>
      </c>
      <c r="BV99" s="6"/>
      <c r="BW99" s="6"/>
      <c r="BX99" s="6"/>
    </row>
    <row r="100" spans="1:76">
      <c r="A100" s="22" t="s">
        <v>771</v>
      </c>
      <c r="B100" s="21" t="s">
        <v>772</v>
      </c>
      <c r="C100" s="21"/>
      <c r="D100" s="3" t="s">
        <v>26</v>
      </c>
      <c r="E100" s="3" t="s">
        <v>26</v>
      </c>
      <c r="F100" s="3" t="s">
        <v>26</v>
      </c>
      <c r="G100" s="3" t="s">
        <v>26</v>
      </c>
      <c r="H100" s="4"/>
      <c r="I100" s="4"/>
      <c r="J100" s="3"/>
      <c r="K100" s="3" t="str">
        <f t="shared" si="28"/>
        <v>N/A-N/A</v>
      </c>
      <c r="L100" s="21" t="s">
        <v>771</v>
      </c>
      <c r="M100" s="21" t="s">
        <v>771</v>
      </c>
      <c r="N100" s="21" t="s">
        <v>773</v>
      </c>
      <c r="O100" s="21" t="s">
        <v>774</v>
      </c>
      <c r="P100" s="21" t="s">
        <v>767</v>
      </c>
      <c r="Q100" s="21" t="s">
        <v>768</v>
      </c>
      <c r="R100" s="21" t="s">
        <v>522</v>
      </c>
      <c r="S100" s="21" t="s">
        <v>771</v>
      </c>
      <c r="T100" s="5">
        <v>-3700000</v>
      </c>
      <c r="U100" s="15">
        <v>-4000000</v>
      </c>
      <c r="V100" s="15">
        <v>-4000000</v>
      </c>
      <c r="W100" s="15">
        <f t="shared" si="29"/>
        <v>-4000000.0000000005</v>
      </c>
      <c r="X100" s="15">
        <f t="shared" si="33"/>
        <v>-4.6566128730773926E-10</v>
      </c>
      <c r="Y100" s="15">
        <f t="shared" si="30"/>
        <v>0</v>
      </c>
      <c r="Z100" s="15">
        <f>SUM(Financials20263[[#This Row],[2026 Opportunity]:[2026 Risk]])</f>
        <v>-4.6566128730773926E-10</v>
      </c>
      <c r="AA100" s="3" t="s">
        <v>775</v>
      </c>
      <c r="AB100" s="52">
        <f t="shared" ref="AB100:BA100" si="43">-4000000/12</f>
        <v>-333333.33333333331</v>
      </c>
      <c r="AC100" s="52">
        <f t="shared" si="43"/>
        <v>-333333.33333333331</v>
      </c>
      <c r="AD100" s="52">
        <f t="shared" si="43"/>
        <v>-333333.33333333331</v>
      </c>
      <c r="AE100" s="52">
        <f t="shared" si="43"/>
        <v>-333333.33333333331</v>
      </c>
      <c r="AF100" s="52">
        <f t="shared" si="43"/>
        <v>-333333.33333333331</v>
      </c>
      <c r="AG100" s="52">
        <f t="shared" si="43"/>
        <v>-333333.33333333331</v>
      </c>
      <c r="AH100" s="52">
        <f t="shared" si="43"/>
        <v>-333333.33333333331</v>
      </c>
      <c r="AI100" s="52">
        <f t="shared" si="43"/>
        <v>-333333.33333333331</v>
      </c>
      <c r="AJ100" s="52">
        <f t="shared" si="43"/>
        <v>-333333.33333333331</v>
      </c>
      <c r="AK100" s="52">
        <f t="shared" si="43"/>
        <v>-333333.33333333331</v>
      </c>
      <c r="AL100" s="52">
        <f t="shared" si="43"/>
        <v>-333333.33333333331</v>
      </c>
      <c r="AM100" s="52">
        <f t="shared" si="43"/>
        <v>-333333.33333333331</v>
      </c>
      <c r="AN100" s="52">
        <f>SUM(Financials20263[[#This Row],[Jan FC]:[Dec FC]])</f>
        <v>-4000000.0000000005</v>
      </c>
      <c r="AO100" s="15">
        <f t="shared" si="31"/>
        <v>-2333333.333333333</v>
      </c>
      <c r="AP100" s="61">
        <f t="shared" si="43"/>
        <v>-333333.33333333331</v>
      </c>
      <c r="AQ100" s="61">
        <f t="shared" si="43"/>
        <v>-333333.33333333331</v>
      </c>
      <c r="AR100" s="61">
        <f t="shared" si="43"/>
        <v>-333333.33333333331</v>
      </c>
      <c r="AS100" s="61">
        <f t="shared" si="43"/>
        <v>-333333.33333333331</v>
      </c>
      <c r="AT100" s="61">
        <f t="shared" si="43"/>
        <v>-333333.33333333331</v>
      </c>
      <c r="AU100" s="61">
        <f t="shared" si="43"/>
        <v>-333333.33333333331</v>
      </c>
      <c r="AV100" s="61">
        <f t="shared" si="43"/>
        <v>-333333.33333333331</v>
      </c>
      <c r="AW100" s="61">
        <f t="shared" si="43"/>
        <v>-333333.33333333331</v>
      </c>
      <c r="AX100" s="61">
        <f t="shared" si="43"/>
        <v>-333333.33333333331</v>
      </c>
      <c r="AY100" s="61">
        <f t="shared" si="43"/>
        <v>-333333.33333333331</v>
      </c>
      <c r="AZ100" s="61">
        <f t="shared" si="43"/>
        <v>-333333.33333333331</v>
      </c>
      <c r="BA100" s="61">
        <f t="shared" si="43"/>
        <v>-333333.33333333331</v>
      </c>
      <c r="BB100" s="80">
        <f>SUM(Financials20263[[#This Row],[Jan AC]:[Dec AC]])</f>
        <v>-4000000.0000000005</v>
      </c>
      <c r="BC100" s="71">
        <f>Financials20263[[#This Row],[Jan AC]]-Financials20263[[#This Row],[Jan FC]]</f>
        <v>0</v>
      </c>
      <c r="BD100" s="71">
        <f>Financials20263[[#This Row],[Feb AC]]-Financials20263[[#This Row],[Feb FC]]</f>
        <v>0</v>
      </c>
      <c r="BE100" s="71">
        <f>Financials20263[[#This Row],[Mar AC]]-Financials20263[[#This Row],[Mar FC]]</f>
        <v>0</v>
      </c>
      <c r="BF100" s="71">
        <f>Financials20263[[#This Row],[Apr AC]]-Financials20263[[#This Row],[Apr FC]]</f>
        <v>0</v>
      </c>
      <c r="BG100" s="71">
        <f>Financials20263[[#This Row],[May AC]]-Financials20263[[#This Row],[May FC]]</f>
        <v>0</v>
      </c>
      <c r="BH100" s="71">
        <f>Financials20263[[#This Row],[Jun AC]]-Financials20263[[#This Row],[Jun FC]]</f>
        <v>0</v>
      </c>
      <c r="BI100" s="71">
        <f>Financials20263[[#This Row],[Jul AC]]-Financials20263[[#This Row],[Jul FC]]</f>
        <v>0</v>
      </c>
      <c r="BJ100" s="71">
        <f>Financials20263[[#This Row],[Aug AC]]-Financials20263[[#This Row],[Aug FC]]</f>
        <v>0</v>
      </c>
      <c r="BK100" s="71">
        <f>Financials20263[[#This Row],[Sep AC]]-Financials20263[[#This Row],[Sep FC]]</f>
        <v>0</v>
      </c>
      <c r="BL100" s="71">
        <f>Financials20263[[#This Row],[Oct AC]]-Financials20263[[#This Row],[Oct FC]]</f>
        <v>0</v>
      </c>
      <c r="BM100" s="71">
        <f>Financials20263[[#This Row],[Nov AC]]-Financials20263[[#This Row],[Nov FC]]</f>
        <v>0</v>
      </c>
      <c r="BN100" s="71">
        <f>Financials20263[[#This Row],[Dec AC]]-Financials20263[[#This Row],[Dec FC]]</f>
        <v>0</v>
      </c>
      <c r="BO100" s="71">
        <f>SUM(Financials20263[[#This Row],[Jan Opp/Risk]:[Dec Opp./Risk]])</f>
        <v>0</v>
      </c>
      <c r="BP100" s="87" t="s">
        <v>776</v>
      </c>
      <c r="BQ100" s="49">
        <f>SUM(Financials20263[[#This Row],[Jan AC]:[May AC]])</f>
        <v>-1666666.6666666665</v>
      </c>
      <c r="BR100" s="6">
        <f>Financials20263[[#This Row],[2026 (Actuals + Forecast)]]-Financials20263[[#This Row],[Jan-May Actuals]]-Financials20263[[#This Row],[Jun-Dec FC]]</f>
        <v>0</v>
      </c>
      <c r="BS100" s="6">
        <f>Financials20263[[#This Row],[Jun-Dec FC]]+Financials20263[[#This Row],[Jan-May Forecast ]]</f>
        <v>-2333333.333333333</v>
      </c>
      <c r="BT100" s="6">
        <f>SUM(Financials20263[[#This Row],[Jan FC]:[May FC]])</f>
        <v>-1666666.6666666665</v>
      </c>
      <c r="BU100" s="6">
        <f>Financials20263[[#This Row],[Jan-May Actuals]]+Financials20263[[#This Row],[Forecast Jun-Dec]]</f>
        <v>-3999999.9999999995</v>
      </c>
      <c r="BV100" s="6"/>
      <c r="BW100" s="6"/>
      <c r="BX100" s="6"/>
    </row>
    <row r="101" spans="1:76">
      <c r="A101" s="32" t="s">
        <v>777</v>
      </c>
      <c r="B101" s="32" t="s">
        <v>276</v>
      </c>
      <c r="C101" s="39"/>
      <c r="D101" s="32" t="s">
        <v>777</v>
      </c>
      <c r="E101" s="34" t="s">
        <v>26</v>
      </c>
      <c r="F101" s="34" t="s">
        <v>26</v>
      </c>
      <c r="G101" s="34" t="s">
        <v>26</v>
      </c>
      <c r="H101" s="34" t="s">
        <v>26</v>
      </c>
      <c r="I101" s="34" t="s">
        <v>26</v>
      </c>
      <c r="J101" s="34" t="s">
        <v>26</v>
      </c>
      <c r="K101" s="35" t="str">
        <f t="shared" si="28"/>
        <v>Amortization-N/A</v>
      </c>
      <c r="L101" s="33" t="s">
        <v>777</v>
      </c>
      <c r="M101" s="33" t="s">
        <v>15</v>
      </c>
      <c r="N101" s="33" t="s">
        <v>15</v>
      </c>
      <c r="O101" s="33" t="s">
        <v>777</v>
      </c>
      <c r="P101" s="33" t="s">
        <v>479</v>
      </c>
      <c r="Q101" s="33" t="s">
        <v>778</v>
      </c>
      <c r="R101" s="33" t="s">
        <v>779</v>
      </c>
      <c r="S101" s="22" t="s">
        <v>777</v>
      </c>
      <c r="T101" s="36">
        <v>534786</v>
      </c>
      <c r="U101" s="37"/>
      <c r="V101" s="37">
        <v>1244018</v>
      </c>
      <c r="W101" s="15">
        <f t="shared" si="29"/>
        <v>1441946.6100000003</v>
      </c>
      <c r="X101" s="15">
        <f t="shared" si="33"/>
        <v>0</v>
      </c>
      <c r="Y101" s="15">
        <f t="shared" si="30"/>
        <v>197928.61000000034</v>
      </c>
      <c r="Z101" s="37">
        <f>SUM(Financials20263[[#This Row],[2026 Opportunity]:[2026 Risk]])</f>
        <v>197928.61000000034</v>
      </c>
      <c r="AA101" s="41" t="s">
        <v>780</v>
      </c>
      <c r="AB101" s="54">
        <v>120162.21750000003</v>
      </c>
      <c r="AC101" s="54">
        <v>120162.21750000003</v>
      </c>
      <c r="AD101" s="54">
        <v>120162.21750000003</v>
      </c>
      <c r="AE101" s="54">
        <v>120162.21750000003</v>
      </c>
      <c r="AF101" s="54">
        <v>120162.21750000003</v>
      </c>
      <c r="AG101" s="54">
        <v>120162.21750000003</v>
      </c>
      <c r="AH101" s="54">
        <v>120162.21750000003</v>
      </c>
      <c r="AI101" s="54">
        <v>120162.21750000003</v>
      </c>
      <c r="AJ101" s="54">
        <v>120162.21750000003</v>
      </c>
      <c r="AK101" s="54">
        <v>120162.21750000003</v>
      </c>
      <c r="AL101" s="54">
        <v>120162.21750000003</v>
      </c>
      <c r="AM101" s="54">
        <v>120162.21750000003</v>
      </c>
      <c r="AN101" s="52">
        <f>SUM(Financials20263[[#This Row],[Jan FC]:[Dec FC]])</f>
        <v>1441946.6100000003</v>
      </c>
      <c r="AO101" s="15">
        <f t="shared" si="31"/>
        <v>841135.5225000002</v>
      </c>
      <c r="AP101" s="63">
        <v>120162.21750000003</v>
      </c>
      <c r="AQ101" s="61">
        <v>120162.21750000003</v>
      </c>
      <c r="AR101" s="61">
        <v>120162.21750000003</v>
      </c>
      <c r="AS101" s="61">
        <v>120162.21750000003</v>
      </c>
      <c r="AT101" s="61">
        <v>120162.21750000003</v>
      </c>
      <c r="AU101" s="61">
        <v>120162.21750000003</v>
      </c>
      <c r="AV101" s="61">
        <v>120162.21750000003</v>
      </c>
      <c r="AW101" s="61">
        <v>120162.21750000003</v>
      </c>
      <c r="AX101" s="61">
        <v>120162.21750000003</v>
      </c>
      <c r="AY101" s="61">
        <v>120162.21750000003</v>
      </c>
      <c r="AZ101" s="61">
        <v>120162.21750000003</v>
      </c>
      <c r="BA101" s="61">
        <v>120162.21750000003</v>
      </c>
      <c r="BB101" s="80">
        <f>SUM(Financials20263[[#This Row],[Jan AC]:[Dec AC]])</f>
        <v>1441946.6100000003</v>
      </c>
      <c r="BC101" s="71">
        <f>Financials20263[[#This Row],[Jan AC]]-Financials20263[[#This Row],[Jan FC]]</f>
        <v>0</v>
      </c>
      <c r="BD101" s="71">
        <f>Financials20263[[#This Row],[Feb AC]]-Financials20263[[#This Row],[Feb FC]]</f>
        <v>0</v>
      </c>
      <c r="BE101" s="71">
        <f>Financials20263[[#This Row],[Mar AC]]-Financials20263[[#This Row],[Mar FC]]</f>
        <v>0</v>
      </c>
      <c r="BF101" s="71">
        <f>Financials20263[[#This Row],[Apr AC]]-Financials20263[[#This Row],[Apr FC]]</f>
        <v>0</v>
      </c>
      <c r="BG101" s="71">
        <f>Financials20263[[#This Row],[May AC]]-Financials20263[[#This Row],[May FC]]</f>
        <v>0</v>
      </c>
      <c r="BH101" s="71">
        <f>Financials20263[[#This Row],[Jun AC]]-Financials20263[[#This Row],[Jun FC]]</f>
        <v>0</v>
      </c>
      <c r="BI101" s="71">
        <f>Financials20263[[#This Row],[Jul AC]]-Financials20263[[#This Row],[Jul FC]]</f>
        <v>0</v>
      </c>
      <c r="BJ101" s="71">
        <f>Financials20263[[#This Row],[Aug AC]]-Financials20263[[#This Row],[Aug FC]]</f>
        <v>0</v>
      </c>
      <c r="BK101" s="71">
        <f>Financials20263[[#This Row],[Sep AC]]-Financials20263[[#This Row],[Sep FC]]</f>
        <v>0</v>
      </c>
      <c r="BL101" s="71">
        <f>Financials20263[[#This Row],[Oct AC]]-Financials20263[[#This Row],[Oct FC]]</f>
        <v>0</v>
      </c>
      <c r="BM101" s="71">
        <f>Financials20263[[#This Row],[Nov AC]]-Financials20263[[#This Row],[Nov FC]]</f>
        <v>0</v>
      </c>
      <c r="BN101" s="71">
        <f>Financials20263[[#This Row],[Dec AC]]-Financials20263[[#This Row],[Dec FC]]</f>
        <v>0</v>
      </c>
      <c r="BO101" s="84">
        <f>SUM(Financials20263[[#This Row],[Jan Opp/Risk]:[Dec Opp./Risk]])</f>
        <v>0</v>
      </c>
      <c r="BP101" s="92" t="s">
        <v>781</v>
      </c>
      <c r="BQ101" s="47">
        <f>SUM(Financials20263[[#This Row],[Jan AC]:[May AC]])</f>
        <v>600811.08750000014</v>
      </c>
      <c r="BR101" s="6">
        <f>Financials20263[[#This Row],[2026 (Actuals + Forecast)]]-Financials20263[[#This Row],[Jan-May Actuals]]-Financials20263[[#This Row],[Jun-Dec FC]]</f>
        <v>0</v>
      </c>
      <c r="BS101" s="6">
        <f>Financials20263[[#This Row],[Jun-Dec FC]]+Financials20263[[#This Row],[Jan-May Forecast ]]</f>
        <v>841135.5225000002</v>
      </c>
      <c r="BT101" s="6">
        <f>SUM(Financials20263[[#This Row],[Jan FC]:[May FC]])</f>
        <v>600811.08750000014</v>
      </c>
      <c r="BU101" s="6">
        <f>Financials20263[[#This Row],[Jan-May Actuals]]+Financials20263[[#This Row],[Forecast Jun-Dec]]</f>
        <v>1441946.6100000003</v>
      </c>
      <c r="BV101" s="6"/>
      <c r="BW101" s="6"/>
      <c r="BX101" s="6"/>
    </row>
    <row r="102" spans="1:76">
      <c r="A102" s="22" t="s">
        <v>473</v>
      </c>
      <c r="B102" s="21" t="s">
        <v>347</v>
      </c>
      <c r="C102" s="21"/>
      <c r="D102" s="10" t="s">
        <v>541</v>
      </c>
      <c r="E102" s="7" t="s">
        <v>542</v>
      </c>
      <c r="F102" s="3" t="s">
        <v>543</v>
      </c>
      <c r="G102" s="3" t="s">
        <v>22</v>
      </c>
      <c r="H102" s="4">
        <v>46048</v>
      </c>
      <c r="I102" s="4">
        <v>46412</v>
      </c>
      <c r="J102" s="3" t="s">
        <v>782</v>
      </c>
      <c r="K102" s="3" t="str">
        <f t="shared" si="28"/>
        <v>Prj000381-Support - Prod Support for Credit Apps</v>
      </c>
      <c r="L102" s="21" t="s">
        <v>478</v>
      </c>
      <c r="M102" s="21" t="s">
        <v>16</v>
      </c>
      <c r="N102" s="21" t="s">
        <v>16</v>
      </c>
      <c r="O102" s="21"/>
      <c r="P102" s="21" t="s">
        <v>479</v>
      </c>
      <c r="Q102" s="21" t="s">
        <v>480</v>
      </c>
      <c r="R102" s="21" t="s">
        <v>522</v>
      </c>
      <c r="S102" s="21" t="s">
        <v>481</v>
      </c>
      <c r="T102" s="5">
        <v>391950</v>
      </c>
      <c r="U102" s="15">
        <v>411547.5</v>
      </c>
      <c r="V102" s="15">
        <v>411547.5</v>
      </c>
      <c r="W102" s="15">
        <f t="shared" si="29"/>
        <v>544374.99999999988</v>
      </c>
      <c r="X102" s="15">
        <f t="shared" si="33"/>
        <v>0</v>
      </c>
      <c r="Y102" s="15">
        <f t="shared" si="30"/>
        <v>132827.49999999988</v>
      </c>
      <c r="Z102" s="15">
        <f>SUM(Financials20263[[#This Row],[2026 Opportunity]:[2026 Risk]])</f>
        <v>132827.49999999988</v>
      </c>
      <c r="AA102" s="3" t="s">
        <v>783</v>
      </c>
      <c r="AB102" s="52">
        <v>45364.583333333336</v>
      </c>
      <c r="AC102" s="52">
        <v>45364.583333333336</v>
      </c>
      <c r="AD102" s="52">
        <v>45364.583333333336</v>
      </c>
      <c r="AE102" s="52">
        <v>45364.583333333336</v>
      </c>
      <c r="AF102" s="52">
        <v>45364.583333333336</v>
      </c>
      <c r="AG102" s="52">
        <v>45364.583333333336</v>
      </c>
      <c r="AH102" s="52">
        <v>45364.583333333336</v>
      </c>
      <c r="AI102" s="52">
        <v>45364.583333333336</v>
      </c>
      <c r="AJ102" s="52">
        <v>45364.583333333336</v>
      </c>
      <c r="AK102" s="52">
        <v>45364.583333333336</v>
      </c>
      <c r="AL102" s="52">
        <v>45364.583333333336</v>
      </c>
      <c r="AM102" s="52">
        <v>45364.583333333336</v>
      </c>
      <c r="AN102" s="52">
        <f>SUM(Financials20263[[#This Row],[Jan FC]:[Dec FC]])</f>
        <v>544374.99999999988</v>
      </c>
      <c r="AO102" s="15">
        <f t="shared" si="31"/>
        <v>317552.08333333331</v>
      </c>
      <c r="AP102" s="61">
        <f>544375/12</f>
        <v>45364.583333333336</v>
      </c>
      <c r="AQ102" s="61">
        <f t="shared" ref="AQ102:BA102" si="44">544375/12</f>
        <v>45364.583333333336</v>
      </c>
      <c r="AR102" s="61">
        <f t="shared" si="44"/>
        <v>45364.583333333336</v>
      </c>
      <c r="AS102" s="61">
        <f t="shared" si="44"/>
        <v>45364.583333333336</v>
      </c>
      <c r="AT102" s="61">
        <f t="shared" si="44"/>
        <v>45364.583333333336</v>
      </c>
      <c r="AU102" s="61">
        <f t="shared" si="44"/>
        <v>45364.583333333336</v>
      </c>
      <c r="AV102" s="61">
        <f t="shared" si="44"/>
        <v>45364.583333333336</v>
      </c>
      <c r="AW102" s="61">
        <f t="shared" si="44"/>
        <v>45364.583333333336</v>
      </c>
      <c r="AX102" s="61">
        <f t="shared" si="44"/>
        <v>45364.583333333336</v>
      </c>
      <c r="AY102" s="61">
        <f t="shared" si="44"/>
        <v>45364.583333333336</v>
      </c>
      <c r="AZ102" s="61">
        <f t="shared" si="44"/>
        <v>45364.583333333336</v>
      </c>
      <c r="BA102" s="61">
        <f t="shared" si="44"/>
        <v>45364.583333333336</v>
      </c>
      <c r="BB102" s="80">
        <f>SUM(Financials20263[[#This Row],[Jan AC]:[Dec AC]])</f>
        <v>544374.99999999988</v>
      </c>
      <c r="BC102" s="71">
        <f>Financials20263[[#This Row],[Jan AC]]-Financials20263[[#This Row],[Jan FC]]</f>
        <v>0</v>
      </c>
      <c r="BD102" s="71">
        <f>Financials20263[[#This Row],[Feb AC]]-Financials20263[[#This Row],[Feb FC]]</f>
        <v>0</v>
      </c>
      <c r="BE102" s="71">
        <f>Financials20263[[#This Row],[Mar AC]]-Financials20263[[#This Row],[Mar FC]]</f>
        <v>0</v>
      </c>
      <c r="BF102" s="71">
        <f>Financials20263[[#This Row],[Apr AC]]-Financials20263[[#This Row],[Apr FC]]</f>
        <v>0</v>
      </c>
      <c r="BG102" s="71">
        <f>Financials20263[[#This Row],[May AC]]-Financials20263[[#This Row],[May FC]]</f>
        <v>0</v>
      </c>
      <c r="BH102" s="71">
        <f>Financials20263[[#This Row],[Jun AC]]-Financials20263[[#This Row],[Jun FC]]</f>
        <v>0</v>
      </c>
      <c r="BI102" s="71">
        <f>Financials20263[[#This Row],[Jul AC]]-Financials20263[[#This Row],[Jul FC]]</f>
        <v>0</v>
      </c>
      <c r="BJ102" s="71">
        <f>Financials20263[[#This Row],[Aug AC]]-Financials20263[[#This Row],[Aug FC]]</f>
        <v>0</v>
      </c>
      <c r="BK102" s="71">
        <f>Financials20263[[#This Row],[Sep AC]]-Financials20263[[#This Row],[Sep FC]]</f>
        <v>0</v>
      </c>
      <c r="BL102" s="71">
        <f>Financials20263[[#This Row],[Oct AC]]-Financials20263[[#This Row],[Oct FC]]</f>
        <v>0</v>
      </c>
      <c r="BM102" s="71">
        <f>Financials20263[[#This Row],[Nov AC]]-Financials20263[[#This Row],[Nov FC]]</f>
        <v>0</v>
      </c>
      <c r="BN102" s="71">
        <f>Financials20263[[#This Row],[Dec AC]]-Financials20263[[#This Row],[Dec FC]]</f>
        <v>0</v>
      </c>
      <c r="BO102" s="71">
        <f>SUM(Financials20263[[#This Row],[Jan Opp/Risk]:[Dec Opp./Risk]])</f>
        <v>0</v>
      </c>
      <c r="BP102" s="87" t="s">
        <v>531</v>
      </c>
      <c r="BQ102" s="47">
        <f>SUM(Financials20263[[#This Row],[Jan AC]:[May AC]])</f>
        <v>226822.91666666669</v>
      </c>
      <c r="BR102" s="6">
        <f>Financials20263[[#This Row],[2026 (Actuals + Forecast)]]-Financials20263[[#This Row],[Jan-May Actuals]]-Financials20263[[#This Row],[Jun-Dec FC]]</f>
        <v>0</v>
      </c>
      <c r="BS102" s="6">
        <f>Financials20263[[#This Row],[Jun-Dec FC]]+Financials20263[[#This Row],[Jan-May Forecast ]]</f>
        <v>317552.08333333331</v>
      </c>
      <c r="BT102" s="6">
        <f>SUM(Financials20263[[#This Row],[Jan FC]:[May FC]])</f>
        <v>226822.91666666669</v>
      </c>
      <c r="BU102" s="6">
        <f>Financials20263[[#This Row],[Jan-May Actuals]]+Financials20263[[#This Row],[Forecast Jun-Dec]]</f>
        <v>544375</v>
      </c>
      <c r="BV102" s="6"/>
      <c r="BW102" s="6"/>
      <c r="BX102" s="6"/>
    </row>
    <row r="103" spans="1:76">
      <c r="A103" s="22" t="s">
        <v>473</v>
      </c>
      <c r="B103" s="21" t="s">
        <v>104</v>
      </c>
      <c r="C103" s="21" t="s">
        <v>784</v>
      </c>
      <c r="D103" s="10" t="s">
        <v>475</v>
      </c>
      <c r="E103" s="7" t="s">
        <v>476</v>
      </c>
      <c r="F103" s="3" t="s">
        <v>91</v>
      </c>
      <c r="G103" s="3" t="s">
        <v>21</v>
      </c>
      <c r="H103" s="4" t="s">
        <v>521</v>
      </c>
      <c r="I103" s="4" t="s">
        <v>521</v>
      </c>
      <c r="J103" s="3"/>
      <c r="K103" s="3" t="str">
        <f t="shared" si="28"/>
        <v>Prj000350-Support - Infrastructure for Tech</v>
      </c>
      <c r="L103" s="21" t="s">
        <v>478</v>
      </c>
      <c r="M103" s="21" t="s">
        <v>12</v>
      </c>
      <c r="N103" s="21" t="s">
        <v>12</v>
      </c>
      <c r="O103" s="21" t="s">
        <v>785</v>
      </c>
      <c r="P103" s="21" t="s">
        <v>479</v>
      </c>
      <c r="Q103" s="21" t="s">
        <v>526</v>
      </c>
      <c r="R103" s="21" t="s">
        <v>526</v>
      </c>
      <c r="S103" s="21" t="s">
        <v>504</v>
      </c>
      <c r="T103" s="5">
        <v>34621</v>
      </c>
      <c r="U103" s="15">
        <v>36345</v>
      </c>
      <c r="V103" s="15">
        <v>36345</v>
      </c>
      <c r="W103" s="15">
        <f t="shared" si="29"/>
        <v>37142.130000000005</v>
      </c>
      <c r="X103" s="15">
        <f t="shared" si="33"/>
        <v>0</v>
      </c>
      <c r="Y103" s="15">
        <f t="shared" si="30"/>
        <v>797.13000000000466</v>
      </c>
      <c r="Z103" s="15">
        <f>SUM(Financials20263[[#This Row],[2026 Opportunity]:[2026 Risk]])</f>
        <v>797.13000000000466</v>
      </c>
      <c r="AA103" s="3" t="s">
        <v>786</v>
      </c>
      <c r="AB103" s="52">
        <v>3028.75</v>
      </c>
      <c r="AC103" s="52">
        <v>3028.75</v>
      </c>
      <c r="AD103" s="52">
        <v>3028.75</v>
      </c>
      <c r="AE103" s="52">
        <v>3028.75</v>
      </c>
      <c r="AF103" s="52">
        <v>3028.75</v>
      </c>
      <c r="AG103" s="52">
        <v>3028.75</v>
      </c>
      <c r="AH103" s="52">
        <v>3028.75</v>
      </c>
      <c r="AI103" s="52">
        <v>3028.75</v>
      </c>
      <c r="AJ103" s="52">
        <v>3028.75</v>
      </c>
      <c r="AK103" s="52">
        <v>3028.75</v>
      </c>
      <c r="AL103" s="52">
        <v>3028.75</v>
      </c>
      <c r="AM103" s="52">
        <v>3028.75</v>
      </c>
      <c r="AN103" s="52">
        <f>SUM(Financials20263[[#This Row],[Jan FC]:[Dec FC]])</f>
        <v>36345</v>
      </c>
      <c r="AO103" s="15">
        <f t="shared" si="31"/>
        <v>21201.25</v>
      </c>
      <c r="AP103" s="61">
        <f>991.58+991.58+1300.24</f>
        <v>3283.4</v>
      </c>
      <c r="AQ103" s="61">
        <f>1300.24+991.58</f>
        <v>2291.8200000000002</v>
      </c>
      <c r="AR103" s="61">
        <f>528.85+1487.49+991.58+1300.24</f>
        <v>4308.16</v>
      </c>
      <c r="AS103" s="61"/>
      <c r="AT103" s="61"/>
      <c r="AU103" s="61"/>
      <c r="AV103" s="61"/>
      <c r="AW103" s="61"/>
      <c r="AX103" s="61"/>
      <c r="AY103" s="61"/>
      <c r="AZ103" s="61"/>
      <c r="BA103" s="61"/>
      <c r="BB103" s="80">
        <f>SUM(Financials20263[[#This Row],[Jan AC]:[Dec AC]])</f>
        <v>9883.380000000001</v>
      </c>
      <c r="BC103" s="71">
        <f>Financials20263[[#This Row],[Jan AC]]-Financials20263[[#This Row],[Jan FC]]</f>
        <v>254.65000000000009</v>
      </c>
      <c r="BD103" s="71">
        <f>Financials20263[[#This Row],[Feb AC]]-Financials20263[[#This Row],[Feb FC]]</f>
        <v>-736.92999999999984</v>
      </c>
      <c r="BE103" s="71">
        <f>Financials20263[[#This Row],[Mar AC]]-Financials20263[[#This Row],[Mar FC]]</f>
        <v>1279.4099999999999</v>
      </c>
      <c r="BF103" s="71">
        <f>Financials20263[[#This Row],[Apr AC]]-Financials20263[[#This Row],[Apr FC]]</f>
        <v>-3028.75</v>
      </c>
      <c r="BG103" s="71">
        <f>Financials20263[[#This Row],[May AC]]-Financials20263[[#This Row],[May FC]]</f>
        <v>-3028.75</v>
      </c>
      <c r="BH103" s="71">
        <f>Financials20263[[#This Row],[Jun AC]]-Financials20263[[#This Row],[Jun FC]]</f>
        <v>-3028.75</v>
      </c>
      <c r="BI103" s="71">
        <f>Financials20263[[#This Row],[Jul AC]]-Financials20263[[#This Row],[Jul FC]]</f>
        <v>-3028.75</v>
      </c>
      <c r="BJ103" s="71">
        <f>Financials20263[[#This Row],[Aug AC]]-Financials20263[[#This Row],[Aug FC]]</f>
        <v>-3028.75</v>
      </c>
      <c r="BK103" s="71">
        <f>Financials20263[[#This Row],[Sep AC]]-Financials20263[[#This Row],[Sep FC]]</f>
        <v>-3028.75</v>
      </c>
      <c r="BL103" s="71">
        <f>Financials20263[[#This Row],[Oct AC]]-Financials20263[[#This Row],[Oct FC]]</f>
        <v>-3028.75</v>
      </c>
      <c r="BM103" s="71">
        <f>Financials20263[[#This Row],[Nov AC]]-Financials20263[[#This Row],[Nov FC]]</f>
        <v>-3028.75</v>
      </c>
      <c r="BN103" s="71">
        <f>Financials20263[[#This Row],[Dec AC]]-Financials20263[[#This Row],[Dec FC]]</f>
        <v>-3028.75</v>
      </c>
      <c r="BO103" s="71">
        <f>SUM(Financials20263[[#This Row],[Jan Opp/Risk]:[Dec Opp./Risk]])</f>
        <v>-26461.62</v>
      </c>
      <c r="BP103" s="88" t="s">
        <v>719</v>
      </c>
      <c r="BQ103" s="47">
        <f>SUM(Financials20263[[#This Row],[Jan AC]:[May AC]])</f>
        <v>9883.380000000001</v>
      </c>
      <c r="BR103" s="6">
        <f>Financials20263[[#This Row],[2026 (Actuals + Forecast)]]-Financials20263[[#This Row],[Jan-May Actuals]]-Financials20263[[#This Row],[Jun-Dec FC]]</f>
        <v>6057.5000000000036</v>
      </c>
      <c r="BS103" s="6">
        <f>Financials20263[[#This Row],[Jun-Dec FC]]+Financials20263[[#This Row],[Jan-May Forecast ]]</f>
        <v>27258.750000000004</v>
      </c>
      <c r="BT103" s="6">
        <f>SUM(Financials20263[[#This Row],[Jan FC]:[May FC]])</f>
        <v>15143.75</v>
      </c>
      <c r="BU103" s="6">
        <f>Financials20263[[#This Row],[Jan-May Actuals]]+Financials20263[[#This Row],[Forecast Jun-Dec]]</f>
        <v>37142.130000000005</v>
      </c>
      <c r="BV103" s="6"/>
      <c r="BW103" s="6"/>
      <c r="BX103" s="6"/>
    </row>
    <row r="104" spans="1:76">
      <c r="A104" s="22" t="s">
        <v>473</v>
      </c>
      <c r="B104" s="21" t="s">
        <v>107</v>
      </c>
      <c r="C104" s="21"/>
      <c r="D104" s="10" t="s">
        <v>475</v>
      </c>
      <c r="E104" s="7" t="s">
        <v>476</v>
      </c>
      <c r="F104" s="3" t="s">
        <v>91</v>
      </c>
      <c r="G104" s="3" t="s">
        <v>21</v>
      </c>
      <c r="H104" s="4" t="s">
        <v>521</v>
      </c>
      <c r="I104" s="4" t="s">
        <v>521</v>
      </c>
      <c r="J104" s="3"/>
      <c r="K104" s="3" t="str">
        <f t="shared" si="28"/>
        <v>Prj000350-Support - Infrastructure for Tech</v>
      </c>
      <c r="L104" s="21" t="s">
        <v>478</v>
      </c>
      <c r="M104" s="21" t="s">
        <v>12</v>
      </c>
      <c r="N104" s="21" t="s">
        <v>12</v>
      </c>
      <c r="O104" s="21"/>
      <c r="P104" s="21" t="s">
        <v>479</v>
      </c>
      <c r="Q104" s="21" t="s">
        <v>526</v>
      </c>
      <c r="R104" s="21" t="s">
        <v>526</v>
      </c>
      <c r="S104" s="21" t="s">
        <v>504</v>
      </c>
      <c r="T104" s="5">
        <v>4028</v>
      </c>
      <c r="U104" s="15">
        <v>4230</v>
      </c>
      <c r="V104" s="15">
        <v>4230</v>
      </c>
      <c r="W104" s="15">
        <f t="shared" si="29"/>
        <v>4326.88</v>
      </c>
      <c r="X104" s="15">
        <f t="shared" si="33"/>
        <v>0</v>
      </c>
      <c r="Y104" s="15">
        <f t="shared" si="30"/>
        <v>96.880000000000109</v>
      </c>
      <c r="Z104" s="15">
        <f>SUM(Financials20263[[#This Row],[2026 Opportunity]:[2026 Risk]])</f>
        <v>96.880000000000109</v>
      </c>
      <c r="AA104" s="3"/>
      <c r="AB104" s="52">
        <v>353</v>
      </c>
      <c r="AC104" s="52">
        <v>353</v>
      </c>
      <c r="AD104" s="52">
        <v>353</v>
      </c>
      <c r="AE104" s="52">
        <v>353</v>
      </c>
      <c r="AF104" s="52">
        <v>353</v>
      </c>
      <c r="AG104" s="52">
        <v>353</v>
      </c>
      <c r="AH104" s="52">
        <v>353</v>
      </c>
      <c r="AI104" s="52">
        <v>353</v>
      </c>
      <c r="AJ104" s="52">
        <v>353</v>
      </c>
      <c r="AK104" s="52">
        <v>353</v>
      </c>
      <c r="AL104" s="52">
        <v>353</v>
      </c>
      <c r="AM104" s="52">
        <f>353-6</f>
        <v>347</v>
      </c>
      <c r="AN104" s="75">
        <f>SUM(Financials20263[[#This Row],[Jan FC]:[Dec FC]])</f>
        <v>4230</v>
      </c>
      <c r="AO104" s="15">
        <f t="shared" si="31"/>
        <v>2465</v>
      </c>
      <c r="AP104" s="61">
        <v>370.83</v>
      </c>
      <c r="AQ104" s="61">
        <v>375.95</v>
      </c>
      <c r="AR104" s="61">
        <v>371.55</v>
      </c>
      <c r="AS104" s="61">
        <v>371.55</v>
      </c>
      <c r="AT104" s="127">
        <v>372</v>
      </c>
      <c r="AU104" s="127">
        <v>372</v>
      </c>
      <c r="AV104" s="61"/>
      <c r="AW104" s="61"/>
      <c r="AX104" s="61"/>
      <c r="AY104" s="61"/>
      <c r="AZ104" s="61"/>
      <c r="BA104" s="61"/>
      <c r="BB104" s="80">
        <f>SUM(Financials20263[[#This Row],[Jan AC]:[Dec AC]])</f>
        <v>2233.88</v>
      </c>
      <c r="BC104" s="71">
        <f>Financials20263[[#This Row],[Jan AC]]-Financials20263[[#This Row],[Jan FC]]</f>
        <v>17.829999999999984</v>
      </c>
      <c r="BD104" s="71">
        <f>Financials20263[[#This Row],[Feb AC]]-Financials20263[[#This Row],[Feb FC]]</f>
        <v>22.949999999999989</v>
      </c>
      <c r="BE104" s="71">
        <f>Financials20263[[#This Row],[Mar AC]]-Financials20263[[#This Row],[Mar FC]]</f>
        <v>18.550000000000011</v>
      </c>
      <c r="BF104" s="71">
        <f>Financials20263[[#This Row],[Apr AC]]-Financials20263[[#This Row],[Apr FC]]</f>
        <v>18.550000000000011</v>
      </c>
      <c r="BG104" s="71">
        <f>Financials20263[[#This Row],[May AC]]-Financials20263[[#This Row],[May FC]]</f>
        <v>19</v>
      </c>
      <c r="BH104" s="71">
        <f>Financials20263[[#This Row],[Jun AC]]-Financials20263[[#This Row],[Jun FC]]</f>
        <v>19</v>
      </c>
      <c r="BI104" s="71">
        <f>Financials20263[[#This Row],[Jul AC]]-Financials20263[[#This Row],[Jul FC]]</f>
        <v>-353</v>
      </c>
      <c r="BJ104" s="71">
        <f>Financials20263[[#This Row],[Aug AC]]-Financials20263[[#This Row],[Aug FC]]</f>
        <v>-353</v>
      </c>
      <c r="BK104" s="71">
        <f>Financials20263[[#This Row],[Sep AC]]-Financials20263[[#This Row],[Sep FC]]</f>
        <v>-353</v>
      </c>
      <c r="BL104" s="71">
        <f>Financials20263[[#This Row],[Oct AC]]-Financials20263[[#This Row],[Oct FC]]</f>
        <v>-353</v>
      </c>
      <c r="BM104" s="71">
        <f>Financials20263[[#This Row],[Nov AC]]-Financials20263[[#This Row],[Nov FC]]</f>
        <v>-353</v>
      </c>
      <c r="BN104" s="71">
        <f>Financials20263[[#This Row],[Dec AC]]-Financials20263[[#This Row],[Dec FC]]</f>
        <v>-347</v>
      </c>
      <c r="BO104" s="71">
        <f>SUM(Financials20263[[#This Row],[Jan Opp/Risk]:[Dec Opp./Risk]])</f>
        <v>-1996.12</v>
      </c>
      <c r="BP104" s="87"/>
      <c r="BQ104" s="47">
        <f>SUM(Financials20263[[#This Row],[Jan AC]:[May AC]])</f>
        <v>1861.8799999999999</v>
      </c>
      <c r="BR104" s="6">
        <f>Financials20263[[#This Row],[2026 (Actuals + Forecast)]]-Financials20263[[#This Row],[Jan-May Actuals]]-Financials20263[[#This Row],[Jun-Dec FC]]</f>
        <v>0</v>
      </c>
      <c r="BS104" s="6">
        <f>Financials20263[[#This Row],[Jun-Dec FC]]+Financials20263[[#This Row],[Jan-May Forecast ]]</f>
        <v>2465</v>
      </c>
      <c r="BT104" s="6">
        <f>SUM(Financials20263[[#This Row],[Jan FC]:[May FC]])</f>
        <v>1765</v>
      </c>
      <c r="BU104" s="6">
        <f>Financials20263[[#This Row],[Jan-May Actuals]]+Financials20263[[#This Row],[Forecast Jun-Dec]]</f>
        <v>4326.88</v>
      </c>
      <c r="BV104" s="6"/>
      <c r="BW104" s="6"/>
      <c r="BX104" s="6"/>
    </row>
    <row r="105" spans="1:76">
      <c r="A105" s="22" t="s">
        <v>473</v>
      </c>
      <c r="B105" s="21" t="s">
        <v>119</v>
      </c>
      <c r="C105" s="21"/>
      <c r="D105" s="10" t="s">
        <v>475</v>
      </c>
      <c r="E105" s="7" t="s">
        <v>476</v>
      </c>
      <c r="F105" s="3" t="s">
        <v>91</v>
      </c>
      <c r="G105" s="3" t="s">
        <v>21</v>
      </c>
      <c r="H105" s="4" t="s">
        <v>521</v>
      </c>
      <c r="I105" s="4" t="s">
        <v>521</v>
      </c>
      <c r="J105" s="3"/>
      <c r="K105" s="3" t="str">
        <f t="shared" si="28"/>
        <v>Prj000350-Support - Infrastructure for Tech</v>
      </c>
      <c r="L105" s="21" t="s">
        <v>478</v>
      </c>
      <c r="M105" s="21" t="s">
        <v>12</v>
      </c>
      <c r="N105" s="21" t="s">
        <v>12</v>
      </c>
      <c r="O105" s="21" t="s">
        <v>529</v>
      </c>
      <c r="P105" s="21" t="s">
        <v>479</v>
      </c>
      <c r="Q105" s="21" t="s">
        <v>526</v>
      </c>
      <c r="R105" s="21" t="s">
        <v>526</v>
      </c>
      <c r="S105" s="21" t="s">
        <v>504</v>
      </c>
      <c r="T105" s="5">
        <v>7239</v>
      </c>
      <c r="U105" s="15">
        <v>7043</v>
      </c>
      <c r="V105" s="15">
        <v>7043</v>
      </c>
      <c r="W105" s="15">
        <f t="shared" si="29"/>
        <v>7241.6659</v>
      </c>
      <c r="X105" s="15">
        <f t="shared" si="33"/>
        <v>0</v>
      </c>
      <c r="Y105" s="15">
        <f t="shared" si="30"/>
        <v>198.66589999999997</v>
      </c>
      <c r="Z105" s="15">
        <f>SUM(Financials20263[[#This Row],[2026 Opportunity]:[2026 Risk]])</f>
        <v>198.66589999999997</v>
      </c>
      <c r="AA105" s="3" t="s">
        <v>787</v>
      </c>
      <c r="AB105" s="52">
        <v>587</v>
      </c>
      <c r="AC105" s="52">
        <v>587</v>
      </c>
      <c r="AD105" s="52">
        <v>587</v>
      </c>
      <c r="AE105" s="52">
        <v>587</v>
      </c>
      <c r="AF105" s="52">
        <v>587</v>
      </c>
      <c r="AG105" s="52">
        <v>587</v>
      </c>
      <c r="AH105" s="52">
        <v>587</v>
      </c>
      <c r="AI105" s="52">
        <v>587</v>
      </c>
      <c r="AJ105" s="52">
        <v>587</v>
      </c>
      <c r="AK105" s="52">
        <v>587</v>
      </c>
      <c r="AL105" s="52">
        <v>587</v>
      </c>
      <c r="AM105" s="52">
        <f>587-1</f>
        <v>586</v>
      </c>
      <c r="AN105" s="75">
        <f>SUM(Financials20263[[#This Row],[Jan FC]:[Dec FC]])</f>
        <v>7043</v>
      </c>
      <c r="AO105" s="15">
        <f t="shared" si="31"/>
        <v>4108</v>
      </c>
      <c r="AP105" s="61">
        <v>620.09</v>
      </c>
      <c r="AQ105" s="61">
        <v>628.66</v>
      </c>
      <c r="AR105" s="61">
        <v>627.61749999999995</v>
      </c>
      <c r="AS105" s="61">
        <f>628.6492</f>
        <v>628.64919999999995</v>
      </c>
      <c r="AT105" s="127">
        <v>628.64919999999995</v>
      </c>
      <c r="AU105" s="127">
        <v>629</v>
      </c>
      <c r="AV105" s="61"/>
      <c r="AW105" s="61"/>
      <c r="AX105" s="61"/>
      <c r="AY105" s="61"/>
      <c r="AZ105" s="61"/>
      <c r="BA105" s="61"/>
      <c r="BB105" s="80">
        <f>SUM(Financials20263[[#This Row],[Jan AC]:[Dec AC]])</f>
        <v>3762.6658999999995</v>
      </c>
      <c r="BC105" s="71">
        <f>Financials20263[[#This Row],[Jan AC]]-Financials20263[[#This Row],[Jan FC]]</f>
        <v>33.090000000000032</v>
      </c>
      <c r="BD105" s="71">
        <f>Financials20263[[#This Row],[Feb AC]]-Financials20263[[#This Row],[Feb FC]]</f>
        <v>41.659999999999968</v>
      </c>
      <c r="BE105" s="71">
        <f>Financials20263[[#This Row],[Mar AC]]-Financials20263[[#This Row],[Mar FC]]</f>
        <v>40.61749999999995</v>
      </c>
      <c r="BF105" s="71">
        <f>Financials20263[[#This Row],[Apr AC]]-Financials20263[[#This Row],[Apr FC]]</f>
        <v>41.649199999999951</v>
      </c>
      <c r="BG105" s="71">
        <f>Financials20263[[#This Row],[May AC]]-Financials20263[[#This Row],[May FC]]</f>
        <v>41.649199999999951</v>
      </c>
      <c r="BH105" s="71">
        <f>Financials20263[[#This Row],[Jun AC]]-Financials20263[[#This Row],[Jun FC]]</f>
        <v>42</v>
      </c>
      <c r="BI105" s="71">
        <f>Financials20263[[#This Row],[Jul AC]]-Financials20263[[#This Row],[Jul FC]]</f>
        <v>-587</v>
      </c>
      <c r="BJ105" s="71">
        <f>Financials20263[[#This Row],[Aug AC]]-Financials20263[[#This Row],[Aug FC]]</f>
        <v>-587</v>
      </c>
      <c r="BK105" s="71">
        <f>Financials20263[[#This Row],[Sep AC]]-Financials20263[[#This Row],[Sep FC]]</f>
        <v>-587</v>
      </c>
      <c r="BL105" s="71">
        <f>Financials20263[[#This Row],[Oct AC]]-Financials20263[[#This Row],[Oct FC]]</f>
        <v>-587</v>
      </c>
      <c r="BM105" s="71">
        <f>Financials20263[[#This Row],[Nov AC]]-Financials20263[[#This Row],[Nov FC]]</f>
        <v>-587</v>
      </c>
      <c r="BN105" s="71">
        <f>Financials20263[[#This Row],[Dec AC]]-Financials20263[[#This Row],[Dec FC]]</f>
        <v>-586</v>
      </c>
      <c r="BO105" s="71">
        <f>SUM(Financials20263[[#This Row],[Jan Opp/Risk]:[Dec Opp./Risk]])</f>
        <v>-3280.3341</v>
      </c>
      <c r="BP105" s="87" t="s">
        <v>531</v>
      </c>
      <c r="BQ105" s="47">
        <f>SUM(Financials20263[[#This Row],[Jan AC]:[May AC]])</f>
        <v>3133.6658999999995</v>
      </c>
      <c r="BR105" s="6">
        <f>Financials20263[[#This Row],[2026 (Actuals + Forecast)]]-Financials20263[[#This Row],[Jan-May Actuals]]-Financials20263[[#This Row],[Jun-Dec FC]]</f>
        <v>0</v>
      </c>
      <c r="BS105" s="6">
        <f>Financials20263[[#This Row],[Jun-Dec FC]]+Financials20263[[#This Row],[Jan-May Forecast ]]</f>
        <v>4108</v>
      </c>
      <c r="BT105" s="6">
        <f>SUM(Financials20263[[#This Row],[Jan FC]:[May FC]])</f>
        <v>2935</v>
      </c>
      <c r="BU105" s="6">
        <f>Financials20263[[#This Row],[Jan-May Actuals]]+Financials20263[[#This Row],[Forecast Jun-Dec]]</f>
        <v>7241.6659</v>
      </c>
      <c r="BV105" s="6"/>
      <c r="BW105" s="6"/>
      <c r="BX105" s="6"/>
    </row>
    <row r="106" spans="1:76">
      <c r="A106" s="22" t="s">
        <v>540</v>
      </c>
      <c r="B106" s="21" t="s">
        <v>153</v>
      </c>
      <c r="C106" s="21"/>
      <c r="D106" s="10" t="s">
        <v>486</v>
      </c>
      <c r="E106" s="7" t="s">
        <v>487</v>
      </c>
      <c r="F106" s="3" t="s">
        <v>488</v>
      </c>
      <c r="G106" s="3" t="s">
        <v>25</v>
      </c>
      <c r="H106" s="4" t="s">
        <v>489</v>
      </c>
      <c r="I106" s="4" t="s">
        <v>489</v>
      </c>
      <c r="J106" s="3"/>
      <c r="K106" s="3" t="str">
        <f t="shared" si="28"/>
        <v>Prj000266-Support - Internal Tech Workforce Activities</v>
      </c>
      <c r="L106" s="21" t="s">
        <v>478</v>
      </c>
      <c r="M106" s="21" t="s">
        <v>12</v>
      </c>
      <c r="N106" s="21" t="s">
        <v>12</v>
      </c>
      <c r="O106" s="21"/>
      <c r="P106" s="21" t="s">
        <v>534</v>
      </c>
      <c r="Q106" s="21" t="s">
        <v>535</v>
      </c>
      <c r="R106" s="21" t="s">
        <v>788</v>
      </c>
      <c r="S106" s="21" t="s">
        <v>508</v>
      </c>
      <c r="T106" s="5">
        <v>278</v>
      </c>
      <c r="U106" s="15">
        <v>292</v>
      </c>
      <c r="V106" s="15">
        <v>292</v>
      </c>
      <c r="W106" s="15">
        <f t="shared" si="29"/>
        <v>292</v>
      </c>
      <c r="X106" s="15">
        <f t="shared" si="33"/>
        <v>0</v>
      </c>
      <c r="Y106" s="15">
        <f t="shared" si="30"/>
        <v>0</v>
      </c>
      <c r="Z106" s="15">
        <f>SUM(Financials20263[[#This Row],[2026 Opportunity]:[2026 Risk]])</f>
        <v>0</v>
      </c>
      <c r="AA106" s="3" t="s">
        <v>530</v>
      </c>
      <c r="AB106" s="52"/>
      <c r="AC106" s="52"/>
      <c r="AD106" s="52"/>
      <c r="AE106" s="52"/>
      <c r="AF106" s="52"/>
      <c r="AG106" s="52"/>
      <c r="AH106" s="52">
        <v>292</v>
      </c>
      <c r="AI106" s="52"/>
      <c r="AJ106" s="52"/>
      <c r="AK106" s="52"/>
      <c r="AL106" s="52"/>
      <c r="AM106" s="52"/>
      <c r="AN106" s="52">
        <f>SUM(Financials20263[[#This Row],[Jan FC]:[Dec FC]])</f>
        <v>292</v>
      </c>
      <c r="AO106" s="15">
        <f t="shared" si="31"/>
        <v>292</v>
      </c>
      <c r="AP106" s="61"/>
      <c r="AQ106" s="61"/>
      <c r="AR106" s="61"/>
      <c r="AS106" s="61"/>
      <c r="AT106" s="61"/>
      <c r="AU106" s="61"/>
      <c r="AV106" s="61"/>
      <c r="AW106" s="61"/>
      <c r="AX106" s="61"/>
      <c r="AY106" s="61"/>
      <c r="AZ106" s="61"/>
      <c r="BA106" s="61"/>
      <c r="BB106" s="80">
        <f>SUM(Financials20263[[#This Row],[Jan AC]:[Dec AC]])</f>
        <v>0</v>
      </c>
      <c r="BC106" s="71">
        <f>Financials20263[[#This Row],[Jan AC]]-Financials20263[[#This Row],[Jan FC]]</f>
        <v>0</v>
      </c>
      <c r="BD106" s="71">
        <f>Financials20263[[#This Row],[Feb AC]]-Financials20263[[#This Row],[Feb FC]]</f>
        <v>0</v>
      </c>
      <c r="BE106" s="71">
        <f>Financials20263[[#This Row],[Mar AC]]-Financials20263[[#This Row],[Mar FC]]</f>
        <v>0</v>
      </c>
      <c r="BF106" s="71">
        <f>Financials20263[[#This Row],[Apr AC]]-Financials20263[[#This Row],[Apr FC]]</f>
        <v>0</v>
      </c>
      <c r="BG106" s="71">
        <f>Financials20263[[#This Row],[May AC]]-Financials20263[[#This Row],[May FC]]</f>
        <v>0</v>
      </c>
      <c r="BH106" s="71">
        <f>Financials20263[[#This Row],[Jun AC]]-Financials20263[[#This Row],[Jun FC]]</f>
        <v>0</v>
      </c>
      <c r="BI106" s="71">
        <f>Financials20263[[#This Row],[Jul AC]]-Financials20263[[#This Row],[Jul FC]]</f>
        <v>-292</v>
      </c>
      <c r="BJ106" s="71">
        <f>Financials20263[[#This Row],[Aug AC]]-Financials20263[[#This Row],[Aug FC]]</f>
        <v>0</v>
      </c>
      <c r="BK106" s="71">
        <f>Financials20263[[#This Row],[Sep AC]]-Financials20263[[#This Row],[Sep FC]]</f>
        <v>0</v>
      </c>
      <c r="BL106" s="71">
        <f>Financials20263[[#This Row],[Oct AC]]-Financials20263[[#This Row],[Oct FC]]</f>
        <v>0</v>
      </c>
      <c r="BM106" s="71">
        <f>Financials20263[[#This Row],[Nov AC]]-Financials20263[[#This Row],[Nov FC]]</f>
        <v>0</v>
      </c>
      <c r="BN106" s="71">
        <f>Financials20263[[#This Row],[Dec AC]]-Financials20263[[#This Row],[Dec FC]]</f>
        <v>0</v>
      </c>
      <c r="BO106" s="71">
        <f>SUM(Financials20263[[#This Row],[Jan Opp/Risk]:[Dec Opp./Risk]])</f>
        <v>-292</v>
      </c>
      <c r="BP106" s="87"/>
      <c r="BQ106" s="47">
        <f>SUM(Financials20263[[#This Row],[Jan AC]:[May AC]])</f>
        <v>0</v>
      </c>
      <c r="BR106" s="6">
        <f>Financials20263[[#This Row],[2026 (Actuals + Forecast)]]-Financials20263[[#This Row],[Jan-May Actuals]]-Financials20263[[#This Row],[Jun-Dec FC]]</f>
        <v>0</v>
      </c>
      <c r="BS106" s="6">
        <f>Financials20263[[#This Row],[Jun-Dec FC]]+Financials20263[[#This Row],[Jan-May Forecast ]]</f>
        <v>292</v>
      </c>
      <c r="BT106" s="6">
        <f>SUM(Financials20263[[#This Row],[Jan FC]:[May FC]])</f>
        <v>0</v>
      </c>
      <c r="BU106" s="6">
        <f>Financials20263[[#This Row],[Jan-May Actuals]]+Financials20263[[#This Row],[Forecast Jun-Dec]]</f>
        <v>292</v>
      </c>
      <c r="BV106" s="6"/>
      <c r="BW106" s="6"/>
      <c r="BX106" s="6"/>
    </row>
    <row r="107" spans="1:76">
      <c r="A107" s="22" t="s">
        <v>485</v>
      </c>
      <c r="B107" s="21" t="s">
        <v>156</v>
      </c>
      <c r="C107" s="21"/>
      <c r="D107" s="10" t="s">
        <v>486</v>
      </c>
      <c r="E107" s="7" t="s">
        <v>487</v>
      </c>
      <c r="F107" s="3" t="s">
        <v>488</v>
      </c>
      <c r="G107" s="3" t="s">
        <v>25</v>
      </c>
      <c r="H107" s="4" t="s">
        <v>489</v>
      </c>
      <c r="I107" s="4" t="s">
        <v>489</v>
      </c>
      <c r="J107" s="3"/>
      <c r="K107" s="3" t="str">
        <f t="shared" si="28"/>
        <v>Prj000266-Support - Internal Tech Workforce Activities</v>
      </c>
      <c r="L107" s="21" t="s">
        <v>478</v>
      </c>
      <c r="M107" s="21" t="s">
        <v>12</v>
      </c>
      <c r="N107" s="21" t="s">
        <v>12</v>
      </c>
      <c r="O107" s="21"/>
      <c r="P107" s="21" t="s">
        <v>534</v>
      </c>
      <c r="Q107" s="21" t="s">
        <v>535</v>
      </c>
      <c r="R107" s="21" t="s">
        <v>789</v>
      </c>
      <c r="S107" s="21" t="s">
        <v>493</v>
      </c>
      <c r="T107" s="5">
        <v>10643</v>
      </c>
      <c r="U107" s="15">
        <v>2900</v>
      </c>
      <c r="V107" s="15">
        <v>2900</v>
      </c>
      <c r="W107" s="15">
        <f t="shared" si="29"/>
        <v>2899.75</v>
      </c>
      <c r="X107" s="15">
        <f t="shared" si="33"/>
        <v>-0.25</v>
      </c>
      <c r="Y107" s="15">
        <f t="shared" si="30"/>
        <v>0</v>
      </c>
      <c r="Z107" s="15">
        <f>SUM(Financials20263[[#This Row],[2026 Opportunity]:[2026 Risk]])</f>
        <v>-0.25</v>
      </c>
      <c r="AA107" s="3" t="s">
        <v>790</v>
      </c>
      <c r="AB107" s="52"/>
      <c r="AC107" s="52">
        <v>17</v>
      </c>
      <c r="AD107" s="52"/>
      <c r="AE107" s="52">
        <f>7001-6495</f>
        <v>506</v>
      </c>
      <c r="AF107" s="52">
        <v>1390.01</v>
      </c>
      <c r="AG107" s="52"/>
      <c r="AH107" s="52"/>
      <c r="AI107" s="52"/>
      <c r="AJ107" s="52"/>
      <c r="AK107" s="52"/>
      <c r="AL107" s="52"/>
      <c r="AM107" s="46">
        <v>987</v>
      </c>
      <c r="AN107" s="52">
        <f>SUM(Financials20263[[#This Row],[Jan FC]:[Dec FC]])</f>
        <v>2900.01</v>
      </c>
      <c r="AO107" s="15">
        <f t="shared" si="31"/>
        <v>987</v>
      </c>
      <c r="AP107" s="61"/>
      <c r="AQ107" s="61">
        <v>16.739999999999998</v>
      </c>
      <c r="AR107" s="61"/>
      <c r="AS107" s="61">
        <f>7001-6495</f>
        <v>506</v>
      </c>
      <c r="AT107" s="61">
        <v>1390.01</v>
      </c>
      <c r="AU107" s="61"/>
      <c r="AV107" s="61"/>
      <c r="AW107" s="61"/>
      <c r="AX107" s="61"/>
      <c r="AY107" s="61"/>
      <c r="AZ107" s="61"/>
      <c r="BA107" s="61"/>
      <c r="BB107" s="80">
        <f>SUM(Financials20263[[#This Row],[Jan AC]:[Dec AC]])</f>
        <v>1912.75</v>
      </c>
      <c r="BC107" s="71">
        <f>Financials20263[[#This Row],[Jan AC]]-Financials20263[[#This Row],[Jan FC]]</f>
        <v>0</v>
      </c>
      <c r="BD107" s="71">
        <f>Financials20263[[#This Row],[Feb AC]]-Financials20263[[#This Row],[Feb FC]]</f>
        <v>-0.26000000000000156</v>
      </c>
      <c r="BE107" s="71">
        <f>Financials20263[[#This Row],[Mar AC]]-Financials20263[[#This Row],[Mar FC]]</f>
        <v>0</v>
      </c>
      <c r="BF107" s="71">
        <f>Financials20263[[#This Row],[Apr AC]]-Financials20263[[#This Row],[Apr FC]]</f>
        <v>0</v>
      </c>
      <c r="BG107" s="71">
        <f>Financials20263[[#This Row],[May AC]]-Financials20263[[#This Row],[May FC]]</f>
        <v>0</v>
      </c>
      <c r="BH107" s="71">
        <f>Financials20263[[#This Row],[Jun AC]]-Financials20263[[#This Row],[Jun FC]]</f>
        <v>0</v>
      </c>
      <c r="BI107" s="71">
        <f>Financials20263[[#This Row],[Jul AC]]-Financials20263[[#This Row],[Jul FC]]</f>
        <v>0</v>
      </c>
      <c r="BJ107" s="71">
        <f>Financials20263[[#This Row],[Aug AC]]-Financials20263[[#This Row],[Aug FC]]</f>
        <v>0</v>
      </c>
      <c r="BK107" s="71">
        <f>Financials20263[[#This Row],[Sep AC]]-Financials20263[[#This Row],[Sep FC]]</f>
        <v>0</v>
      </c>
      <c r="BL107" s="71">
        <f>Financials20263[[#This Row],[Oct AC]]-Financials20263[[#This Row],[Oct FC]]</f>
        <v>0</v>
      </c>
      <c r="BM107" s="71">
        <f>Financials20263[[#This Row],[Nov AC]]-Financials20263[[#This Row],[Nov FC]]</f>
        <v>0</v>
      </c>
      <c r="BN107" s="71">
        <f>Financials20263[[#This Row],[Dec AC]]-Financials20263[[#This Row],[Dec FC]]</f>
        <v>-987</v>
      </c>
      <c r="BO107" s="71">
        <f>SUM(Financials20263[[#This Row],[Jan Opp/Risk]:[Dec Opp./Risk]])</f>
        <v>-987.26</v>
      </c>
      <c r="BP107" s="87" t="s">
        <v>791</v>
      </c>
      <c r="BQ107" s="47">
        <f>SUM(Financials20263[[#This Row],[Jan AC]:[May AC]])</f>
        <v>1912.75</v>
      </c>
      <c r="BR107" s="6">
        <f>Financials20263[[#This Row],[2026 (Actuals + Forecast)]]-Financials20263[[#This Row],[Jan-May Actuals]]-Financials20263[[#This Row],[Jun-Dec FC]]</f>
        <v>0</v>
      </c>
      <c r="BS107" s="6">
        <f>Financials20263[[#This Row],[Jun-Dec FC]]+Financials20263[[#This Row],[Jan-May Forecast ]]</f>
        <v>987</v>
      </c>
      <c r="BT107" s="6">
        <f>SUM(Financials20263[[#This Row],[Jan FC]:[May FC]])</f>
        <v>1913.01</v>
      </c>
      <c r="BU107" s="6">
        <f>Financials20263[[#This Row],[Jan-May Actuals]]+Financials20263[[#This Row],[Forecast Jun-Dec]]</f>
        <v>2899.75</v>
      </c>
      <c r="BV107" s="6"/>
      <c r="BW107" s="6"/>
      <c r="BX107" s="6"/>
    </row>
    <row r="108" spans="1:76">
      <c r="A108" s="22" t="s">
        <v>473</v>
      </c>
      <c r="B108" s="21" t="s">
        <v>244</v>
      </c>
      <c r="C108" s="21"/>
      <c r="D108" s="10" t="s">
        <v>594</v>
      </c>
      <c r="E108" s="7" t="s">
        <v>595</v>
      </c>
      <c r="F108" s="3" t="s">
        <v>596</v>
      </c>
      <c r="G108" s="3" t="s">
        <v>22</v>
      </c>
      <c r="H108" s="4">
        <v>46023</v>
      </c>
      <c r="I108" s="4">
        <v>46387</v>
      </c>
      <c r="J108" s="3" t="s">
        <v>792</v>
      </c>
      <c r="K108" s="3" t="str">
        <f t="shared" si="28"/>
        <v>Prj000469-Support - Prod Support for Ops Apps</v>
      </c>
      <c r="L108" s="21" t="s">
        <v>478</v>
      </c>
      <c r="M108" s="21" t="s">
        <v>15</v>
      </c>
      <c r="N108" s="21" t="s">
        <v>15</v>
      </c>
      <c r="O108" s="21" t="s">
        <v>793</v>
      </c>
      <c r="P108" s="21" t="s">
        <v>534</v>
      </c>
      <c r="Q108" s="21" t="s">
        <v>535</v>
      </c>
      <c r="R108" s="21" t="s">
        <v>794</v>
      </c>
      <c r="S108" s="21" t="s">
        <v>508</v>
      </c>
      <c r="T108" s="5">
        <v>8000</v>
      </c>
      <c r="U108" s="15">
        <v>8400</v>
      </c>
      <c r="V108" s="15">
        <v>8400</v>
      </c>
      <c r="W108" s="15">
        <f t="shared" si="29"/>
        <v>8000</v>
      </c>
      <c r="X108" s="15">
        <f t="shared" si="33"/>
        <v>-400</v>
      </c>
      <c r="Y108" s="15">
        <f t="shared" si="30"/>
        <v>0</v>
      </c>
      <c r="Z108" s="15">
        <f>SUM(Financials20263[[#This Row],[2026 Opportunity]:[2026 Risk]])</f>
        <v>-400</v>
      </c>
      <c r="AA108" s="3" t="s">
        <v>795</v>
      </c>
      <c r="AB108" s="52">
        <v>8400</v>
      </c>
      <c r="AC108" s="52"/>
      <c r="AD108" s="52"/>
      <c r="AE108" s="52"/>
      <c r="AF108" s="52"/>
      <c r="AG108" s="52"/>
      <c r="AH108" s="52"/>
      <c r="AI108" s="52"/>
      <c r="AJ108" s="52"/>
      <c r="AK108" s="52"/>
      <c r="AL108" s="52"/>
      <c r="AM108" s="52"/>
      <c r="AN108" s="52">
        <f>SUM(Financials20263[[#This Row],[Jan FC]:[Dec FC]])</f>
        <v>8400</v>
      </c>
      <c r="AO108" s="15">
        <f t="shared" si="31"/>
        <v>0</v>
      </c>
      <c r="AP108" s="61">
        <v>8000</v>
      </c>
      <c r="AQ108" s="61"/>
      <c r="AR108" s="61"/>
      <c r="AS108" s="61"/>
      <c r="AT108" s="61"/>
      <c r="AU108" s="61"/>
      <c r="AV108" s="61"/>
      <c r="AW108" s="61"/>
      <c r="AX108" s="61"/>
      <c r="AY108" s="61"/>
      <c r="AZ108" s="61"/>
      <c r="BA108" s="61"/>
      <c r="BB108" s="80">
        <f>SUM(Financials20263[[#This Row],[Jan AC]:[Dec AC]])</f>
        <v>8000</v>
      </c>
      <c r="BC108" s="71">
        <f>Financials20263[[#This Row],[Jan AC]]-Financials20263[[#This Row],[Jan FC]]</f>
        <v>-400</v>
      </c>
      <c r="BD108" s="71">
        <f>Financials20263[[#This Row],[Feb AC]]-Financials20263[[#This Row],[Feb FC]]</f>
        <v>0</v>
      </c>
      <c r="BE108" s="71">
        <f>Financials20263[[#This Row],[Mar AC]]-Financials20263[[#This Row],[Mar FC]]</f>
        <v>0</v>
      </c>
      <c r="BF108" s="71">
        <f>Financials20263[[#This Row],[Apr AC]]-Financials20263[[#This Row],[Apr FC]]</f>
        <v>0</v>
      </c>
      <c r="BG108" s="71">
        <f>Financials20263[[#This Row],[May AC]]-Financials20263[[#This Row],[May FC]]</f>
        <v>0</v>
      </c>
      <c r="BH108" s="71">
        <f>Financials20263[[#This Row],[Jun AC]]-Financials20263[[#This Row],[Jun FC]]</f>
        <v>0</v>
      </c>
      <c r="BI108" s="71">
        <f>Financials20263[[#This Row],[Jul AC]]-Financials20263[[#This Row],[Jul FC]]</f>
        <v>0</v>
      </c>
      <c r="BJ108" s="71">
        <f>Financials20263[[#This Row],[Aug AC]]-Financials20263[[#This Row],[Aug FC]]</f>
        <v>0</v>
      </c>
      <c r="BK108" s="71">
        <f>Financials20263[[#This Row],[Sep AC]]-Financials20263[[#This Row],[Sep FC]]</f>
        <v>0</v>
      </c>
      <c r="BL108" s="71">
        <f>Financials20263[[#This Row],[Oct AC]]-Financials20263[[#This Row],[Oct FC]]</f>
        <v>0</v>
      </c>
      <c r="BM108" s="71">
        <f>Financials20263[[#This Row],[Nov AC]]-Financials20263[[#This Row],[Nov FC]]</f>
        <v>0</v>
      </c>
      <c r="BN108" s="71">
        <f>Financials20263[[#This Row],[Dec AC]]-Financials20263[[#This Row],[Dec FC]]</f>
        <v>0</v>
      </c>
      <c r="BO108" s="71">
        <f>SUM(Financials20263[[#This Row],[Jan Opp/Risk]:[Dec Opp./Risk]])</f>
        <v>-400</v>
      </c>
      <c r="BP108" s="87" t="s">
        <v>531</v>
      </c>
      <c r="BQ108" s="47">
        <f>SUM(Financials20263[[#This Row],[Jan AC]:[May AC]])</f>
        <v>8000</v>
      </c>
      <c r="BR108" s="6">
        <f>Financials20263[[#This Row],[2026 (Actuals + Forecast)]]-Financials20263[[#This Row],[Jan-May Actuals]]-Financials20263[[#This Row],[Jun-Dec FC]]</f>
        <v>0</v>
      </c>
      <c r="BS108" s="6">
        <f>Financials20263[[#This Row],[Jun-Dec FC]]+Financials20263[[#This Row],[Jan-May Forecast ]]</f>
        <v>0</v>
      </c>
      <c r="BT108" s="6">
        <f>SUM(Financials20263[[#This Row],[Jan FC]:[May FC]])</f>
        <v>8400</v>
      </c>
      <c r="BU108" s="6">
        <f>Financials20263[[#This Row],[Jan-May Actuals]]+Financials20263[[#This Row],[Forecast Jun-Dec]]</f>
        <v>8000</v>
      </c>
      <c r="BV108" s="6"/>
      <c r="BW108" s="6"/>
      <c r="BX108" s="6"/>
    </row>
    <row r="109" spans="1:76">
      <c r="A109" s="22" t="s">
        <v>473</v>
      </c>
      <c r="B109" s="21" t="s">
        <v>140</v>
      </c>
      <c r="C109" s="21"/>
      <c r="D109" s="10" t="s">
        <v>475</v>
      </c>
      <c r="E109" s="7" t="s">
        <v>476</v>
      </c>
      <c r="F109" s="3" t="s">
        <v>91</v>
      </c>
      <c r="G109" s="3" t="s">
        <v>21</v>
      </c>
      <c r="H109" s="4">
        <v>46028</v>
      </c>
      <c r="I109" s="4">
        <v>46393</v>
      </c>
      <c r="J109" s="3"/>
      <c r="K109" s="3" t="str">
        <f t="shared" si="28"/>
        <v>Prj000350-Support - Infrastructure for Tech</v>
      </c>
      <c r="L109" s="21" t="s">
        <v>478</v>
      </c>
      <c r="M109" s="21" t="s">
        <v>12</v>
      </c>
      <c r="N109" s="21" t="s">
        <v>12</v>
      </c>
      <c r="O109" s="21"/>
      <c r="P109" s="21" t="s">
        <v>534</v>
      </c>
      <c r="Q109" s="21" t="s">
        <v>535</v>
      </c>
      <c r="R109" s="21" t="s">
        <v>794</v>
      </c>
      <c r="S109" s="21" t="s">
        <v>508</v>
      </c>
      <c r="T109" s="5">
        <v>3000</v>
      </c>
      <c r="U109" s="15">
        <v>3150</v>
      </c>
      <c r="V109" s="15">
        <v>3150</v>
      </c>
      <c r="W109" s="15">
        <f t="shared" si="29"/>
        <v>3000</v>
      </c>
      <c r="X109" s="15">
        <f t="shared" si="33"/>
        <v>-150</v>
      </c>
      <c r="Y109" s="15">
        <f t="shared" si="30"/>
        <v>0</v>
      </c>
      <c r="Z109" s="15">
        <f>SUM(Financials20263[[#This Row],[2026 Opportunity]:[2026 Risk]])</f>
        <v>-150</v>
      </c>
      <c r="AA109" s="3" t="s">
        <v>530</v>
      </c>
      <c r="AB109" s="52"/>
      <c r="AC109" s="52">
        <v>3150</v>
      </c>
      <c r="AD109" s="52"/>
      <c r="AE109" s="52"/>
      <c r="AF109" s="52"/>
      <c r="AG109" s="52"/>
      <c r="AH109" s="52"/>
      <c r="AI109" s="52"/>
      <c r="AJ109" s="52"/>
      <c r="AK109" s="52"/>
      <c r="AL109" s="52"/>
      <c r="AM109" s="52"/>
      <c r="AN109" s="52">
        <f>SUM(Financials20263[[#This Row],[Jan FC]:[Dec FC]])</f>
        <v>3150</v>
      </c>
      <c r="AO109" s="15">
        <f t="shared" si="31"/>
        <v>0</v>
      </c>
      <c r="AP109" s="61"/>
      <c r="AQ109" s="61">
        <v>3000</v>
      </c>
      <c r="AR109" s="61"/>
      <c r="AS109" s="61"/>
      <c r="AT109" s="61"/>
      <c r="AU109" s="61"/>
      <c r="AV109" s="61"/>
      <c r="AW109" s="61"/>
      <c r="AX109" s="61"/>
      <c r="AY109" s="61"/>
      <c r="AZ109" s="61"/>
      <c r="BA109" s="61"/>
      <c r="BB109" s="80">
        <f>SUM(Financials20263[[#This Row],[Jan AC]:[Dec AC]])</f>
        <v>3000</v>
      </c>
      <c r="BC109" s="71">
        <f>Financials20263[[#This Row],[Jan AC]]-Financials20263[[#This Row],[Jan FC]]</f>
        <v>0</v>
      </c>
      <c r="BD109" s="71">
        <f>Financials20263[[#This Row],[Feb AC]]-Financials20263[[#This Row],[Feb FC]]</f>
        <v>-150</v>
      </c>
      <c r="BE109" s="71">
        <f>Financials20263[[#This Row],[Mar AC]]-Financials20263[[#This Row],[Mar FC]]</f>
        <v>0</v>
      </c>
      <c r="BF109" s="71">
        <f>Financials20263[[#This Row],[Apr AC]]-Financials20263[[#This Row],[Apr FC]]</f>
        <v>0</v>
      </c>
      <c r="BG109" s="71">
        <f>Financials20263[[#This Row],[May AC]]-Financials20263[[#This Row],[May FC]]</f>
        <v>0</v>
      </c>
      <c r="BH109" s="71">
        <f>Financials20263[[#This Row],[Jun AC]]-Financials20263[[#This Row],[Jun FC]]</f>
        <v>0</v>
      </c>
      <c r="BI109" s="71">
        <f>Financials20263[[#This Row],[Jul AC]]-Financials20263[[#This Row],[Jul FC]]</f>
        <v>0</v>
      </c>
      <c r="BJ109" s="71">
        <f>Financials20263[[#This Row],[Aug AC]]-Financials20263[[#This Row],[Aug FC]]</f>
        <v>0</v>
      </c>
      <c r="BK109" s="71">
        <f>Financials20263[[#This Row],[Sep AC]]-Financials20263[[#This Row],[Sep FC]]</f>
        <v>0</v>
      </c>
      <c r="BL109" s="71">
        <f>Financials20263[[#This Row],[Oct AC]]-Financials20263[[#This Row],[Oct FC]]</f>
        <v>0</v>
      </c>
      <c r="BM109" s="71">
        <f>Financials20263[[#This Row],[Nov AC]]-Financials20263[[#This Row],[Nov FC]]</f>
        <v>0</v>
      </c>
      <c r="BN109" s="71">
        <f>Financials20263[[#This Row],[Dec AC]]-Financials20263[[#This Row],[Dec FC]]</f>
        <v>0</v>
      </c>
      <c r="BO109" s="71">
        <f>SUM(Financials20263[[#This Row],[Jan Opp/Risk]:[Dec Opp./Risk]])</f>
        <v>-150</v>
      </c>
      <c r="BP109" s="87" t="s">
        <v>531</v>
      </c>
      <c r="BQ109" s="47">
        <f>SUM(Financials20263[[#This Row],[Jan AC]:[May AC]])</f>
        <v>3000</v>
      </c>
      <c r="BR109" s="6">
        <f>Financials20263[[#This Row],[2026 (Actuals + Forecast)]]-Financials20263[[#This Row],[Jan-May Actuals]]-Financials20263[[#This Row],[Jun-Dec FC]]</f>
        <v>0</v>
      </c>
      <c r="BS109" s="6">
        <f>Financials20263[[#This Row],[Jun-Dec FC]]+Financials20263[[#This Row],[Jan-May Forecast ]]</f>
        <v>0</v>
      </c>
      <c r="BT109" s="6">
        <f>SUM(Financials20263[[#This Row],[Jan FC]:[May FC]])</f>
        <v>3150</v>
      </c>
      <c r="BU109" s="6">
        <f>Financials20263[[#This Row],[Jan-May Actuals]]+Financials20263[[#This Row],[Forecast Jun-Dec]]</f>
        <v>3000</v>
      </c>
      <c r="BV109" s="6"/>
      <c r="BW109" s="6"/>
      <c r="BX109" s="6"/>
    </row>
    <row r="110" spans="1:76">
      <c r="A110" s="22" t="s">
        <v>540</v>
      </c>
      <c r="B110" s="21" t="s">
        <v>116</v>
      </c>
      <c r="C110" s="21"/>
      <c r="D110" s="10" t="s">
        <v>475</v>
      </c>
      <c r="E110" s="7" t="s">
        <v>476</v>
      </c>
      <c r="F110" s="3" t="s">
        <v>91</v>
      </c>
      <c r="G110" s="3" t="s">
        <v>21</v>
      </c>
      <c r="H110" s="4" t="s">
        <v>489</v>
      </c>
      <c r="I110" s="4" t="s">
        <v>489</v>
      </c>
      <c r="J110" s="3"/>
      <c r="K110" s="3" t="str">
        <f t="shared" si="28"/>
        <v>Prj000350-Support - Infrastructure for Tech</v>
      </c>
      <c r="L110" s="21" t="s">
        <v>478</v>
      </c>
      <c r="M110" s="21" t="s">
        <v>12</v>
      </c>
      <c r="N110" s="21" t="s">
        <v>12</v>
      </c>
      <c r="O110" s="21" t="s">
        <v>796</v>
      </c>
      <c r="P110" s="21" t="s">
        <v>534</v>
      </c>
      <c r="Q110" s="21" t="s">
        <v>535</v>
      </c>
      <c r="R110" s="21" t="s">
        <v>536</v>
      </c>
      <c r="S110" s="21" t="s">
        <v>504</v>
      </c>
      <c r="T110" s="5">
        <v>1594</v>
      </c>
      <c r="U110" s="15">
        <v>1674</v>
      </c>
      <c r="V110" s="15">
        <v>1674</v>
      </c>
      <c r="W110" s="15">
        <f t="shared" si="29"/>
        <v>0</v>
      </c>
      <c r="X110" s="15">
        <f t="shared" si="33"/>
        <v>-1674</v>
      </c>
      <c r="Y110" s="15">
        <f t="shared" si="30"/>
        <v>0</v>
      </c>
      <c r="Z110" s="15">
        <f>SUM(Financials20263[[#This Row],[2026 Opportunity]:[2026 Risk]])</f>
        <v>-1674</v>
      </c>
      <c r="AA110" s="3" t="s">
        <v>797</v>
      </c>
      <c r="AB110" s="52"/>
      <c r="AC110" s="52"/>
      <c r="AD110" s="52"/>
      <c r="AE110" s="52"/>
      <c r="AF110" s="52"/>
      <c r="AG110" s="52"/>
      <c r="AH110" s="52"/>
      <c r="AI110" s="52"/>
      <c r="AJ110" s="52"/>
      <c r="AK110" s="52"/>
      <c r="AL110" s="52"/>
      <c r="AM110" s="52"/>
      <c r="AN110" s="52">
        <f>SUM(Financials20263[[#This Row],[Jan FC]:[Dec FC]])</f>
        <v>0</v>
      </c>
      <c r="AO110" s="15">
        <f t="shared" si="31"/>
        <v>0</v>
      </c>
      <c r="AP110" s="61"/>
      <c r="AQ110" s="61"/>
      <c r="AR110" s="61"/>
      <c r="AS110" s="61"/>
      <c r="AT110" s="61"/>
      <c r="AU110" s="61"/>
      <c r="AV110" s="61"/>
      <c r="AW110" s="61"/>
      <c r="AX110" s="61"/>
      <c r="AY110" s="61"/>
      <c r="AZ110" s="61"/>
      <c r="BA110" s="61"/>
      <c r="BB110" s="80">
        <f>SUM(Financials20263[[#This Row],[Jan AC]:[Dec AC]])</f>
        <v>0</v>
      </c>
      <c r="BC110" s="71">
        <f>Financials20263[[#This Row],[Jan AC]]-Financials20263[[#This Row],[Jan FC]]</f>
        <v>0</v>
      </c>
      <c r="BD110" s="71">
        <f>Financials20263[[#This Row],[Feb AC]]-Financials20263[[#This Row],[Feb FC]]</f>
        <v>0</v>
      </c>
      <c r="BE110" s="71">
        <f>Financials20263[[#This Row],[Mar AC]]-Financials20263[[#This Row],[Mar FC]]</f>
        <v>0</v>
      </c>
      <c r="BF110" s="71">
        <f>Financials20263[[#This Row],[Apr AC]]-Financials20263[[#This Row],[Apr FC]]</f>
        <v>0</v>
      </c>
      <c r="BG110" s="71">
        <f>Financials20263[[#This Row],[May AC]]-Financials20263[[#This Row],[May FC]]</f>
        <v>0</v>
      </c>
      <c r="BH110" s="71">
        <f>Financials20263[[#This Row],[Jun AC]]-Financials20263[[#This Row],[Jun FC]]</f>
        <v>0</v>
      </c>
      <c r="BI110" s="71">
        <f>Financials20263[[#This Row],[Jul AC]]-Financials20263[[#This Row],[Jul FC]]</f>
        <v>0</v>
      </c>
      <c r="BJ110" s="71">
        <f>Financials20263[[#This Row],[Aug AC]]-Financials20263[[#This Row],[Aug FC]]</f>
        <v>0</v>
      </c>
      <c r="BK110" s="71">
        <f>Financials20263[[#This Row],[Sep AC]]-Financials20263[[#This Row],[Sep FC]]</f>
        <v>0</v>
      </c>
      <c r="BL110" s="71">
        <f>Financials20263[[#This Row],[Oct AC]]-Financials20263[[#This Row],[Oct FC]]</f>
        <v>0</v>
      </c>
      <c r="BM110" s="71">
        <f>Financials20263[[#This Row],[Nov AC]]-Financials20263[[#This Row],[Nov FC]]</f>
        <v>0</v>
      </c>
      <c r="BN110" s="71">
        <f>Financials20263[[#This Row],[Dec AC]]-Financials20263[[#This Row],[Dec FC]]</f>
        <v>0</v>
      </c>
      <c r="BO110" s="71">
        <f>SUM(Financials20263[[#This Row],[Jan Opp/Risk]:[Dec Opp./Risk]])</f>
        <v>0</v>
      </c>
      <c r="BP110" s="3" t="s">
        <v>797</v>
      </c>
      <c r="BQ110" s="47">
        <f>SUM(Financials20263[[#This Row],[Jan AC]:[May AC]])</f>
        <v>0</v>
      </c>
      <c r="BR110" s="6">
        <f>Financials20263[[#This Row],[2026 (Actuals + Forecast)]]-Financials20263[[#This Row],[Jan-May Actuals]]-Financials20263[[#This Row],[Jun-Dec FC]]</f>
        <v>0</v>
      </c>
      <c r="BS110" s="6">
        <f>Financials20263[[#This Row],[Jun-Dec FC]]+Financials20263[[#This Row],[Jan-May Forecast ]]</f>
        <v>0</v>
      </c>
      <c r="BT110" s="6">
        <f>SUM(Financials20263[[#This Row],[Jan FC]:[May FC]])</f>
        <v>0</v>
      </c>
      <c r="BU110" s="6">
        <f>Financials20263[[#This Row],[Jan-May Actuals]]+Financials20263[[#This Row],[Forecast Jun-Dec]]</f>
        <v>0</v>
      </c>
      <c r="BV110" s="6"/>
      <c r="BW110" s="6"/>
      <c r="BX110" s="6"/>
    </row>
    <row r="111" spans="1:76">
      <c r="A111" s="22" t="s">
        <v>540</v>
      </c>
      <c r="B111" s="21" t="s">
        <v>125</v>
      </c>
      <c r="C111" s="21"/>
      <c r="D111" s="10" t="s">
        <v>475</v>
      </c>
      <c r="E111" s="7" t="s">
        <v>476</v>
      </c>
      <c r="F111" s="3" t="s">
        <v>91</v>
      </c>
      <c r="G111" s="3" t="s">
        <v>21</v>
      </c>
      <c r="H111" s="4" t="s">
        <v>521</v>
      </c>
      <c r="I111" s="4" t="s">
        <v>521</v>
      </c>
      <c r="J111" s="3"/>
      <c r="K111" s="3" t="str">
        <f t="shared" si="28"/>
        <v>Prj000350-Support - Infrastructure for Tech</v>
      </c>
      <c r="L111" s="21" t="s">
        <v>478</v>
      </c>
      <c r="M111" s="21" t="s">
        <v>12</v>
      </c>
      <c r="N111" s="21" t="s">
        <v>12</v>
      </c>
      <c r="O111" s="21"/>
      <c r="P111" s="21" t="s">
        <v>534</v>
      </c>
      <c r="Q111" s="21" t="s">
        <v>535</v>
      </c>
      <c r="R111" s="21" t="s">
        <v>536</v>
      </c>
      <c r="S111" s="21" t="s">
        <v>504</v>
      </c>
      <c r="T111" s="5">
        <v>17438</v>
      </c>
      <c r="U111" s="15">
        <v>18865</v>
      </c>
      <c r="V111" s="15">
        <v>18865</v>
      </c>
      <c r="W111" s="15">
        <f t="shared" si="29"/>
        <v>19510.98</v>
      </c>
      <c r="X111" s="15">
        <f t="shared" si="33"/>
        <v>0</v>
      </c>
      <c r="Y111" s="15">
        <f t="shared" si="30"/>
        <v>645.97999999999956</v>
      </c>
      <c r="Z111" s="15">
        <f>SUM(Financials20263[[#This Row],[2026 Opportunity]:[2026 Risk]])</f>
        <v>645.97999999999956</v>
      </c>
      <c r="AA111" s="3" t="s">
        <v>530</v>
      </c>
      <c r="AB111" s="52">
        <v>1450.9</v>
      </c>
      <c r="AC111" s="52">
        <v>1585</v>
      </c>
      <c r="AD111" s="52">
        <v>1500</v>
      </c>
      <c r="AE111" s="52">
        <v>1500</v>
      </c>
      <c r="AF111" s="52">
        <v>1500</v>
      </c>
      <c r="AG111" s="52">
        <v>1500</v>
      </c>
      <c r="AH111" s="52">
        <v>1500</v>
      </c>
      <c r="AI111" s="52">
        <v>1500</v>
      </c>
      <c r="AJ111" s="52">
        <v>1500</v>
      </c>
      <c r="AK111" s="52">
        <v>1500</v>
      </c>
      <c r="AL111" s="52">
        <v>1500</v>
      </c>
      <c r="AM111" s="52">
        <v>2329</v>
      </c>
      <c r="AN111" s="52">
        <f>SUM(Financials20263[[#This Row],[Jan FC]:[Dec FC]])</f>
        <v>18864.900000000001</v>
      </c>
      <c r="AO111" s="15">
        <f t="shared" si="31"/>
        <v>11329</v>
      </c>
      <c r="AP111" s="61">
        <v>1450.9</v>
      </c>
      <c r="AQ111" s="61">
        <v>1585</v>
      </c>
      <c r="AR111" s="61">
        <v>1823.33</v>
      </c>
      <c r="AS111" s="61">
        <v>1822.75</v>
      </c>
      <c r="AT111" s="61"/>
      <c r="AU111" s="61"/>
      <c r="AV111" s="61"/>
      <c r="AW111" s="61"/>
      <c r="AX111" s="61"/>
      <c r="AY111" s="61"/>
      <c r="AZ111" s="61"/>
      <c r="BA111" s="61"/>
      <c r="BB111" s="80">
        <f>SUM(Financials20263[[#This Row],[Jan AC]:[Dec AC]])</f>
        <v>6681.98</v>
      </c>
      <c r="BC111" s="71">
        <f>Financials20263[[#This Row],[Jan AC]]-Financials20263[[#This Row],[Jan FC]]</f>
        <v>0</v>
      </c>
      <c r="BD111" s="71">
        <f>Financials20263[[#This Row],[Feb AC]]-Financials20263[[#This Row],[Feb FC]]</f>
        <v>0</v>
      </c>
      <c r="BE111" s="71">
        <f>Financials20263[[#This Row],[Mar AC]]-Financials20263[[#This Row],[Mar FC]]</f>
        <v>323.32999999999993</v>
      </c>
      <c r="BF111" s="71">
        <f>Financials20263[[#This Row],[Apr AC]]-Financials20263[[#This Row],[Apr FC]]</f>
        <v>322.75</v>
      </c>
      <c r="BG111" s="71">
        <f>Financials20263[[#This Row],[May AC]]-Financials20263[[#This Row],[May FC]]</f>
        <v>-1500</v>
      </c>
      <c r="BH111" s="71">
        <f>Financials20263[[#This Row],[Jun AC]]-Financials20263[[#This Row],[Jun FC]]</f>
        <v>-1500</v>
      </c>
      <c r="BI111" s="71">
        <f>Financials20263[[#This Row],[Jul AC]]-Financials20263[[#This Row],[Jul FC]]</f>
        <v>-1500</v>
      </c>
      <c r="BJ111" s="71">
        <f>Financials20263[[#This Row],[Aug AC]]-Financials20263[[#This Row],[Aug FC]]</f>
        <v>-1500</v>
      </c>
      <c r="BK111" s="71">
        <f>Financials20263[[#This Row],[Sep AC]]-Financials20263[[#This Row],[Sep FC]]</f>
        <v>-1500</v>
      </c>
      <c r="BL111" s="71">
        <f>Financials20263[[#This Row],[Oct AC]]-Financials20263[[#This Row],[Oct FC]]</f>
        <v>-1500</v>
      </c>
      <c r="BM111" s="71">
        <f>Financials20263[[#This Row],[Nov AC]]-Financials20263[[#This Row],[Nov FC]]</f>
        <v>-1500</v>
      </c>
      <c r="BN111" s="71">
        <f>Financials20263[[#This Row],[Dec AC]]-Financials20263[[#This Row],[Dec FC]]</f>
        <v>-2329</v>
      </c>
      <c r="BO111" s="71">
        <f>SUM(Financials20263[[#This Row],[Jan Opp/Risk]:[Dec Opp./Risk]])</f>
        <v>-12182.92</v>
      </c>
      <c r="BP111" s="87" t="s">
        <v>531</v>
      </c>
      <c r="BQ111" s="47">
        <f>SUM(Financials20263[[#This Row],[Jan AC]:[May AC]])</f>
        <v>6681.98</v>
      </c>
      <c r="BR111" s="6">
        <f>Financials20263[[#This Row],[2026 (Actuals + Forecast)]]-Financials20263[[#This Row],[Jan-May Actuals]]-Financials20263[[#This Row],[Jun-Dec FC]]</f>
        <v>1500</v>
      </c>
      <c r="BS111" s="6">
        <f>Financials20263[[#This Row],[Jun-Dec FC]]+Financials20263[[#This Row],[Jan-May Forecast ]]</f>
        <v>12829</v>
      </c>
      <c r="BT111" s="6">
        <f>SUM(Financials20263[[#This Row],[Jan FC]:[May FC]])</f>
        <v>7535.9</v>
      </c>
      <c r="BU111" s="6">
        <f>Financials20263[[#This Row],[Jan-May Actuals]]+Financials20263[[#This Row],[Forecast Jun-Dec]]</f>
        <v>19510.98</v>
      </c>
      <c r="BV111" s="6"/>
      <c r="BW111" s="6"/>
      <c r="BX111" s="6"/>
    </row>
    <row r="112" spans="1:76">
      <c r="A112" s="22" t="s">
        <v>540</v>
      </c>
      <c r="B112" s="21" t="s">
        <v>131</v>
      </c>
      <c r="C112" s="21"/>
      <c r="D112" s="10" t="s">
        <v>475</v>
      </c>
      <c r="E112" s="7" t="s">
        <v>476</v>
      </c>
      <c r="F112" s="3" t="s">
        <v>91</v>
      </c>
      <c r="G112" s="3" t="s">
        <v>21</v>
      </c>
      <c r="H112" s="4" t="s">
        <v>521</v>
      </c>
      <c r="I112" s="4" t="s">
        <v>521</v>
      </c>
      <c r="J112" s="3"/>
      <c r="K112" s="3" t="str">
        <f t="shared" si="28"/>
        <v>Prj000350-Support - Infrastructure for Tech</v>
      </c>
      <c r="L112" s="21" t="s">
        <v>478</v>
      </c>
      <c r="M112" s="21" t="s">
        <v>12</v>
      </c>
      <c r="N112" s="21" t="s">
        <v>12</v>
      </c>
      <c r="O112" s="21"/>
      <c r="P112" s="21" t="s">
        <v>534</v>
      </c>
      <c r="Q112" s="21" t="s">
        <v>535</v>
      </c>
      <c r="R112" s="21" t="s">
        <v>536</v>
      </c>
      <c r="S112" s="21" t="s">
        <v>504</v>
      </c>
      <c r="T112" s="5">
        <v>32897.4</v>
      </c>
      <c r="U112" s="15">
        <v>34537</v>
      </c>
      <c r="V112" s="15">
        <v>34537</v>
      </c>
      <c r="W112" s="15">
        <f t="shared" si="29"/>
        <v>33853.833333333336</v>
      </c>
      <c r="X112" s="15">
        <f t="shared" si="33"/>
        <v>-683.16666666666424</v>
      </c>
      <c r="Y112" s="15">
        <f t="shared" si="30"/>
        <v>0</v>
      </c>
      <c r="Z112" s="15">
        <f>SUM(Financials20263[[#This Row],[2026 Opportunity]:[2026 Risk]])</f>
        <v>-683.16666666666424</v>
      </c>
      <c r="AA112" s="3"/>
      <c r="AB112" s="52">
        <f>Financials20263[[#This Row],[2026 Final Budget]]/12</f>
        <v>2878.0833333333335</v>
      </c>
      <c r="AC112" s="52">
        <f>Financials20263[[#This Row],[2026 Final Budget]]/12</f>
        <v>2878.0833333333335</v>
      </c>
      <c r="AD112" s="52">
        <f>Financials20263[[#This Row],[2026 Final Budget]]/12</f>
        <v>2878.0833333333335</v>
      </c>
      <c r="AE112" s="52">
        <f>Financials20263[[#This Row],[2026 Final Budget]]/12</f>
        <v>2878.0833333333335</v>
      </c>
      <c r="AF112" s="52">
        <f>Financials20263[[#This Row],[2026 Final Budget]]/12</f>
        <v>2878.0833333333335</v>
      </c>
      <c r="AG112" s="52">
        <f>Financials20263[[#This Row],[2026 Final Budget]]/12</f>
        <v>2878.0833333333335</v>
      </c>
      <c r="AH112" s="52">
        <f>Financials20263[[#This Row],[2026 Final Budget]]/12</f>
        <v>2878.0833333333335</v>
      </c>
      <c r="AI112" s="52">
        <f>Financials20263[[#This Row],[2026 Final Budget]]/12</f>
        <v>2878.0833333333335</v>
      </c>
      <c r="AJ112" s="52">
        <f>Financials20263[[#This Row],[2026 Final Budget]]/12</f>
        <v>2878.0833333333335</v>
      </c>
      <c r="AK112" s="52">
        <f>Financials20263[[#This Row],[2026 Final Budget]]/12</f>
        <v>2878.0833333333335</v>
      </c>
      <c r="AL112" s="52">
        <f>Financials20263[[#This Row],[2026 Final Budget]]/12</f>
        <v>2878.0833333333335</v>
      </c>
      <c r="AM112" s="52">
        <f>Financials20263[[#This Row],[2026 Final Budget]]/12</f>
        <v>2878.0833333333335</v>
      </c>
      <c r="AN112" s="75">
        <f>SUM(Financials20263[[#This Row],[Jan FC]:[Dec FC]])</f>
        <v>34536.999999999993</v>
      </c>
      <c r="AO112" s="15">
        <f t="shared" si="31"/>
        <v>20146.583333333332</v>
      </c>
      <c r="AP112" s="61">
        <v>2741.45</v>
      </c>
      <c r="AQ112" s="61">
        <v>2741.45</v>
      </c>
      <c r="AR112" s="61">
        <v>2741.45</v>
      </c>
      <c r="AS112" s="61">
        <v>2741.45</v>
      </c>
      <c r="AT112" s="61">
        <v>2741.45</v>
      </c>
      <c r="AU112" s="61"/>
      <c r="AV112" s="61"/>
      <c r="AW112" s="61"/>
      <c r="AX112" s="61"/>
      <c r="AY112" s="61"/>
      <c r="AZ112" s="61"/>
      <c r="BA112" s="61"/>
      <c r="BB112" s="80">
        <f>SUM(Financials20263[[#This Row],[Jan AC]:[Dec AC]])</f>
        <v>13707.25</v>
      </c>
      <c r="BC112" s="71">
        <f>Financials20263[[#This Row],[Jan AC]]-Financials20263[[#This Row],[Jan FC]]</f>
        <v>-136.63333333333367</v>
      </c>
      <c r="BD112" s="71">
        <f>Financials20263[[#This Row],[Feb AC]]-Financials20263[[#This Row],[Feb FC]]</f>
        <v>-136.63333333333367</v>
      </c>
      <c r="BE112" s="71">
        <f>Financials20263[[#This Row],[Mar AC]]-Financials20263[[#This Row],[Mar FC]]</f>
        <v>-136.63333333333367</v>
      </c>
      <c r="BF112" s="71">
        <f>Financials20263[[#This Row],[Apr AC]]-Financials20263[[#This Row],[Apr FC]]</f>
        <v>-136.63333333333367</v>
      </c>
      <c r="BG112" s="71">
        <f>Financials20263[[#This Row],[May AC]]-Financials20263[[#This Row],[May FC]]</f>
        <v>-136.63333333333367</v>
      </c>
      <c r="BH112" s="71">
        <f>Financials20263[[#This Row],[Jun AC]]-Financials20263[[#This Row],[Jun FC]]</f>
        <v>-2878.0833333333335</v>
      </c>
      <c r="BI112" s="71">
        <f>Financials20263[[#This Row],[Jul AC]]-Financials20263[[#This Row],[Jul FC]]</f>
        <v>-2878.0833333333335</v>
      </c>
      <c r="BJ112" s="71">
        <f>Financials20263[[#This Row],[Aug AC]]-Financials20263[[#This Row],[Aug FC]]</f>
        <v>-2878.0833333333335</v>
      </c>
      <c r="BK112" s="71">
        <f>Financials20263[[#This Row],[Sep AC]]-Financials20263[[#This Row],[Sep FC]]</f>
        <v>-2878.0833333333335</v>
      </c>
      <c r="BL112" s="71">
        <f>Financials20263[[#This Row],[Oct AC]]-Financials20263[[#This Row],[Oct FC]]</f>
        <v>-2878.0833333333335</v>
      </c>
      <c r="BM112" s="71">
        <f>Financials20263[[#This Row],[Nov AC]]-Financials20263[[#This Row],[Nov FC]]</f>
        <v>-2878.0833333333335</v>
      </c>
      <c r="BN112" s="71">
        <f>Financials20263[[#This Row],[Dec AC]]-Financials20263[[#This Row],[Dec FC]]</f>
        <v>-2878.0833333333335</v>
      </c>
      <c r="BO112" s="71">
        <f>SUM(Financials20263[[#This Row],[Jan Opp/Risk]:[Dec Opp./Risk]])</f>
        <v>-20829.750000000004</v>
      </c>
      <c r="BP112" s="87" t="s">
        <v>531</v>
      </c>
      <c r="BQ112" s="47">
        <f>SUM(Financials20263[[#This Row],[Jan AC]:[May AC]])</f>
        <v>13707.25</v>
      </c>
      <c r="BR112" s="6">
        <f>Financials20263[[#This Row],[2026 (Actuals + Forecast)]]-Financials20263[[#This Row],[Jan-May Actuals]]-Financials20263[[#This Row],[Jun-Dec FC]]</f>
        <v>0</v>
      </c>
      <c r="BS112" s="6">
        <f>Financials20263[[#This Row],[Jun-Dec FC]]+Financials20263[[#This Row],[Jan-May Forecast ]]</f>
        <v>20146.583333333332</v>
      </c>
      <c r="BT112" s="6">
        <f>SUM(Financials20263[[#This Row],[Jan FC]:[May FC]])</f>
        <v>14390.416666666668</v>
      </c>
      <c r="BU112" s="6">
        <f>Financials20263[[#This Row],[Jan-May Actuals]]+Financials20263[[#This Row],[Forecast Jun-Dec]]</f>
        <v>33853.833333333328</v>
      </c>
      <c r="BV112" s="6"/>
      <c r="BW112" s="6"/>
      <c r="BX112" s="6"/>
    </row>
    <row r="113" spans="1:76">
      <c r="A113" s="22" t="s">
        <v>540</v>
      </c>
      <c r="B113" s="21" t="s">
        <v>145</v>
      </c>
      <c r="C113" s="21"/>
      <c r="D113" s="10" t="s">
        <v>475</v>
      </c>
      <c r="E113" s="7" t="s">
        <v>476</v>
      </c>
      <c r="F113" s="3" t="s">
        <v>91</v>
      </c>
      <c r="G113" s="3" t="s">
        <v>21</v>
      </c>
      <c r="H113" s="4" t="s">
        <v>521</v>
      </c>
      <c r="I113" s="4" t="s">
        <v>521</v>
      </c>
      <c r="J113" s="3"/>
      <c r="K113" s="3" t="str">
        <f t="shared" si="28"/>
        <v>Prj000350-Support - Infrastructure for Tech</v>
      </c>
      <c r="L113" s="21" t="s">
        <v>478</v>
      </c>
      <c r="M113" s="21" t="s">
        <v>12</v>
      </c>
      <c r="N113" s="21" t="s">
        <v>12</v>
      </c>
      <c r="O113" s="21"/>
      <c r="P113" s="21" t="s">
        <v>534</v>
      </c>
      <c r="Q113" s="21" t="s">
        <v>535</v>
      </c>
      <c r="R113" s="21" t="s">
        <v>536</v>
      </c>
      <c r="S113" s="21" t="s">
        <v>504</v>
      </c>
      <c r="T113" s="5">
        <v>401632</v>
      </c>
      <c r="U113" s="15">
        <v>421713.07500000007</v>
      </c>
      <c r="V113" s="15">
        <v>421713.07500000007</v>
      </c>
      <c r="W113" s="15">
        <f>AO113+IF(ISBLANK(AP113),AB113,AP113)+IF(ISBLANK(AQ113),AC113,AQ113)+IF(ISBLANK(AR113),AD113,AR113)+IF(ISBLANK(AS113),AE113,AS113)+IF(ISBLANK(AT113),AF113,AT113)</f>
        <v>407892.6966666666</v>
      </c>
      <c r="X113" s="15">
        <f t="shared" si="33"/>
        <v>-13820.378333333472</v>
      </c>
      <c r="Y113" s="15">
        <f t="shared" si="30"/>
        <v>0</v>
      </c>
      <c r="Z113" s="15">
        <f>SUM(Financials20263[[#This Row],[2026 Opportunity]:[2026 Risk]])</f>
        <v>-13820.378333333472</v>
      </c>
      <c r="AA113" s="3"/>
      <c r="AB113" s="52">
        <v>30215.78</v>
      </c>
      <c r="AC113" s="52">
        <v>35893.14</v>
      </c>
      <c r="AD113" s="52">
        <v>35143.583333333336</v>
      </c>
      <c r="AE113" s="52">
        <v>35143.583333333336</v>
      </c>
      <c r="AF113" s="52">
        <v>35143.583333333336</v>
      </c>
      <c r="AG113" s="52">
        <v>35143.583333333336</v>
      </c>
      <c r="AH113" s="52">
        <v>35143.583333333336</v>
      </c>
      <c r="AI113" s="52">
        <v>35143.583333333336</v>
      </c>
      <c r="AJ113" s="52">
        <v>35143.583333333336</v>
      </c>
      <c r="AK113" s="52">
        <v>35143.583333333336</v>
      </c>
      <c r="AL113" s="52">
        <v>35143.583333333336</v>
      </c>
      <c r="AM113" s="52">
        <v>39311.583333333299</v>
      </c>
      <c r="AN113" s="52">
        <f>SUM(Financials20263[[#This Row],[Jan FC]:[Dec FC]])</f>
        <v>421712.7533333333</v>
      </c>
      <c r="AO113" s="15">
        <f t="shared" si="31"/>
        <v>250173.08333333331</v>
      </c>
      <c r="AP113" s="61">
        <v>30215.78</v>
      </c>
      <c r="AQ113" s="61">
        <v>35893.14</v>
      </c>
      <c r="AR113" s="61">
        <v>28032.44</v>
      </c>
      <c r="AS113" s="61">
        <v>28434.67</v>
      </c>
      <c r="AT113" s="61"/>
      <c r="AU113" s="61"/>
      <c r="AV113" s="61"/>
      <c r="AW113" s="61"/>
      <c r="AX113" s="61"/>
      <c r="AY113" s="61"/>
      <c r="AZ113" s="61"/>
      <c r="BA113" s="61"/>
      <c r="BB113" s="80">
        <f>SUM(Financials20263[[#This Row],[Jan AC]:[Dec AC]])</f>
        <v>122576.03</v>
      </c>
      <c r="BC113" s="71">
        <f>Financials20263[[#This Row],[Jan AC]]-Financials20263[[#This Row],[Jan FC]]</f>
        <v>0</v>
      </c>
      <c r="BD113" s="71">
        <f>Financials20263[[#This Row],[Feb AC]]-Financials20263[[#This Row],[Feb FC]]</f>
        <v>0</v>
      </c>
      <c r="BE113" s="71">
        <f>Financials20263[[#This Row],[Mar AC]]-Financials20263[[#This Row],[Mar FC]]</f>
        <v>-7111.1433333333371</v>
      </c>
      <c r="BF113" s="71">
        <f>Financials20263[[#This Row],[Apr AC]]-Financials20263[[#This Row],[Apr FC]]</f>
        <v>-6708.9133333333375</v>
      </c>
      <c r="BG113" s="71">
        <f>Financials20263[[#This Row],[May AC]]-Financials20263[[#This Row],[May FC]]</f>
        <v>-35143.583333333336</v>
      </c>
      <c r="BH113" s="71">
        <f>Financials20263[[#This Row],[Jun AC]]-Financials20263[[#This Row],[Jun FC]]</f>
        <v>-35143.583333333336</v>
      </c>
      <c r="BI113" s="71">
        <f>Financials20263[[#This Row],[Jul AC]]-Financials20263[[#This Row],[Jul FC]]</f>
        <v>-35143.583333333336</v>
      </c>
      <c r="BJ113" s="71">
        <f>Financials20263[[#This Row],[Aug AC]]-Financials20263[[#This Row],[Aug FC]]</f>
        <v>-35143.583333333336</v>
      </c>
      <c r="BK113" s="71">
        <f>Financials20263[[#This Row],[Sep AC]]-Financials20263[[#This Row],[Sep FC]]</f>
        <v>-35143.583333333336</v>
      </c>
      <c r="BL113" s="71">
        <f>Financials20263[[#This Row],[Oct AC]]-Financials20263[[#This Row],[Oct FC]]</f>
        <v>-35143.583333333336</v>
      </c>
      <c r="BM113" s="71">
        <f>Financials20263[[#This Row],[Nov AC]]-Financials20263[[#This Row],[Nov FC]]</f>
        <v>-35143.583333333336</v>
      </c>
      <c r="BN113" s="71">
        <f>Financials20263[[#This Row],[Dec AC]]-Financials20263[[#This Row],[Dec FC]]</f>
        <v>-39311.583333333299</v>
      </c>
      <c r="BO113" s="71">
        <f>SUM(Financials20263[[#This Row],[Jan Opp/Risk]:[Dec Opp./Risk]])</f>
        <v>-299136.72333333339</v>
      </c>
      <c r="BP113" s="88"/>
      <c r="BQ113" s="47">
        <f>SUM(Financials20263[[#This Row],[Jan AC]:[May AC]])</f>
        <v>122576.03</v>
      </c>
      <c r="BR113" s="6">
        <f>Financials20263[[#This Row],[2026 (Actuals + Forecast)]]-Financials20263[[#This Row],[Jan-May Actuals]]-Financials20263[[#This Row],[Jun-Dec FC]]</f>
        <v>35143.583333333314</v>
      </c>
      <c r="BS113" s="6">
        <f>Financials20263[[#This Row],[Jun-Dec FC]]+Financials20263[[#This Row],[Jan-May Forecast ]]</f>
        <v>285316.66666666663</v>
      </c>
      <c r="BT113" s="6">
        <f>SUM(Financials20263[[#This Row],[Jan FC]:[May FC]])</f>
        <v>171539.67</v>
      </c>
      <c r="BU113" s="6">
        <f>Financials20263[[#This Row],[Jan-May Actuals]]+Financials20263[[#This Row],[Forecast Jun-Dec]]</f>
        <v>407892.69666666666</v>
      </c>
      <c r="BV113" s="6"/>
      <c r="BW113" s="6"/>
      <c r="BX113" s="6"/>
    </row>
    <row r="114" spans="1:76">
      <c r="A114" s="22" t="s">
        <v>473</v>
      </c>
      <c r="B114" s="21" t="s">
        <v>235</v>
      </c>
      <c r="C114" s="21"/>
      <c r="D114" s="10" t="s">
        <v>594</v>
      </c>
      <c r="E114" s="7" t="s">
        <v>595</v>
      </c>
      <c r="F114" s="3" t="s">
        <v>596</v>
      </c>
      <c r="G114" s="3" t="s">
        <v>22</v>
      </c>
      <c r="H114" s="4">
        <v>46023</v>
      </c>
      <c r="I114" s="4">
        <v>46387</v>
      </c>
      <c r="J114" s="3"/>
      <c r="K114" s="3" t="str">
        <f t="shared" si="28"/>
        <v>Prj000469-Support - Prod Support for Ops Apps</v>
      </c>
      <c r="L114" s="21" t="s">
        <v>478</v>
      </c>
      <c r="M114" s="21" t="s">
        <v>15</v>
      </c>
      <c r="N114" s="21" t="s">
        <v>15</v>
      </c>
      <c r="O114" s="21" t="s">
        <v>544</v>
      </c>
      <c r="P114" s="21" t="s">
        <v>545</v>
      </c>
      <c r="Q114" s="21" t="s">
        <v>545</v>
      </c>
      <c r="R114" s="21" t="s">
        <v>546</v>
      </c>
      <c r="S114" s="21" t="s">
        <v>508</v>
      </c>
      <c r="T114" s="5">
        <v>4914</v>
      </c>
      <c r="U114" s="15">
        <v>4409</v>
      </c>
      <c r="V114" s="15">
        <v>4409</v>
      </c>
      <c r="W114" s="15">
        <f t="shared" si="29"/>
        <v>4982.8</v>
      </c>
      <c r="X114" s="15">
        <f t="shared" si="33"/>
        <v>0</v>
      </c>
      <c r="Y114" s="15">
        <f t="shared" si="30"/>
        <v>573.80000000000018</v>
      </c>
      <c r="Z114" s="15">
        <f>SUM(Financials20263[[#This Row],[2026 Opportunity]:[2026 Risk]])</f>
        <v>573.80000000000018</v>
      </c>
      <c r="AA114" s="3" t="s">
        <v>798</v>
      </c>
      <c r="AB114" s="52">
        <v>4409</v>
      </c>
      <c r="AC114" s="52"/>
      <c r="AD114" s="52"/>
      <c r="AE114" s="52"/>
      <c r="AF114" s="52"/>
      <c r="AG114" s="52"/>
      <c r="AH114" s="52"/>
      <c r="AI114" s="52"/>
      <c r="AJ114" s="52"/>
      <c r="AK114" s="52"/>
      <c r="AL114" s="52"/>
      <c r="AM114" s="52"/>
      <c r="AN114" s="52">
        <f>SUM(Financials20263[[#This Row],[Jan FC]:[Dec FC]])</f>
        <v>4409</v>
      </c>
      <c r="AO114" s="15">
        <f t="shared" si="31"/>
        <v>0</v>
      </c>
      <c r="AP114" s="61">
        <v>4982.8</v>
      </c>
      <c r="AQ114" s="61"/>
      <c r="AR114" s="61"/>
      <c r="AS114" s="61"/>
      <c r="AT114" s="61"/>
      <c r="AU114" s="61"/>
      <c r="AV114" s="61"/>
      <c r="AW114" s="61"/>
      <c r="AX114" s="61"/>
      <c r="AY114" s="61"/>
      <c r="AZ114" s="61"/>
      <c r="BA114" s="61"/>
      <c r="BB114" s="80">
        <f>SUM(Financials20263[[#This Row],[Jan AC]:[Dec AC]])</f>
        <v>4982.8</v>
      </c>
      <c r="BC114" s="71">
        <f>Financials20263[[#This Row],[Jan AC]]-Financials20263[[#This Row],[Jan FC]]</f>
        <v>573.80000000000018</v>
      </c>
      <c r="BD114" s="71">
        <f>Financials20263[[#This Row],[Feb AC]]-Financials20263[[#This Row],[Feb FC]]</f>
        <v>0</v>
      </c>
      <c r="BE114" s="71">
        <f>Financials20263[[#This Row],[Mar AC]]-Financials20263[[#This Row],[Mar FC]]</f>
        <v>0</v>
      </c>
      <c r="BF114" s="71">
        <f>Financials20263[[#This Row],[Apr AC]]-Financials20263[[#This Row],[Apr FC]]</f>
        <v>0</v>
      </c>
      <c r="BG114" s="71">
        <f>Financials20263[[#This Row],[May AC]]-Financials20263[[#This Row],[May FC]]</f>
        <v>0</v>
      </c>
      <c r="BH114" s="71">
        <f>Financials20263[[#This Row],[Jun AC]]-Financials20263[[#This Row],[Jun FC]]</f>
        <v>0</v>
      </c>
      <c r="BI114" s="71">
        <f>Financials20263[[#This Row],[Jul AC]]-Financials20263[[#This Row],[Jul FC]]</f>
        <v>0</v>
      </c>
      <c r="BJ114" s="71">
        <f>Financials20263[[#This Row],[Aug AC]]-Financials20263[[#This Row],[Aug FC]]</f>
        <v>0</v>
      </c>
      <c r="BK114" s="71">
        <f>Financials20263[[#This Row],[Sep AC]]-Financials20263[[#This Row],[Sep FC]]</f>
        <v>0</v>
      </c>
      <c r="BL114" s="71">
        <f>Financials20263[[#This Row],[Oct AC]]-Financials20263[[#This Row],[Oct FC]]</f>
        <v>0</v>
      </c>
      <c r="BM114" s="71">
        <f>Financials20263[[#This Row],[Nov AC]]-Financials20263[[#This Row],[Nov FC]]</f>
        <v>0</v>
      </c>
      <c r="BN114" s="71">
        <f>Financials20263[[#This Row],[Dec AC]]-Financials20263[[#This Row],[Dec FC]]</f>
        <v>0</v>
      </c>
      <c r="BO114" s="71">
        <f>SUM(Financials20263[[#This Row],[Jan Opp/Risk]:[Dec Opp./Risk]])</f>
        <v>573.80000000000018</v>
      </c>
      <c r="BP114" s="87" t="s">
        <v>531</v>
      </c>
      <c r="BQ114" s="47">
        <f>SUM(Financials20263[[#This Row],[Jan AC]:[May AC]])</f>
        <v>4982.8</v>
      </c>
      <c r="BR114" s="6">
        <f>Financials20263[[#This Row],[2026 (Actuals + Forecast)]]-Financials20263[[#This Row],[Jan-May Actuals]]-Financials20263[[#This Row],[Jun-Dec FC]]</f>
        <v>0</v>
      </c>
      <c r="BS114" s="6">
        <f>Financials20263[[#This Row],[Jun-Dec FC]]+Financials20263[[#This Row],[Jan-May Forecast ]]</f>
        <v>0</v>
      </c>
      <c r="BT114" s="6">
        <f>SUM(Financials20263[[#This Row],[Jan FC]:[May FC]])</f>
        <v>4409</v>
      </c>
      <c r="BU114" s="6">
        <f>Financials20263[[#This Row],[Jan-May Actuals]]+Financials20263[[#This Row],[Forecast Jun-Dec]]</f>
        <v>4982.8</v>
      </c>
      <c r="BV114" s="6"/>
      <c r="BW114" s="6"/>
      <c r="BX114" s="6"/>
    </row>
    <row r="115" spans="1:76">
      <c r="A115" s="22" t="s">
        <v>473</v>
      </c>
      <c r="B115" s="21" t="s">
        <v>262</v>
      </c>
      <c r="C115" s="21"/>
      <c r="D115" s="10" t="s">
        <v>518</v>
      </c>
      <c r="E115" s="7" t="s">
        <v>519</v>
      </c>
      <c r="F115" s="3" t="s">
        <v>520</v>
      </c>
      <c r="G115" s="3" t="s">
        <v>24</v>
      </c>
      <c r="H115" s="4"/>
      <c r="I115" s="4"/>
      <c r="J115" s="3"/>
      <c r="K115" s="3" t="str">
        <f t="shared" si="28"/>
        <v>Prj000290-Support - Asset Management Applications</v>
      </c>
      <c r="L115" s="21" t="s">
        <v>478</v>
      </c>
      <c r="M115" s="21" t="s">
        <v>15</v>
      </c>
      <c r="N115" s="21" t="s">
        <v>15</v>
      </c>
      <c r="O115" s="21"/>
      <c r="P115" s="21" t="s">
        <v>545</v>
      </c>
      <c r="Q115" s="21" t="s">
        <v>545</v>
      </c>
      <c r="R115" s="21" t="s">
        <v>546</v>
      </c>
      <c r="S115" s="21" t="s">
        <v>508</v>
      </c>
      <c r="T115" s="5">
        <v>342</v>
      </c>
      <c r="U115" s="15">
        <v>359</v>
      </c>
      <c r="V115" s="15">
        <v>359</v>
      </c>
      <c r="W115" s="15">
        <f t="shared" si="29"/>
        <v>359</v>
      </c>
      <c r="X115" s="15">
        <f t="shared" si="33"/>
        <v>0</v>
      </c>
      <c r="Y115" s="15">
        <f t="shared" si="30"/>
        <v>0</v>
      </c>
      <c r="Z115" s="15">
        <f>SUM(Financials20263[[#This Row],[2026 Opportunity]:[2026 Risk]])</f>
        <v>0</v>
      </c>
      <c r="AA115" s="3" t="s">
        <v>530</v>
      </c>
      <c r="AB115" s="52"/>
      <c r="AC115" s="52"/>
      <c r="AD115" s="52">
        <v>359</v>
      </c>
      <c r="AE115" s="52"/>
      <c r="AF115" s="52"/>
      <c r="AG115" s="52"/>
      <c r="AH115" s="52"/>
      <c r="AI115" s="52"/>
      <c r="AJ115" s="52"/>
      <c r="AK115" s="52"/>
      <c r="AL115" s="52"/>
      <c r="AM115" s="52"/>
      <c r="AN115" s="52">
        <f>SUM(Financials20263[[#This Row],[Jan FC]:[Dec FC]])</f>
        <v>359</v>
      </c>
      <c r="AO115" s="15">
        <f t="shared" si="31"/>
        <v>0</v>
      </c>
      <c r="AP115" s="61"/>
      <c r="AQ115" s="61"/>
      <c r="AR115" s="61"/>
      <c r="AS115" s="61"/>
      <c r="AT115" s="61"/>
      <c r="AU115" s="61"/>
      <c r="AV115" s="61"/>
      <c r="AW115" s="61"/>
      <c r="AX115" s="61"/>
      <c r="AY115" s="61"/>
      <c r="AZ115" s="61"/>
      <c r="BA115" s="61"/>
      <c r="BB115" s="80">
        <f>SUM(Financials20263[[#This Row],[Jan AC]:[Dec AC]])</f>
        <v>0</v>
      </c>
      <c r="BC115" s="71">
        <f>Financials20263[[#This Row],[Jan AC]]-Financials20263[[#This Row],[Jan FC]]</f>
        <v>0</v>
      </c>
      <c r="BD115" s="71">
        <f>Financials20263[[#This Row],[Feb AC]]-Financials20263[[#This Row],[Feb FC]]</f>
        <v>0</v>
      </c>
      <c r="BE115" s="71">
        <f>Financials20263[[#This Row],[Mar AC]]-Financials20263[[#This Row],[Mar FC]]</f>
        <v>-359</v>
      </c>
      <c r="BF115" s="71">
        <f>Financials20263[[#This Row],[Apr AC]]-Financials20263[[#This Row],[Apr FC]]</f>
        <v>0</v>
      </c>
      <c r="BG115" s="71">
        <f>Financials20263[[#This Row],[May AC]]-Financials20263[[#This Row],[May FC]]</f>
        <v>0</v>
      </c>
      <c r="BH115" s="71">
        <f>Financials20263[[#This Row],[Jun AC]]-Financials20263[[#This Row],[Jun FC]]</f>
        <v>0</v>
      </c>
      <c r="BI115" s="71">
        <f>Financials20263[[#This Row],[Jul AC]]-Financials20263[[#This Row],[Jul FC]]</f>
        <v>0</v>
      </c>
      <c r="BJ115" s="71">
        <f>Financials20263[[#This Row],[Aug AC]]-Financials20263[[#This Row],[Aug FC]]</f>
        <v>0</v>
      </c>
      <c r="BK115" s="71">
        <f>Financials20263[[#This Row],[Sep AC]]-Financials20263[[#This Row],[Sep FC]]</f>
        <v>0</v>
      </c>
      <c r="BL115" s="71">
        <f>Financials20263[[#This Row],[Oct AC]]-Financials20263[[#This Row],[Oct FC]]</f>
        <v>0</v>
      </c>
      <c r="BM115" s="71">
        <f>Financials20263[[#This Row],[Nov AC]]-Financials20263[[#This Row],[Nov FC]]</f>
        <v>0</v>
      </c>
      <c r="BN115" s="71">
        <f>Financials20263[[#This Row],[Dec AC]]-Financials20263[[#This Row],[Dec FC]]</f>
        <v>0</v>
      </c>
      <c r="BO115" s="71">
        <f>SUM(Financials20263[[#This Row],[Jan Opp/Risk]:[Dec Opp./Risk]])</f>
        <v>-359</v>
      </c>
      <c r="BP115" s="87"/>
      <c r="BQ115" s="47">
        <f>SUM(Financials20263[[#This Row],[Jan AC]:[May AC]])</f>
        <v>0</v>
      </c>
      <c r="BR115" s="6">
        <f>Financials20263[[#This Row],[2026 (Actuals + Forecast)]]-Financials20263[[#This Row],[Jan-May Actuals]]-Financials20263[[#This Row],[Jun-Dec FC]]</f>
        <v>359</v>
      </c>
      <c r="BS115" s="6">
        <f>Financials20263[[#This Row],[Jun-Dec FC]]+Financials20263[[#This Row],[Jan-May Forecast ]]</f>
        <v>359</v>
      </c>
      <c r="BT115" s="6">
        <f>SUM(Financials20263[[#This Row],[Jan FC]:[May FC]])</f>
        <v>359</v>
      </c>
      <c r="BU115" s="6">
        <f>Financials20263[[#This Row],[Jan-May Actuals]]+Financials20263[[#This Row],[Forecast Jun-Dec]]</f>
        <v>359</v>
      </c>
      <c r="BV115" s="6"/>
      <c r="BW115" s="6"/>
      <c r="BX115" s="6"/>
    </row>
    <row r="116" spans="1:76">
      <c r="A116" s="22" t="s">
        <v>473</v>
      </c>
      <c r="B116" s="21" t="s">
        <v>247</v>
      </c>
      <c r="C116" s="21" t="s">
        <v>799</v>
      </c>
      <c r="D116" s="10" t="s">
        <v>594</v>
      </c>
      <c r="E116" s="7" t="s">
        <v>595</v>
      </c>
      <c r="F116" s="3" t="s">
        <v>596</v>
      </c>
      <c r="G116" s="3" t="s">
        <v>22</v>
      </c>
      <c r="H116" s="4"/>
      <c r="I116" s="4"/>
      <c r="J116" s="3"/>
      <c r="K116" s="3" t="str">
        <f t="shared" si="28"/>
        <v>Prj000469-Support - Prod Support for Ops Apps</v>
      </c>
      <c r="L116" s="21" t="s">
        <v>478</v>
      </c>
      <c r="M116" s="21" t="s">
        <v>15</v>
      </c>
      <c r="N116" s="21" t="s">
        <v>15</v>
      </c>
      <c r="O116" s="21" t="s">
        <v>800</v>
      </c>
      <c r="P116" s="21" t="s">
        <v>545</v>
      </c>
      <c r="Q116" s="21" t="s">
        <v>545</v>
      </c>
      <c r="R116" s="21" t="s">
        <v>546</v>
      </c>
      <c r="S116" s="21" t="s">
        <v>537</v>
      </c>
      <c r="T116" s="5">
        <v>64257.05</v>
      </c>
      <c r="U116" s="15">
        <v>67470</v>
      </c>
      <c r="V116" s="15">
        <v>67470</v>
      </c>
      <c r="W116" s="15">
        <f t="shared" si="29"/>
        <v>67977.899999999994</v>
      </c>
      <c r="X116" s="15">
        <f t="shared" si="33"/>
        <v>0</v>
      </c>
      <c r="Y116" s="15">
        <f t="shared" si="30"/>
        <v>507.89999999999418</v>
      </c>
      <c r="Z116" s="15">
        <f>SUM(Financials20263[[#This Row],[2026 Opportunity]:[2026 Risk]])</f>
        <v>507.89999999999418</v>
      </c>
      <c r="AA116" s="3" t="s">
        <v>530</v>
      </c>
      <c r="AB116" s="52">
        <v>16878.150000000001</v>
      </c>
      <c r="AC116" s="52"/>
      <c r="AD116" s="52"/>
      <c r="AE116" s="52">
        <v>16867.5</v>
      </c>
      <c r="AF116" s="52"/>
      <c r="AG116" s="52"/>
      <c r="AH116" s="52">
        <v>16867.5</v>
      </c>
      <c r="AI116" s="52"/>
      <c r="AJ116" s="52"/>
      <c r="AK116" s="52">
        <v>16867.5</v>
      </c>
      <c r="AL116" s="52"/>
      <c r="AM116" s="52"/>
      <c r="AN116" s="75">
        <f>SUM(Financials20263[[#This Row],[Jan FC]:[Dec FC]])</f>
        <v>67480.649999999994</v>
      </c>
      <c r="AO116" s="15">
        <f t="shared" si="31"/>
        <v>33735</v>
      </c>
      <c r="AP116" s="61">
        <v>16878.150000000001</v>
      </c>
      <c r="AQ116" s="61"/>
      <c r="AR116" s="61"/>
      <c r="AS116" s="61">
        <v>17364.75</v>
      </c>
      <c r="AT116" s="61"/>
      <c r="AU116" s="61"/>
      <c r="AV116" s="61"/>
      <c r="AW116" s="61"/>
      <c r="AX116" s="61"/>
      <c r="AY116" s="61"/>
      <c r="AZ116" s="61"/>
      <c r="BA116" s="61"/>
      <c r="BB116" s="80">
        <f>SUM(Financials20263[[#This Row],[Jan AC]:[Dec AC]])</f>
        <v>34242.9</v>
      </c>
      <c r="BC116" s="71">
        <f>Financials20263[[#This Row],[Jan AC]]-Financials20263[[#This Row],[Jan FC]]</f>
        <v>0</v>
      </c>
      <c r="BD116" s="71">
        <f>Financials20263[[#This Row],[Feb AC]]-Financials20263[[#This Row],[Feb FC]]</f>
        <v>0</v>
      </c>
      <c r="BE116" s="71">
        <f>Financials20263[[#This Row],[Mar AC]]-Financials20263[[#This Row],[Mar FC]]</f>
        <v>0</v>
      </c>
      <c r="BF116" s="71">
        <f>Financials20263[[#This Row],[Apr AC]]-Financials20263[[#This Row],[Apr FC]]</f>
        <v>497.25</v>
      </c>
      <c r="BG116" s="71">
        <f>Financials20263[[#This Row],[May AC]]-Financials20263[[#This Row],[May FC]]</f>
        <v>0</v>
      </c>
      <c r="BH116" s="71">
        <f>Financials20263[[#This Row],[Jun AC]]-Financials20263[[#This Row],[Jun FC]]</f>
        <v>0</v>
      </c>
      <c r="BI116" s="71">
        <f>Financials20263[[#This Row],[Jul AC]]-Financials20263[[#This Row],[Jul FC]]</f>
        <v>-16867.5</v>
      </c>
      <c r="BJ116" s="71">
        <f>Financials20263[[#This Row],[Aug AC]]-Financials20263[[#This Row],[Aug FC]]</f>
        <v>0</v>
      </c>
      <c r="BK116" s="71">
        <f>Financials20263[[#This Row],[Sep AC]]-Financials20263[[#This Row],[Sep FC]]</f>
        <v>0</v>
      </c>
      <c r="BL116" s="71">
        <f>Financials20263[[#This Row],[Oct AC]]-Financials20263[[#This Row],[Oct FC]]</f>
        <v>-16867.5</v>
      </c>
      <c r="BM116" s="71">
        <f>Financials20263[[#This Row],[Nov AC]]-Financials20263[[#This Row],[Nov FC]]</f>
        <v>0</v>
      </c>
      <c r="BN116" s="71">
        <f>Financials20263[[#This Row],[Dec AC]]-Financials20263[[#This Row],[Dec FC]]</f>
        <v>0</v>
      </c>
      <c r="BO116" s="71">
        <f>SUM(Financials20263[[#This Row],[Jan Opp/Risk]:[Dec Opp./Risk]])</f>
        <v>-33237.75</v>
      </c>
      <c r="BP116" s="87"/>
      <c r="BQ116" s="47">
        <f>SUM(Financials20263[[#This Row],[Jan AC]:[May AC]])</f>
        <v>34242.9</v>
      </c>
      <c r="BR116" s="6">
        <f>Financials20263[[#This Row],[2026 (Actuals + Forecast)]]-Financials20263[[#This Row],[Jan-May Actuals]]-Financials20263[[#This Row],[Jun-Dec FC]]</f>
        <v>0</v>
      </c>
      <c r="BS116" s="6">
        <f>Financials20263[[#This Row],[Jun-Dec FC]]+Financials20263[[#This Row],[Jan-May Forecast ]]</f>
        <v>33735</v>
      </c>
      <c r="BT116" s="6">
        <f>SUM(Financials20263[[#This Row],[Jan FC]:[May FC]])</f>
        <v>33745.65</v>
      </c>
      <c r="BU116" s="6">
        <f>Financials20263[[#This Row],[Jan-May Actuals]]+Financials20263[[#This Row],[Forecast Jun-Dec]]</f>
        <v>67977.899999999994</v>
      </c>
      <c r="BV116" s="6"/>
      <c r="BW116" s="6"/>
      <c r="BX116" s="6"/>
    </row>
    <row r="117" spans="1:76">
      <c r="A117" s="22" t="s">
        <v>473</v>
      </c>
      <c r="B117" s="21" t="s">
        <v>250</v>
      </c>
      <c r="C117" s="21"/>
      <c r="D117" s="10" t="s">
        <v>594</v>
      </c>
      <c r="E117" s="7" t="s">
        <v>595</v>
      </c>
      <c r="F117" s="3" t="s">
        <v>596</v>
      </c>
      <c r="G117" s="3" t="s">
        <v>22</v>
      </c>
      <c r="H117" s="4">
        <v>45962</v>
      </c>
      <c r="I117" s="4">
        <v>46326</v>
      </c>
      <c r="J117" s="3"/>
      <c r="K117" s="3" t="str">
        <f t="shared" si="28"/>
        <v>Prj000469-Support - Prod Support for Ops Apps</v>
      </c>
      <c r="L117" s="21" t="s">
        <v>478</v>
      </c>
      <c r="M117" s="21" t="s">
        <v>15</v>
      </c>
      <c r="N117" s="21" t="s">
        <v>15</v>
      </c>
      <c r="O117" s="21"/>
      <c r="P117" s="21" t="s">
        <v>545</v>
      </c>
      <c r="Q117" s="21" t="s">
        <v>545</v>
      </c>
      <c r="R117" s="21" t="s">
        <v>546</v>
      </c>
      <c r="S117" s="21" t="s">
        <v>508</v>
      </c>
      <c r="T117" s="5">
        <v>10000</v>
      </c>
      <c r="U117" s="5">
        <v>25000</v>
      </c>
      <c r="V117" s="5">
        <v>25000</v>
      </c>
      <c r="W117" s="15">
        <f t="shared" si="29"/>
        <v>25000</v>
      </c>
      <c r="X117" s="15">
        <f t="shared" si="33"/>
        <v>0</v>
      </c>
      <c r="Y117" s="15">
        <f t="shared" si="30"/>
        <v>0</v>
      </c>
      <c r="Z117" s="15">
        <f>SUM(Financials20263[[#This Row],[2026 Opportunity]:[2026 Risk]])</f>
        <v>0</v>
      </c>
      <c r="AA117" s="3" t="s">
        <v>530</v>
      </c>
      <c r="AB117" s="52"/>
      <c r="AC117" s="52"/>
      <c r="AD117" s="52"/>
      <c r="AE117" s="52"/>
      <c r="AF117" s="52"/>
      <c r="AG117" s="52"/>
      <c r="AH117" s="52"/>
      <c r="AI117" s="52"/>
      <c r="AJ117" s="52"/>
      <c r="AK117" s="52"/>
      <c r="AL117" s="52">
        <v>25000</v>
      </c>
      <c r="AM117" s="52"/>
      <c r="AN117" s="52">
        <f>SUM(Financials20263[[#This Row],[Jan FC]:[Dec FC]])</f>
        <v>25000</v>
      </c>
      <c r="AO117" s="15">
        <f t="shared" si="31"/>
        <v>25000</v>
      </c>
      <c r="AP117" s="61"/>
      <c r="AQ117" s="61"/>
      <c r="AR117" s="61"/>
      <c r="AS117" s="61"/>
      <c r="AT117" s="61"/>
      <c r="AU117" s="61"/>
      <c r="AV117" s="61"/>
      <c r="AW117" s="61"/>
      <c r="AX117" s="61"/>
      <c r="AY117" s="61"/>
      <c r="AZ117" s="61"/>
      <c r="BA117" s="61"/>
      <c r="BB117" s="80">
        <f>SUM(Financials20263[[#This Row],[Jan AC]:[Dec AC]])</f>
        <v>0</v>
      </c>
      <c r="BC117" s="71">
        <f>Financials20263[[#This Row],[Jan AC]]-Financials20263[[#This Row],[Jan FC]]</f>
        <v>0</v>
      </c>
      <c r="BD117" s="71">
        <f>Financials20263[[#This Row],[Feb AC]]-Financials20263[[#This Row],[Feb FC]]</f>
        <v>0</v>
      </c>
      <c r="BE117" s="71">
        <f>Financials20263[[#This Row],[Mar AC]]-Financials20263[[#This Row],[Mar FC]]</f>
        <v>0</v>
      </c>
      <c r="BF117" s="71">
        <f>Financials20263[[#This Row],[Apr AC]]-Financials20263[[#This Row],[Apr FC]]</f>
        <v>0</v>
      </c>
      <c r="BG117" s="71">
        <f>Financials20263[[#This Row],[May AC]]-Financials20263[[#This Row],[May FC]]</f>
        <v>0</v>
      </c>
      <c r="BH117" s="71">
        <f>Financials20263[[#This Row],[Jun AC]]-Financials20263[[#This Row],[Jun FC]]</f>
        <v>0</v>
      </c>
      <c r="BI117" s="71">
        <f>Financials20263[[#This Row],[Jul AC]]-Financials20263[[#This Row],[Jul FC]]</f>
        <v>0</v>
      </c>
      <c r="BJ117" s="71">
        <f>Financials20263[[#This Row],[Aug AC]]-Financials20263[[#This Row],[Aug FC]]</f>
        <v>0</v>
      </c>
      <c r="BK117" s="71">
        <f>Financials20263[[#This Row],[Sep AC]]-Financials20263[[#This Row],[Sep FC]]</f>
        <v>0</v>
      </c>
      <c r="BL117" s="71">
        <f>Financials20263[[#This Row],[Oct AC]]-Financials20263[[#This Row],[Oct FC]]</f>
        <v>0</v>
      </c>
      <c r="BM117" s="71">
        <f>Financials20263[[#This Row],[Nov AC]]-Financials20263[[#This Row],[Nov FC]]</f>
        <v>-25000</v>
      </c>
      <c r="BN117" s="71">
        <f>Financials20263[[#This Row],[Dec AC]]-Financials20263[[#This Row],[Dec FC]]</f>
        <v>0</v>
      </c>
      <c r="BO117" s="71">
        <f>SUM(Financials20263[[#This Row],[Jan Opp/Risk]:[Dec Opp./Risk]])</f>
        <v>-25000</v>
      </c>
      <c r="BP117" s="87"/>
      <c r="BQ117" s="47">
        <f>SUM(Financials20263[[#This Row],[Jan AC]:[May AC]])</f>
        <v>0</v>
      </c>
      <c r="BR117" s="6">
        <f>Financials20263[[#This Row],[2026 (Actuals + Forecast)]]-Financials20263[[#This Row],[Jan-May Actuals]]-Financials20263[[#This Row],[Jun-Dec FC]]</f>
        <v>0</v>
      </c>
      <c r="BS117" s="6">
        <f>Financials20263[[#This Row],[Jun-Dec FC]]+Financials20263[[#This Row],[Jan-May Forecast ]]</f>
        <v>25000</v>
      </c>
      <c r="BT117" s="6">
        <f>SUM(Financials20263[[#This Row],[Jan FC]:[May FC]])</f>
        <v>0</v>
      </c>
      <c r="BU117" s="6">
        <f>Financials20263[[#This Row],[Jan-May Actuals]]+Financials20263[[#This Row],[Forecast Jun-Dec]]</f>
        <v>25000</v>
      </c>
      <c r="BV117" s="6"/>
      <c r="BW117" s="6"/>
      <c r="BX117" s="6"/>
    </row>
    <row r="118" spans="1:76">
      <c r="A118" s="22" t="s">
        <v>540</v>
      </c>
      <c r="B118" s="21" t="s">
        <v>92</v>
      </c>
      <c r="C118" s="21"/>
      <c r="D118" s="10" t="s">
        <v>475</v>
      </c>
      <c r="E118" s="7" t="s">
        <v>476</v>
      </c>
      <c r="F118" s="3" t="s">
        <v>91</v>
      </c>
      <c r="G118" s="3" t="s">
        <v>21</v>
      </c>
      <c r="H118" s="4" t="s">
        <v>489</v>
      </c>
      <c r="I118" s="4" t="s">
        <v>489</v>
      </c>
      <c r="J118" s="3"/>
      <c r="K118" s="3" t="str">
        <f t="shared" si="28"/>
        <v>Prj000350-Support - Infrastructure for Tech</v>
      </c>
      <c r="L118" s="21" t="s">
        <v>478</v>
      </c>
      <c r="M118" s="21" t="s">
        <v>11</v>
      </c>
      <c r="N118" s="21" t="s">
        <v>11</v>
      </c>
      <c r="O118" s="21"/>
      <c r="P118" s="21" t="s">
        <v>479</v>
      </c>
      <c r="Q118" s="21" t="s">
        <v>801</v>
      </c>
      <c r="R118" s="21" t="s">
        <v>801</v>
      </c>
      <c r="S118" s="21" t="s">
        <v>504</v>
      </c>
      <c r="T118" s="5">
        <v>79902.28</v>
      </c>
      <c r="U118" s="15">
        <v>34646</v>
      </c>
      <c r="V118" s="15">
        <v>34646</v>
      </c>
      <c r="W118" s="15">
        <f t="shared" si="29"/>
        <v>25341.853333333336</v>
      </c>
      <c r="X118" s="15">
        <f t="shared" si="33"/>
        <v>-9304.1466666666638</v>
      </c>
      <c r="Y118" s="15">
        <f t="shared" si="30"/>
        <v>0</v>
      </c>
      <c r="Z118" s="15">
        <f>SUM(Financials20263[[#This Row],[2026 Opportunity]:[2026 Risk]])</f>
        <v>-9304.1466666666638</v>
      </c>
      <c r="AA118" s="3"/>
      <c r="AB118" s="52">
        <v>2887.1666666666665</v>
      </c>
      <c r="AC118" s="52">
        <v>2887.1666666666665</v>
      </c>
      <c r="AD118" s="52">
        <v>2887.1666666666665</v>
      </c>
      <c r="AE118" s="52">
        <v>2887.1666666666665</v>
      </c>
      <c r="AF118" s="52">
        <v>2887.1666666666665</v>
      </c>
      <c r="AG118" s="52">
        <v>2887.1666666666665</v>
      </c>
      <c r="AH118" s="52">
        <v>2887.1666666666665</v>
      </c>
      <c r="AI118" s="52">
        <v>2887.1666666666665</v>
      </c>
      <c r="AJ118" s="52">
        <v>2887.1666666666665</v>
      </c>
      <c r="AK118" s="52">
        <v>2887.1666666666665</v>
      </c>
      <c r="AL118" s="52">
        <v>2887.1666666666665</v>
      </c>
      <c r="AM118" s="52">
        <v>2887.1666666666665</v>
      </c>
      <c r="AN118" s="46">
        <f>SUM(Financials20263[[#This Row],[Jan FC]:[Dec FC]])</f>
        <v>34646.000000000007</v>
      </c>
      <c r="AO118" s="15">
        <f t="shared" si="31"/>
        <v>20210.166666666668</v>
      </c>
      <c r="AP118" s="61">
        <f>112.17+163.93+258.09+260.79+176.54</f>
        <v>971.52</v>
      </c>
      <c r="AQ118" s="61">
        <v>142.37</v>
      </c>
      <c r="AR118" s="61">
        <v>349.61</v>
      </c>
      <c r="AS118" s="61">
        <f>608.43+172.59</f>
        <v>781.02</v>
      </c>
      <c r="AT118" s="61"/>
      <c r="AU118" s="61"/>
      <c r="AV118" s="61"/>
      <c r="AW118" s="61"/>
      <c r="AX118" s="61"/>
      <c r="AY118" s="61"/>
      <c r="AZ118" s="61"/>
      <c r="BA118" s="61"/>
      <c r="BB118" s="80">
        <f>SUM(Financials20263[[#This Row],[Jan AC]:[Dec AC]])</f>
        <v>2244.52</v>
      </c>
      <c r="BC118" s="71">
        <f>Financials20263[[#This Row],[Jan AC]]-Financials20263[[#This Row],[Jan FC]]</f>
        <v>-1915.6466666666665</v>
      </c>
      <c r="BD118" s="71">
        <f>Financials20263[[#This Row],[Feb AC]]-Financials20263[[#This Row],[Feb FC]]</f>
        <v>-2744.7966666666666</v>
      </c>
      <c r="BE118" s="71">
        <f>Financials20263[[#This Row],[Mar AC]]-Financials20263[[#This Row],[Mar FC]]</f>
        <v>-2537.5566666666664</v>
      </c>
      <c r="BF118" s="71">
        <f>Financials20263[[#This Row],[Apr AC]]-Financials20263[[#This Row],[Apr FC]]</f>
        <v>-2106.1466666666665</v>
      </c>
      <c r="BG118" s="71">
        <f>Financials20263[[#This Row],[May AC]]-Financials20263[[#This Row],[May FC]]</f>
        <v>-2887.1666666666665</v>
      </c>
      <c r="BH118" s="71">
        <f>Financials20263[[#This Row],[Jun AC]]-Financials20263[[#This Row],[Jun FC]]</f>
        <v>-2887.1666666666665</v>
      </c>
      <c r="BI118" s="71">
        <f>Financials20263[[#This Row],[Jul AC]]-Financials20263[[#This Row],[Jul FC]]</f>
        <v>-2887.1666666666665</v>
      </c>
      <c r="BJ118" s="71">
        <f>Financials20263[[#This Row],[Aug AC]]-Financials20263[[#This Row],[Aug FC]]</f>
        <v>-2887.1666666666665</v>
      </c>
      <c r="BK118" s="71">
        <f>Financials20263[[#This Row],[Sep AC]]-Financials20263[[#This Row],[Sep FC]]</f>
        <v>-2887.1666666666665</v>
      </c>
      <c r="BL118" s="71">
        <f>Financials20263[[#This Row],[Oct AC]]-Financials20263[[#This Row],[Oct FC]]</f>
        <v>-2887.1666666666665</v>
      </c>
      <c r="BM118" s="71">
        <f>Financials20263[[#This Row],[Nov AC]]-Financials20263[[#This Row],[Nov FC]]</f>
        <v>-2887.1666666666665</v>
      </c>
      <c r="BN118" s="71">
        <f>Financials20263[[#This Row],[Dec AC]]-Financials20263[[#This Row],[Dec FC]]</f>
        <v>-2887.1666666666665</v>
      </c>
      <c r="BO118" s="71">
        <f>SUM(Financials20263[[#This Row],[Jan Opp/Risk]:[Dec Opp./Risk]])</f>
        <v>-32401.480000000003</v>
      </c>
      <c r="BP118" s="87" t="s">
        <v>802</v>
      </c>
      <c r="BQ118" s="47">
        <f>SUM(Financials20263[[#This Row],[Jan AC]:[May AC]])</f>
        <v>2244.52</v>
      </c>
      <c r="BR118" s="6">
        <f>Financials20263[[#This Row],[2026 (Actuals + Forecast)]]-Financials20263[[#This Row],[Jan-May Actuals]]-Financials20263[[#This Row],[Jun-Dec FC]]</f>
        <v>2887.1666666666679</v>
      </c>
      <c r="BS118" s="6">
        <f>Financials20263[[#This Row],[Jun-Dec FC]]+Financials20263[[#This Row],[Jan-May Forecast ]]</f>
        <v>23097.333333333336</v>
      </c>
      <c r="BT118" s="6">
        <f>SUM(Financials20263[[#This Row],[Jan FC]:[May FC]])</f>
        <v>14435.833333333332</v>
      </c>
      <c r="BU118" s="6">
        <f>Financials20263[[#This Row],[Jan-May Actuals]]+Financials20263[[#This Row],[Forecast Jun-Dec]]</f>
        <v>25341.853333333336</v>
      </c>
      <c r="BV118" s="6"/>
      <c r="BW118" s="6"/>
      <c r="BX118" s="6"/>
    </row>
    <row r="119" spans="1:76">
      <c r="A119" s="22" t="s">
        <v>473</v>
      </c>
      <c r="B119" s="21" t="s">
        <v>86</v>
      </c>
      <c r="C119" s="21" t="s">
        <v>700</v>
      </c>
      <c r="D119" s="10" t="s">
        <v>475</v>
      </c>
      <c r="E119" s="7" t="s">
        <v>476</v>
      </c>
      <c r="F119" s="3" t="s">
        <v>91</v>
      </c>
      <c r="G119" s="3" t="s">
        <v>21</v>
      </c>
      <c r="H119" s="4">
        <v>46052</v>
      </c>
      <c r="I119" s="4">
        <v>46416</v>
      </c>
      <c r="J119" s="3" t="s">
        <v>803</v>
      </c>
      <c r="K119" s="3" t="str">
        <f t="shared" si="28"/>
        <v>Prj000350-Support - Infrastructure for Tech</v>
      </c>
      <c r="L119" s="21" t="s">
        <v>478</v>
      </c>
      <c r="M119" s="21" t="s">
        <v>11</v>
      </c>
      <c r="N119" s="21" t="s">
        <v>11</v>
      </c>
      <c r="O119" s="21"/>
      <c r="P119" s="21" t="s">
        <v>479</v>
      </c>
      <c r="Q119" s="21" t="s">
        <v>801</v>
      </c>
      <c r="R119" s="21" t="s">
        <v>801</v>
      </c>
      <c r="S119" s="21" t="s">
        <v>508</v>
      </c>
      <c r="T119" s="5">
        <v>0</v>
      </c>
      <c r="U119" s="15">
        <v>0</v>
      </c>
      <c r="V119" s="15">
        <v>0</v>
      </c>
      <c r="W119" s="15">
        <f t="shared" si="29"/>
        <v>20698.550000000003</v>
      </c>
      <c r="X119" s="15">
        <f t="shared" si="33"/>
        <v>0</v>
      </c>
      <c r="Y119" s="15">
        <f t="shared" si="30"/>
        <v>20698.550000000003</v>
      </c>
      <c r="Z119" s="15">
        <f>SUM(Financials20263[[#This Row],[2026 Opportunity]:[2026 Risk]])</f>
        <v>20698.550000000003</v>
      </c>
      <c r="AA119" s="3" t="s">
        <v>804</v>
      </c>
      <c r="AB119" s="52"/>
      <c r="AC119" s="52"/>
      <c r="AD119" s="52"/>
      <c r="AE119" s="52"/>
      <c r="AF119" s="52"/>
      <c r="AG119" s="52"/>
      <c r="AH119" s="52"/>
      <c r="AI119" s="52"/>
      <c r="AJ119" s="52"/>
      <c r="AK119" s="52"/>
      <c r="AL119" s="52"/>
      <c r="AM119" s="52"/>
      <c r="AN119" s="52">
        <f>SUM(Financials20263[[#This Row],[Jan FC]:[Dec FC]])</f>
        <v>0</v>
      </c>
      <c r="AO119" s="15">
        <f t="shared" si="31"/>
        <v>0</v>
      </c>
      <c r="AP119" s="61">
        <v>0</v>
      </c>
      <c r="AQ119" s="61">
        <v>0</v>
      </c>
      <c r="AR119" s="61">
        <f>5153.97+1278.65+336.91+5114.71</f>
        <v>11884.240000000002</v>
      </c>
      <c r="AS119" s="61">
        <v>8814.31</v>
      </c>
      <c r="AT119" s="61">
        <v>0</v>
      </c>
      <c r="AU119" s="61">
        <v>7764.78</v>
      </c>
      <c r="AV119" s="61">
        <v>0</v>
      </c>
      <c r="AW119" s="61">
        <v>0</v>
      </c>
      <c r="AX119" s="61">
        <v>0</v>
      </c>
      <c r="AY119" s="61">
        <v>0</v>
      </c>
      <c r="AZ119" s="61">
        <v>0</v>
      </c>
      <c r="BA119" s="61">
        <v>0</v>
      </c>
      <c r="BB119" s="80">
        <f>SUM(Financials20263[[#This Row],[Jan AC]:[Dec AC]])</f>
        <v>28463.33</v>
      </c>
      <c r="BC119" s="71">
        <f>Financials20263[[#This Row],[Jan AC]]-Financials20263[[#This Row],[Jan FC]]</f>
        <v>0</v>
      </c>
      <c r="BD119" s="71">
        <f>Financials20263[[#This Row],[Feb AC]]-Financials20263[[#This Row],[Feb FC]]</f>
        <v>0</v>
      </c>
      <c r="BE119" s="71">
        <f>Financials20263[[#This Row],[Mar AC]]-Financials20263[[#This Row],[Mar FC]]</f>
        <v>11884.240000000002</v>
      </c>
      <c r="BF119" s="71">
        <f>Financials20263[[#This Row],[Apr AC]]-Financials20263[[#This Row],[Apr FC]]</f>
        <v>8814.31</v>
      </c>
      <c r="BG119" s="71">
        <f>Financials20263[[#This Row],[May AC]]-Financials20263[[#This Row],[May FC]]</f>
        <v>0</v>
      </c>
      <c r="BH119" s="71">
        <f>Financials20263[[#This Row],[Jun AC]]-Financials20263[[#This Row],[Jun FC]]</f>
        <v>7764.78</v>
      </c>
      <c r="BI119" s="71">
        <f>Financials20263[[#This Row],[Jul AC]]-Financials20263[[#This Row],[Jul FC]]</f>
        <v>0</v>
      </c>
      <c r="BJ119" s="71">
        <f>Financials20263[[#This Row],[Aug AC]]-Financials20263[[#This Row],[Aug FC]]</f>
        <v>0</v>
      </c>
      <c r="BK119" s="71">
        <f>Financials20263[[#This Row],[Sep AC]]-Financials20263[[#This Row],[Sep FC]]</f>
        <v>0</v>
      </c>
      <c r="BL119" s="71">
        <f>Financials20263[[#This Row],[Oct AC]]-Financials20263[[#This Row],[Oct FC]]</f>
        <v>0</v>
      </c>
      <c r="BM119" s="71">
        <f>Financials20263[[#This Row],[Nov AC]]-Financials20263[[#This Row],[Nov FC]]</f>
        <v>0</v>
      </c>
      <c r="BN119" s="71">
        <f>Financials20263[[#This Row],[Dec AC]]-Financials20263[[#This Row],[Dec FC]]</f>
        <v>0</v>
      </c>
      <c r="BO119" s="71">
        <f>SUM(Financials20263[[#This Row],[Jan Opp/Risk]:[Dec Opp./Risk]])</f>
        <v>28463.33</v>
      </c>
      <c r="BP119" s="87" t="s">
        <v>805</v>
      </c>
      <c r="BQ119" s="47">
        <f>SUM(Financials20263[[#This Row],[Jan AC]:[May AC]])</f>
        <v>20698.550000000003</v>
      </c>
      <c r="BR119" s="6">
        <f>Financials20263[[#This Row],[2026 (Actuals + Forecast)]]-Financials20263[[#This Row],[Jan-May Actuals]]-Financials20263[[#This Row],[Jun-Dec FC]]</f>
        <v>0</v>
      </c>
      <c r="BS119" s="6">
        <f>Financials20263[[#This Row],[Jun-Dec FC]]+Financials20263[[#This Row],[Jan-May Forecast ]]</f>
        <v>0</v>
      </c>
      <c r="BT119" s="6">
        <f>SUM(Financials20263[[#This Row],[Jan FC]:[May FC]])</f>
        <v>0</v>
      </c>
      <c r="BU119" s="6">
        <f>Financials20263[[#This Row],[Jan-May Actuals]]+Financials20263[[#This Row],[Forecast Jun-Dec]]</f>
        <v>20698.550000000003</v>
      </c>
      <c r="BV119" s="6"/>
      <c r="BW119" s="6"/>
      <c r="BX119" s="6"/>
    </row>
    <row r="120" spans="1:76">
      <c r="A120" s="22" t="s">
        <v>473</v>
      </c>
      <c r="B120" s="21" t="s">
        <v>86</v>
      </c>
      <c r="C120" s="21" t="s">
        <v>700</v>
      </c>
      <c r="D120" s="10" t="s">
        <v>475</v>
      </c>
      <c r="E120" s="7" t="s">
        <v>476</v>
      </c>
      <c r="F120" s="3" t="s">
        <v>91</v>
      </c>
      <c r="G120" s="3" t="s">
        <v>21</v>
      </c>
      <c r="H120" s="1" t="s">
        <v>521</v>
      </c>
      <c r="I120" s="1" t="s">
        <v>521</v>
      </c>
      <c r="J120" s="3" t="s">
        <v>806</v>
      </c>
      <c r="K120" s="3" t="str">
        <f t="shared" si="28"/>
        <v>Prj000350-Support - Infrastructure for Tech</v>
      </c>
      <c r="L120" s="21" t="s">
        <v>478</v>
      </c>
      <c r="M120" s="21" t="s">
        <v>12</v>
      </c>
      <c r="N120" s="21" t="s">
        <v>12</v>
      </c>
      <c r="O120" s="21" t="s">
        <v>620</v>
      </c>
      <c r="P120" s="21" t="s">
        <v>479</v>
      </c>
      <c r="Q120" s="21" t="s">
        <v>621</v>
      </c>
      <c r="R120" s="21" t="s">
        <v>621</v>
      </c>
      <c r="S120" s="21" t="s">
        <v>504</v>
      </c>
      <c r="T120" s="5">
        <v>211</v>
      </c>
      <c r="U120" s="15">
        <v>0</v>
      </c>
      <c r="V120" s="15">
        <v>0</v>
      </c>
      <c r="W120" s="15">
        <f t="shared" si="29"/>
        <v>139.94</v>
      </c>
      <c r="X120" s="15">
        <f t="shared" si="33"/>
        <v>0</v>
      </c>
      <c r="Y120" s="15">
        <f t="shared" si="30"/>
        <v>139.94</v>
      </c>
      <c r="Z120" s="15">
        <f>SUM(Financials20263[[#This Row],[2026 Opportunity]:[2026 Risk]])</f>
        <v>139.94</v>
      </c>
      <c r="AA120" s="3" t="s">
        <v>807</v>
      </c>
      <c r="AB120" s="52"/>
      <c r="AC120" s="52"/>
      <c r="AD120" s="52"/>
      <c r="AE120" s="52"/>
      <c r="AF120" s="52"/>
      <c r="AG120" s="52"/>
      <c r="AH120" s="52"/>
      <c r="AI120" s="52"/>
      <c r="AJ120" s="52"/>
      <c r="AK120" s="52"/>
      <c r="AL120" s="52"/>
      <c r="AM120" s="52"/>
      <c r="AN120" s="52">
        <f>SUM(Financials20263[[#This Row],[Jan FC]:[Dec FC]])</f>
        <v>0</v>
      </c>
      <c r="AO120" s="15">
        <f t="shared" si="31"/>
        <v>0</v>
      </c>
      <c r="AP120" s="61">
        <v>26.13</v>
      </c>
      <c r="AQ120" s="61">
        <v>24.41</v>
      </c>
      <c r="AR120" s="61">
        <v>23.21</v>
      </c>
      <c r="AS120" s="61">
        <f>22.11+21.28</f>
        <v>43.39</v>
      </c>
      <c r="AT120" s="61">
        <v>22.8</v>
      </c>
      <c r="AU120" s="61"/>
      <c r="AV120" s="61"/>
      <c r="AW120" s="61"/>
      <c r="AX120" s="61"/>
      <c r="AY120" s="61"/>
      <c r="AZ120" s="61"/>
      <c r="BA120" s="61"/>
      <c r="BB120" s="80">
        <f>SUM(Financials20263[[#This Row],[Jan AC]:[Dec AC]])</f>
        <v>139.94</v>
      </c>
      <c r="BC120" s="71">
        <f>Financials20263[[#This Row],[Jan AC]]-Financials20263[[#This Row],[Jan FC]]</f>
        <v>26.13</v>
      </c>
      <c r="BD120" s="71">
        <f>Financials20263[[#This Row],[Feb AC]]-Financials20263[[#This Row],[Feb FC]]</f>
        <v>24.41</v>
      </c>
      <c r="BE120" s="71">
        <f>Financials20263[[#This Row],[Mar AC]]-Financials20263[[#This Row],[Mar FC]]</f>
        <v>23.21</v>
      </c>
      <c r="BF120" s="71">
        <f>Financials20263[[#This Row],[Apr AC]]-Financials20263[[#This Row],[Apr FC]]</f>
        <v>43.39</v>
      </c>
      <c r="BG120" s="71">
        <f>Financials20263[[#This Row],[May AC]]-Financials20263[[#This Row],[May FC]]</f>
        <v>22.8</v>
      </c>
      <c r="BH120" s="71">
        <f>Financials20263[[#This Row],[Jun AC]]-Financials20263[[#This Row],[Jun FC]]</f>
        <v>0</v>
      </c>
      <c r="BI120" s="71">
        <f>Financials20263[[#This Row],[Jul AC]]-Financials20263[[#This Row],[Jul FC]]</f>
        <v>0</v>
      </c>
      <c r="BJ120" s="71">
        <f>Financials20263[[#This Row],[Aug AC]]-Financials20263[[#This Row],[Aug FC]]</f>
        <v>0</v>
      </c>
      <c r="BK120" s="71">
        <f>Financials20263[[#This Row],[Sep AC]]-Financials20263[[#This Row],[Sep FC]]</f>
        <v>0</v>
      </c>
      <c r="BL120" s="71">
        <f>Financials20263[[#This Row],[Oct AC]]-Financials20263[[#This Row],[Oct FC]]</f>
        <v>0</v>
      </c>
      <c r="BM120" s="71">
        <f>Financials20263[[#This Row],[Nov AC]]-Financials20263[[#This Row],[Nov FC]]</f>
        <v>0</v>
      </c>
      <c r="BN120" s="71">
        <f>Financials20263[[#This Row],[Dec AC]]-Financials20263[[#This Row],[Dec FC]]</f>
        <v>0</v>
      </c>
      <c r="BO120" s="71">
        <f>SUM(Financials20263[[#This Row],[Jan Opp/Risk]:[Dec Opp./Risk]])</f>
        <v>139.94</v>
      </c>
      <c r="BP120" s="87" t="s">
        <v>808</v>
      </c>
      <c r="BQ120" s="47">
        <f>SUM(Financials20263[[#This Row],[Jan AC]:[May AC]])</f>
        <v>139.94</v>
      </c>
      <c r="BR120" s="6">
        <f>Financials20263[[#This Row],[2026 (Actuals + Forecast)]]-Financials20263[[#This Row],[Jan-May Actuals]]-Financials20263[[#This Row],[Jun-Dec FC]]</f>
        <v>0</v>
      </c>
      <c r="BS120" s="6">
        <f>Financials20263[[#This Row],[Jun-Dec FC]]+Financials20263[[#This Row],[Jan-May Forecast ]]</f>
        <v>0</v>
      </c>
      <c r="BT120" s="6">
        <f>SUM(Financials20263[[#This Row],[Jan FC]:[May FC]])</f>
        <v>0</v>
      </c>
      <c r="BU120" s="6">
        <f>Financials20263[[#This Row],[Jan-May Actuals]]+Financials20263[[#This Row],[Forecast Jun-Dec]]</f>
        <v>139.94</v>
      </c>
      <c r="BV120" s="6"/>
      <c r="BW120" s="6"/>
      <c r="BX120" s="6"/>
    </row>
    <row r="121" spans="1:76">
      <c r="A121" s="22" t="s">
        <v>540</v>
      </c>
      <c r="B121" s="21" t="s">
        <v>86</v>
      </c>
      <c r="C121" s="21" t="s">
        <v>700</v>
      </c>
      <c r="D121" s="10" t="s">
        <v>574</v>
      </c>
      <c r="E121" s="7" t="s">
        <v>575</v>
      </c>
      <c r="F121" s="3" t="s">
        <v>561</v>
      </c>
      <c r="G121" s="3" t="s">
        <v>20</v>
      </c>
      <c r="H121" s="4" t="s">
        <v>489</v>
      </c>
      <c r="I121" s="4" t="s">
        <v>489</v>
      </c>
      <c r="J121" s="3"/>
      <c r="K121" s="3" t="str">
        <f t="shared" si="28"/>
        <v>Prj000467-Support - Enterprise Tech Helpdesk</v>
      </c>
      <c r="L121" s="21" t="s">
        <v>478</v>
      </c>
      <c r="M121" s="21" t="s">
        <v>11</v>
      </c>
      <c r="N121" s="21" t="s">
        <v>11</v>
      </c>
      <c r="O121" s="21"/>
      <c r="P121" s="21" t="s">
        <v>479</v>
      </c>
      <c r="Q121" s="21" t="s">
        <v>801</v>
      </c>
      <c r="R121" s="21" t="s">
        <v>801</v>
      </c>
      <c r="S121" s="21" t="s">
        <v>537</v>
      </c>
      <c r="T121" s="5">
        <v>77705</v>
      </c>
      <c r="U121" s="15">
        <v>81590</v>
      </c>
      <c r="V121" s="15">
        <v>81590</v>
      </c>
      <c r="W121" s="15">
        <f t="shared" si="29"/>
        <v>81590</v>
      </c>
      <c r="X121" s="15">
        <f t="shared" si="33"/>
        <v>0</v>
      </c>
      <c r="Y121" s="15">
        <f t="shared" si="30"/>
        <v>0</v>
      </c>
      <c r="Z121" s="15">
        <f>SUM(Financials20263[[#This Row],[2026 Opportunity]:[2026 Risk]])</f>
        <v>0</v>
      </c>
      <c r="AA121" s="14"/>
      <c r="AB121" s="52"/>
      <c r="AC121" s="52"/>
      <c r="AD121" s="52">
        <v>20397.5</v>
      </c>
      <c r="AE121" s="52"/>
      <c r="AF121" s="52"/>
      <c r="AG121" s="52">
        <v>20397.5</v>
      </c>
      <c r="AH121" s="52"/>
      <c r="AI121" s="52"/>
      <c r="AJ121" s="52">
        <v>20397.5</v>
      </c>
      <c r="AK121" s="52"/>
      <c r="AL121" s="52"/>
      <c r="AM121" s="52">
        <v>20397.5</v>
      </c>
      <c r="AN121" s="52">
        <f>SUM(Financials20263[[#This Row],[Jan FC]:[Dec FC]])</f>
        <v>81590</v>
      </c>
      <c r="AO121" s="15">
        <f t="shared" si="31"/>
        <v>61192.5</v>
      </c>
      <c r="AP121" s="61"/>
      <c r="AQ121" s="61"/>
      <c r="AR121" s="61"/>
      <c r="AS121" s="61"/>
      <c r="AT121" s="61"/>
      <c r="AU121" s="61"/>
      <c r="AV121" s="61"/>
      <c r="AW121" s="61"/>
      <c r="AX121" s="61"/>
      <c r="AY121" s="61"/>
      <c r="AZ121" s="61"/>
      <c r="BA121" s="61"/>
      <c r="BB121" s="80">
        <f>SUM(Financials20263[[#This Row],[Jan AC]:[Dec AC]])</f>
        <v>0</v>
      </c>
      <c r="BC121" s="71">
        <f>Financials20263[[#This Row],[Jan AC]]-Financials20263[[#This Row],[Jan FC]]</f>
        <v>0</v>
      </c>
      <c r="BD121" s="71">
        <f>Financials20263[[#This Row],[Feb AC]]-Financials20263[[#This Row],[Feb FC]]</f>
        <v>0</v>
      </c>
      <c r="BE121" s="71">
        <f>Financials20263[[#This Row],[Mar AC]]-Financials20263[[#This Row],[Mar FC]]</f>
        <v>-20397.5</v>
      </c>
      <c r="BF121" s="71">
        <f>Financials20263[[#This Row],[Apr AC]]-Financials20263[[#This Row],[Apr FC]]</f>
        <v>0</v>
      </c>
      <c r="BG121" s="71">
        <f>Financials20263[[#This Row],[May AC]]-Financials20263[[#This Row],[May FC]]</f>
        <v>0</v>
      </c>
      <c r="BH121" s="71">
        <f>Financials20263[[#This Row],[Jun AC]]-Financials20263[[#This Row],[Jun FC]]</f>
        <v>-20397.5</v>
      </c>
      <c r="BI121" s="71">
        <f>Financials20263[[#This Row],[Jul AC]]-Financials20263[[#This Row],[Jul FC]]</f>
        <v>0</v>
      </c>
      <c r="BJ121" s="71">
        <f>Financials20263[[#This Row],[Aug AC]]-Financials20263[[#This Row],[Aug FC]]</f>
        <v>0</v>
      </c>
      <c r="BK121" s="71">
        <f>Financials20263[[#This Row],[Sep AC]]-Financials20263[[#This Row],[Sep FC]]</f>
        <v>-20397.5</v>
      </c>
      <c r="BL121" s="71">
        <f>Financials20263[[#This Row],[Oct AC]]-Financials20263[[#This Row],[Oct FC]]</f>
        <v>0</v>
      </c>
      <c r="BM121" s="71">
        <f>Financials20263[[#This Row],[Nov AC]]-Financials20263[[#This Row],[Nov FC]]</f>
        <v>0</v>
      </c>
      <c r="BN121" s="71">
        <f>Financials20263[[#This Row],[Dec AC]]-Financials20263[[#This Row],[Dec FC]]</f>
        <v>-20397.5</v>
      </c>
      <c r="BO121" s="71">
        <f>SUM(Financials20263[[#This Row],[Jan Opp/Risk]:[Dec Opp./Risk]])</f>
        <v>-81590</v>
      </c>
      <c r="BP121" s="87"/>
      <c r="BQ121" s="47">
        <f>SUM(Financials20263[[#This Row],[Jan AC]:[May AC]])</f>
        <v>0</v>
      </c>
      <c r="BR121" s="6">
        <f>Financials20263[[#This Row],[2026 (Actuals + Forecast)]]-Financials20263[[#This Row],[Jan-May Actuals]]-Financials20263[[#This Row],[Jun-Dec FC]]</f>
        <v>20397.5</v>
      </c>
      <c r="BS121" s="6">
        <f>Financials20263[[#This Row],[Jun-Dec FC]]+Financials20263[[#This Row],[Jan-May Forecast ]]</f>
        <v>81590</v>
      </c>
      <c r="BT121" s="6">
        <f>SUM(Financials20263[[#This Row],[Jan FC]:[May FC]])</f>
        <v>20397.5</v>
      </c>
      <c r="BU121" s="6">
        <f>Financials20263[[#This Row],[Jan-May Actuals]]+Financials20263[[#This Row],[Forecast Jun-Dec]]</f>
        <v>81590</v>
      </c>
      <c r="BV121" s="6"/>
      <c r="BW121" s="6"/>
      <c r="BX121" s="6"/>
    </row>
    <row r="122" spans="1:76">
      <c r="A122" s="22" t="s">
        <v>473</v>
      </c>
      <c r="B122" s="21" t="s">
        <v>365</v>
      </c>
      <c r="C122" s="21"/>
      <c r="D122" s="10" t="s">
        <v>809</v>
      </c>
      <c r="E122" s="7" t="s">
        <v>810</v>
      </c>
      <c r="F122" s="3" t="s">
        <v>520</v>
      </c>
      <c r="G122" s="3" t="s">
        <v>24</v>
      </c>
      <c r="H122" s="4">
        <v>45931</v>
      </c>
      <c r="I122" s="4">
        <v>46295</v>
      </c>
      <c r="J122" s="3"/>
      <c r="K122" s="3" t="str">
        <f t="shared" si="28"/>
        <v>Prj000228-Implement - Portfolio Optimization Tool for LC</v>
      </c>
      <c r="L122" s="21" t="s">
        <v>478</v>
      </c>
      <c r="M122" s="21" t="s">
        <v>16</v>
      </c>
      <c r="N122" s="21" t="s">
        <v>16</v>
      </c>
      <c r="O122" s="21"/>
      <c r="P122" s="21" t="s">
        <v>479</v>
      </c>
      <c r="Q122" s="21" t="s">
        <v>589</v>
      </c>
      <c r="R122" s="21" t="s">
        <v>589</v>
      </c>
      <c r="S122" s="21" t="s">
        <v>481</v>
      </c>
      <c r="T122" s="5">
        <v>37500</v>
      </c>
      <c r="U122" s="5">
        <v>160000</v>
      </c>
      <c r="V122" s="5">
        <v>160000</v>
      </c>
      <c r="W122" s="15">
        <f t="shared" si="29"/>
        <v>160000</v>
      </c>
      <c r="X122" s="15">
        <f t="shared" si="33"/>
        <v>0</v>
      </c>
      <c r="Y122" s="15">
        <f t="shared" si="30"/>
        <v>0</v>
      </c>
      <c r="Z122" s="15">
        <f>SUM(Financials20263[[#This Row],[2026 Opportunity]:[2026 Risk]])</f>
        <v>0</v>
      </c>
      <c r="AA122" s="3" t="s">
        <v>811</v>
      </c>
      <c r="AB122" s="52">
        <f t="shared" ref="AB122:AJ122" si="45">150000/12</f>
        <v>12500</v>
      </c>
      <c r="AC122" s="52">
        <f t="shared" si="45"/>
        <v>12500</v>
      </c>
      <c r="AD122" s="52">
        <f t="shared" si="45"/>
        <v>12500</v>
      </c>
      <c r="AE122" s="52">
        <f t="shared" si="45"/>
        <v>12500</v>
      </c>
      <c r="AF122" s="52">
        <f t="shared" si="45"/>
        <v>12500</v>
      </c>
      <c r="AG122" s="52">
        <f t="shared" si="45"/>
        <v>12500</v>
      </c>
      <c r="AH122" s="52">
        <f t="shared" si="45"/>
        <v>12500</v>
      </c>
      <c r="AI122" s="52">
        <f t="shared" si="45"/>
        <v>12500</v>
      </c>
      <c r="AJ122" s="52">
        <f t="shared" si="45"/>
        <v>12500</v>
      </c>
      <c r="AK122" s="52">
        <v>15833</v>
      </c>
      <c r="AL122" s="52">
        <v>15833</v>
      </c>
      <c r="AM122" s="52">
        <v>15834</v>
      </c>
      <c r="AN122" s="52">
        <f>SUM(Financials20263[[#This Row],[Jan FC]:[Dec FC]])</f>
        <v>160000</v>
      </c>
      <c r="AO122" s="15">
        <f t="shared" si="31"/>
        <v>97500</v>
      </c>
      <c r="AP122" s="61">
        <f t="shared" ref="AP122:AX122" si="46">150000/12</f>
        <v>12500</v>
      </c>
      <c r="AQ122" s="61">
        <f t="shared" si="46"/>
        <v>12500</v>
      </c>
      <c r="AR122" s="61">
        <f t="shared" si="46"/>
        <v>12500</v>
      </c>
      <c r="AS122" s="61">
        <f t="shared" si="46"/>
        <v>12500</v>
      </c>
      <c r="AT122" s="61">
        <f t="shared" si="46"/>
        <v>12500</v>
      </c>
      <c r="AU122" s="61">
        <f t="shared" si="46"/>
        <v>12500</v>
      </c>
      <c r="AV122" s="61">
        <f t="shared" si="46"/>
        <v>12500</v>
      </c>
      <c r="AW122" s="61">
        <f t="shared" si="46"/>
        <v>12500</v>
      </c>
      <c r="AX122" s="61">
        <f t="shared" si="46"/>
        <v>12500</v>
      </c>
      <c r="AY122" s="61"/>
      <c r="AZ122" s="61"/>
      <c r="BA122" s="61"/>
      <c r="BB122" s="80">
        <f>SUM(Financials20263[[#This Row],[Jan AC]:[Dec AC]])</f>
        <v>112500</v>
      </c>
      <c r="BC122" s="71">
        <f>Financials20263[[#This Row],[Jan AC]]-Financials20263[[#This Row],[Jan FC]]</f>
        <v>0</v>
      </c>
      <c r="BD122" s="71">
        <f>Financials20263[[#This Row],[Feb AC]]-Financials20263[[#This Row],[Feb FC]]</f>
        <v>0</v>
      </c>
      <c r="BE122" s="71">
        <f>Financials20263[[#This Row],[Mar AC]]-Financials20263[[#This Row],[Mar FC]]</f>
        <v>0</v>
      </c>
      <c r="BF122" s="71">
        <f>Financials20263[[#This Row],[Apr AC]]-Financials20263[[#This Row],[Apr FC]]</f>
        <v>0</v>
      </c>
      <c r="BG122" s="71">
        <f>Financials20263[[#This Row],[May AC]]-Financials20263[[#This Row],[May FC]]</f>
        <v>0</v>
      </c>
      <c r="BH122" s="71">
        <f>Financials20263[[#This Row],[Jun AC]]-Financials20263[[#This Row],[Jun FC]]</f>
        <v>0</v>
      </c>
      <c r="BI122" s="71">
        <f>Financials20263[[#This Row],[Jul AC]]-Financials20263[[#This Row],[Jul FC]]</f>
        <v>0</v>
      </c>
      <c r="BJ122" s="71">
        <f>Financials20263[[#This Row],[Aug AC]]-Financials20263[[#This Row],[Aug FC]]</f>
        <v>0</v>
      </c>
      <c r="BK122" s="71">
        <f>Financials20263[[#This Row],[Sep AC]]-Financials20263[[#This Row],[Sep FC]]</f>
        <v>0</v>
      </c>
      <c r="BL122" s="71">
        <f>Financials20263[[#This Row],[Oct AC]]-Financials20263[[#This Row],[Oct FC]]</f>
        <v>-15833</v>
      </c>
      <c r="BM122" s="71">
        <f>Financials20263[[#This Row],[Nov AC]]-Financials20263[[#This Row],[Nov FC]]</f>
        <v>-15833</v>
      </c>
      <c r="BN122" s="71">
        <f>Financials20263[[#This Row],[Dec AC]]-Financials20263[[#This Row],[Dec FC]]</f>
        <v>-15834</v>
      </c>
      <c r="BO122" s="71">
        <f>SUM(Financials20263[[#This Row],[Jan Opp/Risk]:[Dec Opp./Risk]])</f>
        <v>-47500</v>
      </c>
      <c r="BP122" s="87"/>
      <c r="BQ122" s="47">
        <f>SUM(Financials20263[[#This Row],[Jan AC]:[May AC]])</f>
        <v>62500</v>
      </c>
      <c r="BR122" s="6">
        <f>Financials20263[[#This Row],[2026 (Actuals + Forecast)]]-Financials20263[[#This Row],[Jan-May Actuals]]-Financials20263[[#This Row],[Jun-Dec FC]]</f>
        <v>0</v>
      </c>
      <c r="BS122" s="6">
        <f>Financials20263[[#This Row],[Jun-Dec FC]]+Financials20263[[#This Row],[Jan-May Forecast ]]</f>
        <v>97500</v>
      </c>
      <c r="BT122" s="6">
        <f>SUM(Financials20263[[#This Row],[Jan FC]:[May FC]])</f>
        <v>62500</v>
      </c>
      <c r="BU122" s="6">
        <f>Financials20263[[#This Row],[Jan-May Actuals]]+Financials20263[[#This Row],[Forecast Jun-Dec]]</f>
        <v>160000</v>
      </c>
      <c r="BV122" s="6"/>
      <c r="BW122" s="6"/>
      <c r="BX122" s="6"/>
    </row>
    <row r="123" spans="1:76">
      <c r="A123" s="22" t="s">
        <v>473</v>
      </c>
      <c r="B123" s="21" t="s">
        <v>44</v>
      </c>
      <c r="C123" s="21"/>
      <c r="D123" s="10" t="s">
        <v>812</v>
      </c>
      <c r="E123" s="7" t="s">
        <v>813</v>
      </c>
      <c r="F123" s="3" t="s">
        <v>561</v>
      </c>
      <c r="G123" s="3" t="s">
        <v>23</v>
      </c>
      <c r="H123" s="4"/>
      <c r="I123" s="4"/>
      <c r="J123" s="3"/>
      <c r="K123" s="3" t="str">
        <f t="shared" si="28"/>
        <v>Prj000556-Implement - QA CoE to Additional Platforms</v>
      </c>
      <c r="L123" s="21" t="s">
        <v>499</v>
      </c>
      <c r="M123" s="21" t="s">
        <v>10</v>
      </c>
      <c r="N123" s="21" t="s">
        <v>763</v>
      </c>
      <c r="O123" s="21"/>
      <c r="P123" s="21" t="s">
        <v>501</v>
      </c>
      <c r="Q123" s="21" t="s">
        <v>502</v>
      </c>
      <c r="R123" s="21" t="s">
        <v>503</v>
      </c>
      <c r="S123" s="3" t="s">
        <v>814</v>
      </c>
      <c r="T123" s="15">
        <v>0</v>
      </c>
      <c r="U123" s="15">
        <v>250000</v>
      </c>
      <c r="V123" s="15">
        <v>250000</v>
      </c>
      <c r="W123" s="15">
        <f t="shared" si="29"/>
        <v>150000</v>
      </c>
      <c r="X123" s="15">
        <f t="shared" si="33"/>
        <v>-100000</v>
      </c>
      <c r="Y123" s="15">
        <f t="shared" si="30"/>
        <v>0</v>
      </c>
      <c r="Z123" s="15">
        <f>SUM(Financials20263[[#This Row],[2026 Opportunity]:[2026 Risk]])</f>
        <v>-100000</v>
      </c>
      <c r="AA123" s="3" t="s">
        <v>814</v>
      </c>
      <c r="AB123" s="53"/>
      <c r="AC123" s="53"/>
      <c r="AD123" s="53"/>
      <c r="AE123" s="53"/>
      <c r="AF123" s="53"/>
      <c r="AG123" s="53"/>
      <c r="AH123" s="53"/>
      <c r="AI123" s="53"/>
      <c r="AJ123" s="53"/>
      <c r="AK123" s="53"/>
      <c r="AL123" s="53"/>
      <c r="AM123" s="151">
        <v>150000</v>
      </c>
      <c r="AN123" s="76">
        <f>SUM(Financials20263[[#This Row],[Jan FC]:[Dec FC]])</f>
        <v>150000</v>
      </c>
      <c r="AO123" s="15">
        <f t="shared" si="31"/>
        <v>150000</v>
      </c>
      <c r="AP123" s="62"/>
      <c r="AQ123" s="62"/>
      <c r="AR123" s="62"/>
      <c r="AS123" s="62"/>
      <c r="AT123" s="62"/>
      <c r="AU123" s="62"/>
      <c r="AV123" s="62"/>
      <c r="AW123" s="62"/>
      <c r="AX123" s="62"/>
      <c r="AY123" s="62"/>
      <c r="AZ123" s="62"/>
      <c r="BA123" s="62"/>
      <c r="BB123" s="81">
        <f>SUM(Financials20263[[#This Row],[Jan AC]:[Dec AC]])</f>
        <v>0</v>
      </c>
      <c r="BC123" s="71">
        <f>Financials20263[[#This Row],[Jan AC]]-Financials20263[[#This Row],[Jan FC]]</f>
        <v>0</v>
      </c>
      <c r="BD123" s="71">
        <f>Financials20263[[#This Row],[Feb AC]]-Financials20263[[#This Row],[Feb FC]]</f>
        <v>0</v>
      </c>
      <c r="BE123" s="71">
        <f>Financials20263[[#This Row],[Mar AC]]-Financials20263[[#This Row],[Mar FC]]</f>
        <v>0</v>
      </c>
      <c r="BF123" s="71">
        <f>Financials20263[[#This Row],[Apr AC]]-Financials20263[[#This Row],[Apr FC]]</f>
        <v>0</v>
      </c>
      <c r="BG123" s="71">
        <f>Financials20263[[#This Row],[May AC]]-Financials20263[[#This Row],[May FC]]</f>
        <v>0</v>
      </c>
      <c r="BH123" s="71">
        <f>Financials20263[[#This Row],[Jun AC]]-Financials20263[[#This Row],[Jun FC]]</f>
        <v>0</v>
      </c>
      <c r="BI123" s="71">
        <f>Financials20263[[#This Row],[Jul AC]]-Financials20263[[#This Row],[Jul FC]]</f>
        <v>0</v>
      </c>
      <c r="BJ123" s="71">
        <f>Financials20263[[#This Row],[Aug AC]]-Financials20263[[#This Row],[Aug FC]]</f>
        <v>0</v>
      </c>
      <c r="BK123" s="71">
        <f>Financials20263[[#This Row],[Sep AC]]-Financials20263[[#This Row],[Sep FC]]</f>
        <v>0</v>
      </c>
      <c r="BL123" s="71">
        <f>Financials20263[[#This Row],[Oct AC]]-Financials20263[[#This Row],[Oct FC]]</f>
        <v>0</v>
      </c>
      <c r="BM123" s="71">
        <f>Financials20263[[#This Row],[Nov AC]]-Financials20263[[#This Row],[Nov FC]]</f>
        <v>0</v>
      </c>
      <c r="BN123" s="71">
        <f>Financials20263[[#This Row],[Dec AC]]-Financials20263[[#This Row],[Dec FC]]</f>
        <v>-150000</v>
      </c>
      <c r="BO123" s="71">
        <f>SUM(Financials20263[[#This Row],[Jan Opp/Risk]:[Dec Opp./Risk]])</f>
        <v>-150000</v>
      </c>
      <c r="BP123" s="87" t="s">
        <v>815</v>
      </c>
      <c r="BQ123" s="47">
        <f>SUM(Financials20263[[#This Row],[Jan AC]:[May AC]])</f>
        <v>0</v>
      </c>
      <c r="BR123" s="6">
        <f>Financials20263[[#This Row],[2026 (Actuals + Forecast)]]-Financials20263[[#This Row],[Jan-May Actuals]]-Financials20263[[#This Row],[Jun-Dec FC]]</f>
        <v>0</v>
      </c>
      <c r="BS123" s="6">
        <f>Financials20263[[#This Row],[Jun-Dec FC]]+Financials20263[[#This Row],[Jan-May Forecast ]]</f>
        <v>150000</v>
      </c>
      <c r="BT123" s="6">
        <f>SUM(Financials20263[[#This Row],[Jan FC]:[May FC]])</f>
        <v>0</v>
      </c>
      <c r="BU123" s="6">
        <f>Financials20263[[#This Row],[Jan-May Actuals]]+Financials20263[[#This Row],[Forecast Jun-Dec]]</f>
        <v>150000</v>
      </c>
      <c r="BV123" s="6"/>
      <c r="BW123" s="6"/>
      <c r="BX123" s="6"/>
    </row>
    <row r="124" spans="1:76">
      <c r="A124" s="22" t="s">
        <v>473</v>
      </c>
      <c r="B124" s="21" t="s">
        <v>44</v>
      </c>
      <c r="C124" s="21"/>
      <c r="D124" s="10" t="s">
        <v>816</v>
      </c>
      <c r="E124" s="7" t="s">
        <v>817</v>
      </c>
      <c r="F124" s="3" t="s">
        <v>561</v>
      </c>
      <c r="G124" s="3" t="s">
        <v>20</v>
      </c>
      <c r="H124" s="4"/>
      <c r="I124" s="4"/>
      <c r="J124" s="3"/>
      <c r="K124" s="3" t="str">
        <f t="shared" si="28"/>
        <v>Prj000353-Implement - L1/L2 CoE for Additional Platforms</v>
      </c>
      <c r="L124" s="21" t="s">
        <v>499</v>
      </c>
      <c r="M124" s="21" t="s">
        <v>14</v>
      </c>
      <c r="N124" s="21" t="s">
        <v>500</v>
      </c>
      <c r="O124" s="21"/>
      <c r="P124" s="21" t="s">
        <v>501</v>
      </c>
      <c r="Q124" s="21" t="s">
        <v>502</v>
      </c>
      <c r="R124" s="21" t="s">
        <v>503</v>
      </c>
      <c r="S124" s="3" t="s">
        <v>814</v>
      </c>
      <c r="T124" s="5">
        <v>0</v>
      </c>
      <c r="U124" s="5">
        <v>165000</v>
      </c>
      <c r="V124" s="5">
        <v>165000</v>
      </c>
      <c r="W124" s="15">
        <f t="shared" si="29"/>
        <v>165000</v>
      </c>
      <c r="X124" s="15">
        <f t="shared" si="33"/>
        <v>0</v>
      </c>
      <c r="Y124" s="15">
        <f t="shared" si="30"/>
        <v>0</v>
      </c>
      <c r="Z124" s="15">
        <f>SUM(Financials20263[[#This Row],[2026 Opportunity]:[2026 Risk]])</f>
        <v>0</v>
      </c>
      <c r="AA124" s="3" t="s">
        <v>814</v>
      </c>
      <c r="AB124" s="52"/>
      <c r="AC124" s="52"/>
      <c r="AD124" s="52"/>
      <c r="AE124" s="52"/>
      <c r="AF124" s="52"/>
      <c r="AG124" s="52"/>
      <c r="AH124" s="52"/>
      <c r="AI124" s="52"/>
      <c r="AJ124" s="52"/>
      <c r="AK124" s="52"/>
      <c r="AL124" s="52"/>
      <c r="AM124" s="46">
        <v>165000</v>
      </c>
      <c r="AN124" s="52">
        <f>SUM(Financials20263[[#This Row],[Jan FC]:[Dec FC]])</f>
        <v>165000</v>
      </c>
      <c r="AO124" s="15">
        <f t="shared" si="31"/>
        <v>165000</v>
      </c>
      <c r="AP124" s="61"/>
      <c r="AQ124" s="61"/>
      <c r="AR124" s="61"/>
      <c r="AS124" s="61"/>
      <c r="AT124" s="61"/>
      <c r="AU124" s="61"/>
      <c r="AV124" s="61"/>
      <c r="AW124" s="61"/>
      <c r="AX124" s="61"/>
      <c r="AY124" s="61"/>
      <c r="AZ124" s="61"/>
      <c r="BA124" s="61"/>
      <c r="BB124" s="80">
        <f>SUM(Financials20263[[#This Row],[Jan AC]:[Dec AC]])</f>
        <v>0</v>
      </c>
      <c r="BC124" s="71">
        <f>Financials20263[[#This Row],[Jan AC]]-Financials20263[[#This Row],[Jan FC]]</f>
        <v>0</v>
      </c>
      <c r="BD124" s="71">
        <f>Financials20263[[#This Row],[Feb AC]]-Financials20263[[#This Row],[Feb FC]]</f>
        <v>0</v>
      </c>
      <c r="BE124" s="71">
        <f>Financials20263[[#This Row],[Mar AC]]-Financials20263[[#This Row],[Mar FC]]</f>
        <v>0</v>
      </c>
      <c r="BF124" s="71">
        <f>Financials20263[[#This Row],[Apr AC]]-Financials20263[[#This Row],[Apr FC]]</f>
        <v>0</v>
      </c>
      <c r="BG124" s="71">
        <f>Financials20263[[#This Row],[May AC]]-Financials20263[[#This Row],[May FC]]</f>
        <v>0</v>
      </c>
      <c r="BH124" s="71">
        <f>Financials20263[[#This Row],[Jun AC]]-Financials20263[[#This Row],[Jun FC]]</f>
        <v>0</v>
      </c>
      <c r="BI124" s="71">
        <f>Financials20263[[#This Row],[Jul AC]]-Financials20263[[#This Row],[Jul FC]]</f>
        <v>0</v>
      </c>
      <c r="BJ124" s="71">
        <f>Financials20263[[#This Row],[Aug AC]]-Financials20263[[#This Row],[Aug FC]]</f>
        <v>0</v>
      </c>
      <c r="BK124" s="71">
        <f>Financials20263[[#This Row],[Sep AC]]-Financials20263[[#This Row],[Sep FC]]</f>
        <v>0</v>
      </c>
      <c r="BL124" s="71">
        <f>Financials20263[[#This Row],[Oct AC]]-Financials20263[[#This Row],[Oct FC]]</f>
        <v>0</v>
      </c>
      <c r="BM124" s="71">
        <f>Financials20263[[#This Row],[Nov AC]]-Financials20263[[#This Row],[Nov FC]]</f>
        <v>0</v>
      </c>
      <c r="BN124" s="71">
        <f>Financials20263[[#This Row],[Dec AC]]-Financials20263[[#This Row],[Dec FC]]</f>
        <v>-165000</v>
      </c>
      <c r="BO124" s="71">
        <f>SUM(Financials20263[[#This Row],[Jan Opp/Risk]:[Dec Opp./Risk]])</f>
        <v>-165000</v>
      </c>
      <c r="BP124" s="87" t="s">
        <v>815</v>
      </c>
      <c r="BQ124" s="47">
        <f>SUM(Financials20263[[#This Row],[Jan AC]:[May AC]])</f>
        <v>0</v>
      </c>
      <c r="BR124" s="6">
        <f>Financials20263[[#This Row],[2026 (Actuals + Forecast)]]-Financials20263[[#This Row],[Jan-May Actuals]]-Financials20263[[#This Row],[Jun-Dec FC]]</f>
        <v>0</v>
      </c>
      <c r="BS124" s="6">
        <f>Financials20263[[#This Row],[Jun-Dec FC]]+Financials20263[[#This Row],[Jan-May Forecast ]]</f>
        <v>165000</v>
      </c>
      <c r="BT124" s="6">
        <f>SUM(Financials20263[[#This Row],[Jan FC]:[May FC]])</f>
        <v>0</v>
      </c>
      <c r="BU124" s="6">
        <f>Financials20263[[#This Row],[Jan-May Actuals]]+Financials20263[[#This Row],[Forecast Jun-Dec]]</f>
        <v>165000</v>
      </c>
      <c r="BV124" s="6"/>
      <c r="BW124" s="6"/>
      <c r="BX124" s="6"/>
    </row>
    <row r="125" spans="1:76">
      <c r="A125" s="22" t="s">
        <v>473</v>
      </c>
      <c r="B125" s="21" t="s">
        <v>60</v>
      </c>
      <c r="C125" s="21" t="s">
        <v>593</v>
      </c>
      <c r="D125" s="10" t="s">
        <v>818</v>
      </c>
      <c r="E125" s="7" t="s">
        <v>819</v>
      </c>
      <c r="F125" s="3" t="s">
        <v>596</v>
      </c>
      <c r="G125" s="3" t="s">
        <v>22</v>
      </c>
      <c r="H125" s="4"/>
      <c r="I125" s="4"/>
      <c r="J125" s="3"/>
      <c r="K125" s="3" t="str">
        <f t="shared" si="28"/>
        <v>Prj000489-Implement - Strategic Modules for LIQ</v>
      </c>
      <c r="L125" s="21" t="s">
        <v>499</v>
      </c>
      <c r="M125" s="21" t="s">
        <v>10</v>
      </c>
      <c r="N125" s="21" t="s">
        <v>763</v>
      </c>
      <c r="O125" s="21"/>
      <c r="P125" s="21" t="s">
        <v>479</v>
      </c>
      <c r="Q125" s="21" t="s">
        <v>509</v>
      </c>
      <c r="R125" s="21" t="s">
        <v>503</v>
      </c>
      <c r="S125" s="3" t="s">
        <v>814</v>
      </c>
      <c r="T125" s="5">
        <v>0</v>
      </c>
      <c r="U125" s="5">
        <v>50000</v>
      </c>
      <c r="V125" s="5">
        <v>50000</v>
      </c>
      <c r="W125" s="15">
        <f t="shared" si="29"/>
        <v>0</v>
      </c>
      <c r="X125" s="15">
        <f t="shared" si="33"/>
        <v>-50000</v>
      </c>
      <c r="Y125" s="15">
        <f t="shared" si="30"/>
        <v>0</v>
      </c>
      <c r="Z125" s="15">
        <f>SUM(Financials20263[[#This Row],[2026 Opportunity]:[2026 Risk]])</f>
        <v>-50000</v>
      </c>
      <c r="AA125" s="3" t="s">
        <v>820</v>
      </c>
      <c r="AB125" s="52"/>
      <c r="AC125" s="52"/>
      <c r="AD125" s="52"/>
      <c r="AE125" s="52"/>
      <c r="AF125" s="52"/>
      <c r="AG125" s="52"/>
      <c r="AH125" s="52"/>
      <c r="AI125" s="52"/>
      <c r="AJ125" s="52"/>
      <c r="AK125" s="52"/>
      <c r="AL125" s="52"/>
      <c r="AM125" s="52"/>
      <c r="AN125" s="52">
        <f>SUM(Financials20263[[#This Row],[Jan FC]:[Dec FC]])</f>
        <v>0</v>
      </c>
      <c r="AO125" s="15">
        <f t="shared" si="31"/>
        <v>0</v>
      </c>
      <c r="AP125" s="61"/>
      <c r="AQ125" s="61"/>
      <c r="AR125" s="61"/>
      <c r="AS125" s="61"/>
      <c r="AT125" s="61"/>
      <c r="AU125" s="61"/>
      <c r="AV125" s="61"/>
      <c r="AW125" s="61"/>
      <c r="AX125" s="61"/>
      <c r="AY125" s="61"/>
      <c r="AZ125" s="61"/>
      <c r="BA125" s="61"/>
      <c r="BB125" s="80">
        <f>SUM(Financials20263[[#This Row],[Jan AC]:[Dec AC]])</f>
        <v>0</v>
      </c>
      <c r="BC125" s="71">
        <f>Financials20263[[#This Row],[Jan AC]]-Financials20263[[#This Row],[Jan FC]]</f>
        <v>0</v>
      </c>
      <c r="BD125" s="71">
        <f>Financials20263[[#This Row],[Feb AC]]-Financials20263[[#This Row],[Feb FC]]</f>
        <v>0</v>
      </c>
      <c r="BE125" s="71">
        <f>Financials20263[[#This Row],[Mar AC]]-Financials20263[[#This Row],[Mar FC]]</f>
        <v>0</v>
      </c>
      <c r="BF125" s="71">
        <f>Financials20263[[#This Row],[Apr AC]]-Financials20263[[#This Row],[Apr FC]]</f>
        <v>0</v>
      </c>
      <c r="BG125" s="71">
        <f>Financials20263[[#This Row],[May AC]]-Financials20263[[#This Row],[May FC]]</f>
        <v>0</v>
      </c>
      <c r="BH125" s="71">
        <f>Financials20263[[#This Row],[Jun AC]]-Financials20263[[#This Row],[Jun FC]]</f>
        <v>0</v>
      </c>
      <c r="BI125" s="71">
        <f>Financials20263[[#This Row],[Jul AC]]-Financials20263[[#This Row],[Jul FC]]</f>
        <v>0</v>
      </c>
      <c r="BJ125" s="71">
        <f>Financials20263[[#This Row],[Aug AC]]-Financials20263[[#This Row],[Aug FC]]</f>
        <v>0</v>
      </c>
      <c r="BK125" s="71">
        <f>Financials20263[[#This Row],[Sep AC]]-Financials20263[[#This Row],[Sep FC]]</f>
        <v>0</v>
      </c>
      <c r="BL125" s="71">
        <f>Financials20263[[#This Row],[Oct AC]]-Financials20263[[#This Row],[Oct FC]]</f>
        <v>0</v>
      </c>
      <c r="BM125" s="71">
        <f>Financials20263[[#This Row],[Nov AC]]-Financials20263[[#This Row],[Nov FC]]</f>
        <v>0</v>
      </c>
      <c r="BN125" s="71">
        <f>Financials20263[[#This Row],[Dec AC]]-Financials20263[[#This Row],[Dec FC]]</f>
        <v>0</v>
      </c>
      <c r="BO125" s="71">
        <f>SUM(Financials20263[[#This Row],[Jan Opp/Risk]:[Dec Opp./Risk]])</f>
        <v>0</v>
      </c>
      <c r="BP125" s="87" t="s">
        <v>815</v>
      </c>
      <c r="BQ125" s="47">
        <f>SUM(Financials20263[[#This Row],[Jan AC]:[May AC]])</f>
        <v>0</v>
      </c>
      <c r="BR125" s="6">
        <f>Financials20263[[#This Row],[2026 (Actuals + Forecast)]]-Financials20263[[#This Row],[Jan-May Actuals]]-Financials20263[[#This Row],[Jun-Dec FC]]</f>
        <v>0</v>
      </c>
      <c r="BS125" s="6">
        <f>Financials20263[[#This Row],[Jun-Dec FC]]+Financials20263[[#This Row],[Jan-May Forecast ]]</f>
        <v>0</v>
      </c>
      <c r="BT125" s="6">
        <f>SUM(Financials20263[[#This Row],[Jan FC]:[May FC]])</f>
        <v>0</v>
      </c>
      <c r="BU125" s="6">
        <f>Financials20263[[#This Row],[Jan-May Actuals]]+Financials20263[[#This Row],[Forecast Jun-Dec]]</f>
        <v>0</v>
      </c>
      <c r="BV125" s="6"/>
      <c r="BW125" s="6"/>
      <c r="BX125" s="6"/>
    </row>
    <row r="126" spans="1:76">
      <c r="A126" s="22" t="s">
        <v>473</v>
      </c>
      <c r="B126" s="21" t="s">
        <v>63</v>
      </c>
      <c r="C126" s="21" t="s">
        <v>751</v>
      </c>
      <c r="D126" s="10" t="s">
        <v>821</v>
      </c>
      <c r="E126" s="7" t="s">
        <v>822</v>
      </c>
      <c r="F126" s="3" t="s">
        <v>596</v>
      </c>
      <c r="G126" s="3" t="s">
        <v>22</v>
      </c>
      <c r="H126" s="4"/>
      <c r="I126" s="4"/>
      <c r="J126" s="3"/>
      <c r="K126" s="3" t="str">
        <f t="shared" si="28"/>
        <v>Prj000482-Implement - WSO Own Instance (AM)</v>
      </c>
      <c r="L126" s="21" t="s">
        <v>499</v>
      </c>
      <c r="M126" s="21" t="s">
        <v>10</v>
      </c>
      <c r="N126" s="21" t="s">
        <v>763</v>
      </c>
      <c r="O126" s="21"/>
      <c r="P126" s="21" t="s">
        <v>479</v>
      </c>
      <c r="Q126" s="21" t="s">
        <v>509</v>
      </c>
      <c r="R126" s="21" t="s">
        <v>503</v>
      </c>
      <c r="S126" s="3" t="s">
        <v>814</v>
      </c>
      <c r="T126" s="5"/>
      <c r="U126" s="17">
        <v>850000</v>
      </c>
      <c r="V126" s="17">
        <v>336000</v>
      </c>
      <c r="W126" s="15">
        <f t="shared" si="29"/>
        <v>0</v>
      </c>
      <c r="X126" s="15">
        <f t="shared" si="33"/>
        <v>-336000</v>
      </c>
      <c r="Y126" s="15">
        <f t="shared" si="30"/>
        <v>0</v>
      </c>
      <c r="Z126" s="15">
        <f>SUM(Financials20263[[#This Row],[2026 Opportunity]:[2026 Risk]])</f>
        <v>-336000</v>
      </c>
      <c r="AA126" s="3" t="s">
        <v>823</v>
      </c>
      <c r="AB126" s="52"/>
      <c r="AC126" s="52"/>
      <c r="AD126" s="52"/>
      <c r="AE126" s="52"/>
      <c r="AF126" s="52"/>
      <c r="AG126" s="52"/>
      <c r="AH126" s="52"/>
      <c r="AI126" s="52"/>
      <c r="AJ126" s="52"/>
      <c r="AK126" s="52"/>
      <c r="AL126" s="52"/>
      <c r="AM126" s="46"/>
      <c r="AN126" s="75">
        <f>SUM(Financials20263[[#This Row],[Jan FC]:[Dec FC]])</f>
        <v>0</v>
      </c>
      <c r="AO126" s="15">
        <f t="shared" si="31"/>
        <v>0</v>
      </c>
      <c r="AP126" s="61"/>
      <c r="AQ126" s="61"/>
      <c r="AR126" s="61"/>
      <c r="AS126" s="61"/>
      <c r="AT126" s="61"/>
      <c r="AU126" s="61"/>
      <c r="AV126" s="61"/>
      <c r="AW126" s="61"/>
      <c r="AX126" s="61"/>
      <c r="AY126" s="61"/>
      <c r="AZ126" s="61"/>
      <c r="BA126" s="61"/>
      <c r="BB126" s="80">
        <f>SUM(Financials20263[[#This Row],[Jan AC]:[Dec AC]])</f>
        <v>0</v>
      </c>
      <c r="BC126" s="71">
        <f>Financials20263[[#This Row],[Jan AC]]-Financials20263[[#This Row],[Jan FC]]</f>
        <v>0</v>
      </c>
      <c r="BD126" s="71">
        <f>Financials20263[[#This Row],[Feb AC]]-Financials20263[[#This Row],[Feb FC]]</f>
        <v>0</v>
      </c>
      <c r="BE126" s="71">
        <f>Financials20263[[#This Row],[Mar AC]]-Financials20263[[#This Row],[Mar FC]]</f>
        <v>0</v>
      </c>
      <c r="BF126" s="71">
        <f>Financials20263[[#This Row],[Apr AC]]-Financials20263[[#This Row],[Apr FC]]</f>
        <v>0</v>
      </c>
      <c r="BG126" s="71">
        <f>Financials20263[[#This Row],[May AC]]-Financials20263[[#This Row],[May FC]]</f>
        <v>0</v>
      </c>
      <c r="BH126" s="71">
        <f>Financials20263[[#This Row],[Jun AC]]-Financials20263[[#This Row],[Jun FC]]</f>
        <v>0</v>
      </c>
      <c r="BI126" s="71">
        <f>Financials20263[[#This Row],[Jul AC]]-Financials20263[[#This Row],[Jul FC]]</f>
        <v>0</v>
      </c>
      <c r="BJ126" s="71">
        <f>Financials20263[[#This Row],[Aug AC]]-Financials20263[[#This Row],[Aug FC]]</f>
        <v>0</v>
      </c>
      <c r="BK126" s="71">
        <f>Financials20263[[#This Row],[Sep AC]]-Financials20263[[#This Row],[Sep FC]]</f>
        <v>0</v>
      </c>
      <c r="BL126" s="71">
        <f>Financials20263[[#This Row],[Oct AC]]-Financials20263[[#This Row],[Oct FC]]</f>
        <v>0</v>
      </c>
      <c r="BM126" s="71">
        <f>Financials20263[[#This Row],[Nov AC]]-Financials20263[[#This Row],[Nov FC]]</f>
        <v>0</v>
      </c>
      <c r="BN126" s="71">
        <f>Financials20263[[#This Row],[Dec AC]]-Financials20263[[#This Row],[Dec FC]]</f>
        <v>0</v>
      </c>
      <c r="BO126" s="71">
        <f>SUM(Financials20263[[#This Row],[Jan Opp/Risk]:[Dec Opp./Risk]])</f>
        <v>0</v>
      </c>
      <c r="BP126" s="87" t="s">
        <v>824</v>
      </c>
      <c r="BQ126" s="47">
        <f>SUM(Financials20263[[#This Row],[Jan AC]:[May AC]])</f>
        <v>0</v>
      </c>
      <c r="BR126" s="6">
        <f>Financials20263[[#This Row],[2026 (Actuals + Forecast)]]-Financials20263[[#This Row],[Jan-May Actuals]]-Financials20263[[#This Row],[Jun-Dec FC]]</f>
        <v>0</v>
      </c>
      <c r="BS126" s="6">
        <f>Financials20263[[#This Row],[Jun-Dec FC]]+Financials20263[[#This Row],[Jan-May Forecast ]]</f>
        <v>0</v>
      </c>
      <c r="BT126" s="6">
        <f>SUM(Financials20263[[#This Row],[Jan FC]:[May FC]])</f>
        <v>0</v>
      </c>
      <c r="BU126" s="6">
        <f>Financials20263[[#This Row],[Jan-May Actuals]]+Financials20263[[#This Row],[Forecast Jun-Dec]]</f>
        <v>0</v>
      </c>
      <c r="BV126" s="6"/>
      <c r="BW126" s="6"/>
      <c r="BX126" s="6"/>
    </row>
    <row r="127" spans="1:76">
      <c r="A127" s="22" t="s">
        <v>473</v>
      </c>
      <c r="B127" s="21" t="s">
        <v>63</v>
      </c>
      <c r="C127" s="21" t="s">
        <v>751</v>
      </c>
      <c r="D127" s="10" t="s">
        <v>821</v>
      </c>
      <c r="E127" s="7" t="s">
        <v>822</v>
      </c>
      <c r="F127" s="3" t="s">
        <v>596</v>
      </c>
      <c r="G127" s="3" t="s">
        <v>22</v>
      </c>
      <c r="H127" s="4"/>
      <c r="I127" s="4"/>
      <c r="J127" s="3"/>
      <c r="K127" s="3" t="str">
        <f t="shared" si="28"/>
        <v>Prj000482-Implement - WSO Own Instance (AM)</v>
      </c>
      <c r="L127" s="21" t="s">
        <v>499</v>
      </c>
      <c r="M127" s="21" t="s">
        <v>10</v>
      </c>
      <c r="N127" s="21" t="s">
        <v>763</v>
      </c>
      <c r="O127" s="21"/>
      <c r="P127" s="21" t="s">
        <v>479</v>
      </c>
      <c r="Q127" s="21" t="s">
        <v>509</v>
      </c>
      <c r="R127" s="21" t="s">
        <v>503</v>
      </c>
      <c r="S127" s="3" t="s">
        <v>814</v>
      </c>
      <c r="T127" s="5"/>
      <c r="U127" s="17">
        <v>850000</v>
      </c>
      <c r="V127" s="17">
        <v>163600</v>
      </c>
      <c r="W127" s="15">
        <f t="shared" si="29"/>
        <v>293500</v>
      </c>
      <c r="X127" s="15">
        <f t="shared" si="33"/>
        <v>0</v>
      </c>
      <c r="Y127" s="15">
        <f t="shared" si="30"/>
        <v>129900</v>
      </c>
      <c r="Z127" s="15">
        <f>SUM(Financials20263[[#This Row],[2026 Opportunity]:[2026 Risk]])</f>
        <v>129900</v>
      </c>
      <c r="AA127" s="3" t="s">
        <v>825</v>
      </c>
      <c r="AB127" s="52"/>
      <c r="AC127" s="52"/>
      <c r="AD127" s="52"/>
      <c r="AE127" s="52">
        <v>10000</v>
      </c>
      <c r="AF127" s="52"/>
      <c r="AG127" s="52"/>
      <c r="AH127" s="52"/>
      <c r="AI127" s="52"/>
      <c r="AJ127" s="52">
        <v>25000</v>
      </c>
      <c r="AK127" s="52">
        <v>258500</v>
      </c>
      <c r="AL127" s="52"/>
      <c r="AM127" s="52"/>
      <c r="AN127" s="75">
        <f>SUM(Financials20263[[#This Row],[Jan FC]:[Dec FC]])</f>
        <v>293500</v>
      </c>
      <c r="AO127" s="15">
        <f t="shared" si="31"/>
        <v>283500</v>
      </c>
      <c r="AP127" s="61"/>
      <c r="AQ127" s="61"/>
      <c r="AR127" s="61"/>
      <c r="AS127" s="61">
        <v>10000</v>
      </c>
      <c r="AT127" s="61"/>
      <c r="AU127" s="61"/>
      <c r="AV127" s="61"/>
      <c r="AW127" s="61"/>
      <c r="AX127" s="61"/>
      <c r="AY127" s="61"/>
      <c r="AZ127" s="61"/>
      <c r="BA127" s="61"/>
      <c r="BB127" s="80">
        <f>SUM(Financials20263[[#This Row],[Jan AC]:[Dec AC]])</f>
        <v>10000</v>
      </c>
      <c r="BC127" s="71">
        <f>Financials20263[[#This Row],[Jan AC]]-Financials20263[[#This Row],[Jan FC]]</f>
        <v>0</v>
      </c>
      <c r="BD127" s="71">
        <f>Financials20263[[#This Row],[Feb AC]]-Financials20263[[#This Row],[Feb FC]]</f>
        <v>0</v>
      </c>
      <c r="BE127" s="71">
        <f>Financials20263[[#This Row],[Mar AC]]-Financials20263[[#This Row],[Mar FC]]</f>
        <v>0</v>
      </c>
      <c r="BF127" s="71">
        <f>Financials20263[[#This Row],[Apr AC]]-Financials20263[[#This Row],[Apr FC]]</f>
        <v>0</v>
      </c>
      <c r="BG127" s="71">
        <f>Financials20263[[#This Row],[May AC]]-Financials20263[[#This Row],[May FC]]</f>
        <v>0</v>
      </c>
      <c r="BH127" s="71">
        <f>Financials20263[[#This Row],[Jun AC]]-Financials20263[[#This Row],[Jun FC]]</f>
        <v>0</v>
      </c>
      <c r="BI127" s="71">
        <f>Financials20263[[#This Row],[Jul AC]]-Financials20263[[#This Row],[Jul FC]]</f>
        <v>0</v>
      </c>
      <c r="BJ127" s="71">
        <f>Financials20263[[#This Row],[Aug AC]]-Financials20263[[#This Row],[Aug FC]]</f>
        <v>0</v>
      </c>
      <c r="BK127" s="71">
        <f>Financials20263[[#This Row],[Sep AC]]-Financials20263[[#This Row],[Sep FC]]</f>
        <v>-25000</v>
      </c>
      <c r="BL127" s="71">
        <f>Financials20263[[#This Row],[Oct AC]]-Financials20263[[#This Row],[Oct FC]]</f>
        <v>-258500</v>
      </c>
      <c r="BM127" s="71">
        <f>Financials20263[[#This Row],[Nov AC]]-Financials20263[[#This Row],[Nov FC]]</f>
        <v>0</v>
      </c>
      <c r="BN127" s="71">
        <f>Financials20263[[#This Row],[Dec AC]]-Financials20263[[#This Row],[Dec FC]]</f>
        <v>0</v>
      </c>
      <c r="BO127" s="71">
        <f>SUM(Financials20263[[#This Row],[Jan Opp/Risk]:[Dec Opp./Risk]])</f>
        <v>-283500</v>
      </c>
      <c r="BP127" s="87" t="s">
        <v>826</v>
      </c>
      <c r="BQ127" s="47">
        <f>SUM(Financials20263[[#This Row],[Jan AC]:[May AC]])</f>
        <v>10000</v>
      </c>
      <c r="BR127" s="6">
        <f>Financials20263[[#This Row],[2026 (Actuals + Forecast)]]-Financials20263[[#This Row],[Jan-May Actuals]]-Financials20263[[#This Row],[Jun-Dec FC]]</f>
        <v>0</v>
      </c>
      <c r="BS127" s="6">
        <f>Financials20263[[#This Row],[Jun-Dec FC]]+Financials20263[[#This Row],[Jan-May Forecast ]]</f>
        <v>283500</v>
      </c>
      <c r="BT127" s="6">
        <f>SUM(Financials20263[[#This Row],[Jan FC]:[May FC]])</f>
        <v>10000</v>
      </c>
      <c r="BU127" s="6">
        <f>Financials20263[[#This Row],[Jan-May Actuals]]+Financials20263[[#This Row],[Forecast Jun-Dec]]</f>
        <v>293500</v>
      </c>
      <c r="BV127" s="6"/>
      <c r="BW127" s="6"/>
      <c r="BX127" s="6"/>
    </row>
    <row r="128" spans="1:76">
      <c r="A128" s="22" t="s">
        <v>473</v>
      </c>
      <c r="B128" s="21" t="s">
        <v>48</v>
      </c>
      <c r="C128" s="21"/>
      <c r="D128" s="10" t="s">
        <v>821</v>
      </c>
      <c r="E128" s="7" t="s">
        <v>822</v>
      </c>
      <c r="F128" s="3" t="s">
        <v>596</v>
      </c>
      <c r="G128" s="3" t="s">
        <v>22</v>
      </c>
      <c r="H128" s="4">
        <v>46157</v>
      </c>
      <c r="I128" s="4">
        <v>46234</v>
      </c>
      <c r="J128" s="3"/>
      <c r="K128" s="3" t="str">
        <f t="shared" si="28"/>
        <v>Prj000482-Implement - WSO Own Instance (AM)</v>
      </c>
      <c r="L128" s="21" t="s">
        <v>499</v>
      </c>
      <c r="M128" s="21" t="s">
        <v>10</v>
      </c>
      <c r="N128" s="21" t="s">
        <v>763</v>
      </c>
      <c r="O128" s="21"/>
      <c r="P128" s="21" t="s">
        <v>479</v>
      </c>
      <c r="Q128" s="21" t="s">
        <v>509</v>
      </c>
      <c r="R128" s="21" t="s">
        <v>503</v>
      </c>
      <c r="S128" s="21" t="s">
        <v>504</v>
      </c>
      <c r="T128" s="5"/>
      <c r="U128" s="17">
        <v>0</v>
      </c>
      <c r="V128" s="17">
        <v>120000</v>
      </c>
      <c r="W128" s="15">
        <f t="shared" si="29"/>
        <v>120000</v>
      </c>
      <c r="X128" s="15">
        <f t="shared" si="33"/>
        <v>0</v>
      </c>
      <c r="Y128" s="15">
        <f t="shared" si="30"/>
        <v>0</v>
      </c>
      <c r="Z128" s="15">
        <f>SUM(Financials20263[[#This Row],[2026 Opportunity]:[2026 Risk]])</f>
        <v>0</v>
      </c>
      <c r="AA128" s="3" t="s">
        <v>827</v>
      </c>
      <c r="AB128" s="52"/>
      <c r="AC128" s="52"/>
      <c r="AD128" s="52"/>
      <c r="AE128" s="52"/>
      <c r="AF128" s="52">
        <v>40000</v>
      </c>
      <c r="AG128" s="52">
        <v>40000</v>
      </c>
      <c r="AH128" s="52">
        <v>40000</v>
      </c>
      <c r="AI128" s="52"/>
      <c r="AJ128" s="52"/>
      <c r="AK128" s="52"/>
      <c r="AL128" s="52"/>
      <c r="AM128" s="52"/>
      <c r="AN128" s="75">
        <f>SUM(Financials20263[[#This Row],[Jan FC]:[Dec FC]])</f>
        <v>120000</v>
      </c>
      <c r="AO128" s="15">
        <f t="shared" si="31"/>
        <v>80000</v>
      </c>
      <c r="AP128" s="61"/>
      <c r="AQ128" s="61"/>
      <c r="AR128" s="61"/>
      <c r="AS128" s="61"/>
      <c r="AT128" s="61"/>
      <c r="AU128" s="61"/>
      <c r="AV128" s="61"/>
      <c r="AW128" s="61"/>
      <c r="AX128" s="61"/>
      <c r="AY128" s="61"/>
      <c r="AZ128" s="61"/>
      <c r="BA128" s="61"/>
      <c r="BB128" s="80">
        <f>SUM(Financials20263[[#This Row],[Jan AC]:[Dec AC]])</f>
        <v>0</v>
      </c>
      <c r="BC128" s="71">
        <f>Financials20263[[#This Row],[Jan AC]]-Financials20263[[#This Row],[Jan FC]]</f>
        <v>0</v>
      </c>
      <c r="BD128" s="71">
        <f>Financials20263[[#This Row],[Feb AC]]-Financials20263[[#This Row],[Feb FC]]</f>
        <v>0</v>
      </c>
      <c r="BE128" s="71">
        <f>Financials20263[[#This Row],[Mar AC]]-Financials20263[[#This Row],[Mar FC]]</f>
        <v>0</v>
      </c>
      <c r="BF128" s="71">
        <f>Financials20263[[#This Row],[Apr AC]]-Financials20263[[#This Row],[Apr FC]]</f>
        <v>0</v>
      </c>
      <c r="BG128" s="71">
        <f>Financials20263[[#This Row],[May AC]]-Financials20263[[#This Row],[May FC]]</f>
        <v>-40000</v>
      </c>
      <c r="BH128" s="71">
        <f>Financials20263[[#This Row],[Jun AC]]-Financials20263[[#This Row],[Jun FC]]</f>
        <v>-40000</v>
      </c>
      <c r="BI128" s="71">
        <f>Financials20263[[#This Row],[Jul AC]]-Financials20263[[#This Row],[Jul FC]]</f>
        <v>-40000</v>
      </c>
      <c r="BJ128" s="71">
        <f>Financials20263[[#This Row],[Aug AC]]-Financials20263[[#This Row],[Aug FC]]</f>
        <v>0</v>
      </c>
      <c r="BK128" s="71">
        <f>Financials20263[[#This Row],[Sep AC]]-Financials20263[[#This Row],[Sep FC]]</f>
        <v>0</v>
      </c>
      <c r="BL128" s="71">
        <f>Financials20263[[#This Row],[Oct AC]]-Financials20263[[#This Row],[Oct FC]]</f>
        <v>0</v>
      </c>
      <c r="BM128" s="71">
        <f>Financials20263[[#This Row],[Nov AC]]-Financials20263[[#This Row],[Nov FC]]</f>
        <v>0</v>
      </c>
      <c r="BN128" s="71">
        <f>Financials20263[[#This Row],[Dec AC]]-Financials20263[[#This Row],[Dec FC]]</f>
        <v>0</v>
      </c>
      <c r="BO128" s="71">
        <f>SUM(Financials20263[[#This Row],[Jan Opp/Risk]:[Dec Opp./Risk]])</f>
        <v>-120000</v>
      </c>
      <c r="BP128" s="87" t="s">
        <v>828</v>
      </c>
      <c r="BQ128" s="47">
        <f>SUM(Financials20263[[#This Row],[Jan AC]:[May AC]])</f>
        <v>0</v>
      </c>
      <c r="BR128" s="6">
        <f>Financials20263[[#This Row],[2026 (Actuals + Forecast)]]-Financials20263[[#This Row],[Jan-May Actuals]]-Financials20263[[#This Row],[Jun-Dec FC]]</f>
        <v>40000</v>
      </c>
      <c r="BS128" s="6">
        <f>Financials20263[[#This Row],[Jun-Dec FC]]+Financials20263[[#This Row],[Jan-May Forecast ]]</f>
        <v>120000</v>
      </c>
      <c r="BT128" s="6">
        <f>SUM(Financials20263[[#This Row],[Jan FC]:[May FC]])</f>
        <v>40000</v>
      </c>
      <c r="BU128" s="6">
        <f>Financials20263[[#This Row],[Jan-May Actuals]]+Financials20263[[#This Row],[Forecast Jun-Dec]]</f>
        <v>120000</v>
      </c>
      <c r="BV128" s="6"/>
      <c r="BW128" s="6"/>
      <c r="BX128" s="6"/>
    </row>
    <row r="129" spans="1:76">
      <c r="A129" s="22" t="s">
        <v>473</v>
      </c>
      <c r="B129" s="21" t="s">
        <v>63</v>
      </c>
      <c r="C129" s="21" t="s">
        <v>751</v>
      </c>
      <c r="D129" s="10" t="s">
        <v>829</v>
      </c>
      <c r="E129" s="7" t="s">
        <v>830</v>
      </c>
      <c r="F129" s="3" t="s">
        <v>596</v>
      </c>
      <c r="G129" s="3" t="s">
        <v>22</v>
      </c>
      <c r="H129" s="4"/>
      <c r="I129" s="4"/>
      <c r="J129" s="3"/>
      <c r="K129" s="3" t="str">
        <f t="shared" si="28"/>
        <v>Prj000211-Implement - WSO Balance Sheet Mig &amp; Reporting</v>
      </c>
      <c r="L129" s="21" t="s">
        <v>499</v>
      </c>
      <c r="M129" s="21" t="s">
        <v>10</v>
      </c>
      <c r="N129" s="21" t="s">
        <v>763</v>
      </c>
      <c r="O129" s="21"/>
      <c r="P129" s="21" t="s">
        <v>479</v>
      </c>
      <c r="Q129" s="21" t="s">
        <v>509</v>
      </c>
      <c r="R129" s="21" t="s">
        <v>503</v>
      </c>
      <c r="S129" s="3" t="s">
        <v>814</v>
      </c>
      <c r="T129" s="5"/>
      <c r="U129" s="17">
        <v>500000</v>
      </c>
      <c r="V129" s="17">
        <v>500000</v>
      </c>
      <c r="W129" s="15">
        <f t="shared" si="29"/>
        <v>0</v>
      </c>
      <c r="X129" s="15">
        <f t="shared" si="33"/>
        <v>-500000</v>
      </c>
      <c r="Y129" s="15">
        <f t="shared" si="30"/>
        <v>0</v>
      </c>
      <c r="Z129" s="15">
        <f>SUM(Financials20263[[#This Row],[2026 Opportunity]:[2026 Risk]])</f>
        <v>-500000</v>
      </c>
      <c r="AA129" s="3" t="s">
        <v>831</v>
      </c>
      <c r="AB129" s="52"/>
      <c r="AC129" s="52"/>
      <c r="AD129" s="52"/>
      <c r="AE129" s="52"/>
      <c r="AF129" s="52"/>
      <c r="AG129" s="52"/>
      <c r="AH129" s="52"/>
      <c r="AI129" s="52"/>
      <c r="AJ129" s="52"/>
      <c r="AK129" s="52"/>
      <c r="AL129" s="52"/>
      <c r="AM129" s="52"/>
      <c r="AN129" s="75">
        <f>SUM(Financials20263[[#This Row],[Jan FC]:[Dec FC]])</f>
        <v>0</v>
      </c>
      <c r="AO129" s="15">
        <f t="shared" si="31"/>
        <v>0</v>
      </c>
      <c r="AP129" s="61"/>
      <c r="AQ129" s="61"/>
      <c r="AR129" s="61"/>
      <c r="AS129" s="61"/>
      <c r="AT129" s="61"/>
      <c r="AU129" s="61"/>
      <c r="AV129" s="61"/>
      <c r="AW129" s="61"/>
      <c r="AX129" s="61"/>
      <c r="AY129" s="61"/>
      <c r="AZ129" s="61"/>
      <c r="BA129" s="61"/>
      <c r="BB129" s="80">
        <f>SUM(Financials20263[[#This Row],[Jan AC]:[Dec AC]])</f>
        <v>0</v>
      </c>
      <c r="BC129" s="71">
        <f>Financials20263[[#This Row],[Jan AC]]-Financials20263[[#This Row],[Jan FC]]</f>
        <v>0</v>
      </c>
      <c r="BD129" s="71">
        <f>Financials20263[[#This Row],[Feb AC]]-Financials20263[[#This Row],[Feb FC]]</f>
        <v>0</v>
      </c>
      <c r="BE129" s="71">
        <f>Financials20263[[#This Row],[Mar AC]]-Financials20263[[#This Row],[Mar FC]]</f>
        <v>0</v>
      </c>
      <c r="BF129" s="71">
        <f>Financials20263[[#This Row],[Apr AC]]-Financials20263[[#This Row],[Apr FC]]</f>
        <v>0</v>
      </c>
      <c r="BG129" s="71">
        <f>Financials20263[[#This Row],[May AC]]-Financials20263[[#This Row],[May FC]]</f>
        <v>0</v>
      </c>
      <c r="BH129" s="71">
        <f>Financials20263[[#This Row],[Jun AC]]-Financials20263[[#This Row],[Jun FC]]</f>
        <v>0</v>
      </c>
      <c r="BI129" s="71">
        <f>Financials20263[[#This Row],[Jul AC]]-Financials20263[[#This Row],[Jul FC]]</f>
        <v>0</v>
      </c>
      <c r="BJ129" s="71">
        <f>Financials20263[[#This Row],[Aug AC]]-Financials20263[[#This Row],[Aug FC]]</f>
        <v>0</v>
      </c>
      <c r="BK129" s="71">
        <f>Financials20263[[#This Row],[Sep AC]]-Financials20263[[#This Row],[Sep FC]]</f>
        <v>0</v>
      </c>
      <c r="BL129" s="71">
        <f>Financials20263[[#This Row],[Oct AC]]-Financials20263[[#This Row],[Oct FC]]</f>
        <v>0</v>
      </c>
      <c r="BM129" s="71">
        <f>Financials20263[[#This Row],[Nov AC]]-Financials20263[[#This Row],[Nov FC]]</f>
        <v>0</v>
      </c>
      <c r="BN129" s="71">
        <f>Financials20263[[#This Row],[Dec AC]]-Financials20263[[#This Row],[Dec FC]]</f>
        <v>0</v>
      </c>
      <c r="BO129" s="71">
        <f>SUM(Financials20263[[#This Row],[Jan Opp/Risk]:[Dec Opp./Risk]])</f>
        <v>0</v>
      </c>
      <c r="BP129" s="87" t="s">
        <v>815</v>
      </c>
      <c r="BQ129" s="47">
        <f>SUM(Financials20263[[#This Row],[Jan AC]:[May AC]])</f>
        <v>0</v>
      </c>
      <c r="BR129" s="6">
        <f>Financials20263[[#This Row],[2026 (Actuals + Forecast)]]-Financials20263[[#This Row],[Jan-May Actuals]]-Financials20263[[#This Row],[Jun-Dec FC]]</f>
        <v>0</v>
      </c>
      <c r="BS129" s="6">
        <f>Financials20263[[#This Row],[Jun-Dec FC]]+Financials20263[[#This Row],[Jan-May Forecast ]]</f>
        <v>0</v>
      </c>
      <c r="BT129" s="6">
        <f>SUM(Financials20263[[#This Row],[Jan FC]:[May FC]])</f>
        <v>0</v>
      </c>
      <c r="BU129" s="6">
        <f>Financials20263[[#This Row],[Jan-May Actuals]]+Financials20263[[#This Row],[Forecast Jun-Dec]]</f>
        <v>0</v>
      </c>
      <c r="BV129" s="6"/>
      <c r="BW129" s="6"/>
      <c r="BX129" s="6"/>
    </row>
    <row r="130" spans="1:76">
      <c r="A130" s="22" t="s">
        <v>473</v>
      </c>
      <c r="B130" s="21" t="s">
        <v>48</v>
      </c>
      <c r="C130" s="21" t="s">
        <v>600</v>
      </c>
      <c r="D130" s="10" t="s">
        <v>832</v>
      </c>
      <c r="E130" s="7" t="s">
        <v>833</v>
      </c>
      <c r="F130" s="3" t="s">
        <v>43</v>
      </c>
      <c r="G130" s="3" t="s">
        <v>20</v>
      </c>
      <c r="H130" s="4"/>
      <c r="I130" s="4"/>
      <c r="J130" s="3" t="s">
        <v>834</v>
      </c>
      <c r="K130" s="3" t="str">
        <f t="shared" ref="K130:K142" si="47">D130 &amp; "-" &amp;E130</f>
        <v>Prj000477-Implement - Odyssey Reporting &amp; Exception Mgmt</v>
      </c>
      <c r="L130" s="21" t="s">
        <v>499</v>
      </c>
      <c r="M130" s="21" t="s">
        <v>10</v>
      </c>
      <c r="N130" s="21" t="s">
        <v>763</v>
      </c>
      <c r="O130" s="21"/>
      <c r="P130" s="21" t="s">
        <v>501</v>
      </c>
      <c r="Q130" s="21" t="s">
        <v>502</v>
      </c>
      <c r="R130" s="21" t="s">
        <v>503</v>
      </c>
      <c r="S130" s="3" t="s">
        <v>814</v>
      </c>
      <c r="T130" s="5">
        <v>0</v>
      </c>
      <c r="U130" s="17">
        <v>600000</v>
      </c>
      <c r="V130" s="17">
        <v>600000</v>
      </c>
      <c r="W130" s="15">
        <f t="shared" ref="W130:W149" si="48">AO130+IF(ISBLANK(AP130),AB130,AP130)+IF(ISBLANK(AQ130),AC130,AQ130)+IF(ISBLANK(AR130),AD130,AR130)+IF(ISBLANK(AS130),AE130,AS130)+IF(ISBLANK(AT130),AF130,AT130)</f>
        <v>600000</v>
      </c>
      <c r="X130" s="15">
        <f t="shared" si="33"/>
        <v>0</v>
      </c>
      <c r="Y130" s="15">
        <f t="shared" ref="Y130:Y148" si="49">IF(W130 &gt; V130, W130 - V130, 0)</f>
        <v>0</v>
      </c>
      <c r="Z130" s="15">
        <f>SUM(Financials20263[[#This Row],[2026 Opportunity]:[2026 Risk]])</f>
        <v>0</v>
      </c>
      <c r="AA130" s="3" t="s">
        <v>820</v>
      </c>
      <c r="AB130" s="52"/>
      <c r="AC130" s="52"/>
      <c r="AD130" s="52"/>
      <c r="AE130" s="52"/>
      <c r="AF130" s="52"/>
      <c r="AG130" s="52"/>
      <c r="AH130" s="52"/>
      <c r="AI130" s="52"/>
      <c r="AJ130" s="52"/>
      <c r="AK130" s="52"/>
      <c r="AL130" s="52"/>
      <c r="AM130" s="46">
        <v>600000</v>
      </c>
      <c r="AN130" s="75">
        <f>SUM(Financials20263[[#This Row],[Jan FC]:[Dec FC]])</f>
        <v>600000</v>
      </c>
      <c r="AO130" s="15">
        <f t="shared" si="31"/>
        <v>600000</v>
      </c>
      <c r="AP130" s="61"/>
      <c r="AQ130" s="61"/>
      <c r="AR130" s="61"/>
      <c r="AS130" s="61"/>
      <c r="AT130" s="61"/>
      <c r="AU130" s="61"/>
      <c r="AV130" s="61"/>
      <c r="AW130" s="61"/>
      <c r="AX130" s="61"/>
      <c r="AY130" s="61"/>
      <c r="AZ130" s="61"/>
      <c r="BA130" s="61"/>
      <c r="BB130" s="80">
        <f>SUM(Financials20263[[#This Row],[Jan AC]:[Dec AC]])</f>
        <v>0</v>
      </c>
      <c r="BC130" s="71">
        <f>Financials20263[[#This Row],[Jan AC]]-Financials20263[[#This Row],[Jan FC]]</f>
        <v>0</v>
      </c>
      <c r="BD130" s="71">
        <f>Financials20263[[#This Row],[Feb AC]]-Financials20263[[#This Row],[Feb FC]]</f>
        <v>0</v>
      </c>
      <c r="BE130" s="71">
        <f>Financials20263[[#This Row],[Mar AC]]-Financials20263[[#This Row],[Mar FC]]</f>
        <v>0</v>
      </c>
      <c r="BF130" s="71">
        <f>Financials20263[[#This Row],[Apr AC]]-Financials20263[[#This Row],[Apr FC]]</f>
        <v>0</v>
      </c>
      <c r="BG130" s="71">
        <f>Financials20263[[#This Row],[May AC]]-Financials20263[[#This Row],[May FC]]</f>
        <v>0</v>
      </c>
      <c r="BH130" s="71">
        <f>Financials20263[[#This Row],[Jun AC]]-Financials20263[[#This Row],[Jun FC]]</f>
        <v>0</v>
      </c>
      <c r="BI130" s="71">
        <f>Financials20263[[#This Row],[Jul AC]]-Financials20263[[#This Row],[Jul FC]]</f>
        <v>0</v>
      </c>
      <c r="BJ130" s="71">
        <f>Financials20263[[#This Row],[Aug AC]]-Financials20263[[#This Row],[Aug FC]]</f>
        <v>0</v>
      </c>
      <c r="BK130" s="71">
        <f>Financials20263[[#This Row],[Sep AC]]-Financials20263[[#This Row],[Sep FC]]</f>
        <v>0</v>
      </c>
      <c r="BL130" s="71">
        <f>Financials20263[[#This Row],[Oct AC]]-Financials20263[[#This Row],[Oct FC]]</f>
        <v>0</v>
      </c>
      <c r="BM130" s="71">
        <f>Financials20263[[#This Row],[Nov AC]]-Financials20263[[#This Row],[Nov FC]]</f>
        <v>0</v>
      </c>
      <c r="BN130" s="71">
        <f>Financials20263[[#This Row],[Dec AC]]-Financials20263[[#This Row],[Dec FC]]</f>
        <v>-600000</v>
      </c>
      <c r="BO130" s="71">
        <f>SUM(Financials20263[[#This Row],[Jan Opp/Risk]:[Dec Opp./Risk]])</f>
        <v>-600000</v>
      </c>
      <c r="BP130" s="87" t="s">
        <v>815</v>
      </c>
      <c r="BQ130" s="47">
        <f>SUM(Financials20263[[#This Row],[Jan AC]:[May AC]])</f>
        <v>0</v>
      </c>
      <c r="BR130" s="6">
        <f>Financials20263[[#This Row],[2026 (Actuals + Forecast)]]-Financials20263[[#This Row],[Jan-May Actuals]]-Financials20263[[#This Row],[Jun-Dec FC]]</f>
        <v>0</v>
      </c>
      <c r="BS130" s="6">
        <f>Financials20263[[#This Row],[Jun-Dec FC]]+Financials20263[[#This Row],[Jan-May Forecast ]]</f>
        <v>600000</v>
      </c>
      <c r="BT130" s="6">
        <f>SUM(Financials20263[[#This Row],[Jan FC]:[May FC]])</f>
        <v>0</v>
      </c>
      <c r="BU130" s="6">
        <f>Financials20263[[#This Row],[Jan-May Actuals]]+Financials20263[[#This Row],[Forecast Jun-Dec]]</f>
        <v>600000</v>
      </c>
      <c r="BV130" s="6"/>
      <c r="BW130" s="6"/>
      <c r="BX130" s="6"/>
    </row>
    <row r="131" spans="1:76">
      <c r="A131" s="22" t="s">
        <v>473</v>
      </c>
      <c r="B131" s="21" t="s">
        <v>48</v>
      </c>
      <c r="C131" s="21" t="s">
        <v>600</v>
      </c>
      <c r="D131" s="10" t="s">
        <v>605</v>
      </c>
      <c r="E131" s="7" t="s">
        <v>606</v>
      </c>
      <c r="F131" s="3" t="s">
        <v>43</v>
      </c>
      <c r="G131" s="3" t="s">
        <v>20</v>
      </c>
      <c r="H131" s="4"/>
      <c r="I131" s="4"/>
      <c r="J131" s="3" t="s">
        <v>834</v>
      </c>
      <c r="K131" s="3" t="str">
        <f t="shared" si="47"/>
        <v>Prj000548-Implement - Reporting for Internal Audit</v>
      </c>
      <c r="L131" s="21" t="s">
        <v>499</v>
      </c>
      <c r="M131" s="21" t="s">
        <v>10</v>
      </c>
      <c r="N131" s="21" t="s">
        <v>763</v>
      </c>
      <c r="O131" s="21"/>
      <c r="P131" s="21" t="s">
        <v>501</v>
      </c>
      <c r="Q131" s="21" t="s">
        <v>502</v>
      </c>
      <c r="R131" s="21" t="s">
        <v>503</v>
      </c>
      <c r="S131" s="3" t="s">
        <v>814</v>
      </c>
      <c r="T131" s="5">
        <v>0</v>
      </c>
      <c r="U131" s="17">
        <v>500000</v>
      </c>
      <c r="V131" s="17">
        <v>500000</v>
      </c>
      <c r="W131" s="15">
        <f t="shared" si="48"/>
        <v>0</v>
      </c>
      <c r="X131" s="15">
        <f t="shared" si="33"/>
        <v>-500000</v>
      </c>
      <c r="Y131" s="15">
        <f t="shared" si="49"/>
        <v>0</v>
      </c>
      <c r="Z131" s="15">
        <f>SUM(Financials20263[[#This Row],[2026 Opportunity]:[2026 Risk]])</f>
        <v>-500000</v>
      </c>
      <c r="AA131" s="3" t="s">
        <v>835</v>
      </c>
      <c r="AB131" s="52"/>
      <c r="AC131" s="52"/>
      <c r="AD131" s="52"/>
      <c r="AE131" s="52"/>
      <c r="AF131" s="52"/>
      <c r="AG131" s="52"/>
      <c r="AH131" s="52"/>
      <c r="AI131" s="52"/>
      <c r="AJ131" s="52"/>
      <c r="AK131" s="52"/>
      <c r="AL131" s="52"/>
      <c r="AM131" s="52"/>
      <c r="AN131" s="75">
        <f>SUM(Financials20263[[#This Row],[Jan FC]:[Dec FC]])</f>
        <v>0</v>
      </c>
      <c r="AO131" s="15">
        <f t="shared" ref="AO131:AO149" si="50">SUM(AG131:AM131)</f>
        <v>0</v>
      </c>
      <c r="AP131" s="61"/>
      <c r="AQ131" s="61"/>
      <c r="AR131" s="61"/>
      <c r="AS131" s="61"/>
      <c r="AT131" s="61"/>
      <c r="AU131" s="61"/>
      <c r="AV131" s="61"/>
      <c r="AW131" s="61"/>
      <c r="AX131" s="61"/>
      <c r="AY131" s="61"/>
      <c r="AZ131" s="61"/>
      <c r="BA131" s="61"/>
      <c r="BB131" s="80">
        <f>SUM(Financials20263[[#This Row],[Jan AC]:[Dec AC]])</f>
        <v>0</v>
      </c>
      <c r="BC131" s="71">
        <f>Financials20263[[#This Row],[Jan AC]]-Financials20263[[#This Row],[Jan FC]]</f>
        <v>0</v>
      </c>
      <c r="BD131" s="71">
        <f>Financials20263[[#This Row],[Feb AC]]-Financials20263[[#This Row],[Feb FC]]</f>
        <v>0</v>
      </c>
      <c r="BE131" s="71">
        <f>Financials20263[[#This Row],[Mar AC]]-Financials20263[[#This Row],[Mar FC]]</f>
        <v>0</v>
      </c>
      <c r="BF131" s="71">
        <f>Financials20263[[#This Row],[Apr AC]]-Financials20263[[#This Row],[Apr FC]]</f>
        <v>0</v>
      </c>
      <c r="BG131" s="71">
        <f>Financials20263[[#This Row],[May AC]]-Financials20263[[#This Row],[May FC]]</f>
        <v>0</v>
      </c>
      <c r="BH131" s="71">
        <f>Financials20263[[#This Row],[Jun AC]]-Financials20263[[#This Row],[Jun FC]]</f>
        <v>0</v>
      </c>
      <c r="BI131" s="71">
        <f>Financials20263[[#This Row],[Jul AC]]-Financials20263[[#This Row],[Jul FC]]</f>
        <v>0</v>
      </c>
      <c r="BJ131" s="71">
        <f>Financials20263[[#This Row],[Aug AC]]-Financials20263[[#This Row],[Aug FC]]</f>
        <v>0</v>
      </c>
      <c r="BK131" s="71">
        <f>Financials20263[[#This Row],[Sep AC]]-Financials20263[[#This Row],[Sep FC]]</f>
        <v>0</v>
      </c>
      <c r="BL131" s="71">
        <f>Financials20263[[#This Row],[Oct AC]]-Financials20263[[#This Row],[Oct FC]]</f>
        <v>0</v>
      </c>
      <c r="BM131" s="71">
        <f>Financials20263[[#This Row],[Nov AC]]-Financials20263[[#This Row],[Nov FC]]</f>
        <v>0</v>
      </c>
      <c r="BN131" s="71">
        <f>Financials20263[[#This Row],[Dec AC]]-Financials20263[[#This Row],[Dec FC]]</f>
        <v>0</v>
      </c>
      <c r="BO131" s="71">
        <f>SUM(Financials20263[[#This Row],[Jan Opp/Risk]:[Dec Opp./Risk]])</f>
        <v>0</v>
      </c>
      <c r="BP131" s="87" t="s">
        <v>815</v>
      </c>
      <c r="BQ131" s="47">
        <f>SUM(Financials20263[[#This Row],[Jan AC]:[May AC]])</f>
        <v>0</v>
      </c>
      <c r="BR131" s="6">
        <f>Financials20263[[#This Row],[2026 (Actuals + Forecast)]]-Financials20263[[#This Row],[Jan-May Actuals]]-Financials20263[[#This Row],[Jun-Dec FC]]</f>
        <v>0</v>
      </c>
      <c r="BS131" s="6">
        <f>Financials20263[[#This Row],[Jun-Dec FC]]+Financials20263[[#This Row],[Jan-May Forecast ]]</f>
        <v>0</v>
      </c>
      <c r="BT131" s="6">
        <f>SUM(Financials20263[[#This Row],[Jan FC]:[May FC]])</f>
        <v>0</v>
      </c>
      <c r="BU131" s="6">
        <f>Financials20263[[#This Row],[Jan-May Actuals]]+Financials20263[[#This Row],[Forecast Jun-Dec]]</f>
        <v>0</v>
      </c>
      <c r="BV131" s="6"/>
      <c r="BW131" s="6"/>
      <c r="BX131" s="6"/>
    </row>
    <row r="132" spans="1:76">
      <c r="A132" s="22" t="s">
        <v>473</v>
      </c>
      <c r="B132" s="21" t="s">
        <v>211</v>
      </c>
      <c r="C132" s="21" t="s">
        <v>677</v>
      </c>
      <c r="D132" s="10" t="s">
        <v>836</v>
      </c>
      <c r="E132" s="7" t="s">
        <v>837</v>
      </c>
      <c r="F132" s="3" t="s">
        <v>91</v>
      </c>
      <c r="G132" s="3" t="s">
        <v>21</v>
      </c>
      <c r="H132" s="4">
        <v>46023</v>
      </c>
      <c r="I132" s="4">
        <v>46194</v>
      </c>
      <c r="J132" s="3" t="s">
        <v>838</v>
      </c>
      <c r="K132" s="3" t="str">
        <f t="shared" si="47"/>
        <v>Prj000447-Implement - Minor Enhancements SNOW - Phase 2</v>
      </c>
      <c r="L132" s="21" t="s">
        <v>499</v>
      </c>
      <c r="M132" s="21" t="s">
        <v>14</v>
      </c>
      <c r="N132" s="21" t="s">
        <v>500</v>
      </c>
      <c r="O132" s="21" t="s">
        <v>744</v>
      </c>
      <c r="P132" s="21" t="s">
        <v>479</v>
      </c>
      <c r="Q132" s="21" t="s">
        <v>509</v>
      </c>
      <c r="R132" s="21" t="s">
        <v>509</v>
      </c>
      <c r="S132" s="21" t="s">
        <v>504</v>
      </c>
      <c r="T132" s="5">
        <v>0</v>
      </c>
      <c r="U132" s="17">
        <v>178500</v>
      </c>
      <c r="V132" s="17">
        <v>178500</v>
      </c>
      <c r="W132" s="15">
        <f t="shared" si="48"/>
        <v>174169.56</v>
      </c>
      <c r="X132" s="15">
        <f t="shared" si="33"/>
        <v>-4330.4400000000023</v>
      </c>
      <c r="Y132" s="15">
        <f t="shared" si="49"/>
        <v>0</v>
      </c>
      <c r="Z132" s="15">
        <f>SUM(Financials20263[[#This Row],[2026 Opportunity]:[2026 Risk]])</f>
        <v>-4330.4400000000023</v>
      </c>
      <c r="AA132" s="3" t="s">
        <v>839</v>
      </c>
      <c r="AB132" s="52">
        <v>29028.26</v>
      </c>
      <c r="AC132" s="52">
        <v>29028.26</v>
      </c>
      <c r="AD132" s="52">
        <v>29028.26</v>
      </c>
      <c r="AE132" s="52">
        <v>29028.26</v>
      </c>
      <c r="AF132" s="52">
        <v>29028.26</v>
      </c>
      <c r="AG132" s="52">
        <v>29028.26</v>
      </c>
      <c r="AH132" s="52"/>
      <c r="AI132" s="52"/>
      <c r="AJ132" s="52"/>
      <c r="AK132" s="52"/>
      <c r="AL132" s="52"/>
      <c r="AM132" s="52"/>
      <c r="AN132" s="75">
        <f>SUM(Financials20263[[#This Row],[Jan FC]:[Dec FC]])</f>
        <v>174169.56</v>
      </c>
      <c r="AO132" s="15">
        <f t="shared" si="50"/>
        <v>29028.26</v>
      </c>
      <c r="AP132" s="61">
        <v>29028.26</v>
      </c>
      <c r="AQ132" s="61">
        <v>29028.26</v>
      </c>
      <c r="AR132" s="61">
        <v>29028.26</v>
      </c>
      <c r="AS132" s="61">
        <v>29028.26</v>
      </c>
      <c r="AT132" s="61">
        <v>29028.26</v>
      </c>
      <c r="AU132" s="61">
        <v>29028.26</v>
      </c>
      <c r="AV132" s="61"/>
      <c r="AW132" s="61"/>
      <c r="AX132" s="61"/>
      <c r="AY132" s="61"/>
      <c r="AZ132" s="61"/>
      <c r="BA132" s="61"/>
      <c r="BB132" s="80">
        <f>SUM(Financials20263[[#This Row],[Jan AC]:[Dec AC]])</f>
        <v>174169.56</v>
      </c>
      <c r="BC132" s="71">
        <f>Financials20263[[#This Row],[Jan AC]]-Financials20263[[#This Row],[Jan FC]]</f>
        <v>0</v>
      </c>
      <c r="BD132" s="71">
        <f>Financials20263[[#This Row],[Feb AC]]-Financials20263[[#This Row],[Feb FC]]</f>
        <v>0</v>
      </c>
      <c r="BE132" s="71">
        <f>Financials20263[[#This Row],[Mar AC]]-Financials20263[[#This Row],[Mar FC]]</f>
        <v>0</v>
      </c>
      <c r="BF132" s="71">
        <f>Financials20263[[#This Row],[Apr AC]]-Financials20263[[#This Row],[Apr FC]]</f>
        <v>0</v>
      </c>
      <c r="BG132" s="71">
        <f>Financials20263[[#This Row],[May AC]]-Financials20263[[#This Row],[May FC]]</f>
        <v>0</v>
      </c>
      <c r="BH132" s="71">
        <f>Financials20263[[#This Row],[Jun AC]]-Financials20263[[#This Row],[Jun FC]]</f>
        <v>0</v>
      </c>
      <c r="BI132" s="71">
        <f>Financials20263[[#This Row],[Jul AC]]-Financials20263[[#This Row],[Jul FC]]</f>
        <v>0</v>
      </c>
      <c r="BJ132" s="71">
        <f>Financials20263[[#This Row],[Aug AC]]-Financials20263[[#This Row],[Aug FC]]</f>
        <v>0</v>
      </c>
      <c r="BK132" s="71">
        <f>Financials20263[[#This Row],[Sep AC]]-Financials20263[[#This Row],[Sep FC]]</f>
        <v>0</v>
      </c>
      <c r="BL132" s="71">
        <f>Financials20263[[#This Row],[Oct AC]]-Financials20263[[#This Row],[Oct FC]]</f>
        <v>0</v>
      </c>
      <c r="BM132" s="71">
        <f>Financials20263[[#This Row],[Nov AC]]-Financials20263[[#This Row],[Nov FC]]</f>
        <v>0</v>
      </c>
      <c r="BN132" s="71">
        <f>Financials20263[[#This Row],[Dec AC]]-Financials20263[[#This Row],[Dec FC]]</f>
        <v>0</v>
      </c>
      <c r="BO132" s="71">
        <f>SUM(Financials20263[[#This Row],[Jan Opp/Risk]:[Dec Opp./Risk]])</f>
        <v>0</v>
      </c>
      <c r="BP132" s="87" t="s">
        <v>531</v>
      </c>
      <c r="BQ132" s="47">
        <f>SUM(Financials20263[[#This Row],[Jan AC]:[May AC]])</f>
        <v>145141.29999999999</v>
      </c>
      <c r="BR132" s="6">
        <f>Financials20263[[#This Row],[2026 (Actuals + Forecast)]]-Financials20263[[#This Row],[Jan-May Actuals]]-Financials20263[[#This Row],[Jun-Dec FC]]</f>
        <v>0</v>
      </c>
      <c r="BS132" s="6">
        <f>Financials20263[[#This Row],[Jun-Dec FC]]+Financials20263[[#This Row],[Jan-May Forecast ]]</f>
        <v>29028.26</v>
      </c>
      <c r="BT132" s="6">
        <f>SUM(Financials20263[[#This Row],[Jan FC]:[May FC]])</f>
        <v>145141.29999999999</v>
      </c>
      <c r="BU132" s="6">
        <f>Financials20263[[#This Row],[Jan-May Actuals]]+Financials20263[[#This Row],[Forecast Jun-Dec]]</f>
        <v>174169.56</v>
      </c>
      <c r="BV132" s="6"/>
      <c r="BW132" s="6"/>
      <c r="BX132" s="6"/>
    </row>
    <row r="133" spans="1:76">
      <c r="A133" s="22" t="s">
        <v>473</v>
      </c>
      <c r="B133" s="21" t="s">
        <v>299</v>
      </c>
      <c r="C133" s="21" t="s">
        <v>692</v>
      </c>
      <c r="D133" s="10" t="s">
        <v>840</v>
      </c>
      <c r="E133" s="7" t="s">
        <v>841</v>
      </c>
      <c r="F133" s="3" t="s">
        <v>43</v>
      </c>
      <c r="G133" s="3" t="s">
        <v>20</v>
      </c>
      <c r="H133" s="4">
        <v>45943</v>
      </c>
      <c r="I133" s="4">
        <v>46109</v>
      </c>
      <c r="J133" s="3" t="s">
        <v>842</v>
      </c>
      <c r="K133" s="3" t="str">
        <f t="shared" si="47"/>
        <v>Prj000476-Implement - Reporting to Support DGC</v>
      </c>
      <c r="L133" s="21" t="s">
        <v>478</v>
      </c>
      <c r="M133" s="21" t="s">
        <v>16</v>
      </c>
      <c r="N133" s="21" t="s">
        <v>16</v>
      </c>
      <c r="O133" s="21"/>
      <c r="P133" s="21" t="s">
        <v>479</v>
      </c>
      <c r="Q133" s="21" t="s">
        <v>480</v>
      </c>
      <c r="R133" s="21" t="s">
        <v>480</v>
      </c>
      <c r="S133" s="21" t="s">
        <v>508</v>
      </c>
      <c r="T133" s="5">
        <v>3529.53</v>
      </c>
      <c r="U133" s="5">
        <v>7470</v>
      </c>
      <c r="V133" s="5">
        <v>7470</v>
      </c>
      <c r="W133" s="15">
        <f t="shared" si="48"/>
        <v>7470</v>
      </c>
      <c r="X133" s="15">
        <f t="shared" si="33"/>
        <v>0</v>
      </c>
      <c r="Y133" s="15">
        <f t="shared" si="49"/>
        <v>0</v>
      </c>
      <c r="Z133" s="15">
        <f>SUM(Financials20263[[#This Row],[2026 Opportunity]:[2026 Risk]])</f>
        <v>0</v>
      </c>
      <c r="AA133" s="3" t="s">
        <v>843</v>
      </c>
      <c r="AB133" s="52"/>
      <c r="AC133" s="52"/>
      <c r="AD133" s="52"/>
      <c r="AE133" s="52"/>
      <c r="AF133" s="52"/>
      <c r="AG133" s="52"/>
      <c r="AH133" s="52"/>
      <c r="AI133" s="52"/>
      <c r="AJ133" s="52"/>
      <c r="AK133" s="52"/>
      <c r="AL133" s="52">
        <v>7470</v>
      </c>
      <c r="AM133" s="52"/>
      <c r="AN133" s="52">
        <f>SUM(Financials20263[[#This Row],[Jan FC]:[Dec FC]])</f>
        <v>7470</v>
      </c>
      <c r="AO133" s="15">
        <f t="shared" si="50"/>
        <v>7470</v>
      </c>
      <c r="AP133" s="61"/>
      <c r="AQ133" s="61"/>
      <c r="AR133" s="61"/>
      <c r="AS133" s="61"/>
      <c r="AT133" s="61"/>
      <c r="AU133" s="61"/>
      <c r="AV133" s="61"/>
      <c r="AW133" s="61"/>
      <c r="AX133" s="61"/>
      <c r="AY133" s="61"/>
      <c r="AZ133" s="61"/>
      <c r="BA133" s="61"/>
      <c r="BB133" s="80">
        <f>SUM(Financials20263[[#This Row],[Jan AC]:[Dec AC]])</f>
        <v>0</v>
      </c>
      <c r="BC133" s="71">
        <f>Financials20263[[#This Row],[Jan AC]]-Financials20263[[#This Row],[Jan FC]]</f>
        <v>0</v>
      </c>
      <c r="BD133" s="71">
        <f>Financials20263[[#This Row],[Feb AC]]-Financials20263[[#This Row],[Feb FC]]</f>
        <v>0</v>
      </c>
      <c r="BE133" s="71">
        <f>Financials20263[[#This Row],[Mar AC]]-Financials20263[[#This Row],[Mar FC]]</f>
        <v>0</v>
      </c>
      <c r="BF133" s="71">
        <f>Financials20263[[#This Row],[Apr AC]]-Financials20263[[#This Row],[Apr FC]]</f>
        <v>0</v>
      </c>
      <c r="BG133" s="71">
        <f>Financials20263[[#This Row],[May AC]]-Financials20263[[#This Row],[May FC]]</f>
        <v>0</v>
      </c>
      <c r="BH133" s="71">
        <f>Financials20263[[#This Row],[Jun AC]]-Financials20263[[#This Row],[Jun FC]]</f>
        <v>0</v>
      </c>
      <c r="BI133" s="71">
        <f>Financials20263[[#This Row],[Jul AC]]-Financials20263[[#This Row],[Jul FC]]</f>
        <v>0</v>
      </c>
      <c r="BJ133" s="71">
        <f>Financials20263[[#This Row],[Aug AC]]-Financials20263[[#This Row],[Aug FC]]</f>
        <v>0</v>
      </c>
      <c r="BK133" s="71">
        <f>Financials20263[[#This Row],[Sep AC]]-Financials20263[[#This Row],[Sep FC]]</f>
        <v>0</v>
      </c>
      <c r="BL133" s="71">
        <f>Financials20263[[#This Row],[Oct AC]]-Financials20263[[#This Row],[Oct FC]]</f>
        <v>0</v>
      </c>
      <c r="BM133" s="71">
        <f>Financials20263[[#This Row],[Nov AC]]-Financials20263[[#This Row],[Nov FC]]</f>
        <v>-7470</v>
      </c>
      <c r="BN133" s="71">
        <f>Financials20263[[#This Row],[Dec AC]]-Financials20263[[#This Row],[Dec FC]]</f>
        <v>0</v>
      </c>
      <c r="BO133" s="71">
        <f>SUM(Financials20263[[#This Row],[Jan Opp/Risk]:[Dec Opp./Risk]])</f>
        <v>-7470</v>
      </c>
      <c r="BP133" s="87"/>
      <c r="BQ133" s="47">
        <f>SUM(Financials20263[[#This Row],[Jan AC]:[May AC]])</f>
        <v>0</v>
      </c>
      <c r="BR133" s="6">
        <f>Financials20263[[#This Row],[2026 (Actuals + Forecast)]]-Financials20263[[#This Row],[Jan-May Actuals]]-Financials20263[[#This Row],[Jun-Dec FC]]</f>
        <v>0</v>
      </c>
      <c r="BS133" s="6">
        <f>Financials20263[[#This Row],[Jun-Dec FC]]+Financials20263[[#This Row],[Jan-May Forecast ]]</f>
        <v>7470</v>
      </c>
      <c r="BT133" s="6">
        <f>SUM(Financials20263[[#This Row],[Jan FC]:[May FC]])</f>
        <v>0</v>
      </c>
      <c r="BU133" s="6">
        <f>Financials20263[[#This Row],[Jan-May Actuals]]+Financials20263[[#This Row],[Forecast Jun-Dec]]</f>
        <v>7470</v>
      </c>
      <c r="BV133" s="6"/>
      <c r="BW133" s="6"/>
      <c r="BX133" s="6"/>
    </row>
    <row r="134" spans="1:76">
      <c r="A134" s="22" t="s">
        <v>473</v>
      </c>
      <c r="B134" s="21" t="s">
        <v>48</v>
      </c>
      <c r="C134" s="21" t="s">
        <v>600</v>
      </c>
      <c r="D134" s="10" t="s">
        <v>844</v>
      </c>
      <c r="E134" s="7" t="s">
        <v>845</v>
      </c>
      <c r="F134" s="3" t="s">
        <v>69</v>
      </c>
      <c r="G134" s="3" t="s">
        <v>23</v>
      </c>
      <c r="H134" s="4"/>
      <c r="I134" s="4"/>
      <c r="J134" s="3"/>
      <c r="K134" s="3" t="str">
        <f t="shared" si="47"/>
        <v>Prj000402-Implement - Minor Enhancements for Data Services</v>
      </c>
      <c r="L134" s="21" t="s">
        <v>499</v>
      </c>
      <c r="M134" s="21" t="s">
        <v>14</v>
      </c>
      <c r="N134" s="21" t="s">
        <v>500</v>
      </c>
      <c r="O134" s="21"/>
      <c r="P134" s="21" t="s">
        <v>501</v>
      </c>
      <c r="Q134" s="21" t="s">
        <v>502</v>
      </c>
      <c r="R134" s="21" t="s">
        <v>503</v>
      </c>
      <c r="S134" s="3" t="s">
        <v>814</v>
      </c>
      <c r="T134" s="5">
        <v>0</v>
      </c>
      <c r="U134" s="5">
        <v>100000</v>
      </c>
      <c r="V134" s="5">
        <v>100000</v>
      </c>
      <c r="W134" s="15">
        <f t="shared" si="48"/>
        <v>100000</v>
      </c>
      <c r="X134" s="15">
        <f t="shared" si="33"/>
        <v>0</v>
      </c>
      <c r="Y134" s="15">
        <f t="shared" si="49"/>
        <v>0</v>
      </c>
      <c r="Z134" s="15">
        <f>SUM(Financials20263[[#This Row],[2026 Opportunity]:[2026 Risk]])</f>
        <v>0</v>
      </c>
      <c r="AA134" s="3" t="s">
        <v>814</v>
      </c>
      <c r="AB134" s="52"/>
      <c r="AC134" s="52"/>
      <c r="AD134" s="52"/>
      <c r="AE134" s="52"/>
      <c r="AF134" s="52"/>
      <c r="AG134" s="52"/>
      <c r="AH134" s="52"/>
      <c r="AI134" s="52"/>
      <c r="AJ134" s="52"/>
      <c r="AK134" s="52"/>
      <c r="AL134" s="52"/>
      <c r="AM134" s="46">
        <v>100000</v>
      </c>
      <c r="AN134" s="52">
        <f>SUM(Financials20263[[#This Row],[Jan FC]:[Dec FC]])</f>
        <v>100000</v>
      </c>
      <c r="AO134" s="15">
        <f t="shared" si="50"/>
        <v>100000</v>
      </c>
      <c r="AP134" s="61"/>
      <c r="AQ134" s="61"/>
      <c r="AR134" s="61"/>
      <c r="AS134" s="61"/>
      <c r="AT134" s="61"/>
      <c r="AU134" s="61"/>
      <c r="AV134" s="61"/>
      <c r="AW134" s="61"/>
      <c r="AX134" s="61"/>
      <c r="AY134" s="61"/>
      <c r="AZ134" s="61"/>
      <c r="BA134" s="61"/>
      <c r="BB134" s="80">
        <f>SUM(Financials20263[[#This Row],[Jan AC]:[Dec AC]])</f>
        <v>0</v>
      </c>
      <c r="BC134" s="71">
        <f>Financials20263[[#This Row],[Jan AC]]-Financials20263[[#This Row],[Jan FC]]</f>
        <v>0</v>
      </c>
      <c r="BD134" s="71">
        <f>Financials20263[[#This Row],[Feb AC]]-Financials20263[[#This Row],[Feb FC]]</f>
        <v>0</v>
      </c>
      <c r="BE134" s="71">
        <f>Financials20263[[#This Row],[Mar AC]]-Financials20263[[#This Row],[Mar FC]]</f>
        <v>0</v>
      </c>
      <c r="BF134" s="71">
        <f>Financials20263[[#This Row],[Apr AC]]-Financials20263[[#This Row],[Apr FC]]</f>
        <v>0</v>
      </c>
      <c r="BG134" s="71">
        <f>Financials20263[[#This Row],[May AC]]-Financials20263[[#This Row],[May FC]]</f>
        <v>0</v>
      </c>
      <c r="BH134" s="71">
        <f>Financials20263[[#This Row],[Jun AC]]-Financials20263[[#This Row],[Jun FC]]</f>
        <v>0</v>
      </c>
      <c r="BI134" s="71">
        <f>Financials20263[[#This Row],[Jul AC]]-Financials20263[[#This Row],[Jul FC]]</f>
        <v>0</v>
      </c>
      <c r="BJ134" s="71">
        <f>Financials20263[[#This Row],[Aug AC]]-Financials20263[[#This Row],[Aug FC]]</f>
        <v>0</v>
      </c>
      <c r="BK134" s="71">
        <f>Financials20263[[#This Row],[Sep AC]]-Financials20263[[#This Row],[Sep FC]]</f>
        <v>0</v>
      </c>
      <c r="BL134" s="71">
        <f>Financials20263[[#This Row],[Oct AC]]-Financials20263[[#This Row],[Oct FC]]</f>
        <v>0</v>
      </c>
      <c r="BM134" s="71">
        <f>Financials20263[[#This Row],[Nov AC]]-Financials20263[[#This Row],[Nov FC]]</f>
        <v>0</v>
      </c>
      <c r="BN134" s="71">
        <f>Financials20263[[#This Row],[Dec AC]]-Financials20263[[#This Row],[Dec FC]]</f>
        <v>-100000</v>
      </c>
      <c r="BO134" s="71">
        <f>SUM(Financials20263[[#This Row],[Jan Opp/Risk]:[Dec Opp./Risk]])</f>
        <v>-100000</v>
      </c>
      <c r="BP134" s="87" t="s">
        <v>815</v>
      </c>
      <c r="BQ134" s="47">
        <f>SUM(Financials20263[[#This Row],[Jan AC]:[May AC]])</f>
        <v>0</v>
      </c>
      <c r="BR134" s="6">
        <f>Financials20263[[#This Row],[2026 (Actuals + Forecast)]]-Financials20263[[#This Row],[Jan-May Actuals]]-Financials20263[[#This Row],[Jun-Dec FC]]</f>
        <v>0</v>
      </c>
      <c r="BS134" s="6">
        <f>Financials20263[[#This Row],[Jun-Dec FC]]+Financials20263[[#This Row],[Jan-May Forecast ]]</f>
        <v>100000</v>
      </c>
      <c r="BT134" s="6">
        <f>SUM(Financials20263[[#This Row],[Jan FC]:[May FC]])</f>
        <v>0</v>
      </c>
      <c r="BU134" s="6">
        <f>Financials20263[[#This Row],[Jan-May Actuals]]+Financials20263[[#This Row],[Forecast Jun-Dec]]</f>
        <v>100000</v>
      </c>
      <c r="BV134" s="6"/>
      <c r="BW134" s="6"/>
      <c r="BX134" s="6"/>
    </row>
    <row r="135" spans="1:76">
      <c r="A135" s="22" t="s">
        <v>473</v>
      </c>
      <c r="B135" s="21" t="s">
        <v>56</v>
      </c>
      <c r="C135" s="21"/>
      <c r="D135" s="10" t="s">
        <v>846</v>
      </c>
      <c r="E135" s="7" t="s">
        <v>847</v>
      </c>
      <c r="F135" s="3" t="s">
        <v>498</v>
      </c>
      <c r="G135" s="3" t="s">
        <v>22</v>
      </c>
      <c r="H135" s="4"/>
      <c r="I135" s="4"/>
      <c r="J135" s="3"/>
      <c r="K135" s="3" t="str">
        <f t="shared" si="47"/>
        <v>Prj000278-Implement - Fund Acctn Modules to Support BS Transition</v>
      </c>
      <c r="L135" s="21" t="s">
        <v>499</v>
      </c>
      <c r="M135" s="21" t="s">
        <v>10</v>
      </c>
      <c r="N135" s="21" t="s">
        <v>773</v>
      </c>
      <c r="O135" s="21"/>
      <c r="P135" s="21" t="s">
        <v>767</v>
      </c>
      <c r="Q135" s="21" t="s">
        <v>768</v>
      </c>
      <c r="R135" s="21" t="s">
        <v>522</v>
      </c>
      <c r="S135" s="3" t="s">
        <v>814</v>
      </c>
      <c r="T135" s="5">
        <v>0</v>
      </c>
      <c r="U135" s="5">
        <v>250000</v>
      </c>
      <c r="V135" s="5">
        <v>250000</v>
      </c>
      <c r="W135" s="15">
        <f t="shared" si="48"/>
        <v>150000</v>
      </c>
      <c r="X135" s="15">
        <f t="shared" si="33"/>
        <v>-100000</v>
      </c>
      <c r="Y135" s="15">
        <f t="shared" si="49"/>
        <v>0</v>
      </c>
      <c r="Z135" s="15">
        <f>SUM(Financials20263[[#This Row],[2026 Opportunity]:[2026 Risk]])</f>
        <v>-100000</v>
      </c>
      <c r="AA135" s="3" t="s">
        <v>820</v>
      </c>
      <c r="AB135" s="52"/>
      <c r="AC135" s="52"/>
      <c r="AD135" s="52"/>
      <c r="AE135" s="52"/>
      <c r="AF135" s="52"/>
      <c r="AG135" s="52"/>
      <c r="AH135" s="52"/>
      <c r="AI135" s="52"/>
      <c r="AJ135" s="52"/>
      <c r="AK135" s="52"/>
      <c r="AL135" s="52"/>
      <c r="AM135" s="46">
        <v>150000</v>
      </c>
      <c r="AN135" s="52">
        <f>SUM(Financials20263[[#This Row],[Jan FC]:[Dec FC]])</f>
        <v>150000</v>
      </c>
      <c r="AO135" s="15">
        <f t="shared" si="50"/>
        <v>150000</v>
      </c>
      <c r="AP135" s="61"/>
      <c r="AQ135" s="61"/>
      <c r="AR135" s="61"/>
      <c r="AS135" s="61"/>
      <c r="AT135" s="61"/>
      <c r="AU135" s="61"/>
      <c r="AV135" s="61"/>
      <c r="AW135" s="61"/>
      <c r="AX135" s="61"/>
      <c r="AY135" s="61"/>
      <c r="AZ135" s="61"/>
      <c r="BA135" s="61"/>
      <c r="BB135" s="80">
        <f>SUM(Financials20263[[#This Row],[Jan AC]:[Dec AC]])</f>
        <v>0</v>
      </c>
      <c r="BC135" s="71">
        <f>Financials20263[[#This Row],[Jan AC]]-Financials20263[[#This Row],[Jan FC]]</f>
        <v>0</v>
      </c>
      <c r="BD135" s="71">
        <f>Financials20263[[#This Row],[Feb AC]]-Financials20263[[#This Row],[Feb FC]]</f>
        <v>0</v>
      </c>
      <c r="BE135" s="71">
        <f>Financials20263[[#This Row],[Mar AC]]-Financials20263[[#This Row],[Mar FC]]</f>
        <v>0</v>
      </c>
      <c r="BF135" s="71">
        <f>Financials20263[[#This Row],[Apr AC]]-Financials20263[[#This Row],[Apr FC]]</f>
        <v>0</v>
      </c>
      <c r="BG135" s="71">
        <f>Financials20263[[#This Row],[May AC]]-Financials20263[[#This Row],[May FC]]</f>
        <v>0</v>
      </c>
      <c r="BH135" s="71">
        <f>Financials20263[[#This Row],[Jun AC]]-Financials20263[[#This Row],[Jun FC]]</f>
        <v>0</v>
      </c>
      <c r="BI135" s="71">
        <f>Financials20263[[#This Row],[Jul AC]]-Financials20263[[#This Row],[Jul FC]]</f>
        <v>0</v>
      </c>
      <c r="BJ135" s="71">
        <f>Financials20263[[#This Row],[Aug AC]]-Financials20263[[#This Row],[Aug FC]]</f>
        <v>0</v>
      </c>
      <c r="BK135" s="71">
        <f>Financials20263[[#This Row],[Sep AC]]-Financials20263[[#This Row],[Sep FC]]</f>
        <v>0</v>
      </c>
      <c r="BL135" s="71">
        <f>Financials20263[[#This Row],[Oct AC]]-Financials20263[[#This Row],[Oct FC]]</f>
        <v>0</v>
      </c>
      <c r="BM135" s="71">
        <f>Financials20263[[#This Row],[Nov AC]]-Financials20263[[#This Row],[Nov FC]]</f>
        <v>0</v>
      </c>
      <c r="BN135" s="71">
        <f>Financials20263[[#This Row],[Dec AC]]-Financials20263[[#This Row],[Dec FC]]</f>
        <v>-150000</v>
      </c>
      <c r="BO135" s="71">
        <f>SUM(Financials20263[[#This Row],[Jan Opp/Risk]:[Dec Opp./Risk]])</f>
        <v>-150000</v>
      </c>
      <c r="BP135" s="87" t="s">
        <v>815</v>
      </c>
      <c r="BQ135" s="47">
        <f>SUM(Financials20263[[#This Row],[Jan AC]:[May AC]])</f>
        <v>0</v>
      </c>
      <c r="BR135" s="6">
        <f>Financials20263[[#This Row],[2026 (Actuals + Forecast)]]-Financials20263[[#This Row],[Jan-May Actuals]]-Financials20263[[#This Row],[Jun-Dec FC]]</f>
        <v>0</v>
      </c>
      <c r="BS135" s="6">
        <f>Financials20263[[#This Row],[Jun-Dec FC]]+Financials20263[[#This Row],[Jan-May Forecast ]]</f>
        <v>150000</v>
      </c>
      <c r="BT135" s="6">
        <f>SUM(Financials20263[[#This Row],[Jan FC]:[May FC]])</f>
        <v>0</v>
      </c>
      <c r="BU135" s="6">
        <f>Financials20263[[#This Row],[Jan-May Actuals]]+Financials20263[[#This Row],[Forecast Jun-Dec]]</f>
        <v>150000</v>
      </c>
      <c r="BV135" s="6"/>
      <c r="BW135" s="6"/>
      <c r="BX135" s="6"/>
    </row>
    <row r="136" spans="1:76">
      <c r="A136" s="22" t="s">
        <v>473</v>
      </c>
      <c r="B136" s="21" t="s">
        <v>377</v>
      </c>
      <c r="C136" s="21"/>
      <c r="D136" s="10" t="s">
        <v>848</v>
      </c>
      <c r="E136" s="7" t="s">
        <v>849</v>
      </c>
      <c r="F136" s="3" t="s">
        <v>488</v>
      </c>
      <c r="G136" s="3" t="s">
        <v>25</v>
      </c>
      <c r="H136" s="4">
        <v>45971</v>
      </c>
      <c r="I136" s="4">
        <v>46190</v>
      </c>
      <c r="J136" s="3"/>
      <c r="K136" s="3" t="str">
        <f t="shared" si="47"/>
        <v>Prj000296-Support - PMO Governance &amp; Reporting Activities</v>
      </c>
      <c r="L136" s="21" t="s">
        <v>478</v>
      </c>
      <c r="M136" s="21" t="s">
        <v>16</v>
      </c>
      <c r="N136" s="21" t="s">
        <v>16</v>
      </c>
      <c r="O136" s="21"/>
      <c r="P136" s="21" t="s">
        <v>479</v>
      </c>
      <c r="Q136" s="21" t="s">
        <v>589</v>
      </c>
      <c r="R136" s="21" t="s">
        <v>589</v>
      </c>
      <c r="S136" s="3" t="s">
        <v>481</v>
      </c>
      <c r="T136" s="5">
        <v>52988.05</v>
      </c>
      <c r="U136" s="5">
        <v>100000</v>
      </c>
      <c r="V136" s="5">
        <v>100000</v>
      </c>
      <c r="W136" s="15">
        <f t="shared" si="48"/>
        <v>113850</v>
      </c>
      <c r="X136" s="15">
        <f t="shared" si="33"/>
        <v>0</v>
      </c>
      <c r="Y136" s="15">
        <f t="shared" si="49"/>
        <v>13850</v>
      </c>
      <c r="Z136" s="15">
        <f>SUM(Financials20263[[#This Row],[2026 Opportunity]:[2026 Risk]])</f>
        <v>13850</v>
      </c>
      <c r="AA136" s="3" t="s">
        <v>850</v>
      </c>
      <c r="AB136" s="52"/>
      <c r="AC136" s="52"/>
      <c r="AD136" s="52"/>
      <c r="AE136" s="52"/>
      <c r="AF136" s="52"/>
      <c r="AG136" s="52"/>
      <c r="AH136" s="52"/>
      <c r="AI136" s="52">
        <v>113850</v>
      </c>
      <c r="AJ136" s="52"/>
      <c r="AK136" s="52"/>
      <c r="AL136" s="52"/>
      <c r="AM136" s="52"/>
      <c r="AN136" s="52">
        <f>SUM(Financials20263[[#This Row],[Jan FC]:[Dec FC]])</f>
        <v>113850</v>
      </c>
      <c r="AO136" s="15">
        <f t="shared" si="50"/>
        <v>113850</v>
      </c>
      <c r="AP136" s="61"/>
      <c r="AQ136" s="61"/>
      <c r="AR136" s="61"/>
      <c r="AS136" s="61"/>
      <c r="AT136" s="61"/>
      <c r="AU136" s="61"/>
      <c r="AV136" s="61"/>
      <c r="AW136" s="61"/>
      <c r="AX136" s="61"/>
      <c r="AY136" s="61"/>
      <c r="AZ136" s="61"/>
      <c r="BA136" s="61"/>
      <c r="BB136" s="80">
        <f>SUM(Financials20263[[#This Row],[Jan AC]:[Dec AC]])</f>
        <v>0</v>
      </c>
      <c r="BC136" s="71">
        <f>Financials20263[[#This Row],[Jan AC]]-Financials20263[[#This Row],[Jan FC]]</f>
        <v>0</v>
      </c>
      <c r="BD136" s="71">
        <f>Financials20263[[#This Row],[Feb AC]]-Financials20263[[#This Row],[Feb FC]]</f>
        <v>0</v>
      </c>
      <c r="BE136" s="71">
        <f>Financials20263[[#This Row],[Mar AC]]-Financials20263[[#This Row],[Mar FC]]</f>
        <v>0</v>
      </c>
      <c r="BF136" s="71">
        <f>Financials20263[[#This Row],[Apr AC]]-Financials20263[[#This Row],[Apr FC]]</f>
        <v>0</v>
      </c>
      <c r="BG136" s="71">
        <f>Financials20263[[#This Row],[May AC]]-Financials20263[[#This Row],[May FC]]</f>
        <v>0</v>
      </c>
      <c r="BH136" s="71">
        <f>Financials20263[[#This Row],[Jun AC]]-Financials20263[[#This Row],[Jun FC]]</f>
        <v>0</v>
      </c>
      <c r="BI136" s="71">
        <f>Financials20263[[#This Row],[Jul AC]]-Financials20263[[#This Row],[Jul FC]]</f>
        <v>0</v>
      </c>
      <c r="BJ136" s="71">
        <f>Financials20263[[#This Row],[Aug AC]]-Financials20263[[#This Row],[Aug FC]]</f>
        <v>-113850</v>
      </c>
      <c r="BK136" s="71">
        <f>Financials20263[[#This Row],[Sep AC]]-Financials20263[[#This Row],[Sep FC]]</f>
        <v>0</v>
      </c>
      <c r="BL136" s="71">
        <f>Financials20263[[#This Row],[Oct AC]]-Financials20263[[#This Row],[Oct FC]]</f>
        <v>0</v>
      </c>
      <c r="BM136" s="71">
        <f>Financials20263[[#This Row],[Nov AC]]-Financials20263[[#This Row],[Nov FC]]</f>
        <v>0</v>
      </c>
      <c r="BN136" s="71">
        <f>Financials20263[[#This Row],[Dec AC]]-Financials20263[[#This Row],[Dec FC]]</f>
        <v>0</v>
      </c>
      <c r="BO136" s="71">
        <f>SUM(Financials20263[[#This Row],[Jan Opp/Risk]:[Dec Opp./Risk]])</f>
        <v>-113850</v>
      </c>
      <c r="BP136" s="87" t="s">
        <v>815</v>
      </c>
      <c r="BQ136" s="47">
        <f>SUM(Financials20263[[#This Row],[Jan AC]:[May AC]])</f>
        <v>0</v>
      </c>
      <c r="BR136" s="6">
        <f>Financials20263[[#This Row],[2026 (Actuals + Forecast)]]-Financials20263[[#This Row],[Jan-May Actuals]]-Financials20263[[#This Row],[Jun-Dec FC]]</f>
        <v>0</v>
      </c>
      <c r="BS136" s="6">
        <f>Financials20263[[#This Row],[Jun-Dec FC]]+Financials20263[[#This Row],[Jan-May Forecast ]]</f>
        <v>113850</v>
      </c>
      <c r="BT136" s="6">
        <f>SUM(Financials20263[[#This Row],[Jan FC]:[May FC]])</f>
        <v>0</v>
      </c>
      <c r="BU136" s="6">
        <f>Financials20263[[#This Row],[Jan-May Actuals]]+Financials20263[[#This Row],[Forecast Jun-Dec]]</f>
        <v>113850</v>
      </c>
      <c r="BV136" s="6"/>
      <c r="BW136" s="6"/>
      <c r="BX136" s="6"/>
    </row>
    <row r="137" spans="1:76" ht="43.15">
      <c r="A137" s="22" t="s">
        <v>473</v>
      </c>
      <c r="B137" s="21" t="s">
        <v>44</v>
      </c>
      <c r="C137" s="21"/>
      <c r="D137" s="10" t="s">
        <v>816</v>
      </c>
      <c r="E137" s="7" t="s">
        <v>817</v>
      </c>
      <c r="F137" s="3" t="s">
        <v>561</v>
      </c>
      <c r="G137" s="3" t="s">
        <v>20</v>
      </c>
      <c r="H137" s="4">
        <v>46023</v>
      </c>
      <c r="I137" s="4">
        <v>46112</v>
      </c>
      <c r="J137" s="3"/>
      <c r="K137" s="3" t="str">
        <f t="shared" si="47"/>
        <v>Prj000353-Implement - L1/L2 CoE for Additional Platforms</v>
      </c>
      <c r="L137" s="21" t="s">
        <v>499</v>
      </c>
      <c r="M137" s="21" t="s">
        <v>10</v>
      </c>
      <c r="N137" s="21" t="s">
        <v>763</v>
      </c>
      <c r="O137" s="21"/>
      <c r="P137" s="21" t="s">
        <v>501</v>
      </c>
      <c r="Q137" s="21" t="s">
        <v>502</v>
      </c>
      <c r="R137" s="21" t="s">
        <v>503</v>
      </c>
      <c r="S137" s="3" t="s">
        <v>814</v>
      </c>
      <c r="T137" s="15">
        <v>0</v>
      </c>
      <c r="U137" s="15">
        <v>250000</v>
      </c>
      <c r="V137" s="5">
        <v>250000</v>
      </c>
      <c r="W137" s="15">
        <f t="shared" si="48"/>
        <v>152500</v>
      </c>
      <c r="X137" s="15">
        <f t="shared" ref="X137:X149" si="51">IF(V137 &gt;= W137, V137 - W137, 0)*-1</f>
        <v>-97500</v>
      </c>
      <c r="Y137" s="15">
        <f t="shared" si="49"/>
        <v>0</v>
      </c>
      <c r="Z137" s="15">
        <f>SUM(Financials20263[[#This Row],[2026 Opportunity]:[2026 Risk]])</f>
        <v>-97500</v>
      </c>
      <c r="AA137" s="3" t="s">
        <v>851</v>
      </c>
      <c r="AB137" s="52"/>
      <c r="AC137" s="52"/>
      <c r="AD137" s="52"/>
      <c r="AE137" s="52"/>
      <c r="AF137" s="52"/>
      <c r="AG137" s="52"/>
      <c r="AH137" s="52"/>
      <c r="AI137" s="52"/>
      <c r="AJ137" s="52"/>
      <c r="AK137" s="52"/>
      <c r="AL137" s="52"/>
      <c r="AM137" s="46">
        <v>152500</v>
      </c>
      <c r="AN137" s="75">
        <f>SUM(Financials20263[[#This Row],[Jan FC]:[Dec FC]])</f>
        <v>152500</v>
      </c>
      <c r="AO137" s="15">
        <f t="shared" si="50"/>
        <v>152500</v>
      </c>
      <c r="AP137" s="61"/>
      <c r="AQ137" s="61"/>
      <c r="AR137" s="61"/>
      <c r="AS137" s="61"/>
      <c r="AT137" s="61"/>
      <c r="AU137" s="61"/>
      <c r="AV137" s="61"/>
      <c r="AW137" s="61"/>
      <c r="AX137" s="61"/>
      <c r="AY137" s="61"/>
      <c r="AZ137" s="61"/>
      <c r="BA137" s="61"/>
      <c r="BB137" s="80">
        <f>SUM(Financials20263[[#This Row],[Jan AC]:[Dec AC]])</f>
        <v>0</v>
      </c>
      <c r="BC137" s="71">
        <f>Financials20263[[#This Row],[Jan AC]]-Financials20263[[#This Row],[Jan FC]]</f>
        <v>0</v>
      </c>
      <c r="BD137" s="71">
        <f>Financials20263[[#This Row],[Feb AC]]-Financials20263[[#This Row],[Feb FC]]</f>
        <v>0</v>
      </c>
      <c r="BE137" s="71">
        <f>Financials20263[[#This Row],[Mar AC]]-Financials20263[[#This Row],[Mar FC]]</f>
        <v>0</v>
      </c>
      <c r="BF137" s="71">
        <f>Financials20263[[#This Row],[Apr AC]]-Financials20263[[#This Row],[Apr FC]]</f>
        <v>0</v>
      </c>
      <c r="BG137" s="71">
        <f>Financials20263[[#This Row],[May AC]]-Financials20263[[#This Row],[May FC]]</f>
        <v>0</v>
      </c>
      <c r="BH137" s="71">
        <f>Financials20263[[#This Row],[Jun AC]]-Financials20263[[#This Row],[Jun FC]]</f>
        <v>0</v>
      </c>
      <c r="BI137" s="71">
        <f>Financials20263[[#This Row],[Jul AC]]-Financials20263[[#This Row],[Jul FC]]</f>
        <v>0</v>
      </c>
      <c r="BJ137" s="71">
        <f>Financials20263[[#This Row],[Aug AC]]-Financials20263[[#This Row],[Aug FC]]</f>
        <v>0</v>
      </c>
      <c r="BK137" s="71">
        <f>Financials20263[[#This Row],[Sep AC]]-Financials20263[[#This Row],[Sep FC]]</f>
        <v>0</v>
      </c>
      <c r="BL137" s="71">
        <f>Financials20263[[#This Row],[Oct AC]]-Financials20263[[#This Row],[Oct FC]]</f>
        <v>0</v>
      </c>
      <c r="BM137" s="71">
        <f>Financials20263[[#This Row],[Nov AC]]-Financials20263[[#This Row],[Nov FC]]</f>
        <v>0</v>
      </c>
      <c r="BN137" s="71">
        <f>Financials20263[[#This Row],[Dec AC]]-Financials20263[[#This Row],[Dec FC]]</f>
        <v>-152500</v>
      </c>
      <c r="BO137" s="71">
        <f>SUM(Financials20263[[#This Row],[Jan Opp/Risk]:[Dec Opp./Risk]])</f>
        <v>-152500</v>
      </c>
      <c r="BP137" s="44" t="s">
        <v>852</v>
      </c>
      <c r="BQ137" s="47">
        <f>SUM(Financials20263[[#This Row],[Jan AC]:[May AC]])</f>
        <v>0</v>
      </c>
      <c r="BR137" s="6">
        <f>Financials20263[[#This Row],[2026 (Actuals + Forecast)]]-Financials20263[[#This Row],[Jan-May Actuals]]-Financials20263[[#This Row],[Jun-Dec FC]]</f>
        <v>0</v>
      </c>
      <c r="BS137" s="6">
        <f>Financials20263[[#This Row],[Jun-Dec FC]]+Financials20263[[#This Row],[Jan-May Forecast ]]</f>
        <v>152500</v>
      </c>
      <c r="BT137" s="6">
        <f>SUM(Financials20263[[#This Row],[Jan FC]:[May FC]])</f>
        <v>0</v>
      </c>
      <c r="BU137" s="6">
        <f>Financials20263[[#This Row],[Jan-May Actuals]]+Financials20263[[#This Row],[Forecast Jun-Dec]]</f>
        <v>152500</v>
      </c>
      <c r="BV137" s="6"/>
      <c r="BW137" s="6"/>
      <c r="BX137" s="6"/>
    </row>
    <row r="138" spans="1:76">
      <c r="A138" s="22" t="s">
        <v>473</v>
      </c>
      <c r="B138" s="21" t="s">
        <v>44</v>
      </c>
      <c r="C138" s="21"/>
      <c r="D138" s="10" t="s">
        <v>848</v>
      </c>
      <c r="E138" s="7" t="s">
        <v>849</v>
      </c>
      <c r="F138" s="3" t="s">
        <v>488</v>
      </c>
      <c r="G138" s="3" t="s">
        <v>25</v>
      </c>
      <c r="H138" s="4"/>
      <c r="I138" s="4"/>
      <c r="J138" s="3"/>
      <c r="K138" s="3" t="str">
        <f t="shared" si="47"/>
        <v>Prj000296-Support - PMO Governance &amp; Reporting Activities</v>
      </c>
      <c r="L138" s="21" t="s">
        <v>499</v>
      </c>
      <c r="M138" s="21" t="s">
        <v>10</v>
      </c>
      <c r="N138" s="21" t="s">
        <v>763</v>
      </c>
      <c r="O138" s="21"/>
      <c r="P138" s="21" t="s">
        <v>501</v>
      </c>
      <c r="Q138" s="21" t="s">
        <v>502</v>
      </c>
      <c r="R138" s="21" t="s">
        <v>503</v>
      </c>
      <c r="S138" s="3" t="s">
        <v>814</v>
      </c>
      <c r="T138" s="15">
        <v>0</v>
      </c>
      <c r="U138" s="5">
        <v>100000</v>
      </c>
      <c r="V138" s="5">
        <v>100000</v>
      </c>
      <c r="W138" s="15">
        <f t="shared" si="48"/>
        <v>0</v>
      </c>
      <c r="X138" s="15">
        <f t="shared" si="51"/>
        <v>-100000</v>
      </c>
      <c r="Y138" s="15">
        <f t="shared" si="49"/>
        <v>0</v>
      </c>
      <c r="Z138" s="15">
        <f>SUM(Financials20263[[#This Row],[2026 Opportunity]:[2026 Risk]])</f>
        <v>-100000</v>
      </c>
      <c r="AA138" s="3" t="s">
        <v>853</v>
      </c>
      <c r="AB138" s="52"/>
      <c r="AC138" s="52"/>
      <c r="AD138" s="52"/>
      <c r="AE138" s="52"/>
      <c r="AF138" s="52"/>
      <c r="AG138" s="52"/>
      <c r="AH138" s="52"/>
      <c r="AI138" s="52"/>
      <c r="AJ138" s="52"/>
      <c r="AK138" s="52"/>
      <c r="AL138" s="52"/>
      <c r="AM138" s="52"/>
      <c r="AN138" s="52">
        <f>SUM(Financials20263[[#This Row],[Jan FC]:[Dec FC]])</f>
        <v>0</v>
      </c>
      <c r="AO138" s="15">
        <f t="shared" si="50"/>
        <v>0</v>
      </c>
      <c r="AP138" s="61"/>
      <c r="AQ138" s="61"/>
      <c r="AR138" s="61"/>
      <c r="AS138" s="61"/>
      <c r="AT138" s="61"/>
      <c r="AU138" s="61"/>
      <c r="AV138" s="61"/>
      <c r="AW138" s="61"/>
      <c r="AX138" s="61"/>
      <c r="AY138" s="61"/>
      <c r="AZ138" s="61"/>
      <c r="BA138" s="61"/>
      <c r="BB138" s="80">
        <f>SUM(Financials20263[[#This Row],[Jan AC]:[Dec AC]])</f>
        <v>0</v>
      </c>
      <c r="BC138" s="71">
        <f>Financials20263[[#This Row],[Jan AC]]-Financials20263[[#This Row],[Jan FC]]</f>
        <v>0</v>
      </c>
      <c r="BD138" s="71">
        <f>Financials20263[[#This Row],[Feb AC]]-Financials20263[[#This Row],[Feb FC]]</f>
        <v>0</v>
      </c>
      <c r="BE138" s="71">
        <f>Financials20263[[#This Row],[Mar AC]]-Financials20263[[#This Row],[Mar FC]]</f>
        <v>0</v>
      </c>
      <c r="BF138" s="71">
        <f>Financials20263[[#This Row],[Apr AC]]-Financials20263[[#This Row],[Apr FC]]</f>
        <v>0</v>
      </c>
      <c r="BG138" s="71">
        <f>Financials20263[[#This Row],[May AC]]-Financials20263[[#This Row],[May FC]]</f>
        <v>0</v>
      </c>
      <c r="BH138" s="71">
        <f>Financials20263[[#This Row],[Jun AC]]-Financials20263[[#This Row],[Jun FC]]</f>
        <v>0</v>
      </c>
      <c r="BI138" s="71">
        <f>Financials20263[[#This Row],[Jul AC]]-Financials20263[[#This Row],[Jul FC]]</f>
        <v>0</v>
      </c>
      <c r="BJ138" s="71">
        <f>Financials20263[[#This Row],[Aug AC]]-Financials20263[[#This Row],[Aug FC]]</f>
        <v>0</v>
      </c>
      <c r="BK138" s="71">
        <f>Financials20263[[#This Row],[Sep AC]]-Financials20263[[#This Row],[Sep FC]]</f>
        <v>0</v>
      </c>
      <c r="BL138" s="71">
        <f>Financials20263[[#This Row],[Oct AC]]-Financials20263[[#This Row],[Oct FC]]</f>
        <v>0</v>
      </c>
      <c r="BM138" s="71">
        <f>Financials20263[[#This Row],[Nov AC]]-Financials20263[[#This Row],[Nov FC]]</f>
        <v>0</v>
      </c>
      <c r="BN138" s="71">
        <f>Financials20263[[#This Row],[Dec AC]]-Financials20263[[#This Row],[Dec FC]]</f>
        <v>0</v>
      </c>
      <c r="BO138" s="71">
        <f>SUM(Financials20263[[#This Row],[Jan Opp/Risk]:[Dec Opp./Risk]])</f>
        <v>0</v>
      </c>
      <c r="BP138" s="87" t="s">
        <v>815</v>
      </c>
      <c r="BQ138" s="47">
        <f>SUM(Financials20263[[#This Row],[Jan AC]:[May AC]])</f>
        <v>0</v>
      </c>
      <c r="BR138" s="6">
        <f>Financials20263[[#This Row],[2026 (Actuals + Forecast)]]-Financials20263[[#This Row],[Jan-May Actuals]]-Financials20263[[#This Row],[Jun-Dec FC]]</f>
        <v>0</v>
      </c>
      <c r="BS138" s="6">
        <f>Financials20263[[#This Row],[Jun-Dec FC]]+Financials20263[[#This Row],[Jan-May Forecast ]]</f>
        <v>0</v>
      </c>
      <c r="BT138" s="6">
        <f>SUM(Financials20263[[#This Row],[Jan FC]:[May FC]])</f>
        <v>0</v>
      </c>
      <c r="BU138" s="6">
        <f>Financials20263[[#This Row],[Jan-May Actuals]]+Financials20263[[#This Row],[Forecast Jun-Dec]]</f>
        <v>0</v>
      </c>
      <c r="BV138" s="6"/>
      <c r="BW138" s="6"/>
      <c r="BX138" s="6"/>
    </row>
    <row r="139" spans="1:76">
      <c r="A139" s="22" t="s">
        <v>473</v>
      </c>
      <c r="B139" s="21" t="s">
        <v>92</v>
      </c>
      <c r="C139" s="21"/>
      <c r="D139" s="10" t="s">
        <v>475</v>
      </c>
      <c r="E139" s="7" t="s">
        <v>476</v>
      </c>
      <c r="F139" s="3" t="s">
        <v>91</v>
      </c>
      <c r="G139" s="3" t="s">
        <v>21</v>
      </c>
      <c r="H139" s="4" t="s">
        <v>489</v>
      </c>
      <c r="I139" s="4" t="s">
        <v>489</v>
      </c>
      <c r="J139" s="3"/>
      <c r="K139" s="3" t="str">
        <f t="shared" si="47"/>
        <v>Prj000350-Support - Infrastructure for Tech</v>
      </c>
      <c r="L139" s="21" t="s">
        <v>478</v>
      </c>
      <c r="M139" s="21" t="s">
        <v>11</v>
      </c>
      <c r="N139" s="21" t="s">
        <v>11</v>
      </c>
      <c r="O139" s="21"/>
      <c r="P139" s="21" t="s">
        <v>479</v>
      </c>
      <c r="Q139" s="21" t="s">
        <v>801</v>
      </c>
      <c r="R139" s="21" t="s">
        <v>801</v>
      </c>
      <c r="S139" s="21" t="s">
        <v>508</v>
      </c>
      <c r="T139" s="5">
        <v>0</v>
      </c>
      <c r="U139" s="5">
        <v>0</v>
      </c>
      <c r="V139" s="5">
        <v>0</v>
      </c>
      <c r="W139" s="15">
        <f t="shared" si="48"/>
        <v>75000</v>
      </c>
      <c r="X139" s="15">
        <f t="shared" si="51"/>
        <v>0</v>
      </c>
      <c r="Y139" s="15">
        <f t="shared" si="49"/>
        <v>75000</v>
      </c>
      <c r="Z139" s="15">
        <f>SUM(Financials20263[[#This Row],[2026 Opportunity]:[2026 Risk]])</f>
        <v>75000</v>
      </c>
      <c r="AA139" s="3" t="s">
        <v>854</v>
      </c>
      <c r="AB139" s="52"/>
      <c r="AC139" s="52"/>
      <c r="AD139" s="52"/>
      <c r="AE139" s="52"/>
      <c r="AF139" s="52"/>
      <c r="AG139" s="52"/>
      <c r="AH139" s="52"/>
      <c r="AI139" s="52"/>
      <c r="AJ139" s="52"/>
      <c r="AK139" s="52"/>
      <c r="AL139" s="52"/>
      <c r="AM139" s="52">
        <v>75000</v>
      </c>
      <c r="AN139" s="52">
        <f>SUM(Financials20263[[#This Row],[Jan FC]:[Dec FC]])</f>
        <v>75000</v>
      </c>
      <c r="AO139" s="15">
        <f t="shared" si="50"/>
        <v>75000</v>
      </c>
      <c r="AP139" s="61"/>
      <c r="AQ139" s="61"/>
      <c r="AR139" s="61"/>
      <c r="AS139" s="61"/>
      <c r="AT139" s="61"/>
      <c r="AU139" s="61"/>
      <c r="AV139" s="61"/>
      <c r="AW139" s="61"/>
      <c r="AX139" s="61"/>
      <c r="AY139" s="61"/>
      <c r="AZ139" s="61"/>
      <c r="BA139" s="61"/>
      <c r="BB139" s="80">
        <f>SUM(Financials20263[[#This Row],[Jan AC]:[Dec AC]])</f>
        <v>0</v>
      </c>
      <c r="BC139" s="71">
        <f>Financials20263[[#This Row],[Jan AC]]-Financials20263[[#This Row],[Jan FC]]</f>
        <v>0</v>
      </c>
      <c r="BD139" s="71">
        <f>Financials20263[[#This Row],[Feb AC]]-Financials20263[[#This Row],[Feb FC]]</f>
        <v>0</v>
      </c>
      <c r="BE139" s="71">
        <f>Financials20263[[#This Row],[Mar AC]]-Financials20263[[#This Row],[Mar FC]]</f>
        <v>0</v>
      </c>
      <c r="BF139" s="71">
        <f>Financials20263[[#This Row],[Apr AC]]-Financials20263[[#This Row],[Apr FC]]</f>
        <v>0</v>
      </c>
      <c r="BG139" s="71">
        <f>Financials20263[[#This Row],[May AC]]-Financials20263[[#This Row],[May FC]]</f>
        <v>0</v>
      </c>
      <c r="BH139" s="71">
        <f>Financials20263[[#This Row],[Jun AC]]-Financials20263[[#This Row],[Jun FC]]</f>
        <v>0</v>
      </c>
      <c r="BI139" s="71">
        <f>Financials20263[[#This Row],[Jul AC]]-Financials20263[[#This Row],[Jul FC]]</f>
        <v>0</v>
      </c>
      <c r="BJ139" s="71">
        <f>Financials20263[[#This Row],[Aug AC]]-Financials20263[[#This Row],[Aug FC]]</f>
        <v>0</v>
      </c>
      <c r="BK139" s="71">
        <f>Financials20263[[#This Row],[Sep AC]]-Financials20263[[#This Row],[Sep FC]]</f>
        <v>0</v>
      </c>
      <c r="BL139" s="71">
        <f>Financials20263[[#This Row],[Oct AC]]-Financials20263[[#This Row],[Oct FC]]</f>
        <v>0</v>
      </c>
      <c r="BM139" s="71">
        <f>Financials20263[[#This Row],[Nov AC]]-Financials20263[[#This Row],[Nov FC]]</f>
        <v>0</v>
      </c>
      <c r="BN139" s="71">
        <f>Financials20263[[#This Row],[Dec AC]]-Financials20263[[#This Row],[Dec FC]]</f>
        <v>-75000</v>
      </c>
      <c r="BO139" s="71">
        <f>SUM(Financials20263[[#This Row],[Jan Opp/Risk]:[Dec Opp./Risk]])</f>
        <v>-75000</v>
      </c>
      <c r="BP139" s="87" t="s">
        <v>855</v>
      </c>
      <c r="BQ139" s="47">
        <f>SUM(Financials20263[[#This Row],[Jan AC]:[May AC]])</f>
        <v>0</v>
      </c>
      <c r="BR139" s="6">
        <f>Financials20263[[#This Row],[2026 (Actuals + Forecast)]]-Financials20263[[#This Row],[Jan-May Actuals]]-Financials20263[[#This Row],[Jun-Dec FC]]</f>
        <v>0</v>
      </c>
      <c r="BS139" s="6">
        <f>Financials20263[[#This Row],[Jun-Dec FC]]+Financials20263[[#This Row],[Jan-May Forecast ]]</f>
        <v>75000</v>
      </c>
      <c r="BT139" s="6">
        <f>SUM(Financials20263[[#This Row],[Jan FC]:[May FC]])</f>
        <v>0</v>
      </c>
      <c r="BU139" s="6">
        <f>Financials20263[[#This Row],[Jan-May Actuals]]+Financials20263[[#This Row],[Forecast Jun-Dec]]</f>
        <v>75000</v>
      </c>
      <c r="BV139" s="6"/>
      <c r="BW139" s="6"/>
      <c r="BX139" s="6"/>
    </row>
    <row r="140" spans="1:76">
      <c r="A140" s="22" t="s">
        <v>473</v>
      </c>
      <c r="B140" s="21" t="s">
        <v>327</v>
      </c>
      <c r="C140" s="21"/>
      <c r="D140" s="10" t="s">
        <v>541</v>
      </c>
      <c r="E140" s="7" t="s">
        <v>542</v>
      </c>
      <c r="F140" s="3" t="s">
        <v>543</v>
      </c>
      <c r="G140" s="3" t="s">
        <v>22</v>
      </c>
      <c r="H140" s="4">
        <v>46023</v>
      </c>
      <c r="I140" s="4">
        <v>46387</v>
      </c>
      <c r="J140" s="3" t="s">
        <v>856</v>
      </c>
      <c r="K140" s="3" t="str">
        <f t="shared" si="47"/>
        <v>Prj000381-Support - Prod Support for Credit Apps</v>
      </c>
      <c r="L140" s="21" t="s">
        <v>478</v>
      </c>
      <c r="M140" s="21" t="s">
        <v>16</v>
      </c>
      <c r="N140" s="21" t="s">
        <v>16</v>
      </c>
      <c r="O140" s="21" t="s">
        <v>547</v>
      </c>
      <c r="P140" s="21" t="s">
        <v>479</v>
      </c>
      <c r="Q140" s="21" t="s">
        <v>589</v>
      </c>
      <c r="R140" s="21" t="s">
        <v>589</v>
      </c>
      <c r="S140" s="21" t="s">
        <v>481</v>
      </c>
      <c r="T140" s="5">
        <v>1670024</v>
      </c>
      <c r="U140" s="15">
        <v>1778445.9000000001</v>
      </c>
      <c r="V140" s="15">
        <v>1778445.9000000001</v>
      </c>
      <c r="W140" s="15">
        <f t="shared" si="48"/>
        <v>1864672.0199999998</v>
      </c>
      <c r="X140" s="15">
        <f t="shared" si="51"/>
        <v>0</v>
      </c>
      <c r="Y140" s="15">
        <f t="shared" si="49"/>
        <v>86226.119999999646</v>
      </c>
      <c r="Z140" s="15">
        <f>SUM(Financials20263[[#This Row],[2026 Opportunity]:[2026 Risk]])</f>
        <v>86226.119999999646</v>
      </c>
      <c r="AA140" s="14" t="s">
        <v>857</v>
      </c>
      <c r="AB140" s="52">
        <v>155389.33499999999</v>
      </c>
      <c r="AC140" s="52">
        <v>155389.33499999999</v>
      </c>
      <c r="AD140" s="52">
        <v>155389.33499999999</v>
      </c>
      <c r="AE140" s="52">
        <v>155389.33499999999</v>
      </c>
      <c r="AF140" s="52">
        <v>155389.33499999999</v>
      </c>
      <c r="AG140" s="52">
        <v>155389.33499999999</v>
      </c>
      <c r="AH140" s="52">
        <v>155389.33499999999</v>
      </c>
      <c r="AI140" s="52">
        <v>155389.33499999999</v>
      </c>
      <c r="AJ140" s="52">
        <v>155389.33499999999</v>
      </c>
      <c r="AK140" s="52">
        <v>155389.33499999999</v>
      </c>
      <c r="AL140" s="52">
        <v>155389.33499999999</v>
      </c>
      <c r="AM140" s="52">
        <v>155389.33499999999</v>
      </c>
      <c r="AN140" s="52">
        <f>SUM(Financials20263[[#This Row],[Jan FC]:[Dec FC]])</f>
        <v>1864672.0199999998</v>
      </c>
      <c r="AO140" s="15">
        <f t="shared" si="50"/>
        <v>1087725.345</v>
      </c>
      <c r="AP140" s="61">
        <f t="shared" ref="AP140:BA140" si="52">1864672.02/12</f>
        <v>155389.33499999999</v>
      </c>
      <c r="AQ140" s="61">
        <f t="shared" si="52"/>
        <v>155389.33499999999</v>
      </c>
      <c r="AR140" s="61">
        <f t="shared" si="52"/>
        <v>155389.33499999999</v>
      </c>
      <c r="AS140" s="61">
        <f t="shared" si="52"/>
        <v>155389.33499999999</v>
      </c>
      <c r="AT140" s="61">
        <f t="shared" si="52"/>
        <v>155389.33499999999</v>
      </c>
      <c r="AU140" s="61">
        <f t="shared" si="52"/>
        <v>155389.33499999999</v>
      </c>
      <c r="AV140" s="61">
        <f t="shared" si="52"/>
        <v>155389.33499999999</v>
      </c>
      <c r="AW140" s="61">
        <f t="shared" si="52"/>
        <v>155389.33499999999</v>
      </c>
      <c r="AX140" s="61">
        <f t="shared" si="52"/>
        <v>155389.33499999999</v>
      </c>
      <c r="AY140" s="61">
        <f t="shared" si="52"/>
        <v>155389.33499999999</v>
      </c>
      <c r="AZ140" s="61">
        <f t="shared" si="52"/>
        <v>155389.33499999999</v>
      </c>
      <c r="BA140" s="61">
        <f t="shared" si="52"/>
        <v>155389.33499999999</v>
      </c>
      <c r="BB140" s="80">
        <f>SUM(Financials20263[[#This Row],[Jan AC]:[Dec AC]])</f>
        <v>1864672.0199999998</v>
      </c>
      <c r="BC140" s="71">
        <f>Financials20263[[#This Row],[Jan AC]]-Financials20263[[#This Row],[Jan FC]]</f>
        <v>0</v>
      </c>
      <c r="BD140" s="71">
        <f>Financials20263[[#This Row],[Feb AC]]-Financials20263[[#This Row],[Feb FC]]</f>
        <v>0</v>
      </c>
      <c r="BE140" s="71">
        <f>Financials20263[[#This Row],[Mar AC]]-Financials20263[[#This Row],[Mar FC]]</f>
        <v>0</v>
      </c>
      <c r="BF140" s="71">
        <f>Financials20263[[#This Row],[Apr AC]]-Financials20263[[#This Row],[Apr FC]]</f>
        <v>0</v>
      </c>
      <c r="BG140" s="71">
        <f>Financials20263[[#This Row],[May AC]]-Financials20263[[#This Row],[May FC]]</f>
        <v>0</v>
      </c>
      <c r="BH140" s="71">
        <f>Financials20263[[#This Row],[Jun AC]]-Financials20263[[#This Row],[Jun FC]]</f>
        <v>0</v>
      </c>
      <c r="BI140" s="71">
        <f>Financials20263[[#This Row],[Jul AC]]-Financials20263[[#This Row],[Jul FC]]</f>
        <v>0</v>
      </c>
      <c r="BJ140" s="71">
        <f>Financials20263[[#This Row],[Aug AC]]-Financials20263[[#This Row],[Aug FC]]</f>
        <v>0</v>
      </c>
      <c r="BK140" s="71">
        <f>Financials20263[[#This Row],[Sep AC]]-Financials20263[[#This Row],[Sep FC]]</f>
        <v>0</v>
      </c>
      <c r="BL140" s="71">
        <f>Financials20263[[#This Row],[Oct AC]]-Financials20263[[#This Row],[Oct FC]]</f>
        <v>0</v>
      </c>
      <c r="BM140" s="71">
        <f>Financials20263[[#This Row],[Nov AC]]-Financials20263[[#This Row],[Nov FC]]</f>
        <v>0</v>
      </c>
      <c r="BN140" s="71">
        <f>Financials20263[[#This Row],[Dec AC]]-Financials20263[[#This Row],[Dec FC]]</f>
        <v>0</v>
      </c>
      <c r="BO140" s="71">
        <f>SUM(Financials20263[[#This Row],[Jan Opp/Risk]:[Dec Opp./Risk]])</f>
        <v>0</v>
      </c>
      <c r="BP140" s="87" t="s">
        <v>531</v>
      </c>
      <c r="BQ140" s="47">
        <f>SUM(Financials20263[[#This Row],[Jan AC]:[May AC]])</f>
        <v>776946.67499999993</v>
      </c>
      <c r="BR140" s="6">
        <f>Financials20263[[#This Row],[2026 (Actuals + Forecast)]]-Financials20263[[#This Row],[Jan-May Actuals]]-Financials20263[[#This Row],[Jun-Dec FC]]</f>
        <v>0</v>
      </c>
      <c r="BS140" s="6">
        <f>Financials20263[[#This Row],[Jun-Dec FC]]+Financials20263[[#This Row],[Jan-May Forecast ]]</f>
        <v>1087725.345</v>
      </c>
      <c r="BT140" s="6">
        <f>SUM(Financials20263[[#This Row],[Jan FC]:[May FC]])</f>
        <v>776946.67499999993</v>
      </c>
      <c r="BU140" s="6">
        <f>Financials20263[[#This Row],[Jan-May Actuals]]+Financials20263[[#This Row],[Forecast Jun-Dec]]</f>
        <v>1864672.02</v>
      </c>
      <c r="BV140" s="6"/>
      <c r="BW140" s="6"/>
      <c r="BX140" s="6"/>
    </row>
    <row r="141" spans="1:76">
      <c r="A141" s="22" t="s">
        <v>473</v>
      </c>
      <c r="B141" s="21" t="s">
        <v>343</v>
      </c>
      <c r="C141" s="21" t="s">
        <v>858</v>
      </c>
      <c r="D141" s="10" t="s">
        <v>496</v>
      </c>
      <c r="E141" s="7" t="s">
        <v>497</v>
      </c>
      <c r="F141" s="3" t="s">
        <v>498</v>
      </c>
      <c r="G141" s="3" t="s">
        <v>22</v>
      </c>
      <c r="H141" s="4">
        <v>46013</v>
      </c>
      <c r="I141" s="4">
        <v>46377</v>
      </c>
      <c r="J141" s="3"/>
      <c r="K141" s="3" t="str">
        <f t="shared" si="47"/>
        <v>Prj000344-Support - Prod support for Finance Applications</v>
      </c>
      <c r="L141" s="21" t="s">
        <v>478</v>
      </c>
      <c r="M141" s="21" t="s">
        <v>16</v>
      </c>
      <c r="N141" s="21" t="s">
        <v>16</v>
      </c>
      <c r="O141" s="21"/>
      <c r="P141" s="21" t="s">
        <v>479</v>
      </c>
      <c r="Q141" s="21" t="s">
        <v>480</v>
      </c>
      <c r="R141" s="21" t="s">
        <v>480</v>
      </c>
      <c r="S141" s="21" t="s">
        <v>481</v>
      </c>
      <c r="T141" s="5">
        <v>284328.36999999994</v>
      </c>
      <c r="U141" s="15">
        <v>298544.40000000002</v>
      </c>
      <c r="V141" s="15">
        <v>298544.40000000002</v>
      </c>
      <c r="W141" s="15">
        <f t="shared" si="48"/>
        <v>284328.36999999994</v>
      </c>
      <c r="X141" s="15">
        <f t="shared" si="51"/>
        <v>-14216.030000000086</v>
      </c>
      <c r="Y141" s="15">
        <f t="shared" si="49"/>
        <v>0</v>
      </c>
      <c r="Z141" s="15">
        <f>SUM(Financials20263[[#This Row],[2026 Opportunity]:[2026 Risk]])</f>
        <v>-14216.030000000086</v>
      </c>
      <c r="AA141" s="14" t="s">
        <v>857</v>
      </c>
      <c r="AB141" s="52">
        <v>23694.030833333334</v>
      </c>
      <c r="AC141" s="52">
        <v>23694.030833333334</v>
      </c>
      <c r="AD141" s="52">
        <v>23694.030833333334</v>
      </c>
      <c r="AE141" s="52">
        <v>23694.030833333334</v>
      </c>
      <c r="AF141" s="52">
        <v>23694.030833333334</v>
      </c>
      <c r="AG141" s="52">
        <v>23694.030833333334</v>
      </c>
      <c r="AH141" s="52">
        <v>23694.030833333334</v>
      </c>
      <c r="AI141" s="52">
        <v>23694.030833333334</v>
      </c>
      <c r="AJ141" s="52">
        <v>23694.030833333334</v>
      </c>
      <c r="AK141" s="52">
        <v>23694.030833333334</v>
      </c>
      <c r="AL141" s="52">
        <v>23694.030833333334</v>
      </c>
      <c r="AM141" s="52">
        <v>23694.030833333334</v>
      </c>
      <c r="AN141" s="52">
        <f>SUM(Financials20263[[#This Row],[Jan FC]:[Dec FC]])</f>
        <v>284328.36999999994</v>
      </c>
      <c r="AO141" s="15">
        <f t="shared" si="50"/>
        <v>165858.21583333332</v>
      </c>
      <c r="AP141" s="61">
        <f t="shared" ref="AP141:BA141" si="53">284328.37/12</f>
        <v>23694.030833333334</v>
      </c>
      <c r="AQ141" s="61">
        <f t="shared" si="53"/>
        <v>23694.030833333334</v>
      </c>
      <c r="AR141" s="61">
        <f t="shared" si="53"/>
        <v>23694.030833333334</v>
      </c>
      <c r="AS141" s="61">
        <f t="shared" si="53"/>
        <v>23694.030833333334</v>
      </c>
      <c r="AT141" s="61">
        <f t="shared" si="53"/>
        <v>23694.030833333334</v>
      </c>
      <c r="AU141" s="61">
        <f t="shared" si="53"/>
        <v>23694.030833333334</v>
      </c>
      <c r="AV141" s="61">
        <f t="shared" si="53"/>
        <v>23694.030833333334</v>
      </c>
      <c r="AW141" s="61">
        <f t="shared" si="53"/>
        <v>23694.030833333334</v>
      </c>
      <c r="AX141" s="61">
        <f t="shared" si="53"/>
        <v>23694.030833333334</v>
      </c>
      <c r="AY141" s="61">
        <f t="shared" si="53"/>
        <v>23694.030833333334</v>
      </c>
      <c r="AZ141" s="61">
        <f t="shared" si="53"/>
        <v>23694.030833333334</v>
      </c>
      <c r="BA141" s="61">
        <f t="shared" si="53"/>
        <v>23694.030833333334</v>
      </c>
      <c r="BB141" s="80">
        <f>SUM(Financials20263[[#This Row],[Jan AC]:[Dec AC]])</f>
        <v>284328.36999999994</v>
      </c>
      <c r="BC141" s="71">
        <f>Financials20263[[#This Row],[Jan AC]]-Financials20263[[#This Row],[Jan FC]]</f>
        <v>0</v>
      </c>
      <c r="BD141" s="71">
        <f>Financials20263[[#This Row],[Feb AC]]-Financials20263[[#This Row],[Feb FC]]</f>
        <v>0</v>
      </c>
      <c r="BE141" s="71">
        <f>Financials20263[[#This Row],[Mar AC]]-Financials20263[[#This Row],[Mar FC]]</f>
        <v>0</v>
      </c>
      <c r="BF141" s="71">
        <f>Financials20263[[#This Row],[Apr AC]]-Financials20263[[#This Row],[Apr FC]]</f>
        <v>0</v>
      </c>
      <c r="BG141" s="71">
        <f>Financials20263[[#This Row],[May AC]]-Financials20263[[#This Row],[May FC]]</f>
        <v>0</v>
      </c>
      <c r="BH141" s="71">
        <f>Financials20263[[#This Row],[Jun AC]]-Financials20263[[#This Row],[Jun FC]]</f>
        <v>0</v>
      </c>
      <c r="BI141" s="71">
        <f>Financials20263[[#This Row],[Jul AC]]-Financials20263[[#This Row],[Jul FC]]</f>
        <v>0</v>
      </c>
      <c r="BJ141" s="71">
        <f>Financials20263[[#This Row],[Aug AC]]-Financials20263[[#This Row],[Aug FC]]</f>
        <v>0</v>
      </c>
      <c r="BK141" s="71">
        <f>Financials20263[[#This Row],[Sep AC]]-Financials20263[[#This Row],[Sep FC]]</f>
        <v>0</v>
      </c>
      <c r="BL141" s="71">
        <f>Financials20263[[#This Row],[Oct AC]]-Financials20263[[#This Row],[Oct FC]]</f>
        <v>0</v>
      </c>
      <c r="BM141" s="71">
        <f>Financials20263[[#This Row],[Nov AC]]-Financials20263[[#This Row],[Nov FC]]</f>
        <v>0</v>
      </c>
      <c r="BN141" s="71">
        <f>Financials20263[[#This Row],[Dec AC]]-Financials20263[[#This Row],[Dec FC]]</f>
        <v>0</v>
      </c>
      <c r="BO141" s="71">
        <f>SUM(Financials20263[[#This Row],[Jan Opp/Risk]:[Dec Opp./Risk]])</f>
        <v>0</v>
      </c>
      <c r="BP141" s="87" t="s">
        <v>531</v>
      </c>
      <c r="BQ141" s="47">
        <f>SUM(Financials20263[[#This Row],[Jan AC]:[May AC]])</f>
        <v>118470.15416666667</v>
      </c>
      <c r="BR141" s="6">
        <f>Financials20263[[#This Row],[2026 (Actuals + Forecast)]]-Financials20263[[#This Row],[Jan-May Actuals]]-Financials20263[[#This Row],[Jun-Dec FC]]</f>
        <v>0</v>
      </c>
      <c r="BS141" s="6">
        <f>Financials20263[[#This Row],[Jun-Dec FC]]+Financials20263[[#This Row],[Jan-May Forecast ]]</f>
        <v>165858.21583333332</v>
      </c>
      <c r="BT141" s="6">
        <f>SUM(Financials20263[[#This Row],[Jan FC]:[May FC]])</f>
        <v>118470.15416666667</v>
      </c>
      <c r="BU141" s="6">
        <f>Financials20263[[#This Row],[Jan-May Actuals]]+Financials20263[[#This Row],[Forecast Jun-Dec]]</f>
        <v>284328.37</v>
      </c>
      <c r="BV141" s="6"/>
      <c r="BW141" s="6"/>
      <c r="BX141" s="6"/>
    </row>
    <row r="142" spans="1:76">
      <c r="A142" s="22" t="s">
        <v>473</v>
      </c>
      <c r="B142" s="21" t="s">
        <v>63</v>
      </c>
      <c r="C142" s="21" t="s">
        <v>859</v>
      </c>
      <c r="D142" s="10" t="s">
        <v>594</v>
      </c>
      <c r="E142" s="7" t="s">
        <v>595</v>
      </c>
      <c r="F142" s="3" t="s">
        <v>596</v>
      </c>
      <c r="G142" s="3" t="s">
        <v>22</v>
      </c>
      <c r="H142" s="4"/>
      <c r="I142" s="4"/>
      <c r="J142" s="3"/>
      <c r="K142" s="3" t="str">
        <f t="shared" si="47"/>
        <v>Prj000469-Support - Prod Support for Ops Apps</v>
      </c>
      <c r="L142" s="21" t="s">
        <v>478</v>
      </c>
      <c r="M142" s="21" t="s">
        <v>16</v>
      </c>
      <c r="N142" s="21" t="s">
        <v>16</v>
      </c>
      <c r="O142" s="21"/>
      <c r="P142" s="21" t="s">
        <v>479</v>
      </c>
      <c r="Q142" s="21" t="s">
        <v>509</v>
      </c>
      <c r="R142" s="21" t="s">
        <v>509</v>
      </c>
      <c r="S142" s="21" t="s">
        <v>508</v>
      </c>
      <c r="T142" s="5">
        <v>0</v>
      </c>
      <c r="U142" s="15">
        <v>0</v>
      </c>
      <c r="V142" s="15">
        <v>0</v>
      </c>
      <c r="W142" s="15">
        <f t="shared" si="48"/>
        <v>232487.75</v>
      </c>
      <c r="X142" s="15">
        <f t="shared" si="51"/>
        <v>0</v>
      </c>
      <c r="Y142" s="15">
        <f>IF(W142 &gt; V142, W142 - V142, 0)</f>
        <v>232487.75</v>
      </c>
      <c r="Z142" s="15">
        <f>SUM(Financials20263[[#This Row],[2026 Opportunity]:[2026 Risk]])</f>
        <v>232487.75</v>
      </c>
      <c r="AA142" s="3" t="s">
        <v>860</v>
      </c>
      <c r="AB142" s="51"/>
      <c r="AC142" s="51"/>
      <c r="AD142" s="55"/>
      <c r="AE142" s="52">
        <v>232487.75</v>
      </c>
      <c r="AF142" s="56"/>
      <c r="AG142" s="51"/>
      <c r="AH142" s="57"/>
      <c r="AI142" s="52"/>
      <c r="AJ142" s="58"/>
      <c r="AK142" s="59"/>
      <c r="AL142" s="59"/>
      <c r="AM142" s="52"/>
      <c r="AN142" s="52">
        <f>SUM(Financials20263[[#This Row],[Jan FC]:[Dec FC]])</f>
        <v>232487.75</v>
      </c>
      <c r="AO142" s="15">
        <f t="shared" si="50"/>
        <v>0</v>
      </c>
      <c r="AP142" s="60"/>
      <c r="AQ142" s="60"/>
      <c r="AR142" s="64"/>
      <c r="AS142" s="61">
        <v>232487.75</v>
      </c>
      <c r="AT142" s="65"/>
      <c r="AU142" s="60"/>
      <c r="AV142" s="66"/>
      <c r="AW142" s="61"/>
      <c r="AX142" s="67"/>
      <c r="AY142" s="68"/>
      <c r="AZ142" s="68"/>
      <c r="BA142" s="61"/>
      <c r="BB142" s="80">
        <f>SUM(Financials20263[[#This Row],[Jan AC]:[Dec AC]])</f>
        <v>232487.75</v>
      </c>
      <c r="BC142" s="71">
        <f>Financials20263[[#This Row],[Jan AC]]-Financials20263[[#This Row],[Jan FC]]</f>
        <v>0</v>
      </c>
      <c r="BD142" s="71">
        <f>Financials20263[[#This Row],[Feb AC]]-Financials20263[[#This Row],[Feb FC]]</f>
        <v>0</v>
      </c>
      <c r="BE142" s="71">
        <f>Financials20263[[#This Row],[Mar AC]]-Financials20263[[#This Row],[Mar FC]]</f>
        <v>0</v>
      </c>
      <c r="BF142" s="71">
        <f>Financials20263[[#This Row],[Apr AC]]-Financials20263[[#This Row],[Apr FC]]</f>
        <v>0</v>
      </c>
      <c r="BG142" s="71">
        <f>Financials20263[[#This Row],[May AC]]-Financials20263[[#This Row],[May FC]]</f>
        <v>0</v>
      </c>
      <c r="BH142" s="71">
        <f>Financials20263[[#This Row],[Jun AC]]-Financials20263[[#This Row],[Jun FC]]</f>
        <v>0</v>
      </c>
      <c r="BI142" s="71">
        <f>Financials20263[[#This Row],[Jul AC]]-Financials20263[[#This Row],[Jul FC]]</f>
        <v>0</v>
      </c>
      <c r="BJ142" s="71">
        <f>Financials20263[[#This Row],[Aug AC]]-Financials20263[[#This Row],[Aug FC]]</f>
        <v>0</v>
      </c>
      <c r="BK142" s="71">
        <f>Financials20263[[#This Row],[Sep AC]]-Financials20263[[#This Row],[Sep FC]]</f>
        <v>0</v>
      </c>
      <c r="BL142" s="71">
        <f>Financials20263[[#This Row],[Oct AC]]-Financials20263[[#This Row],[Oct FC]]</f>
        <v>0</v>
      </c>
      <c r="BM142" s="71">
        <f>Financials20263[[#This Row],[Nov AC]]-Financials20263[[#This Row],[Nov FC]]</f>
        <v>0</v>
      </c>
      <c r="BN142" s="71">
        <f>Financials20263[[#This Row],[Dec AC]]-Financials20263[[#This Row],[Dec FC]]</f>
        <v>0</v>
      </c>
      <c r="BO142" s="83">
        <f>SUM(Financials20263[[#This Row],[Jan Opp/Risk]:[Dec Opp./Risk]])</f>
        <v>0</v>
      </c>
      <c r="BP142" s="91" t="s">
        <v>861</v>
      </c>
      <c r="BQ142" s="47">
        <f>SUM(Financials20263[[#This Row],[Jan AC]:[May AC]])</f>
        <v>232487.75</v>
      </c>
      <c r="BR142" s="6">
        <f>Financials20263[[#This Row],[2026 (Actuals + Forecast)]]-Financials20263[[#This Row],[Jan-May Actuals]]-Financials20263[[#This Row],[Jun-Dec FC]]</f>
        <v>0</v>
      </c>
      <c r="BS142" s="6">
        <f>Financials20263[[#This Row],[Jun-Dec FC]]+Financials20263[[#This Row],[Jan-May Forecast ]]</f>
        <v>0</v>
      </c>
      <c r="BT142" s="6">
        <f>SUM(Financials20263[[#This Row],[Jan FC]:[May FC]])</f>
        <v>232487.75</v>
      </c>
      <c r="BU142" s="6">
        <f>Financials20263[[#This Row],[Jan-May Actuals]]+Financials20263[[#This Row],[Forecast Jun-Dec]]</f>
        <v>232487.75</v>
      </c>
      <c r="BV142" s="6"/>
      <c r="BW142" s="6"/>
      <c r="BX142" s="6"/>
    </row>
    <row r="143" spans="1:76">
      <c r="A143" s="22" t="s">
        <v>473</v>
      </c>
      <c r="B143" s="21" t="s">
        <v>171</v>
      </c>
      <c r="C143" s="21" t="s">
        <v>765</v>
      </c>
      <c r="D143" s="10" t="s">
        <v>564</v>
      </c>
      <c r="E143" s="7" t="s">
        <v>564</v>
      </c>
      <c r="F143" s="3" t="s">
        <v>756</v>
      </c>
      <c r="G143" s="3" t="s">
        <v>20</v>
      </c>
      <c r="H143" s="4">
        <v>46204</v>
      </c>
      <c r="I143" s="4">
        <v>46387</v>
      </c>
      <c r="J143" s="3" t="s">
        <v>564</v>
      </c>
      <c r="K143" s="3" t="s">
        <v>862</v>
      </c>
      <c r="L143" s="21" t="s">
        <v>499</v>
      </c>
      <c r="M143" s="21" t="s">
        <v>13</v>
      </c>
      <c r="N143" s="21" t="s">
        <v>766</v>
      </c>
      <c r="O143" s="21" t="s">
        <v>564</v>
      </c>
      <c r="P143" s="21" t="s">
        <v>767</v>
      </c>
      <c r="Q143" s="21" t="s">
        <v>768</v>
      </c>
      <c r="R143" s="21" t="s">
        <v>522</v>
      </c>
      <c r="S143" s="21" t="s">
        <v>504</v>
      </c>
      <c r="T143" s="5">
        <v>0</v>
      </c>
      <c r="U143" s="15">
        <v>0</v>
      </c>
      <c r="V143" s="15">
        <v>0</v>
      </c>
      <c r="W143" s="15">
        <f t="shared" si="48"/>
        <v>606720</v>
      </c>
      <c r="X143" s="15">
        <f t="shared" si="51"/>
        <v>0</v>
      </c>
      <c r="Y143" s="15">
        <f t="shared" si="49"/>
        <v>606720</v>
      </c>
      <c r="Z143" s="15">
        <f>SUM(Financials20263[[#This Row],[2026 Opportunity]:[2026 Risk]])</f>
        <v>606720</v>
      </c>
      <c r="AA143" s="3" t="s">
        <v>863</v>
      </c>
      <c r="AB143" s="52"/>
      <c r="AC143" s="52"/>
      <c r="AD143" s="52"/>
      <c r="AE143" s="52"/>
      <c r="AF143" s="52"/>
      <c r="AG143" s="52"/>
      <c r="AH143" s="52">
        <v>101120</v>
      </c>
      <c r="AI143" s="52">
        <v>101120</v>
      </c>
      <c r="AJ143" s="52">
        <v>101120</v>
      </c>
      <c r="AK143" s="52">
        <v>101120</v>
      </c>
      <c r="AL143" s="52">
        <v>101120</v>
      </c>
      <c r="AM143" s="52">
        <v>101120</v>
      </c>
      <c r="AN143" s="52">
        <f>SUM(Financials20263[[#This Row],[Jan FC]:[Dec FC]])</f>
        <v>606720</v>
      </c>
      <c r="AO143" s="15">
        <f t="shared" si="50"/>
        <v>606720</v>
      </c>
      <c r="AP143" s="61"/>
      <c r="AQ143" s="61"/>
      <c r="AR143" s="61"/>
      <c r="AS143" s="61"/>
      <c r="AT143" s="61"/>
      <c r="AU143" s="61"/>
      <c r="AV143" s="61"/>
      <c r="AW143" s="61"/>
      <c r="AX143" s="61"/>
      <c r="AY143" s="61"/>
      <c r="AZ143" s="61"/>
      <c r="BA143" s="61"/>
      <c r="BB143" s="80">
        <f>SUM(Financials20263[[#This Row],[Jan AC]:[Dec AC]])</f>
        <v>0</v>
      </c>
      <c r="BC143" s="71">
        <f>Financials20263[[#This Row],[Jan AC]]-Financials20263[[#This Row],[Jan FC]]</f>
        <v>0</v>
      </c>
      <c r="BD143" s="71">
        <f>Financials20263[[#This Row],[Feb AC]]-Financials20263[[#This Row],[Feb FC]]</f>
        <v>0</v>
      </c>
      <c r="BE143" s="71">
        <f>Financials20263[[#This Row],[Mar AC]]-Financials20263[[#This Row],[Mar FC]]</f>
        <v>0</v>
      </c>
      <c r="BF143" s="71">
        <f>Financials20263[[#This Row],[Apr AC]]-Financials20263[[#This Row],[Apr FC]]</f>
        <v>0</v>
      </c>
      <c r="BG143" s="71">
        <f>Financials20263[[#This Row],[May AC]]-Financials20263[[#This Row],[May FC]]</f>
        <v>0</v>
      </c>
      <c r="BH143" s="71">
        <f>Financials20263[[#This Row],[Jun AC]]-Financials20263[[#This Row],[Jun FC]]</f>
        <v>0</v>
      </c>
      <c r="BI143" s="71">
        <f>Financials20263[[#This Row],[Jul AC]]-Financials20263[[#This Row],[Jul FC]]</f>
        <v>-101120</v>
      </c>
      <c r="BJ143" s="71">
        <f>Financials20263[[#This Row],[Aug AC]]-Financials20263[[#This Row],[Aug FC]]</f>
        <v>-101120</v>
      </c>
      <c r="BK143" s="71">
        <f>Financials20263[[#This Row],[Sep AC]]-Financials20263[[#This Row],[Sep FC]]</f>
        <v>-101120</v>
      </c>
      <c r="BL143" s="71">
        <f>Financials20263[[#This Row],[Oct AC]]-Financials20263[[#This Row],[Oct FC]]</f>
        <v>-101120</v>
      </c>
      <c r="BM143" s="71">
        <f>Financials20263[[#This Row],[Nov AC]]-Financials20263[[#This Row],[Nov FC]]</f>
        <v>-101120</v>
      </c>
      <c r="BN143" s="71">
        <f>Financials20263[[#This Row],[Dec AC]]-Financials20263[[#This Row],[Dec FC]]</f>
        <v>-101120</v>
      </c>
      <c r="BO143" s="71">
        <f>SUM(Financials20263[[#This Row],[Jan Opp/Risk]:[Dec Opp./Risk]])</f>
        <v>-606720</v>
      </c>
      <c r="BP143" s="87" t="s">
        <v>864</v>
      </c>
      <c r="BQ143" s="47">
        <f>SUM(Financials20263[[#This Row],[Jan AC]:[May AC]])</f>
        <v>0</v>
      </c>
      <c r="BR143" s="6">
        <f>Financials20263[[#This Row],[2026 (Actuals + Forecast)]]-Financials20263[[#This Row],[Jan-May Actuals]]-Financials20263[[#This Row],[Jun-Dec FC]]</f>
        <v>0</v>
      </c>
      <c r="BS143" s="6">
        <f>Financials20263[[#This Row],[Jun-Dec FC]]+Financials20263[[#This Row],[Jan-May Forecast ]]</f>
        <v>606720</v>
      </c>
      <c r="BT143" s="6">
        <f>SUM(Financials20263[[#This Row],[Jan FC]:[May FC]])</f>
        <v>0</v>
      </c>
      <c r="BU143" s="6">
        <f>Financials20263[[#This Row],[Jan-May Actuals]]+Financials20263[[#This Row],[Forecast Jun-Dec]]</f>
        <v>606720</v>
      </c>
      <c r="BV143" s="6"/>
      <c r="BW143" s="6"/>
      <c r="BX143" s="6"/>
    </row>
    <row r="144" spans="1:76">
      <c r="A144" s="22" t="s">
        <v>473</v>
      </c>
      <c r="B144" s="21" t="s">
        <v>48</v>
      </c>
      <c r="C144" s="21" t="s">
        <v>600</v>
      </c>
      <c r="D144" s="10" t="s">
        <v>564</v>
      </c>
      <c r="E144" s="7" t="s">
        <v>564</v>
      </c>
      <c r="F144" s="3" t="s">
        <v>756</v>
      </c>
      <c r="G144" s="3" t="s">
        <v>20</v>
      </c>
      <c r="H144" s="4">
        <v>46204</v>
      </c>
      <c r="I144" s="4">
        <v>46387</v>
      </c>
      <c r="J144" s="3" t="s">
        <v>757</v>
      </c>
      <c r="K144" s="3" t="s">
        <v>862</v>
      </c>
      <c r="L144" s="21" t="s">
        <v>499</v>
      </c>
      <c r="M144" s="21" t="s">
        <v>13</v>
      </c>
      <c r="N144" s="21" t="s">
        <v>567</v>
      </c>
      <c r="O144" s="21" t="s">
        <v>564</v>
      </c>
      <c r="P144" s="21" t="s">
        <v>501</v>
      </c>
      <c r="Q144" s="21" t="s">
        <v>502</v>
      </c>
      <c r="R144" s="21" t="s">
        <v>503</v>
      </c>
      <c r="S144" s="21" t="s">
        <v>504</v>
      </c>
      <c r="T144" s="5">
        <v>0</v>
      </c>
      <c r="U144" s="15">
        <v>0</v>
      </c>
      <c r="V144" s="15">
        <v>0</v>
      </c>
      <c r="W144" s="15">
        <f t="shared" si="48"/>
        <v>1557600</v>
      </c>
      <c r="X144" s="15">
        <f t="shared" si="51"/>
        <v>0</v>
      </c>
      <c r="Y144" s="15">
        <f t="shared" si="49"/>
        <v>1557600</v>
      </c>
      <c r="Z144" s="15">
        <f>SUM(Financials20263[[#This Row],[2026 Opportunity]:[2026 Risk]])</f>
        <v>1557600</v>
      </c>
      <c r="AA144" s="3" t="s">
        <v>865</v>
      </c>
      <c r="AB144" s="52"/>
      <c r="AC144" s="52"/>
      <c r="AD144" s="52"/>
      <c r="AE144" s="52"/>
      <c r="AF144" s="52"/>
      <c r="AG144" s="52"/>
      <c r="AH144" s="52">
        <v>259600</v>
      </c>
      <c r="AI144" s="52">
        <v>259600</v>
      </c>
      <c r="AJ144" s="52">
        <v>259600</v>
      </c>
      <c r="AK144" s="52">
        <v>259600</v>
      </c>
      <c r="AL144" s="52">
        <v>259600</v>
      </c>
      <c r="AM144" s="52">
        <v>259600</v>
      </c>
      <c r="AN144" s="52">
        <f>SUM(Financials20263[[#This Row],[Jan FC]:[Dec FC]])</f>
        <v>1557600</v>
      </c>
      <c r="AO144" s="15">
        <f t="shared" si="50"/>
        <v>1557600</v>
      </c>
      <c r="AP144" s="61"/>
      <c r="AQ144" s="61"/>
      <c r="AR144" s="61"/>
      <c r="AS144" s="61"/>
      <c r="AT144" s="61"/>
      <c r="AU144" s="61"/>
      <c r="AV144" s="61"/>
      <c r="AW144" s="61"/>
      <c r="AX144" s="61"/>
      <c r="AY144" s="61"/>
      <c r="AZ144" s="61"/>
      <c r="BA144" s="61"/>
      <c r="BB144" s="80">
        <f>SUM(Financials20263[[#This Row],[Jan AC]:[Dec AC]])</f>
        <v>0</v>
      </c>
      <c r="BC144" s="71">
        <f>Financials20263[[#This Row],[Jan AC]]-Financials20263[[#This Row],[Jan FC]]</f>
        <v>0</v>
      </c>
      <c r="BD144" s="71">
        <f>Financials20263[[#This Row],[Feb AC]]-Financials20263[[#This Row],[Feb FC]]</f>
        <v>0</v>
      </c>
      <c r="BE144" s="71">
        <f>Financials20263[[#This Row],[Mar AC]]-Financials20263[[#This Row],[Mar FC]]</f>
        <v>0</v>
      </c>
      <c r="BF144" s="71">
        <f>Financials20263[[#This Row],[Apr AC]]-Financials20263[[#This Row],[Apr FC]]</f>
        <v>0</v>
      </c>
      <c r="BG144" s="71">
        <f>Financials20263[[#This Row],[May AC]]-Financials20263[[#This Row],[May FC]]</f>
        <v>0</v>
      </c>
      <c r="BH144" s="71">
        <f>Financials20263[[#This Row],[Jun AC]]-Financials20263[[#This Row],[Jun FC]]</f>
        <v>0</v>
      </c>
      <c r="BI144" s="71">
        <f>Financials20263[[#This Row],[Jul AC]]-Financials20263[[#This Row],[Jul FC]]</f>
        <v>-259600</v>
      </c>
      <c r="BJ144" s="71">
        <f>Financials20263[[#This Row],[Aug AC]]-Financials20263[[#This Row],[Aug FC]]</f>
        <v>-259600</v>
      </c>
      <c r="BK144" s="71">
        <f>Financials20263[[#This Row],[Sep AC]]-Financials20263[[#This Row],[Sep FC]]</f>
        <v>-259600</v>
      </c>
      <c r="BL144" s="71">
        <f>Financials20263[[#This Row],[Oct AC]]-Financials20263[[#This Row],[Oct FC]]</f>
        <v>-259600</v>
      </c>
      <c r="BM144" s="71">
        <f>Financials20263[[#This Row],[Nov AC]]-Financials20263[[#This Row],[Nov FC]]</f>
        <v>-259600</v>
      </c>
      <c r="BN144" s="71">
        <f>Financials20263[[#This Row],[Dec AC]]-Financials20263[[#This Row],[Dec FC]]</f>
        <v>-259600</v>
      </c>
      <c r="BO144" s="71">
        <f>SUM(Financials20263[[#This Row],[Jan Opp/Risk]:[Dec Opp./Risk]])</f>
        <v>-1557600</v>
      </c>
      <c r="BP144" s="87" t="s">
        <v>866</v>
      </c>
      <c r="BQ144" s="47">
        <f>SUM(Financials20263[[#This Row],[Jan AC]:[May AC]])</f>
        <v>0</v>
      </c>
      <c r="BR144" s="6">
        <f>Financials20263[[#This Row],[2026 (Actuals + Forecast)]]-Financials20263[[#This Row],[Jan-May Actuals]]-Financials20263[[#This Row],[Jun-Dec FC]]</f>
        <v>0</v>
      </c>
      <c r="BS144" s="6">
        <f>Financials20263[[#This Row],[Jun-Dec FC]]+Financials20263[[#This Row],[Jan-May Forecast ]]</f>
        <v>1557600</v>
      </c>
      <c r="BT144" s="6">
        <f>SUM(Financials20263[[#This Row],[Jan FC]:[May FC]])</f>
        <v>0</v>
      </c>
      <c r="BU144" s="6">
        <f>Financials20263[[#This Row],[Jan-May Actuals]]+Financials20263[[#This Row],[Forecast Jun-Dec]]</f>
        <v>1557600</v>
      </c>
      <c r="BV144" s="6"/>
      <c r="BW144" s="6"/>
      <c r="BX144" s="6"/>
    </row>
    <row r="145" spans="1:76">
      <c r="A145" s="22" t="s">
        <v>473</v>
      </c>
      <c r="B145" s="21" t="s">
        <v>56</v>
      </c>
      <c r="C145" s="21"/>
      <c r="D145" s="10" t="s">
        <v>848</v>
      </c>
      <c r="E145" s="7" t="s">
        <v>849</v>
      </c>
      <c r="F145" s="3" t="s">
        <v>488</v>
      </c>
      <c r="G145" s="3" t="s">
        <v>25</v>
      </c>
      <c r="H145" s="4" t="s">
        <v>489</v>
      </c>
      <c r="I145" s="4" t="s">
        <v>489</v>
      </c>
      <c r="J145" s="3"/>
      <c r="K145" s="3" t="str">
        <f t="shared" ref="K145:K147" si="54">D145 &amp; "-" &amp;E145</f>
        <v>Prj000296-Support - PMO Governance &amp; Reporting Activities</v>
      </c>
      <c r="L145" s="21" t="s">
        <v>499</v>
      </c>
      <c r="M145" s="21" t="s">
        <v>10</v>
      </c>
      <c r="N145" s="21" t="s">
        <v>763</v>
      </c>
      <c r="O145" s="21"/>
      <c r="P145" s="21" t="s">
        <v>501</v>
      </c>
      <c r="Q145" s="21" t="s">
        <v>502</v>
      </c>
      <c r="R145" s="21" t="s">
        <v>503</v>
      </c>
      <c r="S145" s="21" t="s">
        <v>489</v>
      </c>
      <c r="T145" s="5">
        <v>0</v>
      </c>
      <c r="U145" s="15">
        <v>0</v>
      </c>
      <c r="V145" s="15">
        <f>10848+2048</f>
        <v>12896</v>
      </c>
      <c r="W145" s="15">
        <f t="shared" si="48"/>
        <v>12896</v>
      </c>
      <c r="X145" s="15">
        <f t="shared" si="51"/>
        <v>0</v>
      </c>
      <c r="Y145" s="15">
        <f t="shared" si="49"/>
        <v>0</v>
      </c>
      <c r="Z145" s="15">
        <f>SUM(Financials20263[[#This Row],[2026 Opportunity]:[2026 Risk]])</f>
        <v>0</v>
      </c>
      <c r="AA145" s="3" t="s">
        <v>867</v>
      </c>
      <c r="AB145" s="53">
        <v>0</v>
      </c>
      <c r="AC145" s="53">
        <v>0</v>
      </c>
      <c r="AD145" s="53">
        <v>0</v>
      </c>
      <c r="AE145" s="53">
        <v>0</v>
      </c>
      <c r="AF145" s="53">
        <v>0</v>
      </c>
      <c r="AG145" s="53">
        <v>0</v>
      </c>
      <c r="AH145" s="53">
        <v>0</v>
      </c>
      <c r="AI145" s="53">
        <v>0</v>
      </c>
      <c r="AJ145" s="53">
        <v>0</v>
      </c>
      <c r="AK145" s="53">
        <v>0</v>
      </c>
      <c r="AL145" s="53">
        <v>0</v>
      </c>
      <c r="AM145" s="53">
        <v>12896</v>
      </c>
      <c r="AN145" s="53">
        <f>SUM(Financials20263[[#This Row],[Jan FC]:[Dec FC]])</f>
        <v>12896</v>
      </c>
      <c r="AO145" s="15">
        <f t="shared" si="50"/>
        <v>12896</v>
      </c>
      <c r="AP145" s="62">
        <v>0</v>
      </c>
      <c r="AQ145" s="62">
        <v>0</v>
      </c>
      <c r="AR145" s="62">
        <v>0</v>
      </c>
      <c r="AS145" s="62">
        <v>0</v>
      </c>
      <c r="AT145" s="62">
        <v>0</v>
      </c>
      <c r="AU145" s="62">
        <v>0</v>
      </c>
      <c r="AV145" s="62">
        <v>0</v>
      </c>
      <c r="AW145" s="62">
        <v>0</v>
      </c>
      <c r="AX145" s="62">
        <v>0</v>
      </c>
      <c r="AY145" s="62">
        <v>0</v>
      </c>
      <c r="AZ145" s="62">
        <v>0</v>
      </c>
      <c r="BA145" s="62">
        <v>0</v>
      </c>
      <c r="BB145" s="81">
        <f>SUM(Financials20263[[#This Row],[Jan AC]:[Dec AC]])</f>
        <v>0</v>
      </c>
      <c r="BC145" s="71">
        <f>Financials20263[[#This Row],[Jan AC]]-Financials20263[[#This Row],[Jan FC]]</f>
        <v>0</v>
      </c>
      <c r="BD145" s="71">
        <f>Financials20263[[#This Row],[Feb AC]]-Financials20263[[#This Row],[Feb FC]]</f>
        <v>0</v>
      </c>
      <c r="BE145" s="71">
        <f>Financials20263[[#This Row],[Mar AC]]-Financials20263[[#This Row],[Mar FC]]</f>
        <v>0</v>
      </c>
      <c r="BF145" s="71">
        <f>Financials20263[[#This Row],[Apr AC]]-Financials20263[[#This Row],[Apr FC]]</f>
        <v>0</v>
      </c>
      <c r="BG145" s="71">
        <f>Financials20263[[#This Row],[May AC]]-Financials20263[[#This Row],[May FC]]</f>
        <v>0</v>
      </c>
      <c r="BH145" s="71">
        <f>Financials20263[[#This Row],[Jun AC]]-Financials20263[[#This Row],[Jun FC]]</f>
        <v>0</v>
      </c>
      <c r="BI145" s="71">
        <f>Financials20263[[#This Row],[Jul AC]]-Financials20263[[#This Row],[Jul FC]]</f>
        <v>0</v>
      </c>
      <c r="BJ145" s="71">
        <f>Financials20263[[#This Row],[Aug AC]]-Financials20263[[#This Row],[Aug FC]]</f>
        <v>0</v>
      </c>
      <c r="BK145" s="71">
        <f>Financials20263[[#This Row],[Sep AC]]-Financials20263[[#This Row],[Sep FC]]</f>
        <v>0</v>
      </c>
      <c r="BL145" s="71">
        <f>Financials20263[[#This Row],[Oct AC]]-Financials20263[[#This Row],[Oct FC]]</f>
        <v>0</v>
      </c>
      <c r="BM145" s="71">
        <f>Financials20263[[#This Row],[Nov AC]]-Financials20263[[#This Row],[Nov FC]]</f>
        <v>0</v>
      </c>
      <c r="BN145" s="71">
        <f>Financials20263[[#This Row],[Dec AC]]-Financials20263[[#This Row],[Dec FC]]</f>
        <v>-12896</v>
      </c>
      <c r="BO145" s="71">
        <f>SUM(Financials20263[[#This Row],[Jan Opp/Risk]:[Dec Opp./Risk]])</f>
        <v>-12896</v>
      </c>
      <c r="BP145" s="93" t="s">
        <v>868</v>
      </c>
      <c r="BQ145" s="47">
        <f>SUM(Financials20263[[#This Row],[Jan AC]:[May AC]])</f>
        <v>0</v>
      </c>
      <c r="BR145" s="6">
        <f>Financials20263[[#This Row],[2026 (Actuals + Forecast)]]-Financials20263[[#This Row],[Jan-May Actuals]]-Financials20263[[#This Row],[Jun-Dec FC]]</f>
        <v>0</v>
      </c>
      <c r="BS145" s="6">
        <f>Financials20263[[#This Row],[Jun-Dec FC]]+Financials20263[[#This Row],[Jan-May Forecast ]]</f>
        <v>12896</v>
      </c>
      <c r="BT145" s="6">
        <f>SUM(Financials20263[[#This Row],[Jan FC]:[May FC]])</f>
        <v>0</v>
      </c>
      <c r="BU145" s="6">
        <f>Financials20263[[#This Row],[Jan-May Actuals]]+Financials20263[[#This Row],[Forecast Jun-Dec]]</f>
        <v>12896</v>
      </c>
      <c r="BV145" s="6"/>
      <c r="BW145" s="6"/>
      <c r="BX145" s="6"/>
    </row>
    <row r="146" spans="1:76">
      <c r="A146" s="22" t="s">
        <v>473</v>
      </c>
      <c r="B146" s="21" t="s">
        <v>164</v>
      </c>
      <c r="C146" s="21" t="s">
        <v>569</v>
      </c>
      <c r="D146" s="10" t="s">
        <v>564</v>
      </c>
      <c r="E146" s="7" t="s">
        <v>564</v>
      </c>
      <c r="F146" s="3" t="s">
        <v>565</v>
      </c>
      <c r="G146" s="3" t="s">
        <v>25</v>
      </c>
      <c r="H146" s="4">
        <v>46097</v>
      </c>
      <c r="I146" s="4">
        <v>46387</v>
      </c>
      <c r="J146" s="3"/>
      <c r="K146" s="3" t="str">
        <f t="shared" si="54"/>
        <v>T&amp;M-T&amp;M</v>
      </c>
      <c r="L146" s="21" t="s">
        <v>499</v>
      </c>
      <c r="M146" s="21" t="s">
        <v>13</v>
      </c>
      <c r="N146" s="21" t="s">
        <v>567</v>
      </c>
      <c r="O146" s="21" t="s">
        <v>564</v>
      </c>
      <c r="P146" s="21" t="s">
        <v>501</v>
      </c>
      <c r="Q146" s="21" t="s">
        <v>502</v>
      </c>
      <c r="R146" s="21" t="s">
        <v>503</v>
      </c>
      <c r="S146" s="21" t="s">
        <v>504</v>
      </c>
      <c r="T146" s="5"/>
      <c r="U146" s="15"/>
      <c r="V146" s="15">
        <v>0</v>
      </c>
      <c r="W146" s="15">
        <f t="shared" si="48"/>
        <v>69325</v>
      </c>
      <c r="X146" s="15">
        <f t="shared" si="51"/>
        <v>0</v>
      </c>
      <c r="Y146" s="15">
        <f t="shared" si="49"/>
        <v>69325</v>
      </c>
      <c r="Z146" s="15">
        <f>SUM(Financials20263[[#This Row],[2026 Opportunity]:[2026 Risk]])</f>
        <v>69325</v>
      </c>
      <c r="AA146" s="3" t="s">
        <v>869</v>
      </c>
      <c r="AB146" s="53"/>
      <c r="AC146" s="53"/>
      <c r="AD146" s="52">
        <v>3760</v>
      </c>
      <c r="AE146" s="52">
        <v>7520</v>
      </c>
      <c r="AF146" s="52">
        <v>7520</v>
      </c>
      <c r="AG146" s="52">
        <v>7520</v>
      </c>
      <c r="AH146" s="52">
        <v>7520</v>
      </c>
      <c r="AI146" s="52">
        <v>7520</v>
      </c>
      <c r="AJ146" s="52">
        <v>7520</v>
      </c>
      <c r="AK146" s="52">
        <v>7520</v>
      </c>
      <c r="AL146" s="52">
        <v>7520</v>
      </c>
      <c r="AM146" s="52">
        <v>7520</v>
      </c>
      <c r="AN146" s="52">
        <f>SUM(Financials20263[[#This Row],[Jan FC]:[Dec FC]])</f>
        <v>71440</v>
      </c>
      <c r="AO146" s="15">
        <f t="shared" si="50"/>
        <v>52640</v>
      </c>
      <c r="AP146" s="62">
        <v>0</v>
      </c>
      <c r="AQ146" s="62"/>
      <c r="AR146" s="61"/>
      <c r="AS146" s="61">
        <v>4888</v>
      </c>
      <c r="AT146" s="61">
        <v>8037</v>
      </c>
      <c r="AU146" s="61"/>
      <c r="AV146" s="61"/>
      <c r="AW146" s="61"/>
      <c r="AX146" s="61"/>
      <c r="AY146" s="61"/>
      <c r="AZ146" s="61"/>
      <c r="BA146" s="61"/>
      <c r="BB146" s="80">
        <f>SUM(Financials20263[[#This Row],[Jan AC]:[Dec AC]])</f>
        <v>12925</v>
      </c>
      <c r="BC146" s="71">
        <f>Financials20263[[#This Row],[Jan AC]]-Financials20263[[#This Row],[Jan FC]]</f>
        <v>0</v>
      </c>
      <c r="BD146" s="71">
        <f>Financials20263[[#This Row],[Feb AC]]-Financials20263[[#This Row],[Feb FC]]</f>
        <v>0</v>
      </c>
      <c r="BE146" s="71">
        <f>Financials20263[[#This Row],[Mar AC]]-Financials20263[[#This Row],[Mar FC]]</f>
        <v>-3760</v>
      </c>
      <c r="BF146" s="71">
        <f>Financials20263[[#This Row],[Apr AC]]-Financials20263[[#This Row],[Apr FC]]</f>
        <v>-2632</v>
      </c>
      <c r="BG146" s="71">
        <f>Financials20263[[#This Row],[May AC]]-Financials20263[[#This Row],[May FC]]</f>
        <v>517</v>
      </c>
      <c r="BH146" s="71">
        <f>Financials20263[[#This Row],[Jun AC]]-Financials20263[[#This Row],[Jun FC]]</f>
        <v>-7520</v>
      </c>
      <c r="BI146" s="71">
        <f>Financials20263[[#This Row],[Jul AC]]-Financials20263[[#This Row],[Jul FC]]</f>
        <v>-7520</v>
      </c>
      <c r="BJ146" s="71">
        <f>Financials20263[[#This Row],[Aug AC]]-Financials20263[[#This Row],[Aug FC]]</f>
        <v>-7520</v>
      </c>
      <c r="BK146" s="71">
        <f>Financials20263[[#This Row],[Sep AC]]-Financials20263[[#This Row],[Sep FC]]</f>
        <v>-7520</v>
      </c>
      <c r="BL146" s="71">
        <f>Financials20263[[#This Row],[Oct AC]]-Financials20263[[#This Row],[Oct FC]]</f>
        <v>-7520</v>
      </c>
      <c r="BM146" s="71">
        <f>Financials20263[[#This Row],[Nov AC]]-Financials20263[[#This Row],[Nov FC]]</f>
        <v>-7520</v>
      </c>
      <c r="BN146" s="71">
        <f>Financials20263[[#This Row],[Dec AC]]-Financials20263[[#This Row],[Dec FC]]</f>
        <v>-7520</v>
      </c>
      <c r="BO146" s="71">
        <f>SUM(Financials20263[[#This Row],[Jan Opp/Risk]:[Dec Opp./Risk]])</f>
        <v>-58515</v>
      </c>
      <c r="BP146" s="88" t="s">
        <v>870</v>
      </c>
      <c r="BQ146" s="47">
        <f>SUM(Financials20263[[#This Row],[Jan AC]:[May AC]])</f>
        <v>12925</v>
      </c>
      <c r="BR146" s="6">
        <f>Financials20263[[#This Row],[2026 (Actuals + Forecast)]]-Financials20263[[#This Row],[Jan-May Actuals]]-Financials20263[[#This Row],[Jun-Dec FC]]</f>
        <v>3760</v>
      </c>
      <c r="BS146" s="6">
        <f>Financials20263[[#This Row],[Jun-Dec FC]]+Financials20263[[#This Row],[Jan-May Forecast ]]</f>
        <v>56400</v>
      </c>
      <c r="BT146" s="6">
        <f>SUM(Financials20263[[#This Row],[Jan FC]:[May FC]])</f>
        <v>18800</v>
      </c>
      <c r="BU146" s="6">
        <f>Financials20263[[#This Row],[Jan-May Actuals]]+Financials20263[[#This Row],[Forecast Jun-Dec]]</f>
        <v>69325</v>
      </c>
      <c r="BV146" s="6"/>
      <c r="BW146" s="6"/>
      <c r="BX146" s="6"/>
    </row>
    <row r="147" spans="1:76">
      <c r="A147" s="22" t="s">
        <v>473</v>
      </c>
      <c r="B147" s="21" t="s">
        <v>164</v>
      </c>
      <c r="C147" s="21" t="s">
        <v>569</v>
      </c>
      <c r="D147" s="10" t="s">
        <v>564</v>
      </c>
      <c r="E147" s="7" t="s">
        <v>564</v>
      </c>
      <c r="F147" s="3" t="s">
        <v>565</v>
      </c>
      <c r="G147" s="3" t="s">
        <v>21</v>
      </c>
      <c r="H147" s="4">
        <v>46057</v>
      </c>
      <c r="I147" s="4">
        <v>46234</v>
      </c>
      <c r="J147" s="3"/>
      <c r="K147" s="3" t="str">
        <f t="shared" si="54"/>
        <v>T&amp;M-T&amp;M</v>
      </c>
      <c r="L147" s="21" t="s">
        <v>499</v>
      </c>
      <c r="M147" s="21" t="s">
        <v>13</v>
      </c>
      <c r="N147" s="21" t="s">
        <v>567</v>
      </c>
      <c r="O147" s="21" t="s">
        <v>564</v>
      </c>
      <c r="P147" s="21" t="s">
        <v>501</v>
      </c>
      <c r="Q147" s="21" t="s">
        <v>502</v>
      </c>
      <c r="R147" s="21" t="s">
        <v>503</v>
      </c>
      <c r="S147" s="21" t="s">
        <v>504</v>
      </c>
      <c r="T147" s="5"/>
      <c r="U147" s="15"/>
      <c r="V147" s="5">
        <v>0</v>
      </c>
      <c r="W147" s="15">
        <f t="shared" si="48"/>
        <v>38822</v>
      </c>
      <c r="X147" s="15">
        <f t="shared" si="51"/>
        <v>0</v>
      </c>
      <c r="Y147" s="15">
        <f t="shared" si="49"/>
        <v>38822</v>
      </c>
      <c r="Z147" s="15">
        <f>SUM(Financials20263[[#This Row],[2026 Opportunity]:[2026 Risk]])</f>
        <v>38822</v>
      </c>
      <c r="AA147" s="14" t="s">
        <v>871</v>
      </c>
      <c r="AB147" s="52"/>
      <c r="AC147" s="52"/>
      <c r="AD147" s="52">
        <v>7520</v>
      </c>
      <c r="AE147" s="52">
        <v>7520</v>
      </c>
      <c r="AF147" s="52">
        <v>7520</v>
      </c>
      <c r="AG147" s="52">
        <v>7520</v>
      </c>
      <c r="AH147" s="52">
        <v>7520</v>
      </c>
      <c r="AI147" s="52"/>
      <c r="AJ147" s="52"/>
      <c r="AK147" s="52"/>
      <c r="AL147" s="52"/>
      <c r="AM147" s="52"/>
      <c r="AN147" s="52">
        <f>SUM(Financials20263[[#This Row],[Jan FC]:[Dec FC]])</f>
        <v>37600</v>
      </c>
      <c r="AO147" s="15">
        <f t="shared" si="50"/>
        <v>15040</v>
      </c>
      <c r="AP147" s="61">
        <v>0</v>
      </c>
      <c r="AQ147" s="61"/>
      <c r="AR147" s="61">
        <v>7144</v>
      </c>
      <c r="AS147" s="61">
        <v>8272</v>
      </c>
      <c r="AT147" s="61">
        <v>8366</v>
      </c>
      <c r="AU147" s="61"/>
      <c r="AV147" s="61"/>
      <c r="AW147" s="61"/>
      <c r="AX147" s="61"/>
      <c r="AY147" s="61"/>
      <c r="AZ147" s="61"/>
      <c r="BA147" s="61"/>
      <c r="BB147" s="80">
        <f>SUM(Financials20263[[#This Row],[Jan AC]:[Dec AC]])</f>
        <v>23782</v>
      </c>
      <c r="BC147" s="71">
        <f>Financials20263[[#This Row],[Jan AC]]-Financials20263[[#This Row],[Jan FC]]</f>
        <v>0</v>
      </c>
      <c r="BD147" s="71">
        <f>Financials20263[[#This Row],[Feb AC]]-Financials20263[[#This Row],[Feb FC]]</f>
        <v>0</v>
      </c>
      <c r="BE147" s="71">
        <f>Financials20263[[#This Row],[Mar AC]]-Financials20263[[#This Row],[Mar FC]]</f>
        <v>-376</v>
      </c>
      <c r="BF147" s="71">
        <f>Financials20263[[#This Row],[Apr AC]]-Financials20263[[#This Row],[Apr FC]]</f>
        <v>752</v>
      </c>
      <c r="BG147" s="71">
        <f>Financials20263[[#This Row],[May AC]]-Financials20263[[#This Row],[May FC]]</f>
        <v>846</v>
      </c>
      <c r="BH147" s="71">
        <f>Financials20263[[#This Row],[Jun AC]]-Financials20263[[#This Row],[Jun FC]]</f>
        <v>-7520</v>
      </c>
      <c r="BI147" s="71">
        <f>Financials20263[[#This Row],[Jul AC]]-Financials20263[[#This Row],[Jul FC]]</f>
        <v>-7520</v>
      </c>
      <c r="BJ147" s="71">
        <f>Financials20263[[#This Row],[Aug AC]]-Financials20263[[#This Row],[Aug FC]]</f>
        <v>0</v>
      </c>
      <c r="BK147" s="71">
        <f>Financials20263[[#This Row],[Sep AC]]-Financials20263[[#This Row],[Sep FC]]</f>
        <v>0</v>
      </c>
      <c r="BL147" s="71">
        <f>Financials20263[[#This Row],[Oct AC]]-Financials20263[[#This Row],[Oct FC]]</f>
        <v>0</v>
      </c>
      <c r="BM147" s="71">
        <f>Financials20263[[#This Row],[Nov AC]]-Financials20263[[#This Row],[Nov FC]]</f>
        <v>0</v>
      </c>
      <c r="BN147" s="71">
        <f>Financials20263[[#This Row],[Dec AC]]-Financials20263[[#This Row],[Dec FC]]</f>
        <v>0</v>
      </c>
      <c r="BO147" s="71">
        <f>SUM(Financials20263[[#This Row],[Jan Opp/Risk]:[Dec Opp./Risk]])</f>
        <v>-13818</v>
      </c>
      <c r="BP147" s="88" t="s">
        <v>872</v>
      </c>
      <c r="BQ147" s="47">
        <f>SUM(Financials20263[[#This Row],[Jan AC]:[May AC]])</f>
        <v>23782</v>
      </c>
      <c r="BR147" s="6">
        <f>Financials20263[[#This Row],[2026 (Actuals + Forecast)]]-Financials20263[[#This Row],[Jan-May Actuals]]-Financials20263[[#This Row],[Jun-Dec FC]]</f>
        <v>0</v>
      </c>
      <c r="BS147" s="6">
        <f>Financials20263[[#This Row],[Jun-Dec FC]]+Financials20263[[#This Row],[Jan-May Forecast ]]</f>
        <v>15040</v>
      </c>
      <c r="BT147" s="6">
        <f>SUM(Financials20263[[#This Row],[Jan FC]:[May FC]])</f>
        <v>22560</v>
      </c>
      <c r="BU147" s="6">
        <f>Financials20263[[#This Row],[Jan-May Actuals]]+Financials20263[[#This Row],[Forecast Jun-Dec]]</f>
        <v>38822</v>
      </c>
    </row>
    <row r="148" spans="1:76">
      <c r="A148" s="32" t="s">
        <v>473</v>
      </c>
      <c r="B148" s="21" t="s">
        <v>251</v>
      </c>
      <c r="C148" s="33" t="s">
        <v>873</v>
      </c>
      <c r="D148" s="10" t="s">
        <v>594</v>
      </c>
      <c r="E148" s="7" t="s">
        <v>595</v>
      </c>
      <c r="F148" s="3" t="s">
        <v>596</v>
      </c>
      <c r="G148" s="3" t="s">
        <v>22</v>
      </c>
      <c r="H148" s="4">
        <v>46082</v>
      </c>
      <c r="I148" s="4">
        <v>46387</v>
      </c>
      <c r="J148" s="35"/>
      <c r="K148" s="35" t="s">
        <v>874</v>
      </c>
      <c r="L148" s="33" t="s">
        <v>478</v>
      </c>
      <c r="M148" s="33" t="s">
        <v>15</v>
      </c>
      <c r="N148" s="33" t="s">
        <v>15</v>
      </c>
      <c r="O148" s="33" t="s">
        <v>800</v>
      </c>
      <c r="P148" s="33" t="s">
        <v>545</v>
      </c>
      <c r="Q148" s="33" t="s">
        <v>545</v>
      </c>
      <c r="R148" s="33" t="s">
        <v>546</v>
      </c>
      <c r="S148" s="33" t="s">
        <v>537</v>
      </c>
      <c r="T148" s="36">
        <v>0</v>
      </c>
      <c r="U148" s="36">
        <v>0</v>
      </c>
      <c r="V148" s="5">
        <v>0</v>
      </c>
      <c r="W148" s="15">
        <f t="shared" si="48"/>
        <v>15208</v>
      </c>
      <c r="X148" s="15">
        <f t="shared" si="51"/>
        <v>0</v>
      </c>
      <c r="Y148" s="15">
        <f t="shared" si="49"/>
        <v>15208</v>
      </c>
      <c r="Z148" s="15">
        <f>SUM(Financials20263[[#This Row],[2026 Opportunity]:[2026 Risk]])</f>
        <v>15208</v>
      </c>
      <c r="AA148" s="42"/>
      <c r="AB148" s="54"/>
      <c r="AC148" s="54"/>
      <c r="AD148" s="54"/>
      <c r="AE148" s="54">
        <v>15208</v>
      </c>
      <c r="AF148" s="54"/>
      <c r="AG148" s="54"/>
      <c r="AH148" s="54"/>
      <c r="AI148" s="54"/>
      <c r="AJ148" s="54"/>
      <c r="AK148" s="54"/>
      <c r="AL148" s="54"/>
      <c r="AM148" s="54"/>
      <c r="AN148" s="52">
        <f>SUM(Financials20263[[#This Row],[Jan FC]:[Dec FC]])</f>
        <v>15208</v>
      </c>
      <c r="AO148" s="15">
        <f t="shared" si="50"/>
        <v>0</v>
      </c>
      <c r="AP148" s="63"/>
      <c r="AQ148" s="63"/>
      <c r="AR148" s="63"/>
      <c r="AS148" s="61">
        <v>15208</v>
      </c>
      <c r="AT148" s="63"/>
      <c r="AU148" s="63"/>
      <c r="AV148" s="63"/>
      <c r="AW148" s="63"/>
      <c r="AX148" s="63"/>
      <c r="AY148" s="63"/>
      <c r="AZ148" s="63"/>
      <c r="BA148" s="63"/>
      <c r="BB148" s="82">
        <f>SUM(Financials20263[[#This Row],[Jan AC]:[Dec AC]])</f>
        <v>15208</v>
      </c>
      <c r="BC148" s="71">
        <f>Financials20263[[#This Row],[Jan AC]]-Financials20263[[#This Row],[Jan FC]]</f>
        <v>0</v>
      </c>
      <c r="BD148" s="71">
        <f>Financials20263[[#This Row],[Feb AC]]-Financials20263[[#This Row],[Feb FC]]</f>
        <v>0</v>
      </c>
      <c r="BE148" s="71">
        <f>Financials20263[[#This Row],[Mar AC]]-Financials20263[[#This Row],[Mar FC]]</f>
        <v>0</v>
      </c>
      <c r="BF148" s="71">
        <f>Financials20263[[#This Row],[Apr AC]]-Financials20263[[#This Row],[Apr FC]]</f>
        <v>0</v>
      </c>
      <c r="BG148" s="71">
        <f>Financials20263[[#This Row],[May AC]]-Financials20263[[#This Row],[May FC]]</f>
        <v>0</v>
      </c>
      <c r="BH148" s="71">
        <f>Financials20263[[#This Row],[Jun AC]]-Financials20263[[#This Row],[Jun FC]]</f>
        <v>0</v>
      </c>
      <c r="BI148" s="71">
        <f>Financials20263[[#This Row],[Jul AC]]-Financials20263[[#This Row],[Jul FC]]</f>
        <v>0</v>
      </c>
      <c r="BJ148" s="71">
        <f>Financials20263[[#This Row],[Aug AC]]-Financials20263[[#This Row],[Aug FC]]</f>
        <v>0</v>
      </c>
      <c r="BK148" s="71">
        <f>Financials20263[[#This Row],[Sep AC]]-Financials20263[[#This Row],[Sep FC]]</f>
        <v>0</v>
      </c>
      <c r="BL148" s="71">
        <f>Financials20263[[#This Row],[Oct AC]]-Financials20263[[#This Row],[Oct FC]]</f>
        <v>0</v>
      </c>
      <c r="BM148" s="71">
        <f>Financials20263[[#This Row],[Nov AC]]-Financials20263[[#This Row],[Nov FC]]</f>
        <v>0</v>
      </c>
      <c r="BN148" s="71">
        <f>Financials20263[[#This Row],[Dec AC]]-Financials20263[[#This Row],[Dec FC]]</f>
        <v>0</v>
      </c>
      <c r="BO148" s="84">
        <f>SUM(Financials20263[[#This Row],[Jan Opp/Risk]:[Dec Opp./Risk]])</f>
        <v>0</v>
      </c>
      <c r="BP148" s="94" t="s">
        <v>875</v>
      </c>
      <c r="BQ148" s="47">
        <f>SUM(Financials20263[[#This Row],[Jan AC]:[May AC]])</f>
        <v>15208</v>
      </c>
      <c r="BR148" s="6">
        <f>Financials20263[[#This Row],[2026 (Actuals + Forecast)]]-Financials20263[[#This Row],[Jan-May Actuals]]-Financials20263[[#This Row],[Jun-Dec FC]]</f>
        <v>0</v>
      </c>
      <c r="BS148" s="6">
        <f>Financials20263[[#This Row],[Jun-Dec FC]]+Financials20263[[#This Row],[Jan-May Forecast ]]</f>
        <v>0</v>
      </c>
      <c r="BT148" s="6">
        <f>SUM(Financials20263[[#This Row],[Jan FC]:[May FC]])</f>
        <v>15208</v>
      </c>
      <c r="BU148" s="6">
        <f>Financials20263[[#This Row],[Jan-May Actuals]]+Financials20263[[#This Row],[Forecast Jun-Dec]]</f>
        <v>15208</v>
      </c>
    </row>
    <row r="149" spans="1:76" ht="57.6">
      <c r="A149" s="32" t="s">
        <v>473</v>
      </c>
      <c r="B149" s="21" t="s">
        <v>330</v>
      </c>
      <c r="C149" s="39"/>
      <c r="D149" s="10" t="s">
        <v>594</v>
      </c>
      <c r="E149" s="7" t="s">
        <v>595</v>
      </c>
      <c r="F149" s="3" t="s">
        <v>596</v>
      </c>
      <c r="G149" s="3" t="s">
        <v>22</v>
      </c>
      <c r="H149" s="4">
        <v>45992</v>
      </c>
      <c r="I149" s="4">
        <v>46387</v>
      </c>
      <c r="J149" s="40" t="s">
        <v>593</v>
      </c>
      <c r="K149" s="40" t="str">
        <f>D149 &amp; "-" &amp;E149</f>
        <v>Prj000469-Support - Prod Support for Ops Apps</v>
      </c>
      <c r="L149" s="39" t="s">
        <v>478</v>
      </c>
      <c r="M149" s="39" t="s">
        <v>16</v>
      </c>
      <c r="N149" s="39" t="s">
        <v>16</v>
      </c>
      <c r="O149" s="39" t="s">
        <v>625</v>
      </c>
      <c r="P149" s="39" t="s">
        <v>479</v>
      </c>
      <c r="Q149" s="33" t="s">
        <v>480</v>
      </c>
      <c r="R149" s="39" t="s">
        <v>480</v>
      </c>
      <c r="S149" s="39" t="s">
        <v>508</v>
      </c>
      <c r="T149" s="36">
        <v>0</v>
      </c>
      <c r="U149" s="37">
        <v>0</v>
      </c>
      <c r="V149" s="37">
        <v>0</v>
      </c>
      <c r="W149" s="15">
        <f t="shared" si="48"/>
        <v>102000</v>
      </c>
      <c r="X149" s="15">
        <f t="shared" si="51"/>
        <v>0</v>
      </c>
      <c r="Y149" s="38">
        <f>IF(W149 &gt; V149, W149 - V149, 0)</f>
        <v>102000</v>
      </c>
      <c r="Z149" s="38">
        <f>SUM(Financials20263[[#This Row],[2026 Opportunity]:[2026 Risk]])</f>
        <v>102000</v>
      </c>
      <c r="AA149" s="14" t="s">
        <v>876</v>
      </c>
      <c r="AB149" s="54"/>
      <c r="AC149" s="54"/>
      <c r="AD149" s="54"/>
      <c r="AE149" s="54">
        <v>92000</v>
      </c>
      <c r="AF149" s="54"/>
      <c r="AG149" s="54"/>
      <c r="AH149" s="54"/>
      <c r="AI149" s="54"/>
      <c r="AJ149" s="54"/>
      <c r="AK149" s="54"/>
      <c r="AL149" s="54"/>
      <c r="AM149" s="54">
        <v>10000</v>
      </c>
      <c r="AN149" s="54">
        <f>SUM(Financials20263[[#This Row],[Jan FC]:[Dec FC]])</f>
        <v>102000</v>
      </c>
      <c r="AO149" s="15">
        <f t="shared" si="50"/>
        <v>10000</v>
      </c>
      <c r="AP149" s="63"/>
      <c r="AQ149" s="63"/>
      <c r="AR149" s="63"/>
      <c r="AS149" s="63">
        <v>92000</v>
      </c>
      <c r="AT149" s="63"/>
      <c r="AU149" s="63"/>
      <c r="AV149" s="63"/>
      <c r="AW149" s="63"/>
      <c r="AX149" s="63"/>
      <c r="AY149" s="63"/>
      <c r="AZ149" s="63"/>
      <c r="BA149" s="63"/>
      <c r="BB149" s="82">
        <f>SUM(Financials20263[[#This Row],[Jan AC]:[Dec AC]])</f>
        <v>92000</v>
      </c>
      <c r="BC149" s="71">
        <f>Financials20263[[#This Row],[Jan AC]]-Financials20263[[#This Row],[Jan FC]]</f>
        <v>0</v>
      </c>
      <c r="BD149" s="71">
        <f>Financials20263[[#This Row],[Feb AC]]-Financials20263[[#This Row],[Feb FC]]</f>
        <v>0</v>
      </c>
      <c r="BE149" s="71">
        <f>Financials20263[[#This Row],[Mar AC]]-Financials20263[[#This Row],[Mar FC]]</f>
        <v>0</v>
      </c>
      <c r="BF149" s="71">
        <f>Financials20263[[#This Row],[Apr AC]]-Financials20263[[#This Row],[Apr FC]]</f>
        <v>0</v>
      </c>
      <c r="BG149" s="71">
        <f>Financials20263[[#This Row],[May AC]]-Financials20263[[#This Row],[May FC]]</f>
        <v>0</v>
      </c>
      <c r="BH149" s="71">
        <f>Financials20263[[#This Row],[Jun AC]]-Financials20263[[#This Row],[Jun FC]]</f>
        <v>0</v>
      </c>
      <c r="BI149" s="71">
        <f>Financials20263[[#This Row],[Jul AC]]-Financials20263[[#This Row],[Jul FC]]</f>
        <v>0</v>
      </c>
      <c r="BJ149" s="71">
        <f>Financials20263[[#This Row],[Aug AC]]-Financials20263[[#This Row],[Aug FC]]</f>
        <v>0</v>
      </c>
      <c r="BK149" s="71">
        <f>Financials20263[[#This Row],[Sep AC]]-Financials20263[[#This Row],[Sep FC]]</f>
        <v>0</v>
      </c>
      <c r="BL149" s="71">
        <f>Financials20263[[#This Row],[Oct AC]]-Financials20263[[#This Row],[Oct FC]]</f>
        <v>0</v>
      </c>
      <c r="BM149" s="71">
        <f>Financials20263[[#This Row],[Nov AC]]-Financials20263[[#This Row],[Nov FC]]</f>
        <v>0</v>
      </c>
      <c r="BN149" s="71">
        <f>Financials20263[[#This Row],[Dec AC]]-Financials20263[[#This Row],[Dec FC]]</f>
        <v>-10000</v>
      </c>
      <c r="BO149" s="84">
        <f>SUM(Financials20263[[#This Row],[Jan Opp/Risk]:[Dec Opp./Risk]])</f>
        <v>-10000</v>
      </c>
      <c r="BP149" s="95" t="s">
        <v>877</v>
      </c>
      <c r="BQ149" s="47">
        <f>SUM(Financials20263[[#This Row],[Jan AC]:[May AC]])</f>
        <v>92000</v>
      </c>
      <c r="BR149" s="6">
        <f>Financials20263[[#This Row],[2026 (Actuals + Forecast)]]-Financials20263[[#This Row],[Jan-May Actuals]]-Financials20263[[#This Row],[Jun-Dec FC]]</f>
        <v>0</v>
      </c>
      <c r="BS149" s="6">
        <f>Financials20263[[#This Row],[Jun-Dec FC]]+Financials20263[[#This Row],[Jan-May Forecast ]]</f>
        <v>10000</v>
      </c>
      <c r="BT149" s="6">
        <f>SUM(Financials20263[[#This Row],[Jan FC]:[May FC]])</f>
        <v>92000</v>
      </c>
      <c r="BU149" s="6">
        <f>Financials20263[[#This Row],[Jan-May Actuals]]+Financials20263[[#This Row],[Forecast Jun-Dec]]</f>
        <v>102000</v>
      </c>
    </row>
    <row r="150" spans="1:76">
      <c r="A150" s="155"/>
      <c r="B150" s="155"/>
      <c r="C150" s="156"/>
      <c r="D150"/>
      <c r="G150"/>
      <c r="J150" s="157"/>
      <c r="K150" s="157"/>
      <c r="L150" s="156"/>
      <c r="M150" s="156"/>
      <c r="N150" s="156"/>
      <c r="O150" s="156"/>
      <c r="P150" s="156"/>
      <c r="Q150" s="155"/>
      <c r="R150" s="156"/>
      <c r="S150" s="156"/>
      <c r="T150" s="6"/>
      <c r="U150" s="158"/>
      <c r="V150" s="158"/>
      <c r="W150" s="158"/>
      <c r="X150" s="158"/>
      <c r="Y150" s="159"/>
      <c r="Z150" s="159"/>
      <c r="AA150"/>
      <c r="AB150"/>
      <c r="AC150"/>
      <c r="AD150"/>
      <c r="AE150"/>
      <c r="AF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  <c r="BB150"/>
      <c r="BC150"/>
      <c r="BD150"/>
      <c r="BE150"/>
      <c r="BF150"/>
      <c r="BG150"/>
      <c r="BH150"/>
    </row>
    <row r="151" spans="1:76">
      <c r="A151" s="122"/>
      <c r="B151" s="122" t="s">
        <v>878</v>
      </c>
      <c r="C151" s="122"/>
      <c r="D151" s="123"/>
      <c r="E151" s="122"/>
      <c r="F151" s="122"/>
      <c r="G151" s="123"/>
      <c r="H151" s="124"/>
      <c r="I151" s="124"/>
      <c r="J151" s="122"/>
      <c r="K151" s="122"/>
      <c r="L151" s="122"/>
      <c r="M151" s="122"/>
      <c r="N151" s="122"/>
      <c r="O151" s="122"/>
      <c r="P151" s="122"/>
      <c r="Q151" s="122"/>
      <c r="R151" s="122"/>
      <c r="S151" s="122"/>
      <c r="T151" s="125">
        <f t="shared" ref="T151:BQ151" si="55">SUBTOTAL(9,T2:T150)</f>
        <v>46382982.072500005</v>
      </c>
      <c r="U151" s="125">
        <f t="shared" si="55"/>
        <v>40168697.557166502</v>
      </c>
      <c r="V151" s="125">
        <f t="shared" si="55"/>
        <v>40788397.956149995</v>
      </c>
      <c r="W151" s="125">
        <f t="shared" si="55"/>
        <v>42176017.133566655</v>
      </c>
      <c r="X151" s="125">
        <f t="shared" si="55"/>
        <v>-3633521.8601499996</v>
      </c>
      <c r="Y151" s="125">
        <f t="shared" si="55"/>
        <v>5021141.0375666656</v>
      </c>
      <c r="Z151" s="125">
        <f t="shared" si="55"/>
        <v>1387619.1774166662</v>
      </c>
      <c r="AA151" s="125">
        <f t="shared" si="55"/>
        <v>0</v>
      </c>
      <c r="AB151" s="125">
        <f t="shared" si="55"/>
        <v>3093290.4024999994</v>
      </c>
      <c r="AC151" s="125">
        <f t="shared" si="55"/>
        <v>3064082.0425</v>
      </c>
      <c r="AD151" s="125">
        <f t="shared" si="55"/>
        <v>3222703.8920833333</v>
      </c>
      <c r="AE151" s="125">
        <f t="shared" si="55"/>
        <v>3745765.6802499997</v>
      </c>
      <c r="AF151" s="125">
        <f t="shared" si="55"/>
        <v>3245155.7902500001</v>
      </c>
      <c r="AG151" s="125">
        <f t="shared" si="55"/>
        <v>3130185.2035833332</v>
      </c>
      <c r="AH151" s="125">
        <f t="shared" si="55"/>
        <v>3409325.1052500005</v>
      </c>
      <c r="AI151" s="125">
        <f t="shared" si="55"/>
        <v>3883836.918583333</v>
      </c>
      <c r="AJ151" s="125">
        <f t="shared" si="55"/>
        <v>2935373.1559166671</v>
      </c>
      <c r="AK151" s="125">
        <f t="shared" si="55"/>
        <v>3451138.0869166669</v>
      </c>
      <c r="AL151" s="125">
        <f t="shared" si="55"/>
        <v>2902562.6594166672</v>
      </c>
      <c r="AM151" s="125">
        <f t="shared" si="55"/>
        <v>6062913.0735833338</v>
      </c>
      <c r="AN151" s="125">
        <f t="shared" si="55"/>
        <v>42146332.010833316</v>
      </c>
      <c r="AO151" s="125">
        <f t="shared" si="55"/>
        <v>25775334.203250002</v>
      </c>
      <c r="AP151" s="125">
        <f t="shared" si="55"/>
        <v>3152345.7691666665</v>
      </c>
      <c r="AQ151" s="125">
        <f t="shared" si="55"/>
        <v>2996640.1791666681</v>
      </c>
      <c r="AR151" s="125">
        <f t="shared" si="55"/>
        <v>3232989.6266666674</v>
      </c>
      <c r="AS151" s="125">
        <f t="shared" si="55"/>
        <v>3445196.122533333</v>
      </c>
      <c r="AT151" s="125">
        <f t="shared" si="55"/>
        <v>2950998.2725333329</v>
      </c>
      <c r="AU151" s="125">
        <f t="shared" si="55"/>
        <v>1112200.7066666668</v>
      </c>
      <c r="AV151" s="125">
        <f t="shared" si="55"/>
        <v>668576.58000000007</v>
      </c>
      <c r="AW151" s="125">
        <f t="shared" si="55"/>
        <v>649080.58000000007</v>
      </c>
      <c r="AX151" s="125">
        <f t="shared" si="55"/>
        <v>637440.2466666667</v>
      </c>
      <c r="AY151" s="125">
        <f t="shared" si="55"/>
        <v>610371.4966666667</v>
      </c>
      <c r="AZ151" s="125">
        <f t="shared" si="55"/>
        <v>529008.00666666671</v>
      </c>
      <c r="BA151" s="125">
        <f t="shared" si="55"/>
        <v>487037.0108333333</v>
      </c>
      <c r="BB151" s="125">
        <f t="shared" si="55"/>
        <v>20471884.597566668</v>
      </c>
      <c r="BC151" s="125">
        <f t="shared" si="55"/>
        <v>59055.366666666683</v>
      </c>
      <c r="BD151" s="125">
        <f t="shared" si="55"/>
        <v>-67441.863333333269</v>
      </c>
      <c r="BE151" s="125">
        <f t="shared" si="55"/>
        <v>10285.734583333346</v>
      </c>
      <c r="BF151" s="125">
        <f t="shared" si="55"/>
        <v>-300569.55771666672</v>
      </c>
      <c r="BG151" s="125">
        <f t="shared" si="55"/>
        <v>-294157.51771666668</v>
      </c>
      <c r="BH151" s="125">
        <f t="shared" si="55"/>
        <v>-2017984.4969166664</v>
      </c>
      <c r="BI151" s="125">
        <f t="shared" si="55"/>
        <v>-2740748.5252500004</v>
      </c>
      <c r="BJ151" s="125">
        <f t="shared" si="55"/>
        <v>-3234756.3385833334</v>
      </c>
      <c r="BK151" s="125">
        <f t="shared" si="55"/>
        <v>-2297932.90925</v>
      </c>
      <c r="BL151" s="125">
        <f t="shared" si="55"/>
        <v>-2840766.5902500004</v>
      </c>
      <c r="BM151" s="125">
        <f t="shared" si="55"/>
        <v>-2373554.6527500004</v>
      </c>
      <c r="BN151" s="125">
        <f t="shared" si="55"/>
        <v>-5575876.0627500005</v>
      </c>
      <c r="BO151" s="125">
        <f t="shared" si="55"/>
        <v>-21674447.413266674</v>
      </c>
      <c r="BP151" s="125">
        <f t="shared" si="55"/>
        <v>0</v>
      </c>
      <c r="BQ151" s="125">
        <f t="shared" si="55"/>
        <v>15778169.970066672</v>
      </c>
    </row>
    <row r="153" spans="1:76">
      <c r="T153" s="6"/>
      <c r="U153" s="150"/>
      <c r="V153" s="154">
        <v>-1322424.2100000002</v>
      </c>
      <c r="AG153" s="6"/>
      <c r="AI153" s="6">
        <f>17920*5</f>
        <v>89600</v>
      </c>
    </row>
    <row r="154" spans="1:76">
      <c r="U154" s="43"/>
      <c r="AE154"/>
      <c r="AF154"/>
      <c r="AG154" s="6"/>
      <c r="AH154" s="161"/>
      <c r="AI154" s="6">
        <f>21000*7</f>
        <v>147000</v>
      </c>
    </row>
    <row r="155" spans="1:76">
      <c r="U155" s="6"/>
    </row>
    <row r="160" spans="1:76">
      <c r="AN160"/>
    </row>
    <row r="161" spans="40:41">
      <c r="AN161"/>
    </row>
    <row r="162" spans="40:41">
      <c r="AN162"/>
    </row>
    <row r="163" spans="40:41">
      <c r="AN163"/>
    </row>
    <row r="164" spans="40:41">
      <c r="AN164"/>
      <c r="AO164" s="152"/>
    </row>
    <row r="165" spans="40:41">
      <c r="AN165"/>
    </row>
    <row r="166" spans="40:41">
      <c r="AN166"/>
    </row>
    <row r="167" spans="40:41">
      <c r="AN167"/>
    </row>
    <row r="168" spans="40:41">
      <c r="AN168"/>
    </row>
  </sheetData>
  <conditionalFormatting sqref="Y1:Z150">
    <cfRule type="cellIs" dxfId="76" priority="1" operator="greaterThan">
      <formula>1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0204C-4119-4CB3-B198-7268A9E8FE1B}">
  <dimension ref="A1:BC10"/>
  <sheetViews>
    <sheetView workbookViewId="0">
      <pane xSplit="2" ySplit="1" topLeftCell="C2" activePane="bottomRight" state="frozen"/>
      <selection pane="bottomRight" activeCell="B6" sqref="B6"/>
      <selection pane="bottomLeft" activeCell="A2" sqref="A2"/>
      <selection pane="topRight" activeCell="C1" sqref="C1"/>
    </sheetView>
  </sheetViews>
  <sheetFormatPr defaultRowHeight="14.45"/>
  <cols>
    <col min="1" max="1" width="15" bestFit="1" customWidth="1"/>
    <col min="2" max="2" width="21.42578125" bestFit="1" customWidth="1"/>
    <col min="3" max="3" width="20.7109375" bestFit="1" customWidth="1"/>
    <col min="4" max="4" width="9.28515625" bestFit="1" customWidth="1"/>
    <col min="5" max="5" width="29.28515625" bestFit="1" customWidth="1"/>
    <col min="6" max="6" width="28.7109375" bestFit="1" customWidth="1"/>
    <col min="7" max="7" width="15.42578125" bestFit="1" customWidth="1"/>
    <col min="8" max="8" width="12.7109375" bestFit="1" customWidth="1"/>
    <col min="9" max="9" width="11.7109375" bestFit="1" customWidth="1"/>
    <col min="10" max="10" width="10.7109375" bestFit="1" customWidth="1"/>
    <col min="11" max="11" width="13.28515625" bestFit="1" customWidth="1"/>
    <col min="12" max="12" width="9.7109375" bestFit="1" customWidth="1"/>
    <col min="13" max="14" width="13.28515625" bestFit="1" customWidth="1"/>
    <col min="15" max="15" width="13.7109375" bestFit="1" customWidth="1"/>
    <col min="16" max="16" width="29.7109375" bestFit="1" customWidth="1"/>
    <col min="17" max="17" width="17.5703125" bestFit="1" customWidth="1"/>
    <col min="18" max="18" width="16.85546875" hidden="1" customWidth="1"/>
    <col min="19" max="19" width="19.28515625" hidden="1" customWidth="1"/>
    <col min="20" max="20" width="11.5703125" hidden="1" customWidth="1"/>
    <col min="21" max="21" width="16.42578125" hidden="1" customWidth="1"/>
    <col min="22" max="22" width="15.7109375" bestFit="1" customWidth="1"/>
    <col min="23" max="23" width="22.140625" bestFit="1" customWidth="1"/>
    <col min="24" max="24" width="15.42578125" bestFit="1" customWidth="1"/>
    <col min="26" max="26" width="15.5703125" bestFit="1" customWidth="1"/>
    <col min="27" max="27" width="108" bestFit="1" customWidth="1"/>
    <col min="28" max="39" width="9.28515625" bestFit="1" customWidth="1"/>
    <col min="40" max="41" width="10.7109375" bestFit="1" customWidth="1"/>
    <col min="42" max="42" width="6.28515625" bestFit="1" customWidth="1"/>
    <col min="43" max="44" width="6.7109375" bestFit="1" customWidth="1"/>
    <col min="45" max="45" width="6.5703125" bestFit="1" customWidth="1"/>
    <col min="46" max="46" width="7" bestFit="1" customWidth="1"/>
    <col min="47" max="47" width="6.5703125" bestFit="1" customWidth="1"/>
    <col min="48" max="48" width="5.85546875" bestFit="1" customWidth="1"/>
    <col min="49" max="49" width="6.7109375" bestFit="1" customWidth="1"/>
    <col min="50" max="50" width="8.5703125" bestFit="1" customWidth="1"/>
    <col min="51" max="51" width="6.7109375" bestFit="1" customWidth="1"/>
    <col min="52" max="53" width="6.85546875" bestFit="1" customWidth="1"/>
    <col min="54" max="54" width="11.7109375" bestFit="1" customWidth="1"/>
    <col min="55" max="55" width="14" bestFit="1" customWidth="1"/>
  </cols>
  <sheetData>
    <row r="1" spans="1:55">
      <c r="A1" s="128" t="s">
        <v>0</v>
      </c>
      <c r="B1" s="128" t="s">
        <v>34</v>
      </c>
      <c r="C1" s="128" t="s">
        <v>407</v>
      </c>
      <c r="D1" s="128" t="s">
        <v>408</v>
      </c>
      <c r="E1" s="128" t="s">
        <v>409</v>
      </c>
      <c r="F1" s="128" t="s">
        <v>410</v>
      </c>
      <c r="G1" s="128" t="s">
        <v>30</v>
      </c>
      <c r="H1" s="129" t="s">
        <v>411</v>
      </c>
      <c r="I1" s="129" t="s">
        <v>412</v>
      </c>
      <c r="J1" s="129" t="s">
        <v>413</v>
      </c>
      <c r="K1" s="128" t="s">
        <v>414</v>
      </c>
      <c r="L1" s="128" t="s">
        <v>4</v>
      </c>
      <c r="M1" s="128" t="s">
        <v>18</v>
      </c>
      <c r="N1" s="128" t="s">
        <v>415</v>
      </c>
      <c r="O1" s="130" t="s">
        <v>416</v>
      </c>
      <c r="P1" s="128" t="s">
        <v>417</v>
      </c>
      <c r="Q1" s="128" t="s">
        <v>418</v>
      </c>
      <c r="R1" s="128" t="s">
        <v>419</v>
      </c>
      <c r="S1" s="128" t="s">
        <v>420</v>
      </c>
      <c r="T1" s="130" t="s">
        <v>421</v>
      </c>
      <c r="U1" s="131" t="s">
        <v>422</v>
      </c>
      <c r="V1" s="131" t="s">
        <v>35</v>
      </c>
      <c r="W1" s="131" t="s">
        <v>423</v>
      </c>
      <c r="X1" s="132" t="s">
        <v>424</v>
      </c>
      <c r="Y1" s="133" t="s">
        <v>425</v>
      </c>
      <c r="Z1" s="133" t="s">
        <v>39</v>
      </c>
      <c r="AA1" s="134" t="s">
        <v>426</v>
      </c>
      <c r="AB1" s="131" t="s">
        <v>427</v>
      </c>
      <c r="AC1" s="131" t="s">
        <v>428</v>
      </c>
      <c r="AD1" s="131" t="s">
        <v>429</v>
      </c>
      <c r="AE1" s="131" t="s">
        <v>430</v>
      </c>
      <c r="AF1" s="130" t="s">
        <v>431</v>
      </c>
      <c r="AG1" s="130" t="s">
        <v>432</v>
      </c>
      <c r="AH1" s="130" t="s">
        <v>433</v>
      </c>
      <c r="AI1" s="130" t="s">
        <v>434</v>
      </c>
      <c r="AJ1" s="130" t="s">
        <v>435</v>
      </c>
      <c r="AK1" s="130" t="s">
        <v>436</v>
      </c>
      <c r="AL1" s="130" t="s">
        <v>437</v>
      </c>
      <c r="AM1" s="130" t="s">
        <v>438</v>
      </c>
      <c r="AN1" s="130" t="s">
        <v>439</v>
      </c>
      <c r="AO1" s="135" t="s">
        <v>879</v>
      </c>
      <c r="AP1" s="136" t="s">
        <v>441</v>
      </c>
      <c r="AQ1" s="136" t="s">
        <v>442</v>
      </c>
      <c r="AR1" s="136" t="s">
        <v>443</v>
      </c>
      <c r="AS1" s="136" t="s">
        <v>444</v>
      </c>
      <c r="AT1" s="137" t="s">
        <v>445</v>
      </c>
      <c r="AU1" s="137" t="s">
        <v>446</v>
      </c>
      <c r="AV1" s="137" t="s">
        <v>447</v>
      </c>
      <c r="AW1" s="137" t="s">
        <v>448</v>
      </c>
      <c r="AX1" s="137" t="s">
        <v>449</v>
      </c>
      <c r="AY1" s="137" t="s">
        <v>450</v>
      </c>
      <c r="AZ1" s="137" t="s">
        <v>451</v>
      </c>
      <c r="BA1" s="137" t="s">
        <v>452</v>
      </c>
      <c r="BB1" s="138" t="s">
        <v>453</v>
      </c>
      <c r="BC1" s="139" t="s">
        <v>467</v>
      </c>
    </row>
    <row r="2" spans="1:55">
      <c r="A2" s="140" t="s">
        <v>880</v>
      </c>
      <c r="B2" s="140" t="s">
        <v>881</v>
      </c>
      <c r="C2" s="140"/>
      <c r="D2" s="10" t="s">
        <v>882</v>
      </c>
      <c r="E2" s="7" t="s">
        <v>883</v>
      </c>
      <c r="F2" s="141" t="s">
        <v>488</v>
      </c>
      <c r="G2" s="141" t="s">
        <v>25</v>
      </c>
      <c r="H2" s="142"/>
      <c r="I2" s="142"/>
      <c r="J2" s="140"/>
      <c r="K2" s="141"/>
      <c r="L2" s="140" t="s">
        <v>478</v>
      </c>
      <c r="M2" s="140" t="s">
        <v>16</v>
      </c>
      <c r="N2" s="140" t="s">
        <v>16</v>
      </c>
      <c r="O2" s="140" t="s">
        <v>26</v>
      </c>
      <c r="P2" s="140" t="s">
        <v>479</v>
      </c>
      <c r="Q2" s="140" t="s">
        <v>480</v>
      </c>
      <c r="R2" s="140" t="s">
        <v>480</v>
      </c>
      <c r="S2" s="140"/>
      <c r="T2" s="143"/>
      <c r="U2" s="144"/>
      <c r="V2" s="144">
        <v>-2002970</v>
      </c>
      <c r="W2" s="144">
        <f t="shared" ref="W2" si="0">AO2+IF(ISBLANK(AP2),AB2,AP2)+IF(ISBLANK(AQ2),AC2,AQ2)+IF(ISBLANK(AR2),AD2,AR2)+IF(ISBLANK(AS2),AE2,AS2)</f>
        <v>-2002970.0000000002</v>
      </c>
      <c r="X2" s="144">
        <f>IF(V2 &gt;= W2, V2 - W2, 0)*-1</f>
        <v>-2.3283064365386963E-10</v>
      </c>
      <c r="Y2" s="144">
        <f t="shared" ref="Y2" si="1">IF(W2 &gt; V2, W2 - V2, 0)</f>
        <v>0</v>
      </c>
      <c r="Z2" s="144">
        <f>SUM(X2:Y2)</f>
        <v>-2.3283064365386963E-10</v>
      </c>
      <c r="AA2" s="141"/>
      <c r="AB2" s="51">
        <f t="shared" ref="AB2:AM2" si="2">(2002970/12)*-1</f>
        <v>-166914.16666666666</v>
      </c>
      <c r="AC2" s="51">
        <f t="shared" si="2"/>
        <v>-166914.16666666666</v>
      </c>
      <c r="AD2" s="51">
        <f t="shared" si="2"/>
        <v>-166914.16666666666</v>
      </c>
      <c r="AE2" s="51">
        <f t="shared" si="2"/>
        <v>-166914.16666666666</v>
      </c>
      <c r="AF2" s="51">
        <f t="shared" si="2"/>
        <v>-166914.16666666666</v>
      </c>
      <c r="AG2" s="51">
        <f t="shared" si="2"/>
        <v>-166914.16666666666</v>
      </c>
      <c r="AH2" s="51">
        <f t="shared" si="2"/>
        <v>-166914.16666666666</v>
      </c>
      <c r="AI2" s="51">
        <f t="shared" si="2"/>
        <v>-166914.16666666666</v>
      </c>
      <c r="AJ2" s="51">
        <f t="shared" si="2"/>
        <v>-166914.16666666666</v>
      </c>
      <c r="AK2" s="51">
        <f t="shared" si="2"/>
        <v>-166914.16666666666</v>
      </c>
      <c r="AL2" s="51">
        <f t="shared" si="2"/>
        <v>-166914.16666666666</v>
      </c>
      <c r="AM2" s="51">
        <f t="shared" si="2"/>
        <v>-166914.16666666666</v>
      </c>
      <c r="AN2" s="51">
        <f>SUM(AB2:AM2)</f>
        <v>-2002970.0000000002</v>
      </c>
      <c r="AO2" s="144">
        <f>SUM(AF2:AM2)</f>
        <v>-1335313.3333333333</v>
      </c>
      <c r="AP2" s="60"/>
      <c r="AQ2" s="60"/>
      <c r="AR2" s="60"/>
      <c r="AS2" s="60"/>
      <c r="AT2" s="60"/>
      <c r="AU2" s="60"/>
      <c r="AV2" s="60"/>
      <c r="AW2" s="60"/>
      <c r="AX2" s="60"/>
      <c r="AY2" s="60"/>
      <c r="AZ2" s="60"/>
      <c r="BA2" s="60"/>
      <c r="BB2" s="145">
        <f>SUM(AP2:BA2)</f>
        <v>0</v>
      </c>
      <c r="BC2" s="146"/>
    </row>
    <row r="3" spans="1:55">
      <c r="A3" s="140" t="s">
        <v>473</v>
      </c>
      <c r="B3" s="140" t="s">
        <v>884</v>
      </c>
      <c r="C3" s="140"/>
      <c r="D3" s="10" t="s">
        <v>882</v>
      </c>
      <c r="E3" s="7" t="s">
        <v>883</v>
      </c>
      <c r="F3" s="141" t="s">
        <v>488</v>
      </c>
      <c r="G3" s="141" t="s">
        <v>25</v>
      </c>
      <c r="H3" s="142">
        <v>46111</v>
      </c>
      <c r="I3" s="142">
        <v>46252</v>
      </c>
      <c r="J3" s="140"/>
      <c r="K3" s="141"/>
      <c r="L3" s="140" t="s">
        <v>478</v>
      </c>
      <c r="M3" s="140" t="s">
        <v>16</v>
      </c>
      <c r="N3" s="140" t="s">
        <v>564</v>
      </c>
      <c r="O3" s="140" t="s">
        <v>885</v>
      </c>
      <c r="P3" s="140" t="s">
        <v>479</v>
      </c>
      <c r="Q3" s="140" t="s">
        <v>480</v>
      </c>
      <c r="R3" s="140" t="s">
        <v>480</v>
      </c>
      <c r="S3" s="140" t="s">
        <v>885</v>
      </c>
      <c r="T3" s="147">
        <v>0</v>
      </c>
      <c r="U3" s="147">
        <v>0</v>
      </c>
      <c r="V3" s="144">
        <v>1096541</v>
      </c>
      <c r="W3" s="144">
        <f t="shared" ref="W3:W6" si="3">AO3+IF(ISBLANK(AP3),AB3,AP3)+IF(ISBLANK(AQ3),AC3,AQ3)+IF(ISBLANK(AR3),AD3,AR3)+IF(ISBLANK(AS3),AE3,AS3)</f>
        <v>1096541</v>
      </c>
      <c r="X3" s="144">
        <f t="shared" ref="X3:X6" si="4">IF(V3 &gt;= W3, V3 - W3, 0)*-1</f>
        <v>0</v>
      </c>
      <c r="Y3" s="144">
        <f t="shared" ref="Y3:Y6" si="5">IF(W3 &gt; V3, W3 - V3, 0)</f>
        <v>0</v>
      </c>
      <c r="Z3" s="144">
        <f t="shared" ref="Z3:Z6" si="6">SUM(X3:Y3)</f>
        <v>0</v>
      </c>
      <c r="AA3" s="141"/>
      <c r="AB3" s="51"/>
      <c r="AC3" s="51"/>
      <c r="AD3" s="51"/>
      <c r="AE3" s="51">
        <v>198480</v>
      </c>
      <c r="AF3" s="51"/>
      <c r="AG3" s="51"/>
      <c r="AH3" s="51"/>
      <c r="AI3" s="51">
        <v>898061</v>
      </c>
      <c r="AJ3" s="51"/>
      <c r="AK3" s="51"/>
      <c r="AL3" s="51"/>
      <c r="AM3" s="51"/>
      <c r="AN3" s="51">
        <f t="shared" ref="AN3:AN7" si="7">SUM(AB3:AM3)</f>
        <v>1096541</v>
      </c>
      <c r="AO3" s="144">
        <f t="shared" ref="AO3:AO7" si="8">SUM(AF3:AM3)</f>
        <v>898061</v>
      </c>
      <c r="AP3" s="60"/>
      <c r="AQ3" s="60"/>
      <c r="AR3" s="60"/>
      <c r="AS3" s="60"/>
      <c r="AT3" s="60"/>
      <c r="AU3" s="60"/>
      <c r="AV3" s="60"/>
      <c r="AW3" s="60"/>
      <c r="AX3" s="60"/>
      <c r="AY3" s="60"/>
      <c r="AZ3" s="60"/>
      <c r="BA3" s="60"/>
      <c r="BB3" s="145">
        <f t="shared" ref="BB3:BB8" si="9">SUM(AP3:BA3)</f>
        <v>0</v>
      </c>
      <c r="BC3" s="146"/>
    </row>
    <row r="4" spans="1:55">
      <c r="A4" s="140" t="s">
        <v>473</v>
      </c>
      <c r="B4" s="140" t="s">
        <v>886</v>
      </c>
      <c r="C4" s="140"/>
      <c r="D4" s="10" t="s">
        <v>882</v>
      </c>
      <c r="E4" s="7" t="s">
        <v>883</v>
      </c>
      <c r="F4" s="141" t="s">
        <v>488</v>
      </c>
      <c r="G4" s="141" t="s">
        <v>25</v>
      </c>
      <c r="H4" s="142">
        <v>46083</v>
      </c>
      <c r="I4" s="142">
        <v>46129</v>
      </c>
      <c r="J4" s="140"/>
      <c r="K4" s="141"/>
      <c r="L4" s="140" t="s">
        <v>478</v>
      </c>
      <c r="M4" s="140" t="s">
        <v>16</v>
      </c>
      <c r="N4" s="140" t="s">
        <v>887</v>
      </c>
      <c r="O4" s="140" t="s">
        <v>888</v>
      </c>
      <c r="P4" s="140" t="s">
        <v>479</v>
      </c>
      <c r="Q4" s="140" t="s">
        <v>480</v>
      </c>
      <c r="R4" s="140" t="s">
        <v>480</v>
      </c>
      <c r="S4" s="140" t="s">
        <v>10</v>
      </c>
      <c r="T4" s="147">
        <v>0</v>
      </c>
      <c r="U4" s="147">
        <v>0</v>
      </c>
      <c r="V4" s="144">
        <v>84400</v>
      </c>
      <c r="W4" s="144">
        <f t="shared" si="3"/>
        <v>0</v>
      </c>
      <c r="X4" s="144">
        <f t="shared" si="4"/>
        <v>-84400</v>
      </c>
      <c r="Y4" s="144">
        <f t="shared" si="5"/>
        <v>0</v>
      </c>
      <c r="Z4" s="144">
        <f t="shared" si="6"/>
        <v>-84400</v>
      </c>
      <c r="AA4" s="141" t="s">
        <v>889</v>
      </c>
      <c r="AB4" s="51"/>
      <c r="AC4" s="51"/>
      <c r="AD4" s="51"/>
      <c r="AE4" s="51"/>
      <c r="AF4" s="51"/>
      <c r="AG4" s="51"/>
      <c r="AH4" s="51"/>
      <c r="AI4" s="51"/>
      <c r="AJ4" s="51"/>
      <c r="AK4" s="51"/>
      <c r="AL4" s="51"/>
      <c r="AM4" s="51"/>
      <c r="AN4" s="51">
        <f t="shared" si="7"/>
        <v>0</v>
      </c>
      <c r="AO4" s="144">
        <f t="shared" si="8"/>
        <v>0</v>
      </c>
      <c r="AP4" s="60"/>
      <c r="AQ4" s="60"/>
      <c r="AR4" s="60"/>
      <c r="AS4" s="60"/>
      <c r="AT4" s="60"/>
      <c r="AU4" s="60"/>
      <c r="AV4" s="60"/>
      <c r="AW4" s="60"/>
      <c r="AX4" s="60"/>
      <c r="AY4" s="60"/>
      <c r="AZ4" s="60"/>
      <c r="BA4" s="60"/>
      <c r="BB4" s="145">
        <f t="shared" si="9"/>
        <v>0</v>
      </c>
      <c r="BC4" s="146"/>
    </row>
    <row r="5" spans="1:55">
      <c r="A5" s="140" t="s">
        <v>473</v>
      </c>
      <c r="B5" s="140" t="s">
        <v>890</v>
      </c>
      <c r="C5" s="140" t="s">
        <v>891</v>
      </c>
      <c r="D5" s="10" t="s">
        <v>882</v>
      </c>
      <c r="E5" s="7" t="s">
        <v>883</v>
      </c>
      <c r="F5" s="141" t="s">
        <v>488</v>
      </c>
      <c r="G5" s="141" t="s">
        <v>25</v>
      </c>
      <c r="H5" s="142">
        <v>46155</v>
      </c>
      <c r="I5" s="142">
        <v>47374</v>
      </c>
      <c r="J5" s="140"/>
      <c r="K5" s="141"/>
      <c r="L5" s="140" t="s">
        <v>478</v>
      </c>
      <c r="M5" s="140" t="s">
        <v>16</v>
      </c>
      <c r="N5" s="140" t="s">
        <v>547</v>
      </c>
      <c r="O5" s="140" t="s">
        <v>588</v>
      </c>
      <c r="P5" s="140" t="s">
        <v>479</v>
      </c>
      <c r="Q5" s="140" t="s">
        <v>480</v>
      </c>
      <c r="R5" s="140" t="s">
        <v>480</v>
      </c>
      <c r="S5" s="140" t="s">
        <v>892</v>
      </c>
      <c r="T5" s="147">
        <v>0</v>
      </c>
      <c r="U5" s="147">
        <v>0</v>
      </c>
      <c r="V5" s="144">
        <f>183812</f>
        <v>183812</v>
      </c>
      <c r="W5" s="144">
        <f t="shared" si="3"/>
        <v>183812</v>
      </c>
      <c r="X5" s="144">
        <f t="shared" si="4"/>
        <v>0</v>
      </c>
      <c r="Y5" s="144">
        <f t="shared" si="5"/>
        <v>0</v>
      </c>
      <c r="Z5" s="144">
        <f t="shared" si="6"/>
        <v>0</v>
      </c>
      <c r="AA5" s="141" t="s">
        <v>893</v>
      </c>
      <c r="AB5" s="51"/>
      <c r="AC5" s="51"/>
      <c r="AD5" s="51"/>
      <c r="AE5" s="51"/>
      <c r="AF5" s="51"/>
      <c r="AG5" s="51"/>
      <c r="AH5" s="51"/>
      <c r="AI5" s="51"/>
      <c r="AJ5" s="51">
        <f>183812</f>
        <v>183812</v>
      </c>
      <c r="AK5" s="51"/>
      <c r="AL5" s="51"/>
      <c r="AM5" s="51"/>
      <c r="AN5" s="51">
        <f t="shared" si="7"/>
        <v>183812</v>
      </c>
      <c r="AO5" s="144">
        <f t="shared" si="8"/>
        <v>183812</v>
      </c>
      <c r="AP5" s="60"/>
      <c r="AQ5" s="60"/>
      <c r="AR5" s="60"/>
      <c r="AS5" s="60"/>
      <c r="AT5" s="60"/>
      <c r="AU5" s="60"/>
      <c r="AV5" s="60"/>
      <c r="AW5" s="60"/>
      <c r="AX5" s="60">
        <v>183812</v>
      </c>
      <c r="AY5" s="60"/>
      <c r="AZ5" s="60"/>
      <c r="BA5" s="60"/>
      <c r="BB5" s="145">
        <f t="shared" si="9"/>
        <v>183812</v>
      </c>
      <c r="BC5" s="146" t="s">
        <v>894</v>
      </c>
    </row>
    <row r="6" spans="1:55">
      <c r="A6" s="140" t="s">
        <v>473</v>
      </c>
      <c r="B6" s="140" t="s">
        <v>895</v>
      </c>
      <c r="C6" s="140"/>
      <c r="D6" s="10" t="s">
        <v>882</v>
      </c>
      <c r="E6" s="7" t="s">
        <v>883</v>
      </c>
      <c r="F6" s="141" t="s">
        <v>488</v>
      </c>
      <c r="G6" s="141" t="s">
        <v>25</v>
      </c>
      <c r="H6" s="142">
        <v>46174</v>
      </c>
      <c r="I6" s="142">
        <v>47269</v>
      </c>
      <c r="J6" s="140"/>
      <c r="K6" s="141"/>
      <c r="L6" s="140" t="s">
        <v>478</v>
      </c>
      <c r="M6" s="140" t="s">
        <v>16</v>
      </c>
      <c r="N6" s="140" t="s">
        <v>547</v>
      </c>
      <c r="O6" s="140" t="s">
        <v>896</v>
      </c>
      <c r="P6" s="140" t="s">
        <v>479</v>
      </c>
      <c r="Q6" s="140" t="s">
        <v>480</v>
      </c>
      <c r="R6" s="140" t="s">
        <v>480</v>
      </c>
      <c r="S6" s="140"/>
      <c r="T6" s="147">
        <v>0</v>
      </c>
      <c r="U6" s="147">
        <v>0</v>
      </c>
      <c r="V6" s="144">
        <v>240000</v>
      </c>
      <c r="W6" s="144">
        <f t="shared" si="3"/>
        <v>240000</v>
      </c>
      <c r="X6" s="144">
        <f t="shared" si="4"/>
        <v>0</v>
      </c>
      <c r="Y6" s="144">
        <f t="shared" si="5"/>
        <v>0</v>
      </c>
      <c r="Z6" s="144">
        <f t="shared" si="6"/>
        <v>0</v>
      </c>
      <c r="AA6" s="141" t="s">
        <v>897</v>
      </c>
      <c r="AB6" s="51"/>
      <c r="AC6" s="51"/>
      <c r="AD6" s="51"/>
      <c r="AE6" s="51"/>
      <c r="AF6" s="51"/>
      <c r="AG6" s="51">
        <v>40000</v>
      </c>
      <c r="AH6" s="51"/>
      <c r="AI6" s="51"/>
      <c r="AJ6" s="51"/>
      <c r="AK6" s="51">
        <v>200000</v>
      </c>
      <c r="AL6" s="51"/>
      <c r="AM6" s="51"/>
      <c r="AN6" s="51">
        <f t="shared" si="7"/>
        <v>240000</v>
      </c>
      <c r="AO6" s="144">
        <f t="shared" si="8"/>
        <v>240000</v>
      </c>
      <c r="AP6" s="60"/>
      <c r="AQ6" s="60"/>
      <c r="AR6" s="60"/>
      <c r="AS6" s="60"/>
      <c r="AT6" s="60"/>
      <c r="AU6" s="60"/>
      <c r="AV6" s="60"/>
      <c r="AW6" s="60"/>
      <c r="AX6" s="60"/>
      <c r="AY6" s="60"/>
      <c r="AZ6" s="60"/>
      <c r="BA6" s="60"/>
      <c r="BB6" s="145">
        <f t="shared" si="9"/>
        <v>0</v>
      </c>
      <c r="BC6" s="146" t="s">
        <v>898</v>
      </c>
    </row>
    <row r="7" spans="1:55">
      <c r="A7" s="140" t="s">
        <v>473</v>
      </c>
      <c r="B7" s="140" t="s">
        <v>899</v>
      </c>
      <c r="C7" s="140"/>
      <c r="D7" s="10" t="s">
        <v>882</v>
      </c>
      <c r="E7" s="7" t="s">
        <v>883</v>
      </c>
      <c r="F7" s="141" t="s">
        <v>488</v>
      </c>
      <c r="G7" s="141" t="s">
        <v>25</v>
      </c>
      <c r="H7" s="142">
        <v>46143</v>
      </c>
      <c r="I7" s="142">
        <v>46234</v>
      </c>
      <c r="J7" s="140"/>
      <c r="K7" s="141"/>
      <c r="L7" s="140" t="s">
        <v>478</v>
      </c>
      <c r="M7" s="140" t="s">
        <v>16</v>
      </c>
      <c r="N7" s="140" t="s">
        <v>547</v>
      </c>
      <c r="O7" s="140" t="s">
        <v>547</v>
      </c>
      <c r="P7" s="140" t="s">
        <v>479</v>
      </c>
      <c r="Q7" s="140" t="s">
        <v>480</v>
      </c>
      <c r="R7" s="140" t="s">
        <v>480</v>
      </c>
      <c r="S7" s="140" t="s">
        <v>900</v>
      </c>
      <c r="T7" s="147">
        <v>0</v>
      </c>
      <c r="U7" s="147">
        <v>0</v>
      </c>
      <c r="V7" s="144">
        <v>2828.06</v>
      </c>
      <c r="W7" s="144">
        <f t="shared" ref="W7" si="10">AO7+IF(ISBLANK(AP7),AB7,AP7)+IF(ISBLANK(AQ7),AC7,AQ7)+IF(ISBLANK(AR7),AD7,AR7)+IF(ISBLANK(AS7),AE7,AS7)</f>
        <v>2828.06</v>
      </c>
      <c r="X7" s="144">
        <f t="shared" ref="X7" si="11">IF(V7 &gt;= W7, V7 - W7, 0)*-1</f>
        <v>0</v>
      </c>
      <c r="Y7" s="144">
        <f t="shared" ref="Y7" si="12">IF(W7 &gt; V7, W7 - V7, 0)</f>
        <v>0</v>
      </c>
      <c r="Z7" s="144">
        <f t="shared" ref="Z7" si="13">SUM(X7:Y7)</f>
        <v>0</v>
      </c>
      <c r="AA7" s="141" t="s">
        <v>901</v>
      </c>
      <c r="AB7" s="51"/>
      <c r="AC7" s="51"/>
      <c r="AD7" s="51"/>
      <c r="AE7" s="51"/>
      <c r="AF7" s="51">
        <v>2828.06</v>
      </c>
      <c r="AG7" s="51"/>
      <c r="AH7" s="51"/>
      <c r="AI7" s="51"/>
      <c r="AJ7" s="51"/>
      <c r="AK7" s="51"/>
      <c r="AL7" s="51"/>
      <c r="AM7" s="51"/>
      <c r="AN7" s="51">
        <f t="shared" si="7"/>
        <v>2828.06</v>
      </c>
      <c r="AO7" s="144">
        <f t="shared" si="8"/>
        <v>2828.06</v>
      </c>
      <c r="AP7" s="60"/>
      <c r="AQ7" s="60"/>
      <c r="AR7" s="60"/>
      <c r="AS7" s="60"/>
      <c r="AT7" s="60">
        <v>2913.55</v>
      </c>
      <c r="AU7" s="60"/>
      <c r="AV7" s="60"/>
      <c r="AW7" s="60"/>
      <c r="AX7" s="60"/>
      <c r="AY7" s="60"/>
      <c r="AZ7" s="60"/>
      <c r="BA7" s="60"/>
      <c r="BB7" s="145">
        <f t="shared" si="9"/>
        <v>2913.55</v>
      </c>
      <c r="BC7" s="146"/>
    </row>
    <row r="8" spans="1:55">
      <c r="A8" s="140" t="s">
        <v>473</v>
      </c>
      <c r="B8" s="140" t="s">
        <v>902</v>
      </c>
      <c r="C8" s="140" t="s">
        <v>903</v>
      </c>
      <c r="D8" s="10" t="s">
        <v>882</v>
      </c>
      <c r="E8" s="7" t="s">
        <v>883</v>
      </c>
      <c r="F8" s="141" t="s">
        <v>488</v>
      </c>
      <c r="G8" s="141" t="s">
        <v>25</v>
      </c>
      <c r="H8" s="142"/>
      <c r="I8" s="142"/>
      <c r="J8" s="140"/>
      <c r="K8" s="141"/>
      <c r="L8" s="140" t="s">
        <v>478</v>
      </c>
      <c r="M8" s="140" t="s">
        <v>16</v>
      </c>
      <c r="N8" s="140"/>
      <c r="O8" s="140"/>
      <c r="P8" s="140" t="s">
        <v>479</v>
      </c>
      <c r="Q8" s="140" t="s">
        <v>480</v>
      </c>
      <c r="R8" s="140" t="s">
        <v>480</v>
      </c>
      <c r="S8" s="140"/>
      <c r="T8" s="147">
        <v>0</v>
      </c>
      <c r="U8" s="147">
        <v>0</v>
      </c>
      <c r="V8" s="144"/>
      <c r="W8" s="144"/>
      <c r="X8" s="144"/>
      <c r="Y8" s="144"/>
      <c r="Z8" s="144"/>
      <c r="AA8" s="141" t="s">
        <v>904</v>
      </c>
      <c r="AB8" s="51"/>
      <c r="AC8" s="51"/>
      <c r="AD8" s="51"/>
      <c r="AE8" s="51"/>
      <c r="AF8" s="51"/>
      <c r="AG8" s="51"/>
      <c r="AH8" s="51"/>
      <c r="AI8" s="51"/>
      <c r="AJ8" s="51"/>
      <c r="AK8" s="51"/>
      <c r="AL8" s="51"/>
      <c r="AM8" s="51"/>
      <c r="AN8" s="51">
        <f t="shared" ref="AN8" si="14">SUM(AB8:AM8)</f>
        <v>0</v>
      </c>
      <c r="AO8" s="144">
        <f t="shared" ref="AO8" si="15">SUM(AF8:AM8)</f>
        <v>0</v>
      </c>
      <c r="AP8" s="60"/>
      <c r="AQ8" s="60"/>
      <c r="AR8" s="60">
        <f>575+5920</f>
        <v>6495</v>
      </c>
      <c r="AS8" s="60"/>
      <c r="AT8" s="60">
        <v>2300</v>
      </c>
      <c r="AU8" s="60">
        <v>1150</v>
      </c>
      <c r="AV8" s="60"/>
      <c r="AW8" s="60"/>
      <c r="AX8" s="60"/>
      <c r="AY8" s="60"/>
      <c r="AZ8" s="60"/>
      <c r="BA8" s="60"/>
      <c r="BB8" s="145">
        <f t="shared" si="9"/>
        <v>9945</v>
      </c>
      <c r="BC8" s="146"/>
    </row>
    <row r="10" spans="1:55" s="148" customFormat="1">
      <c r="U10" s="148" t="s">
        <v>905</v>
      </c>
      <c r="V10" s="149">
        <f>SUM(V2:V8)</f>
        <v>-395388.94</v>
      </c>
      <c r="W10" s="149">
        <f t="shared" ref="W10:BB10" si="16">SUM(W2:W8)</f>
        <v>-479788.94000000024</v>
      </c>
      <c r="X10" s="149">
        <f t="shared" si="16"/>
        <v>-84400.000000000233</v>
      </c>
      <c r="Y10" s="149">
        <f t="shared" si="16"/>
        <v>0</v>
      </c>
      <c r="Z10" s="149">
        <f t="shared" si="16"/>
        <v>-84400.000000000233</v>
      </c>
      <c r="AA10" s="149"/>
      <c r="AB10" s="149">
        <f t="shared" si="16"/>
        <v>-166914.16666666666</v>
      </c>
      <c r="AC10" s="149">
        <f t="shared" si="16"/>
        <v>-166914.16666666666</v>
      </c>
      <c r="AD10" s="149">
        <f t="shared" si="16"/>
        <v>-166914.16666666666</v>
      </c>
      <c r="AE10" s="149">
        <f t="shared" si="16"/>
        <v>31565.833333333343</v>
      </c>
      <c r="AF10" s="149">
        <f t="shared" si="16"/>
        <v>-164086.10666666666</v>
      </c>
      <c r="AG10" s="149">
        <f t="shared" si="16"/>
        <v>-126914.16666666666</v>
      </c>
      <c r="AH10" s="149">
        <f t="shared" si="16"/>
        <v>-166914.16666666666</v>
      </c>
      <c r="AI10" s="149">
        <f t="shared" si="16"/>
        <v>731146.83333333337</v>
      </c>
      <c r="AJ10" s="149">
        <f t="shared" si="16"/>
        <v>16897.833333333343</v>
      </c>
      <c r="AK10" s="149">
        <f t="shared" si="16"/>
        <v>33085.833333333343</v>
      </c>
      <c r="AL10" s="149">
        <f t="shared" si="16"/>
        <v>-166914.16666666666</v>
      </c>
      <c r="AM10" s="149">
        <f t="shared" si="16"/>
        <v>-166914.16666666666</v>
      </c>
      <c r="AN10" s="149">
        <f t="shared" si="16"/>
        <v>-479788.94000000024</v>
      </c>
      <c r="AO10" s="149">
        <f t="shared" si="16"/>
        <v>-10612.273333333256</v>
      </c>
      <c r="AP10" s="149">
        <f t="shared" si="16"/>
        <v>0</v>
      </c>
      <c r="AQ10" s="149">
        <f t="shared" si="16"/>
        <v>0</v>
      </c>
      <c r="AR10" s="149">
        <f t="shared" si="16"/>
        <v>6495</v>
      </c>
      <c r="AS10" s="149">
        <f t="shared" si="16"/>
        <v>0</v>
      </c>
      <c r="AT10" s="149">
        <f t="shared" si="16"/>
        <v>5213.55</v>
      </c>
      <c r="AU10" s="149">
        <f t="shared" si="16"/>
        <v>1150</v>
      </c>
      <c r="AV10" s="149">
        <f t="shared" si="16"/>
        <v>0</v>
      </c>
      <c r="AW10" s="149">
        <f t="shared" si="16"/>
        <v>0</v>
      </c>
      <c r="AX10" s="149">
        <f t="shared" si="16"/>
        <v>183812</v>
      </c>
      <c r="AY10" s="149">
        <f t="shared" si="16"/>
        <v>0</v>
      </c>
      <c r="AZ10" s="149">
        <f t="shared" si="16"/>
        <v>0</v>
      </c>
      <c r="BA10" s="149">
        <f t="shared" si="16"/>
        <v>0</v>
      </c>
      <c r="BB10" s="149">
        <f t="shared" si="16"/>
        <v>196670.55</v>
      </c>
    </row>
  </sheetData>
  <conditionalFormatting sqref="Y1:Z8">
    <cfRule type="cellIs" dxfId="0" priority="1" operator="greaterThan">
      <formula>1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4049F-C690-42A7-B570-0B987868027C}">
  <dimension ref="A1:U84"/>
  <sheetViews>
    <sheetView workbookViewId="0">
      <pane xSplit="1" ySplit="2" topLeftCell="M3" activePane="bottomRight" state="frozen"/>
      <selection pane="bottomRight" activeCell="P8" sqref="P8"/>
      <selection pane="bottomLeft" activeCell="A3" sqref="A3"/>
      <selection pane="topRight" activeCell="B1" sqref="B1"/>
    </sheetView>
  </sheetViews>
  <sheetFormatPr defaultRowHeight="14.45"/>
  <cols>
    <col min="1" max="1" width="17.7109375" bestFit="1" customWidth="1"/>
    <col min="2" max="2" width="11.28515625" bestFit="1" customWidth="1"/>
    <col min="3" max="3" width="21.85546875" bestFit="1" customWidth="1"/>
    <col min="4" max="4" width="21.7109375" bestFit="1" customWidth="1"/>
    <col min="5" max="5" width="14.7109375" bestFit="1" customWidth="1"/>
    <col min="6" max="6" width="12.28515625" bestFit="1" customWidth="1"/>
    <col min="7" max="8" width="12.7109375" bestFit="1" customWidth="1"/>
    <col min="9" max="9" width="17.85546875" bestFit="1" customWidth="1"/>
    <col min="10" max="10" width="12.28515625" bestFit="1" customWidth="1"/>
    <col min="11" max="13" width="12.7109375" bestFit="1" customWidth="1"/>
    <col min="14" max="14" width="12.7109375" customWidth="1"/>
    <col min="15" max="15" width="42.7109375" bestFit="1" customWidth="1"/>
    <col min="16" max="16" width="24.140625" style="107" bestFit="1" customWidth="1"/>
    <col min="17" max="17" width="14.42578125" bestFit="1" customWidth="1"/>
    <col min="18" max="18" width="14.85546875" bestFit="1" customWidth="1"/>
    <col min="19" max="19" width="14.5703125" bestFit="1" customWidth="1"/>
    <col min="20" max="20" width="15" bestFit="1" customWidth="1"/>
    <col min="21" max="21" width="20.140625" bestFit="1" customWidth="1"/>
    <col min="22" max="23" width="19" bestFit="1" customWidth="1"/>
    <col min="24" max="24" width="20" bestFit="1" customWidth="1"/>
  </cols>
  <sheetData>
    <row r="1" spans="1:21">
      <c r="A1" s="8" t="s">
        <v>18</v>
      </c>
      <c r="B1" t="s">
        <v>906</v>
      </c>
      <c r="O1" s="8" t="s">
        <v>30</v>
      </c>
      <c r="P1" t="s">
        <v>1</v>
      </c>
    </row>
    <row r="2" spans="1:21">
      <c r="O2" s="8" t="s">
        <v>18</v>
      </c>
      <c r="P2" t="s">
        <v>1</v>
      </c>
    </row>
    <row r="3" spans="1:21">
      <c r="C3" s="8" t="s">
        <v>29</v>
      </c>
      <c r="E3" s="98"/>
      <c r="H3" s="98"/>
      <c r="J3" s="106"/>
      <c r="K3" s="106"/>
      <c r="L3" s="106"/>
    </row>
    <row r="4" spans="1:21">
      <c r="A4" s="8" t="s">
        <v>30</v>
      </c>
      <c r="B4" s="8" t="s">
        <v>408</v>
      </c>
      <c r="C4" t="s">
        <v>5</v>
      </c>
      <c r="D4" t="s">
        <v>9</v>
      </c>
      <c r="E4" t="s">
        <v>907</v>
      </c>
      <c r="F4" t="s">
        <v>391</v>
      </c>
      <c r="G4" t="s">
        <v>394</v>
      </c>
      <c r="H4" t="s">
        <v>397</v>
      </c>
      <c r="I4" s="106" t="s">
        <v>908</v>
      </c>
      <c r="J4" s="106" t="s">
        <v>392</v>
      </c>
      <c r="K4" s="106" t="s">
        <v>395</v>
      </c>
      <c r="L4" s="106" t="s">
        <v>398</v>
      </c>
      <c r="P4" s="8" t="s">
        <v>29</v>
      </c>
    </row>
    <row r="5" spans="1:21">
      <c r="A5" t="s">
        <v>20</v>
      </c>
      <c r="B5" t="s">
        <v>816</v>
      </c>
      <c r="C5" s="97">
        <v>415000</v>
      </c>
      <c r="D5" s="97">
        <v>-97500</v>
      </c>
      <c r="E5" s="97">
        <v>317500</v>
      </c>
      <c r="F5" s="97"/>
      <c r="G5" s="97"/>
      <c r="H5" s="97"/>
      <c r="I5" s="97">
        <v>0</v>
      </c>
      <c r="J5" s="97"/>
      <c r="K5" s="97"/>
      <c r="L5" s="97"/>
      <c r="N5" s="97"/>
      <c r="O5" s="8" t="s">
        <v>34</v>
      </c>
      <c r="P5" t="s">
        <v>5</v>
      </c>
      <c r="Q5" t="s">
        <v>391</v>
      </c>
      <c r="R5" t="s">
        <v>394</v>
      </c>
      <c r="S5" t="s">
        <v>392</v>
      </c>
      <c r="T5" t="s">
        <v>395</v>
      </c>
      <c r="U5" t="s">
        <v>908</v>
      </c>
    </row>
    <row r="6" spans="1:21">
      <c r="B6" t="s">
        <v>559</v>
      </c>
      <c r="C6" s="97">
        <v>1869054.4455000001</v>
      </c>
      <c r="D6" s="97">
        <v>66958.434500000003</v>
      </c>
      <c r="E6" s="97">
        <v>1951834.24</v>
      </c>
      <c r="F6" s="97">
        <v>144479.74</v>
      </c>
      <c r="G6" s="97">
        <v>238610.75</v>
      </c>
      <c r="H6" s="97">
        <v>136495</v>
      </c>
      <c r="I6" s="97">
        <v>793161.13</v>
      </c>
      <c r="J6" s="97">
        <v>144479.74</v>
      </c>
      <c r="K6" s="97">
        <v>233808.29</v>
      </c>
      <c r="L6" s="97">
        <v>136240.20000000001</v>
      </c>
      <c r="N6" s="97"/>
      <c r="O6" t="s">
        <v>56</v>
      </c>
      <c r="P6" s="97">
        <v>262896</v>
      </c>
      <c r="Q6" s="97">
        <v>0</v>
      </c>
      <c r="R6" s="97">
        <v>0</v>
      </c>
      <c r="S6" s="97">
        <v>0</v>
      </c>
      <c r="T6" s="97">
        <v>0</v>
      </c>
      <c r="U6" s="97">
        <v>0</v>
      </c>
    </row>
    <row r="7" spans="1:21">
      <c r="B7" t="s">
        <v>601</v>
      </c>
      <c r="C7" s="97">
        <v>1655008.7341499999</v>
      </c>
      <c r="D7" s="97">
        <v>-276903.76415</v>
      </c>
      <c r="E7" s="97">
        <v>1375852.12</v>
      </c>
      <c r="F7" s="97">
        <v>123112.15666666666</v>
      </c>
      <c r="G7" s="97">
        <v>101337.15666666666</v>
      </c>
      <c r="H7" s="97">
        <v>145797.30666666667</v>
      </c>
      <c r="I7" s="97">
        <v>1203510.5741666667</v>
      </c>
      <c r="J7" s="97">
        <v>123112.15666666666</v>
      </c>
      <c r="K7" s="97">
        <v>101337.15666666666</v>
      </c>
      <c r="L7" s="97">
        <v>148050.15666666668</v>
      </c>
      <c r="N7" s="97"/>
      <c r="O7" t="s">
        <v>285</v>
      </c>
      <c r="P7" s="97">
        <v>191646</v>
      </c>
      <c r="Q7" s="97"/>
      <c r="R7" s="97"/>
      <c r="S7" s="97"/>
      <c r="T7" s="97"/>
      <c r="U7" s="97">
        <v>128265.00749999999</v>
      </c>
    </row>
    <row r="8" spans="1:21">
      <c r="B8" t="s">
        <v>574</v>
      </c>
      <c r="C8" s="97">
        <v>370532.91749999998</v>
      </c>
      <c r="D8" s="97">
        <v>-88632.477499999994</v>
      </c>
      <c r="E8" s="97">
        <v>297183</v>
      </c>
      <c r="F8" s="97">
        <v>15957</v>
      </c>
      <c r="G8" s="97">
        <v>15000</v>
      </c>
      <c r="H8" s="97">
        <v>35397.5</v>
      </c>
      <c r="I8" s="97">
        <v>87021.94</v>
      </c>
      <c r="J8" s="97">
        <v>15957.23</v>
      </c>
      <c r="K8" s="97">
        <v>15000</v>
      </c>
      <c r="L8" s="97">
        <v>20114.71</v>
      </c>
      <c r="N8" s="97"/>
      <c r="O8" t="s">
        <v>327</v>
      </c>
      <c r="P8" s="97">
        <v>1778445.9000000001</v>
      </c>
      <c r="Q8" s="97">
        <v>155389.33499999999</v>
      </c>
      <c r="R8" s="97">
        <v>155389.33499999999</v>
      </c>
      <c r="S8" s="97">
        <v>155389.33499999999</v>
      </c>
      <c r="T8" s="97">
        <v>155389.33499999999</v>
      </c>
      <c r="U8" s="97">
        <v>1864672.0199999998</v>
      </c>
    </row>
    <row r="9" spans="1:21">
      <c r="B9" t="s">
        <v>760</v>
      </c>
      <c r="C9" s="97">
        <v>1344000</v>
      </c>
      <c r="D9" s="97">
        <v>-384000</v>
      </c>
      <c r="E9" s="97">
        <v>960000</v>
      </c>
      <c r="F9" s="97">
        <v>160000</v>
      </c>
      <c r="G9" s="97">
        <v>160000</v>
      </c>
      <c r="H9" s="97">
        <v>160000</v>
      </c>
      <c r="I9" s="97">
        <v>800000</v>
      </c>
      <c r="J9" s="97">
        <v>160000</v>
      </c>
      <c r="K9" s="97">
        <v>160000</v>
      </c>
      <c r="L9" s="97">
        <v>160000</v>
      </c>
      <c r="N9" s="97"/>
      <c r="O9" t="s">
        <v>153</v>
      </c>
      <c r="P9" s="97">
        <v>292</v>
      </c>
      <c r="Q9" s="97"/>
      <c r="R9" s="97"/>
      <c r="S9" s="97"/>
      <c r="T9" s="97"/>
      <c r="U9" s="97">
        <v>0</v>
      </c>
    </row>
    <row r="10" spans="1:21">
      <c r="B10" t="s">
        <v>840</v>
      </c>
      <c r="C10" s="97">
        <v>7470</v>
      </c>
      <c r="D10" s="97">
        <v>0</v>
      </c>
      <c r="E10" s="97">
        <v>7470</v>
      </c>
      <c r="F10" s="97"/>
      <c r="G10" s="97"/>
      <c r="H10" s="97"/>
      <c r="I10" s="97">
        <v>0</v>
      </c>
      <c r="J10" s="97"/>
      <c r="K10" s="97"/>
      <c r="L10" s="97"/>
      <c r="N10" s="97"/>
      <c r="O10" t="s">
        <v>164</v>
      </c>
      <c r="P10" s="97">
        <v>3649280</v>
      </c>
      <c r="Q10" s="97">
        <v>308160</v>
      </c>
      <c r="R10" s="97">
        <v>308160</v>
      </c>
      <c r="S10" s="97">
        <v>278680</v>
      </c>
      <c r="T10" s="97">
        <v>263381</v>
      </c>
      <c r="U10" s="97">
        <v>869353</v>
      </c>
    </row>
    <row r="11" spans="1:21">
      <c r="B11" t="s">
        <v>832</v>
      </c>
      <c r="C11" s="97">
        <v>600000</v>
      </c>
      <c r="D11" s="97">
        <v>0</v>
      </c>
      <c r="E11" s="97">
        <v>600000</v>
      </c>
      <c r="F11" s="97"/>
      <c r="G11" s="97"/>
      <c r="H11" s="97"/>
      <c r="I11" s="97">
        <v>0</v>
      </c>
      <c r="J11" s="97"/>
      <c r="K11" s="97"/>
      <c r="L11" s="97"/>
      <c r="N11" s="97"/>
      <c r="O11" t="s">
        <v>216</v>
      </c>
      <c r="P11" s="97">
        <v>100000</v>
      </c>
      <c r="Q11" s="97">
        <v>7600</v>
      </c>
      <c r="R11" s="97">
        <v>7600</v>
      </c>
      <c r="S11" s="97">
        <v>7600</v>
      </c>
      <c r="T11" s="97">
        <v>7600</v>
      </c>
      <c r="U11" s="97">
        <v>54415</v>
      </c>
    </row>
    <row r="12" spans="1:21">
      <c r="B12" t="s">
        <v>605</v>
      </c>
      <c r="C12" s="97">
        <v>748667.5</v>
      </c>
      <c r="D12" s="97">
        <v>-500000</v>
      </c>
      <c r="E12" s="97">
        <v>248667.49999999997</v>
      </c>
      <c r="F12" s="97">
        <v>16666.666666666668</v>
      </c>
      <c r="G12" s="97">
        <v>16666.666666666668</v>
      </c>
      <c r="H12" s="97">
        <v>16666.666666666668</v>
      </c>
      <c r="I12" s="97">
        <v>100000.00000000001</v>
      </c>
      <c r="J12" s="97">
        <v>16666.666666666668</v>
      </c>
      <c r="K12" s="97">
        <v>16666.666666666668</v>
      </c>
      <c r="L12" s="97">
        <v>16666.666666666668</v>
      </c>
      <c r="N12" s="97"/>
      <c r="O12" t="s">
        <v>235</v>
      </c>
      <c r="P12" s="97">
        <v>4409</v>
      </c>
      <c r="Q12" s="97">
        <v>4409</v>
      </c>
      <c r="R12" s="97"/>
      <c r="S12" s="97">
        <v>4982.8</v>
      </c>
      <c r="T12" s="97"/>
      <c r="U12" s="97">
        <v>4982.8</v>
      </c>
    </row>
    <row r="13" spans="1:21" ht="14.45" customHeight="1">
      <c r="B13" t="s">
        <v>564</v>
      </c>
      <c r="C13" s="97">
        <v>2998080</v>
      </c>
      <c r="D13" s="97">
        <v>2515374.92</v>
      </c>
      <c r="E13" s="97">
        <v>5474400</v>
      </c>
      <c r="F13" s="97">
        <v>398240</v>
      </c>
      <c r="G13" s="97">
        <v>398240</v>
      </c>
      <c r="H13" s="97">
        <v>398240</v>
      </c>
      <c r="I13" s="97">
        <v>1702574.92</v>
      </c>
      <c r="J13" s="97">
        <v>398128.56</v>
      </c>
      <c r="K13" s="97">
        <v>406181.8</v>
      </c>
      <c r="L13" s="97">
        <v>473188.56</v>
      </c>
      <c r="N13" s="97"/>
      <c r="O13" t="s">
        <v>104</v>
      </c>
      <c r="P13" s="97">
        <v>36345</v>
      </c>
      <c r="Q13" s="97">
        <v>3028.75</v>
      </c>
      <c r="R13" s="97">
        <v>3028.75</v>
      </c>
      <c r="S13" s="97">
        <v>3283.4</v>
      </c>
      <c r="T13" s="97">
        <v>2291.8200000000002</v>
      </c>
      <c r="U13" s="97">
        <v>9883.380000000001</v>
      </c>
    </row>
    <row r="14" spans="1:21">
      <c r="A14" t="s">
        <v>52</v>
      </c>
      <c r="C14" s="97">
        <v>10007813.59715</v>
      </c>
      <c r="D14" s="97">
        <v>1235297.1128499999</v>
      </c>
      <c r="E14" s="97">
        <v>11232906.859999999</v>
      </c>
      <c r="F14" s="97">
        <v>858455.56333333335</v>
      </c>
      <c r="G14" s="97">
        <v>929854.57333333336</v>
      </c>
      <c r="H14" s="97">
        <v>892596.47333333339</v>
      </c>
      <c r="I14" s="97">
        <v>4686268.5641666669</v>
      </c>
      <c r="J14" s="97">
        <v>858344.35333333327</v>
      </c>
      <c r="K14" s="97">
        <v>932993.91333333333</v>
      </c>
      <c r="L14" s="97">
        <v>954260.29333333345</v>
      </c>
      <c r="N14" s="97"/>
      <c r="O14" t="s">
        <v>107</v>
      </c>
      <c r="P14" s="97">
        <v>4230</v>
      </c>
      <c r="Q14" s="97">
        <v>353</v>
      </c>
      <c r="R14" s="97">
        <v>353</v>
      </c>
      <c r="S14" s="97">
        <v>370.83</v>
      </c>
      <c r="T14" s="97">
        <v>375.95</v>
      </c>
      <c r="U14" s="97">
        <v>2518.1799999999998</v>
      </c>
    </row>
    <row r="15" spans="1:21">
      <c r="A15" t="s">
        <v>21</v>
      </c>
      <c r="B15" t="s">
        <v>618</v>
      </c>
      <c r="C15" s="97">
        <v>7538504.3190000001</v>
      </c>
      <c r="D15" s="97">
        <v>-647031.43999999948</v>
      </c>
      <c r="E15" s="97">
        <v>7521728.3190000001</v>
      </c>
      <c r="F15" s="97">
        <v>625000</v>
      </c>
      <c r="G15" s="97">
        <v>625000</v>
      </c>
      <c r="H15" s="97">
        <v>625000</v>
      </c>
      <c r="I15" s="97">
        <v>3128142.41</v>
      </c>
      <c r="J15" s="97">
        <v>660370.4</v>
      </c>
      <c r="K15" s="97">
        <v>603859.57000000007</v>
      </c>
      <c r="L15" s="97">
        <v>627545.69000000006</v>
      </c>
      <c r="N15" s="97"/>
      <c r="O15" t="s">
        <v>111</v>
      </c>
      <c r="P15" s="97">
        <v>2863</v>
      </c>
      <c r="Q15" s="97"/>
      <c r="R15" s="97"/>
      <c r="S15" s="97"/>
      <c r="T15" s="97"/>
      <c r="U15" s="97">
        <v>0</v>
      </c>
    </row>
    <row r="16" spans="1:21">
      <c r="B16" t="s">
        <v>475</v>
      </c>
      <c r="C16" s="97">
        <v>5688039.6425000001</v>
      </c>
      <c r="D16" s="97">
        <v>449325.91623333353</v>
      </c>
      <c r="E16" s="97">
        <v>6179672.4366666665</v>
      </c>
      <c r="F16" s="97">
        <v>357224.22249999997</v>
      </c>
      <c r="G16" s="97">
        <v>367026.5625</v>
      </c>
      <c r="H16" s="97">
        <v>409446.80608333327</v>
      </c>
      <c r="I16" s="97">
        <v>2411912.3967333329</v>
      </c>
      <c r="J16" s="97">
        <v>350017.71583333344</v>
      </c>
      <c r="K16" s="97">
        <v>357861.39583333331</v>
      </c>
      <c r="L16" s="97">
        <v>356080.93333333335</v>
      </c>
      <c r="N16" s="97"/>
      <c r="O16" t="s">
        <v>238</v>
      </c>
      <c r="P16" s="97">
        <v>14886</v>
      </c>
      <c r="Q16" s="97">
        <v>1088.76</v>
      </c>
      <c r="R16" s="97">
        <v>1088.76</v>
      </c>
      <c r="S16" s="97">
        <v>1088.76</v>
      </c>
      <c r="T16" s="97">
        <v>1088.74</v>
      </c>
      <c r="U16" s="97">
        <v>5443.74</v>
      </c>
    </row>
    <row r="17" spans="1:21">
      <c r="B17" t="s">
        <v>637</v>
      </c>
      <c r="C17" s="97">
        <v>63325.5</v>
      </c>
      <c r="D17" s="97">
        <v>0</v>
      </c>
      <c r="E17" s="97">
        <v>63325.5</v>
      </c>
      <c r="F17" s="97"/>
      <c r="G17" s="97"/>
      <c r="H17" s="97">
        <v>1100.47</v>
      </c>
      <c r="I17" s="97">
        <v>1100.47</v>
      </c>
      <c r="J17" s="97"/>
      <c r="K17" s="97"/>
      <c r="L17" s="97">
        <v>1100.47</v>
      </c>
      <c r="N17" s="97"/>
      <c r="O17" t="s">
        <v>359</v>
      </c>
      <c r="P17" s="97">
        <v>1211114.9924999999</v>
      </c>
      <c r="Q17" s="97">
        <v>127450.98833333334</v>
      </c>
      <c r="R17" s="97">
        <v>102758.00833333335</v>
      </c>
      <c r="S17" s="97">
        <v>123674.73333333334</v>
      </c>
      <c r="T17" s="97">
        <v>96093.753333333341</v>
      </c>
      <c r="U17" s="97">
        <v>734338.64000000013</v>
      </c>
    </row>
    <row r="18" spans="1:21">
      <c r="B18" t="s">
        <v>661</v>
      </c>
      <c r="C18" s="97">
        <v>335404.32850000006</v>
      </c>
      <c r="D18" s="97">
        <v>-1946.6618333333627</v>
      </c>
      <c r="E18" s="97">
        <v>333457.66666666663</v>
      </c>
      <c r="F18" s="97">
        <v>24908.333333333332</v>
      </c>
      <c r="G18" s="97">
        <v>24908.333333333332</v>
      </c>
      <c r="H18" s="97">
        <v>24908.333333333332</v>
      </c>
      <c r="I18" s="97">
        <v>305666.66666666663</v>
      </c>
      <c r="J18" s="97">
        <v>24908.333333333332</v>
      </c>
      <c r="K18" s="97">
        <v>24908.333333333332</v>
      </c>
      <c r="L18" s="97">
        <v>24908.333333333332</v>
      </c>
      <c r="N18" s="97"/>
      <c r="O18" t="s">
        <v>371</v>
      </c>
      <c r="P18" s="97">
        <v>50400</v>
      </c>
      <c r="Q18" s="97"/>
      <c r="R18" s="97"/>
      <c r="S18" s="97"/>
      <c r="T18" s="97"/>
      <c r="U18" s="97">
        <v>0</v>
      </c>
    </row>
    <row r="19" spans="1:21">
      <c r="B19" t="s">
        <v>836</v>
      </c>
      <c r="C19" s="97">
        <v>178500</v>
      </c>
      <c r="D19" s="97">
        <v>-4330.4400000000023</v>
      </c>
      <c r="E19" s="97">
        <v>174169.56</v>
      </c>
      <c r="F19" s="97">
        <v>29028.26</v>
      </c>
      <c r="G19" s="97">
        <v>29028.26</v>
      </c>
      <c r="H19" s="97">
        <v>29028.26</v>
      </c>
      <c r="I19" s="97">
        <v>174169.56</v>
      </c>
      <c r="J19" s="97">
        <v>29028.26</v>
      </c>
      <c r="K19" s="97">
        <v>29028.26</v>
      </c>
      <c r="L19" s="97">
        <v>29028.26</v>
      </c>
      <c r="N19" s="97"/>
      <c r="O19" t="s">
        <v>227</v>
      </c>
      <c r="P19" s="97">
        <v>131625</v>
      </c>
      <c r="Q19" s="97">
        <v>40500</v>
      </c>
      <c r="R19" s="97">
        <v>8100</v>
      </c>
      <c r="S19" s="97">
        <v>40109.25</v>
      </c>
      <c r="T19" s="97">
        <v>8100</v>
      </c>
      <c r="U19" s="97">
        <v>88709.25</v>
      </c>
    </row>
    <row r="20" spans="1:21">
      <c r="B20" t="s">
        <v>564</v>
      </c>
      <c r="C20" s="97">
        <v>414080</v>
      </c>
      <c r="D20" s="97">
        <v>-44158</v>
      </c>
      <c r="E20" s="97">
        <v>389440</v>
      </c>
      <c r="F20" s="97">
        <v>38560</v>
      </c>
      <c r="G20" s="97">
        <v>38560</v>
      </c>
      <c r="H20" s="97">
        <v>46080</v>
      </c>
      <c r="I20" s="97">
        <v>103682</v>
      </c>
      <c r="J20" s="97">
        <v>30336</v>
      </c>
      <c r="K20" s="97">
        <v>27266</v>
      </c>
      <c r="L20" s="97">
        <v>46080</v>
      </c>
      <c r="N20" s="97"/>
      <c r="O20" t="s">
        <v>92</v>
      </c>
      <c r="P20" s="97">
        <v>1555160.9220000003</v>
      </c>
      <c r="Q20" s="97">
        <v>18728.046666666665</v>
      </c>
      <c r="R20" s="97">
        <v>19568.92666666667</v>
      </c>
      <c r="S20" s="97">
        <v>12817.539999999999</v>
      </c>
      <c r="T20" s="97">
        <v>12829.27</v>
      </c>
      <c r="U20" s="97">
        <v>77334.12</v>
      </c>
    </row>
    <row r="21" spans="1:21">
      <c r="A21" t="s">
        <v>98</v>
      </c>
      <c r="C21" s="97">
        <v>14217853.790000001</v>
      </c>
      <c r="D21" s="97">
        <v>-248140.62559999933</v>
      </c>
      <c r="E21" s="97">
        <v>14661793.482333332</v>
      </c>
      <c r="F21" s="97">
        <v>1074720.8158333334</v>
      </c>
      <c r="G21" s="97">
        <v>1084523.1558333333</v>
      </c>
      <c r="H21" s="97">
        <v>1135563.8694166664</v>
      </c>
      <c r="I21" s="97">
        <v>6124673.5033999989</v>
      </c>
      <c r="J21" s="97">
        <v>1094660.7091666667</v>
      </c>
      <c r="K21" s="97">
        <v>1042923.5591666667</v>
      </c>
      <c r="L21" s="97">
        <v>1084743.6866666668</v>
      </c>
      <c r="N21" s="97"/>
      <c r="O21" t="s">
        <v>116</v>
      </c>
      <c r="P21" s="97">
        <v>1674</v>
      </c>
      <c r="Q21" s="97"/>
      <c r="R21" s="97"/>
      <c r="S21" s="97"/>
      <c r="T21" s="97"/>
      <c r="U21" s="97">
        <v>0</v>
      </c>
    </row>
    <row r="22" spans="1:21">
      <c r="A22" t="s">
        <v>22</v>
      </c>
      <c r="B22" t="s">
        <v>829</v>
      </c>
      <c r="C22" s="97">
        <v>500000</v>
      </c>
      <c r="D22" s="97">
        <v>-500000</v>
      </c>
      <c r="E22" s="97">
        <v>0</v>
      </c>
      <c r="F22" s="97"/>
      <c r="G22" s="97"/>
      <c r="H22" s="97"/>
      <c r="I22" s="97">
        <v>0</v>
      </c>
      <c r="J22" s="97"/>
      <c r="K22" s="97"/>
      <c r="L22" s="97"/>
      <c r="N22" s="97"/>
      <c r="O22" t="s">
        <v>266</v>
      </c>
      <c r="P22" s="97">
        <v>236250</v>
      </c>
      <c r="Q22" s="97"/>
      <c r="R22" s="97"/>
      <c r="S22" s="97"/>
      <c r="T22" s="97"/>
      <c r="U22" s="97">
        <v>0</v>
      </c>
    </row>
    <row r="23" spans="1:21">
      <c r="B23" t="s">
        <v>846</v>
      </c>
      <c r="C23" s="97">
        <v>250000</v>
      </c>
      <c r="D23" s="97">
        <v>-100000</v>
      </c>
      <c r="E23" s="97">
        <v>150000</v>
      </c>
      <c r="F23" s="97"/>
      <c r="G23" s="97"/>
      <c r="H23" s="97"/>
      <c r="I23" s="97">
        <v>0</v>
      </c>
      <c r="J23" s="97"/>
      <c r="K23" s="97"/>
      <c r="L23" s="97"/>
      <c r="N23" s="97"/>
      <c r="O23" t="s">
        <v>372</v>
      </c>
      <c r="P23" s="97">
        <v>32760</v>
      </c>
      <c r="Q23" s="97"/>
      <c r="R23" s="97"/>
      <c r="S23" s="97"/>
      <c r="T23" s="97"/>
      <c r="U23" s="97">
        <v>0</v>
      </c>
    </row>
    <row r="24" spans="1:21">
      <c r="B24" t="s">
        <v>496</v>
      </c>
      <c r="C24" s="97">
        <v>539598.4</v>
      </c>
      <c r="D24" s="97">
        <v>-9611.2800000000861</v>
      </c>
      <c r="E24" s="97">
        <v>516582.36999999994</v>
      </c>
      <c r="F24" s="97">
        <v>31294.030833333334</v>
      </c>
      <c r="G24" s="97">
        <v>45283.030833333338</v>
      </c>
      <c r="H24" s="97">
        <v>31294.030833333334</v>
      </c>
      <c r="I24" s="97">
        <v>455227.11999999994</v>
      </c>
      <c r="J24" s="97">
        <v>31294.030833333334</v>
      </c>
      <c r="K24" s="97">
        <v>44766.880833333329</v>
      </c>
      <c r="L24" s="97">
        <v>32369.030833333334</v>
      </c>
      <c r="N24" s="97"/>
      <c r="O24" t="s">
        <v>288</v>
      </c>
      <c r="P24" s="97">
        <v>10080</v>
      </c>
      <c r="Q24" s="97"/>
      <c r="R24" s="97"/>
      <c r="S24" s="97"/>
      <c r="T24" s="97"/>
      <c r="U24" s="97">
        <v>4800</v>
      </c>
    </row>
    <row r="25" spans="1:21">
      <c r="B25" t="s">
        <v>541</v>
      </c>
      <c r="C25" s="97">
        <v>2204879.4000000004</v>
      </c>
      <c r="D25" s="97">
        <v>217232.67999999953</v>
      </c>
      <c r="E25" s="97">
        <v>2422112.1399999997</v>
      </c>
      <c r="F25" s="97">
        <v>201842.67833333334</v>
      </c>
      <c r="G25" s="97">
        <v>201842.67833333334</v>
      </c>
      <c r="H25" s="97">
        <v>201842.67833333334</v>
      </c>
      <c r="I25" s="97">
        <v>2414490.7599999998</v>
      </c>
      <c r="J25" s="97">
        <v>201842.67833333334</v>
      </c>
      <c r="K25" s="97">
        <v>201842.65833333333</v>
      </c>
      <c r="L25" s="97">
        <v>201842.67833333334</v>
      </c>
      <c r="N25" s="97"/>
      <c r="O25" t="s">
        <v>291</v>
      </c>
      <c r="P25" s="97">
        <v>139684</v>
      </c>
      <c r="Q25" s="97">
        <v>11640.333333333334</v>
      </c>
      <c r="R25" s="97">
        <v>11640.333333333334</v>
      </c>
      <c r="S25" s="97">
        <v>11640.333333333334</v>
      </c>
      <c r="T25" s="97">
        <v>11640.333333333334</v>
      </c>
      <c r="U25" s="97">
        <v>93122.666666666657</v>
      </c>
    </row>
    <row r="26" spans="1:21">
      <c r="B26" t="s">
        <v>594</v>
      </c>
      <c r="C26" s="97">
        <v>7231110.7000000002</v>
      </c>
      <c r="D26" s="97">
        <v>821647.049999999</v>
      </c>
      <c r="E26" s="97">
        <v>7983930.8899999997</v>
      </c>
      <c r="F26" s="97">
        <v>624638.7466666667</v>
      </c>
      <c r="G26" s="97">
        <v>594951.59666666668</v>
      </c>
      <c r="H26" s="97">
        <v>594951.59666666668</v>
      </c>
      <c r="I26" s="97">
        <v>6003767.7499999991</v>
      </c>
      <c r="J26" s="97">
        <v>692968.3566666668</v>
      </c>
      <c r="K26" s="97">
        <v>594951.59666666668</v>
      </c>
      <c r="L26" s="97">
        <v>594951.59666666668</v>
      </c>
      <c r="N26" s="97"/>
      <c r="O26" t="s">
        <v>373</v>
      </c>
      <c r="P26" s="97">
        <v>3150</v>
      </c>
      <c r="Q26" s="97"/>
      <c r="R26" s="97"/>
      <c r="S26" s="97"/>
      <c r="T26" s="97"/>
      <c r="U26" s="97">
        <v>0</v>
      </c>
    </row>
    <row r="27" spans="1:21">
      <c r="B27" t="s">
        <v>821</v>
      </c>
      <c r="C27" s="97">
        <v>619600</v>
      </c>
      <c r="D27" s="97">
        <v>-336000</v>
      </c>
      <c r="E27" s="97">
        <v>273600</v>
      </c>
      <c r="F27" s="97"/>
      <c r="G27" s="97"/>
      <c r="H27" s="97"/>
      <c r="I27" s="97">
        <v>10000</v>
      </c>
      <c r="J27" s="97"/>
      <c r="K27" s="97"/>
      <c r="L27" s="97">
        <v>10000</v>
      </c>
      <c r="N27" s="97"/>
      <c r="O27" t="s">
        <v>330</v>
      </c>
      <c r="P27" s="97">
        <v>0</v>
      </c>
      <c r="Q27" s="97"/>
      <c r="R27" s="97"/>
      <c r="S27" s="97"/>
      <c r="T27" s="97"/>
      <c r="U27" s="97">
        <v>92000</v>
      </c>
    </row>
    <row r="28" spans="1:21">
      <c r="B28" t="s">
        <v>818</v>
      </c>
      <c r="C28" s="97">
        <v>50000</v>
      </c>
      <c r="D28" s="97">
        <v>-50000</v>
      </c>
      <c r="E28" s="97">
        <v>0</v>
      </c>
      <c r="F28" s="97"/>
      <c r="G28" s="97"/>
      <c r="H28" s="97"/>
      <c r="I28" s="97">
        <v>0</v>
      </c>
      <c r="J28" s="97"/>
      <c r="K28" s="97"/>
      <c r="L28" s="97"/>
      <c r="N28" s="97"/>
      <c r="O28" t="s">
        <v>44</v>
      </c>
      <c r="P28" s="97">
        <v>4217276.0999999996</v>
      </c>
      <c r="Q28" s="97">
        <v>260086</v>
      </c>
      <c r="R28" s="97">
        <v>334930.09999999998</v>
      </c>
      <c r="S28" s="97">
        <v>275958.56</v>
      </c>
      <c r="T28" s="97">
        <v>381656.44</v>
      </c>
      <c r="U28" s="97">
        <v>1410471.5599999998</v>
      </c>
    </row>
    <row r="29" spans="1:21">
      <c r="B29" t="s">
        <v>564</v>
      </c>
      <c r="C29" s="97">
        <v>1757280</v>
      </c>
      <c r="D29" s="97">
        <v>-277734</v>
      </c>
      <c r="E29" s="97">
        <v>1520680</v>
      </c>
      <c r="F29" s="97">
        <v>146440</v>
      </c>
      <c r="G29" s="97">
        <v>146440</v>
      </c>
      <c r="H29" s="97">
        <v>146440</v>
      </c>
      <c r="I29" s="97">
        <v>440186</v>
      </c>
      <c r="J29" s="97">
        <v>129864</v>
      </c>
      <c r="K29" s="97">
        <v>124134</v>
      </c>
      <c r="L29" s="97">
        <v>152588</v>
      </c>
      <c r="N29" s="97"/>
      <c r="O29" t="s">
        <v>119</v>
      </c>
      <c r="P29" s="97">
        <v>7043</v>
      </c>
      <c r="Q29" s="97">
        <v>587</v>
      </c>
      <c r="R29" s="97">
        <v>587</v>
      </c>
      <c r="S29" s="97">
        <v>620.09</v>
      </c>
      <c r="T29" s="97">
        <v>628.66</v>
      </c>
      <c r="U29" s="97">
        <v>3993.4158999999995</v>
      </c>
    </row>
    <row r="30" spans="1:21">
      <c r="B30" t="s">
        <v>513</v>
      </c>
      <c r="C30" s="97"/>
      <c r="D30" s="97">
        <v>41250</v>
      </c>
      <c r="E30" s="97">
        <v>41250</v>
      </c>
      <c r="F30" s="97"/>
      <c r="G30" s="97"/>
      <c r="H30" s="97"/>
      <c r="I30" s="97">
        <v>9900</v>
      </c>
      <c r="J30" s="97"/>
      <c r="K30" s="97"/>
      <c r="L30" s="97"/>
      <c r="N30" s="97"/>
      <c r="O30" t="s">
        <v>122</v>
      </c>
      <c r="P30" s="97">
        <v>35314</v>
      </c>
      <c r="Q30" s="97">
        <v>2943</v>
      </c>
      <c r="R30" s="97">
        <v>2943</v>
      </c>
      <c r="S30" s="97">
        <v>2802.71</v>
      </c>
      <c r="T30" s="97">
        <v>2802.71</v>
      </c>
      <c r="U30" s="97">
        <v>18056.259999999998</v>
      </c>
    </row>
    <row r="31" spans="1:21">
      <c r="A31" t="s">
        <v>66</v>
      </c>
      <c r="C31" s="97">
        <v>13152468.5</v>
      </c>
      <c r="D31" s="97">
        <v>-193215.5500000015</v>
      </c>
      <c r="E31" s="97">
        <v>12908155.399999999</v>
      </c>
      <c r="F31" s="97">
        <v>1004215.4558333333</v>
      </c>
      <c r="G31" s="97">
        <v>988517.3058333334</v>
      </c>
      <c r="H31" s="97">
        <v>974528.3058333334</v>
      </c>
      <c r="I31" s="97">
        <v>9333571.629999999</v>
      </c>
      <c r="J31" s="97">
        <v>1055969.0658333334</v>
      </c>
      <c r="K31" s="97">
        <v>965695.13583333336</v>
      </c>
      <c r="L31" s="97">
        <v>991751.3058333334</v>
      </c>
      <c r="N31" s="97"/>
      <c r="O31" t="s">
        <v>194</v>
      </c>
      <c r="P31" s="97">
        <v>218880</v>
      </c>
      <c r="Q31" s="97">
        <v>18240</v>
      </c>
      <c r="R31" s="97">
        <v>18240</v>
      </c>
      <c r="S31" s="97">
        <v>16128</v>
      </c>
      <c r="T31" s="97">
        <v>16464</v>
      </c>
      <c r="U31" s="97">
        <v>85892</v>
      </c>
    </row>
    <row r="32" spans="1:21">
      <c r="A32" t="s">
        <v>23</v>
      </c>
      <c r="B32" t="s">
        <v>844</v>
      </c>
      <c r="C32" s="97">
        <v>100000</v>
      </c>
      <c r="D32" s="97">
        <v>0</v>
      </c>
      <c r="E32" s="97">
        <v>100000</v>
      </c>
      <c r="F32" s="97"/>
      <c r="G32" s="97"/>
      <c r="H32" s="97"/>
      <c r="I32" s="97">
        <v>0</v>
      </c>
      <c r="J32" s="97"/>
      <c r="K32" s="97"/>
      <c r="L32" s="97"/>
      <c r="N32" s="97"/>
      <c r="O32" t="s">
        <v>296</v>
      </c>
      <c r="P32" s="97">
        <v>117539.0055</v>
      </c>
      <c r="Q32" s="97">
        <v>8984.74</v>
      </c>
      <c r="R32" s="97">
        <v>2271.65</v>
      </c>
      <c r="S32" s="97">
        <v>8984.74</v>
      </c>
      <c r="T32" s="97">
        <v>2271.65</v>
      </c>
      <c r="U32" s="97">
        <v>14025.49</v>
      </c>
    </row>
    <row r="33" spans="1:21">
      <c r="B33" t="s">
        <v>577</v>
      </c>
      <c r="C33" s="97">
        <v>345000</v>
      </c>
      <c r="D33" s="97">
        <v>247000</v>
      </c>
      <c r="E33" s="97">
        <v>592000</v>
      </c>
      <c r="F33" s="97">
        <v>28750</v>
      </c>
      <c r="G33" s="97">
        <v>28750</v>
      </c>
      <c r="H33" s="97">
        <v>41750</v>
      </c>
      <c r="I33" s="97">
        <v>154000</v>
      </c>
      <c r="J33" s="97">
        <v>28750</v>
      </c>
      <c r="K33" s="97">
        <v>28750</v>
      </c>
      <c r="L33" s="97">
        <v>41750</v>
      </c>
      <c r="N33" s="97"/>
      <c r="O33" t="s">
        <v>306</v>
      </c>
      <c r="P33" s="97">
        <v>5250</v>
      </c>
      <c r="Q33" s="97"/>
      <c r="R33" s="97"/>
      <c r="S33" s="97"/>
      <c r="T33" s="97"/>
      <c r="U33" s="97">
        <v>0</v>
      </c>
    </row>
    <row r="34" spans="1:21">
      <c r="B34" t="s">
        <v>548</v>
      </c>
      <c r="C34" s="97">
        <v>226330.7</v>
      </c>
      <c r="D34" s="97">
        <v>0.29999999999563443</v>
      </c>
      <c r="E34" s="97">
        <v>226331</v>
      </c>
      <c r="F34" s="97">
        <v>14568.75</v>
      </c>
      <c r="G34" s="97">
        <v>14568.75</v>
      </c>
      <c r="H34" s="97">
        <v>16596.75</v>
      </c>
      <c r="I34" s="97">
        <v>133926.75</v>
      </c>
      <c r="J34" s="97">
        <v>14568.75</v>
      </c>
      <c r="K34" s="97">
        <v>14568.75</v>
      </c>
      <c r="L34" s="97">
        <v>16596.75</v>
      </c>
      <c r="N34" s="97"/>
      <c r="O34" t="s">
        <v>374</v>
      </c>
      <c r="P34" s="97">
        <v>48934</v>
      </c>
      <c r="Q34" s="97">
        <v>4702</v>
      </c>
      <c r="R34" s="97">
        <v>1000</v>
      </c>
      <c r="S34" s="97">
        <v>4704</v>
      </c>
      <c r="T34" s="97">
        <v>999</v>
      </c>
      <c r="U34" s="97">
        <v>9894</v>
      </c>
    </row>
    <row r="35" spans="1:21">
      <c r="B35" t="s">
        <v>658</v>
      </c>
      <c r="C35" s="97">
        <v>1260</v>
      </c>
      <c r="D35" s="97">
        <v>0</v>
      </c>
      <c r="E35" s="97">
        <v>1260</v>
      </c>
      <c r="F35" s="97">
        <v>1260</v>
      </c>
      <c r="G35" s="97">
        <v>0</v>
      </c>
      <c r="H35" s="97">
        <v>0</v>
      </c>
      <c r="I35" s="97">
        <v>1260</v>
      </c>
      <c r="J35" s="97">
        <v>1260</v>
      </c>
      <c r="K35" s="97">
        <v>0</v>
      </c>
      <c r="L35" s="97">
        <v>0</v>
      </c>
      <c r="N35" s="97"/>
      <c r="O35" t="s">
        <v>60</v>
      </c>
      <c r="P35" s="97">
        <v>3667396</v>
      </c>
      <c r="Q35" s="97">
        <v>333776.63</v>
      </c>
      <c r="R35" s="97">
        <v>333776.63</v>
      </c>
      <c r="S35" s="97">
        <v>401932.44</v>
      </c>
      <c r="T35" s="97">
        <v>333776.63</v>
      </c>
      <c r="U35" s="97">
        <v>4073475.3699999992</v>
      </c>
    </row>
    <row r="36" spans="1:21">
      <c r="B36" t="s">
        <v>812</v>
      </c>
      <c r="C36" s="97">
        <v>250000</v>
      </c>
      <c r="D36" s="97">
        <v>-100000</v>
      </c>
      <c r="E36" s="97">
        <v>150000</v>
      </c>
      <c r="F36" s="97"/>
      <c r="G36" s="97"/>
      <c r="H36" s="97"/>
      <c r="I36" s="97">
        <v>0</v>
      </c>
      <c r="J36" s="97"/>
      <c r="K36" s="97"/>
      <c r="L36" s="97"/>
      <c r="N36" s="97"/>
      <c r="O36" t="s">
        <v>362</v>
      </c>
      <c r="P36" s="97">
        <v>238897.86250000002</v>
      </c>
      <c r="Q36" s="97"/>
      <c r="R36" s="97"/>
      <c r="S36" s="97"/>
      <c r="T36" s="97"/>
      <c r="U36" s="97">
        <v>0</v>
      </c>
    </row>
    <row r="37" spans="1:21">
      <c r="B37" t="s">
        <v>564</v>
      </c>
      <c r="C37" s="97">
        <v>830400</v>
      </c>
      <c r="D37" s="97">
        <v>-305360</v>
      </c>
      <c r="E37" s="97">
        <v>544400</v>
      </c>
      <c r="F37" s="97">
        <v>50000</v>
      </c>
      <c r="G37" s="97">
        <v>24000</v>
      </c>
      <c r="H37" s="97">
        <v>24000</v>
      </c>
      <c r="I37" s="97">
        <v>126640</v>
      </c>
      <c r="J37" s="97">
        <v>44800</v>
      </c>
      <c r="K37" s="97">
        <v>22800</v>
      </c>
      <c r="L37" s="97">
        <v>0</v>
      </c>
      <c r="N37" s="97"/>
      <c r="O37" t="s">
        <v>262</v>
      </c>
      <c r="P37" s="97">
        <v>359</v>
      </c>
      <c r="Q37" s="97"/>
      <c r="R37" s="97"/>
      <c r="S37" s="97"/>
      <c r="T37" s="97"/>
      <c r="U37" s="97">
        <v>0</v>
      </c>
    </row>
    <row r="38" spans="1:21">
      <c r="A38" t="s">
        <v>72</v>
      </c>
      <c r="C38" s="97">
        <v>1752990.7</v>
      </c>
      <c r="D38" s="97">
        <v>-158359.70000000001</v>
      </c>
      <c r="E38" s="97">
        <v>1613991</v>
      </c>
      <c r="F38" s="97">
        <v>94578.75</v>
      </c>
      <c r="G38" s="97">
        <v>67318.75</v>
      </c>
      <c r="H38" s="97">
        <v>82346.75</v>
      </c>
      <c r="I38" s="97">
        <v>415826.75</v>
      </c>
      <c r="J38" s="97">
        <v>89378.75</v>
      </c>
      <c r="K38" s="97">
        <v>66118.75</v>
      </c>
      <c r="L38" s="97">
        <v>58346.75</v>
      </c>
      <c r="N38" s="97"/>
      <c r="O38" t="s">
        <v>241</v>
      </c>
      <c r="P38" s="97">
        <v>14700</v>
      </c>
      <c r="Q38" s="97"/>
      <c r="R38" s="97"/>
      <c r="S38" s="97"/>
      <c r="T38" s="97"/>
      <c r="U38" s="97">
        <v>9900</v>
      </c>
    </row>
    <row r="39" spans="1:21">
      <c r="A39" t="s">
        <v>24</v>
      </c>
      <c r="B39" t="s">
        <v>809</v>
      </c>
      <c r="C39" s="97">
        <v>160000</v>
      </c>
      <c r="D39" s="97">
        <v>0</v>
      </c>
      <c r="E39" s="97">
        <v>160000</v>
      </c>
      <c r="F39" s="97">
        <v>12500</v>
      </c>
      <c r="G39" s="97">
        <v>12500</v>
      </c>
      <c r="H39" s="97">
        <v>12500</v>
      </c>
      <c r="I39" s="97">
        <v>112500</v>
      </c>
      <c r="J39" s="97">
        <v>12500</v>
      </c>
      <c r="K39" s="97">
        <v>12500</v>
      </c>
      <c r="L39" s="97">
        <v>12500</v>
      </c>
      <c r="N39" s="97"/>
      <c r="O39" t="s">
        <v>156</v>
      </c>
      <c r="P39" s="97">
        <v>2900</v>
      </c>
      <c r="Q39" s="97"/>
      <c r="R39" s="97">
        <v>17</v>
      </c>
      <c r="S39" s="97"/>
      <c r="T39" s="97">
        <v>16.739999999999998</v>
      </c>
      <c r="U39" s="97">
        <v>8407.75</v>
      </c>
    </row>
    <row r="40" spans="1:21">
      <c r="B40" t="s">
        <v>518</v>
      </c>
      <c r="C40" s="97">
        <v>1625617.7549999999</v>
      </c>
      <c r="D40" s="97">
        <v>27342.401666666628</v>
      </c>
      <c r="E40" s="97">
        <v>1616588.25</v>
      </c>
      <c r="F40" s="97">
        <v>141783.63833333334</v>
      </c>
      <c r="G40" s="97">
        <v>117090.65833333335</v>
      </c>
      <c r="H40" s="97">
        <v>142595.65833333335</v>
      </c>
      <c r="I40" s="97">
        <v>802838.64000000013</v>
      </c>
      <c r="J40" s="97">
        <v>135508.06666666665</v>
      </c>
      <c r="K40" s="97">
        <v>109427.08666666667</v>
      </c>
      <c r="L40" s="97">
        <v>128773.08666666667</v>
      </c>
      <c r="N40" s="97"/>
      <c r="O40" t="s">
        <v>335</v>
      </c>
      <c r="P40" s="97">
        <v>12600</v>
      </c>
      <c r="Q40" s="97"/>
      <c r="R40" s="97">
        <v>12600</v>
      </c>
      <c r="S40" s="97"/>
      <c r="T40" s="97">
        <v>12000</v>
      </c>
      <c r="U40" s="97">
        <v>12000</v>
      </c>
    </row>
    <row r="41" spans="1:21">
      <c r="A41" t="s">
        <v>265</v>
      </c>
      <c r="C41" s="97">
        <v>1785617.7549999999</v>
      </c>
      <c r="D41" s="97">
        <v>27342.401666666628</v>
      </c>
      <c r="E41" s="97">
        <v>1776588.25</v>
      </c>
      <c r="F41" s="97">
        <v>154283.63833333334</v>
      </c>
      <c r="G41" s="97">
        <v>129590.65833333335</v>
      </c>
      <c r="H41" s="97">
        <v>155095.65833333335</v>
      </c>
      <c r="I41" s="97">
        <v>915338.64000000013</v>
      </c>
      <c r="J41" s="97">
        <v>148008.06666666665</v>
      </c>
      <c r="K41" s="97">
        <v>121927.08666666667</v>
      </c>
      <c r="L41" s="97">
        <v>141273.08666666667</v>
      </c>
      <c r="N41" s="97"/>
      <c r="O41" t="s">
        <v>244</v>
      </c>
      <c r="P41" s="97">
        <v>8400</v>
      </c>
      <c r="Q41" s="97">
        <v>8400</v>
      </c>
      <c r="R41" s="97"/>
      <c r="S41" s="97">
        <v>8000</v>
      </c>
      <c r="T41" s="97"/>
      <c r="U41" s="97">
        <v>8000</v>
      </c>
    </row>
    <row r="42" spans="1:21">
      <c r="A42" t="s">
        <v>25</v>
      </c>
      <c r="B42" t="s">
        <v>486</v>
      </c>
      <c r="C42" s="97">
        <v>693012</v>
      </c>
      <c r="D42" s="97">
        <v>-88867.429999999964</v>
      </c>
      <c r="E42" s="97">
        <v>593011.85</v>
      </c>
      <c r="F42" s="97">
        <v>11185.549999999997</v>
      </c>
      <c r="G42" s="97">
        <v>7416.97</v>
      </c>
      <c r="H42" s="97">
        <v>16129.190000000002</v>
      </c>
      <c r="I42" s="97">
        <v>100202.57</v>
      </c>
      <c r="J42" s="97">
        <v>11185.549999999997</v>
      </c>
      <c r="K42" s="97">
        <v>7416.71</v>
      </c>
      <c r="L42" s="97">
        <v>16129.190000000002</v>
      </c>
      <c r="N42" s="97"/>
      <c r="O42" t="s">
        <v>375</v>
      </c>
      <c r="P42" s="97">
        <v>90000</v>
      </c>
      <c r="Q42" s="97"/>
      <c r="R42" s="97"/>
      <c r="S42" s="97"/>
      <c r="T42" s="97"/>
      <c r="U42" s="97">
        <v>0</v>
      </c>
    </row>
    <row r="43" spans="1:21">
      <c r="B43" t="s">
        <v>848</v>
      </c>
      <c r="C43" s="97">
        <v>212896</v>
      </c>
      <c r="D43" s="97">
        <v>-90110</v>
      </c>
      <c r="E43" s="97">
        <v>122786</v>
      </c>
      <c r="F43" s="97">
        <v>0</v>
      </c>
      <c r="G43" s="97">
        <v>0</v>
      </c>
      <c r="H43" s="97">
        <v>0</v>
      </c>
      <c r="I43" s="97">
        <v>0</v>
      </c>
      <c r="J43" s="97">
        <v>0</v>
      </c>
      <c r="K43" s="97">
        <v>0</v>
      </c>
      <c r="L43" s="97">
        <v>0</v>
      </c>
      <c r="N43" s="97"/>
      <c r="O43" t="s">
        <v>48</v>
      </c>
      <c r="P43" s="97">
        <v>4683010.9241500003</v>
      </c>
      <c r="Q43" s="97">
        <v>398337.49</v>
      </c>
      <c r="R43" s="97">
        <v>376562.49</v>
      </c>
      <c r="S43" s="97">
        <v>383337.49</v>
      </c>
      <c r="T43" s="97">
        <v>358762.49</v>
      </c>
      <c r="U43" s="97">
        <v>2360914.9</v>
      </c>
    </row>
    <row r="44" spans="1:21">
      <c r="B44" t="s">
        <v>610</v>
      </c>
      <c r="C44" s="97">
        <v>1049727.6140000001</v>
      </c>
      <c r="D44" s="97">
        <v>-5314.8693333333185</v>
      </c>
      <c r="E44" s="97">
        <v>1048398.1806666667</v>
      </c>
      <c r="F44" s="97">
        <v>56798</v>
      </c>
      <c r="G44" s="97">
        <v>20696</v>
      </c>
      <c r="H44" s="97">
        <v>129819.016</v>
      </c>
      <c r="I44" s="97">
        <v>611013.38000000012</v>
      </c>
      <c r="J44" s="97">
        <v>56370.39</v>
      </c>
      <c r="K44" s="97">
        <v>20656.14</v>
      </c>
      <c r="L44" s="97">
        <v>126332.43</v>
      </c>
      <c r="N44" s="97"/>
      <c r="O44" t="s">
        <v>352</v>
      </c>
      <c r="P44" s="97">
        <v>1260</v>
      </c>
      <c r="Q44" s="97">
        <v>1260</v>
      </c>
      <c r="R44" s="97">
        <v>0</v>
      </c>
      <c r="S44" s="97">
        <v>1260</v>
      </c>
      <c r="T44" s="97">
        <v>0</v>
      </c>
      <c r="U44" s="97">
        <v>1260</v>
      </c>
    </row>
    <row r="45" spans="1:21">
      <c r="B45" t="s">
        <v>564</v>
      </c>
      <c r="C45" s="97">
        <v>672000</v>
      </c>
      <c r="D45" s="97">
        <v>-8540</v>
      </c>
      <c r="E45" s="97">
        <v>671440</v>
      </c>
      <c r="F45" s="97">
        <v>56000</v>
      </c>
      <c r="G45" s="97">
        <v>56000</v>
      </c>
      <c r="H45" s="97">
        <v>59760</v>
      </c>
      <c r="I45" s="97">
        <v>207380</v>
      </c>
      <c r="J45" s="97">
        <v>51600</v>
      </c>
      <c r="K45" s="97">
        <v>52080</v>
      </c>
      <c r="L45" s="97">
        <v>56924</v>
      </c>
      <c r="N45" s="97"/>
      <c r="O45" t="s">
        <v>171</v>
      </c>
      <c r="P45" s="97">
        <v>940800</v>
      </c>
      <c r="Q45" s="97">
        <v>156800</v>
      </c>
      <c r="R45" s="97">
        <v>156800</v>
      </c>
      <c r="S45" s="97">
        <v>153008</v>
      </c>
      <c r="T45" s="97">
        <v>138848</v>
      </c>
      <c r="U45" s="97">
        <v>718868</v>
      </c>
    </row>
    <row r="46" spans="1:21">
      <c r="A46" t="s">
        <v>80</v>
      </c>
      <c r="C46" s="97">
        <v>2627635.6140000001</v>
      </c>
      <c r="D46" s="97">
        <v>-192832.29933333327</v>
      </c>
      <c r="E46" s="97">
        <v>2435636.0306666666</v>
      </c>
      <c r="F46" s="97">
        <v>123983.55</v>
      </c>
      <c r="G46" s="97">
        <v>84112.97</v>
      </c>
      <c r="H46" s="97">
        <v>205708.20600000001</v>
      </c>
      <c r="I46" s="97">
        <v>918595.95000000019</v>
      </c>
      <c r="J46" s="97">
        <v>119155.94</v>
      </c>
      <c r="K46" s="97">
        <v>80152.850000000006</v>
      </c>
      <c r="L46" s="97">
        <v>199385.62</v>
      </c>
      <c r="N46" s="97"/>
      <c r="O46" t="s">
        <v>125</v>
      </c>
      <c r="P46" s="97">
        <v>18865</v>
      </c>
      <c r="Q46" s="97">
        <v>1450.9</v>
      </c>
      <c r="R46" s="97">
        <v>1585</v>
      </c>
      <c r="S46" s="97">
        <v>1450.9</v>
      </c>
      <c r="T46" s="97">
        <v>1585</v>
      </c>
      <c r="U46" s="97">
        <v>6681.98</v>
      </c>
    </row>
    <row r="47" spans="1:21">
      <c r="A47" t="s">
        <v>17</v>
      </c>
      <c r="C47" s="97">
        <v>43544379.95615001</v>
      </c>
      <c r="D47" s="97">
        <v>470091.33958333242</v>
      </c>
      <c r="E47" s="97">
        <v>44629071.023000002</v>
      </c>
      <c r="F47" s="97">
        <v>3310237.773333333</v>
      </c>
      <c r="G47" s="97">
        <v>3283917.4133333331</v>
      </c>
      <c r="H47" s="97">
        <v>3445839.262916666</v>
      </c>
      <c r="I47" s="97">
        <v>22394275.037566666</v>
      </c>
      <c r="J47" s="97">
        <v>3365516.8850000002</v>
      </c>
      <c r="K47" s="97">
        <v>3209811.2950000004</v>
      </c>
      <c r="L47" s="97">
        <v>3429760.7424999997</v>
      </c>
      <c r="N47" s="97"/>
      <c r="O47" t="s">
        <v>128</v>
      </c>
      <c r="P47" s="97">
        <v>25439</v>
      </c>
      <c r="Q47" s="97">
        <v>2119.9166666666665</v>
      </c>
      <c r="R47" s="97">
        <v>2119.9166666666665</v>
      </c>
      <c r="S47" s="97">
        <v>2019.14</v>
      </c>
      <c r="T47" s="97">
        <v>2019.24</v>
      </c>
      <c r="U47" s="97">
        <v>12115.970000000001</v>
      </c>
    </row>
    <row r="48" spans="1:21">
      <c r="N48" s="97"/>
      <c r="O48" t="s">
        <v>376</v>
      </c>
      <c r="P48" s="97">
        <v>2594.5500000000002</v>
      </c>
      <c r="Q48" s="97"/>
      <c r="R48" s="97"/>
      <c r="S48" s="97"/>
      <c r="T48" s="97"/>
      <c r="U48" s="97">
        <v>0</v>
      </c>
    </row>
    <row r="49" spans="15:21">
      <c r="O49" t="s">
        <v>131</v>
      </c>
      <c r="P49" s="97">
        <v>34537</v>
      </c>
      <c r="Q49" s="97">
        <v>2878.0833333333335</v>
      </c>
      <c r="R49" s="97">
        <v>2878.0833333333335</v>
      </c>
      <c r="S49" s="97">
        <v>2741.45</v>
      </c>
      <c r="T49" s="97">
        <v>2741.45</v>
      </c>
      <c r="U49" s="97">
        <v>13707.25</v>
      </c>
    </row>
    <row r="50" spans="15:21">
      <c r="O50" t="s">
        <v>309</v>
      </c>
      <c r="P50" s="97">
        <v>27790.5285</v>
      </c>
      <c r="Q50" s="97"/>
      <c r="R50" s="97"/>
      <c r="S50" s="97"/>
      <c r="T50" s="97"/>
      <c r="U50" s="97">
        <v>0</v>
      </c>
    </row>
    <row r="51" spans="15:21">
      <c r="O51" t="s">
        <v>338</v>
      </c>
      <c r="P51" s="97">
        <v>2751</v>
      </c>
      <c r="Q51" s="97"/>
      <c r="R51" s="97">
        <v>1389</v>
      </c>
      <c r="S51" s="97"/>
      <c r="T51" s="97">
        <v>1472.85</v>
      </c>
      <c r="U51" s="97">
        <v>3192.75</v>
      </c>
    </row>
    <row r="52" spans="15:21">
      <c r="O52" t="s">
        <v>63</v>
      </c>
      <c r="P52" s="97">
        <v>4499600</v>
      </c>
      <c r="Q52" s="97">
        <v>261174.96666666667</v>
      </c>
      <c r="R52" s="97">
        <v>261174.96666666667</v>
      </c>
      <c r="S52" s="97">
        <v>261174.96666666667</v>
      </c>
      <c r="T52" s="97">
        <v>261174.96666666667</v>
      </c>
      <c r="U52" s="97">
        <v>1785858.68</v>
      </c>
    </row>
    <row r="53" spans="15:21">
      <c r="O53" t="s">
        <v>134</v>
      </c>
      <c r="P53" s="97">
        <v>10552298</v>
      </c>
      <c r="Q53" s="97">
        <v>877948.75</v>
      </c>
      <c r="R53" s="97">
        <v>877948.75</v>
      </c>
      <c r="S53" s="97">
        <v>912069.15</v>
      </c>
      <c r="T53" s="97">
        <v>855558.32000000007</v>
      </c>
      <c r="U53" s="97">
        <v>4794256.1466666674</v>
      </c>
    </row>
    <row r="54" spans="15:21">
      <c r="O54" t="s">
        <v>312</v>
      </c>
      <c r="P54" s="97">
        <v>307613.80000000005</v>
      </c>
      <c r="Q54" s="97">
        <v>24908.333333333332</v>
      </c>
      <c r="R54" s="97">
        <v>24908.333333333332</v>
      </c>
      <c r="S54" s="97">
        <v>24908.333333333332</v>
      </c>
      <c r="T54" s="97">
        <v>24908.333333333332</v>
      </c>
      <c r="U54" s="97">
        <v>305666.66666666663</v>
      </c>
    </row>
    <row r="55" spans="15:21">
      <c r="O55" t="s">
        <v>269</v>
      </c>
      <c r="P55" s="97">
        <v>141750</v>
      </c>
      <c r="Q55" s="97"/>
      <c r="R55" s="97"/>
      <c r="S55" s="97"/>
      <c r="T55" s="97"/>
      <c r="U55" s="97">
        <v>0</v>
      </c>
    </row>
    <row r="56" spans="15:21">
      <c r="O56" t="s">
        <v>211</v>
      </c>
      <c r="P56" s="97">
        <v>631511.9645</v>
      </c>
      <c r="Q56" s="97">
        <v>70999.255833333329</v>
      </c>
      <c r="R56" s="97">
        <v>70999.255833333329</v>
      </c>
      <c r="S56" s="97">
        <v>70999.255833333329</v>
      </c>
      <c r="T56" s="97">
        <v>70999.255833333329</v>
      </c>
      <c r="U56" s="97">
        <v>635850.51416666666</v>
      </c>
    </row>
    <row r="57" spans="15:21">
      <c r="O57" t="s">
        <v>251</v>
      </c>
      <c r="P57" s="97">
        <v>0</v>
      </c>
      <c r="Q57" s="97"/>
      <c r="R57" s="97"/>
      <c r="S57" s="97"/>
      <c r="T57" s="97"/>
      <c r="U57" s="97">
        <v>15208</v>
      </c>
    </row>
    <row r="58" spans="15:21">
      <c r="O58" t="s">
        <v>270</v>
      </c>
      <c r="P58" s="97">
        <v>17099</v>
      </c>
      <c r="Q58" s="97"/>
      <c r="R58" s="97"/>
      <c r="S58" s="97"/>
      <c r="T58" s="97"/>
      <c r="U58" s="97">
        <v>0</v>
      </c>
    </row>
    <row r="59" spans="15:21">
      <c r="O59" t="s">
        <v>343</v>
      </c>
      <c r="P59" s="97">
        <v>298544.40000000002</v>
      </c>
      <c r="Q59" s="97">
        <v>23694.030833333334</v>
      </c>
      <c r="R59" s="97">
        <v>23694.030833333334</v>
      </c>
      <c r="S59" s="97">
        <v>23694.030833333334</v>
      </c>
      <c r="T59" s="97">
        <v>23694.030833333334</v>
      </c>
      <c r="U59" s="97">
        <v>284328.36999999994</v>
      </c>
    </row>
    <row r="60" spans="15:21">
      <c r="O60" t="s">
        <v>377</v>
      </c>
      <c r="P60" s="97">
        <v>100000</v>
      </c>
      <c r="Q60" s="97"/>
      <c r="R60" s="97"/>
      <c r="S60" s="97"/>
      <c r="T60" s="97"/>
      <c r="U60" s="97">
        <v>0</v>
      </c>
    </row>
    <row r="61" spans="15:21">
      <c r="O61" t="s">
        <v>346</v>
      </c>
      <c r="P61" s="97">
        <v>8435.7000000000007</v>
      </c>
      <c r="Q61" s="97"/>
      <c r="R61" s="97"/>
      <c r="S61" s="97"/>
      <c r="T61" s="97"/>
      <c r="U61" s="97">
        <v>0</v>
      </c>
    </row>
    <row r="62" spans="15:21">
      <c r="O62" t="s">
        <v>137</v>
      </c>
      <c r="P62" s="97">
        <v>52500</v>
      </c>
      <c r="Q62" s="97"/>
      <c r="R62" s="97"/>
      <c r="S62" s="97"/>
      <c r="T62" s="97"/>
      <c r="U62" s="97">
        <v>0</v>
      </c>
    </row>
    <row r="63" spans="15:21">
      <c r="O63" t="s">
        <v>347</v>
      </c>
      <c r="P63" s="97">
        <v>411547.5</v>
      </c>
      <c r="Q63" s="97">
        <v>45364.583333333336</v>
      </c>
      <c r="R63" s="97">
        <v>45364.583333333336</v>
      </c>
      <c r="S63" s="97">
        <v>45364.583333333336</v>
      </c>
      <c r="T63" s="97">
        <v>45364.583333333336</v>
      </c>
      <c r="U63" s="97">
        <v>544374.99999999988</v>
      </c>
    </row>
    <row r="64" spans="15:21">
      <c r="O64" t="s">
        <v>256</v>
      </c>
      <c r="P64" s="97">
        <v>12200</v>
      </c>
      <c r="Q64" s="97"/>
      <c r="R64" s="97"/>
      <c r="S64" s="97"/>
      <c r="T64" s="97"/>
      <c r="U64" s="97">
        <v>0</v>
      </c>
    </row>
    <row r="65" spans="15:21">
      <c r="O65" t="s">
        <v>378</v>
      </c>
      <c r="P65" s="97">
        <v>72888.816000000006</v>
      </c>
      <c r="Q65" s="97"/>
      <c r="R65" s="97"/>
      <c r="S65" s="97"/>
      <c r="T65" s="97"/>
      <c r="U65" s="97">
        <v>69417.919999999998</v>
      </c>
    </row>
    <row r="66" spans="15:21">
      <c r="O66" t="s">
        <v>140</v>
      </c>
      <c r="P66" s="97">
        <v>3150</v>
      </c>
      <c r="Q66" s="97"/>
      <c r="R66" s="97">
        <v>3150</v>
      </c>
      <c r="S66" s="97"/>
      <c r="T66" s="97">
        <v>3000</v>
      </c>
      <c r="U66" s="97">
        <v>3000</v>
      </c>
    </row>
    <row r="67" spans="15:21">
      <c r="O67" t="s">
        <v>299</v>
      </c>
      <c r="P67" s="97">
        <v>51930.15</v>
      </c>
      <c r="Q67" s="97"/>
      <c r="R67" s="97"/>
      <c r="S67" s="97"/>
      <c r="T67" s="97"/>
      <c r="U67" s="97">
        <v>46713</v>
      </c>
    </row>
    <row r="68" spans="15:21">
      <c r="O68" t="s">
        <v>381</v>
      </c>
      <c r="P68" s="97">
        <v>139031.20000000001</v>
      </c>
      <c r="Q68" s="97">
        <v>11396</v>
      </c>
      <c r="R68" s="97">
        <v>11396</v>
      </c>
      <c r="S68" s="97">
        <v>11396</v>
      </c>
      <c r="T68" s="97">
        <v>11396</v>
      </c>
      <c r="U68" s="97">
        <v>79772</v>
      </c>
    </row>
    <row r="69" spans="15:21">
      <c r="O69" t="s">
        <v>86</v>
      </c>
      <c r="P69" s="97">
        <v>297450.41749999998</v>
      </c>
      <c r="Q69" s="97">
        <v>957</v>
      </c>
      <c r="R69" s="97"/>
      <c r="S69" s="97">
        <v>983.36</v>
      </c>
      <c r="T69" s="97">
        <v>24.41</v>
      </c>
      <c r="U69" s="97">
        <v>29560.499999999996</v>
      </c>
    </row>
    <row r="70" spans="15:21">
      <c r="O70" t="s">
        <v>355</v>
      </c>
      <c r="P70" s="97">
        <v>39305.700000000004</v>
      </c>
      <c r="Q70" s="97"/>
      <c r="R70" s="97"/>
      <c r="S70" s="97"/>
      <c r="T70" s="97"/>
      <c r="U70" s="97">
        <v>2808</v>
      </c>
    </row>
    <row r="71" spans="15:21">
      <c r="O71" t="s">
        <v>365</v>
      </c>
      <c r="P71" s="97">
        <v>160000</v>
      </c>
      <c r="Q71" s="97">
        <v>12500</v>
      </c>
      <c r="R71" s="97">
        <v>12500</v>
      </c>
      <c r="S71" s="97">
        <v>12500</v>
      </c>
      <c r="T71" s="97">
        <v>12500</v>
      </c>
      <c r="U71" s="97">
        <v>112500</v>
      </c>
    </row>
    <row r="72" spans="15:21">
      <c r="O72" t="s">
        <v>384</v>
      </c>
      <c r="P72" s="97">
        <v>70432.698000000004</v>
      </c>
      <c r="Q72" s="97">
        <v>200</v>
      </c>
      <c r="R72" s="97">
        <v>200</v>
      </c>
      <c r="S72" s="97">
        <v>161.13999999999999</v>
      </c>
      <c r="T72" s="97">
        <v>161.13999999999999</v>
      </c>
      <c r="U72" s="97">
        <v>878.21</v>
      </c>
    </row>
    <row r="73" spans="15:21">
      <c r="O73" t="s">
        <v>319</v>
      </c>
      <c r="P73" s="97">
        <v>5407.5</v>
      </c>
      <c r="Q73" s="97"/>
      <c r="R73" s="97"/>
      <c r="S73" s="97"/>
      <c r="T73" s="97"/>
      <c r="U73" s="97">
        <v>0</v>
      </c>
    </row>
    <row r="74" spans="15:21">
      <c r="O74" t="s">
        <v>356</v>
      </c>
      <c r="P74" s="97">
        <v>174825</v>
      </c>
      <c r="Q74" s="97">
        <v>14568.75</v>
      </c>
      <c r="R74" s="97">
        <v>14568.75</v>
      </c>
      <c r="S74" s="97">
        <v>14568.75</v>
      </c>
      <c r="T74" s="97">
        <v>14568.75</v>
      </c>
      <c r="U74" s="97">
        <v>131118.75</v>
      </c>
    </row>
    <row r="75" spans="15:21">
      <c r="O75" t="s">
        <v>366</v>
      </c>
      <c r="P75" s="97">
        <v>175245.90000000002</v>
      </c>
      <c r="Q75" s="97">
        <v>14332.650000000003</v>
      </c>
      <c r="R75" s="97">
        <v>14332.650000000003</v>
      </c>
      <c r="S75" s="97">
        <v>11833.333333333334</v>
      </c>
      <c r="T75" s="97">
        <v>13333.333333333334</v>
      </c>
      <c r="U75" s="97">
        <v>68500</v>
      </c>
    </row>
    <row r="76" spans="15:21">
      <c r="O76" t="s">
        <v>273</v>
      </c>
      <c r="P76" s="97">
        <v>259449</v>
      </c>
      <c r="Q76" s="97">
        <v>11185.549999999997</v>
      </c>
      <c r="R76" s="97">
        <v>7399.97</v>
      </c>
      <c r="S76" s="97">
        <v>11185.549999999997</v>
      </c>
      <c r="T76" s="97">
        <v>7399.97</v>
      </c>
      <c r="U76" s="97">
        <v>83657.850000000006</v>
      </c>
    </row>
    <row r="77" spans="15:21">
      <c r="O77" t="s">
        <v>247</v>
      </c>
      <c r="P77" s="97">
        <v>67470</v>
      </c>
      <c r="Q77" s="97">
        <v>16878.150000000001</v>
      </c>
      <c r="R77" s="97"/>
      <c r="S77" s="97">
        <v>16878.150000000001</v>
      </c>
      <c r="T77" s="97"/>
      <c r="U77" s="97">
        <v>34242.9</v>
      </c>
    </row>
    <row r="78" spans="15:21">
      <c r="O78" t="s">
        <v>250</v>
      </c>
      <c r="P78" s="97">
        <v>25000</v>
      </c>
      <c r="Q78" s="97"/>
      <c r="R78" s="97"/>
      <c r="S78" s="97"/>
      <c r="T78" s="97"/>
      <c r="U78" s="97">
        <v>0</v>
      </c>
    </row>
    <row r="79" spans="15:21">
      <c r="O79" t="s">
        <v>145</v>
      </c>
      <c r="P79" s="97">
        <v>421713.07500000007</v>
      </c>
      <c r="Q79" s="97">
        <v>30215.78</v>
      </c>
      <c r="R79" s="97">
        <v>35893.14</v>
      </c>
      <c r="S79" s="97">
        <v>30215.78</v>
      </c>
      <c r="T79" s="97">
        <v>35893.14</v>
      </c>
      <c r="U79" s="97">
        <v>122576.03</v>
      </c>
    </row>
    <row r="80" spans="15:21">
      <c r="O80" t="s">
        <v>206</v>
      </c>
      <c r="P80" s="97">
        <v>190000</v>
      </c>
      <c r="Q80" s="97">
        <v>15000</v>
      </c>
      <c r="R80" s="97">
        <v>15000</v>
      </c>
      <c r="S80" s="97">
        <v>15000</v>
      </c>
      <c r="T80" s="97">
        <v>15000</v>
      </c>
      <c r="U80" s="97">
        <v>80950</v>
      </c>
    </row>
    <row r="81" spans="15:21">
      <c r="O81" t="s">
        <v>321</v>
      </c>
      <c r="P81" s="97">
        <v>61830</v>
      </c>
      <c r="Q81" s="97"/>
      <c r="R81" s="97"/>
      <c r="S81" s="97"/>
      <c r="T81" s="97"/>
      <c r="U81" s="97">
        <v>0</v>
      </c>
    </row>
    <row r="82" spans="15:21">
      <c r="O82" t="s">
        <v>385</v>
      </c>
      <c r="P82" s="97">
        <v>440671.35000000003</v>
      </c>
      <c r="Q82" s="97"/>
      <c r="R82" s="97"/>
      <c r="S82" s="97"/>
      <c r="T82" s="97"/>
      <c r="U82" s="97">
        <v>362342.00000000006</v>
      </c>
    </row>
    <row r="83" spans="15:21">
      <c r="O83" t="s">
        <v>148</v>
      </c>
      <c r="P83" s="97">
        <v>15750</v>
      </c>
      <c r="Q83" s="97"/>
      <c r="R83" s="97"/>
      <c r="S83" s="97"/>
      <c r="T83" s="97"/>
      <c r="U83" s="97">
        <v>0</v>
      </c>
    </row>
    <row r="84" spans="15:21">
      <c r="O84" t="s">
        <v>17</v>
      </c>
      <c r="P84" s="97">
        <v>43544379.95615001</v>
      </c>
      <c r="Q84" s="97">
        <v>3310237.773333333</v>
      </c>
      <c r="R84" s="97">
        <v>3283917.4133333336</v>
      </c>
      <c r="S84" s="97">
        <v>3365516.8849999998</v>
      </c>
      <c r="T84" s="97">
        <v>3209811.2950000013</v>
      </c>
      <c r="U84" s="97">
        <v>22394275.037566677</v>
      </c>
    </row>
  </sheetData>
  <autoFilter ref="O5:U84" xr:uid="{5D84049F-C690-42A7-B570-0B987868027C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26d0a970-2ab3-49ef-b4d7-820ab6496716">ANTARESITDMO-1057074058-8011</_dlc_DocId>
    <_dlc_DocIdUrl xmlns="26d0a970-2ab3-49ef-b4d7-820ab6496716">
      <Url>https://antarescap.sharepoint.com/sites/AntaresITDemo/IT%20Internal/TechPMO/_layouts/15/DocIdRedir.aspx?ID=ANTARESITDMO-1057074058-8011</Url>
      <Description>ANTARESITDMO-1057074058-8011</Description>
    </_dlc_DocIdUrl>
    <lcf76f155ced4ddcb4097134ff3c332f xmlns="c391786d-2ce2-4ee1-838b-63fe54a71a4e">
      <Terms xmlns="http://schemas.microsoft.com/office/infopath/2007/PartnerControls"/>
    </lcf76f155ced4ddcb4097134ff3c332f>
    <TaxCatchAll xmlns="26d0a970-2ab3-49ef-b4d7-820ab6496716" xsi:nil="true"/>
  </documentManagement>
</p:properties>
</file>

<file path=customXml/item4.xml><?xml version="1.0" encoding="utf-8"?>
<scriptIds xmlns="http://schemas.microsoft.com/office/extensibility/maker/v1.0" id="script-ids-node-id">
  <scriptId id="ms-officescript%3A%2F%2Fonedrive_business_itemlink%2F012GXNZWWLHCWXAHXHZBGLVL7P625CRW7H:ms-officescript%3A%2F%2Fonedrive_business_sharinglink%2Fu!aHR0cHM6Ly9hbnRhcmVzY2FwLW15LnNoYXJlcG9pbnQuY29tLzp1Oi9nL3BlcnNvbmFsL2FyaV9ndXJvdmljaF9hbnRhcmVzX2NvbS9JUURMT0sxd0h1ZklUTHF2N19hNktOdm5BVnBhUzJucXdBdk01UnQ1SmVPOTNzbw"/>
</scriptIds>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8E2DB0858A9454CBA83118ED55C1F8E" ma:contentTypeVersion="11" ma:contentTypeDescription="Create a new document." ma:contentTypeScope="" ma:versionID="082b104873ca7dd314e60bdd3222ff67">
  <xsd:schema xmlns:xsd="http://www.w3.org/2001/XMLSchema" xmlns:xs="http://www.w3.org/2001/XMLSchema" xmlns:p="http://schemas.microsoft.com/office/2006/metadata/properties" xmlns:ns2="26d0a970-2ab3-49ef-b4d7-820ab6496716" xmlns:ns3="c391786d-2ce2-4ee1-838b-63fe54a71a4e" targetNamespace="http://schemas.microsoft.com/office/2006/metadata/properties" ma:root="true" ma:fieldsID="d0162343748275d1f3c03fad01321668" ns2:_="" ns3:_="">
    <xsd:import namespace="26d0a970-2ab3-49ef-b4d7-820ab6496716"/>
    <xsd:import namespace="c391786d-2ce2-4ee1-838b-63fe54a71a4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BillingMetadata" minOccurs="0"/>
                <xsd:element ref="ns3:MediaServiceDateTaken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d0a970-2ab3-49ef-b4d7-820ab6496716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CatchAll" ma:index="18" nillable="true" ma:displayName="Taxonomy Catch All Column" ma:hidden="true" ma:list="{54684b2f-fa94-4482-94d9-f6615efbdbdf}" ma:internalName="TaxCatchAll" ma:showField="CatchAllData" ma:web="26d0a970-2ab3-49ef-b4d7-820ab64967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91786d-2ce2-4ee1-838b-63fe54a71a4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4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c6ac20a-5ed4-4695-b5e5-92fe27389d0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7F2BD98-16E9-44DC-A814-3235BD57F27A}"/>
</file>

<file path=customXml/itemProps2.xml><?xml version="1.0" encoding="utf-8"?>
<ds:datastoreItem xmlns:ds="http://schemas.openxmlformats.org/officeDocument/2006/customXml" ds:itemID="{5956ADFD-9F0B-4014-AB0F-A7994769C96B}"/>
</file>

<file path=customXml/itemProps3.xml><?xml version="1.0" encoding="utf-8"?>
<ds:datastoreItem xmlns:ds="http://schemas.openxmlformats.org/officeDocument/2006/customXml" ds:itemID="{32E2E58D-7571-4D1E-B0F3-701D55D92D79}"/>
</file>

<file path=customXml/itemProps4.xml><?xml version="1.0" encoding="utf-8"?>
<ds:datastoreItem xmlns:ds="http://schemas.openxmlformats.org/officeDocument/2006/customXml" ds:itemID="{752E5132-1B41-43EF-9789-926D57A44BCD}"/>
</file>

<file path=customXml/itemProps5.xml><?xml version="1.0" encoding="utf-8"?>
<ds:datastoreItem xmlns:ds="http://schemas.openxmlformats.org/officeDocument/2006/customXml" ds:itemID="{C8C03080-4184-4D10-A253-B15D1E7875D8}"/>
</file>

<file path=docMetadata/LabelInfo.xml><?xml version="1.0" encoding="utf-8"?>
<clbl:labelList xmlns:clbl="http://schemas.microsoft.com/office/2020/mipLabelMetadata">
  <clbl:label id="{427edd0c-fd2e-4622-b514-e5585ead9eab}" enabled="1" method="Privileged" siteId="{2fc13062-e6ea-4a72-872e-044f7c08efc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Shanky Modi (Contractor)</dc:creator>
  <cp:keywords/>
  <dc:description/>
  <cp:lastModifiedBy>Swati Yadav (Contractor)</cp:lastModifiedBy>
  <cp:revision/>
  <dcterms:created xsi:type="dcterms:W3CDTF">2025-09-17T12:25:50Z</dcterms:created>
  <dcterms:modified xsi:type="dcterms:W3CDTF">2026-06-25T13:06:27Z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0x01010048E2DB0858A9454CBA83118ED55C1F8E</vt:lpwstr>
  </property>
  <property fmtid="{D5CDD505-2E9C-101B-9397-08002B2CF9AE}" pid="3" name="xd_ProgID">
    <vt:lpwstr/>
  </property>
  <property fmtid="{D5CDD505-2E9C-101B-9397-08002B2CF9AE}" pid="4" name="ComplianceAssetId">
    <vt:lpwstr/>
  </property>
  <property fmtid="{D5CDD505-2E9C-101B-9397-08002B2CF9AE}" pid="5" name="TemplateUrl">
    <vt:lpwstr/>
  </property>
  <property fmtid="{D5CDD505-2E9C-101B-9397-08002B2CF9AE}" pid="6" name="_dlc_DocIdItemGuid">
    <vt:lpwstr>f91f6948-e2e6-421a-9b7f-806b05bd3227</vt:lpwstr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  <property fmtid="{D5CDD505-2E9C-101B-9397-08002B2CF9AE}" pid="10" name="MediaServiceImageTags">
    <vt:lpwstr/>
  </property>
</Properties>
</file>